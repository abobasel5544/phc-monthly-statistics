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747"/>
  </bookViews>
  <sheets>
    <sheet name="الفحوصات المخبرية" sheetId="4" r:id="rId1"/>
    <sheet name="الإجمالية" sheetId="5" r:id="rId2"/>
  </sheets>
  <definedNames>
    <definedName name="_xlnm.Print_Titles" localSheetId="0">'الفحوصات المخبرية'!$1:$5</definedName>
  </definedNames>
  <calcPr calcId="152511"/>
</workbook>
</file>

<file path=xl/calcChain.xml><?xml version="1.0" encoding="utf-8"?>
<calcChain xmlns="http://schemas.openxmlformats.org/spreadsheetml/2006/main">
  <c r="FD60" i="4" l="1"/>
  <c r="FC60" i="4"/>
  <c r="FA60" i="4"/>
  <c r="EY60" i="4"/>
  <c r="ET60" i="4"/>
  <c r="ER60" i="4"/>
  <c r="FE59" i="4"/>
  <c r="FE58" i="4"/>
  <c r="FE60" i="4" s="1"/>
  <c r="FD57" i="4"/>
  <c r="FD61" i="4" s="1"/>
  <c r="FC57" i="4"/>
  <c r="FC61" i="4" s="1"/>
  <c r="FA57" i="4"/>
  <c r="FA61" i="4" s="1"/>
  <c r="EY57" i="4"/>
  <c r="EY61" i="4" s="1"/>
  <c r="ET57" i="4"/>
  <c r="ET61" i="4" s="1"/>
  <c r="ER57" i="4"/>
  <c r="ER61" i="4" s="1"/>
  <c r="FE56" i="4"/>
  <c r="FE55" i="4"/>
  <c r="FE57" i="4" s="1"/>
  <c r="FE61" i="4" s="1"/>
  <c r="FD53" i="4"/>
  <c r="FC53" i="4"/>
  <c r="FA53" i="4"/>
  <c r="EY53" i="4"/>
  <c r="ET53" i="4"/>
  <c r="ER53" i="4"/>
  <c r="FE52" i="4"/>
  <c r="FE51" i="4"/>
  <c r="FE53" i="4" s="1"/>
  <c r="FD50" i="4"/>
  <c r="FD54" i="4" s="1"/>
  <c r="FC50" i="4"/>
  <c r="FC54" i="4" s="1"/>
  <c r="FA50" i="4"/>
  <c r="FA54" i="4" s="1"/>
  <c r="EY50" i="4"/>
  <c r="EY54" i="4" s="1"/>
  <c r="ET50" i="4"/>
  <c r="ET54" i="4" s="1"/>
  <c r="ER50" i="4"/>
  <c r="ER54" i="4" s="1"/>
  <c r="FE49" i="4"/>
  <c r="FE48" i="4"/>
  <c r="FE50" i="4" s="1"/>
  <c r="FE54" i="4" s="1"/>
  <c r="FD46" i="4"/>
  <c r="FC46" i="4"/>
  <c r="FA46" i="4"/>
  <c r="EY46" i="4"/>
  <c r="ET46" i="4"/>
  <c r="ER46" i="4"/>
  <c r="FE45" i="4"/>
  <c r="FE44" i="4"/>
  <c r="FE46" i="4" s="1"/>
  <c r="FD43" i="4"/>
  <c r="FD47" i="4" s="1"/>
  <c r="FC43" i="4"/>
  <c r="FC47" i="4" s="1"/>
  <c r="FA43" i="4"/>
  <c r="FA47" i="4" s="1"/>
  <c r="EY43" i="4"/>
  <c r="EY47" i="4" s="1"/>
  <c r="ET43" i="4"/>
  <c r="ET47" i="4" s="1"/>
  <c r="ER43" i="4"/>
  <c r="ER47" i="4" s="1"/>
  <c r="FE42" i="4"/>
  <c r="FE41" i="4"/>
  <c r="FE43" i="4" s="1"/>
  <c r="FE47" i="4" s="1"/>
  <c r="FD32" i="4"/>
  <c r="FC32" i="4"/>
  <c r="FA32" i="4"/>
  <c r="EY32" i="4"/>
  <c r="ET32" i="4"/>
  <c r="ER32" i="4"/>
  <c r="FE31" i="4"/>
  <c r="FE30" i="4"/>
  <c r="FE32" i="4" s="1"/>
  <c r="FD29" i="4"/>
  <c r="FC29" i="4"/>
  <c r="FA29" i="4"/>
  <c r="EY29" i="4"/>
  <c r="ET29" i="4"/>
  <c r="ER29" i="4"/>
  <c r="FE28" i="4"/>
  <c r="FE27" i="4"/>
  <c r="FE29" i="4" s="1"/>
  <c r="FD25" i="4"/>
  <c r="FC25" i="4"/>
  <c r="FA25" i="4"/>
  <c r="EY25" i="4"/>
  <c r="ET25" i="4"/>
  <c r="ER25" i="4"/>
  <c r="FE24" i="4"/>
  <c r="FE23" i="4"/>
  <c r="FE25" i="4" s="1"/>
  <c r="FD22" i="4"/>
  <c r="FD26" i="4" s="1"/>
  <c r="FC22" i="4"/>
  <c r="FC26" i="4" s="1"/>
  <c r="FA22" i="4"/>
  <c r="FA26" i="4" s="1"/>
  <c r="EY22" i="4"/>
  <c r="EY26" i="4" s="1"/>
  <c r="ET22" i="4"/>
  <c r="ET26" i="4" s="1"/>
  <c r="ER22" i="4"/>
  <c r="ER26" i="4" s="1"/>
  <c r="FE21" i="4"/>
  <c r="FE20" i="4"/>
  <c r="FE22" i="4" s="1"/>
  <c r="FD18" i="4"/>
  <c r="FC18" i="4"/>
  <c r="FA18" i="4"/>
  <c r="EY18" i="4"/>
  <c r="ET18" i="4"/>
  <c r="ER18" i="4"/>
  <c r="FE17" i="4"/>
  <c r="FE16" i="4"/>
  <c r="FE18" i="4" s="1"/>
  <c r="FD15" i="4"/>
  <c r="FD19" i="4" s="1"/>
  <c r="FC15" i="4"/>
  <c r="FC19" i="4" s="1"/>
  <c r="FA15" i="4"/>
  <c r="FA19" i="4" s="1"/>
  <c r="EY15" i="4"/>
  <c r="EY19" i="4" s="1"/>
  <c r="ET15" i="4"/>
  <c r="ET19" i="4" s="1"/>
  <c r="ER15" i="4"/>
  <c r="ER19" i="4" s="1"/>
  <c r="FE14" i="4"/>
  <c r="FE13" i="4"/>
  <c r="FE15" i="4" s="1"/>
  <c r="FE19" i="4" s="1"/>
  <c r="FD12" i="4"/>
  <c r="FD11" i="4"/>
  <c r="FC11" i="4"/>
  <c r="FA11" i="4"/>
  <c r="EY11" i="4"/>
  <c r="ET11" i="4"/>
  <c r="ER11" i="4"/>
  <c r="FE10" i="4"/>
  <c r="FE9" i="4"/>
  <c r="FE11" i="4" s="1"/>
  <c r="FD8" i="4"/>
  <c r="FC8" i="4"/>
  <c r="FC12" i="4" s="1"/>
  <c r="FA8" i="4"/>
  <c r="FA12" i="4" s="1"/>
  <c r="EY8" i="4"/>
  <c r="EY12" i="4" s="1"/>
  <c r="ET8" i="4"/>
  <c r="ET12" i="4" s="1"/>
  <c r="ER8" i="4"/>
  <c r="ER12" i="4" s="1"/>
  <c r="FE7" i="4"/>
  <c r="FE6" i="4"/>
  <c r="FE8" i="4" s="1"/>
  <c r="FE12" i="4" s="1"/>
  <c r="FE26" i="4" l="1"/>
  <c r="EM80" i="4" l="1"/>
  <c r="EM79" i="4"/>
  <c r="EL78" i="4"/>
  <c r="EK78" i="4"/>
  <c r="EI78" i="4"/>
  <c r="EG78" i="4"/>
  <c r="EB78" i="4"/>
  <c r="DZ78" i="4"/>
  <c r="EM77" i="4"/>
  <c r="EM76" i="4"/>
  <c r="EM78" i="4" s="1"/>
  <c r="EL74" i="4"/>
  <c r="EK74" i="4"/>
  <c r="EI74" i="4"/>
  <c r="EG74" i="4"/>
  <c r="EB74" i="4"/>
  <c r="DZ74" i="4"/>
  <c r="EM73" i="4"/>
  <c r="EM72" i="4"/>
  <c r="EM74" i="4" s="1"/>
  <c r="EL71" i="4"/>
  <c r="EL75" i="4" s="1"/>
  <c r="EK71" i="4"/>
  <c r="EK75" i="4" s="1"/>
  <c r="EI71" i="4"/>
  <c r="EI75" i="4" s="1"/>
  <c r="EG71" i="4"/>
  <c r="EG75" i="4" s="1"/>
  <c r="EB71" i="4"/>
  <c r="EB75" i="4" s="1"/>
  <c r="DZ71" i="4"/>
  <c r="DZ75" i="4" s="1"/>
  <c r="EM70" i="4"/>
  <c r="EM69" i="4"/>
  <c r="EM71" i="4" s="1"/>
  <c r="EM75" i="4" s="1"/>
  <c r="EL67" i="4"/>
  <c r="EK67" i="4"/>
  <c r="EI67" i="4"/>
  <c r="EG67" i="4"/>
  <c r="EB67" i="4"/>
  <c r="DZ67" i="4"/>
  <c r="EM66" i="4"/>
  <c r="EM65" i="4"/>
  <c r="EM67" i="4" s="1"/>
  <c r="EL64" i="4"/>
  <c r="EL68" i="4" s="1"/>
  <c r="EK64" i="4"/>
  <c r="EK68" i="4" s="1"/>
  <c r="EI64" i="4"/>
  <c r="EI68" i="4" s="1"/>
  <c r="EG64" i="4"/>
  <c r="EG68" i="4" s="1"/>
  <c r="EB64" i="4"/>
  <c r="EB68" i="4" s="1"/>
  <c r="DZ64" i="4"/>
  <c r="DZ68" i="4" s="1"/>
  <c r="EM63" i="4"/>
  <c r="EM62" i="4"/>
  <c r="EM64" i="4" s="1"/>
  <c r="EM68" i="4" s="1"/>
  <c r="EL60" i="4"/>
  <c r="EK60" i="4"/>
  <c r="EI60" i="4"/>
  <c r="EG60" i="4"/>
  <c r="EB60" i="4"/>
  <c r="DZ60" i="4"/>
  <c r="EM59" i="4"/>
  <c r="EM58" i="4"/>
  <c r="EM60" i="4" s="1"/>
  <c r="EL57" i="4"/>
  <c r="EL61" i="4" s="1"/>
  <c r="EK57" i="4"/>
  <c r="EK61" i="4" s="1"/>
  <c r="EI57" i="4"/>
  <c r="EI61" i="4" s="1"/>
  <c r="EG57" i="4"/>
  <c r="EG61" i="4" s="1"/>
  <c r="EB57" i="4"/>
  <c r="EB61" i="4" s="1"/>
  <c r="DZ57" i="4"/>
  <c r="DZ61" i="4" s="1"/>
  <c r="EM56" i="4"/>
  <c r="EM55" i="4"/>
  <c r="EM57" i="4" s="1"/>
  <c r="EM61" i="4" s="1"/>
  <c r="EL53" i="4"/>
  <c r="EK53" i="4"/>
  <c r="EI53" i="4"/>
  <c r="EG53" i="4"/>
  <c r="EB53" i="4"/>
  <c r="DZ53" i="4"/>
  <c r="EM52" i="4"/>
  <c r="EM51" i="4"/>
  <c r="EM53" i="4" s="1"/>
  <c r="EL50" i="4"/>
  <c r="EL54" i="4" s="1"/>
  <c r="EK50" i="4"/>
  <c r="EK54" i="4" s="1"/>
  <c r="EI50" i="4"/>
  <c r="EI54" i="4" s="1"/>
  <c r="EG50" i="4"/>
  <c r="EG54" i="4" s="1"/>
  <c r="EB50" i="4"/>
  <c r="EB54" i="4" s="1"/>
  <c r="DZ50" i="4"/>
  <c r="DZ54" i="4" s="1"/>
  <c r="EM49" i="4"/>
  <c r="EM48" i="4"/>
  <c r="EM50" i="4" s="1"/>
  <c r="EM54" i="4" s="1"/>
  <c r="EL46" i="4"/>
  <c r="EK46" i="4"/>
  <c r="EI46" i="4"/>
  <c r="EG46" i="4"/>
  <c r="EB46" i="4"/>
  <c r="DZ46" i="4"/>
  <c r="EM45" i="4"/>
  <c r="EM44" i="4"/>
  <c r="EM46" i="4" s="1"/>
  <c r="EL43" i="4"/>
  <c r="EL47" i="4" s="1"/>
  <c r="EK43" i="4"/>
  <c r="EK47" i="4" s="1"/>
  <c r="EI43" i="4"/>
  <c r="EI47" i="4" s="1"/>
  <c r="EG43" i="4"/>
  <c r="EG47" i="4" s="1"/>
  <c r="EB43" i="4"/>
  <c r="EB47" i="4" s="1"/>
  <c r="DZ43" i="4"/>
  <c r="DZ47" i="4" s="1"/>
  <c r="EM42" i="4"/>
  <c r="EM41" i="4"/>
  <c r="EM43" i="4" s="1"/>
  <c r="EM47" i="4" s="1"/>
  <c r="EL39" i="4"/>
  <c r="EK39" i="4"/>
  <c r="EI39" i="4"/>
  <c r="EG39" i="4"/>
  <c r="EB39" i="4"/>
  <c r="DZ39" i="4"/>
  <c r="EM38" i="4"/>
  <c r="EM37" i="4"/>
  <c r="EM39" i="4" s="1"/>
  <c r="EL36" i="4"/>
  <c r="EL40" i="4" s="1"/>
  <c r="EK36" i="4"/>
  <c r="EK40" i="4" s="1"/>
  <c r="EI36" i="4"/>
  <c r="EI40" i="4" s="1"/>
  <c r="EG36" i="4"/>
  <c r="EG40" i="4" s="1"/>
  <c r="EB36" i="4"/>
  <c r="EB40" i="4" s="1"/>
  <c r="DZ36" i="4"/>
  <c r="DZ40" i="4" s="1"/>
  <c r="EM35" i="4"/>
  <c r="EM34" i="4"/>
  <c r="EM36" i="4" s="1"/>
  <c r="EM40" i="4" s="1"/>
  <c r="EL32" i="4"/>
  <c r="EK32" i="4"/>
  <c r="EI32" i="4"/>
  <c r="EG32" i="4"/>
  <c r="EB32" i="4"/>
  <c r="DZ32" i="4"/>
  <c r="EM31" i="4"/>
  <c r="EM30" i="4"/>
  <c r="EM32" i="4" s="1"/>
  <c r="EL29" i="4"/>
  <c r="EL33" i="4" s="1"/>
  <c r="EK29" i="4"/>
  <c r="EK33" i="4" s="1"/>
  <c r="EI29" i="4"/>
  <c r="EI33" i="4" s="1"/>
  <c r="EG29" i="4"/>
  <c r="EG33" i="4" s="1"/>
  <c r="EB29" i="4"/>
  <c r="EB33" i="4" s="1"/>
  <c r="DZ29" i="4"/>
  <c r="DZ33" i="4" s="1"/>
  <c r="EM28" i="4"/>
  <c r="EM27" i="4"/>
  <c r="EM29" i="4" s="1"/>
  <c r="EM33" i="4" s="1"/>
  <c r="EL25" i="4"/>
  <c r="EK25" i="4"/>
  <c r="EI25" i="4"/>
  <c r="EG25" i="4"/>
  <c r="EB25" i="4"/>
  <c r="DZ25" i="4"/>
  <c r="EM24" i="4"/>
  <c r="EM23" i="4"/>
  <c r="EM25" i="4" s="1"/>
  <c r="EL22" i="4"/>
  <c r="EL26" i="4" s="1"/>
  <c r="EK22" i="4"/>
  <c r="EK26" i="4" s="1"/>
  <c r="EI22" i="4"/>
  <c r="EI26" i="4" s="1"/>
  <c r="EG22" i="4"/>
  <c r="EG26" i="4" s="1"/>
  <c r="EB22" i="4"/>
  <c r="EB26" i="4" s="1"/>
  <c r="DZ22" i="4"/>
  <c r="DZ26" i="4" s="1"/>
  <c r="EM21" i="4"/>
  <c r="EM20" i="4"/>
  <c r="EM22" i="4" s="1"/>
  <c r="EM26" i="4" s="1"/>
  <c r="EL18" i="4"/>
  <c r="EK18" i="4"/>
  <c r="EI18" i="4"/>
  <c r="EG18" i="4"/>
  <c r="EB18" i="4"/>
  <c r="DZ18" i="4"/>
  <c r="EM17" i="4"/>
  <c r="EM16" i="4"/>
  <c r="EM18" i="4" s="1"/>
  <c r="EL15" i="4"/>
  <c r="EL19" i="4" s="1"/>
  <c r="EK15" i="4"/>
  <c r="EK19" i="4" s="1"/>
  <c r="EI15" i="4"/>
  <c r="EI19" i="4" s="1"/>
  <c r="EG15" i="4"/>
  <c r="EG19" i="4" s="1"/>
  <c r="EB15" i="4"/>
  <c r="EB19" i="4" s="1"/>
  <c r="DZ15" i="4"/>
  <c r="DZ19" i="4" s="1"/>
  <c r="EM14" i="4"/>
  <c r="EM13" i="4"/>
  <c r="EM15" i="4" s="1"/>
  <c r="EM19" i="4" s="1"/>
  <c r="EL11" i="4"/>
  <c r="EK11" i="4"/>
  <c r="EI11" i="4"/>
  <c r="EG11" i="4"/>
  <c r="EB11" i="4"/>
  <c r="DZ11" i="4"/>
  <c r="EM10" i="4"/>
  <c r="EM9" i="4"/>
  <c r="EM11" i="4" s="1"/>
  <c r="EL8" i="4"/>
  <c r="EL12" i="4" s="1"/>
  <c r="EK8" i="4"/>
  <c r="EK12" i="4" s="1"/>
  <c r="EI8" i="4"/>
  <c r="EI12" i="4" s="1"/>
  <c r="EG8" i="4"/>
  <c r="EG12" i="4" s="1"/>
  <c r="EB8" i="4"/>
  <c r="EB12" i="4" s="1"/>
  <c r="DZ8" i="4"/>
  <c r="DZ12" i="4" s="1"/>
  <c r="EM7" i="4"/>
  <c r="EM6" i="4"/>
  <c r="EM8" i="4" s="1"/>
  <c r="EM12" i="4" s="1"/>
  <c r="HF100" i="4" l="1"/>
  <c r="HE100" i="4"/>
  <c r="HD100" i="4"/>
  <c r="HC100" i="4"/>
  <c r="HB100" i="4"/>
  <c r="HA100" i="4"/>
  <c r="GZ100" i="4"/>
  <c r="GY100" i="4"/>
  <c r="GX100" i="4"/>
  <c r="GW100" i="4"/>
  <c r="GV100" i="4"/>
  <c r="GU100" i="4"/>
  <c r="GT100" i="4"/>
  <c r="HF99" i="4"/>
  <c r="HF101" i="4" s="1"/>
  <c r="HE99" i="4"/>
  <c r="HE101" i="4" s="1"/>
  <c r="HD99" i="4"/>
  <c r="HC99" i="4"/>
  <c r="HB99" i="4"/>
  <c r="HA99" i="4"/>
  <c r="HA101" i="4" s="1"/>
  <c r="GZ99" i="4"/>
  <c r="GY99" i="4"/>
  <c r="GX99" i="4"/>
  <c r="GW99" i="4"/>
  <c r="GV99" i="4"/>
  <c r="GU99" i="4"/>
  <c r="GT99" i="4"/>
  <c r="HF97" i="4"/>
  <c r="HE97" i="4"/>
  <c r="HD97" i="4"/>
  <c r="HC97" i="4"/>
  <c r="HB97" i="4"/>
  <c r="HA97" i="4"/>
  <c r="GZ97" i="4"/>
  <c r="GY97" i="4"/>
  <c r="GX97" i="4"/>
  <c r="GW97" i="4"/>
  <c r="GV97" i="4"/>
  <c r="GU97" i="4"/>
  <c r="GT97" i="4"/>
  <c r="HF96" i="4"/>
  <c r="HE96" i="4"/>
  <c r="HD96" i="4"/>
  <c r="HC96" i="4"/>
  <c r="HB96" i="4"/>
  <c r="HA96" i="4"/>
  <c r="GZ96" i="4"/>
  <c r="GY96" i="4"/>
  <c r="GX96" i="4"/>
  <c r="GW96" i="4"/>
  <c r="GV96" i="4"/>
  <c r="GU96" i="4"/>
  <c r="GT96" i="4"/>
  <c r="HC91" i="4"/>
  <c r="HA91" i="4"/>
  <c r="HF88" i="4"/>
  <c r="HE88" i="4"/>
  <c r="HC88" i="4"/>
  <c r="HA88" i="4"/>
  <c r="GV88" i="4"/>
  <c r="GT88" i="4"/>
  <c r="HG87" i="4"/>
  <c r="HG86" i="4"/>
  <c r="HF85" i="4"/>
  <c r="HF89" i="4" s="1"/>
  <c r="HE85" i="4"/>
  <c r="HE89" i="4" s="1"/>
  <c r="HC85" i="4"/>
  <c r="HC89" i="4" s="1"/>
  <c r="HA85" i="4"/>
  <c r="HA89" i="4" s="1"/>
  <c r="GV85" i="4"/>
  <c r="GV89" i="4" s="1"/>
  <c r="GT85" i="4"/>
  <c r="GT89" i="4" s="1"/>
  <c r="HG84" i="4"/>
  <c r="HG83" i="4"/>
  <c r="HF81" i="4"/>
  <c r="HE81" i="4"/>
  <c r="HC81" i="4"/>
  <c r="HA81" i="4"/>
  <c r="GV81" i="4"/>
  <c r="GT81" i="4"/>
  <c r="HG80" i="4"/>
  <c r="HG79" i="4"/>
  <c r="HG81" i="4" s="1"/>
  <c r="HF78" i="4"/>
  <c r="HF82" i="4" s="1"/>
  <c r="HE78" i="4"/>
  <c r="HE82" i="4" s="1"/>
  <c r="HC78" i="4"/>
  <c r="HC82" i="4" s="1"/>
  <c r="HA78" i="4"/>
  <c r="HA82" i="4" s="1"/>
  <c r="GV78" i="4"/>
  <c r="GV82" i="4" s="1"/>
  <c r="GT78" i="4"/>
  <c r="GT82" i="4" s="1"/>
  <c r="HG77" i="4"/>
  <c r="HG76" i="4"/>
  <c r="HG78" i="4" s="1"/>
  <c r="HG82" i="4" s="1"/>
  <c r="HF74" i="4"/>
  <c r="HE74" i="4"/>
  <c r="HC74" i="4"/>
  <c r="HA74" i="4"/>
  <c r="GV74" i="4"/>
  <c r="GT74" i="4"/>
  <c r="HG73" i="4"/>
  <c r="HG72" i="4"/>
  <c r="HG74" i="4" s="1"/>
  <c r="HF71" i="4"/>
  <c r="HF75" i="4" s="1"/>
  <c r="HE71" i="4"/>
  <c r="HE75" i="4" s="1"/>
  <c r="HC71" i="4"/>
  <c r="HC75" i="4" s="1"/>
  <c r="HA71" i="4"/>
  <c r="HA75" i="4" s="1"/>
  <c r="GV71" i="4"/>
  <c r="GV75" i="4" s="1"/>
  <c r="GT71" i="4"/>
  <c r="GT75" i="4" s="1"/>
  <c r="HG70" i="4"/>
  <c r="HG69" i="4"/>
  <c r="HG71" i="4" s="1"/>
  <c r="HG75" i="4" s="1"/>
  <c r="HF67" i="4"/>
  <c r="HE67" i="4"/>
  <c r="HC67" i="4"/>
  <c r="HA67" i="4"/>
  <c r="GV67" i="4"/>
  <c r="GT67" i="4"/>
  <c r="HG66" i="4"/>
  <c r="HG65" i="4"/>
  <c r="HG67" i="4" s="1"/>
  <c r="HF64" i="4"/>
  <c r="HF68" i="4" s="1"/>
  <c r="HE64" i="4"/>
  <c r="HE68" i="4" s="1"/>
  <c r="HC64" i="4"/>
  <c r="HC68" i="4" s="1"/>
  <c r="HA64" i="4"/>
  <c r="HA68" i="4" s="1"/>
  <c r="GV64" i="4"/>
  <c r="GV68" i="4" s="1"/>
  <c r="GT64" i="4"/>
  <c r="GT68" i="4" s="1"/>
  <c r="HG63" i="4"/>
  <c r="HG62" i="4"/>
  <c r="HG64" i="4" s="1"/>
  <c r="HG68" i="4" s="1"/>
  <c r="HF60" i="4"/>
  <c r="HE60" i="4"/>
  <c r="HC60" i="4"/>
  <c r="HA60" i="4"/>
  <c r="GV60" i="4"/>
  <c r="GT60" i="4"/>
  <c r="HG59" i="4"/>
  <c r="HG58" i="4"/>
  <c r="HG60" i="4" s="1"/>
  <c r="HF57" i="4"/>
  <c r="HF61" i="4" s="1"/>
  <c r="HE57" i="4"/>
  <c r="HE61" i="4" s="1"/>
  <c r="HC57" i="4"/>
  <c r="HC61" i="4" s="1"/>
  <c r="HA57" i="4"/>
  <c r="HA61" i="4" s="1"/>
  <c r="GV57" i="4"/>
  <c r="GV61" i="4" s="1"/>
  <c r="GT57" i="4"/>
  <c r="GT61" i="4" s="1"/>
  <c r="HG56" i="4"/>
  <c r="HG55" i="4"/>
  <c r="HG57" i="4" s="1"/>
  <c r="HG61" i="4" s="1"/>
  <c r="HF53" i="4"/>
  <c r="HE53" i="4"/>
  <c r="HC53" i="4"/>
  <c r="HA53" i="4"/>
  <c r="GV53" i="4"/>
  <c r="GT53" i="4"/>
  <c r="HG52" i="4"/>
  <c r="HG51" i="4"/>
  <c r="HG53" i="4" s="1"/>
  <c r="HF50" i="4"/>
  <c r="HF54" i="4" s="1"/>
  <c r="HE50" i="4"/>
  <c r="HE54" i="4" s="1"/>
  <c r="HC50" i="4"/>
  <c r="HC54" i="4" s="1"/>
  <c r="HA50" i="4"/>
  <c r="HA54" i="4" s="1"/>
  <c r="GV50" i="4"/>
  <c r="GV54" i="4" s="1"/>
  <c r="GT50" i="4"/>
  <c r="GT54" i="4" s="1"/>
  <c r="HG49" i="4"/>
  <c r="HG48" i="4"/>
  <c r="HG50" i="4" s="1"/>
  <c r="HG54" i="4" s="1"/>
  <c r="HF46" i="4"/>
  <c r="HE46" i="4"/>
  <c r="HC46" i="4"/>
  <c r="HA46" i="4"/>
  <c r="GV46" i="4"/>
  <c r="GT46" i="4"/>
  <c r="HG45" i="4"/>
  <c r="HG44" i="4"/>
  <c r="HG46" i="4" s="1"/>
  <c r="HF43" i="4"/>
  <c r="HF47" i="4" s="1"/>
  <c r="HE43" i="4"/>
  <c r="HE47" i="4" s="1"/>
  <c r="HC43" i="4"/>
  <c r="HC47" i="4" s="1"/>
  <c r="HA43" i="4"/>
  <c r="HA47" i="4" s="1"/>
  <c r="GV43" i="4"/>
  <c r="GV47" i="4" s="1"/>
  <c r="GT43" i="4"/>
  <c r="GT47" i="4" s="1"/>
  <c r="HG42" i="4"/>
  <c r="HG41" i="4"/>
  <c r="HG43" i="4" s="1"/>
  <c r="HG47" i="4" s="1"/>
  <c r="HF39" i="4"/>
  <c r="HE39" i="4"/>
  <c r="HC39" i="4"/>
  <c r="HA39" i="4"/>
  <c r="GV39" i="4"/>
  <c r="GT39" i="4"/>
  <c r="HG38" i="4"/>
  <c r="HG37" i="4"/>
  <c r="HG39" i="4" s="1"/>
  <c r="HF36" i="4"/>
  <c r="HF40" i="4" s="1"/>
  <c r="HE36" i="4"/>
  <c r="HE40" i="4" s="1"/>
  <c r="HC36" i="4"/>
  <c r="HC40" i="4" s="1"/>
  <c r="HA36" i="4"/>
  <c r="HA40" i="4" s="1"/>
  <c r="GV36" i="4"/>
  <c r="GV40" i="4" s="1"/>
  <c r="GT36" i="4"/>
  <c r="GT40" i="4" s="1"/>
  <c r="HG35" i="4"/>
  <c r="HG34" i="4"/>
  <c r="HG36" i="4" s="1"/>
  <c r="HG40" i="4" s="1"/>
  <c r="HF32" i="4"/>
  <c r="HE32" i="4"/>
  <c r="HC32" i="4"/>
  <c r="HA32" i="4"/>
  <c r="GV32" i="4"/>
  <c r="GT32" i="4"/>
  <c r="HG31" i="4"/>
  <c r="HG30" i="4"/>
  <c r="HG32" i="4" s="1"/>
  <c r="HF29" i="4"/>
  <c r="HF33" i="4" s="1"/>
  <c r="HE29" i="4"/>
  <c r="HE33" i="4" s="1"/>
  <c r="HC29" i="4"/>
  <c r="HC33" i="4" s="1"/>
  <c r="HA29" i="4"/>
  <c r="HA33" i="4" s="1"/>
  <c r="GV29" i="4"/>
  <c r="GV33" i="4" s="1"/>
  <c r="GT29" i="4"/>
  <c r="GT33" i="4" s="1"/>
  <c r="HG28" i="4"/>
  <c r="HG27" i="4"/>
  <c r="HG29" i="4" s="1"/>
  <c r="HG33" i="4" s="1"/>
  <c r="HF25" i="4"/>
  <c r="HE25" i="4"/>
  <c r="HC25" i="4"/>
  <c r="HA25" i="4"/>
  <c r="GV25" i="4"/>
  <c r="GT25" i="4"/>
  <c r="HG24" i="4"/>
  <c r="HG23" i="4"/>
  <c r="HG25" i="4" s="1"/>
  <c r="HF22" i="4"/>
  <c r="HF26" i="4" s="1"/>
  <c r="HE22" i="4"/>
  <c r="HE26" i="4" s="1"/>
  <c r="HC22" i="4"/>
  <c r="HC26" i="4" s="1"/>
  <c r="HA22" i="4"/>
  <c r="HA26" i="4" s="1"/>
  <c r="GV22" i="4"/>
  <c r="GV26" i="4" s="1"/>
  <c r="GT22" i="4"/>
  <c r="GT26" i="4" s="1"/>
  <c r="HG21" i="4"/>
  <c r="HG20" i="4"/>
  <c r="HG22" i="4" s="1"/>
  <c r="HG26" i="4" s="1"/>
  <c r="HF18" i="4"/>
  <c r="HE18" i="4"/>
  <c r="HC18" i="4"/>
  <c r="HA18" i="4"/>
  <c r="GV18" i="4"/>
  <c r="GT18" i="4"/>
  <c r="HG17" i="4"/>
  <c r="HG16" i="4"/>
  <c r="HG18" i="4" s="1"/>
  <c r="HF15" i="4"/>
  <c r="HF19" i="4" s="1"/>
  <c r="HE15" i="4"/>
  <c r="HE19" i="4" s="1"/>
  <c r="HC15" i="4"/>
  <c r="HC19" i="4" s="1"/>
  <c r="HA15" i="4"/>
  <c r="HA19" i="4" s="1"/>
  <c r="GV15" i="4"/>
  <c r="GV19" i="4" s="1"/>
  <c r="GT15" i="4"/>
  <c r="GT19" i="4" s="1"/>
  <c r="HG14" i="4"/>
  <c r="HG13" i="4"/>
  <c r="HG15" i="4" s="1"/>
  <c r="HG19" i="4" s="1"/>
  <c r="HF11" i="4"/>
  <c r="HE11" i="4"/>
  <c r="HC11" i="4"/>
  <c r="HA11" i="4"/>
  <c r="GV11" i="4"/>
  <c r="GT11" i="4"/>
  <c r="HG10" i="4"/>
  <c r="HG9" i="4"/>
  <c r="HG11" i="4" s="1"/>
  <c r="HF8" i="4"/>
  <c r="HF12" i="4" s="1"/>
  <c r="HE8" i="4"/>
  <c r="HE12" i="4" s="1"/>
  <c r="HC8" i="4"/>
  <c r="HC12" i="4" s="1"/>
  <c r="HA8" i="4"/>
  <c r="HA12" i="4" s="1"/>
  <c r="GV8" i="4"/>
  <c r="GV12" i="4" s="1"/>
  <c r="GT8" i="4"/>
  <c r="GT12" i="4" s="1"/>
  <c r="HG7" i="4"/>
  <c r="HG6" i="4"/>
  <c r="HG8" i="4" s="1"/>
  <c r="HG12" i="4" s="1"/>
  <c r="GN100" i="4"/>
  <c r="GM100" i="4"/>
  <c r="GL100" i="4"/>
  <c r="GK100" i="4"/>
  <c r="GJ100" i="4"/>
  <c r="GI100" i="4"/>
  <c r="GH100" i="4"/>
  <c r="GG100" i="4"/>
  <c r="GF100" i="4"/>
  <c r="GE100" i="4"/>
  <c r="GD100" i="4"/>
  <c r="GC100" i="4"/>
  <c r="GB100" i="4"/>
  <c r="GN99" i="4"/>
  <c r="GM99" i="4"/>
  <c r="GL99" i="4"/>
  <c r="GK99" i="4"/>
  <c r="GJ99" i="4"/>
  <c r="GI99" i="4"/>
  <c r="GH99" i="4"/>
  <c r="GG99" i="4"/>
  <c r="GF99" i="4"/>
  <c r="GE99" i="4"/>
  <c r="GD99" i="4"/>
  <c r="GC99" i="4"/>
  <c r="GB99" i="4"/>
  <c r="GN97" i="4"/>
  <c r="GM97" i="4"/>
  <c r="GL97" i="4"/>
  <c r="GK97" i="4"/>
  <c r="GJ97" i="4"/>
  <c r="GI97" i="4"/>
  <c r="GH97" i="4"/>
  <c r="GG97" i="4"/>
  <c r="GF97" i="4"/>
  <c r="GE97" i="4"/>
  <c r="GD97" i="4"/>
  <c r="GC97" i="4"/>
  <c r="GB97" i="4"/>
  <c r="GN96" i="4"/>
  <c r="GM96" i="4"/>
  <c r="GL96" i="4"/>
  <c r="GK98" i="4" s="1"/>
  <c r="GK96" i="4"/>
  <c r="GJ96" i="4"/>
  <c r="GI96" i="4"/>
  <c r="GH96" i="4"/>
  <c r="GG96" i="4"/>
  <c r="GF96" i="4"/>
  <c r="GE96" i="4"/>
  <c r="GD96" i="4"/>
  <c r="GC96" i="4"/>
  <c r="GB96" i="4"/>
  <c r="GK91" i="4"/>
  <c r="GI91" i="4"/>
  <c r="GN88" i="4"/>
  <c r="GM88" i="4"/>
  <c r="GK88" i="4"/>
  <c r="GI88" i="4"/>
  <c r="GD88" i="4"/>
  <c r="GB88" i="4"/>
  <c r="GO87" i="4"/>
  <c r="GO86" i="4"/>
  <c r="GN85" i="4"/>
  <c r="GN89" i="4" s="1"/>
  <c r="GM85" i="4"/>
  <c r="GM89" i="4" s="1"/>
  <c r="GK85" i="4"/>
  <c r="GK89" i="4" s="1"/>
  <c r="GI85" i="4"/>
  <c r="GI89" i="4" s="1"/>
  <c r="GD85" i="4"/>
  <c r="GD89" i="4" s="1"/>
  <c r="GB85" i="4"/>
  <c r="GB89" i="4" s="1"/>
  <c r="GO84" i="4"/>
  <c r="GO83" i="4"/>
  <c r="GN81" i="4"/>
  <c r="GM81" i="4"/>
  <c r="GK81" i="4"/>
  <c r="GI81" i="4"/>
  <c r="GD81" i="4"/>
  <c r="GB81" i="4"/>
  <c r="GO80" i="4"/>
  <c r="GO79" i="4"/>
  <c r="GN78" i="4"/>
  <c r="GN82" i="4" s="1"/>
  <c r="GM78" i="4"/>
  <c r="GM82" i="4" s="1"/>
  <c r="GK78" i="4"/>
  <c r="GK82" i="4" s="1"/>
  <c r="GI78" i="4"/>
  <c r="GI82" i="4" s="1"/>
  <c r="GD78" i="4"/>
  <c r="GD82" i="4" s="1"/>
  <c r="GB78" i="4"/>
  <c r="GB82" i="4" s="1"/>
  <c r="GO77" i="4"/>
  <c r="GO76" i="4"/>
  <c r="GN74" i="4"/>
  <c r="GM74" i="4"/>
  <c r="GK74" i="4"/>
  <c r="GI74" i="4"/>
  <c r="GD74" i="4"/>
  <c r="GB74" i="4"/>
  <c r="GO73" i="4"/>
  <c r="GO72" i="4"/>
  <c r="GN71" i="4"/>
  <c r="GN75" i="4" s="1"/>
  <c r="GM71" i="4"/>
  <c r="GM75" i="4" s="1"/>
  <c r="GK71" i="4"/>
  <c r="GK75" i="4" s="1"/>
  <c r="GI71" i="4"/>
  <c r="GI75" i="4" s="1"/>
  <c r="GD71" i="4"/>
  <c r="GD75" i="4" s="1"/>
  <c r="GB71" i="4"/>
  <c r="GB75" i="4" s="1"/>
  <c r="GO70" i="4"/>
  <c r="GO69" i="4"/>
  <c r="GO71" i="4" s="1"/>
  <c r="GN67" i="4"/>
  <c r="GM67" i="4"/>
  <c r="GK67" i="4"/>
  <c r="GI67" i="4"/>
  <c r="GD67" i="4"/>
  <c r="GB67" i="4"/>
  <c r="GO66" i="4"/>
  <c r="GO65" i="4"/>
  <c r="GO67" i="4" s="1"/>
  <c r="GN64" i="4"/>
  <c r="GN68" i="4" s="1"/>
  <c r="GM64" i="4"/>
  <c r="GM68" i="4" s="1"/>
  <c r="GK64" i="4"/>
  <c r="GK68" i="4" s="1"/>
  <c r="GI64" i="4"/>
  <c r="GI68" i="4" s="1"/>
  <c r="GD64" i="4"/>
  <c r="GD68" i="4" s="1"/>
  <c r="GB64" i="4"/>
  <c r="GB68" i="4" s="1"/>
  <c r="GO63" i="4"/>
  <c r="GO62" i="4"/>
  <c r="GO64" i="4" s="1"/>
  <c r="GO68" i="4" s="1"/>
  <c r="GN60" i="4"/>
  <c r="GM60" i="4"/>
  <c r="GK60" i="4"/>
  <c r="GI60" i="4"/>
  <c r="GD60" i="4"/>
  <c r="GB60" i="4"/>
  <c r="GO59" i="4"/>
  <c r="GO58" i="4"/>
  <c r="GO60" i="4" s="1"/>
  <c r="GN57" i="4"/>
  <c r="GN61" i="4" s="1"/>
  <c r="GM57" i="4"/>
  <c r="GM61" i="4" s="1"/>
  <c r="GK57" i="4"/>
  <c r="GK61" i="4" s="1"/>
  <c r="GI57" i="4"/>
  <c r="GI61" i="4" s="1"/>
  <c r="GD57" i="4"/>
  <c r="GD61" i="4" s="1"/>
  <c r="GB57" i="4"/>
  <c r="GB61" i="4" s="1"/>
  <c r="GO56" i="4"/>
  <c r="GO55" i="4"/>
  <c r="GO57" i="4" s="1"/>
  <c r="GO61" i="4" s="1"/>
  <c r="GN53" i="4"/>
  <c r="GM53" i="4"/>
  <c r="GK53" i="4"/>
  <c r="GI53" i="4"/>
  <c r="GD53" i="4"/>
  <c r="GB53" i="4"/>
  <c r="GO52" i="4"/>
  <c r="GO51" i="4"/>
  <c r="GO53" i="4" s="1"/>
  <c r="GN50" i="4"/>
  <c r="GN54" i="4" s="1"/>
  <c r="GM50" i="4"/>
  <c r="GM54" i="4" s="1"/>
  <c r="GK50" i="4"/>
  <c r="GK54" i="4" s="1"/>
  <c r="GI50" i="4"/>
  <c r="GI54" i="4" s="1"/>
  <c r="GD50" i="4"/>
  <c r="GD54" i="4" s="1"/>
  <c r="GB50" i="4"/>
  <c r="GB54" i="4" s="1"/>
  <c r="GO49" i="4"/>
  <c r="GO48" i="4"/>
  <c r="GO50" i="4" s="1"/>
  <c r="GO54" i="4" s="1"/>
  <c r="GN46" i="4"/>
  <c r="GM46" i="4"/>
  <c r="GK46" i="4"/>
  <c r="GI46" i="4"/>
  <c r="GD46" i="4"/>
  <c r="GB46" i="4"/>
  <c r="GO45" i="4"/>
  <c r="GO44" i="4"/>
  <c r="GO46" i="4" s="1"/>
  <c r="GN43" i="4"/>
  <c r="GN47" i="4" s="1"/>
  <c r="GM43" i="4"/>
  <c r="GM47" i="4" s="1"/>
  <c r="GK43" i="4"/>
  <c r="GK47" i="4" s="1"/>
  <c r="GI43" i="4"/>
  <c r="GI47" i="4" s="1"/>
  <c r="GD43" i="4"/>
  <c r="GD47" i="4" s="1"/>
  <c r="GB43" i="4"/>
  <c r="GB47" i="4" s="1"/>
  <c r="GO42" i="4"/>
  <c r="GO41" i="4"/>
  <c r="GO43" i="4" s="1"/>
  <c r="GO47" i="4" s="1"/>
  <c r="GN39" i="4"/>
  <c r="GM39" i="4"/>
  <c r="GK39" i="4"/>
  <c r="GI39" i="4"/>
  <c r="GD39" i="4"/>
  <c r="GB39" i="4"/>
  <c r="GO38" i="4"/>
  <c r="GO37" i="4"/>
  <c r="GO39" i="4" s="1"/>
  <c r="GN36" i="4"/>
  <c r="GN40" i="4" s="1"/>
  <c r="GM36" i="4"/>
  <c r="GM40" i="4" s="1"/>
  <c r="GK36" i="4"/>
  <c r="GK40" i="4" s="1"/>
  <c r="GI36" i="4"/>
  <c r="GI40" i="4" s="1"/>
  <c r="GD36" i="4"/>
  <c r="GD40" i="4" s="1"/>
  <c r="GB36" i="4"/>
  <c r="GB40" i="4" s="1"/>
  <c r="GO35" i="4"/>
  <c r="GO34" i="4"/>
  <c r="GO36" i="4" s="1"/>
  <c r="GO40" i="4" s="1"/>
  <c r="GN32" i="4"/>
  <c r="GM32" i="4"/>
  <c r="GK32" i="4"/>
  <c r="GI32" i="4"/>
  <c r="GD32" i="4"/>
  <c r="GB32" i="4"/>
  <c r="GO31" i="4"/>
  <c r="GO30" i="4"/>
  <c r="GO32" i="4" s="1"/>
  <c r="GN29" i="4"/>
  <c r="GN33" i="4" s="1"/>
  <c r="GM29" i="4"/>
  <c r="GM33" i="4" s="1"/>
  <c r="GK29" i="4"/>
  <c r="GK33" i="4" s="1"/>
  <c r="GI29" i="4"/>
  <c r="GI33" i="4" s="1"/>
  <c r="GD29" i="4"/>
  <c r="GD33" i="4" s="1"/>
  <c r="GB29" i="4"/>
  <c r="GB33" i="4" s="1"/>
  <c r="GO28" i="4"/>
  <c r="GO27" i="4"/>
  <c r="GO29" i="4" s="1"/>
  <c r="GO33" i="4" s="1"/>
  <c r="GN25" i="4"/>
  <c r="GM25" i="4"/>
  <c r="GK25" i="4"/>
  <c r="GI25" i="4"/>
  <c r="GD25" i="4"/>
  <c r="GB25" i="4"/>
  <c r="GO24" i="4"/>
  <c r="GO23" i="4"/>
  <c r="GO25" i="4" s="1"/>
  <c r="GN22" i="4"/>
  <c r="GN26" i="4" s="1"/>
  <c r="GM22" i="4"/>
  <c r="GM26" i="4" s="1"/>
  <c r="GK22" i="4"/>
  <c r="GK26" i="4" s="1"/>
  <c r="GI22" i="4"/>
  <c r="GI26" i="4" s="1"/>
  <c r="GD22" i="4"/>
  <c r="GD26" i="4" s="1"/>
  <c r="GB22" i="4"/>
  <c r="GB26" i="4" s="1"/>
  <c r="GO21" i="4"/>
  <c r="GO20" i="4"/>
  <c r="GO22" i="4" s="1"/>
  <c r="GO26" i="4" s="1"/>
  <c r="GN18" i="4"/>
  <c r="GM18" i="4"/>
  <c r="GK18" i="4"/>
  <c r="GI18" i="4"/>
  <c r="GD18" i="4"/>
  <c r="GB18" i="4"/>
  <c r="GO17" i="4"/>
  <c r="GO16" i="4"/>
  <c r="GO18" i="4" s="1"/>
  <c r="GN15" i="4"/>
  <c r="GN19" i="4" s="1"/>
  <c r="GM15" i="4"/>
  <c r="GM19" i="4" s="1"/>
  <c r="GK15" i="4"/>
  <c r="GK19" i="4" s="1"/>
  <c r="GI15" i="4"/>
  <c r="GI19" i="4" s="1"/>
  <c r="GD15" i="4"/>
  <c r="GD19" i="4" s="1"/>
  <c r="GB15" i="4"/>
  <c r="GB19" i="4" s="1"/>
  <c r="GO14" i="4"/>
  <c r="GO13" i="4"/>
  <c r="GO15" i="4" s="1"/>
  <c r="GO19" i="4" s="1"/>
  <c r="GN11" i="4"/>
  <c r="GM11" i="4"/>
  <c r="GK11" i="4"/>
  <c r="GI11" i="4"/>
  <c r="GD11" i="4"/>
  <c r="GB11" i="4"/>
  <c r="GO10" i="4"/>
  <c r="GO9" i="4"/>
  <c r="GO11" i="4" s="1"/>
  <c r="GN8" i="4"/>
  <c r="GN12" i="4" s="1"/>
  <c r="GM8" i="4"/>
  <c r="GM12" i="4" s="1"/>
  <c r="GK8" i="4"/>
  <c r="GK12" i="4" s="1"/>
  <c r="GI8" i="4"/>
  <c r="GI12" i="4" s="1"/>
  <c r="GD8" i="4"/>
  <c r="GD12" i="4" s="1"/>
  <c r="GB8" i="4"/>
  <c r="GB12" i="4" s="1"/>
  <c r="GO7" i="4"/>
  <c r="GO6" i="4"/>
  <c r="GO8" i="4" s="1"/>
  <c r="GO12" i="4" s="1"/>
  <c r="FV100" i="4"/>
  <c r="FU100" i="4"/>
  <c r="FT100" i="4"/>
  <c r="FS100" i="4"/>
  <c r="FR100" i="4"/>
  <c r="FQ100" i="4"/>
  <c r="FP100" i="4"/>
  <c r="FO100" i="4"/>
  <c r="FN100" i="4"/>
  <c r="FM100" i="4"/>
  <c r="FL100" i="4"/>
  <c r="FK100" i="4"/>
  <c r="FJ100" i="4"/>
  <c r="FV99" i="4"/>
  <c r="FU99" i="4"/>
  <c r="FT99" i="4"/>
  <c r="FS99" i="4"/>
  <c r="FR99" i="4"/>
  <c r="FQ99" i="4"/>
  <c r="FP99" i="4"/>
  <c r="FO99" i="4"/>
  <c r="FN99" i="4"/>
  <c r="FM99" i="4"/>
  <c r="FL99" i="4"/>
  <c r="FK99" i="4"/>
  <c r="FJ99" i="4"/>
  <c r="FV97" i="4"/>
  <c r="FU97" i="4"/>
  <c r="FT97" i="4"/>
  <c r="FS97" i="4"/>
  <c r="FR97" i="4"/>
  <c r="FQ97" i="4"/>
  <c r="FP97" i="4"/>
  <c r="FO97" i="4"/>
  <c r="FN97" i="4"/>
  <c r="FM97" i="4"/>
  <c r="FL97" i="4"/>
  <c r="FK97" i="4"/>
  <c r="FJ97" i="4"/>
  <c r="FV96" i="4"/>
  <c r="FV98" i="4" s="1"/>
  <c r="FU96" i="4"/>
  <c r="FT96" i="4"/>
  <c r="FS96" i="4"/>
  <c r="FR96" i="4"/>
  <c r="FQ96" i="4"/>
  <c r="FP96" i="4"/>
  <c r="FO96" i="4"/>
  <c r="FN96" i="4"/>
  <c r="FM96" i="4"/>
  <c r="FL96" i="4"/>
  <c r="FK96" i="4"/>
  <c r="FJ96" i="4"/>
  <c r="FJ98" i="4" s="1"/>
  <c r="FS91" i="4"/>
  <c r="FQ91" i="4"/>
  <c r="FV88" i="4"/>
  <c r="FU88" i="4"/>
  <c r="FS88" i="4"/>
  <c r="FQ88" i="4"/>
  <c r="FL88" i="4"/>
  <c r="FJ88" i="4"/>
  <c r="FW87" i="4"/>
  <c r="FW86" i="4"/>
  <c r="FW88" i="4" s="1"/>
  <c r="FV85" i="4"/>
  <c r="FV89" i="4" s="1"/>
  <c r="FU85" i="4"/>
  <c r="FU89" i="4" s="1"/>
  <c r="FS85" i="4"/>
  <c r="FS89" i="4" s="1"/>
  <c r="FQ85" i="4"/>
  <c r="FQ89" i="4" s="1"/>
  <c r="FL85" i="4"/>
  <c r="FL89" i="4" s="1"/>
  <c r="FJ85" i="4"/>
  <c r="FJ89" i="4" s="1"/>
  <c r="FW84" i="4"/>
  <c r="FW83" i="4"/>
  <c r="FW85" i="4" s="1"/>
  <c r="FW89" i="4" s="1"/>
  <c r="FV81" i="4"/>
  <c r="FU81" i="4"/>
  <c r="FS81" i="4"/>
  <c r="FQ81" i="4"/>
  <c r="FL81" i="4"/>
  <c r="FJ81" i="4"/>
  <c r="FW80" i="4"/>
  <c r="FW79" i="4"/>
  <c r="FW81" i="4" s="1"/>
  <c r="FV78" i="4"/>
  <c r="FV82" i="4" s="1"/>
  <c r="FU78" i="4"/>
  <c r="FU82" i="4" s="1"/>
  <c r="FS78" i="4"/>
  <c r="FS82" i="4" s="1"/>
  <c r="FQ78" i="4"/>
  <c r="FQ82" i="4" s="1"/>
  <c r="FL78" i="4"/>
  <c r="FL82" i="4" s="1"/>
  <c r="FJ78" i="4"/>
  <c r="FJ82" i="4" s="1"/>
  <c r="FW77" i="4"/>
  <c r="FW76" i="4"/>
  <c r="FW78" i="4" s="1"/>
  <c r="FW82" i="4" s="1"/>
  <c r="FV74" i="4"/>
  <c r="FU74" i="4"/>
  <c r="FS74" i="4"/>
  <c r="FQ74" i="4"/>
  <c r="FL74" i="4"/>
  <c r="FJ74" i="4"/>
  <c r="FW73" i="4"/>
  <c r="FW72" i="4"/>
  <c r="FW74" i="4" s="1"/>
  <c r="FV71" i="4"/>
  <c r="FV75" i="4" s="1"/>
  <c r="FU71" i="4"/>
  <c r="FU75" i="4" s="1"/>
  <c r="FS71" i="4"/>
  <c r="FS75" i="4" s="1"/>
  <c r="FQ71" i="4"/>
  <c r="FQ75" i="4" s="1"/>
  <c r="FL71" i="4"/>
  <c r="FL75" i="4" s="1"/>
  <c r="FJ71" i="4"/>
  <c r="FJ75" i="4" s="1"/>
  <c r="FW70" i="4"/>
  <c r="FW69" i="4"/>
  <c r="FW71" i="4" s="1"/>
  <c r="FW75" i="4" s="1"/>
  <c r="FV67" i="4"/>
  <c r="FU67" i="4"/>
  <c r="FS67" i="4"/>
  <c r="FQ67" i="4"/>
  <c r="FL67" i="4"/>
  <c r="FJ67" i="4"/>
  <c r="FW66" i="4"/>
  <c r="FW65" i="4"/>
  <c r="FW67" i="4" s="1"/>
  <c r="FV64" i="4"/>
  <c r="FV68" i="4" s="1"/>
  <c r="FU64" i="4"/>
  <c r="FU68" i="4" s="1"/>
  <c r="FS64" i="4"/>
  <c r="FS68" i="4" s="1"/>
  <c r="FQ64" i="4"/>
  <c r="FQ68" i="4" s="1"/>
  <c r="FL64" i="4"/>
  <c r="FL68" i="4" s="1"/>
  <c r="FJ64" i="4"/>
  <c r="FJ68" i="4" s="1"/>
  <c r="FW63" i="4"/>
  <c r="FW62" i="4"/>
  <c r="FW64" i="4" s="1"/>
  <c r="FW68" i="4" s="1"/>
  <c r="FV18" i="4"/>
  <c r="FU18" i="4"/>
  <c r="FS18" i="4"/>
  <c r="FQ18" i="4"/>
  <c r="FL18" i="4"/>
  <c r="FJ18" i="4"/>
  <c r="FW17" i="4"/>
  <c r="FW16" i="4"/>
  <c r="FW18" i="4" s="1"/>
  <c r="FV15" i="4"/>
  <c r="FV19" i="4" s="1"/>
  <c r="FU15" i="4"/>
  <c r="FU19" i="4" s="1"/>
  <c r="FS15" i="4"/>
  <c r="FS19" i="4" s="1"/>
  <c r="FQ15" i="4"/>
  <c r="FQ19" i="4" s="1"/>
  <c r="FL15" i="4"/>
  <c r="FL19" i="4" s="1"/>
  <c r="FJ15" i="4"/>
  <c r="FJ19" i="4" s="1"/>
  <c r="FW14" i="4"/>
  <c r="FW13" i="4"/>
  <c r="FW15" i="4" s="1"/>
  <c r="FW19" i="4" s="1"/>
  <c r="FD100" i="4"/>
  <c r="FC100" i="4"/>
  <c r="FB100" i="4"/>
  <c r="FA100" i="4"/>
  <c r="EZ100" i="4"/>
  <c r="EY100" i="4"/>
  <c r="EX100" i="4"/>
  <c r="EW100" i="4"/>
  <c r="EV100" i="4"/>
  <c r="EU100" i="4"/>
  <c r="ET100" i="4"/>
  <c r="ES100" i="4"/>
  <c r="ER100" i="4"/>
  <c r="FD99" i="4"/>
  <c r="FD101" i="4" s="1"/>
  <c r="FC99" i="4"/>
  <c r="FB99" i="4"/>
  <c r="FA99" i="4"/>
  <c r="EZ99" i="4"/>
  <c r="EY99" i="4"/>
  <c r="EX99" i="4"/>
  <c r="EW99" i="4"/>
  <c r="EV99" i="4"/>
  <c r="EU99" i="4"/>
  <c r="ET99" i="4"/>
  <c r="ES99" i="4"/>
  <c r="ER99" i="4"/>
  <c r="FD97" i="4"/>
  <c r="FC97" i="4"/>
  <c r="FB97" i="4"/>
  <c r="FA97" i="4"/>
  <c r="EZ97" i="4"/>
  <c r="EY97" i="4"/>
  <c r="EX97" i="4"/>
  <c r="EW97" i="4"/>
  <c r="EV97" i="4"/>
  <c r="EU97" i="4"/>
  <c r="ET97" i="4"/>
  <c r="ES97" i="4"/>
  <c r="ER97" i="4"/>
  <c r="FD96" i="4"/>
  <c r="FC96" i="4"/>
  <c r="FB96" i="4"/>
  <c r="FA96" i="4"/>
  <c r="EZ96" i="4"/>
  <c r="EY96" i="4"/>
  <c r="EX96" i="4"/>
  <c r="EW96" i="4"/>
  <c r="EV96" i="4"/>
  <c r="EU96" i="4"/>
  <c r="ET96" i="4"/>
  <c r="ES96" i="4"/>
  <c r="ER96" i="4"/>
  <c r="FA91" i="4"/>
  <c r="EY91" i="4"/>
  <c r="FD88" i="4"/>
  <c r="FC88" i="4"/>
  <c r="FA88" i="4"/>
  <c r="EY88" i="4"/>
  <c r="ET88" i="4"/>
  <c r="ER88" i="4"/>
  <c r="FE87" i="4"/>
  <c r="FE86" i="4"/>
  <c r="FE88" i="4" s="1"/>
  <c r="FD85" i="4"/>
  <c r="FD89" i="4" s="1"/>
  <c r="FC85" i="4"/>
  <c r="FC89" i="4" s="1"/>
  <c r="FA85" i="4"/>
  <c r="FA89" i="4" s="1"/>
  <c r="EY85" i="4"/>
  <c r="EY89" i="4" s="1"/>
  <c r="ET85" i="4"/>
  <c r="ET89" i="4" s="1"/>
  <c r="ER85" i="4"/>
  <c r="ER89" i="4" s="1"/>
  <c r="FE84" i="4"/>
  <c r="FE83" i="4"/>
  <c r="FE85" i="4" s="1"/>
  <c r="FE89" i="4" s="1"/>
  <c r="FD81" i="4"/>
  <c r="FC81" i="4"/>
  <c r="FA81" i="4"/>
  <c r="EY81" i="4"/>
  <c r="ET81" i="4"/>
  <c r="ER81" i="4"/>
  <c r="FE80" i="4"/>
  <c r="FE79" i="4"/>
  <c r="FE81" i="4" s="1"/>
  <c r="FD78" i="4"/>
  <c r="FD82" i="4" s="1"/>
  <c r="FC78" i="4"/>
  <c r="FC82" i="4" s="1"/>
  <c r="FA78" i="4"/>
  <c r="FA82" i="4" s="1"/>
  <c r="EY78" i="4"/>
  <c r="EY82" i="4" s="1"/>
  <c r="ET78" i="4"/>
  <c r="ET82" i="4" s="1"/>
  <c r="ER78" i="4"/>
  <c r="ER82" i="4" s="1"/>
  <c r="FE77" i="4"/>
  <c r="FE76" i="4"/>
  <c r="FE78" i="4" s="1"/>
  <c r="FE82" i="4" s="1"/>
  <c r="FD74" i="4"/>
  <c r="FC74" i="4"/>
  <c r="FA74" i="4"/>
  <c r="EY74" i="4"/>
  <c r="ET74" i="4"/>
  <c r="ER74" i="4"/>
  <c r="FE73" i="4"/>
  <c r="FE72" i="4"/>
  <c r="FE74" i="4" s="1"/>
  <c r="FD71" i="4"/>
  <c r="FD75" i="4" s="1"/>
  <c r="FC71" i="4"/>
  <c r="FC75" i="4" s="1"/>
  <c r="FA71" i="4"/>
  <c r="FA75" i="4" s="1"/>
  <c r="EY71" i="4"/>
  <c r="EY75" i="4" s="1"/>
  <c r="ET71" i="4"/>
  <c r="ET75" i="4" s="1"/>
  <c r="ER71" i="4"/>
  <c r="ER75" i="4" s="1"/>
  <c r="FE70" i="4"/>
  <c r="FE69" i="4"/>
  <c r="FE71" i="4" s="1"/>
  <c r="FE75" i="4" s="1"/>
  <c r="FD67" i="4"/>
  <c r="FC67" i="4"/>
  <c r="FA67" i="4"/>
  <c r="EY67" i="4"/>
  <c r="ET67" i="4"/>
  <c r="ER67" i="4"/>
  <c r="FE66" i="4"/>
  <c r="FE65" i="4"/>
  <c r="FE67" i="4" s="1"/>
  <c r="FD64" i="4"/>
  <c r="FD68" i="4" s="1"/>
  <c r="FC64" i="4"/>
  <c r="FC68" i="4" s="1"/>
  <c r="FA64" i="4"/>
  <c r="FA68" i="4" s="1"/>
  <c r="EY64" i="4"/>
  <c r="EY68" i="4" s="1"/>
  <c r="ET64" i="4"/>
  <c r="ET68" i="4" s="1"/>
  <c r="ER64" i="4"/>
  <c r="ER68" i="4" s="1"/>
  <c r="FE63" i="4"/>
  <c r="FE62" i="4"/>
  <c r="FE64" i="4" s="1"/>
  <c r="FE68" i="4" s="1"/>
  <c r="FD39" i="4"/>
  <c r="FC39" i="4"/>
  <c r="FA39" i="4"/>
  <c r="EY39" i="4"/>
  <c r="ET39" i="4"/>
  <c r="ER39" i="4"/>
  <c r="FE38" i="4"/>
  <c r="FE37" i="4"/>
  <c r="FE39" i="4" s="1"/>
  <c r="FD36" i="4"/>
  <c r="FD40" i="4" s="1"/>
  <c r="FC36" i="4"/>
  <c r="FC40" i="4" s="1"/>
  <c r="FA36" i="4"/>
  <c r="FA40" i="4" s="1"/>
  <c r="EY36" i="4"/>
  <c r="EY40" i="4" s="1"/>
  <c r="ET36" i="4"/>
  <c r="ET40" i="4" s="1"/>
  <c r="ER36" i="4"/>
  <c r="ER40" i="4" s="1"/>
  <c r="FE35" i="4"/>
  <c r="FE34" i="4"/>
  <c r="FE36" i="4" s="1"/>
  <c r="FE40" i="4" s="1"/>
  <c r="FD33" i="4"/>
  <c r="FC33" i="4"/>
  <c r="FA33" i="4"/>
  <c r="EY33" i="4"/>
  <c r="ET33" i="4"/>
  <c r="ER33" i="4"/>
  <c r="FE33" i="4"/>
  <c r="EL100" i="4"/>
  <c r="EK100" i="4"/>
  <c r="EJ100" i="4"/>
  <c r="EI100" i="4"/>
  <c r="EH100" i="4"/>
  <c r="EG100" i="4"/>
  <c r="EF100" i="4"/>
  <c r="EE100" i="4"/>
  <c r="ED100" i="4"/>
  <c r="EC100" i="4"/>
  <c r="EB100" i="4"/>
  <c r="EA100" i="4"/>
  <c r="DZ100" i="4"/>
  <c r="EL99" i="4"/>
  <c r="EK99" i="4"/>
  <c r="EJ99" i="4"/>
  <c r="EI101" i="4" s="1"/>
  <c r="EI99" i="4"/>
  <c r="EH99" i="4"/>
  <c r="EG99" i="4"/>
  <c r="EF99" i="4"/>
  <c r="EE99" i="4"/>
  <c r="ED99" i="4"/>
  <c r="EC99" i="4"/>
  <c r="EB99" i="4"/>
  <c r="EA99" i="4"/>
  <c r="DZ99" i="4"/>
  <c r="EL97" i="4"/>
  <c r="EK97" i="4"/>
  <c r="EJ97" i="4"/>
  <c r="EI97" i="4"/>
  <c r="EH97" i="4"/>
  <c r="EG97" i="4"/>
  <c r="EF97" i="4"/>
  <c r="EE97" i="4"/>
  <c r="ED97" i="4"/>
  <c r="EC97" i="4"/>
  <c r="EB97" i="4"/>
  <c r="EA97" i="4"/>
  <c r="DZ97" i="4"/>
  <c r="EL96" i="4"/>
  <c r="EK96" i="4"/>
  <c r="EJ96" i="4"/>
  <c r="EI96" i="4"/>
  <c r="EH96" i="4"/>
  <c r="EG96" i="4"/>
  <c r="EF96" i="4"/>
  <c r="EE96" i="4"/>
  <c r="ED96" i="4"/>
  <c r="EC96" i="4"/>
  <c r="EB96" i="4"/>
  <c r="EA96" i="4"/>
  <c r="DZ96" i="4"/>
  <c r="EI91" i="4"/>
  <c r="EG91" i="4"/>
  <c r="EL88" i="4"/>
  <c r="EK88" i="4"/>
  <c r="EI88" i="4"/>
  <c r="EG88" i="4"/>
  <c r="EB88" i="4"/>
  <c r="DZ88" i="4"/>
  <c r="EM87" i="4"/>
  <c r="EM86" i="4"/>
  <c r="EM88" i="4" s="1"/>
  <c r="EL85" i="4"/>
  <c r="EL89" i="4" s="1"/>
  <c r="EK85" i="4"/>
  <c r="EK89" i="4" s="1"/>
  <c r="EI85" i="4"/>
  <c r="EI89" i="4" s="1"/>
  <c r="EG85" i="4"/>
  <c r="EG89" i="4" s="1"/>
  <c r="EB85" i="4"/>
  <c r="EB89" i="4" s="1"/>
  <c r="DZ85" i="4"/>
  <c r="DZ89" i="4" s="1"/>
  <c r="EM84" i="4"/>
  <c r="EM83" i="4"/>
  <c r="EM85" i="4" s="1"/>
  <c r="EM89" i="4" s="1"/>
  <c r="EL81" i="4"/>
  <c r="EK81" i="4"/>
  <c r="EK82" i="4" s="1"/>
  <c r="EI81" i="4"/>
  <c r="EG81" i="4"/>
  <c r="EG82" i="4" s="1"/>
  <c r="EB81" i="4"/>
  <c r="DZ81" i="4"/>
  <c r="DZ82" i="4" s="1"/>
  <c r="EM81" i="4"/>
  <c r="EL82" i="4"/>
  <c r="EI82" i="4"/>
  <c r="EB82" i="4"/>
  <c r="EM82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T99" i="4"/>
  <c r="DT101" i="4" s="1"/>
  <c r="DS99" i="4"/>
  <c r="DR99" i="4"/>
  <c r="DQ99" i="4"/>
  <c r="DP99" i="4"/>
  <c r="DO99" i="4"/>
  <c r="DN99" i="4"/>
  <c r="DM99" i="4"/>
  <c r="DL99" i="4"/>
  <c r="DK99" i="4"/>
  <c r="DJ99" i="4"/>
  <c r="DI99" i="4"/>
  <c r="DH99" i="4"/>
  <c r="DH101" i="4" s="1"/>
  <c r="DT97" i="4"/>
  <c r="DS97" i="4"/>
  <c r="DR97" i="4"/>
  <c r="DQ97" i="4"/>
  <c r="DP97" i="4"/>
  <c r="DO97" i="4"/>
  <c r="DN97" i="4"/>
  <c r="DM97" i="4"/>
  <c r="DL97" i="4"/>
  <c r="DK97" i="4"/>
  <c r="DJ97" i="4"/>
  <c r="DI97" i="4"/>
  <c r="DH97" i="4"/>
  <c r="DT96" i="4"/>
  <c r="DS96" i="4"/>
  <c r="DR96" i="4"/>
  <c r="DQ96" i="4"/>
  <c r="DP96" i="4"/>
  <c r="DO96" i="4"/>
  <c r="DN96" i="4"/>
  <c r="DM96" i="4"/>
  <c r="DL96" i="4"/>
  <c r="DK96" i="4"/>
  <c r="DJ96" i="4"/>
  <c r="DI96" i="4"/>
  <c r="DH96" i="4"/>
  <c r="DQ91" i="4"/>
  <c r="DO91" i="4"/>
  <c r="DT88" i="4"/>
  <c r="DS88" i="4"/>
  <c r="DQ88" i="4"/>
  <c r="DO88" i="4"/>
  <c r="DJ88" i="4"/>
  <c r="DH88" i="4"/>
  <c r="DU87" i="4"/>
  <c r="DU86" i="4"/>
  <c r="DU88" i="4" s="1"/>
  <c r="DT85" i="4"/>
  <c r="DT89" i="4" s="1"/>
  <c r="DS85" i="4"/>
  <c r="DS89" i="4" s="1"/>
  <c r="DQ85" i="4"/>
  <c r="DQ89" i="4" s="1"/>
  <c r="DO85" i="4"/>
  <c r="DO89" i="4" s="1"/>
  <c r="DJ85" i="4"/>
  <c r="DJ89" i="4" s="1"/>
  <c r="DH85" i="4"/>
  <c r="DH89" i="4" s="1"/>
  <c r="DU84" i="4"/>
  <c r="DU83" i="4"/>
  <c r="DU85" i="4" s="1"/>
  <c r="DU89" i="4" s="1"/>
  <c r="DT81" i="4"/>
  <c r="DS81" i="4"/>
  <c r="DQ81" i="4"/>
  <c r="DO81" i="4"/>
  <c r="DJ81" i="4"/>
  <c r="DH81" i="4"/>
  <c r="DU80" i="4"/>
  <c r="DU79" i="4"/>
  <c r="DU81" i="4" s="1"/>
  <c r="DT78" i="4"/>
  <c r="DT82" i="4" s="1"/>
  <c r="DS78" i="4"/>
  <c r="DS82" i="4" s="1"/>
  <c r="DQ78" i="4"/>
  <c r="DQ82" i="4" s="1"/>
  <c r="DO78" i="4"/>
  <c r="DO82" i="4" s="1"/>
  <c r="DJ78" i="4"/>
  <c r="DJ82" i="4" s="1"/>
  <c r="DH78" i="4"/>
  <c r="DH82" i="4" s="1"/>
  <c r="DU77" i="4"/>
  <c r="DU76" i="4"/>
  <c r="DU78" i="4" s="1"/>
  <c r="DU82" i="4" s="1"/>
  <c r="DT74" i="4"/>
  <c r="DS74" i="4"/>
  <c r="DQ74" i="4"/>
  <c r="DO74" i="4"/>
  <c r="DJ74" i="4"/>
  <c r="DH74" i="4"/>
  <c r="DU73" i="4"/>
  <c r="DU72" i="4"/>
  <c r="DU74" i="4" s="1"/>
  <c r="DT71" i="4"/>
  <c r="DT75" i="4" s="1"/>
  <c r="DS71" i="4"/>
  <c r="DS75" i="4" s="1"/>
  <c r="DQ71" i="4"/>
  <c r="DQ75" i="4" s="1"/>
  <c r="DO71" i="4"/>
  <c r="DO75" i="4" s="1"/>
  <c r="DJ71" i="4"/>
  <c r="DJ75" i="4" s="1"/>
  <c r="DH71" i="4"/>
  <c r="DH75" i="4" s="1"/>
  <c r="DU70" i="4"/>
  <c r="DU69" i="4"/>
  <c r="DU71" i="4" s="1"/>
  <c r="DU75" i="4" s="1"/>
  <c r="DT67" i="4"/>
  <c r="DS67" i="4"/>
  <c r="DQ67" i="4"/>
  <c r="DO67" i="4"/>
  <c r="DO68" i="4" s="1"/>
  <c r="DJ67" i="4"/>
  <c r="DH67" i="4"/>
  <c r="DH68" i="4" s="1"/>
  <c r="DU66" i="4"/>
  <c r="DU67" i="4"/>
  <c r="DT68" i="4"/>
  <c r="DS68" i="4"/>
  <c r="DQ68" i="4"/>
  <c r="DJ68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DB97" i="4"/>
  <c r="DA97" i="4"/>
  <c r="CZ97" i="4"/>
  <c r="CY97" i="4"/>
  <c r="CX97" i="4"/>
  <c r="CW97" i="4"/>
  <c r="CV97" i="4"/>
  <c r="CU97" i="4"/>
  <c r="CT97" i="4"/>
  <c r="CS97" i="4"/>
  <c r="CR97" i="4"/>
  <c r="CQ97" i="4"/>
  <c r="CP97" i="4"/>
  <c r="DB96" i="4"/>
  <c r="DA96" i="4"/>
  <c r="CZ96" i="4"/>
  <c r="CY96" i="4"/>
  <c r="CX96" i="4"/>
  <c r="CW96" i="4"/>
  <c r="CV96" i="4"/>
  <c r="CU96" i="4"/>
  <c r="CT96" i="4"/>
  <c r="CS96" i="4"/>
  <c r="CR96" i="4"/>
  <c r="CQ96" i="4"/>
  <c r="CP96" i="4"/>
  <c r="CY91" i="4"/>
  <c r="CW91" i="4"/>
  <c r="DB88" i="4"/>
  <c r="DA88" i="4"/>
  <c r="CY88" i="4"/>
  <c r="CW88" i="4"/>
  <c r="CR88" i="4"/>
  <c r="CP88" i="4"/>
  <c r="DC87" i="4"/>
  <c r="DC86" i="4"/>
  <c r="DB85" i="4"/>
  <c r="DB89" i="4" s="1"/>
  <c r="DA85" i="4"/>
  <c r="DA89" i="4" s="1"/>
  <c r="CY85" i="4"/>
  <c r="CY89" i="4" s="1"/>
  <c r="CW85" i="4"/>
  <c r="CW89" i="4" s="1"/>
  <c r="CR85" i="4"/>
  <c r="CR89" i="4" s="1"/>
  <c r="CP85" i="4"/>
  <c r="CP89" i="4" s="1"/>
  <c r="DC84" i="4"/>
  <c r="DC83" i="4"/>
  <c r="DB81" i="4"/>
  <c r="DA81" i="4"/>
  <c r="CY81" i="4"/>
  <c r="CW81" i="4"/>
  <c r="CR81" i="4"/>
  <c r="CP81" i="4"/>
  <c r="DC80" i="4"/>
  <c r="DC79" i="4"/>
  <c r="DB78" i="4"/>
  <c r="DB82" i="4" s="1"/>
  <c r="DA78" i="4"/>
  <c r="DA82" i="4" s="1"/>
  <c r="CY78" i="4"/>
  <c r="CY82" i="4" s="1"/>
  <c r="CW78" i="4"/>
  <c r="CW82" i="4" s="1"/>
  <c r="CR78" i="4"/>
  <c r="CR82" i="4" s="1"/>
  <c r="CP78" i="4"/>
  <c r="CP82" i="4" s="1"/>
  <c r="DC77" i="4"/>
  <c r="DC76" i="4"/>
  <c r="DB74" i="4"/>
  <c r="DA74" i="4"/>
  <c r="CY74" i="4"/>
  <c r="CW74" i="4"/>
  <c r="CR74" i="4"/>
  <c r="CP74" i="4"/>
  <c r="DC73" i="4"/>
  <c r="DC72" i="4"/>
  <c r="DB71" i="4"/>
  <c r="DB75" i="4" s="1"/>
  <c r="DA71" i="4"/>
  <c r="DA75" i="4" s="1"/>
  <c r="CY71" i="4"/>
  <c r="CY75" i="4" s="1"/>
  <c r="CW71" i="4"/>
  <c r="CW75" i="4" s="1"/>
  <c r="CR71" i="4"/>
  <c r="CR75" i="4" s="1"/>
  <c r="CP71" i="4"/>
  <c r="CP75" i="4" s="1"/>
  <c r="DC70" i="4"/>
  <c r="DC69" i="4"/>
  <c r="DB67" i="4"/>
  <c r="DA67" i="4"/>
  <c r="CY67" i="4"/>
  <c r="CW67" i="4"/>
  <c r="CR67" i="4"/>
  <c r="CP67" i="4"/>
  <c r="DC66" i="4"/>
  <c r="DC65" i="4"/>
  <c r="DB64" i="4"/>
  <c r="DB68" i="4" s="1"/>
  <c r="DA64" i="4"/>
  <c r="DA68" i="4" s="1"/>
  <c r="CY64" i="4"/>
  <c r="CY68" i="4" s="1"/>
  <c r="CW64" i="4"/>
  <c r="CW68" i="4" s="1"/>
  <c r="CR64" i="4"/>
  <c r="CR68" i="4" s="1"/>
  <c r="CP64" i="4"/>
  <c r="CP68" i="4" s="1"/>
  <c r="DC63" i="4"/>
  <c r="DC62" i="4"/>
  <c r="DC59" i="4"/>
  <c r="DC58" i="4"/>
  <c r="DB61" i="4"/>
  <c r="DA61" i="4"/>
  <c r="CY61" i="4"/>
  <c r="CW61" i="4"/>
  <c r="CR61" i="4"/>
  <c r="CP61" i="4"/>
  <c r="DC56" i="4"/>
  <c r="DC55" i="4"/>
  <c r="DC52" i="4"/>
  <c r="DC51" i="4"/>
  <c r="DC49" i="4"/>
  <c r="DC48" i="4"/>
  <c r="DC45" i="4"/>
  <c r="DC44" i="4"/>
  <c r="DC42" i="4"/>
  <c r="DC41" i="4"/>
  <c r="DC38" i="4"/>
  <c r="DC37" i="4"/>
  <c r="DC35" i="4"/>
  <c r="DC34" i="4"/>
  <c r="DC33" i="4"/>
  <c r="DC24" i="4"/>
  <c r="DC23" i="4"/>
  <c r="DC25" i="4" s="1"/>
  <c r="DC21" i="4"/>
  <c r="DC20" i="4"/>
  <c r="DC22" i="4" s="1"/>
  <c r="DC17" i="4"/>
  <c r="DC16" i="4"/>
  <c r="DC18" i="4" s="1"/>
  <c r="DC14" i="4"/>
  <c r="DC13" i="4"/>
  <c r="DC15" i="4" s="1"/>
  <c r="DC10" i="4"/>
  <c r="DC9" i="4"/>
  <c r="DC11" i="4" s="1"/>
  <c r="DC7" i="4"/>
  <c r="DC6" i="4"/>
  <c r="DC8" i="4" s="1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CJ99" i="4"/>
  <c r="CJ101" i="4" s="1"/>
  <c r="CI99" i="4"/>
  <c r="CH99" i="4"/>
  <c r="CG99" i="4"/>
  <c r="CF99" i="4"/>
  <c r="CE99" i="4"/>
  <c r="CD99" i="4"/>
  <c r="CC99" i="4"/>
  <c r="CB99" i="4"/>
  <c r="CA99" i="4"/>
  <c r="BZ99" i="4"/>
  <c r="BY99" i="4"/>
  <c r="BX99" i="4"/>
  <c r="BX101" i="4" s="1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CG91" i="4"/>
  <c r="CE91" i="4"/>
  <c r="CJ88" i="4"/>
  <c r="CI88" i="4"/>
  <c r="CG88" i="4"/>
  <c r="CE88" i="4"/>
  <c r="BZ88" i="4"/>
  <c r="BX88" i="4"/>
  <c r="CK87" i="4"/>
  <c r="CK86" i="4"/>
  <c r="CK88" i="4" s="1"/>
  <c r="CJ85" i="4"/>
  <c r="CJ89" i="4" s="1"/>
  <c r="CI85" i="4"/>
  <c r="CI89" i="4" s="1"/>
  <c r="CG85" i="4"/>
  <c r="CG89" i="4" s="1"/>
  <c r="CE85" i="4"/>
  <c r="CE89" i="4" s="1"/>
  <c r="BZ85" i="4"/>
  <c r="BZ89" i="4" s="1"/>
  <c r="BX85" i="4"/>
  <c r="BX89" i="4" s="1"/>
  <c r="CK84" i="4"/>
  <c r="CK83" i="4"/>
  <c r="CK85" i="4" s="1"/>
  <c r="CK89" i="4" s="1"/>
  <c r="CJ81" i="4"/>
  <c r="CI81" i="4"/>
  <c r="CG81" i="4"/>
  <c r="CE81" i="4"/>
  <c r="BZ81" i="4"/>
  <c r="BX81" i="4"/>
  <c r="CK80" i="4"/>
  <c r="CK79" i="4"/>
  <c r="CK81" i="4" s="1"/>
  <c r="CJ78" i="4"/>
  <c r="CJ82" i="4" s="1"/>
  <c r="CI78" i="4"/>
  <c r="CI82" i="4" s="1"/>
  <c r="CG78" i="4"/>
  <c r="CG82" i="4" s="1"/>
  <c r="CE78" i="4"/>
  <c r="CE82" i="4" s="1"/>
  <c r="BZ78" i="4"/>
  <c r="BZ82" i="4" s="1"/>
  <c r="BX78" i="4"/>
  <c r="BX82" i="4" s="1"/>
  <c r="CK77" i="4"/>
  <c r="CK76" i="4"/>
  <c r="CK78" i="4" s="1"/>
  <c r="CK82" i="4" s="1"/>
  <c r="CJ74" i="4"/>
  <c r="CI74" i="4"/>
  <c r="CG74" i="4"/>
  <c r="CE74" i="4"/>
  <c r="BZ74" i="4"/>
  <c r="BX74" i="4"/>
  <c r="CK73" i="4"/>
  <c r="CK72" i="4"/>
  <c r="CK74" i="4" s="1"/>
  <c r="CJ71" i="4"/>
  <c r="CJ75" i="4" s="1"/>
  <c r="CI71" i="4"/>
  <c r="CI75" i="4" s="1"/>
  <c r="CG71" i="4"/>
  <c r="CG75" i="4" s="1"/>
  <c r="CE71" i="4"/>
  <c r="CE75" i="4" s="1"/>
  <c r="BZ71" i="4"/>
  <c r="BZ75" i="4" s="1"/>
  <c r="BX71" i="4"/>
  <c r="BX75" i="4" s="1"/>
  <c r="CK70" i="4"/>
  <c r="CK69" i="4"/>
  <c r="CK71" i="4" s="1"/>
  <c r="CK75" i="4" s="1"/>
  <c r="CJ67" i="4"/>
  <c r="CI67" i="4"/>
  <c r="CG67" i="4"/>
  <c r="CE67" i="4"/>
  <c r="BZ67" i="4"/>
  <c r="BX67" i="4"/>
  <c r="CK66" i="4"/>
  <c r="CK65" i="4"/>
  <c r="CK67" i="4" s="1"/>
  <c r="CJ64" i="4"/>
  <c r="CJ68" i="4" s="1"/>
  <c r="CI64" i="4"/>
  <c r="CI68" i="4" s="1"/>
  <c r="CG64" i="4"/>
  <c r="CG68" i="4" s="1"/>
  <c r="CE64" i="4"/>
  <c r="CE68" i="4" s="1"/>
  <c r="BZ64" i="4"/>
  <c r="BZ68" i="4" s="1"/>
  <c r="BX64" i="4"/>
  <c r="BX68" i="4" s="1"/>
  <c r="CK63" i="4"/>
  <c r="CK62" i="4"/>
  <c r="CK64" i="4" s="1"/>
  <c r="CK68" i="4" s="1"/>
  <c r="CJ60" i="4"/>
  <c r="CI60" i="4"/>
  <c r="CG60" i="4"/>
  <c r="CE60" i="4"/>
  <c r="CE61" i="4" s="1"/>
  <c r="BZ60" i="4"/>
  <c r="BX60" i="4"/>
  <c r="BX61" i="4" s="1"/>
  <c r="CK59" i="4"/>
  <c r="CK58" i="4"/>
  <c r="CK60" i="4" s="1"/>
  <c r="CJ61" i="4"/>
  <c r="CI61" i="4"/>
  <c r="CG61" i="4"/>
  <c r="BZ61" i="4"/>
  <c r="CK56" i="4"/>
  <c r="CK55" i="4"/>
  <c r="CK57" i="4" s="1"/>
  <c r="CJ53" i="4"/>
  <c r="CI53" i="4"/>
  <c r="CG53" i="4"/>
  <c r="CE53" i="4"/>
  <c r="CE54" i="4" s="1"/>
  <c r="BZ53" i="4"/>
  <c r="BZ54" i="4" s="1"/>
  <c r="BX53" i="4"/>
  <c r="CK52" i="4"/>
  <c r="CK51" i="4"/>
  <c r="CK53" i="4" s="1"/>
  <c r="CJ54" i="4"/>
  <c r="CI54" i="4"/>
  <c r="CG54" i="4"/>
  <c r="BX54" i="4"/>
  <c r="CK49" i="4"/>
  <c r="CK48" i="4"/>
  <c r="CK50" i="4" s="1"/>
  <c r="CJ46" i="4"/>
  <c r="CI46" i="4"/>
  <c r="CG46" i="4"/>
  <c r="CE46" i="4"/>
  <c r="CE47" i="4" s="1"/>
  <c r="BZ46" i="4"/>
  <c r="BZ47" i="4" s="1"/>
  <c r="BX46" i="4"/>
  <c r="BX47" i="4" s="1"/>
  <c r="CK45" i="4"/>
  <c r="CK44" i="4"/>
  <c r="CK46" i="4" s="1"/>
  <c r="CJ47" i="4"/>
  <c r="CI47" i="4"/>
  <c r="CG47" i="4"/>
  <c r="CK42" i="4"/>
  <c r="CK41" i="4"/>
  <c r="CJ39" i="4"/>
  <c r="CI39" i="4"/>
  <c r="CG39" i="4"/>
  <c r="CE39" i="4"/>
  <c r="BZ39" i="4"/>
  <c r="BX39" i="4"/>
  <c r="CK38" i="4"/>
  <c r="CK37" i="4"/>
  <c r="CJ36" i="4"/>
  <c r="CJ40" i="4" s="1"/>
  <c r="CI36" i="4"/>
  <c r="CI40" i="4" s="1"/>
  <c r="CG36" i="4"/>
  <c r="CG40" i="4" s="1"/>
  <c r="CE36" i="4"/>
  <c r="CE40" i="4" s="1"/>
  <c r="BZ36" i="4"/>
  <c r="BZ40" i="4" s="1"/>
  <c r="BX36" i="4"/>
  <c r="BX40" i="4" s="1"/>
  <c r="CK35" i="4"/>
  <c r="CK34" i="4"/>
  <c r="CJ32" i="4"/>
  <c r="CI32" i="4"/>
  <c r="CG32" i="4"/>
  <c r="CE32" i="4"/>
  <c r="CE33" i="4" s="1"/>
  <c r="BZ32" i="4"/>
  <c r="BZ33" i="4" s="1"/>
  <c r="BX32" i="4"/>
  <c r="BX33" i="4" s="1"/>
  <c r="CK31" i="4"/>
  <c r="CK30" i="4"/>
  <c r="CJ33" i="4"/>
  <c r="CI33" i="4"/>
  <c r="CG33" i="4"/>
  <c r="CK28" i="4"/>
  <c r="CK27" i="4"/>
  <c r="CK29" i="4" s="1"/>
  <c r="CJ25" i="4"/>
  <c r="CI25" i="4"/>
  <c r="CG25" i="4"/>
  <c r="CE25" i="4"/>
  <c r="CE26" i="4" s="1"/>
  <c r="BZ25" i="4"/>
  <c r="BX25" i="4"/>
  <c r="BX26" i="4" s="1"/>
  <c r="CK24" i="4"/>
  <c r="CK23" i="4"/>
  <c r="CK25" i="4" s="1"/>
  <c r="CJ26" i="4"/>
  <c r="CI26" i="4"/>
  <c r="CG26" i="4"/>
  <c r="BZ26" i="4"/>
  <c r="CK21" i="4"/>
  <c r="CK20" i="4"/>
  <c r="CK22" i="4" s="1"/>
  <c r="CJ18" i="4"/>
  <c r="CI18" i="4"/>
  <c r="CG18" i="4"/>
  <c r="CE18" i="4"/>
  <c r="CE19" i="4" s="1"/>
  <c r="BZ18" i="4"/>
  <c r="BZ19" i="4" s="1"/>
  <c r="BX18" i="4"/>
  <c r="CK17" i="4"/>
  <c r="CK16" i="4"/>
  <c r="CK18" i="4" s="1"/>
  <c r="CJ19" i="4"/>
  <c r="CI19" i="4"/>
  <c r="CG19" i="4"/>
  <c r="BX19" i="4"/>
  <c r="CK14" i="4"/>
  <c r="CK13" i="4"/>
  <c r="CK15" i="4" s="1"/>
  <c r="CJ11" i="4"/>
  <c r="CI11" i="4"/>
  <c r="CG11" i="4"/>
  <c r="CE11" i="4"/>
  <c r="BZ11" i="4"/>
  <c r="BX11" i="4"/>
  <c r="CK10" i="4"/>
  <c r="CK9" i="4"/>
  <c r="CK11" i="4" s="1"/>
  <c r="CJ12" i="4"/>
  <c r="CI12" i="4"/>
  <c r="CG12" i="4"/>
  <c r="CE12" i="4"/>
  <c r="BZ12" i="4"/>
  <c r="BX12" i="4"/>
  <c r="CK7" i="4"/>
  <c r="CK6" i="4"/>
  <c r="CK8" i="4" s="1"/>
  <c r="CK12" i="4" s="1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R99" i="4"/>
  <c r="BR101" i="4" s="1"/>
  <c r="BQ99" i="4"/>
  <c r="BP99" i="4"/>
  <c r="BO99" i="4"/>
  <c r="BN99" i="4"/>
  <c r="BM99" i="4"/>
  <c r="BL99" i="4"/>
  <c r="BK99" i="4"/>
  <c r="BJ99" i="4"/>
  <c r="BI99" i="4"/>
  <c r="BH99" i="4"/>
  <c r="BG99" i="4"/>
  <c r="BF99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O91" i="4"/>
  <c r="BM91" i="4"/>
  <c r="BR88" i="4"/>
  <c r="BQ88" i="4"/>
  <c r="BO88" i="4"/>
  <c r="BM88" i="4"/>
  <c r="BH88" i="4"/>
  <c r="BF88" i="4"/>
  <c r="BS87" i="4"/>
  <c r="BS86" i="4"/>
  <c r="BS88" i="4" s="1"/>
  <c r="BR85" i="4"/>
  <c r="BR89" i="4" s="1"/>
  <c r="BQ85" i="4"/>
  <c r="BQ89" i="4" s="1"/>
  <c r="BO85" i="4"/>
  <c r="BO89" i="4" s="1"/>
  <c r="BM85" i="4"/>
  <c r="BM89" i="4" s="1"/>
  <c r="BH85" i="4"/>
  <c r="BH89" i="4" s="1"/>
  <c r="BF85" i="4"/>
  <c r="BF89" i="4" s="1"/>
  <c r="BS84" i="4"/>
  <c r="BS83" i="4"/>
  <c r="BS85" i="4" s="1"/>
  <c r="BS89" i="4" s="1"/>
  <c r="BR81" i="4"/>
  <c r="BQ81" i="4"/>
  <c r="BO81" i="4"/>
  <c r="BM81" i="4"/>
  <c r="BH81" i="4"/>
  <c r="BF81" i="4"/>
  <c r="BS80" i="4"/>
  <c r="BS79" i="4"/>
  <c r="BS81" i="4" s="1"/>
  <c r="BR78" i="4"/>
  <c r="BR82" i="4" s="1"/>
  <c r="BQ78" i="4"/>
  <c r="BQ82" i="4" s="1"/>
  <c r="BO78" i="4"/>
  <c r="BO82" i="4" s="1"/>
  <c r="BM78" i="4"/>
  <c r="BM82" i="4" s="1"/>
  <c r="BH78" i="4"/>
  <c r="BH82" i="4" s="1"/>
  <c r="BF78" i="4"/>
  <c r="BF82" i="4" s="1"/>
  <c r="BS77" i="4"/>
  <c r="BS76" i="4"/>
  <c r="BS78" i="4" s="1"/>
  <c r="BS82" i="4" s="1"/>
  <c r="BR74" i="4"/>
  <c r="BQ74" i="4"/>
  <c r="BO74" i="4"/>
  <c r="BM74" i="4"/>
  <c r="BH74" i="4"/>
  <c r="BF74" i="4"/>
  <c r="BS73" i="4"/>
  <c r="BS72" i="4"/>
  <c r="BS74" i="4" s="1"/>
  <c r="BR71" i="4"/>
  <c r="BR75" i="4" s="1"/>
  <c r="BQ71" i="4"/>
  <c r="BQ75" i="4" s="1"/>
  <c r="BO71" i="4"/>
  <c r="BO75" i="4" s="1"/>
  <c r="BM71" i="4"/>
  <c r="BM75" i="4" s="1"/>
  <c r="BH71" i="4"/>
  <c r="BH75" i="4" s="1"/>
  <c r="BF71" i="4"/>
  <c r="BF75" i="4" s="1"/>
  <c r="BS70" i="4"/>
  <c r="BS69" i="4"/>
  <c r="BS71" i="4" s="1"/>
  <c r="BS75" i="4" s="1"/>
  <c r="BR67" i="4"/>
  <c r="BQ67" i="4"/>
  <c r="BO67" i="4"/>
  <c r="BM67" i="4"/>
  <c r="BH67" i="4"/>
  <c r="BF67" i="4"/>
  <c r="BS66" i="4"/>
  <c r="BS65" i="4"/>
  <c r="BS67" i="4" s="1"/>
  <c r="BR64" i="4"/>
  <c r="BR68" i="4" s="1"/>
  <c r="BQ64" i="4"/>
  <c r="BQ68" i="4" s="1"/>
  <c r="BO64" i="4"/>
  <c r="BO68" i="4" s="1"/>
  <c r="BM64" i="4"/>
  <c r="BM68" i="4" s="1"/>
  <c r="BH64" i="4"/>
  <c r="BH68" i="4" s="1"/>
  <c r="BF64" i="4"/>
  <c r="BF68" i="4" s="1"/>
  <c r="BS63" i="4"/>
  <c r="BS62" i="4"/>
  <c r="BS64" i="4" s="1"/>
  <c r="BS68" i="4" s="1"/>
  <c r="BS59" i="4"/>
  <c r="BS58" i="4"/>
  <c r="BS60" i="4" s="1"/>
  <c r="BS56" i="4"/>
  <c r="BS55" i="4"/>
  <c r="BS57" i="4" s="1"/>
  <c r="BS52" i="4"/>
  <c r="BS51" i="4"/>
  <c r="BS53" i="4" s="1"/>
  <c r="BS49" i="4"/>
  <c r="BS48" i="4"/>
  <c r="BS50" i="4" s="1"/>
  <c r="BS45" i="4"/>
  <c r="BS44" i="4"/>
  <c r="BS46" i="4" s="1"/>
  <c r="BS42" i="4"/>
  <c r="BS41" i="4"/>
  <c r="BS43" i="4" s="1"/>
  <c r="BR39" i="4"/>
  <c r="BQ39" i="4"/>
  <c r="BO39" i="4"/>
  <c r="BM39" i="4"/>
  <c r="BH39" i="4"/>
  <c r="BF39" i="4"/>
  <c r="BS38" i="4"/>
  <c r="BS37" i="4"/>
  <c r="BS39" i="4" s="1"/>
  <c r="BR36" i="4"/>
  <c r="BR40" i="4" s="1"/>
  <c r="BQ36" i="4"/>
  <c r="BQ40" i="4" s="1"/>
  <c r="BO36" i="4"/>
  <c r="BO40" i="4" s="1"/>
  <c r="BM36" i="4"/>
  <c r="BM40" i="4" s="1"/>
  <c r="BH36" i="4"/>
  <c r="BH40" i="4" s="1"/>
  <c r="BF36" i="4"/>
  <c r="BF40" i="4" s="1"/>
  <c r="BS35" i="4"/>
  <c r="BS34" i="4"/>
  <c r="BS36" i="4" s="1"/>
  <c r="BS40" i="4" s="1"/>
  <c r="BR32" i="4"/>
  <c r="BQ32" i="4"/>
  <c r="BO32" i="4"/>
  <c r="BM32" i="4"/>
  <c r="BH32" i="4"/>
  <c r="BF32" i="4"/>
  <c r="BS31" i="4"/>
  <c r="BS30" i="4"/>
  <c r="BS32" i="4" s="1"/>
  <c r="BR29" i="4"/>
  <c r="BR33" i="4" s="1"/>
  <c r="BQ29" i="4"/>
  <c r="BQ33" i="4" s="1"/>
  <c r="BO29" i="4"/>
  <c r="BO33" i="4" s="1"/>
  <c r="BM29" i="4"/>
  <c r="BM33" i="4" s="1"/>
  <c r="BH29" i="4"/>
  <c r="BH33" i="4" s="1"/>
  <c r="BF29" i="4"/>
  <c r="BF33" i="4" s="1"/>
  <c r="BS28" i="4"/>
  <c r="BS27" i="4"/>
  <c r="BS29" i="4" s="1"/>
  <c r="BS33" i="4" s="1"/>
  <c r="BR25" i="4"/>
  <c r="BQ25" i="4"/>
  <c r="BO25" i="4"/>
  <c r="BM25" i="4"/>
  <c r="BH25" i="4"/>
  <c r="BF25" i="4"/>
  <c r="BS24" i="4"/>
  <c r="BS23" i="4"/>
  <c r="BS25" i="4" s="1"/>
  <c r="BR22" i="4"/>
  <c r="BR26" i="4" s="1"/>
  <c r="BQ22" i="4"/>
  <c r="BQ26" i="4" s="1"/>
  <c r="BO22" i="4"/>
  <c r="BO26" i="4" s="1"/>
  <c r="BM22" i="4"/>
  <c r="BM26" i="4" s="1"/>
  <c r="BH22" i="4"/>
  <c r="BH26" i="4" s="1"/>
  <c r="BF22" i="4"/>
  <c r="BF26" i="4" s="1"/>
  <c r="BS21" i="4"/>
  <c r="BS20" i="4"/>
  <c r="BS22" i="4" s="1"/>
  <c r="BS26" i="4" s="1"/>
  <c r="BR18" i="4"/>
  <c r="BS17" i="4"/>
  <c r="BS16" i="4"/>
  <c r="BR15" i="4"/>
  <c r="BR19" i="4" s="1"/>
  <c r="BQ19" i="4"/>
  <c r="BO19" i="4"/>
  <c r="BM19" i="4"/>
  <c r="BH19" i="4"/>
  <c r="BF19" i="4"/>
  <c r="BS14" i="4"/>
  <c r="BS13" i="4"/>
  <c r="BR11" i="4"/>
  <c r="BS10" i="4"/>
  <c r="BS9" i="4"/>
  <c r="BS11" i="4" s="1"/>
  <c r="BR8" i="4"/>
  <c r="BS7" i="4"/>
  <c r="BS6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Z99" i="4"/>
  <c r="AZ101" i="4" s="1"/>
  <c r="AY99" i="4"/>
  <c r="AX99" i="4"/>
  <c r="AW99" i="4"/>
  <c r="AV99" i="4"/>
  <c r="AU99" i="4"/>
  <c r="AT99" i="4"/>
  <c r="AS99" i="4"/>
  <c r="AR99" i="4"/>
  <c r="AQ99" i="4"/>
  <c r="AP99" i="4"/>
  <c r="AO99" i="4"/>
  <c r="AN99" i="4"/>
  <c r="AN101" i="4" s="1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W91" i="4"/>
  <c r="AU91" i="4"/>
  <c r="AZ88" i="4"/>
  <c r="AY88" i="4"/>
  <c r="AW88" i="4"/>
  <c r="AU88" i="4"/>
  <c r="AP88" i="4"/>
  <c r="AN88" i="4"/>
  <c r="BA87" i="4"/>
  <c r="BA86" i="4"/>
  <c r="BA88" i="4" s="1"/>
  <c r="AZ85" i="4"/>
  <c r="AZ89" i="4" s="1"/>
  <c r="AY85" i="4"/>
  <c r="AY89" i="4" s="1"/>
  <c r="AW85" i="4"/>
  <c r="AW89" i="4" s="1"/>
  <c r="AU85" i="4"/>
  <c r="AU89" i="4" s="1"/>
  <c r="AP85" i="4"/>
  <c r="AP89" i="4" s="1"/>
  <c r="AN85" i="4"/>
  <c r="AN89" i="4" s="1"/>
  <c r="BA84" i="4"/>
  <c r="BA83" i="4"/>
  <c r="BA85" i="4" s="1"/>
  <c r="BA89" i="4" s="1"/>
  <c r="AZ81" i="4"/>
  <c r="AY81" i="4"/>
  <c r="AW81" i="4"/>
  <c r="AU81" i="4"/>
  <c r="AP81" i="4"/>
  <c r="AN81" i="4"/>
  <c r="BA80" i="4"/>
  <c r="BA79" i="4"/>
  <c r="BA81" i="4" s="1"/>
  <c r="AZ78" i="4"/>
  <c r="AZ82" i="4" s="1"/>
  <c r="AY78" i="4"/>
  <c r="AY82" i="4" s="1"/>
  <c r="AW78" i="4"/>
  <c r="AW82" i="4" s="1"/>
  <c r="AU78" i="4"/>
  <c r="AU82" i="4" s="1"/>
  <c r="AP78" i="4"/>
  <c r="AP82" i="4" s="1"/>
  <c r="AN78" i="4"/>
  <c r="AN82" i="4" s="1"/>
  <c r="BA77" i="4"/>
  <c r="BA76" i="4"/>
  <c r="BA78" i="4" s="1"/>
  <c r="BA82" i="4" s="1"/>
  <c r="AZ74" i="4"/>
  <c r="AY74" i="4"/>
  <c r="AW74" i="4"/>
  <c r="AU74" i="4"/>
  <c r="AP74" i="4"/>
  <c r="AN74" i="4"/>
  <c r="BA73" i="4"/>
  <c r="BA72" i="4"/>
  <c r="BA74" i="4" s="1"/>
  <c r="AZ71" i="4"/>
  <c r="AZ75" i="4" s="1"/>
  <c r="AY71" i="4"/>
  <c r="AY75" i="4" s="1"/>
  <c r="AW71" i="4"/>
  <c r="AW75" i="4" s="1"/>
  <c r="AU71" i="4"/>
  <c r="AU75" i="4" s="1"/>
  <c r="AP71" i="4"/>
  <c r="AP75" i="4" s="1"/>
  <c r="AN71" i="4"/>
  <c r="AN75" i="4" s="1"/>
  <c r="BA70" i="4"/>
  <c r="BA69" i="4"/>
  <c r="BA71" i="4" s="1"/>
  <c r="BA75" i="4" s="1"/>
  <c r="AZ67" i="4"/>
  <c r="AY67" i="4"/>
  <c r="AW67" i="4"/>
  <c r="AU67" i="4"/>
  <c r="AP67" i="4"/>
  <c r="AN67" i="4"/>
  <c r="BA66" i="4"/>
  <c r="BA65" i="4"/>
  <c r="BA67" i="4" s="1"/>
  <c r="AZ64" i="4"/>
  <c r="AZ68" i="4" s="1"/>
  <c r="AY64" i="4"/>
  <c r="AY68" i="4" s="1"/>
  <c r="AW64" i="4"/>
  <c r="AW68" i="4" s="1"/>
  <c r="AU64" i="4"/>
  <c r="AU68" i="4" s="1"/>
  <c r="AP64" i="4"/>
  <c r="AP68" i="4" s="1"/>
  <c r="AN64" i="4"/>
  <c r="AN68" i="4" s="1"/>
  <c r="BA63" i="4"/>
  <c r="BA62" i="4"/>
  <c r="BA64" i="4" s="1"/>
  <c r="BA68" i="4" s="1"/>
  <c r="AZ60" i="4"/>
  <c r="AY60" i="4"/>
  <c r="AW60" i="4"/>
  <c r="AU60" i="4"/>
  <c r="AP60" i="4"/>
  <c r="AN60" i="4"/>
  <c r="BA59" i="4"/>
  <c r="BA58" i="4"/>
  <c r="BA60" i="4" s="1"/>
  <c r="AZ61" i="4"/>
  <c r="AY61" i="4"/>
  <c r="AW61" i="4"/>
  <c r="AU61" i="4"/>
  <c r="AP61" i="4"/>
  <c r="AN61" i="4"/>
  <c r="BA56" i="4"/>
  <c r="BA55" i="4"/>
  <c r="BA57" i="4" s="1"/>
  <c r="BA61" i="4" s="1"/>
  <c r="AZ53" i="4"/>
  <c r="AY53" i="4"/>
  <c r="AW53" i="4"/>
  <c r="AU53" i="4"/>
  <c r="AU54" i="4" s="1"/>
  <c r="AP53" i="4"/>
  <c r="AP54" i="4" s="1"/>
  <c r="AN53" i="4"/>
  <c r="AN54" i="4" s="1"/>
  <c r="BA52" i="4"/>
  <c r="BA51" i="4"/>
  <c r="BA53" i="4" s="1"/>
  <c r="AZ54" i="4"/>
  <c r="AY54" i="4"/>
  <c r="AW54" i="4"/>
  <c r="BA49" i="4"/>
  <c r="BA48" i="4"/>
  <c r="AZ46" i="4"/>
  <c r="AY46" i="4"/>
  <c r="AW46" i="4"/>
  <c r="AU46" i="4"/>
  <c r="AP46" i="4"/>
  <c r="AN46" i="4"/>
  <c r="BA45" i="4"/>
  <c r="BA44" i="4"/>
  <c r="AZ47" i="4"/>
  <c r="AY47" i="4"/>
  <c r="AW47" i="4"/>
  <c r="AU47" i="4"/>
  <c r="AP47" i="4"/>
  <c r="AN47" i="4"/>
  <c r="BA42" i="4"/>
  <c r="BA41" i="4"/>
  <c r="AZ39" i="4"/>
  <c r="AY39" i="4"/>
  <c r="AW39" i="4"/>
  <c r="AU39" i="4"/>
  <c r="AP39" i="4"/>
  <c r="AN39" i="4"/>
  <c r="BA38" i="4"/>
  <c r="BA37" i="4"/>
  <c r="AZ36" i="4"/>
  <c r="AZ40" i="4" s="1"/>
  <c r="AY36" i="4"/>
  <c r="AY40" i="4" s="1"/>
  <c r="AW36" i="4"/>
  <c r="AW40" i="4" s="1"/>
  <c r="AU36" i="4"/>
  <c r="AU40" i="4" s="1"/>
  <c r="AP36" i="4"/>
  <c r="AP40" i="4" s="1"/>
  <c r="AN36" i="4"/>
  <c r="AN40" i="4" s="1"/>
  <c r="BA35" i="4"/>
  <c r="BA34" i="4"/>
  <c r="AZ32" i="4"/>
  <c r="AY32" i="4"/>
  <c r="AW32" i="4"/>
  <c r="AU32" i="4"/>
  <c r="AP32" i="4"/>
  <c r="AN32" i="4"/>
  <c r="BA31" i="4"/>
  <c r="BA30" i="4"/>
  <c r="AZ33" i="4"/>
  <c r="AY33" i="4"/>
  <c r="AW33" i="4"/>
  <c r="AU33" i="4"/>
  <c r="AP33" i="4"/>
  <c r="AN33" i="4"/>
  <c r="BA28" i="4"/>
  <c r="BA27" i="4"/>
  <c r="AZ25" i="4"/>
  <c r="AZ26" i="4" s="1"/>
  <c r="AY25" i="4"/>
  <c r="AY26" i="4" s="1"/>
  <c r="AW25" i="4"/>
  <c r="AW26" i="4" s="1"/>
  <c r="AU25" i="4"/>
  <c r="AP25" i="4"/>
  <c r="AP26" i="4" s="1"/>
  <c r="AN25" i="4"/>
  <c r="AN26" i="4" s="1"/>
  <c r="BA24" i="4"/>
  <c r="BA23" i="4"/>
  <c r="AU26" i="4"/>
  <c r="BA21" i="4"/>
  <c r="BA20" i="4"/>
  <c r="AZ18" i="4"/>
  <c r="AZ19" i="4" s="1"/>
  <c r="AY18" i="4"/>
  <c r="AY19" i="4" s="1"/>
  <c r="AW18" i="4"/>
  <c r="AW19" i="4" s="1"/>
  <c r="AU18" i="4"/>
  <c r="AU19" i="4" s="1"/>
  <c r="AP18" i="4"/>
  <c r="AN18" i="4"/>
  <c r="AN19" i="4" s="1"/>
  <c r="BA17" i="4"/>
  <c r="BA16" i="4"/>
  <c r="AP19" i="4"/>
  <c r="BA14" i="4"/>
  <c r="BA13" i="4"/>
  <c r="AZ11" i="4"/>
  <c r="AY11" i="4"/>
  <c r="AW11" i="4"/>
  <c r="AU11" i="4"/>
  <c r="AP11" i="4"/>
  <c r="AN11" i="4"/>
  <c r="BA10" i="4"/>
  <c r="BA9" i="4"/>
  <c r="AZ12" i="4"/>
  <c r="AY12" i="4"/>
  <c r="AW12" i="4"/>
  <c r="AU12" i="4"/>
  <c r="AP12" i="4"/>
  <c r="AN12" i="4"/>
  <c r="BA7" i="4"/>
  <c r="BA6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AE91" i="4"/>
  <c r="AC91" i="4"/>
  <c r="AH88" i="4"/>
  <c r="AG88" i="4"/>
  <c r="AE88" i="4"/>
  <c r="AC88" i="4"/>
  <c r="X88" i="4"/>
  <c r="V88" i="4"/>
  <c r="AI87" i="4"/>
  <c r="AI86" i="4"/>
  <c r="AH85" i="4"/>
  <c r="AH89" i="4" s="1"/>
  <c r="AG85" i="4"/>
  <c r="AG89" i="4" s="1"/>
  <c r="AE85" i="4"/>
  <c r="AE89" i="4" s="1"/>
  <c r="AC85" i="4"/>
  <c r="AC89" i="4" s="1"/>
  <c r="X85" i="4"/>
  <c r="X89" i="4" s="1"/>
  <c r="V85" i="4"/>
  <c r="V89" i="4" s="1"/>
  <c r="AI84" i="4"/>
  <c r="AI83" i="4"/>
  <c r="AH81" i="4"/>
  <c r="AG81" i="4"/>
  <c r="AE81" i="4"/>
  <c r="AC81" i="4"/>
  <c r="X81" i="4"/>
  <c r="V81" i="4"/>
  <c r="AI80" i="4"/>
  <c r="AI79" i="4"/>
  <c r="AH78" i="4"/>
  <c r="AH82" i="4" s="1"/>
  <c r="AG78" i="4"/>
  <c r="AG82" i="4" s="1"/>
  <c r="AE78" i="4"/>
  <c r="AE82" i="4" s="1"/>
  <c r="AC78" i="4"/>
  <c r="AC82" i="4" s="1"/>
  <c r="X78" i="4"/>
  <c r="X82" i="4" s="1"/>
  <c r="V78" i="4"/>
  <c r="V82" i="4" s="1"/>
  <c r="AI77" i="4"/>
  <c r="AI76" i="4"/>
  <c r="AH74" i="4"/>
  <c r="AG74" i="4"/>
  <c r="AE74" i="4"/>
  <c r="AC74" i="4"/>
  <c r="X74" i="4"/>
  <c r="V74" i="4"/>
  <c r="AI73" i="4"/>
  <c r="AI72" i="4"/>
  <c r="AH71" i="4"/>
  <c r="AH75" i="4" s="1"/>
  <c r="AG71" i="4"/>
  <c r="AG75" i="4" s="1"/>
  <c r="AE71" i="4"/>
  <c r="AE75" i="4" s="1"/>
  <c r="AC71" i="4"/>
  <c r="AC75" i="4" s="1"/>
  <c r="X71" i="4"/>
  <c r="X75" i="4" s="1"/>
  <c r="V71" i="4"/>
  <c r="V75" i="4" s="1"/>
  <c r="AI70" i="4"/>
  <c r="AI69" i="4"/>
  <c r="AH67" i="4"/>
  <c r="AG67" i="4"/>
  <c r="AE67" i="4"/>
  <c r="AC67" i="4"/>
  <c r="X67" i="4"/>
  <c r="V67" i="4"/>
  <c r="AI66" i="4"/>
  <c r="AI65" i="4"/>
  <c r="AH64" i="4"/>
  <c r="AH68" i="4" s="1"/>
  <c r="AG64" i="4"/>
  <c r="AG68" i="4" s="1"/>
  <c r="AE64" i="4"/>
  <c r="AE68" i="4" s="1"/>
  <c r="AC64" i="4"/>
  <c r="AC68" i="4" s="1"/>
  <c r="X64" i="4"/>
  <c r="X68" i="4" s="1"/>
  <c r="V64" i="4"/>
  <c r="V68" i="4" s="1"/>
  <c r="AI63" i="4"/>
  <c r="AI62" i="4"/>
  <c r="AH60" i="4"/>
  <c r="AG60" i="4"/>
  <c r="AE60" i="4"/>
  <c r="AC60" i="4"/>
  <c r="X60" i="4"/>
  <c r="V60" i="4"/>
  <c r="AI59" i="4"/>
  <c r="AI58" i="4"/>
  <c r="AH61" i="4"/>
  <c r="AG61" i="4"/>
  <c r="AE61" i="4"/>
  <c r="AC61" i="4"/>
  <c r="X61" i="4"/>
  <c r="V61" i="4"/>
  <c r="AI56" i="4"/>
  <c r="AI55" i="4"/>
  <c r="AH53" i="4"/>
  <c r="AG53" i="4"/>
  <c r="AE53" i="4"/>
  <c r="AC53" i="4"/>
  <c r="X53" i="4"/>
  <c r="V53" i="4"/>
  <c r="V54" i="4" s="1"/>
  <c r="AI52" i="4"/>
  <c r="AI51" i="4"/>
  <c r="AH54" i="4"/>
  <c r="AG54" i="4"/>
  <c r="AE54" i="4"/>
  <c r="AC54" i="4"/>
  <c r="X54" i="4"/>
  <c r="AI49" i="4"/>
  <c r="AI48" i="4"/>
  <c r="AH46" i="4"/>
  <c r="AG46" i="4"/>
  <c r="AE46" i="4"/>
  <c r="AC46" i="4"/>
  <c r="X46" i="4"/>
  <c r="V46" i="4"/>
  <c r="AI45" i="4"/>
  <c r="AI44" i="4"/>
  <c r="AI46" i="4" s="1"/>
  <c r="AH47" i="4"/>
  <c r="AG47" i="4"/>
  <c r="AE47" i="4"/>
  <c r="AC47" i="4"/>
  <c r="X47" i="4"/>
  <c r="V47" i="4"/>
  <c r="AI42" i="4"/>
  <c r="AI41" i="4"/>
  <c r="AH39" i="4"/>
  <c r="AG39" i="4"/>
  <c r="AE39" i="4"/>
  <c r="AC39" i="4"/>
  <c r="X39" i="4"/>
  <c r="V39" i="4"/>
  <c r="AI38" i="4"/>
  <c r="AI37" i="4"/>
  <c r="AI39" i="4" s="1"/>
  <c r="AH36" i="4"/>
  <c r="AH40" i="4" s="1"/>
  <c r="AG36" i="4"/>
  <c r="AG40" i="4" s="1"/>
  <c r="AE36" i="4"/>
  <c r="AE40" i="4" s="1"/>
  <c r="AC36" i="4"/>
  <c r="AC40" i="4" s="1"/>
  <c r="X36" i="4"/>
  <c r="X40" i="4" s="1"/>
  <c r="V36" i="4"/>
  <c r="V40" i="4" s="1"/>
  <c r="AI35" i="4"/>
  <c r="AI34" i="4"/>
  <c r="AI36" i="4" s="1"/>
  <c r="AI40" i="4" s="1"/>
  <c r="AH32" i="4"/>
  <c r="AG32" i="4"/>
  <c r="AE32" i="4"/>
  <c r="AC32" i="4"/>
  <c r="X32" i="4"/>
  <c r="V32" i="4"/>
  <c r="AI31" i="4"/>
  <c r="AI30" i="4"/>
  <c r="AI32" i="4" s="1"/>
  <c r="AH29" i="4"/>
  <c r="AH33" i="4" s="1"/>
  <c r="AG29" i="4"/>
  <c r="AG33" i="4" s="1"/>
  <c r="AE29" i="4"/>
  <c r="AE33" i="4" s="1"/>
  <c r="AC29" i="4"/>
  <c r="AC33" i="4" s="1"/>
  <c r="X29" i="4"/>
  <c r="X33" i="4" s="1"/>
  <c r="V29" i="4"/>
  <c r="V33" i="4" s="1"/>
  <c r="AI28" i="4"/>
  <c r="AI27" i="4"/>
  <c r="AI29" i="4" s="1"/>
  <c r="AI33" i="4" s="1"/>
  <c r="AH25" i="4"/>
  <c r="AG25" i="4"/>
  <c r="AE25" i="4"/>
  <c r="AC25" i="4"/>
  <c r="X25" i="4"/>
  <c r="V25" i="4"/>
  <c r="V26" i="4" s="1"/>
  <c r="AI24" i="4"/>
  <c r="AI23" i="4"/>
  <c r="AI25" i="4" s="1"/>
  <c r="AH26" i="4"/>
  <c r="AG26" i="4"/>
  <c r="AE26" i="4"/>
  <c r="AC26" i="4"/>
  <c r="X26" i="4"/>
  <c r="AI21" i="4"/>
  <c r="AI20" i="4"/>
  <c r="AH18" i="4"/>
  <c r="AG18" i="4"/>
  <c r="AE18" i="4"/>
  <c r="AC18" i="4"/>
  <c r="X18" i="4"/>
  <c r="V18" i="4"/>
  <c r="AI17" i="4"/>
  <c r="AI16" i="4"/>
  <c r="AH19" i="4"/>
  <c r="AG19" i="4"/>
  <c r="AE19" i="4"/>
  <c r="AC19" i="4"/>
  <c r="X19" i="4"/>
  <c r="V19" i="4"/>
  <c r="AI14" i="4"/>
  <c r="AI13" i="4"/>
  <c r="AH11" i="4"/>
  <c r="AG11" i="4"/>
  <c r="AE11" i="4"/>
  <c r="AC11" i="4"/>
  <c r="X11" i="4"/>
  <c r="V11" i="4"/>
  <c r="AI10" i="4"/>
  <c r="AI9" i="4"/>
  <c r="AH12" i="4"/>
  <c r="AG12" i="4"/>
  <c r="AE12" i="4"/>
  <c r="AC12" i="4"/>
  <c r="X12" i="4"/>
  <c r="V12" i="4"/>
  <c r="AI7" i="4"/>
  <c r="AI6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E99" i="4"/>
  <c r="F99" i="4"/>
  <c r="G99" i="4"/>
  <c r="H99" i="4"/>
  <c r="I99" i="4"/>
  <c r="J99" i="4"/>
  <c r="K99" i="4"/>
  <c r="L99" i="4"/>
  <c r="M99" i="4"/>
  <c r="N99" i="4"/>
  <c r="O99" i="4"/>
  <c r="P99" i="4"/>
  <c r="D99" i="4"/>
  <c r="J97" i="4"/>
  <c r="K97" i="4"/>
  <c r="L97" i="4"/>
  <c r="M97" i="4"/>
  <c r="N97" i="4"/>
  <c r="O97" i="4"/>
  <c r="P97" i="4"/>
  <c r="K96" i="4"/>
  <c r="L96" i="4"/>
  <c r="M96" i="4"/>
  <c r="N96" i="4"/>
  <c r="O96" i="4"/>
  <c r="P96" i="4"/>
  <c r="D97" i="4"/>
  <c r="E97" i="4"/>
  <c r="F97" i="4"/>
  <c r="G97" i="4"/>
  <c r="H97" i="4"/>
  <c r="I97" i="4"/>
  <c r="E96" i="4"/>
  <c r="F96" i="4"/>
  <c r="G96" i="4"/>
  <c r="H96" i="4"/>
  <c r="I96" i="4"/>
  <c r="J96" i="4"/>
  <c r="D96" i="4"/>
  <c r="P85" i="4"/>
  <c r="O85" i="4"/>
  <c r="M85" i="4"/>
  <c r="K85" i="4"/>
  <c r="F85" i="4"/>
  <c r="D85" i="4"/>
  <c r="P78" i="4"/>
  <c r="O78" i="4"/>
  <c r="M78" i="4"/>
  <c r="K78" i="4"/>
  <c r="F78" i="4"/>
  <c r="D78" i="4"/>
  <c r="P64" i="4"/>
  <c r="O64" i="4"/>
  <c r="M64" i="4"/>
  <c r="K64" i="4"/>
  <c r="F64" i="4"/>
  <c r="D64" i="4"/>
  <c r="P36" i="4"/>
  <c r="O36" i="4"/>
  <c r="M36" i="4"/>
  <c r="K36" i="4"/>
  <c r="F36" i="4"/>
  <c r="D36" i="4"/>
  <c r="DZ98" i="4" l="1"/>
  <c r="EB101" i="4"/>
  <c r="DC39" i="4"/>
  <c r="DC46" i="4"/>
  <c r="DC53" i="4"/>
  <c r="DC64" i="4"/>
  <c r="DC68" i="4" s="1"/>
  <c r="DC67" i="4"/>
  <c r="DC71" i="4"/>
  <c r="DC74" i="4"/>
  <c r="DC78" i="4"/>
  <c r="DC82" i="4" s="1"/>
  <c r="DC81" i="4"/>
  <c r="DC85" i="4"/>
  <c r="DC88" i="4"/>
  <c r="DB101" i="4"/>
  <c r="BR12" i="4"/>
  <c r="CK26" i="4"/>
  <c r="DC12" i="4"/>
  <c r="DC19" i="4"/>
  <c r="DC26" i="4"/>
  <c r="EL101" i="4"/>
  <c r="CK33" i="4"/>
  <c r="CK61" i="4"/>
  <c r="BF98" i="4"/>
  <c r="BO101" i="4"/>
  <c r="CK19" i="4"/>
  <c r="CK54" i="4"/>
  <c r="BS8" i="4"/>
  <c r="CK32" i="4"/>
  <c r="CK36" i="4"/>
  <c r="CK39" i="4"/>
  <c r="CK43" i="4"/>
  <c r="CK47" i="4" s="1"/>
  <c r="DC36" i="4"/>
  <c r="DC40" i="4" s="1"/>
  <c r="DC43" i="4"/>
  <c r="DC47" i="4" s="1"/>
  <c r="DC50" i="4"/>
  <c r="DC54" i="4" s="1"/>
  <c r="DC57" i="4"/>
  <c r="DC61" i="4" s="1"/>
  <c r="DC60" i="4"/>
  <c r="CP98" i="4"/>
  <c r="CY101" i="4"/>
  <c r="DQ101" i="4"/>
  <c r="CG101" i="4"/>
  <c r="BS47" i="4"/>
  <c r="BS54" i="4"/>
  <c r="BS61" i="4"/>
  <c r="BS12" i="4"/>
  <c r="BS15" i="4"/>
  <c r="BS18" i="4"/>
  <c r="AI15" i="4"/>
  <c r="AI18" i="4"/>
  <c r="AI22" i="4"/>
  <c r="AI26" i="4" s="1"/>
  <c r="V98" i="4"/>
  <c r="BA8" i="4"/>
  <c r="BA11" i="4"/>
  <c r="BA15" i="4"/>
  <c r="BA19" i="4" s="1"/>
  <c r="BA18" i="4"/>
  <c r="BA22" i="4"/>
  <c r="BA26" i="4" s="1"/>
  <c r="BA25" i="4"/>
  <c r="BA29" i="4"/>
  <c r="BA32" i="4"/>
  <c r="BA36" i="4"/>
  <c r="BA39" i="4"/>
  <c r="BA43" i="4"/>
  <c r="BA46" i="4"/>
  <c r="BA50" i="4"/>
  <c r="BA54" i="4" s="1"/>
  <c r="FU101" i="4"/>
  <c r="AP98" i="4"/>
  <c r="BH101" i="4"/>
  <c r="CR101" i="4"/>
  <c r="AI64" i="4"/>
  <c r="AI67" i="4"/>
  <c r="AI71" i="4"/>
  <c r="AI75" i="4" s="1"/>
  <c r="AI74" i="4"/>
  <c r="AI78" i="4"/>
  <c r="AI81" i="4"/>
  <c r="AI85" i="4"/>
  <c r="AW101" i="4"/>
  <c r="AI57" i="4"/>
  <c r="AI60" i="4"/>
  <c r="AI50" i="4"/>
  <c r="AI53" i="4"/>
  <c r="AI43" i="4"/>
  <c r="AI47" i="4" s="1"/>
  <c r="X101" i="4"/>
  <c r="AI100" i="4"/>
  <c r="AI8" i="4"/>
  <c r="AI11" i="4"/>
  <c r="AH101" i="4"/>
  <c r="AH102" i="4" s="1"/>
  <c r="DU68" i="4"/>
  <c r="AC101" i="4"/>
  <c r="AG101" i="4"/>
  <c r="AY98" i="4"/>
  <c r="BS96" i="4"/>
  <c r="BO98" i="4"/>
  <c r="BO102" i="4" s="1"/>
  <c r="BS97" i="4"/>
  <c r="BM101" i="4"/>
  <c r="BQ101" i="4"/>
  <c r="CI98" i="4"/>
  <c r="HG96" i="4"/>
  <c r="HG97" i="4"/>
  <c r="AN98" i="4"/>
  <c r="AN102" i="4" s="1"/>
  <c r="AP101" i="4"/>
  <c r="BH98" i="4"/>
  <c r="BF101" i="4"/>
  <c r="BF102" i="4" s="1"/>
  <c r="BX98" i="4"/>
  <c r="BX102" i="4" s="1"/>
  <c r="BZ101" i="4"/>
  <c r="DH98" i="4"/>
  <c r="DH102" i="4" s="1"/>
  <c r="DJ101" i="4"/>
  <c r="ER98" i="4"/>
  <c r="ET101" i="4"/>
  <c r="FE100" i="4"/>
  <c r="FW97" i="4"/>
  <c r="GB98" i="4"/>
  <c r="GD101" i="4"/>
  <c r="GO100" i="4"/>
  <c r="HG85" i="4"/>
  <c r="HG89" i="4" s="1"/>
  <c r="HG88" i="4"/>
  <c r="AI88" i="4"/>
  <c r="BM98" i="4"/>
  <c r="BQ98" i="4"/>
  <c r="CG98" i="4"/>
  <c r="CE101" i="4"/>
  <c r="CI101" i="4"/>
  <c r="FA98" i="4"/>
  <c r="FC101" i="4"/>
  <c r="FS101" i="4"/>
  <c r="AI96" i="4"/>
  <c r="AI97" i="4"/>
  <c r="AH98" i="4"/>
  <c r="BA100" i="4"/>
  <c r="BR98" i="4"/>
  <c r="BR102" i="4" s="1"/>
  <c r="CK100" i="4"/>
  <c r="DC96" i="4"/>
  <c r="CY98" i="4"/>
  <c r="DC97" i="4"/>
  <c r="CW98" i="4"/>
  <c r="DB98" i="4"/>
  <c r="CW101" i="4"/>
  <c r="DA101" i="4"/>
  <c r="DO98" i="4"/>
  <c r="DS98" i="4"/>
  <c r="DU100" i="4"/>
  <c r="EM96" i="4"/>
  <c r="EI98" i="4"/>
  <c r="EI102" i="4" s="1"/>
  <c r="EM97" i="4"/>
  <c r="EL98" i="4"/>
  <c r="EG101" i="4"/>
  <c r="EG102" i="4" s="1"/>
  <c r="EK101" i="4"/>
  <c r="FC98" i="4"/>
  <c r="FC102" i="4" s="1"/>
  <c r="FW96" i="4"/>
  <c r="FL101" i="4"/>
  <c r="GO96" i="4"/>
  <c r="GO97" i="4"/>
  <c r="GN98" i="4"/>
  <c r="GI101" i="4"/>
  <c r="GM101" i="4"/>
  <c r="HA98" i="4"/>
  <c r="HE98" i="4"/>
  <c r="AE101" i="4"/>
  <c r="BZ98" i="4"/>
  <c r="DJ98" i="4"/>
  <c r="ET98" i="4"/>
  <c r="ET102" i="4" s="1"/>
  <c r="ER101" i="4"/>
  <c r="FW100" i="4"/>
  <c r="GK101" i="4"/>
  <c r="GV98" i="4"/>
  <c r="HC98" i="4"/>
  <c r="GT101" i="4"/>
  <c r="AC98" i="4"/>
  <c r="AC102" i="4" s="1"/>
  <c r="AG98" i="4"/>
  <c r="BA96" i="4"/>
  <c r="AW98" i="4"/>
  <c r="BA97" i="4"/>
  <c r="AU98" i="4"/>
  <c r="AZ98" i="4"/>
  <c r="AZ102" i="4" s="1"/>
  <c r="AU101" i="4"/>
  <c r="AY101" i="4"/>
  <c r="BS100" i="4"/>
  <c r="CK96" i="4"/>
  <c r="CK97" i="4"/>
  <c r="CJ98" i="4"/>
  <c r="CJ102" i="4" s="1"/>
  <c r="DA98" i="4"/>
  <c r="DC100" i="4"/>
  <c r="DU96" i="4"/>
  <c r="DQ98" i="4"/>
  <c r="DQ102" i="4" s="1"/>
  <c r="DU97" i="4"/>
  <c r="DT98" i="4"/>
  <c r="DT102" i="4" s="1"/>
  <c r="DO101" i="4"/>
  <c r="DS101" i="4"/>
  <c r="DS102" i="4" s="1"/>
  <c r="EG98" i="4"/>
  <c r="EK98" i="4"/>
  <c r="EM100" i="4"/>
  <c r="FE96" i="4"/>
  <c r="FE97" i="4"/>
  <c r="EY98" i="4"/>
  <c r="FD98" i="4"/>
  <c r="FD102" i="4" s="1"/>
  <c r="EY101" i="4"/>
  <c r="FL98" i="4"/>
  <c r="FQ98" i="4"/>
  <c r="FU98" i="4"/>
  <c r="FJ101" i="4"/>
  <c r="FJ102" i="4" s="1"/>
  <c r="FQ101" i="4"/>
  <c r="FV101" i="4"/>
  <c r="FV102" i="4" s="1"/>
  <c r="GI98" i="4"/>
  <c r="GM98" i="4"/>
  <c r="HF98" i="4"/>
  <c r="HF102" i="4" s="1"/>
  <c r="X98" i="4"/>
  <c r="AE98" i="4"/>
  <c r="V101" i="4"/>
  <c r="CE98" i="4"/>
  <c r="CE102" i="4" s="1"/>
  <c r="CR98" i="4"/>
  <c r="CP101" i="4"/>
  <c r="CP102" i="4" s="1"/>
  <c r="EB98" i="4"/>
  <c r="EB102" i="4" s="1"/>
  <c r="DZ101" i="4"/>
  <c r="DZ102" i="4" s="1"/>
  <c r="FA101" i="4"/>
  <c r="FS98" i="4"/>
  <c r="GO74" i="4"/>
  <c r="GO75" i="4" s="1"/>
  <c r="GO78" i="4"/>
  <c r="GO81" i="4"/>
  <c r="GO85" i="4"/>
  <c r="GO88" i="4"/>
  <c r="GD98" i="4"/>
  <c r="GD102" i="4" s="1"/>
  <c r="GK102" i="4"/>
  <c r="GB101" i="4"/>
  <c r="GB102" i="4" s="1"/>
  <c r="GN101" i="4"/>
  <c r="GT98" i="4"/>
  <c r="GV101" i="4"/>
  <c r="HG100" i="4"/>
  <c r="HC101" i="4"/>
  <c r="HA102" i="4"/>
  <c r="HE102" i="4"/>
  <c r="HG99" i="4"/>
  <c r="GN102" i="4"/>
  <c r="GO99" i="4"/>
  <c r="FW99" i="4"/>
  <c r="FE99" i="4"/>
  <c r="EM99" i="4"/>
  <c r="DO102" i="4"/>
  <c r="DU99" i="4"/>
  <c r="DU101" i="4" s="1"/>
  <c r="DC99" i="4"/>
  <c r="DC101" i="4" s="1"/>
  <c r="CK99" i="4"/>
  <c r="CK101" i="4" s="1"/>
  <c r="BS99" i="4"/>
  <c r="BA40" i="4"/>
  <c r="BA99" i="4"/>
  <c r="AI99" i="4"/>
  <c r="AI101" i="4" s="1"/>
  <c r="FS102" i="4" l="1"/>
  <c r="FU102" i="4"/>
  <c r="ER102" i="4"/>
  <c r="EL102" i="4"/>
  <c r="EM101" i="4"/>
  <c r="EK102" i="4"/>
  <c r="BA47" i="4"/>
  <c r="BA33" i="4"/>
  <c r="BS19" i="4"/>
  <c r="CK40" i="4"/>
  <c r="GO101" i="4"/>
  <c r="GT102" i="4"/>
  <c r="FL102" i="4"/>
  <c r="AG102" i="4"/>
  <c r="FW98" i="4"/>
  <c r="CY102" i="4"/>
  <c r="AI89" i="4"/>
  <c r="AP102" i="4"/>
  <c r="CI102" i="4"/>
  <c r="DC89" i="4"/>
  <c r="DC75" i="4"/>
  <c r="FW101" i="4"/>
  <c r="FA102" i="4"/>
  <c r="X102" i="4"/>
  <c r="V102" i="4"/>
  <c r="GM102" i="4"/>
  <c r="DB102" i="4"/>
  <c r="CR102" i="4"/>
  <c r="DA102" i="4"/>
  <c r="CG102" i="4"/>
  <c r="BZ102" i="4"/>
  <c r="CK98" i="4"/>
  <c r="CK102" i="4" s="1"/>
  <c r="BH102" i="4"/>
  <c r="BM102" i="4"/>
  <c r="BQ102" i="4"/>
  <c r="AI82" i="4"/>
  <c r="AI68" i="4"/>
  <c r="GO89" i="4"/>
  <c r="BS98" i="4"/>
  <c r="BA12" i="4"/>
  <c r="AI19" i="4"/>
  <c r="AY102" i="4"/>
  <c r="AW102" i="4"/>
  <c r="AI61" i="4"/>
  <c r="AI54" i="4"/>
  <c r="AI12" i="4"/>
  <c r="BA101" i="4"/>
  <c r="BS101" i="4"/>
  <c r="FE101" i="4"/>
  <c r="GO82" i="4"/>
  <c r="AE102" i="4"/>
  <c r="GI102" i="4"/>
  <c r="DU98" i="4"/>
  <c r="DJ102" i="4"/>
  <c r="DC98" i="4"/>
  <c r="DC102" i="4" s="1"/>
  <c r="HG98" i="4"/>
  <c r="EY102" i="4"/>
  <c r="BA98" i="4"/>
  <c r="HC102" i="4"/>
  <c r="GO98" i="4"/>
  <c r="GO102" i="4" s="1"/>
  <c r="CW102" i="4"/>
  <c r="DU102" i="4"/>
  <c r="AU102" i="4"/>
  <c r="GV102" i="4"/>
  <c r="EM98" i="4"/>
  <c r="EM102" i="4" s="1"/>
  <c r="AI98" i="4"/>
  <c r="AI102" i="4" s="1"/>
  <c r="FQ102" i="4"/>
  <c r="HG101" i="4"/>
  <c r="HG102" i="4" s="1"/>
  <c r="FE98" i="4"/>
  <c r="FE102" i="4" s="1"/>
  <c r="HI83" i="4"/>
  <c r="HI76" i="4"/>
  <c r="HI69" i="4"/>
  <c r="HI62" i="4"/>
  <c r="HI55" i="4"/>
  <c r="HI48" i="4"/>
  <c r="HI41" i="4"/>
  <c r="HI34" i="4"/>
  <c r="HI27" i="4"/>
  <c r="HI20" i="4"/>
  <c r="HI13" i="4"/>
  <c r="HI6" i="4"/>
  <c r="P71" i="4"/>
  <c r="O71" i="4"/>
  <c r="M71" i="4"/>
  <c r="K71" i="4"/>
  <c r="F71" i="4"/>
  <c r="D71" i="4"/>
  <c r="FW102" i="4" l="1"/>
  <c r="BS102" i="4"/>
  <c r="BA102" i="4"/>
  <c r="HC2" i="5"/>
  <c r="GK2" i="5"/>
  <c r="FS2" i="5"/>
  <c r="FA2" i="5"/>
  <c r="EI2" i="5"/>
  <c r="DQ2" i="5"/>
  <c r="CY2" i="5"/>
  <c r="CG2" i="5"/>
  <c r="BO2" i="5"/>
  <c r="AW2" i="5"/>
  <c r="AE2" i="5"/>
  <c r="HF11" i="5"/>
  <c r="HE11" i="5"/>
  <c r="HD11" i="5"/>
  <c r="HC11" i="5"/>
  <c r="HB11" i="5"/>
  <c r="HA11" i="5"/>
  <c r="GZ11" i="5"/>
  <c r="GY11" i="5"/>
  <c r="GX11" i="5"/>
  <c r="GW11" i="5"/>
  <c r="GV11" i="5"/>
  <c r="GU11" i="5"/>
  <c r="GT11" i="5"/>
  <c r="HF10" i="5"/>
  <c r="HE10" i="5"/>
  <c r="HD10" i="5"/>
  <c r="HC10" i="5"/>
  <c r="HB10" i="5"/>
  <c r="HA10" i="5"/>
  <c r="GZ10" i="5"/>
  <c r="GY10" i="5"/>
  <c r="GX10" i="5"/>
  <c r="GW10" i="5"/>
  <c r="GV10" i="5"/>
  <c r="GU10" i="5"/>
  <c r="GT10" i="5"/>
  <c r="HF8" i="5"/>
  <c r="HE8" i="5"/>
  <c r="HD8" i="5"/>
  <c r="HC8" i="5"/>
  <c r="HB8" i="5"/>
  <c r="HA8" i="5"/>
  <c r="GZ8" i="5"/>
  <c r="GY8" i="5"/>
  <c r="GX8" i="5"/>
  <c r="GW8" i="5"/>
  <c r="GV8" i="5"/>
  <c r="GU8" i="5"/>
  <c r="HF7" i="5"/>
  <c r="HD7" i="5"/>
  <c r="HB7" i="5"/>
  <c r="HA7" i="5"/>
  <c r="GZ7" i="5"/>
  <c r="GY7" i="5"/>
  <c r="GX7" i="5"/>
  <c r="GW7" i="5"/>
  <c r="GV7" i="5"/>
  <c r="GU7" i="5"/>
  <c r="GT7" i="5"/>
  <c r="GN11" i="5"/>
  <c r="GM11" i="5"/>
  <c r="GL11" i="5"/>
  <c r="GJ11" i="5"/>
  <c r="GI11" i="5"/>
  <c r="GH11" i="5"/>
  <c r="GG11" i="5"/>
  <c r="GF11" i="5"/>
  <c r="GE11" i="5"/>
  <c r="GD11" i="5"/>
  <c r="GB11" i="5"/>
  <c r="GN10" i="5"/>
  <c r="GM10" i="5"/>
  <c r="GL10" i="5"/>
  <c r="GK10" i="5"/>
  <c r="GJ10" i="5"/>
  <c r="GH10" i="5"/>
  <c r="GG10" i="5"/>
  <c r="GF10" i="5"/>
  <c r="GD10" i="5"/>
  <c r="GC10" i="5"/>
  <c r="GB10" i="5"/>
  <c r="GN8" i="5"/>
  <c r="GM8" i="5"/>
  <c r="GL8" i="5"/>
  <c r="GK8" i="5"/>
  <c r="GJ8" i="5"/>
  <c r="GI8" i="5"/>
  <c r="GH8" i="5"/>
  <c r="GG8" i="5"/>
  <c r="GF8" i="5"/>
  <c r="GE8" i="5"/>
  <c r="GD8" i="5"/>
  <c r="GC8" i="5"/>
  <c r="GN7" i="5"/>
  <c r="GM7" i="5"/>
  <c r="GL7" i="5"/>
  <c r="GK7" i="5"/>
  <c r="GJ7" i="5"/>
  <c r="GI7" i="5"/>
  <c r="GH7" i="5"/>
  <c r="GG7" i="5"/>
  <c r="GF7" i="5"/>
  <c r="GE7" i="5"/>
  <c r="GD7" i="5"/>
  <c r="GC7" i="5"/>
  <c r="GB7" i="5"/>
  <c r="FV11" i="5"/>
  <c r="FU11" i="5"/>
  <c r="FT11" i="5"/>
  <c r="FS11" i="5"/>
  <c r="FR11" i="5"/>
  <c r="FQ11" i="5"/>
  <c r="FP11" i="5"/>
  <c r="FO11" i="5"/>
  <c r="FN11" i="5"/>
  <c r="FM11" i="5"/>
  <c r="FL11" i="5"/>
  <c r="FK11" i="5"/>
  <c r="FJ11" i="5"/>
  <c r="FT10" i="5"/>
  <c r="FS10" i="5"/>
  <c r="FR10" i="5"/>
  <c r="FQ10" i="5"/>
  <c r="FP10" i="5"/>
  <c r="FO10" i="5"/>
  <c r="FN10" i="5"/>
  <c r="FM10" i="5"/>
  <c r="FL10" i="5"/>
  <c r="FK10" i="5"/>
  <c r="FV8" i="5"/>
  <c r="FU8" i="5"/>
  <c r="FT8" i="5"/>
  <c r="FS8" i="5"/>
  <c r="FR8" i="5"/>
  <c r="FQ8" i="5"/>
  <c r="FP8" i="5"/>
  <c r="FO8" i="5"/>
  <c r="FN8" i="5"/>
  <c r="FM8" i="5"/>
  <c r="FL8" i="5"/>
  <c r="FK8" i="5"/>
  <c r="FT7" i="5"/>
  <c r="FS7" i="5"/>
  <c r="FR7" i="5"/>
  <c r="FQ7" i="5"/>
  <c r="FP7" i="5"/>
  <c r="FO7" i="5"/>
  <c r="FN7" i="5"/>
  <c r="FM7" i="5"/>
  <c r="FL7" i="5"/>
  <c r="FK7" i="5"/>
  <c r="FD11" i="5"/>
  <c r="FC11" i="5"/>
  <c r="FB11" i="5"/>
  <c r="FA11" i="5"/>
  <c r="EZ11" i="5"/>
  <c r="EY11" i="5"/>
  <c r="EX11" i="5"/>
  <c r="EW11" i="5"/>
  <c r="EV11" i="5"/>
  <c r="EU11" i="5"/>
  <c r="ET11" i="5"/>
  <c r="ES11" i="5"/>
  <c r="ER11" i="5"/>
  <c r="FC10" i="5"/>
  <c r="FB10" i="5"/>
  <c r="FA10" i="5"/>
  <c r="EZ10" i="5"/>
  <c r="EY10" i="5"/>
  <c r="EX10" i="5"/>
  <c r="EW10" i="5"/>
  <c r="EV10" i="5"/>
  <c r="EU10" i="5"/>
  <c r="ET10" i="5"/>
  <c r="ES10" i="5"/>
  <c r="FD8" i="5"/>
  <c r="FC8" i="5"/>
  <c r="FB8" i="5"/>
  <c r="FA8" i="5"/>
  <c r="EZ8" i="5"/>
  <c r="EY8" i="5"/>
  <c r="EX8" i="5"/>
  <c r="EW8" i="5"/>
  <c r="EV8" i="5"/>
  <c r="EU8" i="5"/>
  <c r="ET8" i="5"/>
  <c r="ES8" i="5"/>
  <c r="FC7" i="5"/>
  <c r="FB7" i="5"/>
  <c r="FA7" i="5"/>
  <c r="EZ7" i="5"/>
  <c r="EY7" i="5"/>
  <c r="EX7" i="5"/>
  <c r="EW7" i="5"/>
  <c r="EV7" i="5"/>
  <c r="EU7" i="5"/>
  <c r="ET7" i="5"/>
  <c r="ES7" i="5"/>
  <c r="EL11" i="5"/>
  <c r="EK11" i="5"/>
  <c r="EJ11" i="5"/>
  <c r="EI11" i="5"/>
  <c r="EH11" i="5"/>
  <c r="EG11" i="5"/>
  <c r="EF11" i="5"/>
  <c r="EE11" i="5"/>
  <c r="ED11" i="5"/>
  <c r="EC11" i="5"/>
  <c r="EB11" i="5"/>
  <c r="EA11" i="5"/>
  <c r="DZ11" i="5"/>
  <c r="EJ10" i="5"/>
  <c r="EI10" i="5"/>
  <c r="EH10" i="5"/>
  <c r="EF10" i="5"/>
  <c r="EE10" i="5"/>
  <c r="ED10" i="5"/>
  <c r="EC10" i="5"/>
  <c r="EB10" i="5"/>
  <c r="EA10" i="5"/>
  <c r="DZ10" i="5"/>
  <c r="EL8" i="5"/>
  <c r="EK8" i="5"/>
  <c r="EJ8" i="5"/>
  <c r="EI8" i="5"/>
  <c r="EH8" i="5"/>
  <c r="EG8" i="5"/>
  <c r="EF8" i="5"/>
  <c r="EE8" i="5"/>
  <c r="ED8" i="5"/>
  <c r="EC8" i="5"/>
  <c r="EB8" i="5"/>
  <c r="EA8" i="5"/>
  <c r="EL7" i="5"/>
  <c r="EL9" i="5" s="1"/>
  <c r="EJ7" i="5"/>
  <c r="EH7" i="5"/>
  <c r="EG7" i="5"/>
  <c r="EF7" i="5"/>
  <c r="EE7" i="5"/>
  <c r="ED7" i="5"/>
  <c r="EC7" i="5"/>
  <c r="EB7" i="5"/>
  <c r="EA7" i="5"/>
  <c r="DZ7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T10" i="5"/>
  <c r="DR10" i="5"/>
  <c r="DQ10" i="5"/>
  <c r="DP10" i="5"/>
  <c r="DN10" i="5"/>
  <c r="DM10" i="5"/>
  <c r="DL10" i="5"/>
  <c r="DK10" i="5"/>
  <c r="DJ10" i="5"/>
  <c r="DI10" i="5"/>
  <c r="DH10" i="5"/>
  <c r="DT8" i="5"/>
  <c r="DS8" i="5"/>
  <c r="DR8" i="5"/>
  <c r="DQ8" i="5"/>
  <c r="DP8" i="5"/>
  <c r="DO8" i="5"/>
  <c r="DN8" i="5"/>
  <c r="DM8" i="5"/>
  <c r="DL8" i="5"/>
  <c r="DK8" i="5"/>
  <c r="DJ8" i="5"/>
  <c r="DI8" i="5"/>
  <c r="DT7" i="5"/>
  <c r="DR7" i="5"/>
  <c r="DP7" i="5"/>
  <c r="DO7" i="5"/>
  <c r="DN7" i="5"/>
  <c r="DM7" i="5"/>
  <c r="DL7" i="5"/>
  <c r="DK7" i="5"/>
  <c r="DJ7" i="5"/>
  <c r="DI7" i="5"/>
  <c r="DH7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Z10" i="5"/>
  <c r="CY10" i="5"/>
  <c r="CX10" i="5"/>
  <c r="CV10" i="5"/>
  <c r="CU10" i="5"/>
  <c r="CT10" i="5"/>
  <c r="CS10" i="5"/>
  <c r="CR10" i="5"/>
  <c r="CQ10" i="5"/>
  <c r="CP10" i="5"/>
  <c r="DB8" i="5"/>
  <c r="DA8" i="5"/>
  <c r="CZ8" i="5"/>
  <c r="CY8" i="5"/>
  <c r="CX8" i="5"/>
  <c r="CW8" i="5"/>
  <c r="CV8" i="5"/>
  <c r="CU8" i="5"/>
  <c r="CT8" i="5"/>
  <c r="CS8" i="5"/>
  <c r="CR8" i="5"/>
  <c r="CQ8" i="5"/>
  <c r="DB7" i="5"/>
  <c r="DB9" i="5" s="1"/>
  <c r="CZ7" i="5"/>
  <c r="CX7" i="5"/>
  <c r="CW7" i="5"/>
  <c r="CV7" i="5"/>
  <c r="CU7" i="5"/>
  <c r="CT7" i="5"/>
  <c r="CS7" i="5"/>
  <c r="CR7" i="5"/>
  <c r="CQ7" i="5"/>
  <c r="CP7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CH10" i="5"/>
  <c r="CG10" i="5"/>
  <c r="CF10" i="5"/>
  <c r="CD10" i="5"/>
  <c r="CC10" i="5"/>
  <c r="CB10" i="5"/>
  <c r="CA10" i="5"/>
  <c r="BZ10" i="5"/>
  <c r="BY10" i="5"/>
  <c r="CJ8" i="5"/>
  <c r="CI8" i="5"/>
  <c r="CH8" i="5"/>
  <c r="CG8" i="5"/>
  <c r="CF8" i="5"/>
  <c r="CE8" i="5"/>
  <c r="CD8" i="5"/>
  <c r="CC8" i="5"/>
  <c r="CB8" i="5"/>
  <c r="CA8" i="5"/>
  <c r="BZ8" i="5"/>
  <c r="BY8" i="5"/>
  <c r="CH7" i="5"/>
  <c r="CG7" i="5"/>
  <c r="CF7" i="5"/>
  <c r="CE7" i="5"/>
  <c r="CD7" i="5"/>
  <c r="CC7" i="5"/>
  <c r="CB7" i="5"/>
  <c r="CA7" i="5"/>
  <c r="BZ7" i="5"/>
  <c r="BY7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P10" i="5"/>
  <c r="BO10" i="5"/>
  <c r="BN10" i="5"/>
  <c r="BL10" i="5"/>
  <c r="BK10" i="5"/>
  <c r="BJ10" i="5"/>
  <c r="BI10" i="5"/>
  <c r="BH10" i="5"/>
  <c r="BG10" i="5"/>
  <c r="BF10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P7" i="5"/>
  <c r="BN7" i="5"/>
  <c r="BL7" i="5"/>
  <c r="BK7" i="5"/>
  <c r="BJ7" i="5"/>
  <c r="BI7" i="5"/>
  <c r="BG7" i="5"/>
  <c r="BF7" i="5"/>
  <c r="AZ11" i="5"/>
  <c r="AY11" i="5"/>
  <c r="AX11" i="5"/>
  <c r="AW11" i="5"/>
  <c r="AV11" i="5"/>
  <c r="AU11" i="5"/>
  <c r="AT11" i="5"/>
  <c r="AS11" i="5"/>
  <c r="AR11" i="5"/>
  <c r="AQ11" i="5"/>
  <c r="AP11" i="5"/>
  <c r="AN11" i="5"/>
  <c r="AX10" i="5"/>
  <c r="AW10" i="5"/>
  <c r="AV10" i="5"/>
  <c r="AT10" i="5"/>
  <c r="AS10" i="5"/>
  <c r="AR10" i="5"/>
  <c r="AQ10" i="5"/>
  <c r="AP10" i="5"/>
  <c r="AO10" i="5"/>
  <c r="AZ8" i="5"/>
  <c r="AY8" i="5"/>
  <c r="AX8" i="5"/>
  <c r="AW8" i="5"/>
  <c r="AV8" i="5"/>
  <c r="AU8" i="5"/>
  <c r="AT8" i="5"/>
  <c r="AS8" i="5"/>
  <c r="AR8" i="5"/>
  <c r="AQ8" i="5"/>
  <c r="AP8" i="5"/>
  <c r="AO8" i="5"/>
  <c r="AX7" i="5"/>
  <c r="AW7" i="5"/>
  <c r="AV7" i="5"/>
  <c r="AU7" i="5"/>
  <c r="AT7" i="5"/>
  <c r="AS7" i="5"/>
  <c r="AR7" i="5"/>
  <c r="AQ7" i="5"/>
  <c r="AO7" i="5"/>
  <c r="AH11" i="5"/>
  <c r="AG11" i="5"/>
  <c r="AF11" i="5"/>
  <c r="AE11" i="5"/>
  <c r="AD11" i="5"/>
  <c r="AC11" i="5"/>
  <c r="AB11" i="5"/>
  <c r="AA11" i="5"/>
  <c r="Z11" i="5"/>
  <c r="Y11" i="5"/>
  <c r="X11" i="5"/>
  <c r="V11" i="5"/>
  <c r="AF10" i="5"/>
  <c r="AE10" i="5"/>
  <c r="AD10" i="5"/>
  <c r="AB10" i="5"/>
  <c r="AA10" i="5"/>
  <c r="Z10" i="5"/>
  <c r="Y10" i="5"/>
  <c r="X10" i="5"/>
  <c r="W10" i="5"/>
  <c r="V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AF7" i="5"/>
  <c r="AE7" i="5"/>
  <c r="AD7" i="5"/>
  <c r="AC7" i="5"/>
  <c r="AB7" i="5"/>
  <c r="AA7" i="5"/>
  <c r="Z7" i="5"/>
  <c r="Y7" i="5"/>
  <c r="W7" i="5"/>
  <c r="V7" i="5"/>
  <c r="HU1" i="4"/>
  <c r="HL6" i="4"/>
  <c r="HM6" i="4"/>
  <c r="HN6" i="4"/>
  <c r="HO6" i="4"/>
  <c r="HP6" i="4"/>
  <c r="HQ6" i="4"/>
  <c r="HR6" i="4"/>
  <c r="HS6" i="4"/>
  <c r="HT6" i="4"/>
  <c r="HU6" i="4"/>
  <c r="HV6" i="4"/>
  <c r="HW6" i="4"/>
  <c r="HX6" i="4"/>
  <c r="HL7" i="4"/>
  <c r="HM7" i="4"/>
  <c r="HN7" i="4"/>
  <c r="HO7" i="4"/>
  <c r="HP7" i="4"/>
  <c r="HQ7" i="4"/>
  <c r="HR7" i="4"/>
  <c r="HS7" i="4"/>
  <c r="HT7" i="4"/>
  <c r="HU7" i="4"/>
  <c r="HV7" i="4"/>
  <c r="HW7" i="4"/>
  <c r="HX7" i="4"/>
  <c r="HL9" i="4"/>
  <c r="HM9" i="4"/>
  <c r="HN9" i="4"/>
  <c r="HO9" i="4"/>
  <c r="HP9" i="4"/>
  <c r="HQ9" i="4"/>
  <c r="HR9" i="4"/>
  <c r="HS9" i="4"/>
  <c r="HT9" i="4"/>
  <c r="HU9" i="4"/>
  <c r="HV9" i="4"/>
  <c r="HW9" i="4"/>
  <c r="HX9" i="4"/>
  <c r="HL10" i="4"/>
  <c r="HM10" i="4"/>
  <c r="HN10" i="4"/>
  <c r="HO10" i="4"/>
  <c r="HP10" i="4"/>
  <c r="HQ10" i="4"/>
  <c r="HR10" i="4"/>
  <c r="HS10" i="4"/>
  <c r="HT10" i="4"/>
  <c r="HU10" i="4"/>
  <c r="HV10" i="4"/>
  <c r="HW10" i="4"/>
  <c r="HX10" i="4"/>
  <c r="HL13" i="4"/>
  <c r="HM13" i="4"/>
  <c r="HN13" i="4"/>
  <c r="HO13" i="4"/>
  <c r="HP13" i="4"/>
  <c r="HQ13" i="4"/>
  <c r="HR13" i="4"/>
  <c r="HS13" i="4"/>
  <c r="HT13" i="4"/>
  <c r="HU13" i="4"/>
  <c r="HV13" i="4"/>
  <c r="HW13" i="4"/>
  <c r="HX13" i="4"/>
  <c r="HL14" i="4"/>
  <c r="HM14" i="4"/>
  <c r="HN14" i="4"/>
  <c r="HO14" i="4"/>
  <c r="HP14" i="4"/>
  <c r="HQ14" i="4"/>
  <c r="HR14" i="4"/>
  <c r="HS14" i="4"/>
  <c r="HT14" i="4"/>
  <c r="HU14" i="4"/>
  <c r="HV14" i="4"/>
  <c r="HW14" i="4"/>
  <c r="HX14" i="4"/>
  <c r="HL16" i="4"/>
  <c r="HM16" i="4"/>
  <c r="HN16" i="4"/>
  <c r="HO16" i="4"/>
  <c r="HP16" i="4"/>
  <c r="HQ16" i="4"/>
  <c r="HR16" i="4"/>
  <c r="HS16" i="4"/>
  <c r="HT16" i="4"/>
  <c r="HU16" i="4"/>
  <c r="HV16" i="4"/>
  <c r="HW16" i="4"/>
  <c r="HX16" i="4"/>
  <c r="HL17" i="4"/>
  <c r="HM17" i="4"/>
  <c r="HN17" i="4"/>
  <c r="HO17" i="4"/>
  <c r="HP17" i="4"/>
  <c r="HQ17" i="4"/>
  <c r="HR17" i="4"/>
  <c r="HS17" i="4"/>
  <c r="HT17" i="4"/>
  <c r="HU17" i="4"/>
  <c r="HV17" i="4"/>
  <c r="HW17" i="4"/>
  <c r="HX17" i="4"/>
  <c r="HL20" i="4"/>
  <c r="HM20" i="4"/>
  <c r="HN20" i="4"/>
  <c r="HO20" i="4"/>
  <c r="HP20" i="4"/>
  <c r="HQ20" i="4"/>
  <c r="HR20" i="4"/>
  <c r="HS20" i="4"/>
  <c r="HT20" i="4"/>
  <c r="HU20" i="4"/>
  <c r="HV20" i="4"/>
  <c r="HW20" i="4"/>
  <c r="HX20" i="4"/>
  <c r="HL21" i="4"/>
  <c r="HM21" i="4"/>
  <c r="HN21" i="4"/>
  <c r="HO21" i="4"/>
  <c r="HP21" i="4"/>
  <c r="HQ21" i="4"/>
  <c r="HR21" i="4"/>
  <c r="HS21" i="4"/>
  <c r="HT21" i="4"/>
  <c r="HU21" i="4"/>
  <c r="HV21" i="4"/>
  <c r="HW21" i="4"/>
  <c r="HX21" i="4"/>
  <c r="HL23" i="4"/>
  <c r="HM23" i="4"/>
  <c r="HN23" i="4"/>
  <c r="HO23" i="4"/>
  <c r="HP23" i="4"/>
  <c r="HQ23" i="4"/>
  <c r="HR23" i="4"/>
  <c r="HS23" i="4"/>
  <c r="HT23" i="4"/>
  <c r="HU23" i="4"/>
  <c r="HV23" i="4"/>
  <c r="HW23" i="4"/>
  <c r="HX23" i="4"/>
  <c r="HL24" i="4"/>
  <c r="HM24" i="4"/>
  <c r="HN24" i="4"/>
  <c r="HO24" i="4"/>
  <c r="HP24" i="4"/>
  <c r="HQ24" i="4"/>
  <c r="HR24" i="4"/>
  <c r="HS24" i="4"/>
  <c r="HT24" i="4"/>
  <c r="HU24" i="4"/>
  <c r="HV24" i="4"/>
  <c r="HW24" i="4"/>
  <c r="HX24" i="4"/>
  <c r="HL27" i="4"/>
  <c r="HM27" i="4"/>
  <c r="HN27" i="4"/>
  <c r="HO27" i="4"/>
  <c r="HP27" i="4"/>
  <c r="HQ27" i="4"/>
  <c r="HR27" i="4"/>
  <c r="HS27" i="4"/>
  <c r="HT27" i="4"/>
  <c r="HU27" i="4"/>
  <c r="HV27" i="4"/>
  <c r="HW27" i="4"/>
  <c r="HX27" i="4"/>
  <c r="HL28" i="4"/>
  <c r="HM28" i="4"/>
  <c r="HN28" i="4"/>
  <c r="HO28" i="4"/>
  <c r="HP28" i="4"/>
  <c r="HQ28" i="4"/>
  <c r="HR28" i="4"/>
  <c r="HS28" i="4"/>
  <c r="HT28" i="4"/>
  <c r="HU28" i="4"/>
  <c r="HV28" i="4"/>
  <c r="HW28" i="4"/>
  <c r="HX28" i="4"/>
  <c r="HL30" i="4"/>
  <c r="HM30" i="4"/>
  <c r="HN30" i="4"/>
  <c r="HO30" i="4"/>
  <c r="HP30" i="4"/>
  <c r="HQ30" i="4"/>
  <c r="HR30" i="4"/>
  <c r="HS30" i="4"/>
  <c r="HT30" i="4"/>
  <c r="HU30" i="4"/>
  <c r="HV30" i="4"/>
  <c r="HW30" i="4"/>
  <c r="HX30" i="4"/>
  <c r="HL31" i="4"/>
  <c r="HM31" i="4"/>
  <c r="HN31" i="4"/>
  <c r="HO31" i="4"/>
  <c r="HP31" i="4"/>
  <c r="HQ31" i="4"/>
  <c r="HR31" i="4"/>
  <c r="HS31" i="4"/>
  <c r="HT31" i="4"/>
  <c r="HU31" i="4"/>
  <c r="HV31" i="4"/>
  <c r="HW31" i="4"/>
  <c r="HX31" i="4"/>
  <c r="HL34" i="4"/>
  <c r="HM34" i="4"/>
  <c r="HN34" i="4"/>
  <c r="HO34" i="4"/>
  <c r="HP34" i="4"/>
  <c r="HQ34" i="4"/>
  <c r="HR34" i="4"/>
  <c r="HS34" i="4"/>
  <c r="HT34" i="4"/>
  <c r="HU34" i="4"/>
  <c r="HV34" i="4"/>
  <c r="HW34" i="4"/>
  <c r="HX34" i="4"/>
  <c r="HL35" i="4"/>
  <c r="HM35" i="4"/>
  <c r="HN35" i="4"/>
  <c r="HO35" i="4"/>
  <c r="HP35" i="4"/>
  <c r="HQ35" i="4"/>
  <c r="HR35" i="4"/>
  <c r="HS35" i="4"/>
  <c r="HT35" i="4"/>
  <c r="HU35" i="4"/>
  <c r="HV35" i="4"/>
  <c r="HW35" i="4"/>
  <c r="HX35" i="4"/>
  <c r="HL37" i="4"/>
  <c r="HM37" i="4"/>
  <c r="HN37" i="4"/>
  <c r="HO37" i="4"/>
  <c r="HP37" i="4"/>
  <c r="HQ37" i="4"/>
  <c r="HR37" i="4"/>
  <c r="HS37" i="4"/>
  <c r="HT37" i="4"/>
  <c r="HU37" i="4"/>
  <c r="HV37" i="4"/>
  <c r="HW37" i="4"/>
  <c r="HX37" i="4"/>
  <c r="HL38" i="4"/>
  <c r="HM38" i="4"/>
  <c r="HN38" i="4"/>
  <c r="HO38" i="4"/>
  <c r="HP38" i="4"/>
  <c r="HQ38" i="4"/>
  <c r="HR38" i="4"/>
  <c r="HS38" i="4"/>
  <c r="HT38" i="4"/>
  <c r="HU38" i="4"/>
  <c r="HV38" i="4"/>
  <c r="HW38" i="4"/>
  <c r="HX38" i="4"/>
  <c r="HL41" i="4"/>
  <c r="HM41" i="4"/>
  <c r="HN41" i="4"/>
  <c r="HO41" i="4"/>
  <c r="HP41" i="4"/>
  <c r="HQ41" i="4"/>
  <c r="HR41" i="4"/>
  <c r="HS41" i="4"/>
  <c r="HT41" i="4"/>
  <c r="HU41" i="4"/>
  <c r="HV41" i="4"/>
  <c r="HW41" i="4"/>
  <c r="HX41" i="4"/>
  <c r="HL42" i="4"/>
  <c r="HM42" i="4"/>
  <c r="HN42" i="4"/>
  <c r="HO42" i="4"/>
  <c r="HP42" i="4"/>
  <c r="HQ42" i="4"/>
  <c r="HR42" i="4"/>
  <c r="HS42" i="4"/>
  <c r="HT42" i="4"/>
  <c r="HU42" i="4"/>
  <c r="HV42" i="4"/>
  <c r="HW42" i="4"/>
  <c r="HX42" i="4"/>
  <c r="HL44" i="4"/>
  <c r="HM44" i="4"/>
  <c r="HN44" i="4"/>
  <c r="HO44" i="4"/>
  <c r="HP44" i="4"/>
  <c r="HQ44" i="4"/>
  <c r="HR44" i="4"/>
  <c r="HS44" i="4"/>
  <c r="HT44" i="4"/>
  <c r="HU44" i="4"/>
  <c r="HV44" i="4"/>
  <c r="HW44" i="4"/>
  <c r="HX44" i="4"/>
  <c r="HL45" i="4"/>
  <c r="HM45" i="4"/>
  <c r="HN45" i="4"/>
  <c r="HO45" i="4"/>
  <c r="HP45" i="4"/>
  <c r="HQ45" i="4"/>
  <c r="HR45" i="4"/>
  <c r="HS45" i="4"/>
  <c r="HT45" i="4"/>
  <c r="HU45" i="4"/>
  <c r="HV45" i="4"/>
  <c r="HW45" i="4"/>
  <c r="HX45" i="4"/>
  <c r="HL48" i="4"/>
  <c r="HM48" i="4"/>
  <c r="HN48" i="4"/>
  <c r="HO48" i="4"/>
  <c r="HP48" i="4"/>
  <c r="HQ48" i="4"/>
  <c r="HR48" i="4"/>
  <c r="HS48" i="4"/>
  <c r="HT48" i="4"/>
  <c r="HU48" i="4"/>
  <c r="HV48" i="4"/>
  <c r="HW48" i="4"/>
  <c r="HX48" i="4"/>
  <c r="HL49" i="4"/>
  <c r="HM49" i="4"/>
  <c r="HN49" i="4"/>
  <c r="HO49" i="4"/>
  <c r="HP49" i="4"/>
  <c r="HQ49" i="4"/>
  <c r="HR49" i="4"/>
  <c r="HS49" i="4"/>
  <c r="HT49" i="4"/>
  <c r="HU49" i="4"/>
  <c r="HV49" i="4"/>
  <c r="HW49" i="4"/>
  <c r="HX49" i="4"/>
  <c r="HL51" i="4"/>
  <c r="HM51" i="4"/>
  <c r="HN51" i="4"/>
  <c r="HO51" i="4"/>
  <c r="HP51" i="4"/>
  <c r="HQ51" i="4"/>
  <c r="HR51" i="4"/>
  <c r="HS51" i="4"/>
  <c r="HT51" i="4"/>
  <c r="HU51" i="4"/>
  <c r="HV51" i="4"/>
  <c r="HW51" i="4"/>
  <c r="HX51" i="4"/>
  <c r="HL52" i="4"/>
  <c r="HM52" i="4"/>
  <c r="HN52" i="4"/>
  <c r="HO52" i="4"/>
  <c r="HP52" i="4"/>
  <c r="HQ52" i="4"/>
  <c r="HR52" i="4"/>
  <c r="HS52" i="4"/>
  <c r="HT52" i="4"/>
  <c r="HU52" i="4"/>
  <c r="HV52" i="4"/>
  <c r="HW52" i="4"/>
  <c r="HX52" i="4"/>
  <c r="HL55" i="4"/>
  <c r="HM55" i="4"/>
  <c r="HN55" i="4"/>
  <c r="HO55" i="4"/>
  <c r="HP55" i="4"/>
  <c r="HQ55" i="4"/>
  <c r="HR55" i="4"/>
  <c r="HS55" i="4"/>
  <c r="HT55" i="4"/>
  <c r="HU55" i="4"/>
  <c r="HV55" i="4"/>
  <c r="HW55" i="4"/>
  <c r="HX55" i="4"/>
  <c r="HL56" i="4"/>
  <c r="HM56" i="4"/>
  <c r="HN56" i="4"/>
  <c r="HO56" i="4"/>
  <c r="HP56" i="4"/>
  <c r="HQ56" i="4"/>
  <c r="HR56" i="4"/>
  <c r="HS56" i="4"/>
  <c r="HT56" i="4"/>
  <c r="HU56" i="4"/>
  <c r="HV56" i="4"/>
  <c r="HW56" i="4"/>
  <c r="HX56" i="4"/>
  <c r="HL58" i="4"/>
  <c r="HM58" i="4"/>
  <c r="HN58" i="4"/>
  <c r="HO58" i="4"/>
  <c r="HP58" i="4"/>
  <c r="HQ58" i="4"/>
  <c r="HR58" i="4"/>
  <c r="HS58" i="4"/>
  <c r="HT58" i="4"/>
  <c r="HU58" i="4"/>
  <c r="HV58" i="4"/>
  <c r="HW58" i="4"/>
  <c r="HX58" i="4"/>
  <c r="HL59" i="4"/>
  <c r="HM59" i="4"/>
  <c r="HN59" i="4"/>
  <c r="HO59" i="4"/>
  <c r="HP59" i="4"/>
  <c r="HQ59" i="4"/>
  <c r="HR59" i="4"/>
  <c r="HS59" i="4"/>
  <c r="HT59" i="4"/>
  <c r="HU59" i="4"/>
  <c r="HV59" i="4"/>
  <c r="HW59" i="4"/>
  <c r="HX59" i="4"/>
  <c r="HL62" i="4"/>
  <c r="HM62" i="4"/>
  <c r="HN62" i="4"/>
  <c r="HO62" i="4"/>
  <c r="HP62" i="4"/>
  <c r="HQ62" i="4"/>
  <c r="HR62" i="4"/>
  <c r="HS62" i="4"/>
  <c r="HT62" i="4"/>
  <c r="HU62" i="4"/>
  <c r="HV62" i="4"/>
  <c r="HW62" i="4"/>
  <c r="HX62" i="4"/>
  <c r="HL63" i="4"/>
  <c r="HM63" i="4"/>
  <c r="HN63" i="4"/>
  <c r="HO63" i="4"/>
  <c r="HP63" i="4"/>
  <c r="HQ63" i="4"/>
  <c r="HR63" i="4"/>
  <c r="HS63" i="4"/>
  <c r="HT63" i="4"/>
  <c r="HU63" i="4"/>
  <c r="HV63" i="4"/>
  <c r="HW63" i="4"/>
  <c r="HX63" i="4"/>
  <c r="HL65" i="4"/>
  <c r="HM65" i="4"/>
  <c r="HN65" i="4"/>
  <c r="HO65" i="4"/>
  <c r="HP65" i="4"/>
  <c r="HQ65" i="4"/>
  <c r="HR65" i="4"/>
  <c r="HS65" i="4"/>
  <c r="HT65" i="4"/>
  <c r="HU65" i="4"/>
  <c r="HV65" i="4"/>
  <c r="HW65" i="4"/>
  <c r="HX65" i="4"/>
  <c r="HL66" i="4"/>
  <c r="HM66" i="4"/>
  <c r="HN66" i="4"/>
  <c r="HO66" i="4"/>
  <c r="HP66" i="4"/>
  <c r="HQ66" i="4"/>
  <c r="HR66" i="4"/>
  <c r="HS66" i="4"/>
  <c r="HT66" i="4"/>
  <c r="HU66" i="4"/>
  <c r="HV66" i="4"/>
  <c r="HW66" i="4"/>
  <c r="HX66" i="4"/>
  <c r="HL69" i="4"/>
  <c r="HM69" i="4"/>
  <c r="HN69" i="4"/>
  <c r="HO69" i="4"/>
  <c r="HP69" i="4"/>
  <c r="HQ69" i="4"/>
  <c r="HR69" i="4"/>
  <c r="HS69" i="4"/>
  <c r="HT69" i="4"/>
  <c r="HU69" i="4"/>
  <c r="HV69" i="4"/>
  <c r="HW69" i="4"/>
  <c r="HX69" i="4"/>
  <c r="HL70" i="4"/>
  <c r="HM70" i="4"/>
  <c r="HN70" i="4"/>
  <c r="HO70" i="4"/>
  <c r="HP70" i="4"/>
  <c r="HQ70" i="4"/>
  <c r="HR70" i="4"/>
  <c r="HS70" i="4"/>
  <c r="HT70" i="4"/>
  <c r="HU70" i="4"/>
  <c r="HV70" i="4"/>
  <c r="HW70" i="4"/>
  <c r="HX70" i="4"/>
  <c r="HL72" i="4"/>
  <c r="HM72" i="4"/>
  <c r="HN72" i="4"/>
  <c r="HO72" i="4"/>
  <c r="HP72" i="4"/>
  <c r="HQ72" i="4"/>
  <c r="HR72" i="4"/>
  <c r="HS72" i="4"/>
  <c r="HT72" i="4"/>
  <c r="HU72" i="4"/>
  <c r="HV72" i="4"/>
  <c r="HW72" i="4"/>
  <c r="HX72" i="4"/>
  <c r="HL73" i="4"/>
  <c r="HM73" i="4"/>
  <c r="HN73" i="4"/>
  <c r="HO73" i="4"/>
  <c r="HP73" i="4"/>
  <c r="HQ73" i="4"/>
  <c r="HR73" i="4"/>
  <c r="HS73" i="4"/>
  <c r="HT73" i="4"/>
  <c r="HU73" i="4"/>
  <c r="HV73" i="4"/>
  <c r="HW73" i="4"/>
  <c r="HX73" i="4"/>
  <c r="HL76" i="4"/>
  <c r="HM76" i="4"/>
  <c r="HN76" i="4"/>
  <c r="HO76" i="4"/>
  <c r="HP76" i="4"/>
  <c r="HQ76" i="4"/>
  <c r="HR76" i="4"/>
  <c r="HS76" i="4"/>
  <c r="HT76" i="4"/>
  <c r="HU76" i="4"/>
  <c r="HV76" i="4"/>
  <c r="HW76" i="4"/>
  <c r="HX76" i="4"/>
  <c r="HL77" i="4"/>
  <c r="HM77" i="4"/>
  <c r="HN77" i="4"/>
  <c r="HO77" i="4"/>
  <c r="HP77" i="4"/>
  <c r="HQ77" i="4"/>
  <c r="HR77" i="4"/>
  <c r="HS77" i="4"/>
  <c r="HT77" i="4"/>
  <c r="HU77" i="4"/>
  <c r="HV77" i="4"/>
  <c r="HW77" i="4"/>
  <c r="HX77" i="4"/>
  <c r="HL79" i="4"/>
  <c r="HM79" i="4"/>
  <c r="HN79" i="4"/>
  <c r="HO79" i="4"/>
  <c r="HP79" i="4"/>
  <c r="HQ79" i="4"/>
  <c r="HR79" i="4"/>
  <c r="HS79" i="4"/>
  <c r="HT79" i="4"/>
  <c r="HU79" i="4"/>
  <c r="HV79" i="4"/>
  <c r="HW79" i="4"/>
  <c r="HX79" i="4"/>
  <c r="HL80" i="4"/>
  <c r="HM80" i="4"/>
  <c r="HN80" i="4"/>
  <c r="HO80" i="4"/>
  <c r="HP80" i="4"/>
  <c r="HQ80" i="4"/>
  <c r="HR80" i="4"/>
  <c r="HS80" i="4"/>
  <c r="HT80" i="4"/>
  <c r="HU80" i="4"/>
  <c r="HV80" i="4"/>
  <c r="HW80" i="4"/>
  <c r="HX80" i="4"/>
  <c r="HL83" i="4"/>
  <c r="HM83" i="4"/>
  <c r="HN83" i="4"/>
  <c r="HO83" i="4"/>
  <c r="HP83" i="4"/>
  <c r="HQ83" i="4"/>
  <c r="HR83" i="4"/>
  <c r="HS83" i="4"/>
  <c r="HT83" i="4"/>
  <c r="HU83" i="4"/>
  <c r="HV83" i="4"/>
  <c r="HW83" i="4"/>
  <c r="HX83" i="4"/>
  <c r="HL84" i="4"/>
  <c r="HM84" i="4"/>
  <c r="HN84" i="4"/>
  <c r="HO84" i="4"/>
  <c r="HP84" i="4"/>
  <c r="HQ84" i="4"/>
  <c r="HR84" i="4"/>
  <c r="HS84" i="4"/>
  <c r="HT84" i="4"/>
  <c r="HU84" i="4"/>
  <c r="HV84" i="4"/>
  <c r="HW84" i="4"/>
  <c r="HX84" i="4"/>
  <c r="HL86" i="4"/>
  <c r="HM86" i="4"/>
  <c r="HN86" i="4"/>
  <c r="HO86" i="4"/>
  <c r="HP86" i="4"/>
  <c r="HQ86" i="4"/>
  <c r="HR86" i="4"/>
  <c r="HS86" i="4"/>
  <c r="HT86" i="4"/>
  <c r="HU86" i="4"/>
  <c r="HV86" i="4"/>
  <c r="HW86" i="4"/>
  <c r="HX86" i="4"/>
  <c r="HL87" i="4"/>
  <c r="HM87" i="4"/>
  <c r="HN87" i="4"/>
  <c r="HO87" i="4"/>
  <c r="HP87" i="4"/>
  <c r="HQ87" i="4"/>
  <c r="HR87" i="4"/>
  <c r="HS87" i="4"/>
  <c r="HT87" i="4"/>
  <c r="HU87" i="4"/>
  <c r="HV87" i="4"/>
  <c r="HW87" i="4"/>
  <c r="HX87" i="4"/>
  <c r="HU91" i="4"/>
  <c r="HI96" i="4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E10" i="5"/>
  <c r="F10" i="5"/>
  <c r="G10" i="5"/>
  <c r="H10" i="5"/>
  <c r="I10" i="5"/>
  <c r="J10" i="5"/>
  <c r="K10" i="5"/>
  <c r="L10" i="5"/>
  <c r="M10" i="5"/>
  <c r="N10" i="5"/>
  <c r="O10" i="5"/>
  <c r="P10" i="5"/>
  <c r="D10" i="5"/>
  <c r="D8" i="5"/>
  <c r="E8" i="5"/>
  <c r="F8" i="5"/>
  <c r="G8" i="5"/>
  <c r="H8" i="5"/>
  <c r="I8" i="5"/>
  <c r="J8" i="5"/>
  <c r="K8" i="5"/>
  <c r="L8" i="5"/>
  <c r="M8" i="5"/>
  <c r="N8" i="5"/>
  <c r="O8" i="5"/>
  <c r="P8" i="5"/>
  <c r="E7" i="5"/>
  <c r="F7" i="5"/>
  <c r="G7" i="5"/>
  <c r="H7" i="5"/>
  <c r="I7" i="5"/>
  <c r="J7" i="5"/>
  <c r="K7" i="5"/>
  <c r="L7" i="5"/>
  <c r="M7" i="5"/>
  <c r="N7" i="5"/>
  <c r="O7" i="5"/>
  <c r="P7" i="5"/>
  <c r="D7" i="5"/>
  <c r="HX100" i="4" l="1"/>
  <c r="HT100" i="4"/>
  <c r="HP100" i="4"/>
  <c r="HL100" i="4"/>
  <c r="HU99" i="4"/>
  <c r="HQ99" i="4"/>
  <c r="HM99" i="4"/>
  <c r="HV97" i="4"/>
  <c r="HR97" i="4"/>
  <c r="HN97" i="4"/>
  <c r="HW96" i="4"/>
  <c r="HS96" i="4"/>
  <c r="HO96" i="4"/>
  <c r="HU100" i="4"/>
  <c r="HQ100" i="4"/>
  <c r="HM100" i="4"/>
  <c r="HV99" i="4"/>
  <c r="HR99" i="4"/>
  <c r="HN99" i="4"/>
  <c r="HW97" i="4"/>
  <c r="HS97" i="4"/>
  <c r="HO97" i="4"/>
  <c r="HX96" i="4"/>
  <c r="HT96" i="4"/>
  <c r="HP96" i="4"/>
  <c r="HL96" i="4"/>
  <c r="HV100" i="4"/>
  <c r="HR100" i="4"/>
  <c r="HN100" i="4"/>
  <c r="HW99" i="4"/>
  <c r="HS99" i="4"/>
  <c r="HO99" i="4"/>
  <c r="HX97" i="4"/>
  <c r="HT97" i="4"/>
  <c r="HP97" i="4"/>
  <c r="HL97" i="4"/>
  <c r="HU96" i="4"/>
  <c r="HQ96" i="4"/>
  <c r="HM96" i="4"/>
  <c r="HW100" i="4"/>
  <c r="HS100" i="4"/>
  <c r="HO100" i="4"/>
  <c r="HX99" i="4"/>
  <c r="HT99" i="4"/>
  <c r="HP99" i="4"/>
  <c r="HL99" i="4"/>
  <c r="HU97" i="4"/>
  <c r="HQ97" i="4"/>
  <c r="HM97" i="4"/>
  <c r="HV96" i="4"/>
  <c r="HR96" i="4"/>
  <c r="HN96" i="4"/>
  <c r="HF9" i="5"/>
  <c r="HA9" i="5"/>
  <c r="GV9" i="5"/>
  <c r="GI9" i="5"/>
  <c r="HC7" i="5"/>
  <c r="HC9" i="5" s="1"/>
  <c r="GT8" i="5"/>
  <c r="HG8" i="5" s="1"/>
  <c r="HE7" i="5"/>
  <c r="GO7" i="5"/>
  <c r="GN9" i="5"/>
  <c r="GD9" i="5"/>
  <c r="GK9" i="5"/>
  <c r="GM12" i="5"/>
  <c r="GE10" i="5"/>
  <c r="GI10" i="5"/>
  <c r="GI12" i="5" s="1"/>
  <c r="GB8" i="5"/>
  <c r="GC11" i="5"/>
  <c r="GB12" i="5" s="1"/>
  <c r="GK11" i="5"/>
  <c r="EL10" i="5"/>
  <c r="DT9" i="5"/>
  <c r="BR10" i="5"/>
  <c r="BR12" i="5" s="1"/>
  <c r="FV10" i="5"/>
  <c r="FV12" i="5" s="1"/>
  <c r="FV7" i="5"/>
  <c r="FU10" i="5"/>
  <c r="FS12" i="5"/>
  <c r="FQ12" i="5"/>
  <c r="FJ10" i="5"/>
  <c r="FJ12" i="5" s="1"/>
  <c r="FJ8" i="5"/>
  <c r="FW8" i="5" s="1"/>
  <c r="FU7" i="5"/>
  <c r="FU9" i="5" s="1"/>
  <c r="FQ9" i="5"/>
  <c r="FL9" i="5"/>
  <c r="FJ7" i="5"/>
  <c r="FD7" i="5"/>
  <c r="FD9" i="5" s="1"/>
  <c r="FD10" i="5"/>
  <c r="FD12" i="5" s="1"/>
  <c r="DB10" i="5"/>
  <c r="DB12" i="5" s="1"/>
  <c r="FC12" i="5"/>
  <c r="EY12" i="5"/>
  <c r="ER10" i="5"/>
  <c r="ER12" i="5" s="1"/>
  <c r="FC9" i="5"/>
  <c r="ER8" i="5"/>
  <c r="EY9" i="5"/>
  <c r="ET9" i="5"/>
  <c r="ER7" i="5"/>
  <c r="EI12" i="5"/>
  <c r="EK10" i="5"/>
  <c r="EG10" i="5"/>
  <c r="EG12" i="5" s="1"/>
  <c r="DZ8" i="5"/>
  <c r="EK7" i="5"/>
  <c r="EK9" i="5" s="1"/>
  <c r="EI7" i="5"/>
  <c r="EI9" i="5" s="1"/>
  <c r="EB9" i="5"/>
  <c r="DQ12" i="5"/>
  <c r="DS10" i="5"/>
  <c r="DS12" i="5" s="1"/>
  <c r="DO10" i="5"/>
  <c r="DO12" i="5" s="1"/>
  <c r="DH8" i="5"/>
  <c r="DU8" i="5" s="1"/>
  <c r="DS7" i="5"/>
  <c r="DS9" i="5" s="1"/>
  <c r="DQ7" i="5"/>
  <c r="DQ9" i="5" s="1"/>
  <c r="DJ9" i="5"/>
  <c r="DA10" i="5"/>
  <c r="CY12" i="5"/>
  <c r="CP12" i="5"/>
  <c r="CW10" i="5"/>
  <c r="CW12" i="5" s="1"/>
  <c r="CP8" i="5"/>
  <c r="DA7" i="5"/>
  <c r="CY7" i="5"/>
  <c r="CW9" i="5"/>
  <c r="CR9" i="5"/>
  <c r="CJ10" i="5"/>
  <c r="CJ12" i="5" s="1"/>
  <c r="CJ7" i="5"/>
  <c r="CJ9" i="5" s="1"/>
  <c r="BR7" i="5"/>
  <c r="BR9" i="5" s="1"/>
  <c r="CI10" i="5"/>
  <c r="CE10" i="5"/>
  <c r="CE12" i="5" s="1"/>
  <c r="BX10" i="5"/>
  <c r="BX12" i="5" s="1"/>
  <c r="CE9" i="5"/>
  <c r="BZ9" i="5"/>
  <c r="BX8" i="5"/>
  <c r="CI7" i="5"/>
  <c r="CI9" i="5" s="1"/>
  <c r="CG9" i="5"/>
  <c r="BX7" i="5"/>
  <c r="BQ10" i="5"/>
  <c r="BM10" i="5"/>
  <c r="BM12" i="5" s="1"/>
  <c r="BF12" i="5"/>
  <c r="BS8" i="5"/>
  <c r="BQ7" i="5"/>
  <c r="BQ9" i="5" s="1"/>
  <c r="BO7" i="5"/>
  <c r="BM7" i="5"/>
  <c r="BM9" i="5" s="1"/>
  <c r="BH7" i="5"/>
  <c r="BH9" i="5" s="1"/>
  <c r="AW12" i="5"/>
  <c r="AU9" i="5"/>
  <c r="AH10" i="5"/>
  <c r="AH12" i="5" s="1"/>
  <c r="AH7" i="5"/>
  <c r="AH9" i="5" s="1"/>
  <c r="AE12" i="5"/>
  <c r="W11" i="5"/>
  <c r="AG10" i="5"/>
  <c r="AG12" i="5" s="1"/>
  <c r="AC10" i="5"/>
  <c r="AC12" i="5" s="1"/>
  <c r="AC9" i="5"/>
  <c r="AG7" i="5"/>
  <c r="AG9" i="5" s="1"/>
  <c r="X7" i="5"/>
  <c r="X9" i="5" s="1"/>
  <c r="AW9" i="5"/>
  <c r="AP7" i="5"/>
  <c r="AP9" i="5" s="1"/>
  <c r="AN10" i="5"/>
  <c r="AZ10" i="5"/>
  <c r="AZ12" i="5" s="1"/>
  <c r="AN8" i="5"/>
  <c r="AU10" i="5"/>
  <c r="AU12" i="5" s="1"/>
  <c r="AY10" i="5"/>
  <c r="AN7" i="5"/>
  <c r="AZ7" i="5"/>
  <c r="AZ9" i="5" s="1"/>
  <c r="AO11" i="5"/>
  <c r="BA11" i="5" s="1"/>
  <c r="AY7" i="5"/>
  <c r="AY9" i="5" s="1"/>
  <c r="HF12" i="5"/>
  <c r="HF13" i="5" s="1"/>
  <c r="HE12" i="5"/>
  <c r="HA12" i="5"/>
  <c r="HA13" i="5" s="1"/>
  <c r="GT12" i="5"/>
  <c r="HE9" i="5"/>
  <c r="HG10" i="5"/>
  <c r="GV12" i="5"/>
  <c r="GV13" i="5" s="1"/>
  <c r="HG11" i="5"/>
  <c r="HC12" i="5"/>
  <c r="GM9" i="5"/>
  <c r="GO10" i="5"/>
  <c r="GD12" i="5"/>
  <c r="GN12" i="5"/>
  <c r="GN13" i="5" s="1"/>
  <c r="FW10" i="5"/>
  <c r="FL12" i="5"/>
  <c r="FW11" i="5"/>
  <c r="FS9" i="5"/>
  <c r="FA9" i="5"/>
  <c r="ET12" i="5"/>
  <c r="FE11" i="5"/>
  <c r="FA12" i="5"/>
  <c r="FE8" i="5"/>
  <c r="DZ12" i="5"/>
  <c r="EB12" i="5"/>
  <c r="EL12" i="5"/>
  <c r="EL13" i="5" s="1"/>
  <c r="EG9" i="5"/>
  <c r="EM11" i="5"/>
  <c r="DH12" i="5"/>
  <c r="DJ12" i="5"/>
  <c r="DT12" i="5"/>
  <c r="DT13" i="5" s="1"/>
  <c r="DO9" i="5"/>
  <c r="DU11" i="5"/>
  <c r="DB13" i="5"/>
  <c r="CR12" i="5"/>
  <c r="DC11" i="5"/>
  <c r="BZ12" i="5"/>
  <c r="CK11" i="5"/>
  <c r="CG12" i="5"/>
  <c r="BF9" i="5"/>
  <c r="BH12" i="5"/>
  <c r="BS11" i="5"/>
  <c r="BO12" i="5"/>
  <c r="AP12" i="5"/>
  <c r="V9" i="5"/>
  <c r="X12" i="5"/>
  <c r="AI8" i="5"/>
  <c r="AE9" i="5"/>
  <c r="AI11" i="5"/>
  <c r="HX29" i="4"/>
  <c r="HX64" i="4"/>
  <c r="HW60" i="4"/>
  <c r="HX36" i="4"/>
  <c r="HS60" i="4"/>
  <c r="HX85" i="4"/>
  <c r="HW46" i="4"/>
  <c r="HX18" i="4"/>
  <c r="HW81" i="4"/>
  <c r="HX57" i="4"/>
  <c r="HW53" i="4"/>
  <c r="HS46" i="4"/>
  <c r="HX43" i="4"/>
  <c r="HN43" i="4"/>
  <c r="HW29" i="4"/>
  <c r="HS29" i="4"/>
  <c r="HY83" i="4"/>
  <c r="HN29" i="4"/>
  <c r="HS88" i="4"/>
  <c r="HX71" i="4"/>
  <c r="HN71" i="4"/>
  <c r="HU64" i="4"/>
  <c r="HS32" i="4"/>
  <c r="HX15" i="4"/>
  <c r="HN15" i="4"/>
  <c r="HU8" i="4"/>
  <c r="HW74" i="4"/>
  <c r="HS74" i="4"/>
  <c r="HX50" i="4"/>
  <c r="HW39" i="4"/>
  <c r="HW18" i="4"/>
  <c r="HS18" i="4"/>
  <c r="HN57" i="4"/>
  <c r="HX53" i="4"/>
  <c r="HL53" i="4"/>
  <c r="HW36" i="4"/>
  <c r="HW25" i="4"/>
  <c r="HY63" i="4"/>
  <c r="HN85" i="4"/>
  <c r="HW78" i="4"/>
  <c r="HY69" i="4"/>
  <c r="HY49" i="4"/>
  <c r="HU50" i="4"/>
  <c r="HX39" i="4"/>
  <c r="HL39" i="4"/>
  <c r="HW22" i="4"/>
  <c r="HW15" i="4"/>
  <c r="HS15" i="4"/>
  <c r="HY13" i="4"/>
  <c r="HY7" i="4"/>
  <c r="HW88" i="4"/>
  <c r="HX78" i="4"/>
  <c r="HY77" i="4"/>
  <c r="HU78" i="4"/>
  <c r="HW67" i="4"/>
  <c r="HX67" i="4"/>
  <c r="HL67" i="4"/>
  <c r="HW50" i="4"/>
  <c r="HW43" i="4"/>
  <c r="HS43" i="4"/>
  <c r="HY41" i="4"/>
  <c r="HW32" i="4"/>
  <c r="HX32" i="4"/>
  <c r="HX22" i="4"/>
  <c r="HY21" i="4"/>
  <c r="HU22" i="4"/>
  <c r="HW11" i="4"/>
  <c r="HX11" i="4"/>
  <c r="HL11" i="4"/>
  <c r="HY27" i="4"/>
  <c r="HX81" i="4"/>
  <c r="HL81" i="4"/>
  <c r="HW64" i="4"/>
  <c r="HW57" i="4"/>
  <c r="HY55" i="4"/>
  <c r="HX46" i="4"/>
  <c r="HY35" i="4"/>
  <c r="HU36" i="4"/>
  <c r="HX25" i="4"/>
  <c r="HL25" i="4"/>
  <c r="HS81" i="4"/>
  <c r="HS67" i="4"/>
  <c r="HU60" i="4"/>
  <c r="HS39" i="4"/>
  <c r="HU32" i="4"/>
  <c r="HS25" i="4"/>
  <c r="HS11" i="4"/>
  <c r="HX88" i="4"/>
  <c r="HU81" i="4"/>
  <c r="HX74" i="4"/>
  <c r="HU67" i="4"/>
  <c r="HX60" i="4"/>
  <c r="HX8" i="4"/>
  <c r="HN81" i="4"/>
  <c r="HN67" i="4"/>
  <c r="HN53" i="4"/>
  <c r="HU46" i="4"/>
  <c r="HL36" i="4"/>
  <c r="HL78" i="4"/>
  <c r="HL64" i="4"/>
  <c r="HY52" i="4"/>
  <c r="HY38" i="4"/>
  <c r="HY24" i="4"/>
  <c r="HY10" i="4"/>
  <c r="HU88" i="4"/>
  <c r="HU74" i="4"/>
  <c r="HS53" i="4"/>
  <c r="HL50" i="4"/>
  <c r="HX40" i="4"/>
  <c r="HL22" i="4"/>
  <c r="HL8" i="4"/>
  <c r="HW85" i="4"/>
  <c r="HS85" i="4"/>
  <c r="HS89" i="4" s="1"/>
  <c r="HU85" i="4"/>
  <c r="HL85" i="4"/>
  <c r="HS78" i="4"/>
  <c r="HW71" i="4"/>
  <c r="HS71" i="4"/>
  <c r="HU71" i="4"/>
  <c r="HL71" i="4"/>
  <c r="HS64" i="4"/>
  <c r="HS57" i="4"/>
  <c r="HU57" i="4"/>
  <c r="HL57" i="4"/>
  <c r="HU53" i="4"/>
  <c r="HS50" i="4"/>
  <c r="HU43" i="4"/>
  <c r="HL43" i="4"/>
  <c r="HU39" i="4"/>
  <c r="HN39" i="4"/>
  <c r="HS36" i="4"/>
  <c r="HU29" i="4"/>
  <c r="HL29" i="4"/>
  <c r="HU25" i="4"/>
  <c r="HN25" i="4"/>
  <c r="HS22" i="4"/>
  <c r="HU15" i="4"/>
  <c r="HL15" i="4"/>
  <c r="HU11" i="4"/>
  <c r="HN11" i="4"/>
  <c r="HY20" i="4"/>
  <c r="HN22" i="4"/>
  <c r="HS8" i="4"/>
  <c r="HY76" i="4"/>
  <c r="HN78" i="4"/>
  <c r="HY48" i="4"/>
  <c r="HN50" i="4"/>
  <c r="HY34" i="4"/>
  <c r="HN36" i="4"/>
  <c r="HW8" i="4"/>
  <c r="HY62" i="4"/>
  <c r="HN64" i="4"/>
  <c r="HY6" i="4"/>
  <c r="HN8" i="4"/>
  <c r="HY86" i="4"/>
  <c r="HN88" i="4"/>
  <c r="HY72" i="4"/>
  <c r="HN74" i="4"/>
  <c r="HU18" i="4"/>
  <c r="HN18" i="4"/>
  <c r="HN60" i="4"/>
  <c r="HN46" i="4"/>
  <c r="HN32" i="4"/>
  <c r="HL88" i="4"/>
  <c r="HY87" i="4"/>
  <c r="HL74" i="4"/>
  <c r="HY73" i="4"/>
  <c r="HL60" i="4"/>
  <c r="HY59" i="4"/>
  <c r="HL46" i="4"/>
  <c r="HY45" i="4"/>
  <c r="HL32" i="4"/>
  <c r="HY31" i="4"/>
  <c r="HL18" i="4"/>
  <c r="HY17" i="4"/>
  <c r="HY80" i="4"/>
  <c r="HY66" i="4"/>
  <c r="HY84" i="4"/>
  <c r="HY79" i="4"/>
  <c r="HY70" i="4"/>
  <c r="HY65" i="4"/>
  <c r="HY58" i="4"/>
  <c r="HY56" i="4"/>
  <c r="HY51" i="4"/>
  <c r="HY44" i="4"/>
  <c r="HY42" i="4"/>
  <c r="HY37" i="4"/>
  <c r="HY30" i="4"/>
  <c r="HY28" i="4"/>
  <c r="HY23" i="4"/>
  <c r="HY16" i="4"/>
  <c r="HY14" i="4"/>
  <c r="HY9" i="4"/>
  <c r="FE10" i="5" l="1"/>
  <c r="FE12" i="5" s="1"/>
  <c r="CJ13" i="5"/>
  <c r="HS61" i="4"/>
  <c r="EM10" i="5"/>
  <c r="EM12" i="5" s="1"/>
  <c r="DC10" i="5"/>
  <c r="DC12" i="5" s="1"/>
  <c r="GM13" i="5"/>
  <c r="V12" i="5"/>
  <c r="V13" i="5" s="1"/>
  <c r="FD13" i="5"/>
  <c r="HW82" i="4"/>
  <c r="HY78" i="4"/>
  <c r="CK7" i="5"/>
  <c r="AN9" i="5"/>
  <c r="BA8" i="5"/>
  <c r="AI10" i="5"/>
  <c r="AI12" i="5" s="1"/>
  <c r="AH13" i="5"/>
  <c r="DZ9" i="5"/>
  <c r="EM8" i="5"/>
  <c r="HN89" i="4"/>
  <c r="HL26" i="4"/>
  <c r="BS10" i="5"/>
  <c r="BS12" i="5" s="1"/>
  <c r="HL82" i="4"/>
  <c r="HX47" i="4"/>
  <c r="GT9" i="5"/>
  <c r="GT13" i="5" s="1"/>
  <c r="HE13" i="5"/>
  <c r="HL68" i="4"/>
  <c r="GO11" i="5"/>
  <c r="GO12" i="5" s="1"/>
  <c r="GD13" i="5"/>
  <c r="GB9" i="5"/>
  <c r="GB13" i="5" s="1"/>
  <c r="GO8" i="5"/>
  <c r="GO9" i="5" s="1"/>
  <c r="GI13" i="5"/>
  <c r="FL13" i="5"/>
  <c r="EY13" i="5"/>
  <c r="BZ13" i="5"/>
  <c r="EG13" i="5"/>
  <c r="DJ13" i="5"/>
  <c r="DU10" i="5"/>
  <c r="DU12" i="5" s="1"/>
  <c r="DS13" i="5"/>
  <c r="CY9" i="5"/>
  <c r="CY13" i="5" s="1"/>
  <c r="DA9" i="5"/>
  <c r="CR13" i="5"/>
  <c r="DC8" i="5"/>
  <c r="CP9" i="5"/>
  <c r="CP13" i="5" s="1"/>
  <c r="CW13" i="5"/>
  <c r="BM13" i="5"/>
  <c r="BR13" i="5"/>
  <c r="AW13" i="5"/>
  <c r="AE13" i="5"/>
  <c r="HG7" i="5"/>
  <c r="HG9" i="5" s="1"/>
  <c r="HC13" i="5"/>
  <c r="GK12" i="5"/>
  <c r="GK13" i="5" s="1"/>
  <c r="FE7" i="5"/>
  <c r="FE9" i="5" s="1"/>
  <c r="FW7" i="5"/>
  <c r="FW9" i="5" s="1"/>
  <c r="FS13" i="5"/>
  <c r="FJ9" i="5"/>
  <c r="FJ13" i="5" s="1"/>
  <c r="FV9" i="5"/>
  <c r="FV13" i="5" s="1"/>
  <c r="FU12" i="5"/>
  <c r="FU13" i="5" s="1"/>
  <c r="FQ13" i="5"/>
  <c r="FW12" i="5"/>
  <c r="ER9" i="5"/>
  <c r="ER13" i="5" s="1"/>
  <c r="FC13" i="5"/>
  <c r="ET13" i="5"/>
  <c r="EB13" i="5"/>
  <c r="EI13" i="5"/>
  <c r="EK12" i="5"/>
  <c r="EK13" i="5" s="1"/>
  <c r="EM7" i="5"/>
  <c r="EM9" i="5" s="1"/>
  <c r="DO13" i="5"/>
  <c r="DH9" i="5"/>
  <c r="DH13" i="5" s="1"/>
  <c r="DQ13" i="5"/>
  <c r="DU7" i="5"/>
  <c r="DU9" i="5" s="1"/>
  <c r="DC7" i="5"/>
  <c r="DA12" i="5"/>
  <c r="CK10" i="5"/>
  <c r="CK12" i="5" s="1"/>
  <c r="BX9" i="5"/>
  <c r="BX13" i="5" s="1"/>
  <c r="CG13" i="5"/>
  <c r="CE13" i="5"/>
  <c r="CI12" i="5"/>
  <c r="CI13" i="5" s="1"/>
  <c r="CK8" i="5"/>
  <c r="BF13" i="5"/>
  <c r="BO9" i="5"/>
  <c r="BO13" i="5" s="1"/>
  <c r="BH13" i="5"/>
  <c r="BQ12" i="5"/>
  <c r="BQ13" i="5" s="1"/>
  <c r="BS7" i="5"/>
  <c r="BS9" i="5" s="1"/>
  <c r="AZ13" i="5"/>
  <c r="AP13" i="5"/>
  <c r="AN12" i="5"/>
  <c r="AU13" i="5"/>
  <c r="AC13" i="5"/>
  <c r="AG13" i="5"/>
  <c r="X13" i="5"/>
  <c r="AI7" i="5"/>
  <c r="AI9" i="5" s="1"/>
  <c r="AY12" i="5"/>
  <c r="AY13" i="5" s="1"/>
  <c r="BA10" i="5"/>
  <c r="BA12" i="5" s="1"/>
  <c r="BA7" i="5"/>
  <c r="HG12" i="5"/>
  <c r="FA13" i="5"/>
  <c r="DZ13" i="5"/>
  <c r="HU26" i="4"/>
  <c r="HU12" i="4"/>
  <c r="HU82" i="4"/>
  <c r="HW61" i="4"/>
  <c r="HY8" i="4"/>
  <c r="HN54" i="4"/>
  <c r="HL54" i="4"/>
  <c r="HX33" i="4"/>
  <c r="HY43" i="4"/>
  <c r="HN33" i="4"/>
  <c r="HS40" i="4"/>
  <c r="HL12" i="4"/>
  <c r="HX68" i="4"/>
  <c r="HX54" i="4"/>
  <c r="HS19" i="4"/>
  <c r="HY60" i="4"/>
  <c r="HL47" i="4"/>
  <c r="HN19" i="4"/>
  <c r="HU54" i="4"/>
  <c r="HY11" i="4"/>
  <c r="HY29" i="4"/>
  <c r="HN75" i="4"/>
  <c r="HY22" i="4"/>
  <c r="HW19" i="4"/>
  <c r="HS33" i="4"/>
  <c r="HY25" i="4"/>
  <c r="HS54" i="4"/>
  <c r="HS47" i="4"/>
  <c r="HS75" i="4"/>
  <c r="HX19" i="4"/>
  <c r="HX75" i="4"/>
  <c r="HW33" i="4"/>
  <c r="HW54" i="4"/>
  <c r="HL61" i="4"/>
  <c r="HN12" i="4"/>
  <c r="HX61" i="4"/>
  <c r="HX89" i="4"/>
  <c r="HY36" i="4"/>
  <c r="HU40" i="4"/>
  <c r="HU47" i="4"/>
  <c r="HU61" i="4"/>
  <c r="HY39" i="4"/>
  <c r="HS26" i="4"/>
  <c r="HW47" i="4"/>
  <c r="HW68" i="4"/>
  <c r="HW40" i="4"/>
  <c r="HN61" i="4"/>
  <c r="HU19" i="4"/>
  <c r="HW75" i="4"/>
  <c r="HY15" i="4"/>
  <c r="HN47" i="4"/>
  <c r="HS68" i="4"/>
  <c r="HL40" i="4"/>
  <c r="HY71" i="4"/>
  <c r="HN68" i="4"/>
  <c r="HW101" i="4"/>
  <c r="HU101" i="4"/>
  <c r="HX98" i="4"/>
  <c r="HL75" i="4"/>
  <c r="HS82" i="4"/>
  <c r="HY85" i="4"/>
  <c r="HY64" i="4"/>
  <c r="HS12" i="4"/>
  <c r="HU68" i="4"/>
  <c r="HX26" i="4"/>
  <c r="HX82" i="4"/>
  <c r="HW26" i="4"/>
  <c r="HW12" i="4"/>
  <c r="HU75" i="4"/>
  <c r="HW89" i="4"/>
  <c r="HY53" i="4"/>
  <c r="HY50" i="4"/>
  <c r="HU33" i="4"/>
  <c r="HY57" i="4"/>
  <c r="HL33" i="4"/>
  <c r="HN40" i="4"/>
  <c r="HL19" i="4"/>
  <c r="HL89" i="4"/>
  <c r="HX12" i="4"/>
  <c r="HY32" i="4"/>
  <c r="HY81" i="4"/>
  <c r="HU89" i="4"/>
  <c r="HN82" i="4"/>
  <c r="HN26" i="4"/>
  <c r="HS101" i="4"/>
  <c r="HY100" i="4"/>
  <c r="HY97" i="4"/>
  <c r="HY96" i="4"/>
  <c r="HY74" i="4"/>
  <c r="HN98" i="4"/>
  <c r="HL98" i="4"/>
  <c r="HU98" i="4"/>
  <c r="HW98" i="4"/>
  <c r="HS98" i="4"/>
  <c r="HN101" i="4"/>
  <c r="HY18" i="4"/>
  <c r="HY46" i="4"/>
  <c r="HY67" i="4"/>
  <c r="HY88" i="4"/>
  <c r="HY99" i="4"/>
  <c r="HL101" i="4"/>
  <c r="HX101" i="4"/>
  <c r="P88" i="4"/>
  <c r="O88" i="4"/>
  <c r="M88" i="4"/>
  <c r="K88" i="4"/>
  <c r="F88" i="4"/>
  <c r="D88" i="4"/>
  <c r="Q87" i="4"/>
  <c r="Q86" i="4"/>
  <c r="Q84" i="4"/>
  <c r="Q83" i="4"/>
  <c r="P81" i="4"/>
  <c r="O81" i="4"/>
  <c r="M81" i="4"/>
  <c r="K81" i="4"/>
  <c r="F81" i="4"/>
  <c r="D81" i="4"/>
  <c r="Q80" i="4"/>
  <c r="Q79" i="4"/>
  <c r="Q77" i="4"/>
  <c r="Q76" i="4"/>
  <c r="P74" i="4"/>
  <c r="O74" i="4"/>
  <c r="M74" i="4"/>
  <c r="K74" i="4"/>
  <c r="F74" i="4"/>
  <c r="D74" i="4"/>
  <c r="P67" i="4"/>
  <c r="O67" i="4"/>
  <c r="M67" i="4"/>
  <c r="K67" i="4"/>
  <c r="F67" i="4"/>
  <c r="D67" i="4"/>
  <c r="P60" i="4"/>
  <c r="O60" i="4"/>
  <c r="M60" i="4"/>
  <c r="K60" i="4"/>
  <c r="F60" i="4"/>
  <c r="D60" i="4"/>
  <c r="P53" i="4"/>
  <c r="O53" i="4"/>
  <c r="M53" i="4"/>
  <c r="K53" i="4"/>
  <c r="F53" i="4"/>
  <c r="D53" i="4"/>
  <c r="P46" i="4"/>
  <c r="O46" i="4"/>
  <c r="M46" i="4"/>
  <c r="K46" i="4"/>
  <c r="F46" i="4"/>
  <c r="D46" i="4"/>
  <c r="P39" i="4"/>
  <c r="O39" i="4"/>
  <c r="M39" i="4"/>
  <c r="K39" i="4"/>
  <c r="F39" i="4"/>
  <c r="D39" i="4"/>
  <c r="P32" i="4"/>
  <c r="O32" i="4"/>
  <c r="M32" i="4"/>
  <c r="K32" i="4"/>
  <c r="F32" i="4"/>
  <c r="D32" i="4"/>
  <c r="P25" i="4"/>
  <c r="O25" i="4"/>
  <c r="M25" i="4"/>
  <c r="K25" i="4"/>
  <c r="F25" i="4"/>
  <c r="D25" i="4"/>
  <c r="P18" i="4"/>
  <c r="O18" i="4"/>
  <c r="M18" i="4"/>
  <c r="K18" i="4"/>
  <c r="F18" i="4"/>
  <c r="D18" i="4"/>
  <c r="AN13" i="5" l="1"/>
  <c r="HY82" i="4"/>
  <c r="CK9" i="5"/>
  <c r="CK13" i="5" s="1"/>
  <c r="BA9" i="5"/>
  <c r="BA13" i="5" s="1"/>
  <c r="HG13" i="5"/>
  <c r="GO13" i="5"/>
  <c r="DA13" i="5"/>
  <c r="DC9" i="5"/>
  <c r="DC13" i="5" s="1"/>
  <c r="FE13" i="5"/>
  <c r="FW13" i="5"/>
  <c r="HY33" i="4"/>
  <c r="EM13" i="5"/>
  <c r="DU13" i="5"/>
  <c r="BS13" i="5"/>
  <c r="HY26" i="4"/>
  <c r="AI13" i="5"/>
  <c r="HY68" i="4"/>
  <c r="HY47" i="4"/>
  <c r="HY61" i="4"/>
  <c r="HY12" i="4"/>
  <c r="HY19" i="4"/>
  <c r="HY40" i="4"/>
  <c r="HY54" i="4"/>
  <c r="HY75" i="4"/>
  <c r="HU102" i="4"/>
  <c r="HW102" i="4"/>
  <c r="HY89" i="4"/>
  <c r="HX102" i="4"/>
  <c r="HY101" i="4"/>
  <c r="HS102" i="4"/>
  <c r="HL102" i="4"/>
  <c r="HY98" i="4"/>
  <c r="HN102" i="4"/>
  <c r="Q81" i="4"/>
  <c r="Q78" i="4"/>
  <c r="D82" i="4"/>
  <c r="O82" i="4"/>
  <c r="M89" i="4"/>
  <c r="F82" i="4"/>
  <c r="P82" i="4"/>
  <c r="D89" i="4"/>
  <c r="O89" i="4"/>
  <c r="Q85" i="4"/>
  <c r="F89" i="4"/>
  <c r="P89" i="4"/>
  <c r="Q88" i="4"/>
  <c r="K82" i="4"/>
  <c r="M82" i="4"/>
  <c r="K89" i="4"/>
  <c r="Q82" i="4" l="1"/>
  <c r="Q89" i="4"/>
  <c r="HY102" i="4"/>
  <c r="Q73" i="4" l="1"/>
  <c r="Q72" i="4"/>
  <c r="Q70" i="4"/>
  <c r="Q69" i="4"/>
  <c r="Q66" i="4"/>
  <c r="Q65" i="4"/>
  <c r="Q63" i="4"/>
  <c r="Q62" i="4"/>
  <c r="Q59" i="4"/>
  <c r="Q58" i="4"/>
  <c r="Q56" i="4"/>
  <c r="Q55" i="4"/>
  <c r="Q52" i="4"/>
  <c r="Q51" i="4"/>
  <c r="Q49" i="4"/>
  <c r="Q48" i="4"/>
  <c r="Q45" i="4"/>
  <c r="Q44" i="4"/>
  <c r="Q42" i="4"/>
  <c r="Q41" i="4"/>
  <c r="Q38" i="4"/>
  <c r="Q37" i="4"/>
  <c r="Q35" i="4"/>
  <c r="Q34" i="4"/>
  <c r="Q31" i="4"/>
  <c r="Q30" i="4"/>
  <c r="Q28" i="4"/>
  <c r="Q27" i="4"/>
  <c r="Q24" i="4"/>
  <c r="Q23" i="4"/>
  <c r="Q21" i="4"/>
  <c r="Q20" i="4"/>
  <c r="Q17" i="4"/>
  <c r="Q16" i="4"/>
  <c r="Q14" i="4"/>
  <c r="Q13" i="4"/>
  <c r="Q29" i="4" l="1"/>
  <c r="Q57" i="4"/>
  <c r="Q25" i="4"/>
  <c r="Q36" i="4"/>
  <c r="Q67" i="4"/>
  <c r="Q64" i="4"/>
  <c r="Q15" i="4"/>
  <c r="Q43" i="4"/>
  <c r="Q71" i="4"/>
  <c r="Q22" i="4"/>
  <c r="Q32" i="4"/>
  <c r="Q50" i="4"/>
  <c r="Q18" i="4"/>
  <c r="Q74" i="4"/>
  <c r="Q60" i="4"/>
  <c r="Q53" i="4"/>
  <c r="Q46" i="4"/>
  <c r="Q39" i="4"/>
  <c r="P11" i="4" l="1"/>
  <c r="O11" i="4"/>
  <c r="M11" i="4"/>
  <c r="K11" i="4"/>
  <c r="F11" i="4"/>
  <c r="D11" i="4"/>
  <c r="Q10" i="4"/>
  <c r="Q9" i="4"/>
  <c r="Q7" i="4"/>
  <c r="Q6" i="4"/>
  <c r="Q8" i="4" l="1"/>
  <c r="F12" i="4"/>
  <c r="P12" i="4"/>
  <c r="D19" i="4"/>
  <c r="O19" i="4"/>
  <c r="M26" i="4"/>
  <c r="K33" i="4"/>
  <c r="F40" i="4"/>
  <c r="P40" i="4"/>
  <c r="D47" i="4"/>
  <c r="O47" i="4"/>
  <c r="M54" i="4"/>
  <c r="K61" i="4"/>
  <c r="F68" i="4"/>
  <c r="D12" i="4"/>
  <c r="O12" i="4"/>
  <c r="Q11" i="4"/>
  <c r="M19" i="4"/>
  <c r="P68" i="4"/>
  <c r="K26" i="4"/>
  <c r="D26" i="4"/>
  <c r="O26" i="4"/>
  <c r="M33" i="4"/>
  <c r="K40" i="4"/>
  <c r="Q47" i="4"/>
  <c r="F47" i="4"/>
  <c r="P47" i="4"/>
  <c r="D54" i="4"/>
  <c r="O54" i="4"/>
  <c r="M61" i="4"/>
  <c r="K68" i="4"/>
  <c r="K12" i="4"/>
  <c r="F19" i="4"/>
  <c r="P19" i="4"/>
  <c r="F33" i="4"/>
  <c r="K54" i="4"/>
  <c r="F61" i="4"/>
  <c r="O68" i="4"/>
  <c r="P33" i="4"/>
  <c r="D40" i="4"/>
  <c r="O40" i="4"/>
  <c r="M47" i="4"/>
  <c r="P61" i="4"/>
  <c r="D68" i="4"/>
  <c r="M12" i="4"/>
  <c r="K19" i="4"/>
  <c r="F26" i="4"/>
  <c r="P26" i="4"/>
  <c r="D33" i="4"/>
  <c r="O33" i="4"/>
  <c r="M40" i="4"/>
  <c r="K47" i="4"/>
  <c r="F54" i="4"/>
  <c r="P54" i="4"/>
  <c r="D61" i="4"/>
  <c r="O61" i="4"/>
  <c r="M68" i="4"/>
  <c r="Q19" i="4" l="1"/>
  <c r="Q40" i="4"/>
  <c r="Q12" i="4"/>
  <c r="Q68" i="4"/>
  <c r="Q33" i="4"/>
  <c r="Q61" i="4"/>
  <c r="Q26" i="4"/>
  <c r="Q54" i="4"/>
  <c r="M2" i="5" l="1"/>
  <c r="M91" i="4"/>
  <c r="K91" i="4"/>
  <c r="HW11" i="5" l="1"/>
  <c r="HX10" i="5"/>
  <c r="HT10" i="5"/>
  <c r="HP10" i="5"/>
  <c r="HL10" i="5"/>
  <c r="HQ8" i="5"/>
  <c r="HV7" i="5"/>
  <c r="HR7" i="5"/>
  <c r="HU8" i="5"/>
  <c r="HN7" i="5"/>
  <c r="HX11" i="5"/>
  <c r="HP11" i="5"/>
  <c r="HU10" i="5"/>
  <c r="HM10" i="5"/>
  <c r="HR8" i="5"/>
  <c r="HU11" i="5"/>
  <c r="HQ11" i="5"/>
  <c r="HM11" i="5"/>
  <c r="HV10" i="5"/>
  <c r="HR10" i="5"/>
  <c r="HN10" i="5"/>
  <c r="HW8" i="5"/>
  <c r="HO8" i="5"/>
  <c r="HX7" i="5"/>
  <c r="HT7" i="5"/>
  <c r="HP7" i="5"/>
  <c r="HL7" i="5"/>
  <c r="M75" i="4"/>
  <c r="P75" i="4"/>
  <c r="HT11" i="5"/>
  <c r="HQ10" i="5"/>
  <c r="HN8" i="5"/>
  <c r="HR11" i="5"/>
  <c r="HN11" i="5"/>
  <c r="HS10" i="5"/>
  <c r="HO10" i="5"/>
  <c r="HX8" i="5"/>
  <c r="HT8" i="5"/>
  <c r="HP8" i="5"/>
  <c r="HQ7" i="5"/>
  <c r="HL8" i="5"/>
  <c r="HS8" i="5"/>
  <c r="K75" i="4"/>
  <c r="F75" i="4"/>
  <c r="D75" i="4"/>
  <c r="O75" i="4"/>
  <c r="P98" i="4"/>
  <c r="K98" i="4"/>
  <c r="F101" i="4"/>
  <c r="O98" i="4"/>
  <c r="M9" i="5"/>
  <c r="O12" i="5"/>
  <c r="K12" i="5"/>
  <c r="Q100" i="4"/>
  <c r="D12" i="5"/>
  <c r="Q8" i="5"/>
  <c r="P101" i="4"/>
  <c r="P12" i="5"/>
  <c r="P9" i="5"/>
  <c r="O101" i="4"/>
  <c r="M98" i="4"/>
  <c r="D98" i="4"/>
  <c r="F9" i="5"/>
  <c r="D101" i="4"/>
  <c r="Q97" i="4"/>
  <c r="F98" i="4"/>
  <c r="M101" i="4"/>
  <c r="Q99" i="4"/>
  <c r="Q96" i="4"/>
  <c r="M12" i="5"/>
  <c r="F12" i="5"/>
  <c r="D9" i="5"/>
  <c r="K9" i="5"/>
  <c r="K101" i="4"/>
  <c r="Q11" i="5"/>
  <c r="Q10" i="5"/>
  <c r="D102" i="4" l="1"/>
  <c r="P102" i="4"/>
  <c r="Q75" i="4"/>
  <c r="P13" i="5"/>
  <c r="HU7" i="5"/>
  <c r="HX9" i="5"/>
  <c r="K102" i="4"/>
  <c r="D13" i="5"/>
  <c r="Q7" i="5"/>
  <c r="Q9" i="5" s="1"/>
  <c r="Q98" i="4"/>
  <c r="M13" i="5"/>
  <c r="Q101" i="4"/>
  <c r="F102" i="4"/>
  <c r="Q12" i="5"/>
  <c r="F13" i="5"/>
  <c r="M102" i="4"/>
  <c r="O102" i="4"/>
  <c r="K13" i="5"/>
  <c r="O9" i="5"/>
  <c r="O13" i="5" s="1"/>
  <c r="HX12" i="5"/>
  <c r="HW10" i="5"/>
  <c r="HO11" i="5"/>
  <c r="HL11" i="5"/>
  <c r="HW7" i="5"/>
  <c r="HV11" i="5"/>
  <c r="HV8" i="5"/>
  <c r="HS11" i="5"/>
  <c r="HS7" i="5"/>
  <c r="HO7" i="5"/>
  <c r="HM8" i="5"/>
  <c r="HM7" i="5"/>
  <c r="HX13" i="5" l="1"/>
  <c r="Q13" i="5"/>
  <c r="Q102" i="4"/>
  <c r="HW12" i="5"/>
  <c r="HY10" i="5"/>
  <c r="HN12" i="5"/>
  <c r="HL12" i="5"/>
  <c r="HW9" i="5"/>
  <c r="HU12" i="5"/>
  <c r="HU9" i="5"/>
  <c r="HS12" i="5"/>
  <c r="HY11" i="5"/>
  <c r="HS9" i="5"/>
  <c r="HN9" i="5"/>
  <c r="HY8" i="5"/>
  <c r="HY7" i="5"/>
  <c r="HL9" i="5"/>
  <c r="HN13" i="5" l="1"/>
  <c r="HU13" i="5"/>
  <c r="HS13" i="5"/>
  <c r="HL13" i="5"/>
  <c r="HW13" i="5"/>
  <c r="HY12" i="5"/>
  <c r="HY9" i="5"/>
  <c r="HY13" i="5" l="1"/>
  <c r="HU2" i="5" l="1"/>
  <c r="HW2" i="5" l="1"/>
</calcChain>
</file>

<file path=xl/sharedStrings.xml><?xml version="1.0" encoding="utf-8"?>
<sst xmlns="http://schemas.openxmlformats.org/spreadsheetml/2006/main" count="2848" uniqueCount="51">
  <si>
    <t>شهر</t>
  </si>
  <si>
    <t>الدم</t>
  </si>
  <si>
    <t>بول</t>
  </si>
  <si>
    <t>براز</t>
  </si>
  <si>
    <t>بصاق</t>
  </si>
  <si>
    <t>المجموع</t>
  </si>
  <si>
    <t>شكلي</t>
  </si>
  <si>
    <t>مصلي</t>
  </si>
  <si>
    <t>كيماوي</t>
  </si>
  <si>
    <t>سعودي</t>
  </si>
  <si>
    <t>عام</t>
  </si>
  <si>
    <t>نوع الفحص</t>
  </si>
  <si>
    <t>صور الدم   CBC</t>
  </si>
  <si>
    <t>سرعة الترسيب E.S.R</t>
  </si>
  <si>
    <t>فصائل الدم B.GROUP</t>
  </si>
  <si>
    <t>فحص الإيــدز  HIV</t>
  </si>
  <si>
    <t>إلتهاب كبدي  HEP</t>
  </si>
  <si>
    <t>فحص الحمل في الدم</t>
  </si>
  <si>
    <t>أخرى</t>
  </si>
  <si>
    <t>نسبة السكر الدم</t>
  </si>
  <si>
    <t>روتين</t>
  </si>
  <si>
    <t>حمل</t>
  </si>
  <si>
    <t>الجنسية</t>
  </si>
  <si>
    <t>الجنس</t>
  </si>
  <si>
    <t>ذكر</t>
  </si>
  <si>
    <t>أنثى</t>
  </si>
  <si>
    <t>مجموع السعوديين</t>
  </si>
  <si>
    <t>غير سعودي</t>
  </si>
  <si>
    <t>مجمع الغير سعوديين</t>
  </si>
  <si>
    <t>المجموع الكلي</t>
  </si>
  <si>
    <t>12 نشاط المختبر     ( عدد المفحوصين )</t>
  </si>
  <si>
    <t>المركز الصحي</t>
  </si>
  <si>
    <t>نشا ط المختبر</t>
  </si>
  <si>
    <t>هـ</t>
  </si>
  <si>
    <t>مجموع الغير سعوديين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</si>
  <si>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</si>
  <si>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</si>
  <si>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</si>
  <si>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</si>
  <si>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</si>
  <si>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</si>
  <si>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</si>
  <si>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</si>
  <si>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مراكز شرق جدة</t>
  </si>
  <si>
    <t>اجمالي مراكز شرق جدة</t>
  </si>
  <si>
    <t>إجمالي مراكز مستشفى شرق جدة</t>
  </si>
  <si>
    <t>مراكز مستشفى شرق جدة</t>
  </si>
  <si>
    <t>ادارة الاحصاء</t>
  </si>
  <si>
    <t>ادارة الاحصاء بجدة</t>
  </si>
  <si>
    <t>الواحة</t>
  </si>
  <si>
    <t>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</si>
</sst>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  <charset val="178"/>
    </font>
    <font>
      <b/>
      <sz val="12"/>
      <color indexed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  <charset val="178"/>
    </font>
    <font>
      <b/>
      <sz val="14"/>
      <color indexed="8"/>
      <name val="Arial"/>
      <family val="2"/>
      <charset val="178"/>
    </font>
    <font>
      <b/>
      <sz val="14"/>
      <color indexed="10"/>
      <name val="Arial"/>
      <family val="2"/>
      <charset val="178"/>
    </font>
    <font>
      <b/>
      <sz val="14"/>
      <color indexed="12"/>
      <name val="Arial"/>
      <family val="2"/>
      <charset val="178"/>
    </font>
    <font>
      <b/>
      <sz val="11"/>
      <name val="Arial"/>
      <family val="2"/>
      <charset val="178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12"/>
      <color indexed="8"/>
      <name val="Arial"/>
      <family val="2"/>
      <charset val="178"/>
    </font>
    <font>
      <b/>
      <sz val="9"/>
      <name val="Arial"/>
      <family val="2"/>
      <charset val="178"/>
    </font>
    <font>
      <sz val="9"/>
      <name val="Arial"/>
      <family val="2"/>
      <charset val="178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4"/>
      <color rgb="FF0000FF"/>
      <name val="Arial"/>
      <family val="2"/>
    </font>
    <font>
      <b/>
      <sz val="14"/>
      <color rgb="FF000000"/>
      <name val="Arial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4"/>
      <color rgb="FF0000FF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63">
    <xf numFmtId="0" fontId="0" fillId="0" borderId="0" xfId="0"/>
    <xf numFmtId="0" fontId="0" fillId="0" borderId="0" xfId="0" applyAlignment="1">
      <alignment readingOrder="2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3" borderId="3" xfId="0" applyFont="1" applyFill="1" applyBorder="1" applyAlignment="1">
      <alignment horizontal="center" vertical="center" readingOrder="2"/>
    </xf>
    <xf numFmtId="0" fontId="5" fillId="3" borderId="4" xfId="0" applyFont="1" applyFill="1" applyBorder="1" applyAlignment="1">
      <alignment horizontal="center" vertical="center" readingOrder="2"/>
    </xf>
    <xf numFmtId="0" fontId="5" fillId="3" borderId="4" xfId="0" applyFont="1" applyFill="1" applyBorder="1" applyAlignment="1">
      <alignment horizontal="center" vertical="center" wrapText="1" readingOrder="2"/>
    </xf>
    <xf numFmtId="0" fontId="5" fillId="3" borderId="5" xfId="0" applyFont="1" applyFill="1" applyBorder="1" applyAlignment="1">
      <alignment horizontal="center" vertical="center" wrapText="1" readingOrder="2"/>
    </xf>
    <xf numFmtId="0" fontId="5" fillId="3" borderId="6" xfId="0" applyFont="1" applyFill="1" applyBorder="1" applyAlignment="1">
      <alignment horizontal="center" vertical="center" readingOrder="2"/>
    </xf>
    <xf numFmtId="0" fontId="5" fillId="3" borderId="7" xfId="0" applyFont="1" applyFill="1" applyBorder="1" applyAlignment="1">
      <alignment horizontal="center" vertical="center" readingOrder="2"/>
    </xf>
    <xf numFmtId="0" fontId="5" fillId="3" borderId="8" xfId="0" applyFont="1" applyFill="1" applyBorder="1" applyAlignment="1">
      <alignment horizontal="center" vertical="center" readingOrder="2"/>
    </xf>
    <xf numFmtId="0" fontId="0" fillId="0" borderId="0" xfId="0" applyAlignment="1">
      <alignment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5" fillId="3" borderId="11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wrapText="1" readingOrder="2"/>
    </xf>
    <xf numFmtId="0" fontId="5" fillId="3" borderId="11" xfId="0" applyFont="1" applyFill="1" applyBorder="1" applyAlignment="1">
      <alignment horizontal="center" vertical="center" wrapText="1" readingOrder="2"/>
    </xf>
    <xf numFmtId="0" fontId="5" fillId="3" borderId="12" xfId="0" applyFont="1" applyFill="1" applyBorder="1" applyAlignment="1">
      <alignment horizontal="center" vertical="center" readingOrder="2"/>
    </xf>
    <xf numFmtId="0" fontId="5" fillId="3" borderId="13" xfId="0" applyFont="1" applyFill="1" applyBorder="1" applyAlignment="1">
      <alignment horizontal="center" vertical="center" readingOrder="2"/>
    </xf>
    <xf numFmtId="0" fontId="4" fillId="2" borderId="14" xfId="0" applyFont="1" applyFill="1" applyBorder="1" applyAlignment="1">
      <alignment horizontal="center" vertical="center" readingOrder="2"/>
    </xf>
    <xf numFmtId="0" fontId="4" fillId="2" borderId="15" xfId="0" applyFont="1" applyFill="1" applyBorder="1" applyAlignment="1">
      <alignment horizontal="center" vertical="center" readingOrder="2"/>
    </xf>
    <xf numFmtId="0" fontId="5" fillId="0" borderId="14" xfId="0" applyFont="1" applyBorder="1" applyAlignment="1">
      <alignment horizontal="center" vertical="center" readingOrder="2"/>
    </xf>
    <xf numFmtId="0" fontId="5" fillId="0" borderId="15" xfId="0" applyFont="1" applyBorder="1" applyAlignment="1">
      <alignment horizontal="center" vertical="center" readingOrder="2"/>
    </xf>
    <xf numFmtId="0" fontId="7" fillId="4" borderId="1" xfId="0" applyFont="1" applyFill="1" applyBorder="1" applyAlignment="1">
      <alignment horizontal="center" vertical="center" readingOrder="2"/>
    </xf>
    <xf numFmtId="0" fontId="6" fillId="2" borderId="16" xfId="0" applyFont="1" applyFill="1" applyBorder="1" applyAlignment="1">
      <alignment horizontal="center" vertical="center" readingOrder="2"/>
    </xf>
    <xf numFmtId="0" fontId="6" fillId="2" borderId="17" xfId="0" applyFont="1" applyFill="1" applyBorder="1" applyAlignment="1">
      <alignment horizontal="center" vertical="center" readingOrder="2"/>
    </xf>
    <xf numFmtId="0" fontId="7" fillId="2" borderId="2" xfId="0" applyFont="1" applyFill="1" applyBorder="1" applyAlignment="1">
      <alignment horizontal="center" vertical="center" readingOrder="2"/>
    </xf>
    <xf numFmtId="0" fontId="6" fillId="4" borderId="2" xfId="0" applyFont="1" applyFill="1" applyBorder="1" applyAlignment="1">
      <alignment horizontal="center" vertical="center" readingOrder="2"/>
    </xf>
    <xf numFmtId="0" fontId="0" fillId="4" borderId="0" xfId="0" applyFill="1" applyAlignment="1">
      <alignment vertical="center" readingOrder="2"/>
    </xf>
    <xf numFmtId="0" fontId="3" fillId="0" borderId="0" xfId="0" applyFont="1" applyAlignment="1">
      <alignment horizontal="right" vertical="center" readingOrder="2"/>
    </xf>
    <xf numFmtId="0" fontId="9" fillId="0" borderId="0" xfId="0" applyFont="1" applyAlignment="1">
      <alignment vertical="center" readingOrder="2"/>
    </xf>
    <xf numFmtId="0" fontId="10" fillId="0" borderId="0" xfId="0" applyFont="1" applyAlignment="1">
      <alignment horizontal="center" vertical="center" readingOrder="2"/>
    </xf>
    <xf numFmtId="0" fontId="0" fillId="4" borderId="0" xfId="0" applyFill="1" applyAlignment="1">
      <alignment readingOrder="2"/>
    </xf>
    <xf numFmtId="0" fontId="5" fillId="3" borderId="18" xfId="0" applyFont="1" applyFill="1" applyBorder="1" applyAlignment="1">
      <alignment horizontal="center" vertical="center" readingOrder="2"/>
    </xf>
    <xf numFmtId="0" fontId="5" fillId="3" borderId="19" xfId="0" applyFont="1" applyFill="1" applyBorder="1" applyAlignment="1">
      <alignment horizontal="center" vertical="center" readingOrder="2"/>
    </xf>
    <xf numFmtId="0" fontId="5" fillId="3" borderId="20" xfId="0" applyFont="1" applyFill="1" applyBorder="1" applyAlignment="1">
      <alignment horizontal="center" vertical="center" readingOrder="2"/>
    </xf>
    <xf numFmtId="0" fontId="5" fillId="3" borderId="20" xfId="0" applyFont="1" applyFill="1" applyBorder="1" applyAlignment="1">
      <alignment horizontal="center" vertical="center" wrapText="1" readingOrder="2"/>
    </xf>
    <xf numFmtId="0" fontId="5" fillId="3" borderId="7" xfId="0" applyFont="1" applyFill="1" applyBorder="1" applyAlignment="1">
      <alignment horizontal="center" vertical="center" wrapText="1" readingOrder="2"/>
    </xf>
    <xf numFmtId="0" fontId="6" fillId="2" borderId="21" xfId="0" applyFont="1" applyFill="1" applyBorder="1" applyAlignment="1">
      <alignment horizontal="center" vertical="center" readingOrder="2"/>
    </xf>
    <xf numFmtId="0" fontId="6" fillId="2" borderId="22" xfId="0" applyFont="1" applyFill="1" applyBorder="1" applyAlignment="1">
      <alignment horizontal="center" vertical="center" readingOrder="2"/>
    </xf>
    <xf numFmtId="0" fontId="3" fillId="3" borderId="0" xfId="0" applyFont="1" applyFill="1" applyAlignment="1">
      <alignment wrapText="1" readingOrder="2"/>
    </xf>
    <xf numFmtId="0" fontId="0" fillId="4" borderId="0" xfId="0" applyFill="1" applyAlignment="1">
      <alignment vertical="center" wrapText="1" readingOrder="2"/>
    </xf>
    <xf numFmtId="0" fontId="4" fillId="0" borderId="0" xfId="0" applyFont="1" applyAlignment="1">
      <alignment wrapText="1" readingOrder="2"/>
    </xf>
    <xf numFmtId="0" fontId="6" fillId="2" borderId="23" xfId="0" applyFont="1" applyFill="1" applyBorder="1" applyAlignment="1">
      <alignment horizontal="center" vertical="center" readingOrder="2"/>
    </xf>
    <xf numFmtId="0" fontId="5" fillId="3" borderId="21" xfId="0" applyFont="1" applyFill="1" applyBorder="1" applyAlignment="1">
      <alignment horizontal="center" vertical="center" readingOrder="2"/>
    </xf>
    <xf numFmtId="0" fontId="5" fillId="3" borderId="22" xfId="0" applyFont="1" applyFill="1" applyBorder="1" applyAlignment="1">
      <alignment horizontal="center" vertical="center" readingOrder="2"/>
    </xf>
    <xf numFmtId="0" fontId="5" fillId="5" borderId="20" xfId="0" applyFont="1" applyFill="1" applyBorder="1" applyAlignment="1">
      <alignment horizontal="center" vertical="center" readingOrder="2"/>
    </xf>
    <xf numFmtId="0" fontId="5" fillId="5" borderId="7" xfId="0" applyFont="1" applyFill="1" applyBorder="1" applyAlignment="1">
      <alignment horizontal="center" vertical="center" readingOrder="2"/>
    </xf>
    <xf numFmtId="0" fontId="11" fillId="3" borderId="6" xfId="0" applyFont="1" applyFill="1" applyBorder="1" applyAlignment="1">
      <alignment horizontal="center" vertical="center" readingOrder="2"/>
    </xf>
    <xf numFmtId="0" fontId="11" fillId="3" borderId="7" xfId="0" applyFont="1" applyFill="1" applyBorder="1" applyAlignment="1">
      <alignment horizontal="center" vertical="center" readingOrder="2"/>
    </xf>
    <xf numFmtId="0" fontId="11" fillId="3" borderId="19" xfId="0" applyFont="1" applyFill="1" applyBorder="1" applyAlignment="1">
      <alignment horizontal="center" vertical="center" readingOrder="2"/>
    </xf>
    <xf numFmtId="0" fontId="11" fillId="3" borderId="20" xfId="0" applyFont="1" applyFill="1" applyBorder="1" applyAlignment="1">
      <alignment horizontal="center" vertical="center" readingOrder="2"/>
    </xf>
    <xf numFmtId="0" fontId="11" fillId="3" borderId="21" xfId="0" applyFont="1" applyFill="1" applyBorder="1" applyAlignment="1">
      <alignment horizontal="center" vertical="center" readingOrder="2"/>
    </xf>
    <xf numFmtId="0" fontId="11" fillId="3" borderId="9" xfId="0" applyFont="1" applyFill="1" applyBorder="1" applyAlignment="1">
      <alignment horizontal="center" vertical="center" readingOrder="2"/>
    </xf>
    <xf numFmtId="0" fontId="11" fillId="3" borderId="11" xfId="0" applyFont="1" applyFill="1" applyBorder="1" applyAlignment="1">
      <alignment horizontal="center" vertical="center" readingOrder="2"/>
    </xf>
    <xf numFmtId="0" fontId="11" fillId="3" borderId="12" xfId="0" applyFont="1" applyFill="1" applyBorder="1" applyAlignment="1">
      <alignment horizontal="center" vertical="center" readingOrder="2"/>
    </xf>
    <xf numFmtId="0" fontId="11" fillId="3" borderId="10" xfId="0" applyFont="1" applyFill="1" applyBorder="1" applyAlignment="1">
      <alignment horizontal="center" vertical="center" readingOrder="2"/>
    </xf>
    <xf numFmtId="0" fontId="11" fillId="3" borderId="22" xfId="0" applyFont="1" applyFill="1" applyBorder="1" applyAlignment="1">
      <alignment horizontal="center" vertical="center" readingOrder="2"/>
    </xf>
    <xf numFmtId="0" fontId="6" fillId="3" borderId="23" xfId="0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6" fillId="3" borderId="21" xfId="0" applyFont="1" applyFill="1" applyBorder="1" applyAlignment="1">
      <alignment horizontal="center" vertical="center" readingOrder="2"/>
    </xf>
    <xf numFmtId="0" fontId="6" fillId="3" borderId="22" xfId="0" applyFont="1" applyFill="1" applyBorder="1" applyAlignment="1">
      <alignment horizontal="center" vertical="center" readingOrder="2"/>
    </xf>
    <xf numFmtId="0" fontId="0" fillId="6" borderId="0" xfId="0" applyFill="1"/>
    <xf numFmtId="0" fontId="11" fillId="3" borderId="18" xfId="0" applyFont="1" applyFill="1" applyBorder="1" applyAlignment="1">
      <alignment horizontal="center" vertical="center" readingOrder="2"/>
    </xf>
    <xf numFmtId="0" fontId="11" fillId="3" borderId="13" xfId="0" applyFont="1" applyFill="1" applyBorder="1" applyAlignment="1">
      <alignment horizontal="center" vertical="center" readingOrder="2"/>
    </xf>
    <xf numFmtId="0" fontId="11" fillId="3" borderId="16" xfId="0" applyFont="1" applyFill="1" applyBorder="1" applyAlignment="1">
      <alignment horizontal="center" vertical="center" readingOrder="2"/>
    </xf>
    <xf numFmtId="0" fontId="11" fillId="3" borderId="17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vertical="center" readingOrder="2"/>
    </xf>
    <xf numFmtId="0" fontId="4" fillId="3" borderId="14" xfId="0" applyFont="1" applyFill="1" applyBorder="1" applyAlignment="1">
      <alignment horizontal="center" vertical="center" readingOrder="2"/>
    </xf>
    <xf numFmtId="0" fontId="4" fillId="3" borderId="15" xfId="0" applyFont="1" applyFill="1" applyBorder="1" applyAlignment="1">
      <alignment horizontal="center" vertical="center" readingOrder="2"/>
    </xf>
    <xf numFmtId="0" fontId="7" fillId="3" borderId="1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center" vertical="center" readingOrder="2"/>
    </xf>
    <xf numFmtId="0" fontId="11" fillId="6" borderId="20" xfId="0" applyFont="1" applyFill="1" applyBorder="1" applyAlignment="1">
      <alignment horizontal="center" vertical="center" readingOrder="2"/>
    </xf>
    <xf numFmtId="0" fontId="11" fillId="6" borderId="7" xfId="0" applyFont="1" applyFill="1" applyBorder="1" applyAlignment="1">
      <alignment horizontal="center" vertical="center" readingOrder="2"/>
    </xf>
    <xf numFmtId="0" fontId="11" fillId="3" borderId="27" xfId="0" applyFont="1" applyFill="1" applyBorder="1" applyAlignment="1">
      <alignment horizontal="center" vertical="center" readingOrder="2"/>
    </xf>
    <xf numFmtId="0" fontId="11" fillId="3" borderId="28" xfId="0" applyFont="1" applyFill="1" applyBorder="1" applyAlignment="1">
      <alignment horizontal="center" vertical="center" readingOrder="2"/>
    </xf>
    <xf numFmtId="0" fontId="3" fillId="0" borderId="30" xfId="0" applyFont="1" applyBorder="1" applyAlignment="1">
      <alignment horizontal="right" vertical="center" readingOrder="2"/>
    </xf>
    <xf numFmtId="0" fontId="9" fillId="0" borderId="30" xfId="0" applyFont="1" applyBorder="1" applyAlignment="1">
      <alignment vertical="center" readingOrder="2"/>
    </xf>
    <xf numFmtId="0" fontId="0" fillId="0" borderId="30" xfId="0" applyBorder="1" applyAlignment="1">
      <alignment vertical="center" readingOrder="2"/>
    </xf>
    <xf numFmtId="0" fontId="0" fillId="0" borderId="31" xfId="0" applyBorder="1" applyAlignment="1">
      <alignment vertical="center" readingOrder="2"/>
    </xf>
    <xf numFmtId="0" fontId="0" fillId="3" borderId="32" xfId="0" applyFill="1" applyBorder="1"/>
    <xf numFmtId="0" fontId="0" fillId="3" borderId="0" xfId="0" applyFill="1"/>
    <xf numFmtId="0" fontId="0" fillId="3" borderId="33" xfId="0" applyFill="1" applyBorder="1"/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20" xfId="0" applyFont="1" applyFill="1" applyBorder="1" applyAlignment="1">
      <alignment horizontal="center" vertical="center" wrapText="1" readingOrder="2"/>
    </xf>
    <xf numFmtId="0" fontId="5" fillId="2" borderId="35" xfId="0" applyFont="1" applyFill="1" applyBorder="1" applyAlignment="1">
      <alignment horizontal="center" vertical="center" readingOrder="2"/>
    </xf>
    <xf numFmtId="0" fontId="15" fillId="0" borderId="0" xfId="0" applyFont="1" applyAlignment="1">
      <alignment wrapText="1" readingOrder="2"/>
    </xf>
    <xf numFmtId="0" fontId="3" fillId="0" borderId="0" xfId="0" applyFont="1" applyAlignment="1">
      <alignment vertical="center" readingOrder="2"/>
    </xf>
    <xf numFmtId="0" fontId="18" fillId="0" borderId="30" xfId="0" applyFont="1" applyBorder="1" applyAlignment="1">
      <alignment vertical="center" readingOrder="2"/>
    </xf>
    <xf numFmtId="0" fontId="16" fillId="2" borderId="29" xfId="0" applyFont="1" applyFill="1" applyBorder="1" applyAlignment="1">
      <alignment horizontal="center" vertical="center" wrapText="1" readingOrder="2"/>
    </xf>
    <xf numFmtId="0" fontId="17" fillId="3" borderId="0" xfId="0" applyFont="1" applyFill="1" applyAlignment="1">
      <alignment wrapText="1" readingOrder="2"/>
    </xf>
    <xf numFmtId="0" fontId="15" fillId="4" borderId="0" xfId="0" applyFont="1" applyFill="1" applyAlignment="1">
      <alignment wrapText="1" readingOrder="2"/>
    </xf>
    <xf numFmtId="0" fontId="0" fillId="7" borderId="0" xfId="0" applyFill="1" applyAlignment="1">
      <alignment vertical="center" readingOrder="2"/>
    </xf>
    <xf numFmtId="0" fontId="6" fillId="2" borderId="1" xfId="0" applyFont="1" applyFill="1" applyBorder="1" applyAlignment="1">
      <alignment horizontal="center" vertical="center" readingOrder="2"/>
    </xf>
    <xf numFmtId="0" fontId="10" fillId="0" borderId="30" xfId="0" applyFont="1" applyBorder="1" applyAlignment="1">
      <alignment horizontal="center" vertical="center" readingOrder="2"/>
    </xf>
    <xf numFmtId="0" fontId="15" fillId="0" borderId="23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34" xfId="0" applyFont="1" applyBorder="1" applyAlignment="1">
      <alignment horizontal="left" vertical="center"/>
    </xf>
    <xf numFmtId="0" fontId="15" fillId="6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3" fillId="3" borderId="26" xfId="0" applyFont="1" applyFill="1" applyBorder="1" applyAlignment="1">
      <alignment vertical="center" wrapText="1" readingOrder="2"/>
    </xf>
    <xf numFmtId="0" fontId="14" fillId="0" borderId="30" xfId="0" applyFont="1" applyBorder="1" applyAlignment="1">
      <alignment vertical="center" readingOrder="2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7" fillId="4" borderId="26" xfId="0" applyFont="1" applyFill="1" applyBorder="1" applyAlignment="1">
      <alignment horizontal="center" vertical="center" readingOrder="2"/>
    </xf>
    <xf numFmtId="0" fontId="6" fillId="4" borderId="24" xfId="0" applyFont="1" applyFill="1" applyBorder="1" applyAlignment="1">
      <alignment horizontal="center" vertical="center" readingOrder="2"/>
    </xf>
    <xf numFmtId="0" fontId="0" fillId="9" borderId="0" xfId="0" applyFill="1" applyAlignment="1">
      <alignment vertical="center" readingOrder="2"/>
    </xf>
    <xf numFmtId="0" fontId="0" fillId="9" borderId="0" xfId="0" applyFill="1" applyAlignment="1">
      <alignment readingOrder="2"/>
    </xf>
    <xf numFmtId="0" fontId="16" fillId="2" borderId="24" xfId="0" applyFont="1" applyFill="1" applyBorder="1" applyAlignment="1">
      <alignment horizontal="center" vertical="center" wrapText="1" readingOrder="2"/>
    </xf>
    <xf numFmtId="0" fontId="16" fillId="2" borderId="38" xfId="0" applyFont="1" applyFill="1" applyBorder="1" applyAlignment="1">
      <alignment horizontal="center" vertical="center" wrapText="1" readingOrder="2"/>
    </xf>
    <xf numFmtId="0" fontId="6" fillId="2" borderId="32" xfId="0" applyFont="1" applyFill="1" applyBorder="1" applyAlignment="1">
      <alignment horizontal="center" vertical="center" readingOrder="2"/>
    </xf>
    <xf numFmtId="0" fontId="3" fillId="8" borderId="0" xfId="0" applyFont="1" applyFill="1" applyAlignment="1">
      <alignment horizontal="right" vertical="center" readingOrder="2"/>
    </xf>
    <xf numFmtId="0" fontId="0" fillId="8" borderId="0" xfId="0" applyFill="1" applyAlignment="1">
      <alignment readingOrder="2"/>
    </xf>
    <xf numFmtId="0" fontId="9" fillId="8" borderId="0" xfId="0" applyFont="1" applyFill="1" applyAlignment="1">
      <alignment vertical="center" readingOrder="2"/>
    </xf>
    <xf numFmtId="0" fontId="10" fillId="8" borderId="0" xfId="0" applyFont="1" applyFill="1" applyAlignment="1">
      <alignment horizontal="center" vertical="center" readingOrder="2"/>
    </xf>
    <xf numFmtId="0" fontId="3" fillId="8" borderId="0" xfId="0" applyFont="1" applyFill="1" applyAlignment="1">
      <alignment vertical="center" readingOrder="2"/>
    </xf>
    <xf numFmtId="0" fontId="0" fillId="8" borderId="0" xfId="0" applyFill="1" applyAlignment="1">
      <alignment vertical="center" readingOrder="2"/>
    </xf>
    <xf numFmtId="0" fontId="3" fillId="8" borderId="0" xfId="0" applyFont="1" applyFill="1" applyAlignment="1">
      <alignment wrapText="1" readingOrder="2"/>
    </xf>
    <xf numFmtId="0" fontId="4" fillId="10" borderId="36" xfId="0" applyFont="1" applyFill="1" applyBorder="1" applyAlignment="1">
      <alignment horizontal="center" vertical="center" readingOrder="2"/>
    </xf>
    <xf numFmtId="0" fontId="7" fillId="10" borderId="36" xfId="0" applyFont="1" applyFill="1" applyBorder="1" applyAlignment="1">
      <alignment horizontal="center" vertical="center" readingOrder="2"/>
    </xf>
    <xf numFmtId="0" fontId="6" fillId="10" borderId="36" xfId="0" applyFont="1" applyFill="1" applyBorder="1" applyAlignment="1">
      <alignment horizontal="center" vertical="center" readingOrder="2"/>
    </xf>
    <xf numFmtId="0" fontId="0" fillId="10" borderId="36" xfId="0" applyFill="1" applyBorder="1" applyAlignment="1">
      <alignment vertical="center" readingOrder="2"/>
    </xf>
    <xf numFmtId="0" fontId="0" fillId="10" borderId="36" xfId="0" applyFill="1" applyBorder="1" applyAlignment="1">
      <alignment vertical="center" wrapText="1" readingOrder="2"/>
    </xf>
    <xf numFmtId="0" fontId="6" fillId="2" borderId="14" xfId="0" applyFont="1" applyFill="1" applyBorder="1" applyAlignment="1">
      <alignment horizontal="center" vertical="center" readingOrder="2"/>
    </xf>
    <xf numFmtId="0" fontId="6" fillId="2" borderId="15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readingOrder="2"/>
    </xf>
    <xf numFmtId="0" fontId="6" fillId="4" borderId="26" xfId="0" applyFont="1" applyFill="1" applyBorder="1" applyAlignment="1">
      <alignment horizontal="center" vertical="center" readingOrder="2"/>
    </xf>
    <xf numFmtId="0" fontId="6" fillId="2" borderId="27" xfId="0" applyFont="1" applyFill="1" applyBorder="1" applyAlignment="1">
      <alignment horizontal="center" vertical="center" readingOrder="2"/>
    </xf>
    <xf numFmtId="0" fontId="6" fillId="2" borderId="28" xfId="0" applyFont="1" applyFill="1" applyBorder="1" applyAlignment="1">
      <alignment horizontal="center" vertical="center" readingOrder="2"/>
    </xf>
    <xf numFmtId="0" fontId="0" fillId="9" borderId="24" xfId="0" applyFill="1" applyBorder="1" applyAlignment="1">
      <alignment vertical="center" readingOrder="2"/>
    </xf>
    <xf numFmtId="0" fontId="0" fillId="9" borderId="29" xfId="0" applyFill="1" applyBorder="1" applyAlignment="1">
      <alignment readingOrder="2"/>
    </xf>
    <xf numFmtId="0" fontId="0" fillId="9" borderId="29" xfId="0" applyFill="1" applyBorder="1" applyAlignment="1">
      <alignment vertical="center" readingOrder="2"/>
    </xf>
    <xf numFmtId="0" fontId="0" fillId="10" borderId="2" xfId="0" applyFill="1" applyBorder="1" applyAlignment="1">
      <alignment vertical="center" readingOrder="2"/>
    </xf>
    <xf numFmtId="0" fontId="0" fillId="9" borderId="29" xfId="0" applyFill="1" applyBorder="1"/>
    <xf numFmtId="0" fontId="0" fillId="11" borderId="1" xfId="0" applyFill="1" applyBorder="1" applyAlignment="1">
      <alignment vertical="center" wrapText="1" readingOrder="2"/>
    </xf>
    <xf numFmtId="0" fontId="4" fillId="11" borderId="36" xfId="0" applyFont="1" applyFill="1" applyBorder="1" applyAlignment="1">
      <alignment horizontal="center" vertical="center" readingOrder="2"/>
    </xf>
    <xf numFmtId="0" fontId="7" fillId="11" borderId="36" xfId="0" applyFont="1" applyFill="1" applyBorder="1" applyAlignment="1">
      <alignment horizontal="center" vertical="center" readingOrder="2"/>
    </xf>
    <xf numFmtId="0" fontId="6" fillId="11" borderId="36" xfId="0" applyFont="1" applyFill="1" applyBorder="1" applyAlignment="1">
      <alignment horizontal="center" vertical="center" readingOrder="2"/>
    </xf>
    <xf numFmtId="0" fontId="0" fillId="11" borderId="2" xfId="0" applyFill="1" applyBorder="1" applyAlignment="1">
      <alignment vertical="center" readingOrder="2"/>
    </xf>
    <xf numFmtId="0" fontId="0" fillId="11" borderId="36" xfId="0" applyFill="1" applyBorder="1" applyAlignment="1">
      <alignment vertical="center" wrapText="1" readingOrder="2"/>
    </xf>
    <xf numFmtId="0" fontId="0" fillId="11" borderId="36" xfId="0" applyFill="1" applyBorder="1" applyAlignment="1">
      <alignment vertical="center" readingOrder="2"/>
    </xf>
    <xf numFmtId="0" fontId="16" fillId="10" borderId="1" xfId="0" applyFont="1" applyFill="1" applyBorder="1" applyAlignment="1">
      <alignment horizontal="center" vertical="center" wrapText="1" readingOrder="2"/>
    </xf>
    <xf numFmtId="0" fontId="6" fillId="3" borderId="32" xfId="0" applyFont="1" applyFill="1" applyBorder="1" applyAlignment="1">
      <alignment horizontal="center" vertical="center" readingOrder="2"/>
    </xf>
    <xf numFmtId="0" fontId="11" fillId="9" borderId="20" xfId="0" applyFont="1" applyFill="1" applyBorder="1" applyAlignment="1">
      <alignment horizontal="center" vertical="center" readingOrder="2"/>
    </xf>
    <xf numFmtId="0" fontId="11" fillId="9" borderId="7" xfId="0" applyFont="1" applyFill="1" applyBorder="1" applyAlignment="1">
      <alignment horizontal="center" vertical="center" readingOrder="2"/>
    </xf>
    <xf numFmtId="0" fontId="9" fillId="8" borderId="2" xfId="0" applyFont="1" applyFill="1" applyBorder="1" applyAlignment="1">
      <alignment horizontal="center" wrapText="1" readingOrder="2"/>
    </xf>
    <xf numFmtId="0" fontId="9" fillId="8" borderId="37" xfId="0" applyFont="1" applyFill="1" applyBorder="1" applyAlignment="1">
      <alignment horizontal="center" wrapText="1" readingOrder="2"/>
    </xf>
    <xf numFmtId="0" fontId="0" fillId="0" borderId="29" xfId="0" applyBorder="1"/>
    <xf numFmtId="0" fontId="0" fillId="4" borderId="32" xfId="0" applyFill="1" applyBorder="1" applyAlignment="1">
      <alignment vertical="center" wrapText="1" readingOrder="2"/>
    </xf>
    <xf numFmtId="0" fontId="6" fillId="11" borderId="37" xfId="0" applyFont="1" applyFill="1" applyBorder="1" applyAlignment="1">
      <alignment horizontal="center" vertical="center" readingOrder="2"/>
    </xf>
    <xf numFmtId="0" fontId="0" fillId="0" borderId="33" xfId="0" applyBorder="1" applyAlignment="1">
      <alignment vertical="center" readingOrder="2"/>
    </xf>
    <xf numFmtId="0" fontId="9" fillId="8" borderId="31" xfId="0" applyFont="1" applyFill="1" applyBorder="1" applyAlignment="1">
      <alignment horizontal="center" wrapText="1" readingOrder="2"/>
    </xf>
    <xf numFmtId="0" fontId="9" fillId="8" borderId="24" xfId="0" applyFont="1" applyFill="1" applyBorder="1" applyAlignment="1">
      <alignment horizontal="center" wrapText="1" readingOrder="2"/>
    </xf>
    <xf numFmtId="0" fontId="0" fillId="9" borderId="30" xfId="0" applyFill="1" applyBorder="1" applyAlignment="1">
      <alignment readingOrder="2"/>
    </xf>
    <xf numFmtId="0" fontId="0" fillId="9" borderId="25" xfId="0" applyFill="1" applyBorder="1" applyAlignment="1">
      <alignment vertical="center" readingOrder="2"/>
    </xf>
    <xf numFmtId="0" fontId="3" fillId="12" borderId="54" xfId="0" applyFont="1" applyFill="1" applyBorder="1" applyAlignment="1">
      <alignment horizontal="center" vertical="center" wrapText="1" readingOrder="2"/>
    </xf>
    <xf numFmtId="0" fontId="3" fillId="12" borderId="55" xfId="0" applyFont="1" applyFill="1" applyBorder="1" applyAlignment="1">
      <alignment horizontal="center" vertical="center" wrapText="1" readingOrder="2"/>
    </xf>
    <xf numFmtId="0" fontId="3" fillId="12" borderId="56" xfId="0" applyFont="1" applyFill="1" applyBorder="1" applyAlignment="1">
      <alignment horizontal="center" vertical="center" wrapText="1" readingOrder="2"/>
    </xf>
    <xf numFmtId="0" fontId="3" fillId="13" borderId="56" xfId="0" applyFont="1" applyFill="1" applyBorder="1" applyAlignment="1">
      <alignment horizontal="center" vertical="center" wrapText="1" readingOrder="2"/>
    </xf>
    <xf numFmtId="0" fontId="3" fillId="13" borderId="55" xfId="0" applyFont="1" applyFill="1" applyBorder="1" applyAlignment="1">
      <alignment horizontal="center" vertical="center" wrapText="1" readingOrder="2"/>
    </xf>
    <xf numFmtId="0" fontId="3" fillId="0" borderId="55" xfId="0" applyFont="1" applyBorder="1" applyAlignment="1">
      <alignment horizontal="center" vertical="center" wrapText="1" readingOrder="2"/>
    </xf>
    <xf numFmtId="0" fontId="3" fillId="12" borderId="57" xfId="0" applyFont="1" applyFill="1" applyBorder="1" applyAlignment="1">
      <alignment horizontal="center" vertical="center" wrapText="1" readingOrder="2"/>
    </xf>
    <xf numFmtId="0" fontId="3" fillId="12" borderId="58" xfId="0" applyFont="1" applyFill="1" applyBorder="1" applyAlignment="1">
      <alignment horizontal="center" vertical="center" wrapText="1" readingOrder="2"/>
    </xf>
    <xf numFmtId="0" fontId="3" fillId="12" borderId="59" xfId="0" applyFont="1" applyFill="1" applyBorder="1" applyAlignment="1">
      <alignment horizontal="center" vertical="center" wrapText="1" readingOrder="2"/>
    </xf>
    <xf numFmtId="0" fontId="3" fillId="0" borderId="58" xfId="0" applyFont="1" applyBorder="1" applyAlignment="1">
      <alignment horizontal="center" vertical="center" wrapText="1" readingOrder="2"/>
    </xf>
    <xf numFmtId="0" fontId="19" fillId="13" borderId="58" xfId="0" applyFont="1" applyFill="1" applyBorder="1" applyAlignment="1">
      <alignment horizontal="center" vertical="center" wrapText="1" readingOrder="2"/>
    </xf>
    <xf numFmtId="0" fontId="3" fillId="12" borderId="60" xfId="0" applyFont="1" applyFill="1" applyBorder="1" applyAlignment="1">
      <alignment horizontal="center" vertical="center" wrapText="1" readingOrder="2"/>
    </xf>
    <xf numFmtId="0" fontId="3" fillId="12" borderId="61" xfId="0" applyFont="1" applyFill="1" applyBorder="1" applyAlignment="1">
      <alignment horizontal="center" vertical="center" wrapText="1" readingOrder="2"/>
    </xf>
    <xf numFmtId="0" fontId="3" fillId="12" borderId="62" xfId="0" applyFont="1" applyFill="1" applyBorder="1" applyAlignment="1">
      <alignment horizontal="center" vertical="center" wrapText="1" readingOrder="2"/>
    </xf>
    <xf numFmtId="0" fontId="3" fillId="13" borderId="62" xfId="0" applyFont="1" applyFill="1" applyBorder="1" applyAlignment="1">
      <alignment horizontal="center" vertical="center" wrapText="1" readingOrder="2"/>
    </xf>
    <xf numFmtId="0" fontId="3" fillId="13" borderId="61" xfId="0" applyFont="1" applyFill="1" applyBorder="1" applyAlignment="1">
      <alignment horizontal="center" vertical="center" wrapText="1" readingOrder="2"/>
    </xf>
    <xf numFmtId="0" fontId="3" fillId="0" borderId="61" xfId="0" applyFont="1" applyBorder="1" applyAlignment="1">
      <alignment horizontal="center" vertical="center" wrapText="1" readingOrder="2"/>
    </xf>
    <xf numFmtId="0" fontId="3" fillId="12" borderId="66" xfId="0" applyFont="1" applyFill="1" applyBorder="1" applyAlignment="1">
      <alignment horizontal="center" wrapText="1" readingOrder="2"/>
    </xf>
    <xf numFmtId="0" fontId="3" fillId="12" borderId="56" xfId="0" applyFont="1" applyFill="1" applyBorder="1" applyAlignment="1">
      <alignment horizontal="center" wrapText="1" readingOrder="2"/>
    </xf>
    <xf numFmtId="0" fontId="3" fillId="13" borderId="56" xfId="0" applyFont="1" applyFill="1" applyBorder="1" applyAlignment="1">
      <alignment horizontal="center" wrapText="1" readingOrder="2"/>
    </xf>
    <xf numFmtId="0" fontId="3" fillId="12" borderId="67" xfId="0" applyFont="1" applyFill="1" applyBorder="1" applyAlignment="1">
      <alignment horizontal="center" wrapText="1" readingOrder="2"/>
    </xf>
    <xf numFmtId="0" fontId="3" fillId="0" borderId="56" xfId="0" applyFont="1" applyBorder="1" applyAlignment="1">
      <alignment horizontal="center" wrapText="1" readingOrder="2"/>
    </xf>
    <xf numFmtId="0" fontId="3" fillId="0" borderId="55" xfId="0" applyFont="1" applyBorder="1" applyAlignment="1">
      <alignment horizontal="center" wrapText="1" readingOrder="2"/>
    </xf>
    <xf numFmtId="0" fontId="3" fillId="12" borderId="68" xfId="0" applyFont="1" applyFill="1" applyBorder="1" applyAlignment="1">
      <alignment horizontal="center" wrapText="1" readingOrder="2"/>
    </xf>
    <xf numFmtId="0" fontId="3" fillId="12" borderId="59" xfId="0" applyFont="1" applyFill="1" applyBorder="1" applyAlignment="1">
      <alignment horizontal="center" wrapText="1" readingOrder="2"/>
    </xf>
    <xf numFmtId="0" fontId="3" fillId="12" borderId="69" xfId="0" applyFont="1" applyFill="1" applyBorder="1" applyAlignment="1">
      <alignment horizontal="center" wrapText="1" readingOrder="2"/>
    </xf>
    <xf numFmtId="0" fontId="3" fillId="0" borderId="59" xfId="0" applyFont="1" applyBorder="1" applyAlignment="1">
      <alignment horizontal="center" wrapText="1" readingOrder="2"/>
    </xf>
    <xf numFmtId="0" fontId="3" fillId="0" borderId="58" xfId="0" applyFont="1" applyBorder="1" applyAlignment="1">
      <alignment horizontal="center" wrapText="1" readingOrder="2"/>
    </xf>
    <xf numFmtId="0" fontId="3" fillId="12" borderId="70" xfId="0" applyFont="1" applyFill="1" applyBorder="1" applyAlignment="1">
      <alignment horizontal="center" wrapText="1" readingOrder="2"/>
    </xf>
    <xf numFmtId="0" fontId="3" fillId="12" borderId="62" xfId="0" applyFont="1" applyFill="1" applyBorder="1" applyAlignment="1">
      <alignment horizontal="center" wrapText="1" readingOrder="2"/>
    </xf>
    <xf numFmtId="0" fontId="3" fillId="13" borderId="62" xfId="0" applyFont="1" applyFill="1" applyBorder="1" applyAlignment="1">
      <alignment horizontal="center" wrapText="1" readingOrder="2"/>
    </xf>
    <xf numFmtId="0" fontId="3" fillId="12" borderId="71" xfId="0" applyFont="1" applyFill="1" applyBorder="1" applyAlignment="1">
      <alignment horizontal="center" wrapText="1" readingOrder="2"/>
    </xf>
    <xf numFmtId="0" fontId="3" fillId="0" borderId="62" xfId="0" applyFont="1" applyBorder="1" applyAlignment="1">
      <alignment horizontal="center" wrapText="1" readingOrder="2"/>
    </xf>
    <xf numFmtId="0" fontId="3" fillId="0" borderId="61" xfId="0" applyFont="1" applyBorder="1" applyAlignment="1">
      <alignment horizontal="center" wrapText="1" readingOrder="2"/>
    </xf>
    <xf numFmtId="0" fontId="19" fillId="13" borderId="62" xfId="0" applyFont="1" applyFill="1" applyBorder="1" applyAlignment="1">
      <alignment horizontal="center" wrapText="1" readingOrder="2"/>
    </xf>
    <xf numFmtId="0" fontId="19" fillId="13" borderId="61" xfId="0" applyFont="1" applyFill="1" applyBorder="1" applyAlignment="1">
      <alignment horizontal="center" wrapText="1" readingOrder="2"/>
    </xf>
    <xf numFmtId="0" fontId="3" fillId="0" borderId="56" xfId="0" applyFont="1" applyBorder="1" applyAlignment="1">
      <alignment horizontal="center" vertical="center" wrapText="1" readingOrder="2"/>
    </xf>
    <xf numFmtId="0" fontId="3" fillId="0" borderId="59" xfId="0" applyFont="1" applyBorder="1" applyAlignment="1">
      <alignment horizontal="center" vertical="center" wrapText="1" readingOrder="2"/>
    </xf>
    <xf numFmtId="0" fontId="19" fillId="13" borderId="69" xfId="0" applyFont="1" applyFill="1" applyBorder="1" applyAlignment="1">
      <alignment horizontal="center" vertical="center" wrapText="1" readingOrder="2"/>
    </xf>
    <xf numFmtId="0" fontId="20" fillId="13" borderId="58" xfId="0" applyFont="1" applyFill="1" applyBorder="1" applyAlignment="1">
      <alignment vertical="center" wrapText="1" readingOrder="2"/>
    </xf>
    <xf numFmtId="0" fontId="3" fillId="0" borderId="62" xfId="0" applyFont="1" applyBorder="1" applyAlignment="1">
      <alignment horizontal="center" vertical="center" wrapText="1" readingOrder="2"/>
    </xf>
    <xf numFmtId="0" fontId="21" fillId="14" borderId="69" xfId="0" applyFont="1" applyFill="1" applyBorder="1" applyAlignment="1">
      <alignment horizontal="center" vertical="center" wrapText="1" readingOrder="2"/>
    </xf>
    <xf numFmtId="0" fontId="20" fillId="14" borderId="58" xfId="0" applyFont="1" applyFill="1" applyBorder="1" applyAlignment="1">
      <alignment vertical="center" wrapText="1" readingOrder="2"/>
    </xf>
    <xf numFmtId="0" fontId="21" fillId="14" borderId="58" xfId="0" applyFont="1" applyFill="1" applyBorder="1" applyAlignment="1">
      <alignment horizontal="center" vertical="center" wrapText="1" readingOrder="2"/>
    </xf>
    <xf numFmtId="0" fontId="19" fillId="13" borderId="59" xfId="0" applyFont="1" applyFill="1" applyBorder="1" applyAlignment="1">
      <alignment horizontal="center" wrapText="1" readingOrder="2"/>
    </xf>
    <xf numFmtId="0" fontId="19" fillId="13" borderId="58" xfId="0" applyFont="1" applyFill="1" applyBorder="1" applyAlignment="1">
      <alignment horizontal="center" wrapText="1" readingOrder="2"/>
    </xf>
    <xf numFmtId="0" fontId="21" fillId="14" borderId="58" xfId="0" applyFont="1" applyFill="1" applyBorder="1" applyAlignment="1">
      <alignment horizontal="center" wrapText="1" readingOrder="2"/>
    </xf>
    <xf numFmtId="0" fontId="3" fillId="12" borderId="60" xfId="0" applyFont="1" applyFill="1" applyBorder="1" applyAlignment="1">
      <alignment horizontal="center" wrapText="1" readingOrder="2"/>
    </xf>
    <xf numFmtId="0" fontId="3" fillId="12" borderId="61" xfId="0" applyFont="1" applyFill="1" applyBorder="1" applyAlignment="1">
      <alignment horizontal="center" wrapText="1" readingOrder="2"/>
    </xf>
    <xf numFmtId="0" fontId="3" fillId="13" borderId="61" xfId="0" applyFont="1" applyFill="1" applyBorder="1" applyAlignment="1">
      <alignment horizontal="center" wrapText="1" readingOrder="2"/>
    </xf>
    <xf numFmtId="0" fontId="3" fillId="12" borderId="57" xfId="0" applyFont="1" applyFill="1" applyBorder="1" applyAlignment="1">
      <alignment horizontal="center" wrapText="1" readingOrder="2"/>
    </xf>
    <xf numFmtId="0" fontId="3" fillId="12" borderId="58" xfId="0" applyFont="1" applyFill="1" applyBorder="1" applyAlignment="1">
      <alignment horizontal="center" wrapText="1" readingOrder="2"/>
    </xf>
    <xf numFmtId="0" fontId="19" fillId="13" borderId="55" xfId="0" applyFont="1" applyFill="1" applyBorder="1" applyAlignment="1">
      <alignment horizontal="center" vertical="center" wrapText="1" readingOrder="2"/>
    </xf>
    <xf numFmtId="0" fontId="21" fillId="13" borderId="58" xfId="0" applyFont="1" applyFill="1" applyBorder="1" applyAlignment="1">
      <alignment horizontal="center" vertical="center" wrapText="1" readingOrder="2"/>
    </xf>
    <xf numFmtId="0" fontId="19" fillId="13" borderId="61" xfId="0" applyFont="1" applyFill="1" applyBorder="1" applyAlignment="1">
      <alignment horizontal="center" vertical="center" wrapText="1" readingOrder="2"/>
    </xf>
    <xf numFmtId="0" fontId="19" fillId="13" borderId="55" xfId="0" applyFont="1" applyFill="1" applyBorder="1" applyAlignment="1">
      <alignment horizontal="center" wrapText="1" readingOrder="2"/>
    </xf>
    <xf numFmtId="0" fontId="19" fillId="14" borderId="58" xfId="0" applyFont="1" applyFill="1" applyBorder="1" applyAlignment="1">
      <alignment horizontal="center" vertical="center" wrapText="1" readingOrder="2"/>
    </xf>
    <xf numFmtId="0" fontId="21" fillId="13" borderId="61" xfId="0" applyFont="1" applyFill="1" applyBorder="1" applyAlignment="1">
      <alignment horizontal="center" wrapText="1" readingOrder="2"/>
    </xf>
    <xf numFmtId="0" fontId="21" fillId="13" borderId="58" xfId="0" applyFont="1" applyFill="1" applyBorder="1" applyAlignment="1">
      <alignment horizontal="center" wrapText="1" readingOrder="2"/>
    </xf>
    <xf numFmtId="0" fontId="19" fillId="14" borderId="58" xfId="0" applyFont="1" applyFill="1" applyBorder="1" applyAlignment="1">
      <alignment horizontal="center" wrapText="1" readingOrder="2"/>
    </xf>
    <xf numFmtId="0" fontId="22" fillId="12" borderId="54" xfId="0" applyFont="1" applyFill="1" applyBorder="1" applyAlignment="1">
      <alignment horizontal="center" vertical="center" wrapText="1" readingOrder="2"/>
    </xf>
    <xf numFmtId="0" fontId="22" fillId="12" borderId="55" xfId="0" applyFont="1" applyFill="1" applyBorder="1" applyAlignment="1">
      <alignment horizontal="center" vertical="center" wrapText="1" readingOrder="2"/>
    </xf>
    <xf numFmtId="0" fontId="22" fillId="12" borderId="56" xfId="0" applyFont="1" applyFill="1" applyBorder="1" applyAlignment="1">
      <alignment horizontal="center" vertical="center" wrapText="1" readingOrder="2"/>
    </xf>
    <xf numFmtId="0" fontId="22" fillId="13" borderId="56" xfId="0" applyFont="1" applyFill="1" applyBorder="1" applyAlignment="1">
      <alignment horizontal="center" vertical="center" wrapText="1" readingOrder="2"/>
    </xf>
    <xf numFmtId="0" fontId="22" fillId="13" borderId="55" xfId="0" applyFont="1" applyFill="1" applyBorder="1" applyAlignment="1">
      <alignment horizontal="center" vertical="center" wrapText="1" readingOrder="2"/>
    </xf>
    <xf numFmtId="0" fontId="22" fillId="0" borderId="55" xfId="0" applyFont="1" applyBorder="1" applyAlignment="1">
      <alignment horizontal="center" vertical="center" wrapText="1" readingOrder="2"/>
    </xf>
    <xf numFmtId="0" fontId="23" fillId="15" borderId="81" xfId="0" applyFont="1" applyFill="1" applyBorder="1" applyAlignment="1">
      <alignment horizontal="center" vertical="center" readingOrder="2"/>
    </xf>
    <xf numFmtId="0" fontId="22" fillId="12" borderId="57" xfId="0" applyFont="1" applyFill="1" applyBorder="1" applyAlignment="1">
      <alignment horizontal="center" vertical="center" wrapText="1" readingOrder="2"/>
    </xf>
    <xf numFmtId="0" fontId="22" fillId="12" borderId="58" xfId="0" applyFont="1" applyFill="1" applyBorder="1" applyAlignment="1">
      <alignment horizontal="center" vertical="center" wrapText="1" readingOrder="2"/>
    </xf>
    <xf numFmtId="0" fontId="22" fillId="12" borderId="59" xfId="0" applyFont="1" applyFill="1" applyBorder="1" applyAlignment="1">
      <alignment horizontal="center" vertical="center" wrapText="1" readingOrder="2"/>
    </xf>
    <xf numFmtId="0" fontId="22" fillId="0" borderId="58" xfId="0" applyFont="1" applyBorder="1" applyAlignment="1">
      <alignment horizontal="center" vertical="center" wrapText="1" readingOrder="2"/>
    </xf>
    <xf numFmtId="0" fontId="23" fillId="15" borderId="82" xfId="0" applyFont="1" applyFill="1" applyBorder="1" applyAlignment="1">
      <alignment horizontal="center" vertical="center" readingOrder="2"/>
    </xf>
    <xf numFmtId="0" fontId="23" fillId="15" borderId="77" xfId="0" applyFont="1" applyFill="1" applyBorder="1" applyAlignment="1">
      <alignment horizontal="center" vertical="center" readingOrder="2"/>
    </xf>
    <xf numFmtId="0" fontId="25" fillId="15" borderId="83" xfId="0" applyFont="1" applyFill="1" applyBorder="1" applyAlignment="1">
      <alignment horizontal="center" vertical="center" readingOrder="2"/>
    </xf>
    <xf numFmtId="0" fontId="25" fillId="16" borderId="77" xfId="0" applyFont="1" applyFill="1" applyBorder="1" applyAlignment="1">
      <alignment horizontal="center" vertical="center" readingOrder="2"/>
    </xf>
    <xf numFmtId="0" fontId="23" fillId="16" borderId="83" xfId="0" applyFont="1" applyFill="1" applyBorder="1" applyAlignment="1">
      <alignment horizontal="center" vertical="center" readingOrder="2"/>
    </xf>
    <xf numFmtId="0" fontId="26" fillId="17" borderId="84" xfId="0" applyFont="1" applyFill="1" applyBorder="1" applyAlignment="1">
      <alignment horizontal="center" vertical="center" readingOrder="2"/>
    </xf>
    <xf numFmtId="0" fontId="26" fillId="17" borderId="85" xfId="0" applyFont="1" applyFill="1" applyBorder="1" applyAlignment="1">
      <alignment horizontal="center" vertical="center" readingOrder="2"/>
    </xf>
    <xf numFmtId="0" fontId="26" fillId="17" borderId="86" xfId="0" applyFont="1" applyFill="1" applyBorder="1" applyAlignment="1">
      <alignment horizontal="center" vertical="center" readingOrder="2"/>
    </xf>
    <xf numFmtId="0" fontId="26" fillId="17" borderId="86" xfId="0" applyFont="1" applyFill="1" applyBorder="1" applyAlignment="1">
      <alignment horizontal="center" vertical="center" wrapText="1" readingOrder="2"/>
    </xf>
    <xf numFmtId="0" fontId="26" fillId="15" borderId="86" xfId="0" applyFont="1" applyFill="1" applyBorder="1" applyAlignment="1">
      <alignment horizontal="center" vertical="center" wrapText="1" readingOrder="2"/>
    </xf>
    <xf numFmtId="0" fontId="26" fillId="17" borderId="87" xfId="0" applyFont="1" applyFill="1" applyBorder="1" applyAlignment="1">
      <alignment horizontal="center" vertical="center" wrapText="1" readingOrder="2"/>
    </xf>
    <xf numFmtId="0" fontId="26" fillId="17" borderId="88" xfId="0" applyFont="1" applyFill="1" applyBorder="1" applyAlignment="1">
      <alignment horizontal="center" vertical="center" readingOrder="2"/>
    </xf>
    <xf numFmtId="0" fontId="26" fillId="17" borderId="87" xfId="0" applyFont="1" applyFill="1" applyBorder="1" applyAlignment="1">
      <alignment horizontal="center" vertical="center" readingOrder="2"/>
    </xf>
    <xf numFmtId="0" fontId="26" fillId="17" borderId="89" xfId="0" applyFont="1" applyFill="1" applyBorder="1" applyAlignment="1">
      <alignment horizontal="center" vertical="center" readingOrder="2"/>
    </xf>
    <xf numFmtId="0" fontId="26" fillId="15" borderId="90" xfId="0" applyFont="1" applyFill="1" applyBorder="1" applyAlignment="1">
      <alignment horizontal="center" vertical="center" readingOrder="2"/>
    </xf>
    <xf numFmtId="0" fontId="26" fillId="0" borderId="91" xfId="0" applyFont="1" applyBorder="1" applyAlignment="1">
      <alignment horizontal="center" vertical="center" readingOrder="2"/>
    </xf>
    <xf numFmtId="0" fontId="26" fillId="17" borderId="92" xfId="0" applyFont="1" applyFill="1" applyBorder="1" applyAlignment="1">
      <alignment horizontal="center" vertical="center" readingOrder="2"/>
    </xf>
    <xf numFmtId="0" fontId="26" fillId="17" borderId="93" xfId="0" applyFont="1" applyFill="1" applyBorder="1" applyAlignment="1">
      <alignment horizontal="center" vertical="center" readingOrder="2"/>
    </xf>
    <xf numFmtId="0" fontId="26" fillId="17" borderId="94" xfId="0" applyFont="1" applyFill="1" applyBorder="1" applyAlignment="1">
      <alignment horizontal="center" vertical="center" readingOrder="2"/>
    </xf>
    <xf numFmtId="0" fontId="26" fillId="17" borderId="94" xfId="0" applyFont="1" applyFill="1" applyBorder="1" applyAlignment="1">
      <alignment horizontal="center" vertical="center" wrapText="1" readingOrder="2"/>
    </xf>
    <xf numFmtId="0" fontId="26" fillId="17" borderId="95" xfId="0" applyFont="1" applyFill="1" applyBorder="1" applyAlignment="1">
      <alignment horizontal="center" vertical="center" wrapText="1" readingOrder="2"/>
    </xf>
    <xf numFmtId="0" fontId="26" fillId="17" borderId="96" xfId="0" applyFont="1" applyFill="1" applyBorder="1" applyAlignment="1">
      <alignment horizontal="center" vertical="center" readingOrder="2"/>
    </xf>
    <xf numFmtId="0" fontId="26" fillId="17" borderId="95" xfId="0" applyFont="1" applyFill="1" applyBorder="1" applyAlignment="1">
      <alignment horizontal="center" vertical="center" readingOrder="2"/>
    </xf>
    <xf numFmtId="0" fontId="26" fillId="0" borderId="97" xfId="0" applyFont="1" applyBorder="1" applyAlignment="1">
      <alignment horizontal="center" vertical="center" readingOrder="2"/>
    </xf>
    <xf numFmtId="0" fontId="22" fillId="12" borderId="98" xfId="0" applyFont="1" applyFill="1" applyBorder="1" applyAlignment="1">
      <alignment horizontal="center" wrapText="1" readingOrder="2"/>
    </xf>
    <xf numFmtId="0" fontId="22" fillId="12" borderId="56" xfId="0" applyFont="1" applyFill="1" applyBorder="1" applyAlignment="1">
      <alignment horizontal="center" wrapText="1" readingOrder="2"/>
    </xf>
    <xf numFmtId="0" fontId="22" fillId="13" borderId="55" xfId="0" applyFont="1" applyFill="1" applyBorder="1" applyAlignment="1">
      <alignment horizontal="center" wrapText="1" readingOrder="2"/>
    </xf>
    <xf numFmtId="0" fontId="22" fillId="12" borderId="55" xfId="0" applyFont="1" applyFill="1" applyBorder="1" applyAlignment="1">
      <alignment horizontal="center" wrapText="1" readingOrder="2"/>
    </xf>
    <xf numFmtId="0" fontId="22" fillId="0" borderId="55" xfId="0" applyFont="1" applyBorder="1" applyAlignment="1">
      <alignment horizontal="center" wrapText="1" readingOrder="2"/>
    </xf>
    <xf numFmtId="0" fontId="22" fillId="12" borderId="99" xfId="0" applyFont="1" applyFill="1" applyBorder="1" applyAlignment="1">
      <alignment horizontal="center" wrapText="1" readingOrder="2"/>
    </xf>
    <xf numFmtId="0" fontId="22" fillId="12" borderId="59" xfId="0" applyFont="1" applyFill="1" applyBorder="1" applyAlignment="1">
      <alignment horizontal="center" wrapText="1" readingOrder="2"/>
    </xf>
    <xf numFmtId="0" fontId="22" fillId="12" borderId="58" xfId="0" applyFont="1" applyFill="1" applyBorder="1" applyAlignment="1">
      <alignment horizontal="center" wrapText="1" readingOrder="2"/>
    </xf>
    <xf numFmtId="0" fontId="22" fillId="0" borderId="58" xfId="0" applyFont="1" applyBorder="1" applyAlignment="1">
      <alignment horizontal="center" wrapText="1" readingOrder="2"/>
    </xf>
    <xf numFmtId="0" fontId="26" fillId="17" borderId="100" xfId="0" applyFont="1" applyFill="1" applyBorder="1" applyAlignment="1">
      <alignment horizontal="center" vertical="center" readingOrder="2"/>
    </xf>
    <xf numFmtId="0" fontId="26" fillId="17" borderId="101" xfId="0" applyFont="1" applyFill="1" applyBorder="1" applyAlignment="1">
      <alignment horizontal="center" vertical="center" readingOrder="2"/>
    </xf>
    <xf numFmtId="0" fontId="26" fillId="17" borderId="101" xfId="0" applyFont="1" applyFill="1" applyBorder="1" applyAlignment="1">
      <alignment horizontal="center" vertical="center" wrapText="1" readingOrder="2"/>
    </xf>
    <xf numFmtId="0" fontId="26" fillId="15" borderId="101" xfId="0" applyFont="1" applyFill="1" applyBorder="1" applyAlignment="1">
      <alignment horizontal="center" vertical="center" wrapText="1" readingOrder="2"/>
    </xf>
    <xf numFmtId="0" fontId="26" fillId="17" borderId="102" xfId="0" applyFont="1" applyFill="1" applyBorder="1" applyAlignment="1">
      <alignment horizontal="center" vertical="center" wrapText="1" readingOrder="2"/>
    </xf>
    <xf numFmtId="0" fontId="22" fillId="12" borderId="54" xfId="0" applyFont="1" applyFill="1" applyBorder="1" applyAlignment="1">
      <alignment horizontal="center" wrapText="1" readingOrder="2"/>
    </xf>
    <xf numFmtId="0" fontId="22" fillId="13" borderId="56" xfId="0" applyFont="1" applyFill="1" applyBorder="1" applyAlignment="1">
      <alignment horizontal="center" wrapText="1" readingOrder="2"/>
    </xf>
    <xf numFmtId="0" fontId="22" fillId="12" borderId="57" xfId="0" applyFont="1" applyFill="1" applyBorder="1" applyAlignment="1">
      <alignment horizontal="center" wrapText="1" readingOrder="2"/>
    </xf>
    <xf numFmtId="0" fontId="22" fillId="12" borderId="66" xfId="0" applyFont="1" applyFill="1" applyBorder="1" applyAlignment="1">
      <alignment horizontal="center" wrapText="1" readingOrder="2"/>
    </xf>
    <xf numFmtId="0" fontId="22" fillId="0" borderId="56" xfId="0" applyFont="1" applyBorder="1" applyAlignment="1">
      <alignment horizontal="center" wrapText="1" readingOrder="2"/>
    </xf>
    <xf numFmtId="0" fontId="22" fillId="12" borderId="70" xfId="0" applyFont="1" applyFill="1" applyBorder="1" applyAlignment="1">
      <alignment horizontal="center" wrapText="1" readingOrder="2"/>
    </xf>
    <xf numFmtId="0" fontId="22" fillId="12" borderId="62" xfId="0" applyFont="1" applyFill="1" applyBorder="1" applyAlignment="1">
      <alignment horizontal="center" wrapText="1" readingOrder="2"/>
    </xf>
    <xf numFmtId="0" fontId="22" fillId="0" borderId="62" xfId="0" applyFont="1" applyBorder="1" applyAlignment="1">
      <alignment horizontal="center" wrapText="1" readingOrder="2"/>
    </xf>
    <xf numFmtId="0" fontId="22" fillId="0" borderId="61" xfId="0" applyFont="1" applyBorder="1" applyAlignment="1">
      <alignment horizontal="center" wrapText="1" readingOrder="2"/>
    </xf>
    <xf numFmtId="0" fontId="22" fillId="12" borderId="83" xfId="0" applyFont="1" applyFill="1" applyBorder="1" applyAlignment="1">
      <alignment horizontal="center" wrapText="1" readingOrder="2"/>
    </xf>
    <xf numFmtId="0" fontId="22" fillId="12" borderId="103" xfId="0" applyFont="1" applyFill="1" applyBorder="1" applyAlignment="1">
      <alignment horizontal="center" wrapText="1" readingOrder="2"/>
    </xf>
    <xf numFmtId="0" fontId="22" fillId="13" borderId="103" xfId="0" applyFont="1" applyFill="1" applyBorder="1" applyAlignment="1">
      <alignment horizontal="center" wrapText="1" readingOrder="2"/>
    </xf>
    <xf numFmtId="0" fontId="22" fillId="0" borderId="103" xfId="0" applyFont="1" applyBorder="1" applyAlignment="1">
      <alignment horizontal="center" wrapText="1" readingOrder="2"/>
    </xf>
    <xf numFmtId="0" fontId="22" fillId="0" borderId="104" xfId="0" applyFont="1" applyBorder="1" applyAlignment="1">
      <alignment horizontal="center" wrapText="1" readingOrder="2"/>
    </xf>
    <xf numFmtId="0" fontId="23" fillId="15" borderId="91" xfId="0" applyFont="1" applyFill="1" applyBorder="1" applyAlignment="1">
      <alignment horizontal="center" vertical="center" readingOrder="2"/>
    </xf>
    <xf numFmtId="0" fontId="23" fillId="15" borderId="97" xfId="0" applyFont="1" applyFill="1" applyBorder="1" applyAlignment="1">
      <alignment horizontal="center" vertical="center" readingOrder="2"/>
    </xf>
    <xf numFmtId="0" fontId="25" fillId="15" borderId="77" xfId="0" applyFont="1" applyFill="1" applyBorder="1" applyAlignment="1">
      <alignment horizontal="center" vertical="center" readingOrder="2"/>
    </xf>
    <xf numFmtId="0" fontId="23" fillId="16" borderId="77" xfId="0" applyFont="1" applyFill="1" applyBorder="1" applyAlignment="1">
      <alignment horizontal="center" vertical="center" readingOrder="2"/>
    </xf>
    <xf numFmtId="0" fontId="27" fillId="17" borderId="105" xfId="0" applyFont="1" applyFill="1" applyBorder="1" applyAlignment="1">
      <alignment horizontal="center"/>
    </xf>
    <xf numFmtId="0" fontId="27" fillId="17" borderId="105" xfId="0" applyFont="1" applyFill="1" applyBorder="1" applyAlignment="1">
      <alignment horizontal="center" wrapText="1"/>
    </xf>
    <xf numFmtId="0" fontId="27" fillId="15" borderId="105" xfId="0" applyFont="1" applyFill="1" applyBorder="1" applyAlignment="1">
      <alignment horizontal="center" wrapText="1"/>
    </xf>
    <xf numFmtId="0" fontId="27" fillId="15" borderId="105" xfId="0" applyFont="1" applyFill="1" applyBorder="1" applyAlignment="1">
      <alignment horizontal="center"/>
    </xf>
    <xf numFmtId="0" fontId="27" fillId="0" borderId="105" xfId="0" applyFont="1" applyBorder="1" applyAlignment="1">
      <alignment horizontal="center"/>
    </xf>
    <xf numFmtId="0" fontId="23" fillId="15" borderId="105" xfId="0" applyFont="1" applyFill="1" applyBorder="1" applyAlignment="1">
      <alignment horizontal="center"/>
    </xf>
    <xf numFmtId="0" fontId="25" fillId="15" borderId="10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 vertical="center" readingOrder="2"/>
    </xf>
    <xf numFmtId="0" fontId="4" fillId="4" borderId="30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wrapText="1" readingOrder="2"/>
    </xf>
    <xf numFmtId="0" fontId="3" fillId="3" borderId="37" xfId="0" applyFont="1" applyFill="1" applyBorder="1" applyAlignment="1">
      <alignment horizont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36" xfId="0" applyFont="1" applyFill="1" applyBorder="1" applyAlignment="1">
      <alignment horizontal="center" vertical="center" readingOrder="2"/>
    </xf>
    <xf numFmtId="0" fontId="1" fillId="3" borderId="24" xfId="0" applyFont="1" applyFill="1" applyBorder="1" applyAlignment="1">
      <alignment horizontal="center" vertical="center" wrapText="1" readingOrder="2"/>
    </xf>
    <xf numFmtId="0" fontId="1" fillId="3" borderId="29" xfId="0" applyFont="1" applyFill="1" applyBorder="1" applyAlignment="1">
      <alignment horizontal="center" vertical="center" wrapText="1" readingOrder="2"/>
    </xf>
    <xf numFmtId="0" fontId="1" fillId="3" borderId="38" xfId="0" applyFont="1" applyFill="1" applyBorder="1" applyAlignment="1">
      <alignment horizontal="center" vertical="center" wrapText="1" readingOrder="2"/>
    </xf>
    <xf numFmtId="0" fontId="6" fillId="2" borderId="23" xfId="0" applyFont="1" applyFill="1" applyBorder="1" applyAlignment="1">
      <alignment horizontal="center" vertical="center" readingOrder="2"/>
    </xf>
    <xf numFmtId="0" fontId="6" fillId="2" borderId="34" xfId="0" applyFont="1" applyFill="1" applyBorder="1" applyAlignment="1">
      <alignment horizontal="center" vertical="center" readingOrder="2"/>
    </xf>
    <xf numFmtId="0" fontId="6" fillId="2" borderId="32" xfId="0" applyFont="1" applyFill="1" applyBorder="1" applyAlignment="1">
      <alignment horizontal="center" vertical="center" readingOrder="2"/>
    </xf>
    <xf numFmtId="0" fontId="6" fillId="2" borderId="33" xfId="0" applyFont="1" applyFill="1" applyBorder="1" applyAlignment="1">
      <alignment horizontal="center" vertical="center" readingOrder="2"/>
    </xf>
    <xf numFmtId="0" fontId="4" fillId="2" borderId="24" xfId="0" applyFont="1" applyFill="1" applyBorder="1" applyAlignment="1">
      <alignment horizontal="center" vertical="center" readingOrder="2"/>
    </xf>
    <xf numFmtId="0" fontId="4" fillId="2" borderId="38" xfId="0" applyFont="1" applyFill="1" applyBorder="1" applyAlignment="1">
      <alignment horizontal="center" vertical="center" readingOrder="2"/>
    </xf>
    <xf numFmtId="0" fontId="6" fillId="2" borderId="1" xfId="0" applyFont="1" applyFill="1" applyBorder="1" applyAlignment="1">
      <alignment horizontal="center" vertical="center" readingOrder="2"/>
    </xf>
    <xf numFmtId="0" fontId="6" fillId="2" borderId="37" xfId="0" applyFont="1" applyFill="1" applyBorder="1" applyAlignment="1">
      <alignment horizontal="center" vertical="center" readingOrder="2"/>
    </xf>
    <xf numFmtId="0" fontId="7" fillId="4" borderId="1" xfId="0" applyFont="1" applyFill="1" applyBorder="1" applyAlignment="1">
      <alignment horizontal="center" vertical="center" readingOrder="2"/>
    </xf>
    <xf numFmtId="0" fontId="7" fillId="4" borderId="36" xfId="0" applyFont="1" applyFill="1" applyBorder="1" applyAlignment="1">
      <alignment horizontal="center" vertical="center" readingOrder="2"/>
    </xf>
    <xf numFmtId="0" fontId="7" fillId="4" borderId="37" xfId="0" applyFont="1" applyFill="1" applyBorder="1" applyAlignment="1">
      <alignment horizontal="center" vertical="center" readingOrder="2"/>
    </xf>
    <xf numFmtId="0" fontId="4" fillId="2" borderId="39" xfId="0" applyFont="1" applyFill="1" applyBorder="1" applyAlignment="1">
      <alignment horizontal="center" vertical="center" wrapText="1" readingOrder="2"/>
    </xf>
    <xf numFmtId="0" fontId="4" fillId="2" borderId="40" xfId="0" applyFont="1" applyFill="1" applyBorder="1" applyAlignment="1">
      <alignment horizontal="center" vertical="center" wrapText="1" readingOrder="2"/>
    </xf>
    <xf numFmtId="0" fontId="4" fillId="2" borderId="37" xfId="0" applyFont="1" applyFill="1" applyBorder="1" applyAlignment="1">
      <alignment horizontal="center" vertical="center" readingOrder="2"/>
    </xf>
    <xf numFmtId="0" fontId="7" fillId="4" borderId="26" xfId="0" applyFont="1" applyFill="1" applyBorder="1" applyAlignment="1">
      <alignment horizontal="center" vertical="center" readingOrder="2"/>
    </xf>
    <xf numFmtId="0" fontId="7" fillId="4" borderId="31" xfId="0" applyFont="1" applyFill="1" applyBorder="1" applyAlignment="1">
      <alignment horizontal="center" vertical="center" readingOrder="2"/>
    </xf>
    <xf numFmtId="0" fontId="6" fillId="2" borderId="0" xfId="0" applyFont="1" applyFill="1" applyAlignment="1">
      <alignment horizontal="center" vertical="center" readingOrder="2"/>
    </xf>
    <xf numFmtId="0" fontId="4" fillId="2" borderId="20" xfId="0" applyFont="1" applyFill="1" applyBorder="1" applyAlignment="1">
      <alignment horizontal="center" vertical="center" textRotation="180" readingOrder="2"/>
    </xf>
    <xf numFmtId="0" fontId="4" fillId="2" borderId="47" xfId="0" applyFont="1" applyFill="1" applyBorder="1" applyAlignment="1">
      <alignment horizontal="center" vertical="center" textRotation="180" readingOrder="2"/>
    </xf>
    <xf numFmtId="0" fontId="4" fillId="2" borderId="42" xfId="0" applyFont="1" applyFill="1" applyBorder="1" applyAlignment="1">
      <alignment horizontal="center" vertical="center" textRotation="180" readingOrder="2"/>
    </xf>
    <xf numFmtId="0" fontId="4" fillId="2" borderId="43" xfId="0" applyFont="1" applyFill="1" applyBorder="1" applyAlignment="1">
      <alignment horizontal="center" vertical="center" textRotation="180" readingOrder="2"/>
    </xf>
    <xf numFmtId="0" fontId="4" fillId="2" borderId="6" xfId="0" applyFont="1" applyFill="1" applyBorder="1" applyAlignment="1">
      <alignment horizontal="center" vertical="center" textRotation="180" readingOrder="2"/>
    </xf>
    <xf numFmtId="0" fontId="4" fillId="2" borderId="45" xfId="0" applyFont="1" applyFill="1" applyBorder="1" applyAlignment="1">
      <alignment horizontal="center" vertical="center" textRotation="180" readingOrder="2"/>
    </xf>
    <xf numFmtId="0" fontId="4" fillId="2" borderId="7" xfId="0" applyFont="1" applyFill="1" applyBorder="1" applyAlignment="1">
      <alignment horizontal="center" vertical="center" textRotation="180" readingOrder="2"/>
    </xf>
    <xf numFmtId="0" fontId="0" fillId="2" borderId="48" xfId="0" applyFill="1" applyBorder="1"/>
    <xf numFmtId="0" fontId="6" fillId="2" borderId="25" xfId="0" applyFont="1" applyFill="1" applyBorder="1" applyAlignment="1">
      <alignment horizontal="center" vertical="center" readingOrder="2"/>
    </xf>
    <xf numFmtId="0" fontId="4" fillId="2" borderId="26" xfId="0" applyFont="1" applyFill="1" applyBorder="1" applyAlignment="1">
      <alignment horizontal="center" vertical="center" readingOrder="2"/>
    </xf>
    <xf numFmtId="0" fontId="4" fillId="2" borderId="30" xfId="0" applyFont="1" applyFill="1" applyBorder="1" applyAlignment="1">
      <alignment horizontal="center" vertical="center" readingOrder="2"/>
    </xf>
    <xf numFmtId="0" fontId="4" fillId="2" borderId="32" xfId="0" applyFont="1" applyFill="1" applyBorder="1" applyAlignment="1">
      <alignment horizontal="center" vertical="center" readingOrder="2"/>
    </xf>
    <xf numFmtId="0" fontId="4" fillId="2" borderId="0" xfId="0" applyFont="1" applyFill="1" applyAlignment="1">
      <alignment horizontal="center" vertical="center" readingOrder="2"/>
    </xf>
    <xf numFmtId="0" fontId="4" fillId="2" borderId="23" xfId="0" applyFont="1" applyFill="1" applyBorder="1" applyAlignment="1">
      <alignment horizontal="center" vertical="center" readingOrder="2"/>
    </xf>
    <xf numFmtId="0" fontId="4" fillId="2" borderId="25" xfId="0" applyFont="1" applyFill="1" applyBorder="1" applyAlignment="1">
      <alignment horizontal="center" vertical="center" readingOrder="2"/>
    </xf>
    <xf numFmtId="0" fontId="4" fillId="2" borderId="31" xfId="0" applyFont="1" applyFill="1" applyBorder="1" applyAlignment="1">
      <alignment horizontal="center" vertical="center" readingOrder="2"/>
    </xf>
    <xf numFmtId="0" fontId="4" fillId="2" borderId="34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36" xfId="0" applyFont="1" applyFill="1" applyBorder="1" applyAlignment="1">
      <alignment horizontal="center" vertical="center" wrapText="1" readingOrder="2"/>
    </xf>
    <xf numFmtId="0" fontId="4" fillId="2" borderId="37" xfId="0" applyFont="1" applyFill="1" applyBorder="1" applyAlignment="1">
      <alignment horizontal="center" vertical="center" wrapText="1" readingOrder="2"/>
    </xf>
    <xf numFmtId="0" fontId="4" fillId="2" borderId="18" xfId="0" applyFont="1" applyFill="1" applyBorder="1" applyAlignment="1">
      <alignment horizontal="center" vertical="center" textRotation="180" readingOrder="2"/>
    </xf>
    <xf numFmtId="0" fontId="0" fillId="2" borderId="46" xfId="0" applyFill="1" applyBorder="1"/>
    <xf numFmtId="0" fontId="0" fillId="2" borderId="47" xfId="0" applyFill="1" applyBorder="1"/>
    <xf numFmtId="0" fontId="7" fillId="4" borderId="30" xfId="0" applyFont="1" applyFill="1" applyBorder="1" applyAlignment="1">
      <alignment horizontal="center" vertical="center" readingOrder="2"/>
    </xf>
    <xf numFmtId="0" fontId="10" fillId="0" borderId="0" xfId="0" applyFont="1" applyAlignment="1">
      <alignment horizontal="center" vertical="center" readingOrder="2"/>
    </xf>
    <xf numFmtId="0" fontId="0" fillId="2" borderId="45" xfId="0" applyFill="1" applyBorder="1"/>
    <xf numFmtId="0" fontId="4" fillId="2" borderId="39" xfId="0" applyFont="1" applyFill="1" applyBorder="1" applyAlignment="1">
      <alignment horizontal="center" vertical="center" textRotation="180" readingOrder="2"/>
    </xf>
    <xf numFmtId="0" fontId="4" fillId="2" borderId="41" xfId="0" applyFont="1" applyFill="1" applyBorder="1" applyAlignment="1">
      <alignment horizontal="center" vertical="center" textRotation="180" readingOrder="2"/>
    </xf>
    <xf numFmtId="0" fontId="4" fillId="2" borderId="19" xfId="0" applyFont="1" applyFill="1" applyBorder="1" applyAlignment="1">
      <alignment horizontal="center" vertical="center" textRotation="180" readingOrder="2"/>
    </xf>
    <xf numFmtId="0" fontId="0" fillId="2" borderId="49" xfId="0" applyFill="1" applyBorder="1"/>
    <xf numFmtId="0" fontId="4" fillId="2" borderId="39" xfId="0" applyFont="1" applyFill="1" applyBorder="1" applyAlignment="1">
      <alignment horizontal="center" vertical="center" readingOrder="2"/>
    </xf>
    <xf numFmtId="0" fontId="4" fillId="2" borderId="44" xfId="0" applyFont="1" applyFill="1" applyBorder="1" applyAlignment="1">
      <alignment horizontal="center" vertical="center" readingOrder="2"/>
    </xf>
    <xf numFmtId="0" fontId="4" fillId="2" borderId="29" xfId="0" applyFont="1" applyFill="1" applyBorder="1" applyAlignment="1">
      <alignment horizontal="center" vertical="center" readingOrder="2"/>
    </xf>
    <xf numFmtId="0" fontId="8" fillId="2" borderId="24" xfId="0" applyFont="1" applyFill="1" applyBorder="1" applyAlignment="1">
      <alignment horizontal="center" vertical="center" wrapText="1" readingOrder="2"/>
    </xf>
    <xf numFmtId="0" fontId="8" fillId="2" borderId="29" xfId="0" applyFont="1" applyFill="1" applyBorder="1" applyAlignment="1">
      <alignment horizontal="center" vertical="center" wrapText="1" readingOrder="2"/>
    </xf>
    <xf numFmtId="0" fontId="8" fillId="2" borderId="38" xfId="0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center" vertical="center" readingOrder="2"/>
    </xf>
    <xf numFmtId="0" fontId="4" fillId="4" borderId="37" xfId="0" applyFont="1" applyFill="1" applyBorder="1" applyAlignment="1">
      <alignment horizontal="center" vertical="center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38" xfId="0" applyFont="1" applyFill="1" applyBorder="1" applyAlignment="1">
      <alignment horizontal="center" vertical="center" wrapText="1" readingOrder="2"/>
    </xf>
    <xf numFmtId="0" fontId="4" fillId="4" borderId="36" xfId="0" applyFont="1" applyFill="1" applyBorder="1" applyAlignment="1">
      <alignment horizontal="center" vertical="center" readingOrder="2"/>
    </xf>
    <xf numFmtId="0" fontId="0" fillId="2" borderId="10" xfId="0" applyFill="1" applyBorder="1"/>
    <xf numFmtId="0" fontId="23" fillId="15" borderId="77" xfId="0" applyFont="1" applyFill="1" applyBorder="1" applyAlignment="1">
      <alignment horizontal="center" vertical="center" readingOrder="2"/>
    </xf>
    <xf numFmtId="0" fontId="24" fillId="0" borderId="79" xfId="0" applyFont="1" applyBorder="1"/>
    <xf numFmtId="0" fontId="24" fillId="0" borderId="78" xfId="0" applyFont="1" applyBorder="1"/>
    <xf numFmtId="0" fontId="0" fillId="2" borderId="13" xfId="0" applyFill="1" applyBorder="1"/>
    <xf numFmtId="0" fontId="25" fillId="16" borderId="77" xfId="0" applyFont="1" applyFill="1" applyBorder="1" applyAlignment="1">
      <alignment horizontal="center" vertical="center" readingOrder="2"/>
    </xf>
    <xf numFmtId="0" fontId="23" fillId="15" borderId="106" xfId="0" applyFont="1" applyFill="1" applyBorder="1" applyAlignment="1">
      <alignment horizontal="center"/>
    </xf>
    <xf numFmtId="0" fontId="24" fillId="0" borderId="107" xfId="0" applyFont="1" applyBorder="1"/>
    <xf numFmtId="0" fontId="0" fillId="2" borderId="12" xfId="0" applyFill="1" applyBorder="1"/>
    <xf numFmtId="0" fontId="10" fillId="8" borderId="0" xfId="0" applyFont="1" applyFill="1" applyAlignment="1">
      <alignment horizontal="center" vertical="center" readingOrder="2"/>
    </xf>
    <xf numFmtId="0" fontId="6" fillId="2" borderId="36" xfId="0" applyFont="1" applyFill="1" applyBorder="1" applyAlignment="1">
      <alignment horizontal="center" vertical="center" readingOrder="2"/>
    </xf>
    <xf numFmtId="0" fontId="0" fillId="2" borderId="9" xfId="0" applyFill="1" applyBorder="1"/>
    <xf numFmtId="0" fontId="0" fillId="2" borderId="11" xfId="0" applyFill="1" applyBorder="1"/>
    <xf numFmtId="0" fontId="4" fillId="2" borderId="10" xfId="0" applyFont="1" applyFill="1" applyBorder="1" applyAlignment="1">
      <alignment horizontal="center" vertical="center" textRotation="180" readingOrder="2"/>
    </xf>
    <xf numFmtId="0" fontId="4" fillId="2" borderId="40" xfId="0" applyFont="1" applyFill="1" applyBorder="1" applyAlignment="1">
      <alignment horizontal="center" vertical="center" textRotation="180" readingOrder="2"/>
    </xf>
    <xf numFmtId="0" fontId="4" fillId="2" borderId="9" xfId="0" applyFont="1" applyFill="1" applyBorder="1" applyAlignment="1">
      <alignment horizontal="center" vertical="center" textRotation="180" readingOrder="2"/>
    </xf>
    <xf numFmtId="0" fontId="24" fillId="0" borderId="108" xfId="0" applyFont="1" applyBorder="1"/>
    <xf numFmtId="0" fontId="19" fillId="13" borderId="63" xfId="0" applyFont="1" applyFill="1" applyBorder="1" applyAlignment="1">
      <alignment horizontal="center" vertical="center" wrapText="1" readingOrder="2"/>
    </xf>
    <xf numFmtId="0" fontId="19" fillId="13" borderId="65" xfId="0" applyFont="1" applyFill="1" applyBorder="1" applyAlignment="1">
      <alignment horizontal="center" vertical="center" wrapText="1" readingOrder="2"/>
    </xf>
    <xf numFmtId="0" fontId="19" fillId="13" borderId="64" xfId="0" applyFont="1" applyFill="1" applyBorder="1" applyAlignment="1">
      <alignment horizontal="center" vertical="center" wrapText="1" readingOrder="2"/>
    </xf>
    <xf numFmtId="0" fontId="21" fillId="14" borderId="63" xfId="0" applyFont="1" applyFill="1" applyBorder="1" applyAlignment="1">
      <alignment horizontal="center" vertical="center" wrapText="1" readingOrder="2"/>
    </xf>
    <xf numFmtId="0" fontId="21" fillId="14" borderId="65" xfId="0" applyFont="1" applyFill="1" applyBorder="1" applyAlignment="1">
      <alignment horizontal="center" vertical="center" wrapText="1" readingOrder="2"/>
    </xf>
    <xf numFmtId="0" fontId="21" fillId="14" borderId="64" xfId="0" applyFont="1" applyFill="1" applyBorder="1" applyAlignment="1">
      <alignment horizontal="center" vertical="center" wrapText="1" readingOrder="2"/>
    </xf>
    <xf numFmtId="0" fontId="21" fillId="14" borderId="63" xfId="0" applyFont="1" applyFill="1" applyBorder="1" applyAlignment="1">
      <alignment horizontal="center" wrapText="1" readingOrder="2"/>
    </xf>
    <xf numFmtId="0" fontId="21" fillId="14" borderId="64" xfId="0" applyFont="1" applyFill="1" applyBorder="1" applyAlignment="1">
      <alignment horizontal="center" wrapText="1" readingOrder="2"/>
    </xf>
    <xf numFmtId="0" fontId="19" fillId="13" borderId="72" xfId="0" applyFont="1" applyFill="1" applyBorder="1" applyAlignment="1">
      <alignment horizontal="center" wrapText="1" readingOrder="2"/>
    </xf>
    <xf numFmtId="0" fontId="19" fillId="13" borderId="73" xfId="0" applyFont="1" applyFill="1" applyBorder="1" applyAlignment="1">
      <alignment horizontal="center" wrapText="1" readingOrder="2"/>
    </xf>
    <xf numFmtId="0" fontId="4" fillId="2" borderId="50" xfId="0" applyFont="1" applyFill="1" applyBorder="1" applyAlignment="1">
      <alignment horizontal="center" vertical="center" textRotation="180" readingOrder="2"/>
    </xf>
    <xf numFmtId="0" fontId="19" fillId="13" borderId="76" xfId="0" applyFont="1" applyFill="1" applyBorder="1" applyAlignment="1">
      <alignment horizontal="center" vertical="center" wrapText="1" readingOrder="2"/>
    </xf>
    <xf numFmtId="0" fontId="21" fillId="14" borderId="76" xfId="0" applyFont="1" applyFill="1" applyBorder="1" applyAlignment="1">
      <alignment horizontal="center" vertical="center" wrapText="1" readingOrder="2"/>
    </xf>
    <xf numFmtId="0" fontId="19" fillId="13" borderId="80" xfId="0" applyFont="1" applyFill="1" applyBorder="1" applyAlignment="1">
      <alignment horizontal="center" wrapText="1" readingOrder="2"/>
    </xf>
    <xf numFmtId="0" fontId="19" fillId="13" borderId="74" xfId="0" applyFont="1" applyFill="1" applyBorder="1" applyAlignment="1">
      <alignment horizontal="center" wrapText="1" readingOrder="2"/>
    </xf>
    <xf numFmtId="0" fontId="19" fillId="13" borderId="75" xfId="0" applyFont="1" applyFill="1" applyBorder="1" applyAlignment="1">
      <alignment horizontal="center" wrapText="1" readingOrder="2"/>
    </xf>
    <xf numFmtId="0" fontId="20" fillId="13" borderId="63" xfId="0" applyFont="1" applyFill="1" applyBorder="1" applyAlignment="1">
      <alignment wrapText="1" readingOrder="2"/>
    </xf>
    <xf numFmtId="0" fontId="20" fillId="13" borderId="64" xfId="0" applyFont="1" applyFill="1" applyBorder="1" applyAlignment="1">
      <alignment wrapText="1" readingOrder="2"/>
    </xf>
    <xf numFmtId="0" fontId="19" fillId="13" borderId="77" xfId="0" applyFont="1" applyFill="1" applyBorder="1" applyAlignment="1">
      <alignment horizontal="center" wrapText="1" readingOrder="2"/>
    </xf>
    <xf numFmtId="0" fontId="19" fillId="13" borderId="79" xfId="0" applyFont="1" applyFill="1" applyBorder="1" applyAlignment="1">
      <alignment horizontal="center" wrapText="1" readingOrder="2"/>
    </xf>
    <xf numFmtId="0" fontId="19" fillId="13" borderId="78" xfId="0" applyFont="1" applyFill="1" applyBorder="1" applyAlignment="1">
      <alignment horizontal="center" wrapText="1" readingOrder="2"/>
    </xf>
    <xf numFmtId="0" fontId="19" fillId="13" borderId="63" xfId="0" applyFont="1" applyFill="1" applyBorder="1" applyAlignment="1">
      <alignment horizontal="center" wrapText="1" readingOrder="2"/>
    </xf>
    <xf numFmtId="0" fontId="19" fillId="13" borderId="65" xfId="0" applyFont="1" applyFill="1" applyBorder="1" applyAlignment="1">
      <alignment horizontal="center" wrapText="1" readingOrder="2"/>
    </xf>
    <xf numFmtId="0" fontId="19" fillId="13" borderId="64" xfId="0" applyFont="1" applyFill="1" applyBorder="1" applyAlignment="1">
      <alignment horizontal="center" wrapText="1" readingOrder="2"/>
    </xf>
    <xf numFmtId="0" fontId="21" fillId="14" borderId="65" xfId="0" applyFont="1" applyFill="1" applyBorder="1" applyAlignment="1">
      <alignment horizontal="center" wrapText="1" readingOrder="2"/>
    </xf>
    <xf numFmtId="0" fontId="4" fillId="2" borderId="51" xfId="0" applyFont="1" applyFill="1" applyBorder="1" applyAlignment="1">
      <alignment horizontal="center" vertical="center" textRotation="180" readingOrder="2"/>
    </xf>
    <xf numFmtId="0" fontId="4" fillId="2" borderId="53" xfId="0" applyFont="1" applyFill="1" applyBorder="1" applyAlignment="1">
      <alignment horizontal="center" vertical="center" textRotation="180" readingOrder="2"/>
    </xf>
    <xf numFmtId="0" fontId="4" fillId="2" borderId="33" xfId="0" applyFont="1" applyFill="1" applyBorder="1" applyAlignment="1">
      <alignment horizontal="center" vertical="center" readingOrder="2"/>
    </xf>
    <xf numFmtId="0" fontId="10" fillId="0" borderId="36" xfId="0" applyFont="1" applyBorder="1" applyAlignment="1">
      <alignment horizontal="center" vertical="center" readingOrder="2"/>
    </xf>
    <xf numFmtId="0" fontId="4" fillId="2" borderId="52" xfId="0" applyFont="1" applyFill="1" applyBorder="1" applyAlignment="1">
      <alignment horizontal="center" vertical="center" textRotation="180" readingOrder="2"/>
    </xf>
    <xf numFmtId="0" fontId="10" fillId="8" borderId="25" xfId="0" applyFont="1" applyFill="1" applyBorder="1" applyAlignment="1">
      <alignment horizontal="center" vertical="center" readingOrder="2"/>
    </xf>
    <xf numFmtId="0" fontId="4" fillId="3" borderId="24" xfId="0" applyFont="1" applyFill="1" applyBorder="1" applyAlignment="1">
      <alignment horizontal="center" vertical="center" readingOrder="2"/>
    </xf>
    <xf numFmtId="0" fontId="4" fillId="3" borderId="38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4" fillId="3" borderId="36" xfId="0" applyFont="1" applyFill="1" applyBorder="1" applyAlignment="1">
      <alignment horizontal="center" vertical="center" readingOrder="2"/>
    </xf>
    <xf numFmtId="0" fontId="6" fillId="3" borderId="23" xfId="0" applyFont="1" applyFill="1" applyBorder="1" applyAlignment="1">
      <alignment horizontal="center" vertical="center" readingOrder="2"/>
    </xf>
    <xf numFmtId="0" fontId="6" fillId="3" borderId="34" xfId="0" applyFont="1" applyFill="1" applyBorder="1" applyAlignment="1">
      <alignment horizontal="center" vertical="center" readingOrder="2"/>
    </xf>
    <xf numFmtId="0" fontId="6" fillId="3" borderId="25" xfId="0" applyFont="1" applyFill="1" applyBorder="1" applyAlignment="1">
      <alignment horizontal="center" vertical="center" readingOrder="2"/>
    </xf>
    <xf numFmtId="0" fontId="4" fillId="3" borderId="39" xfId="0" applyFont="1" applyFill="1" applyBorder="1" applyAlignment="1">
      <alignment horizontal="center" vertical="center" wrapText="1" readingOrder="2"/>
    </xf>
    <xf numFmtId="0" fontId="4" fillId="3" borderId="40" xfId="0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readingOrder="2"/>
    </xf>
    <xf numFmtId="0" fontId="7" fillId="3" borderId="37" xfId="0" applyFont="1" applyFill="1" applyBorder="1" applyAlignment="1">
      <alignment horizontal="center" vertical="center" readingOrder="2"/>
    </xf>
    <xf numFmtId="0" fontId="7" fillId="3" borderId="36" xfId="0" applyFont="1" applyFill="1" applyBorder="1" applyAlignment="1">
      <alignment horizontal="center" vertical="center" readingOrder="2"/>
    </xf>
    <xf numFmtId="0" fontId="4" fillId="3" borderId="26" xfId="0" applyFont="1" applyFill="1" applyBorder="1" applyAlignment="1">
      <alignment horizontal="center" vertical="center" readingOrder="2"/>
    </xf>
    <xf numFmtId="0" fontId="4" fillId="3" borderId="30" xfId="0" applyFont="1" applyFill="1" applyBorder="1" applyAlignment="1">
      <alignment horizontal="center" vertical="center" readingOrder="2"/>
    </xf>
    <xf numFmtId="0" fontId="10" fillId="0" borderId="30" xfId="0" applyFont="1" applyBorder="1" applyAlignment="1">
      <alignment horizontal="center" vertical="center" readingOrder="2"/>
    </xf>
    <xf numFmtId="0" fontId="8" fillId="3" borderId="24" xfId="0" applyFont="1" applyFill="1" applyBorder="1" applyAlignment="1">
      <alignment horizontal="center" vertical="center" wrapText="1" readingOrder="2"/>
    </xf>
    <xf numFmtId="0" fontId="8" fillId="3" borderId="29" xfId="0" applyFont="1" applyFill="1" applyBorder="1" applyAlignment="1">
      <alignment horizontal="center" vertical="center" wrapText="1" readingOrder="2"/>
    </xf>
    <xf numFmtId="0" fontId="8" fillId="3" borderId="38" xfId="0" applyFont="1" applyFill="1" applyBorder="1" applyAlignment="1">
      <alignment horizontal="center" vertical="center" wrapText="1" readingOrder="2"/>
    </xf>
    <xf numFmtId="0" fontId="4" fillId="3" borderId="32" xfId="0" applyFont="1" applyFill="1" applyBorder="1" applyAlignment="1">
      <alignment horizontal="center" vertical="center" readingOrder="2"/>
    </xf>
    <xf numFmtId="0" fontId="4" fillId="3" borderId="0" xfId="0" applyFont="1" applyFill="1" applyAlignment="1">
      <alignment horizontal="center" vertical="center" readingOrder="2"/>
    </xf>
    <xf numFmtId="0" fontId="4" fillId="3" borderId="23" xfId="0" applyFont="1" applyFill="1" applyBorder="1" applyAlignment="1">
      <alignment horizontal="center" vertical="center" readingOrder="2"/>
    </xf>
    <xf numFmtId="0" fontId="4" fillId="3" borderId="25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4" fillId="3" borderId="36" xfId="0" applyFont="1" applyFill="1" applyBorder="1" applyAlignment="1">
      <alignment horizontal="center" vertical="center" wrapText="1" readingOrder="2"/>
    </xf>
    <xf numFmtId="0" fontId="4" fillId="3" borderId="37" xfId="0" applyFont="1" applyFill="1" applyBorder="1" applyAlignment="1">
      <alignment horizontal="center" vertical="center" wrapText="1" readingOrder="2"/>
    </xf>
    <xf numFmtId="0" fontId="4" fillId="3" borderId="31" xfId="0" applyFont="1" applyFill="1" applyBorder="1" applyAlignment="1">
      <alignment horizontal="center" vertical="center" readingOrder="2"/>
    </xf>
    <xf numFmtId="0" fontId="4" fillId="3" borderId="34" xfId="0" applyFont="1" applyFill="1" applyBorder="1" applyAlignment="1">
      <alignment horizontal="center" vertical="center" readingOrder="2"/>
    </xf>
    <xf numFmtId="0" fontId="12" fillId="3" borderId="20" xfId="0" applyFont="1" applyFill="1" applyBorder="1" applyAlignment="1">
      <alignment horizontal="center" vertical="center" textRotation="180" readingOrder="2"/>
    </xf>
    <xf numFmtId="0" fontId="12" fillId="3" borderId="47" xfId="0" applyFont="1" applyFill="1" applyBorder="1" applyAlignment="1">
      <alignment horizontal="center" vertical="center" textRotation="180" readingOrder="2"/>
    </xf>
    <xf numFmtId="0" fontId="13" fillId="3" borderId="47" xfId="0" applyFont="1" applyFill="1" applyBorder="1"/>
    <xf numFmtId="0" fontId="4" fillId="3" borderId="7" xfId="0" applyFont="1" applyFill="1" applyBorder="1" applyAlignment="1">
      <alignment horizontal="center" vertical="center" textRotation="180" readingOrder="2"/>
    </xf>
    <xf numFmtId="0" fontId="0" fillId="3" borderId="48" xfId="0" applyFill="1" applyBorder="1"/>
    <xf numFmtId="0" fontId="4" fillId="3" borderId="19" xfId="0" applyFont="1" applyFill="1" applyBorder="1" applyAlignment="1">
      <alignment horizontal="center" vertical="center" textRotation="180" readingOrder="2"/>
    </xf>
    <xf numFmtId="0" fontId="0" fillId="3" borderId="49" xfId="0" applyFill="1" applyBorder="1"/>
    <xf numFmtId="0" fontId="4" fillId="3" borderId="18" xfId="0" applyFont="1" applyFill="1" applyBorder="1" applyAlignment="1">
      <alignment horizontal="center" vertical="center" textRotation="180" readingOrder="2"/>
    </xf>
    <xf numFmtId="0" fontId="0" fillId="3" borderId="46" xfId="0" applyFill="1" applyBorder="1"/>
    <xf numFmtId="0" fontId="4" fillId="3" borderId="29" xfId="0" applyFont="1" applyFill="1" applyBorder="1" applyAlignment="1">
      <alignment horizontal="center" vertical="center" readingOrder="2"/>
    </xf>
    <xf numFmtId="0" fontId="4" fillId="3" borderId="37" xfId="0" applyFont="1" applyFill="1" applyBorder="1" applyAlignment="1">
      <alignment horizontal="center" vertical="center" readingOrder="2"/>
    </xf>
    <xf numFmtId="0" fontId="4" fillId="3" borderId="39" xfId="0" applyFont="1" applyFill="1" applyBorder="1" applyAlignment="1">
      <alignment horizontal="center" vertical="center" readingOrder="2"/>
    </xf>
    <xf numFmtId="0" fontId="4" fillId="3" borderId="44" xfId="0" applyFont="1" applyFill="1" applyBorder="1" applyAlignment="1">
      <alignment horizontal="center" vertical="center" readingOrder="2"/>
    </xf>
    <xf numFmtId="0" fontId="12" fillId="3" borderId="6" xfId="0" applyFont="1" applyFill="1" applyBorder="1" applyAlignment="1">
      <alignment horizontal="center" vertical="center" textRotation="180" readingOrder="2"/>
    </xf>
    <xf numFmtId="0" fontId="13" fillId="3" borderId="45" xfId="0" applyFont="1" applyFill="1" applyBorder="1"/>
    <xf numFmtId="0" fontId="12" fillId="3" borderId="18" xfId="0" applyFont="1" applyFill="1" applyBorder="1" applyAlignment="1">
      <alignment horizontal="center" vertical="center" textRotation="180" readingOrder="2"/>
    </xf>
    <xf numFmtId="0" fontId="13" fillId="3" borderId="46" xfId="0" applyFont="1" applyFill="1" applyBorder="1"/>
    <xf numFmtId="0" fontId="12" fillId="3" borderId="45" xfId="0" applyFont="1" applyFill="1" applyBorder="1" applyAlignment="1">
      <alignment horizontal="center" vertical="center" textRotation="180" readingOrder="2"/>
    </xf>
    <xf numFmtId="0" fontId="4" fillId="3" borderId="39" xfId="0" applyFont="1" applyFill="1" applyBorder="1" applyAlignment="1">
      <alignment horizontal="center" vertical="center" textRotation="180" readingOrder="2"/>
    </xf>
    <xf numFmtId="0" fontId="4" fillId="3" borderId="41" xfId="0" applyFont="1" applyFill="1" applyBorder="1" applyAlignment="1">
      <alignment horizontal="center" vertical="center" textRotation="180" readingOrder="2"/>
    </xf>
    <xf numFmtId="0" fontId="4" fillId="3" borderId="42" xfId="0" applyFont="1" applyFill="1" applyBorder="1" applyAlignment="1">
      <alignment horizontal="center" vertical="center" textRotation="180" readingOrder="2"/>
    </xf>
    <xf numFmtId="0" fontId="4" fillId="3" borderId="43" xfId="0" applyFont="1" applyFill="1" applyBorder="1" applyAlignment="1">
      <alignment horizontal="center" vertical="center" textRotation="180" readingOrder="2"/>
    </xf>
    <xf numFmtId="0" fontId="6" fillId="3" borderId="32" xfId="0" applyFont="1" applyFill="1" applyBorder="1" applyAlignment="1">
      <alignment horizontal="center" vertical="center" readingOrder="2"/>
    </xf>
    <xf numFmtId="0" fontId="6" fillId="3" borderId="33" xfId="0" applyFont="1" applyFill="1" applyBorder="1" applyAlignment="1">
      <alignment horizontal="center" vertical="center" readingOrder="2"/>
    </xf>
    <xf numFmtId="0" fontId="6" fillId="3" borderId="0" xfId="0" applyFont="1" applyFill="1" applyAlignment="1">
      <alignment horizontal="center" vertical="center" readingOrder="2"/>
    </xf>
    <xf numFmtId="0" fontId="3" fillId="12" borderId="98" xfId="0" applyFont="1" applyFill="1" applyBorder="1" applyAlignment="1">
      <alignment horizontal="center" wrapText="1" readingOrder="2"/>
    </xf>
    <xf numFmtId="0" fontId="3" fillId="13" borderId="55" xfId="0" applyFont="1" applyFill="1" applyBorder="1" applyAlignment="1">
      <alignment horizontal="center" wrapText="1" readingOrder="2"/>
    </xf>
    <xf numFmtId="0" fontId="3" fillId="12" borderId="55" xfId="0" applyFont="1" applyFill="1" applyBorder="1" applyAlignment="1">
      <alignment horizontal="center" wrapText="1" readingOrder="2"/>
    </xf>
    <xf numFmtId="0" fontId="3" fillId="12" borderId="99" xfId="0" applyFont="1" applyFill="1" applyBorder="1" applyAlignment="1">
      <alignment horizontal="center" wrapText="1" readingOrder="2"/>
    </xf>
    <xf numFmtId="0" fontId="3" fillId="12" borderId="109" xfId="0" applyFont="1" applyFill="1" applyBorder="1" applyAlignment="1">
      <alignment horizont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J161"/>
  <sheetViews>
    <sheetView rightToLeft="1" tabSelected="1" topLeftCell="ES1" zoomScale="90" zoomScaleNormal="90" workbookViewId="0">
      <pane ySplit="3795" topLeftCell="A46" activePane="bottomLeft"/>
      <selection activeCell="AE1" sqref="AE1:AF1"/>
      <selection pane="bottomLeft" activeCell="FJ41" sqref="FJ41:FW61"/>
    </sheetView>
  </sheetViews>
  <sheetFormatPr defaultRowHeight="20.100000000000001" customHeight="1" x14ac:dyDescent="0.25"/>
  <cols>
    <col min="1" max="1" width="11.28515625" style="87" customWidth="1"/>
    <col min="2" max="2" width="11.28515625" customWidth="1"/>
    <col min="4" max="4" width="8.140625" customWidth="1"/>
    <col min="5" max="5" width="5.7109375" customWidth="1"/>
    <col min="6" max="6" width="6.28515625" customWidth="1"/>
    <col min="7" max="7" width="8.5703125" customWidth="1"/>
    <col min="8" max="8" width="6.7109375" customWidth="1"/>
    <col min="9" max="9" width="5.7109375" customWidth="1"/>
    <col min="10" max="10" width="7" customWidth="1"/>
    <col min="11" max="11" width="7.85546875" customWidth="1"/>
    <col min="12" max="12" width="9.140625" customWidth="1"/>
    <col min="13" max="13" width="7.5703125" customWidth="1"/>
    <col min="14" max="14" width="7.28515625" customWidth="1"/>
    <col min="15" max="15" width="7" customWidth="1"/>
    <col min="16" max="16" width="5.7109375" customWidth="1"/>
    <col min="17" max="17" width="10.140625" customWidth="1"/>
    <col min="18" max="18" width="3.42578125" style="135" customWidth="1"/>
    <col min="19" max="19" width="11.85546875" style="42" customWidth="1"/>
    <col min="22" max="22" width="8.140625" customWidth="1"/>
    <col min="23" max="23" width="5.7109375" customWidth="1"/>
    <col min="24" max="24" width="6" customWidth="1"/>
    <col min="25" max="25" width="7.42578125" customWidth="1"/>
    <col min="26" max="27" width="6.140625" customWidth="1"/>
    <col min="28" max="28" width="6.7109375" customWidth="1"/>
    <col min="29" max="29" width="7.85546875" customWidth="1"/>
    <col min="30" max="30" width="8" customWidth="1"/>
    <col min="31" max="31" width="7.5703125" customWidth="1"/>
    <col min="32" max="32" width="8" customWidth="1"/>
    <col min="33" max="33" width="7" customWidth="1"/>
    <col min="34" max="34" width="5.7109375" customWidth="1"/>
    <col min="35" max="35" width="10.140625" customWidth="1"/>
    <col min="36" max="36" width="3.42578125" style="149" customWidth="1"/>
    <col min="37" max="37" width="11.85546875" style="42" customWidth="1"/>
    <col min="39" max="39" width="7.85546875" customWidth="1"/>
    <col min="40" max="40" width="8.140625" customWidth="1"/>
    <col min="41" max="41" width="5.7109375" customWidth="1"/>
    <col min="42" max="42" width="6.5703125" customWidth="1"/>
    <col min="43" max="43" width="8.42578125" customWidth="1"/>
    <col min="44" max="44" width="6.85546875" customWidth="1"/>
    <col min="45" max="45" width="5.7109375" customWidth="1"/>
    <col min="46" max="46" width="6.42578125" customWidth="1"/>
    <col min="47" max="47" width="7.85546875" customWidth="1"/>
    <col min="48" max="48" width="8" customWidth="1"/>
    <col min="49" max="49" width="7.5703125" customWidth="1"/>
    <col min="50" max="50" width="8.140625" customWidth="1"/>
    <col min="51" max="51" width="6.5703125" customWidth="1"/>
    <col min="52" max="52" width="5.7109375" customWidth="1"/>
    <col min="53" max="53" width="10.140625" customWidth="1"/>
    <col min="54" max="54" width="3.42578125" style="149" customWidth="1"/>
    <col min="55" max="55" width="11.85546875" style="42" customWidth="1"/>
    <col min="58" max="58" width="8.140625" customWidth="1"/>
    <col min="59" max="59" width="5.7109375" customWidth="1"/>
    <col min="60" max="60" width="6.5703125" customWidth="1"/>
    <col min="61" max="61" width="8.28515625" customWidth="1"/>
    <col min="62" max="62" width="7.28515625" customWidth="1"/>
    <col min="63" max="63" width="5.7109375" customWidth="1"/>
    <col min="64" max="64" width="7.28515625" customWidth="1"/>
    <col min="65" max="65" width="7.85546875" customWidth="1"/>
    <col min="66" max="66" width="9" customWidth="1"/>
    <col min="67" max="67" width="7.5703125" customWidth="1"/>
    <col min="68" max="68" width="6.85546875" customWidth="1"/>
    <col min="69" max="69" width="7.42578125" customWidth="1"/>
    <col min="70" max="70" width="5.7109375" customWidth="1"/>
    <col min="71" max="71" width="10.140625" customWidth="1"/>
    <col min="72" max="72" width="3.42578125" style="149" customWidth="1"/>
    <col min="73" max="73" width="11.85546875" style="42" customWidth="1"/>
    <col min="76" max="76" width="8.140625" customWidth="1"/>
    <col min="77" max="77" width="6.42578125" customWidth="1"/>
    <col min="78" max="78" width="6.7109375" customWidth="1"/>
    <col min="79" max="79" width="8" customWidth="1"/>
    <col min="80" max="80" width="6.85546875" customWidth="1"/>
    <col min="81" max="81" width="6.140625" customWidth="1"/>
    <col min="82" max="82" width="7.5703125" customWidth="1"/>
    <col min="83" max="83" width="7.85546875" customWidth="1"/>
    <col min="84" max="84" width="9.5703125" customWidth="1"/>
    <col min="85" max="85" width="7.5703125" customWidth="1"/>
    <col min="86" max="86" width="7.85546875" customWidth="1"/>
    <col min="87" max="87" width="7.42578125" customWidth="1"/>
    <col min="88" max="88" width="5.7109375" customWidth="1"/>
    <col min="89" max="89" width="10.140625" customWidth="1"/>
    <col min="90" max="90" width="3.42578125" style="149" customWidth="1"/>
    <col min="91" max="91" width="11.85546875" style="42" customWidth="1"/>
    <col min="94" max="94" width="8.140625" customWidth="1"/>
    <col min="95" max="95" width="7.140625" customWidth="1"/>
    <col min="96" max="96" width="6.85546875" customWidth="1"/>
    <col min="97" max="97" width="7.85546875" customWidth="1"/>
    <col min="98" max="98" width="6.42578125" customWidth="1"/>
    <col min="99" max="99" width="5.7109375" customWidth="1"/>
    <col min="100" max="100" width="8" customWidth="1"/>
    <col min="101" max="101" width="7.85546875" customWidth="1"/>
    <col min="102" max="102" width="9.28515625" customWidth="1"/>
    <col min="103" max="103" width="7.5703125" customWidth="1"/>
    <col min="104" max="104" width="7.85546875" customWidth="1"/>
    <col min="105" max="105" width="8.140625" customWidth="1"/>
    <col min="106" max="106" width="5.7109375" customWidth="1"/>
    <col min="107" max="107" width="10.140625" customWidth="1"/>
    <col min="108" max="108" width="3.42578125" customWidth="1"/>
    <col min="109" max="109" width="11.85546875" style="42" customWidth="1"/>
    <col min="112" max="112" width="8.140625" customWidth="1"/>
    <col min="113" max="114" width="5.7109375" customWidth="1"/>
    <col min="115" max="115" width="7.7109375" customWidth="1"/>
    <col min="116" max="116" width="7.5703125" customWidth="1"/>
    <col min="117" max="117" width="5.7109375" customWidth="1"/>
    <col min="118" max="118" width="7.28515625" customWidth="1"/>
    <col min="119" max="119" width="7.85546875" customWidth="1"/>
    <col min="120" max="120" width="9.28515625" customWidth="1"/>
    <col min="121" max="121" width="7.5703125" customWidth="1"/>
    <col min="122" max="122" width="7.28515625" customWidth="1"/>
    <col min="123" max="123" width="7.85546875" customWidth="1"/>
    <col min="124" max="124" width="5.7109375" customWidth="1"/>
    <col min="125" max="125" width="10.140625" customWidth="1"/>
    <col min="126" max="126" width="3.42578125" customWidth="1"/>
    <col min="127" max="127" width="11.85546875" style="42" customWidth="1"/>
    <col min="130" max="130" width="8.140625" customWidth="1"/>
    <col min="131" max="131" width="5.7109375" customWidth="1"/>
    <col min="132" max="132" width="7.140625" customWidth="1"/>
    <col min="133" max="133" width="8.42578125" customWidth="1"/>
    <col min="134" max="134" width="7.28515625" customWidth="1"/>
    <col min="135" max="135" width="5.7109375" customWidth="1"/>
    <col min="136" max="136" width="7.140625" customWidth="1"/>
    <col min="137" max="137" width="7.85546875" customWidth="1"/>
    <col min="138" max="138" width="9.42578125" customWidth="1"/>
    <col min="139" max="139" width="7.5703125" customWidth="1"/>
    <col min="140" max="140" width="7.140625" customWidth="1"/>
    <col min="141" max="141" width="8" customWidth="1"/>
    <col min="142" max="142" width="5.7109375" customWidth="1"/>
    <col min="143" max="143" width="10.140625" customWidth="1"/>
    <col min="144" max="144" width="3.42578125" customWidth="1"/>
    <col min="145" max="145" width="11.85546875" style="42" customWidth="1"/>
    <col min="148" max="148" width="8.140625" customWidth="1"/>
    <col min="149" max="149" width="5.7109375" customWidth="1"/>
    <col min="150" max="151" width="6.85546875" customWidth="1"/>
    <col min="152" max="152" width="7.140625" customWidth="1"/>
    <col min="153" max="153" width="5.140625" customWidth="1"/>
    <col min="154" max="154" width="6.5703125" customWidth="1"/>
    <col min="155" max="155" width="7.85546875" customWidth="1"/>
    <col min="156" max="156" width="8" customWidth="1"/>
    <col min="157" max="157" width="7.5703125" customWidth="1"/>
    <col min="158" max="158" width="7.140625" customWidth="1"/>
    <col min="159" max="159" width="6.85546875" customWidth="1"/>
    <col min="160" max="160" width="5.7109375" customWidth="1"/>
    <col min="161" max="161" width="10.140625" customWidth="1"/>
    <col min="162" max="162" width="3.42578125" customWidth="1"/>
    <col min="163" max="163" width="11.85546875" style="42" customWidth="1"/>
    <col min="166" max="166" width="8.140625" customWidth="1"/>
    <col min="167" max="167" width="5.7109375" customWidth="1"/>
    <col min="168" max="168" width="7.5703125" customWidth="1"/>
    <col min="169" max="169" width="8.7109375" customWidth="1"/>
    <col min="170" max="170" width="6.85546875" customWidth="1"/>
    <col min="171" max="171" width="5.7109375" customWidth="1"/>
    <col min="172" max="172" width="6.85546875" customWidth="1"/>
    <col min="173" max="173" width="7.85546875" customWidth="1"/>
    <col min="174" max="174" width="8" customWidth="1"/>
    <col min="175" max="175" width="7.5703125" customWidth="1"/>
    <col min="176" max="176" width="5.7109375" customWidth="1"/>
    <col min="177" max="177" width="8" customWidth="1"/>
    <col min="178" max="178" width="5.7109375" customWidth="1"/>
    <col min="179" max="179" width="10.140625" customWidth="1"/>
    <col min="180" max="180" width="3.42578125" customWidth="1"/>
    <col min="181" max="181" width="11.85546875" style="42" customWidth="1"/>
    <col min="184" max="184" width="8.140625" customWidth="1"/>
    <col min="185" max="185" width="5.7109375" customWidth="1"/>
    <col min="186" max="186" width="6.85546875" customWidth="1"/>
    <col min="187" max="187" width="7.85546875" customWidth="1"/>
    <col min="188" max="188" width="7.5703125" customWidth="1"/>
    <col min="189" max="189" width="5.7109375" customWidth="1"/>
    <col min="190" max="190" width="7.5703125" customWidth="1"/>
    <col min="191" max="191" width="7.85546875" customWidth="1"/>
    <col min="192" max="192" width="8" customWidth="1"/>
    <col min="193" max="193" width="7.5703125" customWidth="1"/>
    <col min="194" max="194" width="7.28515625" customWidth="1"/>
    <col min="195" max="195" width="6.5703125" customWidth="1"/>
    <col min="196" max="196" width="5.7109375" customWidth="1"/>
    <col min="197" max="197" width="10.140625" customWidth="1"/>
    <col min="198" max="198" width="3.42578125" customWidth="1"/>
    <col min="199" max="199" width="11.85546875" style="42" customWidth="1"/>
    <col min="202" max="202" width="8.140625" customWidth="1"/>
    <col min="203" max="204" width="5.7109375" customWidth="1"/>
    <col min="205" max="205" width="8" customWidth="1"/>
    <col min="206" max="208" width="5.7109375" customWidth="1"/>
    <col min="209" max="209" width="7.85546875" customWidth="1"/>
    <col min="210" max="210" width="8" customWidth="1"/>
    <col min="211" max="211" width="7.5703125" customWidth="1"/>
    <col min="212" max="214" width="5.7109375" customWidth="1"/>
    <col min="215" max="215" width="10.140625" customWidth="1"/>
    <col min="216" max="216" width="3.42578125" customWidth="1"/>
    <col min="217" max="217" width="10.42578125" style="42" customWidth="1"/>
    <col min="220" max="220" width="9" customWidth="1"/>
    <col min="221" max="222" width="5.7109375" customWidth="1"/>
    <col min="224" max="224" width="8.7109375" customWidth="1"/>
    <col min="225" max="225" width="7.28515625" customWidth="1"/>
    <col min="226" max="226" width="8.28515625" customWidth="1"/>
    <col min="227" max="227" width="9.5703125" customWidth="1"/>
    <col min="229" max="229" width="9.5703125" customWidth="1"/>
    <col min="230" max="230" width="8" customWidth="1"/>
    <col min="231" max="231" width="9.28515625" customWidth="1"/>
    <col min="232" max="232" width="5.7109375" customWidth="1"/>
    <col min="233" max="233" width="12.140625" customWidth="1"/>
    <col min="234" max="234" width="3.42578125" customWidth="1"/>
  </cols>
  <sheetData>
    <row r="1" spans="1:234" s="117" customFormat="1" ht="23.25" customHeight="1" thickBot="1" x14ac:dyDescent="0.35">
      <c r="A1" s="147" t="s">
        <v>43</v>
      </c>
      <c r="B1" s="112" t="s">
        <v>30</v>
      </c>
      <c r="C1" s="112"/>
      <c r="D1" s="113"/>
      <c r="E1" s="113"/>
      <c r="F1" s="113"/>
      <c r="G1" s="113"/>
      <c r="H1" s="113"/>
      <c r="I1" s="113"/>
      <c r="J1" s="114" t="s">
        <v>0</v>
      </c>
      <c r="K1" s="115">
        <v>1</v>
      </c>
      <c r="L1" s="114" t="s">
        <v>10</v>
      </c>
      <c r="M1" s="367">
        <v>1447</v>
      </c>
      <c r="N1" s="367"/>
      <c r="O1" s="116" t="s">
        <v>33</v>
      </c>
      <c r="R1" s="131"/>
      <c r="S1" s="147" t="s">
        <v>43</v>
      </c>
      <c r="T1" s="112" t="s">
        <v>30</v>
      </c>
      <c r="U1" s="112"/>
      <c r="V1" s="113"/>
      <c r="W1" s="113"/>
      <c r="X1" s="113"/>
      <c r="Y1" s="113"/>
      <c r="Z1" s="113"/>
      <c r="AA1" s="113"/>
      <c r="AB1" s="114" t="s">
        <v>0</v>
      </c>
      <c r="AC1" s="115">
        <v>2</v>
      </c>
      <c r="AD1" s="114" t="s">
        <v>10</v>
      </c>
      <c r="AE1" s="367">
        <v>1447</v>
      </c>
      <c r="AF1" s="367"/>
      <c r="AG1" s="116" t="s">
        <v>33</v>
      </c>
      <c r="AJ1" s="131"/>
      <c r="AK1" s="148" t="s">
        <v>43</v>
      </c>
      <c r="AL1" s="112" t="s">
        <v>30</v>
      </c>
      <c r="AM1" s="112"/>
      <c r="AN1" s="113"/>
      <c r="AO1" s="113"/>
      <c r="AP1" s="113"/>
      <c r="AQ1" s="113"/>
      <c r="AR1" s="113"/>
      <c r="AS1" s="113"/>
      <c r="AT1" s="114" t="s">
        <v>0</v>
      </c>
      <c r="AU1" s="115">
        <v>3</v>
      </c>
      <c r="AV1" s="114" t="s">
        <v>10</v>
      </c>
      <c r="AW1" s="367">
        <v>1447</v>
      </c>
      <c r="AX1" s="367"/>
      <c r="AY1" s="116" t="s">
        <v>33</v>
      </c>
      <c r="BB1" s="131"/>
      <c r="BC1" s="148" t="s">
        <v>43</v>
      </c>
      <c r="BD1" s="112" t="s">
        <v>30</v>
      </c>
      <c r="BE1" s="112"/>
      <c r="BF1" s="113"/>
      <c r="BG1" s="113"/>
      <c r="BH1" s="113"/>
      <c r="BI1" s="113"/>
      <c r="BJ1" s="113"/>
      <c r="BK1" s="113"/>
      <c r="BL1" s="114" t="s">
        <v>0</v>
      </c>
      <c r="BM1" s="115">
        <v>4</v>
      </c>
      <c r="BN1" s="114" t="s">
        <v>10</v>
      </c>
      <c r="BO1" s="367">
        <v>1447</v>
      </c>
      <c r="BP1" s="367"/>
      <c r="BQ1" s="116" t="s">
        <v>33</v>
      </c>
      <c r="BT1" s="131"/>
      <c r="BU1" s="148" t="s">
        <v>43</v>
      </c>
      <c r="BV1" s="112" t="s">
        <v>30</v>
      </c>
      <c r="BW1" s="112"/>
      <c r="BX1" s="113"/>
      <c r="BY1" s="113"/>
      <c r="BZ1" s="113"/>
      <c r="CA1" s="113"/>
      <c r="CB1" s="113"/>
      <c r="CC1" s="113"/>
      <c r="CD1" s="114" t="s">
        <v>0</v>
      </c>
      <c r="CE1" s="115">
        <v>5</v>
      </c>
      <c r="CF1" s="114" t="s">
        <v>10</v>
      </c>
      <c r="CG1" s="367">
        <v>1447</v>
      </c>
      <c r="CH1" s="367"/>
      <c r="CI1" s="116" t="s">
        <v>33</v>
      </c>
      <c r="CL1" s="131"/>
      <c r="CM1" s="153" t="s">
        <v>43</v>
      </c>
      <c r="CN1" s="112" t="s">
        <v>30</v>
      </c>
      <c r="CO1" s="112"/>
      <c r="CP1" s="113"/>
      <c r="CQ1" s="113"/>
      <c r="CR1" s="113"/>
      <c r="CS1" s="113"/>
      <c r="CT1" s="113"/>
      <c r="CU1" s="113"/>
      <c r="CV1" s="114" t="s">
        <v>0</v>
      </c>
      <c r="CW1" s="115">
        <v>6</v>
      </c>
      <c r="CX1" s="114" t="s">
        <v>10</v>
      </c>
      <c r="CY1" s="367">
        <v>1447</v>
      </c>
      <c r="CZ1" s="367"/>
      <c r="DA1" s="116" t="s">
        <v>33</v>
      </c>
      <c r="DD1" s="107"/>
      <c r="DE1" s="154" t="s">
        <v>43</v>
      </c>
      <c r="DF1" s="112" t="s">
        <v>30</v>
      </c>
      <c r="DG1" s="112"/>
      <c r="DH1" s="113"/>
      <c r="DI1" s="113"/>
      <c r="DJ1" s="113"/>
      <c r="DK1" s="113"/>
      <c r="DL1" s="113"/>
      <c r="DM1" s="113"/>
      <c r="DN1" s="114" t="s">
        <v>0</v>
      </c>
      <c r="DO1" s="115">
        <v>7</v>
      </c>
      <c r="DP1" s="114" t="s">
        <v>10</v>
      </c>
      <c r="DQ1" s="367">
        <v>1447</v>
      </c>
      <c r="DR1" s="367"/>
      <c r="DS1" s="116" t="s">
        <v>33</v>
      </c>
      <c r="DV1" s="107"/>
      <c r="DW1" s="154" t="s">
        <v>43</v>
      </c>
      <c r="DX1" s="112" t="s">
        <v>30</v>
      </c>
      <c r="DY1" s="112"/>
      <c r="DZ1" s="113"/>
      <c r="EA1" s="113"/>
      <c r="EB1" s="113"/>
      <c r="EC1" s="113"/>
      <c r="ED1" s="113"/>
      <c r="EE1" s="113"/>
      <c r="EF1" s="114" t="s">
        <v>0</v>
      </c>
      <c r="EG1" s="115">
        <v>8</v>
      </c>
      <c r="EH1" s="114" t="s">
        <v>10</v>
      </c>
      <c r="EI1" s="367">
        <v>1447</v>
      </c>
      <c r="EJ1" s="367"/>
      <c r="EK1" s="116" t="s">
        <v>33</v>
      </c>
      <c r="EN1" s="107"/>
      <c r="EO1" s="154" t="s">
        <v>43</v>
      </c>
      <c r="EP1" s="112" t="s">
        <v>30</v>
      </c>
      <c r="EQ1" s="112"/>
      <c r="ER1" s="113"/>
      <c r="ES1" s="113"/>
      <c r="ET1" s="113"/>
      <c r="EU1" s="113"/>
      <c r="EV1" s="113"/>
      <c r="EW1" s="113"/>
      <c r="EX1" s="114" t="s">
        <v>0</v>
      </c>
      <c r="EY1" s="115">
        <v>9</v>
      </c>
      <c r="EZ1" s="114" t="s">
        <v>10</v>
      </c>
      <c r="FA1" s="367">
        <v>1447</v>
      </c>
      <c r="FB1" s="367"/>
      <c r="FC1" s="116" t="s">
        <v>33</v>
      </c>
      <c r="FF1" s="107"/>
      <c r="FG1" s="154" t="s">
        <v>43</v>
      </c>
      <c r="FH1" s="112" t="s">
        <v>30</v>
      </c>
      <c r="FI1" s="112"/>
      <c r="FJ1" s="113"/>
      <c r="FK1" s="113"/>
      <c r="FL1" s="113"/>
      <c r="FM1" s="113"/>
      <c r="FN1" s="113"/>
      <c r="FO1" s="113"/>
      <c r="FP1" s="114" t="s">
        <v>0</v>
      </c>
      <c r="FQ1" s="115">
        <v>10</v>
      </c>
      <c r="FR1" s="114" t="s">
        <v>10</v>
      </c>
      <c r="FS1" s="367">
        <v>1447</v>
      </c>
      <c r="FT1" s="367"/>
      <c r="FU1" s="116" t="s">
        <v>33</v>
      </c>
      <c r="FX1" s="107"/>
      <c r="FY1" s="154" t="s">
        <v>43</v>
      </c>
      <c r="FZ1" s="112" t="s">
        <v>30</v>
      </c>
      <c r="GA1" s="112"/>
      <c r="GB1" s="113"/>
      <c r="GC1" s="113"/>
      <c r="GD1" s="113"/>
      <c r="GE1" s="113"/>
      <c r="GF1" s="113"/>
      <c r="GG1" s="113"/>
      <c r="GH1" s="114" t="s">
        <v>0</v>
      </c>
      <c r="GI1" s="115">
        <v>11</v>
      </c>
      <c r="GJ1" s="114" t="s">
        <v>10</v>
      </c>
      <c r="GK1" s="367">
        <v>1447</v>
      </c>
      <c r="GL1" s="367"/>
      <c r="GM1" s="116" t="s">
        <v>33</v>
      </c>
      <c r="GP1" s="107"/>
      <c r="GQ1" s="154" t="s">
        <v>43</v>
      </c>
      <c r="GR1" s="112" t="s">
        <v>30</v>
      </c>
      <c r="GS1" s="112"/>
      <c r="GT1" s="113"/>
      <c r="GU1" s="113"/>
      <c r="GV1" s="113"/>
      <c r="GW1" s="113"/>
      <c r="GX1" s="113"/>
      <c r="GY1" s="113"/>
      <c r="GZ1" s="114" t="s">
        <v>0</v>
      </c>
      <c r="HA1" s="115">
        <v>12</v>
      </c>
      <c r="HB1" s="114" t="s">
        <v>10</v>
      </c>
      <c r="HC1" s="367">
        <v>1447</v>
      </c>
      <c r="HD1" s="367"/>
      <c r="HE1" s="116" t="s">
        <v>33</v>
      </c>
      <c r="HH1" s="107"/>
      <c r="HI1" s="118"/>
      <c r="HJ1" s="112" t="s">
        <v>30</v>
      </c>
      <c r="HK1" s="112"/>
      <c r="HL1" s="113"/>
      <c r="HM1" s="113"/>
      <c r="HN1" s="113"/>
      <c r="HO1" s="113"/>
      <c r="HP1" s="113"/>
      <c r="HQ1" s="113"/>
      <c r="HR1" s="114"/>
      <c r="HS1" s="115"/>
      <c r="HT1" s="114" t="s">
        <v>10</v>
      </c>
      <c r="HU1" s="405">
        <f>SUM(HC1)</f>
        <v>1447</v>
      </c>
      <c r="HV1" s="405"/>
      <c r="HW1" s="116" t="s">
        <v>33</v>
      </c>
    </row>
    <row r="2" spans="1:234" s="1" customFormat="1" ht="20.100000000000001" customHeight="1" thickBot="1" x14ac:dyDescent="0.25">
      <c r="A2" s="350" t="s">
        <v>31</v>
      </c>
      <c r="B2" s="326" t="s">
        <v>11</v>
      </c>
      <c r="C2" s="327"/>
      <c r="D2" s="334" t="s">
        <v>1</v>
      </c>
      <c r="E2" s="335"/>
      <c r="F2" s="335"/>
      <c r="G2" s="335"/>
      <c r="H2" s="335"/>
      <c r="I2" s="335"/>
      <c r="J2" s="335"/>
      <c r="K2" s="335"/>
      <c r="L2" s="336"/>
      <c r="M2" s="326" t="s">
        <v>2</v>
      </c>
      <c r="N2" s="332"/>
      <c r="O2" s="326" t="s">
        <v>3</v>
      </c>
      <c r="P2" s="326" t="s">
        <v>4</v>
      </c>
      <c r="Q2" s="326" t="s">
        <v>5</v>
      </c>
      <c r="R2" s="132"/>
      <c r="S2" s="350" t="s">
        <v>31</v>
      </c>
      <c r="T2" s="326" t="s">
        <v>11</v>
      </c>
      <c r="U2" s="327"/>
      <c r="V2" s="334" t="s">
        <v>1</v>
      </c>
      <c r="W2" s="335"/>
      <c r="X2" s="335"/>
      <c r="Y2" s="335"/>
      <c r="Z2" s="335"/>
      <c r="AA2" s="335"/>
      <c r="AB2" s="335"/>
      <c r="AC2" s="335"/>
      <c r="AD2" s="336"/>
      <c r="AE2" s="326" t="s">
        <v>2</v>
      </c>
      <c r="AF2" s="332"/>
      <c r="AG2" s="326" t="s">
        <v>3</v>
      </c>
      <c r="AH2" s="326" t="s">
        <v>4</v>
      </c>
      <c r="AI2" s="326" t="s">
        <v>5</v>
      </c>
      <c r="AJ2" s="132"/>
      <c r="AK2" s="350" t="s">
        <v>31</v>
      </c>
      <c r="AL2" s="326" t="s">
        <v>11</v>
      </c>
      <c r="AM2" s="327"/>
      <c r="AN2" s="334" t="s">
        <v>1</v>
      </c>
      <c r="AO2" s="335"/>
      <c r="AP2" s="335"/>
      <c r="AQ2" s="335"/>
      <c r="AR2" s="335"/>
      <c r="AS2" s="335"/>
      <c r="AT2" s="335"/>
      <c r="AU2" s="335"/>
      <c r="AV2" s="336"/>
      <c r="AW2" s="326" t="s">
        <v>2</v>
      </c>
      <c r="AX2" s="332"/>
      <c r="AY2" s="326" t="s">
        <v>3</v>
      </c>
      <c r="AZ2" s="326" t="s">
        <v>4</v>
      </c>
      <c r="BA2" s="326" t="s">
        <v>5</v>
      </c>
      <c r="BB2" s="132"/>
      <c r="BC2" s="350" t="s">
        <v>31</v>
      </c>
      <c r="BD2" s="326" t="s">
        <v>11</v>
      </c>
      <c r="BE2" s="327"/>
      <c r="BF2" s="334" t="s">
        <v>1</v>
      </c>
      <c r="BG2" s="335"/>
      <c r="BH2" s="335"/>
      <c r="BI2" s="335"/>
      <c r="BJ2" s="335"/>
      <c r="BK2" s="335"/>
      <c r="BL2" s="335"/>
      <c r="BM2" s="335"/>
      <c r="BN2" s="336"/>
      <c r="BO2" s="326" t="s">
        <v>2</v>
      </c>
      <c r="BP2" s="332"/>
      <c r="BQ2" s="326" t="s">
        <v>3</v>
      </c>
      <c r="BR2" s="326" t="s">
        <v>4</v>
      </c>
      <c r="BS2" s="326" t="s">
        <v>5</v>
      </c>
      <c r="BT2" s="132"/>
      <c r="BU2" s="350" t="s">
        <v>31</v>
      </c>
      <c r="BV2" s="326" t="s">
        <v>11</v>
      </c>
      <c r="BW2" s="327"/>
      <c r="BX2" s="334" t="s">
        <v>1</v>
      </c>
      <c r="BY2" s="335"/>
      <c r="BZ2" s="335"/>
      <c r="CA2" s="335"/>
      <c r="CB2" s="335"/>
      <c r="CC2" s="335"/>
      <c r="CD2" s="335"/>
      <c r="CE2" s="335"/>
      <c r="CF2" s="336"/>
      <c r="CG2" s="326" t="s">
        <v>2</v>
      </c>
      <c r="CH2" s="332"/>
      <c r="CI2" s="326" t="s">
        <v>3</v>
      </c>
      <c r="CJ2" s="326" t="s">
        <v>4</v>
      </c>
      <c r="CK2" s="326" t="s">
        <v>5</v>
      </c>
      <c r="CL2" s="132"/>
      <c r="CM2" s="350" t="s">
        <v>31</v>
      </c>
      <c r="CN2" s="326" t="s">
        <v>11</v>
      </c>
      <c r="CO2" s="327"/>
      <c r="CP2" s="334" t="s">
        <v>1</v>
      </c>
      <c r="CQ2" s="335"/>
      <c r="CR2" s="335"/>
      <c r="CS2" s="335"/>
      <c r="CT2" s="335"/>
      <c r="CU2" s="335"/>
      <c r="CV2" s="335"/>
      <c r="CW2" s="335"/>
      <c r="CX2" s="336"/>
      <c r="CY2" s="326" t="s">
        <v>2</v>
      </c>
      <c r="CZ2" s="332"/>
      <c r="DA2" s="326" t="s">
        <v>3</v>
      </c>
      <c r="DB2" s="326" t="s">
        <v>4</v>
      </c>
      <c r="DC2" s="304" t="s">
        <v>5</v>
      </c>
      <c r="DD2" s="155"/>
      <c r="DE2" s="350" t="s">
        <v>31</v>
      </c>
      <c r="DF2" s="326" t="s">
        <v>11</v>
      </c>
      <c r="DG2" s="327"/>
      <c r="DH2" s="334" t="s">
        <v>1</v>
      </c>
      <c r="DI2" s="335"/>
      <c r="DJ2" s="335"/>
      <c r="DK2" s="335"/>
      <c r="DL2" s="335"/>
      <c r="DM2" s="335"/>
      <c r="DN2" s="335"/>
      <c r="DO2" s="335"/>
      <c r="DP2" s="336"/>
      <c r="DQ2" s="326" t="s">
        <v>2</v>
      </c>
      <c r="DR2" s="332"/>
      <c r="DS2" s="326" t="s">
        <v>3</v>
      </c>
      <c r="DT2" s="326" t="s">
        <v>4</v>
      </c>
      <c r="DU2" s="304" t="s">
        <v>5</v>
      </c>
      <c r="DV2" s="155"/>
      <c r="DW2" s="350" t="s">
        <v>31</v>
      </c>
      <c r="DX2" s="326" t="s">
        <v>11</v>
      </c>
      <c r="DY2" s="327"/>
      <c r="DZ2" s="334" t="s">
        <v>1</v>
      </c>
      <c r="EA2" s="335"/>
      <c r="EB2" s="335"/>
      <c r="EC2" s="335"/>
      <c r="ED2" s="335"/>
      <c r="EE2" s="335"/>
      <c r="EF2" s="335"/>
      <c r="EG2" s="335"/>
      <c r="EH2" s="336"/>
      <c r="EI2" s="326" t="s">
        <v>2</v>
      </c>
      <c r="EJ2" s="332"/>
      <c r="EK2" s="326" t="s">
        <v>3</v>
      </c>
      <c r="EL2" s="326" t="s">
        <v>4</v>
      </c>
      <c r="EM2" s="304" t="s">
        <v>5</v>
      </c>
      <c r="EN2" s="155"/>
      <c r="EO2" s="350" t="s">
        <v>31</v>
      </c>
      <c r="EP2" s="326" t="s">
        <v>11</v>
      </c>
      <c r="EQ2" s="327"/>
      <c r="ER2" s="334" t="s">
        <v>1</v>
      </c>
      <c r="ES2" s="335"/>
      <c r="ET2" s="335"/>
      <c r="EU2" s="335"/>
      <c r="EV2" s="335"/>
      <c r="EW2" s="335"/>
      <c r="EX2" s="335"/>
      <c r="EY2" s="335"/>
      <c r="EZ2" s="336"/>
      <c r="FA2" s="326" t="s">
        <v>2</v>
      </c>
      <c r="FB2" s="332"/>
      <c r="FC2" s="326" t="s">
        <v>3</v>
      </c>
      <c r="FD2" s="326" t="s">
        <v>4</v>
      </c>
      <c r="FE2" s="304" t="s">
        <v>5</v>
      </c>
      <c r="FF2" s="155"/>
      <c r="FG2" s="350" t="s">
        <v>31</v>
      </c>
      <c r="FH2" s="326" t="s">
        <v>11</v>
      </c>
      <c r="FI2" s="327"/>
      <c r="FJ2" s="334" t="s">
        <v>1</v>
      </c>
      <c r="FK2" s="335"/>
      <c r="FL2" s="335"/>
      <c r="FM2" s="335"/>
      <c r="FN2" s="335"/>
      <c r="FO2" s="335"/>
      <c r="FP2" s="335"/>
      <c r="FQ2" s="335"/>
      <c r="FR2" s="336"/>
      <c r="FS2" s="326" t="s">
        <v>2</v>
      </c>
      <c r="FT2" s="332"/>
      <c r="FU2" s="326" t="s">
        <v>3</v>
      </c>
      <c r="FV2" s="326" t="s">
        <v>4</v>
      </c>
      <c r="FW2" s="304" t="s">
        <v>5</v>
      </c>
      <c r="FX2" s="155"/>
      <c r="FY2" s="350" t="s">
        <v>31</v>
      </c>
      <c r="FZ2" s="326" t="s">
        <v>11</v>
      </c>
      <c r="GA2" s="327"/>
      <c r="GB2" s="334" t="s">
        <v>1</v>
      </c>
      <c r="GC2" s="335"/>
      <c r="GD2" s="335"/>
      <c r="GE2" s="335"/>
      <c r="GF2" s="335"/>
      <c r="GG2" s="335"/>
      <c r="GH2" s="335"/>
      <c r="GI2" s="335"/>
      <c r="GJ2" s="336"/>
      <c r="GK2" s="326" t="s">
        <v>2</v>
      </c>
      <c r="GL2" s="332"/>
      <c r="GM2" s="326" t="s">
        <v>3</v>
      </c>
      <c r="GN2" s="326" t="s">
        <v>4</v>
      </c>
      <c r="GO2" s="304" t="s">
        <v>5</v>
      </c>
      <c r="GP2" s="155"/>
      <c r="GQ2" s="350" t="s">
        <v>31</v>
      </c>
      <c r="GR2" s="326" t="s">
        <v>11</v>
      </c>
      <c r="GS2" s="327"/>
      <c r="GT2" s="334" t="s">
        <v>1</v>
      </c>
      <c r="GU2" s="335"/>
      <c r="GV2" s="335"/>
      <c r="GW2" s="335"/>
      <c r="GX2" s="335"/>
      <c r="GY2" s="335"/>
      <c r="GZ2" s="335"/>
      <c r="HA2" s="335"/>
      <c r="HB2" s="336"/>
      <c r="HC2" s="326" t="s">
        <v>2</v>
      </c>
      <c r="HD2" s="332"/>
      <c r="HE2" s="326" t="s">
        <v>3</v>
      </c>
      <c r="HF2" s="326" t="s">
        <v>4</v>
      </c>
      <c r="HG2" s="304" t="s">
        <v>5</v>
      </c>
      <c r="HH2" s="108"/>
      <c r="HI2" s="350" t="s">
        <v>31</v>
      </c>
      <c r="HJ2" s="326" t="s">
        <v>11</v>
      </c>
      <c r="HK2" s="332"/>
      <c r="HL2" s="334" t="s">
        <v>1</v>
      </c>
      <c r="HM2" s="335"/>
      <c r="HN2" s="335"/>
      <c r="HO2" s="335"/>
      <c r="HP2" s="335"/>
      <c r="HQ2" s="335"/>
      <c r="HR2" s="335"/>
      <c r="HS2" s="335"/>
      <c r="HT2" s="336"/>
      <c r="HU2" s="326" t="s">
        <v>2</v>
      </c>
      <c r="HV2" s="332"/>
      <c r="HW2" s="304" t="s">
        <v>3</v>
      </c>
      <c r="HX2" s="304" t="s">
        <v>4</v>
      </c>
      <c r="HY2" s="304" t="s">
        <v>5</v>
      </c>
      <c r="HZ2" s="32"/>
    </row>
    <row r="3" spans="1:234" s="1" customFormat="1" ht="20.100000000000001" customHeight="1" thickBot="1" x14ac:dyDescent="0.25">
      <c r="A3" s="351"/>
      <c r="B3" s="328"/>
      <c r="C3" s="329"/>
      <c r="D3" s="295" t="s">
        <v>6</v>
      </c>
      <c r="E3" s="313"/>
      <c r="F3" s="326" t="s">
        <v>7</v>
      </c>
      <c r="G3" s="327"/>
      <c r="H3" s="327"/>
      <c r="I3" s="327"/>
      <c r="J3" s="332"/>
      <c r="K3" s="347" t="s">
        <v>8</v>
      </c>
      <c r="L3" s="348"/>
      <c r="M3" s="330"/>
      <c r="N3" s="333"/>
      <c r="O3" s="328"/>
      <c r="P3" s="328"/>
      <c r="Q3" s="328"/>
      <c r="R3" s="132"/>
      <c r="S3" s="351"/>
      <c r="T3" s="328"/>
      <c r="U3" s="329"/>
      <c r="V3" s="295" t="s">
        <v>6</v>
      </c>
      <c r="W3" s="313"/>
      <c r="X3" s="326" t="s">
        <v>7</v>
      </c>
      <c r="Y3" s="327"/>
      <c r="Z3" s="327"/>
      <c r="AA3" s="327"/>
      <c r="AB3" s="332"/>
      <c r="AC3" s="347" t="s">
        <v>8</v>
      </c>
      <c r="AD3" s="348"/>
      <c r="AE3" s="330"/>
      <c r="AF3" s="333"/>
      <c r="AG3" s="328"/>
      <c r="AH3" s="328"/>
      <c r="AI3" s="328"/>
      <c r="AJ3" s="132"/>
      <c r="AK3" s="351"/>
      <c r="AL3" s="328"/>
      <c r="AM3" s="329"/>
      <c r="AN3" s="295" t="s">
        <v>6</v>
      </c>
      <c r="AO3" s="313"/>
      <c r="AP3" s="326" t="s">
        <v>7</v>
      </c>
      <c r="AQ3" s="327"/>
      <c r="AR3" s="327"/>
      <c r="AS3" s="327"/>
      <c r="AT3" s="332"/>
      <c r="AU3" s="347" t="s">
        <v>8</v>
      </c>
      <c r="AV3" s="348"/>
      <c r="AW3" s="330"/>
      <c r="AX3" s="333"/>
      <c r="AY3" s="328"/>
      <c r="AZ3" s="328"/>
      <c r="BA3" s="328"/>
      <c r="BB3" s="132"/>
      <c r="BC3" s="351"/>
      <c r="BD3" s="328"/>
      <c r="BE3" s="329"/>
      <c r="BF3" s="295" t="s">
        <v>6</v>
      </c>
      <c r="BG3" s="313"/>
      <c r="BH3" s="326" t="s">
        <v>7</v>
      </c>
      <c r="BI3" s="327"/>
      <c r="BJ3" s="327"/>
      <c r="BK3" s="327"/>
      <c r="BL3" s="332"/>
      <c r="BM3" s="347" t="s">
        <v>8</v>
      </c>
      <c r="BN3" s="348"/>
      <c r="BO3" s="330"/>
      <c r="BP3" s="333"/>
      <c r="BQ3" s="328"/>
      <c r="BR3" s="328"/>
      <c r="BS3" s="328"/>
      <c r="BT3" s="132"/>
      <c r="BU3" s="351"/>
      <c r="BV3" s="328"/>
      <c r="BW3" s="329"/>
      <c r="BX3" s="295" t="s">
        <v>6</v>
      </c>
      <c r="BY3" s="313"/>
      <c r="BZ3" s="326" t="s">
        <v>7</v>
      </c>
      <c r="CA3" s="327"/>
      <c r="CB3" s="327"/>
      <c r="CC3" s="327"/>
      <c r="CD3" s="332"/>
      <c r="CE3" s="347" t="s">
        <v>8</v>
      </c>
      <c r="CF3" s="348"/>
      <c r="CG3" s="330"/>
      <c r="CH3" s="333"/>
      <c r="CI3" s="328"/>
      <c r="CJ3" s="328"/>
      <c r="CK3" s="328"/>
      <c r="CL3" s="132"/>
      <c r="CM3" s="351"/>
      <c r="CN3" s="328"/>
      <c r="CO3" s="329"/>
      <c r="CP3" s="295" t="s">
        <v>6</v>
      </c>
      <c r="CQ3" s="313"/>
      <c r="CR3" s="326" t="s">
        <v>7</v>
      </c>
      <c r="CS3" s="327"/>
      <c r="CT3" s="327"/>
      <c r="CU3" s="327"/>
      <c r="CV3" s="332"/>
      <c r="CW3" s="347" t="s">
        <v>8</v>
      </c>
      <c r="CX3" s="348"/>
      <c r="CY3" s="330"/>
      <c r="CZ3" s="333"/>
      <c r="DA3" s="328"/>
      <c r="DB3" s="328"/>
      <c r="DC3" s="349"/>
      <c r="DD3" s="108"/>
      <c r="DE3" s="351"/>
      <c r="DF3" s="328"/>
      <c r="DG3" s="329"/>
      <c r="DH3" s="295" t="s">
        <v>6</v>
      </c>
      <c r="DI3" s="313"/>
      <c r="DJ3" s="326" t="s">
        <v>7</v>
      </c>
      <c r="DK3" s="327"/>
      <c r="DL3" s="327"/>
      <c r="DM3" s="327"/>
      <c r="DN3" s="332"/>
      <c r="DO3" s="347" t="s">
        <v>8</v>
      </c>
      <c r="DP3" s="348"/>
      <c r="DQ3" s="330"/>
      <c r="DR3" s="333"/>
      <c r="DS3" s="328"/>
      <c r="DT3" s="328"/>
      <c r="DU3" s="349"/>
      <c r="DV3" s="108"/>
      <c r="DW3" s="351"/>
      <c r="DX3" s="328"/>
      <c r="DY3" s="329"/>
      <c r="DZ3" s="295" t="s">
        <v>6</v>
      </c>
      <c r="EA3" s="313"/>
      <c r="EB3" s="326" t="s">
        <v>7</v>
      </c>
      <c r="EC3" s="327"/>
      <c r="ED3" s="327"/>
      <c r="EE3" s="327"/>
      <c r="EF3" s="332"/>
      <c r="EG3" s="347" t="s">
        <v>8</v>
      </c>
      <c r="EH3" s="348"/>
      <c r="EI3" s="330"/>
      <c r="EJ3" s="333"/>
      <c r="EK3" s="328"/>
      <c r="EL3" s="328"/>
      <c r="EM3" s="349"/>
      <c r="EN3" s="108"/>
      <c r="EO3" s="351"/>
      <c r="EP3" s="328"/>
      <c r="EQ3" s="329"/>
      <c r="ER3" s="295" t="s">
        <v>6</v>
      </c>
      <c r="ES3" s="313"/>
      <c r="ET3" s="326" t="s">
        <v>7</v>
      </c>
      <c r="EU3" s="327"/>
      <c r="EV3" s="327"/>
      <c r="EW3" s="327"/>
      <c r="EX3" s="332"/>
      <c r="EY3" s="347" t="s">
        <v>8</v>
      </c>
      <c r="EZ3" s="348"/>
      <c r="FA3" s="330"/>
      <c r="FB3" s="333"/>
      <c r="FC3" s="328"/>
      <c r="FD3" s="328"/>
      <c r="FE3" s="349"/>
      <c r="FF3" s="108"/>
      <c r="FG3" s="351"/>
      <c r="FH3" s="328"/>
      <c r="FI3" s="329"/>
      <c r="FJ3" s="295" t="s">
        <v>6</v>
      </c>
      <c r="FK3" s="313"/>
      <c r="FL3" s="326" t="s">
        <v>7</v>
      </c>
      <c r="FM3" s="327"/>
      <c r="FN3" s="327"/>
      <c r="FO3" s="327"/>
      <c r="FP3" s="332"/>
      <c r="FQ3" s="347" t="s">
        <v>8</v>
      </c>
      <c r="FR3" s="348"/>
      <c r="FS3" s="330"/>
      <c r="FT3" s="333"/>
      <c r="FU3" s="328"/>
      <c r="FV3" s="328"/>
      <c r="FW3" s="349"/>
      <c r="FX3" s="108"/>
      <c r="FY3" s="351"/>
      <c r="FZ3" s="328"/>
      <c r="GA3" s="329"/>
      <c r="GB3" s="295" t="s">
        <v>6</v>
      </c>
      <c r="GC3" s="313"/>
      <c r="GD3" s="326" t="s">
        <v>7</v>
      </c>
      <c r="GE3" s="327"/>
      <c r="GF3" s="327"/>
      <c r="GG3" s="327"/>
      <c r="GH3" s="332"/>
      <c r="GI3" s="347" t="s">
        <v>8</v>
      </c>
      <c r="GJ3" s="348"/>
      <c r="GK3" s="330"/>
      <c r="GL3" s="333"/>
      <c r="GM3" s="328"/>
      <c r="GN3" s="328"/>
      <c r="GO3" s="349"/>
      <c r="GP3" s="108"/>
      <c r="GQ3" s="351"/>
      <c r="GR3" s="328"/>
      <c r="GS3" s="329"/>
      <c r="GT3" s="295" t="s">
        <v>6</v>
      </c>
      <c r="GU3" s="313"/>
      <c r="GV3" s="326" t="s">
        <v>7</v>
      </c>
      <c r="GW3" s="327"/>
      <c r="GX3" s="327"/>
      <c r="GY3" s="327"/>
      <c r="GZ3" s="332"/>
      <c r="HA3" s="347" t="s">
        <v>8</v>
      </c>
      <c r="HB3" s="348"/>
      <c r="HC3" s="330"/>
      <c r="HD3" s="333"/>
      <c r="HE3" s="328"/>
      <c r="HF3" s="328"/>
      <c r="HG3" s="349"/>
      <c r="HH3" s="108"/>
      <c r="HI3" s="351"/>
      <c r="HJ3" s="328"/>
      <c r="HK3" s="402"/>
      <c r="HL3" s="295" t="s">
        <v>6</v>
      </c>
      <c r="HM3" s="313"/>
      <c r="HN3" s="295" t="s">
        <v>7</v>
      </c>
      <c r="HO3" s="296"/>
      <c r="HP3" s="296"/>
      <c r="HQ3" s="296"/>
      <c r="HR3" s="313"/>
      <c r="HS3" s="295" t="s">
        <v>8</v>
      </c>
      <c r="HT3" s="313"/>
      <c r="HU3" s="330"/>
      <c r="HV3" s="333"/>
      <c r="HW3" s="349"/>
      <c r="HX3" s="349"/>
      <c r="HY3" s="349"/>
      <c r="HZ3" s="32"/>
    </row>
    <row r="4" spans="1:234" s="1" customFormat="1" ht="20.100000000000001" customHeight="1" thickBot="1" x14ac:dyDescent="0.25">
      <c r="A4" s="351"/>
      <c r="B4" s="330"/>
      <c r="C4" s="331"/>
      <c r="D4" s="321" t="s">
        <v>12</v>
      </c>
      <c r="E4" s="337" t="s">
        <v>13</v>
      </c>
      <c r="F4" s="321" t="s">
        <v>15</v>
      </c>
      <c r="G4" s="317" t="s">
        <v>14</v>
      </c>
      <c r="H4" s="317" t="s">
        <v>16</v>
      </c>
      <c r="I4" s="317" t="s">
        <v>17</v>
      </c>
      <c r="J4" s="323" t="s">
        <v>18</v>
      </c>
      <c r="K4" s="345" t="s">
        <v>19</v>
      </c>
      <c r="L4" s="337" t="s">
        <v>18</v>
      </c>
      <c r="M4" s="343" t="s">
        <v>20</v>
      </c>
      <c r="N4" s="319" t="s">
        <v>21</v>
      </c>
      <c r="O4" s="328"/>
      <c r="P4" s="328"/>
      <c r="Q4" s="328"/>
      <c r="R4" s="132"/>
      <c r="S4" s="351"/>
      <c r="T4" s="330"/>
      <c r="U4" s="331"/>
      <c r="V4" s="321" t="s">
        <v>12</v>
      </c>
      <c r="W4" s="337" t="s">
        <v>13</v>
      </c>
      <c r="X4" s="321" t="s">
        <v>15</v>
      </c>
      <c r="Y4" s="317" t="s">
        <v>14</v>
      </c>
      <c r="Z4" s="317" t="s">
        <v>16</v>
      </c>
      <c r="AA4" s="317" t="s">
        <v>17</v>
      </c>
      <c r="AB4" s="323" t="s">
        <v>18</v>
      </c>
      <c r="AC4" s="345" t="s">
        <v>19</v>
      </c>
      <c r="AD4" s="337" t="s">
        <v>18</v>
      </c>
      <c r="AE4" s="343" t="s">
        <v>20</v>
      </c>
      <c r="AF4" s="319" t="s">
        <v>21</v>
      </c>
      <c r="AG4" s="328"/>
      <c r="AH4" s="328"/>
      <c r="AI4" s="328"/>
      <c r="AJ4" s="132"/>
      <c r="AK4" s="351"/>
      <c r="AL4" s="330"/>
      <c r="AM4" s="331"/>
      <c r="AN4" s="321" t="s">
        <v>12</v>
      </c>
      <c r="AO4" s="337" t="s">
        <v>13</v>
      </c>
      <c r="AP4" s="321" t="s">
        <v>15</v>
      </c>
      <c r="AQ4" s="317" t="s">
        <v>14</v>
      </c>
      <c r="AR4" s="317" t="s">
        <v>16</v>
      </c>
      <c r="AS4" s="317" t="s">
        <v>17</v>
      </c>
      <c r="AT4" s="323" t="s">
        <v>18</v>
      </c>
      <c r="AU4" s="345" t="s">
        <v>19</v>
      </c>
      <c r="AV4" s="337" t="s">
        <v>18</v>
      </c>
      <c r="AW4" s="343" t="s">
        <v>20</v>
      </c>
      <c r="AX4" s="319" t="s">
        <v>21</v>
      </c>
      <c r="AY4" s="328"/>
      <c r="AZ4" s="328"/>
      <c r="BA4" s="328"/>
      <c r="BB4" s="132"/>
      <c r="BC4" s="351"/>
      <c r="BD4" s="330"/>
      <c r="BE4" s="331"/>
      <c r="BF4" s="321" t="s">
        <v>12</v>
      </c>
      <c r="BG4" s="337" t="s">
        <v>13</v>
      </c>
      <c r="BH4" s="321" t="s">
        <v>15</v>
      </c>
      <c r="BI4" s="317" t="s">
        <v>14</v>
      </c>
      <c r="BJ4" s="317" t="s">
        <v>16</v>
      </c>
      <c r="BK4" s="317" t="s">
        <v>17</v>
      </c>
      <c r="BL4" s="323" t="s">
        <v>18</v>
      </c>
      <c r="BM4" s="345" t="s">
        <v>19</v>
      </c>
      <c r="BN4" s="337" t="s">
        <v>18</v>
      </c>
      <c r="BO4" s="343" t="s">
        <v>20</v>
      </c>
      <c r="BP4" s="319" t="s">
        <v>21</v>
      </c>
      <c r="BQ4" s="328"/>
      <c r="BR4" s="328"/>
      <c r="BS4" s="328"/>
      <c r="BT4" s="132"/>
      <c r="BU4" s="351"/>
      <c r="BV4" s="330"/>
      <c r="BW4" s="331"/>
      <c r="BX4" s="321" t="s">
        <v>12</v>
      </c>
      <c r="BY4" s="337" t="s">
        <v>13</v>
      </c>
      <c r="BZ4" s="321" t="s">
        <v>15</v>
      </c>
      <c r="CA4" s="317" t="s">
        <v>14</v>
      </c>
      <c r="CB4" s="317" t="s">
        <v>16</v>
      </c>
      <c r="CC4" s="317" t="s">
        <v>17</v>
      </c>
      <c r="CD4" s="323" t="s">
        <v>18</v>
      </c>
      <c r="CE4" s="345" t="s">
        <v>19</v>
      </c>
      <c r="CF4" s="337" t="s">
        <v>18</v>
      </c>
      <c r="CG4" s="343" t="s">
        <v>20</v>
      </c>
      <c r="CH4" s="319" t="s">
        <v>21</v>
      </c>
      <c r="CI4" s="328"/>
      <c r="CJ4" s="328"/>
      <c r="CK4" s="328"/>
      <c r="CL4" s="132"/>
      <c r="CM4" s="351"/>
      <c r="CN4" s="330"/>
      <c r="CO4" s="331"/>
      <c r="CP4" s="321" t="s">
        <v>12</v>
      </c>
      <c r="CQ4" s="337" t="s">
        <v>13</v>
      </c>
      <c r="CR4" s="321" t="s">
        <v>15</v>
      </c>
      <c r="CS4" s="317" t="s">
        <v>14</v>
      </c>
      <c r="CT4" s="317" t="s">
        <v>16</v>
      </c>
      <c r="CU4" s="317" t="s">
        <v>17</v>
      </c>
      <c r="CV4" s="323" t="s">
        <v>18</v>
      </c>
      <c r="CW4" s="345" t="s">
        <v>19</v>
      </c>
      <c r="CX4" s="337" t="s">
        <v>18</v>
      </c>
      <c r="CY4" s="343" t="s">
        <v>20</v>
      </c>
      <c r="CZ4" s="319" t="s">
        <v>21</v>
      </c>
      <c r="DA4" s="328"/>
      <c r="DB4" s="328"/>
      <c r="DC4" s="349"/>
      <c r="DD4" s="108"/>
      <c r="DE4" s="351"/>
      <c r="DF4" s="330"/>
      <c r="DG4" s="331"/>
      <c r="DH4" s="321" t="s">
        <v>12</v>
      </c>
      <c r="DI4" s="337" t="s">
        <v>13</v>
      </c>
      <c r="DJ4" s="321" t="s">
        <v>15</v>
      </c>
      <c r="DK4" s="317" t="s">
        <v>14</v>
      </c>
      <c r="DL4" s="317" t="s">
        <v>16</v>
      </c>
      <c r="DM4" s="317" t="s">
        <v>17</v>
      </c>
      <c r="DN4" s="323" t="s">
        <v>18</v>
      </c>
      <c r="DO4" s="345" t="s">
        <v>19</v>
      </c>
      <c r="DP4" s="337" t="s">
        <v>18</v>
      </c>
      <c r="DQ4" s="343" t="s">
        <v>20</v>
      </c>
      <c r="DR4" s="319" t="s">
        <v>21</v>
      </c>
      <c r="DS4" s="328"/>
      <c r="DT4" s="328"/>
      <c r="DU4" s="349"/>
      <c r="DV4" s="108"/>
      <c r="DW4" s="351"/>
      <c r="DX4" s="330"/>
      <c r="DY4" s="331"/>
      <c r="DZ4" s="321" t="s">
        <v>12</v>
      </c>
      <c r="EA4" s="337" t="s">
        <v>13</v>
      </c>
      <c r="EB4" s="321" t="s">
        <v>15</v>
      </c>
      <c r="EC4" s="317" t="s">
        <v>14</v>
      </c>
      <c r="ED4" s="317" t="s">
        <v>16</v>
      </c>
      <c r="EE4" s="317" t="s">
        <v>17</v>
      </c>
      <c r="EF4" s="323" t="s">
        <v>18</v>
      </c>
      <c r="EG4" s="345" t="s">
        <v>19</v>
      </c>
      <c r="EH4" s="337" t="s">
        <v>18</v>
      </c>
      <c r="EI4" s="343" t="s">
        <v>20</v>
      </c>
      <c r="EJ4" s="319" t="s">
        <v>21</v>
      </c>
      <c r="EK4" s="328"/>
      <c r="EL4" s="328"/>
      <c r="EM4" s="349"/>
      <c r="EN4" s="108"/>
      <c r="EO4" s="351"/>
      <c r="EP4" s="330"/>
      <c r="EQ4" s="331"/>
      <c r="ER4" s="321" t="s">
        <v>12</v>
      </c>
      <c r="ES4" s="337" t="s">
        <v>13</v>
      </c>
      <c r="ET4" s="321" t="s">
        <v>15</v>
      </c>
      <c r="EU4" s="317" t="s">
        <v>14</v>
      </c>
      <c r="EV4" s="317" t="s">
        <v>16</v>
      </c>
      <c r="EW4" s="317" t="s">
        <v>17</v>
      </c>
      <c r="EX4" s="323" t="s">
        <v>18</v>
      </c>
      <c r="EY4" s="345" t="s">
        <v>19</v>
      </c>
      <c r="EZ4" s="337" t="s">
        <v>18</v>
      </c>
      <c r="FA4" s="343" t="s">
        <v>20</v>
      </c>
      <c r="FB4" s="319" t="s">
        <v>21</v>
      </c>
      <c r="FC4" s="328"/>
      <c r="FD4" s="328"/>
      <c r="FE4" s="349"/>
      <c r="FF4" s="108"/>
      <c r="FG4" s="351"/>
      <c r="FH4" s="330"/>
      <c r="FI4" s="331"/>
      <c r="FJ4" s="321" t="s">
        <v>12</v>
      </c>
      <c r="FK4" s="337" t="s">
        <v>13</v>
      </c>
      <c r="FL4" s="321" t="s">
        <v>15</v>
      </c>
      <c r="FM4" s="317" t="s">
        <v>14</v>
      </c>
      <c r="FN4" s="317" t="s">
        <v>16</v>
      </c>
      <c r="FO4" s="317" t="s">
        <v>17</v>
      </c>
      <c r="FP4" s="323" t="s">
        <v>18</v>
      </c>
      <c r="FQ4" s="345" t="s">
        <v>19</v>
      </c>
      <c r="FR4" s="337" t="s">
        <v>18</v>
      </c>
      <c r="FS4" s="343" t="s">
        <v>20</v>
      </c>
      <c r="FT4" s="319" t="s">
        <v>21</v>
      </c>
      <c r="FU4" s="328"/>
      <c r="FV4" s="328"/>
      <c r="FW4" s="349"/>
      <c r="FX4" s="108"/>
      <c r="FY4" s="351"/>
      <c r="FZ4" s="330"/>
      <c r="GA4" s="331"/>
      <c r="GB4" s="321" t="s">
        <v>12</v>
      </c>
      <c r="GC4" s="337" t="s">
        <v>13</v>
      </c>
      <c r="GD4" s="321" t="s">
        <v>15</v>
      </c>
      <c r="GE4" s="317" t="s">
        <v>14</v>
      </c>
      <c r="GF4" s="317" t="s">
        <v>16</v>
      </c>
      <c r="GG4" s="317" t="s">
        <v>17</v>
      </c>
      <c r="GH4" s="323" t="s">
        <v>18</v>
      </c>
      <c r="GI4" s="345" t="s">
        <v>19</v>
      </c>
      <c r="GJ4" s="337" t="s">
        <v>18</v>
      </c>
      <c r="GK4" s="343" t="s">
        <v>20</v>
      </c>
      <c r="GL4" s="319" t="s">
        <v>21</v>
      </c>
      <c r="GM4" s="328"/>
      <c r="GN4" s="328"/>
      <c r="GO4" s="349"/>
      <c r="GP4" s="108"/>
      <c r="GQ4" s="351"/>
      <c r="GR4" s="330"/>
      <c r="GS4" s="331"/>
      <c r="GT4" s="321" t="s">
        <v>12</v>
      </c>
      <c r="GU4" s="337" t="s">
        <v>13</v>
      </c>
      <c r="GV4" s="321" t="s">
        <v>15</v>
      </c>
      <c r="GW4" s="317" t="s">
        <v>14</v>
      </c>
      <c r="GX4" s="317" t="s">
        <v>16</v>
      </c>
      <c r="GY4" s="317" t="s">
        <v>17</v>
      </c>
      <c r="GZ4" s="323" t="s">
        <v>18</v>
      </c>
      <c r="HA4" s="345" t="s">
        <v>19</v>
      </c>
      <c r="HB4" s="337" t="s">
        <v>18</v>
      </c>
      <c r="HC4" s="343" t="s">
        <v>20</v>
      </c>
      <c r="HD4" s="319" t="s">
        <v>21</v>
      </c>
      <c r="HE4" s="328"/>
      <c r="HF4" s="328"/>
      <c r="HG4" s="349"/>
      <c r="HH4" s="108"/>
      <c r="HI4" s="351"/>
      <c r="HJ4" s="330"/>
      <c r="HK4" s="333"/>
      <c r="HL4" s="343" t="s">
        <v>12</v>
      </c>
      <c r="HM4" s="319" t="s">
        <v>13</v>
      </c>
      <c r="HN4" s="343" t="s">
        <v>15</v>
      </c>
      <c r="HO4" s="400" t="s">
        <v>14</v>
      </c>
      <c r="HP4" s="400" t="s">
        <v>16</v>
      </c>
      <c r="HQ4" s="400" t="s">
        <v>17</v>
      </c>
      <c r="HR4" s="319" t="s">
        <v>18</v>
      </c>
      <c r="HS4" s="343" t="s">
        <v>19</v>
      </c>
      <c r="HT4" s="319" t="s">
        <v>18</v>
      </c>
      <c r="HU4" s="343" t="s">
        <v>20</v>
      </c>
      <c r="HV4" s="319" t="s">
        <v>21</v>
      </c>
      <c r="HW4" s="349"/>
      <c r="HX4" s="349"/>
      <c r="HY4" s="349"/>
      <c r="HZ4" s="32"/>
    </row>
    <row r="5" spans="1:234" s="1" customFormat="1" ht="114" customHeight="1" thickBot="1" x14ac:dyDescent="0.25">
      <c r="A5" s="352"/>
      <c r="B5" s="3" t="s">
        <v>22</v>
      </c>
      <c r="C5" s="2" t="s">
        <v>23</v>
      </c>
      <c r="D5" s="369"/>
      <c r="E5" s="362"/>
      <c r="F5" s="373"/>
      <c r="G5" s="358"/>
      <c r="H5" s="371"/>
      <c r="I5" s="358"/>
      <c r="J5" s="370"/>
      <c r="K5" s="366"/>
      <c r="L5" s="362"/>
      <c r="M5" s="372"/>
      <c r="N5" s="385"/>
      <c r="O5" s="330"/>
      <c r="P5" s="330"/>
      <c r="Q5" s="330"/>
      <c r="R5" s="132"/>
      <c r="S5" s="352"/>
      <c r="T5" s="3" t="s">
        <v>22</v>
      </c>
      <c r="U5" s="2" t="s">
        <v>23</v>
      </c>
      <c r="V5" s="369"/>
      <c r="W5" s="362"/>
      <c r="X5" s="373"/>
      <c r="Y5" s="358"/>
      <c r="Z5" s="371"/>
      <c r="AA5" s="358"/>
      <c r="AB5" s="370"/>
      <c r="AC5" s="366"/>
      <c r="AD5" s="362"/>
      <c r="AE5" s="372"/>
      <c r="AF5" s="385"/>
      <c r="AG5" s="330"/>
      <c r="AH5" s="330"/>
      <c r="AI5" s="330"/>
      <c r="AJ5" s="132"/>
      <c r="AK5" s="352"/>
      <c r="AL5" s="3" t="s">
        <v>22</v>
      </c>
      <c r="AM5" s="2" t="s">
        <v>23</v>
      </c>
      <c r="AN5" s="369"/>
      <c r="AO5" s="362"/>
      <c r="AP5" s="373"/>
      <c r="AQ5" s="358"/>
      <c r="AR5" s="371"/>
      <c r="AS5" s="358"/>
      <c r="AT5" s="370"/>
      <c r="AU5" s="366"/>
      <c r="AV5" s="362"/>
      <c r="AW5" s="372"/>
      <c r="AX5" s="385"/>
      <c r="AY5" s="330"/>
      <c r="AZ5" s="330"/>
      <c r="BA5" s="330"/>
      <c r="BB5" s="132"/>
      <c r="BC5" s="352"/>
      <c r="BD5" s="3" t="s">
        <v>22</v>
      </c>
      <c r="BE5" s="2" t="s">
        <v>23</v>
      </c>
      <c r="BF5" s="369"/>
      <c r="BG5" s="362"/>
      <c r="BH5" s="373"/>
      <c r="BI5" s="358"/>
      <c r="BJ5" s="371"/>
      <c r="BK5" s="358"/>
      <c r="BL5" s="370"/>
      <c r="BM5" s="366"/>
      <c r="BN5" s="362"/>
      <c r="BO5" s="372"/>
      <c r="BP5" s="385"/>
      <c r="BQ5" s="330"/>
      <c r="BR5" s="330"/>
      <c r="BS5" s="330"/>
      <c r="BT5" s="132"/>
      <c r="BU5" s="352"/>
      <c r="BV5" s="3" t="s">
        <v>22</v>
      </c>
      <c r="BW5" s="2" t="s">
        <v>23</v>
      </c>
      <c r="BX5" s="369"/>
      <c r="BY5" s="362"/>
      <c r="BZ5" s="373"/>
      <c r="CA5" s="358"/>
      <c r="CB5" s="371"/>
      <c r="CC5" s="358"/>
      <c r="CD5" s="370"/>
      <c r="CE5" s="366"/>
      <c r="CF5" s="362"/>
      <c r="CG5" s="372"/>
      <c r="CH5" s="385"/>
      <c r="CI5" s="330"/>
      <c r="CJ5" s="330"/>
      <c r="CK5" s="330"/>
      <c r="CL5" s="132"/>
      <c r="CM5" s="352"/>
      <c r="CN5" s="3" t="s">
        <v>22</v>
      </c>
      <c r="CO5" s="2" t="s">
        <v>23</v>
      </c>
      <c r="CP5" s="369"/>
      <c r="CQ5" s="362"/>
      <c r="CR5" s="373"/>
      <c r="CS5" s="358"/>
      <c r="CT5" s="371"/>
      <c r="CU5" s="358"/>
      <c r="CV5" s="370"/>
      <c r="CW5" s="366"/>
      <c r="CX5" s="362"/>
      <c r="CY5" s="372"/>
      <c r="CZ5" s="385"/>
      <c r="DA5" s="330"/>
      <c r="DB5" s="330"/>
      <c r="DC5" s="305"/>
      <c r="DD5" s="108"/>
      <c r="DE5" s="352"/>
      <c r="DF5" s="3" t="s">
        <v>22</v>
      </c>
      <c r="DG5" s="2" t="s">
        <v>23</v>
      </c>
      <c r="DH5" s="369"/>
      <c r="DI5" s="362"/>
      <c r="DJ5" s="373"/>
      <c r="DK5" s="358"/>
      <c r="DL5" s="371"/>
      <c r="DM5" s="358"/>
      <c r="DN5" s="370"/>
      <c r="DO5" s="366"/>
      <c r="DP5" s="362"/>
      <c r="DQ5" s="372"/>
      <c r="DR5" s="385"/>
      <c r="DS5" s="330"/>
      <c r="DT5" s="330"/>
      <c r="DU5" s="305"/>
      <c r="DV5" s="108"/>
      <c r="DW5" s="352"/>
      <c r="DX5" s="3" t="s">
        <v>22</v>
      </c>
      <c r="DY5" s="2" t="s">
        <v>23</v>
      </c>
      <c r="DZ5" s="369"/>
      <c r="EA5" s="362"/>
      <c r="EB5" s="373"/>
      <c r="EC5" s="358"/>
      <c r="ED5" s="371"/>
      <c r="EE5" s="358"/>
      <c r="EF5" s="370"/>
      <c r="EG5" s="366"/>
      <c r="EH5" s="362"/>
      <c r="EI5" s="372"/>
      <c r="EJ5" s="385"/>
      <c r="EK5" s="330"/>
      <c r="EL5" s="330"/>
      <c r="EM5" s="305"/>
      <c r="EN5" s="108"/>
      <c r="EO5" s="352"/>
      <c r="EP5" s="3" t="s">
        <v>22</v>
      </c>
      <c r="EQ5" s="2" t="s">
        <v>23</v>
      </c>
      <c r="ER5" s="369"/>
      <c r="ES5" s="362"/>
      <c r="ET5" s="373"/>
      <c r="EU5" s="358"/>
      <c r="EV5" s="371"/>
      <c r="EW5" s="358"/>
      <c r="EX5" s="370"/>
      <c r="EY5" s="366"/>
      <c r="EZ5" s="362"/>
      <c r="FA5" s="372"/>
      <c r="FB5" s="385"/>
      <c r="FC5" s="330"/>
      <c r="FD5" s="330"/>
      <c r="FE5" s="305"/>
      <c r="FF5" s="108"/>
      <c r="FG5" s="352"/>
      <c r="FH5" s="3" t="s">
        <v>22</v>
      </c>
      <c r="FI5" s="2" t="s">
        <v>23</v>
      </c>
      <c r="FJ5" s="369"/>
      <c r="FK5" s="362"/>
      <c r="FL5" s="373"/>
      <c r="FM5" s="358"/>
      <c r="FN5" s="371"/>
      <c r="FO5" s="358"/>
      <c r="FP5" s="370"/>
      <c r="FQ5" s="366"/>
      <c r="FR5" s="362"/>
      <c r="FS5" s="372"/>
      <c r="FT5" s="385"/>
      <c r="FU5" s="330"/>
      <c r="FV5" s="330"/>
      <c r="FW5" s="305"/>
      <c r="FX5" s="108"/>
      <c r="FY5" s="352"/>
      <c r="FZ5" s="3" t="s">
        <v>22</v>
      </c>
      <c r="GA5" s="2" t="s">
        <v>23</v>
      </c>
      <c r="GB5" s="369"/>
      <c r="GC5" s="362"/>
      <c r="GD5" s="373"/>
      <c r="GE5" s="358"/>
      <c r="GF5" s="371"/>
      <c r="GG5" s="358"/>
      <c r="GH5" s="370"/>
      <c r="GI5" s="366"/>
      <c r="GJ5" s="362"/>
      <c r="GK5" s="372"/>
      <c r="GL5" s="385"/>
      <c r="GM5" s="330"/>
      <c r="GN5" s="330"/>
      <c r="GO5" s="305"/>
      <c r="GP5" s="108"/>
      <c r="GQ5" s="352"/>
      <c r="GR5" s="3" t="s">
        <v>22</v>
      </c>
      <c r="GS5" s="2" t="s">
        <v>23</v>
      </c>
      <c r="GT5" s="369"/>
      <c r="GU5" s="362"/>
      <c r="GV5" s="373"/>
      <c r="GW5" s="358"/>
      <c r="GX5" s="371"/>
      <c r="GY5" s="358"/>
      <c r="GZ5" s="370"/>
      <c r="HA5" s="366"/>
      <c r="HB5" s="362"/>
      <c r="HC5" s="372"/>
      <c r="HD5" s="385"/>
      <c r="HE5" s="330"/>
      <c r="HF5" s="330"/>
      <c r="HG5" s="305"/>
      <c r="HH5" s="108"/>
      <c r="HI5" s="352"/>
      <c r="HJ5" s="3" t="s">
        <v>22</v>
      </c>
      <c r="HK5" s="2" t="s">
        <v>23</v>
      </c>
      <c r="HL5" s="372"/>
      <c r="HM5" s="385"/>
      <c r="HN5" s="372"/>
      <c r="HO5" s="404"/>
      <c r="HP5" s="404"/>
      <c r="HQ5" s="404"/>
      <c r="HR5" s="385"/>
      <c r="HS5" s="372"/>
      <c r="HT5" s="385"/>
      <c r="HU5" s="372"/>
      <c r="HV5" s="385"/>
      <c r="HW5" s="305"/>
      <c r="HX5" s="305"/>
      <c r="HY5" s="305"/>
      <c r="HZ5" s="32"/>
    </row>
    <row r="6" spans="1:234" s="11" customFormat="1" ht="20.100000000000001" customHeight="1" thickTop="1" thickBot="1" x14ac:dyDescent="0.3">
      <c r="A6" s="297" t="s">
        <v>36</v>
      </c>
      <c r="B6" s="304" t="s">
        <v>9</v>
      </c>
      <c r="C6" s="19" t="s">
        <v>24</v>
      </c>
      <c r="D6" s="157">
        <v>132</v>
      </c>
      <c r="E6" s="158">
        <v>0</v>
      </c>
      <c r="F6" s="159">
        <v>15</v>
      </c>
      <c r="G6" s="159">
        <v>125</v>
      </c>
      <c r="H6" s="159">
        <v>15</v>
      </c>
      <c r="I6" s="160">
        <v>0</v>
      </c>
      <c r="J6" s="158">
        <v>0</v>
      </c>
      <c r="K6" s="159">
        <v>257</v>
      </c>
      <c r="L6" s="158">
        <v>0</v>
      </c>
      <c r="M6" s="159">
        <v>37</v>
      </c>
      <c r="N6" s="161">
        <v>0</v>
      </c>
      <c r="O6" s="162">
        <v>16</v>
      </c>
      <c r="P6" s="162">
        <v>0</v>
      </c>
      <c r="Q6" s="124">
        <f>SUM(D6:P6)</f>
        <v>597</v>
      </c>
      <c r="R6" s="133"/>
      <c r="S6" s="297" t="s">
        <v>36</v>
      </c>
      <c r="T6" s="304" t="s">
        <v>9</v>
      </c>
      <c r="U6" s="19" t="s">
        <v>24</v>
      </c>
      <c r="V6" s="174">
        <v>101</v>
      </c>
      <c r="W6" s="175">
        <v>0</v>
      </c>
      <c r="X6" s="175">
        <v>11</v>
      </c>
      <c r="Y6" s="175">
        <v>23</v>
      </c>
      <c r="Z6" s="175">
        <v>60</v>
      </c>
      <c r="AA6" s="176">
        <v>0</v>
      </c>
      <c r="AB6" s="175">
        <v>110</v>
      </c>
      <c r="AC6" s="175">
        <v>82</v>
      </c>
      <c r="AD6" s="175">
        <v>70</v>
      </c>
      <c r="AE6" s="177">
        <v>0</v>
      </c>
      <c r="AF6" s="176">
        <v>0</v>
      </c>
      <c r="AG6" s="178">
        <v>25</v>
      </c>
      <c r="AH6" s="178">
        <v>0</v>
      </c>
      <c r="AI6" s="124">
        <f>SUM(V6:AH6)</f>
        <v>482</v>
      </c>
      <c r="AJ6" s="133"/>
      <c r="AK6" s="297" t="s">
        <v>36</v>
      </c>
      <c r="AL6" s="304" t="s">
        <v>9</v>
      </c>
      <c r="AM6" s="19" t="s">
        <v>24</v>
      </c>
      <c r="AN6" s="157">
        <v>103</v>
      </c>
      <c r="AO6" s="158">
        <v>0</v>
      </c>
      <c r="AP6" s="159">
        <v>8</v>
      </c>
      <c r="AQ6" s="159">
        <v>9</v>
      </c>
      <c r="AR6" s="159">
        <v>23</v>
      </c>
      <c r="AS6" s="160">
        <v>0</v>
      </c>
      <c r="AT6" s="158">
        <v>133</v>
      </c>
      <c r="AU6" s="159">
        <v>105</v>
      </c>
      <c r="AV6" s="158">
        <v>256</v>
      </c>
      <c r="AW6" s="159">
        <v>72</v>
      </c>
      <c r="AX6" s="161">
        <v>0</v>
      </c>
      <c r="AY6" s="162">
        <v>16</v>
      </c>
      <c r="AZ6" s="162">
        <v>0</v>
      </c>
      <c r="BA6" s="124">
        <f>SUM(AN6:AZ6)</f>
        <v>725</v>
      </c>
      <c r="BB6" s="133"/>
      <c r="BC6" s="297" t="s">
        <v>36</v>
      </c>
      <c r="BD6" s="304" t="s">
        <v>9</v>
      </c>
      <c r="BE6" s="19" t="s">
        <v>24</v>
      </c>
      <c r="BF6" s="157">
        <v>93</v>
      </c>
      <c r="BG6" s="158">
        <v>1</v>
      </c>
      <c r="BH6" s="159">
        <v>9</v>
      </c>
      <c r="BI6" s="159">
        <v>12</v>
      </c>
      <c r="BJ6" s="159">
        <v>25</v>
      </c>
      <c r="BK6" s="160">
        <v>0</v>
      </c>
      <c r="BL6" s="158">
        <v>150</v>
      </c>
      <c r="BM6" s="159">
        <v>100</v>
      </c>
      <c r="BN6" s="158">
        <v>250</v>
      </c>
      <c r="BO6" s="193">
        <v>68</v>
      </c>
      <c r="BP6" s="161">
        <v>0</v>
      </c>
      <c r="BQ6" s="162">
        <v>0</v>
      </c>
      <c r="BR6" s="21">
        <v>0</v>
      </c>
      <c r="BS6" s="124">
        <f>SUM(BF6:BR6)</f>
        <v>708</v>
      </c>
      <c r="BT6" s="133"/>
      <c r="BU6" s="297" t="s">
        <v>36</v>
      </c>
      <c r="BV6" s="304" t="s">
        <v>9</v>
      </c>
      <c r="BW6" s="19" t="s">
        <v>24</v>
      </c>
      <c r="BX6" s="157">
        <v>254</v>
      </c>
      <c r="BY6" s="158">
        <v>0</v>
      </c>
      <c r="BZ6" s="159">
        <v>51</v>
      </c>
      <c r="CA6" s="159">
        <v>55</v>
      </c>
      <c r="CB6" s="159">
        <v>65</v>
      </c>
      <c r="CC6" s="160">
        <v>0</v>
      </c>
      <c r="CD6" s="158">
        <v>312</v>
      </c>
      <c r="CE6" s="159">
        <v>621</v>
      </c>
      <c r="CF6" s="158">
        <v>125</v>
      </c>
      <c r="CG6" s="159">
        <v>201</v>
      </c>
      <c r="CH6" s="161">
        <v>0</v>
      </c>
      <c r="CI6" s="162">
        <v>0</v>
      </c>
      <c r="CJ6" s="162">
        <v>0</v>
      </c>
      <c r="CK6" s="124">
        <f>SUM(BX6:CJ6)</f>
        <v>1684</v>
      </c>
      <c r="CL6" s="133"/>
      <c r="CM6" s="297" t="s">
        <v>36</v>
      </c>
      <c r="CN6" s="304" t="s">
        <v>9</v>
      </c>
      <c r="CO6" s="19" t="s">
        <v>24</v>
      </c>
      <c r="CP6" s="157">
        <v>93</v>
      </c>
      <c r="CQ6" s="158">
        <v>1</v>
      </c>
      <c r="CR6" s="159">
        <v>9</v>
      </c>
      <c r="CS6" s="159">
        <v>12</v>
      </c>
      <c r="CT6" s="159">
        <v>25</v>
      </c>
      <c r="CU6" s="160">
        <v>0</v>
      </c>
      <c r="CV6" s="158">
        <v>150</v>
      </c>
      <c r="CW6" s="159">
        <v>100</v>
      </c>
      <c r="CX6" s="158">
        <v>250</v>
      </c>
      <c r="CY6" s="159">
        <v>68</v>
      </c>
      <c r="CZ6" s="161">
        <v>0</v>
      </c>
      <c r="DA6" s="162">
        <v>36</v>
      </c>
      <c r="DB6" s="162">
        <v>0</v>
      </c>
      <c r="DC6" s="24">
        <f>SUM(CP6:DB6)</f>
        <v>744</v>
      </c>
      <c r="DD6" s="107"/>
      <c r="DE6" s="297" t="s">
        <v>36</v>
      </c>
      <c r="DF6" s="304" t="s">
        <v>9</v>
      </c>
      <c r="DG6" s="19" t="s">
        <v>24</v>
      </c>
      <c r="DH6" s="174">
        <v>95</v>
      </c>
      <c r="DI6" s="175">
        <v>0</v>
      </c>
      <c r="DJ6" s="175">
        <v>10</v>
      </c>
      <c r="DK6" s="175">
        <v>20</v>
      </c>
      <c r="DL6" s="175">
        <v>60</v>
      </c>
      <c r="DM6" s="176">
        <v>0</v>
      </c>
      <c r="DN6" s="175">
        <v>101</v>
      </c>
      <c r="DO6" s="175">
        <v>80</v>
      </c>
      <c r="DP6" s="175">
        <v>70</v>
      </c>
      <c r="DQ6" s="177">
        <v>0</v>
      </c>
      <c r="DR6" s="176">
        <v>0</v>
      </c>
      <c r="DS6" s="178">
        <v>20</v>
      </c>
      <c r="DT6" s="178">
        <v>0</v>
      </c>
      <c r="DU6" s="212">
        <v>597</v>
      </c>
      <c r="DV6" s="107"/>
      <c r="DW6" s="297" t="s">
        <v>36</v>
      </c>
      <c r="DX6" s="304" t="s">
        <v>9</v>
      </c>
      <c r="DY6" s="19" t="s">
        <v>24</v>
      </c>
      <c r="DZ6" s="217">
        <v>93</v>
      </c>
      <c r="EA6" s="218">
        <v>1</v>
      </c>
      <c r="EB6" s="219">
        <v>9</v>
      </c>
      <c r="EC6" s="219">
        <v>12</v>
      </c>
      <c r="ED6" s="219">
        <v>25</v>
      </c>
      <c r="EE6" s="220">
        <v>0</v>
      </c>
      <c r="EF6" s="218">
        <v>150</v>
      </c>
      <c r="EG6" s="219">
        <v>100</v>
      </c>
      <c r="EH6" s="218">
        <v>250</v>
      </c>
      <c r="EI6" s="219">
        <v>68</v>
      </c>
      <c r="EJ6" s="221">
        <v>0</v>
      </c>
      <c r="EK6" s="222">
        <v>36</v>
      </c>
      <c r="EL6" s="222">
        <v>0</v>
      </c>
      <c r="EM6" s="223">
        <f t="shared" ref="EM6:EM7" si="0">SUM(DZ6:EL6)</f>
        <v>744</v>
      </c>
      <c r="EN6" s="107"/>
      <c r="EO6" s="297" t="s">
        <v>36</v>
      </c>
      <c r="EP6" s="304" t="s">
        <v>9</v>
      </c>
      <c r="EQ6" s="19" t="s">
        <v>24</v>
      </c>
      <c r="ER6" s="233">
        <v>95</v>
      </c>
      <c r="ES6" s="234">
        <v>0</v>
      </c>
      <c r="ET6" s="261">
        <v>10</v>
      </c>
      <c r="EU6" s="262">
        <v>20</v>
      </c>
      <c r="EV6" s="263">
        <v>60</v>
      </c>
      <c r="EW6" s="264">
        <v>0</v>
      </c>
      <c r="EX6" s="265">
        <v>101</v>
      </c>
      <c r="EY6" s="239">
        <v>80</v>
      </c>
      <c r="EZ6" s="240">
        <v>70</v>
      </c>
      <c r="FA6" s="241">
        <v>0</v>
      </c>
      <c r="FB6" s="242">
        <v>0</v>
      </c>
      <c r="FC6" s="243">
        <v>20</v>
      </c>
      <c r="FD6" s="243">
        <v>0</v>
      </c>
      <c r="FE6" s="280">
        <f t="shared" ref="FE6:FE7" si="1">SUM(ER6:FD6)</f>
        <v>456</v>
      </c>
      <c r="FF6" s="107"/>
      <c r="FG6" s="297" t="s">
        <v>36</v>
      </c>
      <c r="FH6" s="304" t="s">
        <v>9</v>
      </c>
      <c r="FI6" s="19" t="s">
        <v>24</v>
      </c>
      <c r="FJ6" s="157">
        <v>122</v>
      </c>
      <c r="FK6" s="158">
        <v>0</v>
      </c>
      <c r="FL6" s="159">
        <v>15</v>
      </c>
      <c r="FM6" s="159">
        <v>125</v>
      </c>
      <c r="FN6" s="159">
        <v>15</v>
      </c>
      <c r="FO6" s="160">
        <v>0</v>
      </c>
      <c r="FP6" s="158">
        <v>0</v>
      </c>
      <c r="FQ6" s="159">
        <v>257</v>
      </c>
      <c r="FR6" s="158">
        <v>0</v>
      </c>
      <c r="FS6" s="159">
        <v>37</v>
      </c>
      <c r="FT6" s="161">
        <v>0</v>
      </c>
      <c r="FU6" s="162">
        <v>15</v>
      </c>
      <c r="FV6" s="162">
        <v>0</v>
      </c>
      <c r="FW6" s="209">
        <v>586</v>
      </c>
      <c r="FX6" s="107"/>
      <c r="FY6" s="297" t="s">
        <v>36</v>
      </c>
      <c r="FZ6" s="304" t="s">
        <v>9</v>
      </c>
      <c r="GA6" s="19" t="s">
        <v>24</v>
      </c>
      <c r="GB6" s="8">
        <v>0</v>
      </c>
      <c r="GC6" s="33">
        <v>0</v>
      </c>
      <c r="GD6" s="4">
        <v>0</v>
      </c>
      <c r="GE6" s="5">
        <v>0</v>
      </c>
      <c r="GF6" s="6">
        <v>0</v>
      </c>
      <c r="GG6" s="84">
        <v>0</v>
      </c>
      <c r="GH6" s="7">
        <v>0</v>
      </c>
      <c r="GI6" s="34">
        <v>0</v>
      </c>
      <c r="GJ6" s="9">
        <v>0</v>
      </c>
      <c r="GK6" s="10">
        <v>0</v>
      </c>
      <c r="GL6" s="86">
        <v>0</v>
      </c>
      <c r="GM6" s="21">
        <v>0</v>
      </c>
      <c r="GN6" s="21">
        <v>0</v>
      </c>
      <c r="GO6" s="24">
        <f>SUM(GB6:GN6)</f>
        <v>0</v>
      </c>
      <c r="GP6" s="107"/>
      <c r="GQ6" s="297" t="s">
        <v>36</v>
      </c>
      <c r="GR6" s="304" t="s">
        <v>9</v>
      </c>
      <c r="GS6" s="19" t="s">
        <v>24</v>
      </c>
      <c r="GT6" s="8">
        <v>0</v>
      </c>
      <c r="GU6" s="33">
        <v>0</v>
      </c>
      <c r="GV6" s="4">
        <v>0</v>
      </c>
      <c r="GW6" s="5">
        <v>0</v>
      </c>
      <c r="GX6" s="6">
        <v>0</v>
      </c>
      <c r="GY6" s="84">
        <v>0</v>
      </c>
      <c r="GZ6" s="7">
        <v>0</v>
      </c>
      <c r="HA6" s="34">
        <v>0</v>
      </c>
      <c r="HB6" s="9">
        <v>0</v>
      </c>
      <c r="HC6" s="10">
        <v>0</v>
      </c>
      <c r="HD6" s="86">
        <v>0</v>
      </c>
      <c r="HE6" s="21">
        <v>0</v>
      </c>
      <c r="HF6" s="21">
        <v>0</v>
      </c>
      <c r="HG6" s="24">
        <f>SUM(GT6:HF6)</f>
        <v>0</v>
      </c>
      <c r="HH6" s="107"/>
      <c r="HI6" s="297" t="str">
        <f>GQ6</f>
        <v>الربيع والتوفيق</v>
      </c>
      <c r="HJ6" s="304" t="s">
        <v>9</v>
      </c>
      <c r="HK6" s="19" t="s">
        <v>24</v>
      </c>
      <c r="HL6" s="8">
        <f t="shared" ref="HL6:HL7" si="2">SUM(D6+V6+AN6+BF6+BX6+CP6+DH6+DZ6+ER6+FJ6+GB6+GT6)</f>
        <v>1181</v>
      </c>
      <c r="HM6" s="9">
        <f t="shared" ref="HM6:HM7" si="3">SUM(E6+W6+AO6+BG6+BY6+CQ6+DI6+EA6+ES6+FK6+GC6+GU6)</f>
        <v>3</v>
      </c>
      <c r="HN6" s="34">
        <f t="shared" ref="HN6:HN7" si="4">SUM(F6+X6+AP6+BH6+BZ6+CR6+DJ6+EB6+ET6+FL6+GD6+GV6)</f>
        <v>147</v>
      </c>
      <c r="HO6" s="35">
        <f t="shared" ref="HO6:HO7" si="5">SUM(G6+Y6+AQ6+BI6+CA6+CS6+DK6+EC6+EU6+FM6+GE6+GW6)</f>
        <v>413</v>
      </c>
      <c r="HP6" s="35">
        <f t="shared" ref="HP6:HP7" si="6">SUM(H6+Z6+AR6+BJ6+CB6+CT6+DL6+ED6+EV6+FN6+GF6+GX6)</f>
        <v>373</v>
      </c>
      <c r="HQ6" s="46">
        <f t="shared" ref="HQ6:HQ7" si="7">SUM(I6+AA6+AS6+BK6+CC6+CU6+DM6+EE6+EW6+FO6+GG6+GY6)</f>
        <v>0</v>
      </c>
      <c r="HR6" s="9">
        <f t="shared" ref="HR6:HR7" si="8">SUM(J6+AB6+AT6+BL6+CD6+CV6+DN6+EF6+EX6+FP6+GH6+GZ6)</f>
        <v>1207</v>
      </c>
      <c r="HS6" s="34">
        <f t="shared" ref="HS6:HS7" si="9">SUM(K6+AC6+AU6+BM6+CE6+CW6+DO6+EG6+EY6+FQ6+GI6+HA6)</f>
        <v>1782</v>
      </c>
      <c r="HT6" s="9">
        <f t="shared" ref="HT6:HT7" si="10">SUM(L6+AD6+AV6+BN6+CF6+CX6+DP6+EH6+EZ6+FR6+GJ6+HB6)</f>
        <v>1341</v>
      </c>
      <c r="HU6" s="34">
        <f t="shared" ref="HU6:HU7" si="11">SUM(M6+AE6+AW6+BO6+CG6+CY6+DQ6+EI6+FA6+FS6+GK6+HC6)</f>
        <v>551</v>
      </c>
      <c r="HV6" s="47">
        <f t="shared" ref="HV6:HV7" si="12">SUM(N6+AF6+AX6+BP6+CH6+CZ6+DR6+EJ6+FB6+FT6+GL6+HD6)</f>
        <v>0</v>
      </c>
      <c r="HW6" s="44">
        <f t="shared" ref="HW6:HW7" si="13">SUM(O6+AG6+AY6+BQ6+CI6+DA6+DS6+EK6+FC6+FU6+GM6+HE6)</f>
        <v>184</v>
      </c>
      <c r="HX6" s="44">
        <f t="shared" ref="HX6:HX7" si="14">SUM(P6+AH6+AZ6+BR6+CJ6+DB6+DT6+EL6+FD6+FV6+GN6+HF6)</f>
        <v>0</v>
      </c>
      <c r="HY6" s="38">
        <f>SUM(HL6:HX6)</f>
        <v>7182</v>
      </c>
      <c r="HZ6" s="28"/>
    </row>
    <row r="7" spans="1:234" s="11" customFormat="1" ht="20.100000000000001" customHeight="1" thickBot="1" x14ac:dyDescent="0.3">
      <c r="A7" s="298"/>
      <c r="B7" s="305"/>
      <c r="C7" s="20" t="s">
        <v>25</v>
      </c>
      <c r="D7" s="163">
        <v>144</v>
      </c>
      <c r="E7" s="164">
        <v>0</v>
      </c>
      <c r="F7" s="165">
        <v>27</v>
      </c>
      <c r="G7" s="165">
        <v>156</v>
      </c>
      <c r="H7" s="165">
        <v>27</v>
      </c>
      <c r="I7" s="165">
        <v>0</v>
      </c>
      <c r="J7" s="164">
        <v>0</v>
      </c>
      <c r="K7" s="165">
        <v>261</v>
      </c>
      <c r="L7" s="164">
        <v>0</v>
      </c>
      <c r="M7" s="165">
        <v>71</v>
      </c>
      <c r="N7" s="164">
        <v>56</v>
      </c>
      <c r="O7" s="166">
        <v>8</v>
      </c>
      <c r="P7" s="166">
        <v>0</v>
      </c>
      <c r="Q7" s="125">
        <f>SUM(D7:P7)</f>
        <v>750</v>
      </c>
      <c r="R7" s="133"/>
      <c r="S7" s="298"/>
      <c r="T7" s="305"/>
      <c r="U7" s="20" t="s">
        <v>25</v>
      </c>
      <c r="V7" s="180">
        <v>85</v>
      </c>
      <c r="W7" s="181">
        <v>0</v>
      </c>
      <c r="X7" s="181">
        <v>26</v>
      </c>
      <c r="Y7" s="181">
        <v>48</v>
      </c>
      <c r="Z7" s="181">
        <v>82</v>
      </c>
      <c r="AA7" s="181">
        <v>0</v>
      </c>
      <c r="AB7" s="181">
        <v>122</v>
      </c>
      <c r="AC7" s="181">
        <v>90</v>
      </c>
      <c r="AD7" s="181">
        <v>99</v>
      </c>
      <c r="AE7" s="182">
        <v>0</v>
      </c>
      <c r="AF7" s="181">
        <v>80</v>
      </c>
      <c r="AG7" s="183">
        <v>39</v>
      </c>
      <c r="AH7" s="183">
        <v>0</v>
      </c>
      <c r="AI7" s="125">
        <f>SUM(V7:AH7)</f>
        <v>671</v>
      </c>
      <c r="AJ7" s="133"/>
      <c r="AK7" s="298"/>
      <c r="AL7" s="305"/>
      <c r="AM7" s="20" t="s">
        <v>25</v>
      </c>
      <c r="AN7" s="163">
        <v>116</v>
      </c>
      <c r="AO7" s="164">
        <v>0</v>
      </c>
      <c r="AP7" s="165">
        <v>48</v>
      </c>
      <c r="AQ7" s="165">
        <v>16</v>
      </c>
      <c r="AR7" s="165">
        <v>58</v>
      </c>
      <c r="AS7" s="165">
        <v>0</v>
      </c>
      <c r="AT7" s="164">
        <v>128</v>
      </c>
      <c r="AU7" s="165">
        <v>126</v>
      </c>
      <c r="AV7" s="164">
        <v>313</v>
      </c>
      <c r="AW7" s="165">
        <v>123</v>
      </c>
      <c r="AX7" s="164">
        <v>66</v>
      </c>
      <c r="AY7" s="166">
        <v>54</v>
      </c>
      <c r="AZ7" s="166">
        <v>0</v>
      </c>
      <c r="BA7" s="125">
        <f>SUM(AN7:AZ7)</f>
        <v>1048</v>
      </c>
      <c r="BB7" s="133"/>
      <c r="BC7" s="298"/>
      <c r="BD7" s="305"/>
      <c r="BE7" s="20" t="s">
        <v>25</v>
      </c>
      <c r="BF7" s="163">
        <v>112</v>
      </c>
      <c r="BG7" s="164">
        <v>3</v>
      </c>
      <c r="BH7" s="165">
        <v>64</v>
      </c>
      <c r="BI7" s="165">
        <v>21</v>
      </c>
      <c r="BJ7" s="165">
        <v>66</v>
      </c>
      <c r="BK7" s="165">
        <v>0</v>
      </c>
      <c r="BL7" s="164">
        <v>120</v>
      </c>
      <c r="BM7" s="165">
        <v>135</v>
      </c>
      <c r="BN7" s="164">
        <v>300</v>
      </c>
      <c r="BO7" s="194">
        <v>119</v>
      </c>
      <c r="BP7" s="164">
        <v>0</v>
      </c>
      <c r="BQ7" s="166">
        <v>83</v>
      </c>
      <c r="BR7" s="22">
        <v>0</v>
      </c>
      <c r="BS7" s="125">
        <f>SUM(BF7:BR7)</f>
        <v>1023</v>
      </c>
      <c r="BT7" s="133"/>
      <c r="BU7" s="298"/>
      <c r="BV7" s="305"/>
      <c r="BW7" s="20" t="s">
        <v>25</v>
      </c>
      <c r="BX7" s="163">
        <v>371</v>
      </c>
      <c r="BY7" s="164">
        <v>0</v>
      </c>
      <c r="BZ7" s="165">
        <v>201</v>
      </c>
      <c r="CA7" s="165">
        <v>101</v>
      </c>
      <c r="CB7" s="165">
        <v>122</v>
      </c>
      <c r="CC7" s="165">
        <v>0</v>
      </c>
      <c r="CD7" s="164">
        <v>451</v>
      </c>
      <c r="CE7" s="165">
        <v>701</v>
      </c>
      <c r="CF7" s="164">
        <v>202</v>
      </c>
      <c r="CG7" s="165">
        <v>335</v>
      </c>
      <c r="CH7" s="164">
        <v>98</v>
      </c>
      <c r="CI7" s="166">
        <v>0</v>
      </c>
      <c r="CJ7" s="166">
        <v>0</v>
      </c>
      <c r="CK7" s="125">
        <f>SUM(BX7:CJ7)</f>
        <v>2582</v>
      </c>
      <c r="CL7" s="133"/>
      <c r="CM7" s="298"/>
      <c r="CN7" s="305"/>
      <c r="CO7" s="20" t="s">
        <v>25</v>
      </c>
      <c r="CP7" s="163">
        <v>112</v>
      </c>
      <c r="CQ7" s="164">
        <v>3</v>
      </c>
      <c r="CR7" s="165">
        <v>64</v>
      </c>
      <c r="CS7" s="165">
        <v>21</v>
      </c>
      <c r="CT7" s="165">
        <v>66</v>
      </c>
      <c r="CU7" s="165">
        <v>0</v>
      </c>
      <c r="CV7" s="164">
        <v>120</v>
      </c>
      <c r="CW7" s="165">
        <v>135</v>
      </c>
      <c r="CX7" s="164">
        <v>300</v>
      </c>
      <c r="CY7" s="165">
        <v>119</v>
      </c>
      <c r="CZ7" s="164">
        <v>83</v>
      </c>
      <c r="DA7" s="166">
        <v>57</v>
      </c>
      <c r="DB7" s="166">
        <v>0</v>
      </c>
      <c r="DC7" s="25">
        <f>SUM(CP7:DB7)</f>
        <v>1080</v>
      </c>
      <c r="DD7" s="107"/>
      <c r="DE7" s="298"/>
      <c r="DF7" s="305"/>
      <c r="DG7" s="20" t="s">
        <v>25</v>
      </c>
      <c r="DH7" s="180">
        <v>80</v>
      </c>
      <c r="DI7" s="181">
        <v>0</v>
      </c>
      <c r="DJ7" s="181">
        <v>23</v>
      </c>
      <c r="DK7" s="181">
        <v>44</v>
      </c>
      <c r="DL7" s="181">
        <v>82</v>
      </c>
      <c r="DM7" s="181">
        <v>0</v>
      </c>
      <c r="DN7" s="181">
        <v>121</v>
      </c>
      <c r="DO7" s="181">
        <v>86</v>
      </c>
      <c r="DP7" s="181">
        <v>99</v>
      </c>
      <c r="DQ7" s="182">
        <v>0</v>
      </c>
      <c r="DR7" s="181">
        <v>70</v>
      </c>
      <c r="DS7" s="183">
        <v>35</v>
      </c>
      <c r="DT7" s="183">
        <v>0</v>
      </c>
      <c r="DU7" s="202">
        <v>750</v>
      </c>
      <c r="DV7" s="107"/>
      <c r="DW7" s="298"/>
      <c r="DX7" s="305"/>
      <c r="DY7" s="20" t="s">
        <v>25</v>
      </c>
      <c r="DZ7" s="224">
        <v>112</v>
      </c>
      <c r="EA7" s="225">
        <v>3</v>
      </c>
      <c r="EB7" s="226">
        <v>64</v>
      </c>
      <c r="EC7" s="226">
        <v>21</v>
      </c>
      <c r="ED7" s="226">
        <v>66</v>
      </c>
      <c r="EE7" s="226">
        <v>0</v>
      </c>
      <c r="EF7" s="225">
        <v>120</v>
      </c>
      <c r="EG7" s="226">
        <v>135</v>
      </c>
      <c r="EH7" s="225">
        <v>300</v>
      </c>
      <c r="EI7" s="226">
        <v>119</v>
      </c>
      <c r="EJ7" s="225">
        <v>83</v>
      </c>
      <c r="EK7" s="227">
        <v>57</v>
      </c>
      <c r="EL7" s="227">
        <v>0</v>
      </c>
      <c r="EM7" s="228">
        <f t="shared" si="0"/>
        <v>1080</v>
      </c>
      <c r="EN7" s="107"/>
      <c r="EO7" s="298"/>
      <c r="EP7" s="305"/>
      <c r="EQ7" s="20" t="s">
        <v>25</v>
      </c>
      <c r="ER7" s="244">
        <v>80</v>
      </c>
      <c r="ES7" s="245">
        <v>0</v>
      </c>
      <c r="ET7" s="244">
        <v>23</v>
      </c>
      <c r="EU7" s="246">
        <v>44</v>
      </c>
      <c r="EV7" s="247">
        <v>82</v>
      </c>
      <c r="EW7" s="247">
        <v>0</v>
      </c>
      <c r="EX7" s="248">
        <v>121</v>
      </c>
      <c r="EY7" s="249">
        <v>86</v>
      </c>
      <c r="EZ7" s="250">
        <v>99</v>
      </c>
      <c r="FA7" s="249">
        <v>0</v>
      </c>
      <c r="FB7" s="245">
        <v>70</v>
      </c>
      <c r="FC7" s="251">
        <v>35</v>
      </c>
      <c r="FD7" s="251">
        <v>0</v>
      </c>
      <c r="FE7" s="281">
        <f t="shared" si="1"/>
        <v>640</v>
      </c>
      <c r="FF7" s="107"/>
      <c r="FG7" s="298"/>
      <c r="FH7" s="305"/>
      <c r="FI7" s="20" t="s">
        <v>25</v>
      </c>
      <c r="FJ7" s="163">
        <v>142</v>
      </c>
      <c r="FK7" s="164">
        <v>0</v>
      </c>
      <c r="FL7" s="165">
        <v>27</v>
      </c>
      <c r="FM7" s="165">
        <v>156</v>
      </c>
      <c r="FN7" s="165">
        <v>27</v>
      </c>
      <c r="FO7" s="165">
        <v>0</v>
      </c>
      <c r="FP7" s="164">
        <v>0</v>
      </c>
      <c r="FQ7" s="165">
        <v>261</v>
      </c>
      <c r="FR7" s="164">
        <v>0</v>
      </c>
      <c r="FS7" s="165">
        <v>71</v>
      </c>
      <c r="FT7" s="164">
        <v>56</v>
      </c>
      <c r="FU7" s="166">
        <v>7</v>
      </c>
      <c r="FV7" s="166">
        <v>0</v>
      </c>
      <c r="FW7" s="167">
        <v>747</v>
      </c>
      <c r="FX7" s="107"/>
      <c r="FY7" s="298"/>
      <c r="FZ7" s="305"/>
      <c r="GA7" s="20" t="s">
        <v>25</v>
      </c>
      <c r="GB7" s="12">
        <v>0</v>
      </c>
      <c r="GC7" s="18">
        <v>0</v>
      </c>
      <c r="GD7" s="12">
        <v>0</v>
      </c>
      <c r="GE7" s="13">
        <v>0</v>
      </c>
      <c r="GF7" s="15">
        <v>0</v>
      </c>
      <c r="GG7" s="15">
        <v>0</v>
      </c>
      <c r="GH7" s="16">
        <v>0</v>
      </c>
      <c r="GI7" s="17">
        <v>0</v>
      </c>
      <c r="GJ7" s="14">
        <v>0</v>
      </c>
      <c r="GK7" s="17">
        <v>0</v>
      </c>
      <c r="GL7" s="18">
        <v>0</v>
      </c>
      <c r="GM7" s="22">
        <v>0</v>
      </c>
      <c r="GN7" s="22">
        <v>0</v>
      </c>
      <c r="GO7" s="25">
        <f>SUM(GB7:GN7)</f>
        <v>0</v>
      </c>
      <c r="GP7" s="107"/>
      <c r="GQ7" s="298"/>
      <c r="GR7" s="305"/>
      <c r="GS7" s="20" t="s">
        <v>25</v>
      </c>
      <c r="GT7" s="12">
        <v>0</v>
      </c>
      <c r="GU7" s="18">
        <v>0</v>
      </c>
      <c r="GV7" s="12">
        <v>0</v>
      </c>
      <c r="GW7" s="13">
        <v>0</v>
      </c>
      <c r="GX7" s="15">
        <v>0</v>
      </c>
      <c r="GY7" s="15">
        <v>0</v>
      </c>
      <c r="GZ7" s="16">
        <v>0</v>
      </c>
      <c r="HA7" s="17">
        <v>0</v>
      </c>
      <c r="HB7" s="14">
        <v>0</v>
      </c>
      <c r="HC7" s="17">
        <v>0</v>
      </c>
      <c r="HD7" s="18">
        <v>0</v>
      </c>
      <c r="HE7" s="22">
        <v>0</v>
      </c>
      <c r="HF7" s="22">
        <v>0</v>
      </c>
      <c r="HG7" s="25">
        <f>SUM(GT7:HF7)</f>
        <v>0</v>
      </c>
      <c r="HH7" s="107"/>
      <c r="HI7" s="298"/>
      <c r="HJ7" s="305"/>
      <c r="HK7" s="20" t="s">
        <v>25</v>
      </c>
      <c r="HL7" s="12">
        <f t="shared" si="2"/>
        <v>1354</v>
      </c>
      <c r="HM7" s="14">
        <f t="shared" si="3"/>
        <v>9</v>
      </c>
      <c r="HN7" s="17">
        <f t="shared" si="4"/>
        <v>567</v>
      </c>
      <c r="HO7" s="13">
        <f t="shared" si="5"/>
        <v>628</v>
      </c>
      <c r="HP7" s="13">
        <f t="shared" si="6"/>
        <v>678</v>
      </c>
      <c r="HQ7" s="13">
        <f t="shared" si="7"/>
        <v>0</v>
      </c>
      <c r="HR7" s="14">
        <f t="shared" si="8"/>
        <v>1303</v>
      </c>
      <c r="HS7" s="17">
        <f t="shared" si="9"/>
        <v>2016</v>
      </c>
      <c r="HT7" s="14">
        <f t="shared" si="10"/>
        <v>1712</v>
      </c>
      <c r="HU7" s="17">
        <f t="shared" si="11"/>
        <v>957</v>
      </c>
      <c r="HV7" s="14">
        <f t="shared" si="12"/>
        <v>662</v>
      </c>
      <c r="HW7" s="45">
        <f t="shared" si="13"/>
        <v>375</v>
      </c>
      <c r="HX7" s="45">
        <f t="shared" si="14"/>
        <v>0</v>
      </c>
      <c r="HY7" s="39">
        <f>SUM(HL7:HX7)</f>
        <v>10261</v>
      </c>
      <c r="HZ7" s="28"/>
    </row>
    <row r="8" spans="1:234" s="11" customFormat="1" ht="20.100000000000001" customHeight="1" thickTop="1" thickBot="1" x14ac:dyDescent="0.25">
      <c r="A8" s="298"/>
      <c r="B8" s="295" t="s">
        <v>26</v>
      </c>
      <c r="C8" s="296"/>
      <c r="D8" s="375">
        <v>276</v>
      </c>
      <c r="E8" s="377"/>
      <c r="F8" s="375">
        <v>365</v>
      </c>
      <c r="G8" s="376"/>
      <c r="H8" s="376"/>
      <c r="I8" s="376"/>
      <c r="J8" s="377"/>
      <c r="K8" s="375">
        <v>518</v>
      </c>
      <c r="L8" s="377"/>
      <c r="M8" s="375">
        <v>164</v>
      </c>
      <c r="N8" s="377"/>
      <c r="O8" s="167">
        <v>24</v>
      </c>
      <c r="P8" s="167">
        <v>0</v>
      </c>
      <c r="Q8" s="126">
        <f>SUM(Q6:Q7)</f>
        <v>1347</v>
      </c>
      <c r="R8" s="133"/>
      <c r="S8" s="298"/>
      <c r="T8" s="295" t="s">
        <v>26</v>
      </c>
      <c r="U8" s="296"/>
      <c r="V8" s="375">
        <v>186</v>
      </c>
      <c r="W8" s="377"/>
      <c r="X8" s="375">
        <v>482</v>
      </c>
      <c r="Y8" s="376"/>
      <c r="Z8" s="376"/>
      <c r="AA8" s="376"/>
      <c r="AB8" s="377"/>
      <c r="AC8" s="375">
        <v>341</v>
      </c>
      <c r="AD8" s="377"/>
      <c r="AE8" s="375">
        <v>80</v>
      </c>
      <c r="AF8" s="377"/>
      <c r="AG8" s="167">
        <v>64</v>
      </c>
      <c r="AH8" s="167">
        <v>0</v>
      </c>
      <c r="AI8" s="126">
        <f>SUM(AI6:AI7)</f>
        <v>1153</v>
      </c>
      <c r="AJ8" s="133"/>
      <c r="AK8" s="298"/>
      <c r="AL8" s="295" t="s">
        <v>26</v>
      </c>
      <c r="AM8" s="296"/>
      <c r="AN8" s="375">
        <v>219</v>
      </c>
      <c r="AO8" s="377"/>
      <c r="AP8" s="375">
        <v>423</v>
      </c>
      <c r="AQ8" s="376"/>
      <c r="AR8" s="376"/>
      <c r="AS8" s="376"/>
      <c r="AT8" s="377"/>
      <c r="AU8" s="375">
        <v>800</v>
      </c>
      <c r="AV8" s="377"/>
      <c r="AW8" s="375">
        <v>261</v>
      </c>
      <c r="AX8" s="377"/>
      <c r="AY8" s="167">
        <v>70</v>
      </c>
      <c r="AZ8" s="167">
        <v>0</v>
      </c>
      <c r="BA8" s="126">
        <f>SUM(BA6:BA7)</f>
        <v>1773</v>
      </c>
      <c r="BB8" s="133"/>
      <c r="BC8" s="298"/>
      <c r="BD8" s="295" t="s">
        <v>26</v>
      </c>
      <c r="BE8" s="296"/>
      <c r="BF8" s="375">
        <v>209</v>
      </c>
      <c r="BG8" s="377"/>
      <c r="BH8" s="375">
        <v>467</v>
      </c>
      <c r="BI8" s="376"/>
      <c r="BJ8" s="376"/>
      <c r="BK8" s="376"/>
      <c r="BL8" s="377"/>
      <c r="BM8" s="375">
        <v>785</v>
      </c>
      <c r="BN8" s="386"/>
      <c r="BO8" s="195">
        <v>187</v>
      </c>
      <c r="BP8" s="196"/>
      <c r="BQ8" s="167">
        <v>83</v>
      </c>
      <c r="BR8" s="94">
        <f>SUM(BR6:BR7)</f>
        <v>0</v>
      </c>
      <c r="BS8" s="126">
        <f>SUM(BS6:BS7)</f>
        <v>1731</v>
      </c>
      <c r="BT8" s="133"/>
      <c r="BU8" s="298"/>
      <c r="BV8" s="295" t="s">
        <v>26</v>
      </c>
      <c r="BW8" s="296"/>
      <c r="BX8" s="375">
        <v>625</v>
      </c>
      <c r="BY8" s="377"/>
      <c r="BZ8" s="375">
        <v>1358</v>
      </c>
      <c r="CA8" s="376"/>
      <c r="CB8" s="376"/>
      <c r="CC8" s="376"/>
      <c r="CD8" s="377"/>
      <c r="CE8" s="375">
        <v>1649</v>
      </c>
      <c r="CF8" s="377"/>
      <c r="CG8" s="375">
        <v>634</v>
      </c>
      <c r="CH8" s="377"/>
      <c r="CI8" s="167">
        <v>0</v>
      </c>
      <c r="CJ8" s="167">
        <v>0</v>
      </c>
      <c r="CK8" s="126">
        <f>SUM(CK6:CK7)</f>
        <v>4266</v>
      </c>
      <c r="CL8" s="133"/>
      <c r="CM8" s="298"/>
      <c r="CN8" s="295" t="s">
        <v>26</v>
      </c>
      <c r="CO8" s="296"/>
      <c r="CP8" s="375">
        <v>209</v>
      </c>
      <c r="CQ8" s="377"/>
      <c r="CR8" s="375">
        <v>467</v>
      </c>
      <c r="CS8" s="376"/>
      <c r="CT8" s="376"/>
      <c r="CU8" s="376"/>
      <c r="CV8" s="377"/>
      <c r="CW8" s="375">
        <v>785</v>
      </c>
      <c r="CX8" s="377"/>
      <c r="CY8" s="375">
        <v>270</v>
      </c>
      <c r="CZ8" s="377"/>
      <c r="DA8" s="167">
        <v>93</v>
      </c>
      <c r="DB8" s="167">
        <v>0</v>
      </c>
      <c r="DC8" s="26">
        <f>SUM(DC6:DC7)</f>
        <v>1824</v>
      </c>
      <c r="DD8" s="107"/>
      <c r="DE8" s="298"/>
      <c r="DF8" s="295" t="s">
        <v>26</v>
      </c>
      <c r="DG8" s="296"/>
      <c r="DH8" s="375">
        <v>175</v>
      </c>
      <c r="DI8" s="377"/>
      <c r="DJ8" s="375">
        <v>461</v>
      </c>
      <c r="DK8" s="376"/>
      <c r="DL8" s="376"/>
      <c r="DM8" s="376"/>
      <c r="DN8" s="377"/>
      <c r="DO8" s="375">
        <v>335</v>
      </c>
      <c r="DP8" s="377"/>
      <c r="DQ8" s="375">
        <v>70</v>
      </c>
      <c r="DR8" s="377"/>
      <c r="DS8" s="167">
        <v>55</v>
      </c>
      <c r="DT8" s="167">
        <v>0</v>
      </c>
      <c r="DU8" s="210">
        <v>1347</v>
      </c>
      <c r="DV8" s="107"/>
      <c r="DW8" s="298"/>
      <c r="DX8" s="295" t="s">
        <v>26</v>
      </c>
      <c r="DY8" s="296"/>
      <c r="DZ8" s="359">
        <f>SUM(DZ6:EA7)</f>
        <v>209</v>
      </c>
      <c r="EA8" s="361"/>
      <c r="EB8" s="359">
        <f>SUM(EB6:EF7)</f>
        <v>467</v>
      </c>
      <c r="EC8" s="360"/>
      <c r="ED8" s="360"/>
      <c r="EE8" s="360"/>
      <c r="EF8" s="361"/>
      <c r="EG8" s="359">
        <f>SUM(EG6:EH7)</f>
        <v>785</v>
      </c>
      <c r="EH8" s="361"/>
      <c r="EI8" s="359">
        <f>SUM(EI6:EJ7)</f>
        <v>270</v>
      </c>
      <c r="EJ8" s="361"/>
      <c r="EK8" s="229">
        <f t="shared" ref="EK8:EM8" si="15">SUM(EK6:EK7)</f>
        <v>93</v>
      </c>
      <c r="EL8" s="229">
        <f t="shared" si="15"/>
        <v>0</v>
      </c>
      <c r="EM8" s="230">
        <f t="shared" si="15"/>
        <v>1824</v>
      </c>
      <c r="EN8" s="107"/>
      <c r="EO8" s="298"/>
      <c r="EP8" s="295" t="s">
        <v>26</v>
      </c>
      <c r="EQ8" s="296"/>
      <c r="ER8" s="359">
        <f>SUM(ER6:ES7)</f>
        <v>175</v>
      </c>
      <c r="ES8" s="361"/>
      <c r="ET8" s="359">
        <f>SUM(ET6:EX7)</f>
        <v>461</v>
      </c>
      <c r="EU8" s="360"/>
      <c r="EV8" s="360"/>
      <c r="EW8" s="360"/>
      <c r="EX8" s="361"/>
      <c r="EY8" s="359">
        <f>SUM(EY6:EZ7)</f>
        <v>335</v>
      </c>
      <c r="EZ8" s="361"/>
      <c r="FA8" s="359">
        <f>SUM(FA6:FB7)</f>
        <v>70</v>
      </c>
      <c r="FB8" s="361"/>
      <c r="FC8" s="229">
        <f t="shared" ref="FC8:FE8" si="16">SUM(FC6:FC7)</f>
        <v>55</v>
      </c>
      <c r="FD8" s="229">
        <f t="shared" si="16"/>
        <v>0</v>
      </c>
      <c r="FE8" s="282">
        <f t="shared" si="16"/>
        <v>1096</v>
      </c>
      <c r="FF8" s="107"/>
      <c r="FG8" s="298"/>
      <c r="FH8" s="295" t="s">
        <v>26</v>
      </c>
      <c r="FI8" s="296"/>
      <c r="FJ8" s="375">
        <v>264</v>
      </c>
      <c r="FK8" s="377"/>
      <c r="FL8" s="375">
        <v>365</v>
      </c>
      <c r="FM8" s="376"/>
      <c r="FN8" s="376"/>
      <c r="FO8" s="376"/>
      <c r="FP8" s="377"/>
      <c r="FQ8" s="375">
        <v>518</v>
      </c>
      <c r="FR8" s="377"/>
      <c r="FS8" s="375">
        <v>164</v>
      </c>
      <c r="FT8" s="377"/>
      <c r="FU8" s="167">
        <v>22</v>
      </c>
      <c r="FV8" s="167">
        <v>0</v>
      </c>
      <c r="FW8" s="210">
        <v>1333</v>
      </c>
      <c r="FX8" s="107"/>
      <c r="FY8" s="298"/>
      <c r="FZ8" s="295" t="s">
        <v>26</v>
      </c>
      <c r="GA8" s="296"/>
      <c r="GB8" s="306">
        <f>SUM(GB6:GC7)</f>
        <v>0</v>
      </c>
      <c r="GC8" s="307"/>
      <c r="GD8" s="306">
        <f>SUM(GD6:GH7)</f>
        <v>0</v>
      </c>
      <c r="GE8" s="368"/>
      <c r="GF8" s="368"/>
      <c r="GG8" s="368"/>
      <c r="GH8" s="307"/>
      <c r="GI8" s="306">
        <f>SUM(GI6:GJ7)</f>
        <v>0</v>
      </c>
      <c r="GJ8" s="307"/>
      <c r="GK8" s="306">
        <f>SUM(GK6:GL7)</f>
        <v>0</v>
      </c>
      <c r="GL8" s="307"/>
      <c r="GM8" s="94">
        <f>SUM(GM6:GM7)</f>
        <v>0</v>
      </c>
      <c r="GN8" s="94">
        <f>SUM(GN6:GN7)</f>
        <v>0</v>
      </c>
      <c r="GO8" s="26">
        <f>SUM(GO6:GO7)</f>
        <v>0</v>
      </c>
      <c r="GP8" s="107"/>
      <c r="GQ8" s="298"/>
      <c r="GR8" s="295" t="s">
        <v>26</v>
      </c>
      <c r="GS8" s="296"/>
      <c r="GT8" s="306">
        <f>SUM(GT6:GU7)</f>
        <v>0</v>
      </c>
      <c r="GU8" s="307"/>
      <c r="GV8" s="306">
        <f>SUM(GV6:GZ7)</f>
        <v>0</v>
      </c>
      <c r="GW8" s="368"/>
      <c r="GX8" s="368"/>
      <c r="GY8" s="368"/>
      <c r="GZ8" s="307"/>
      <c r="HA8" s="306">
        <f>SUM(HA6:HB7)</f>
        <v>0</v>
      </c>
      <c r="HB8" s="307"/>
      <c r="HC8" s="306">
        <f>SUM(HC6:HD7)</f>
        <v>0</v>
      </c>
      <c r="HD8" s="307"/>
      <c r="HE8" s="94">
        <f>SUM(HE6:HE7)</f>
        <v>0</v>
      </c>
      <c r="HF8" s="94">
        <f>SUM(HF6:HF7)</f>
        <v>0</v>
      </c>
      <c r="HG8" s="26">
        <f>SUM(HG6:HG7)</f>
        <v>0</v>
      </c>
      <c r="HH8" s="107"/>
      <c r="HI8" s="298"/>
      <c r="HJ8" s="295" t="s">
        <v>26</v>
      </c>
      <c r="HK8" s="313"/>
      <c r="HL8" s="306">
        <f>SUM(HL6:HM7)</f>
        <v>2547</v>
      </c>
      <c r="HM8" s="307"/>
      <c r="HN8" s="306">
        <f>SUM(HN6:HR7)</f>
        <v>5316</v>
      </c>
      <c r="HO8" s="368"/>
      <c r="HP8" s="368"/>
      <c r="HQ8" s="368"/>
      <c r="HR8" s="307"/>
      <c r="HS8" s="306">
        <f>SUM(HS6:HT7)</f>
        <v>6851</v>
      </c>
      <c r="HT8" s="307"/>
      <c r="HU8" s="306">
        <f>SUM(HU6:HV7)</f>
        <v>2170</v>
      </c>
      <c r="HV8" s="307"/>
      <c r="HW8" s="43">
        <f>SUM(HW6:HW7)</f>
        <v>559</v>
      </c>
      <c r="HX8" s="43">
        <f>SUM(HX6:HX7)</f>
        <v>0</v>
      </c>
      <c r="HY8" s="26">
        <f>SUM(HY6:HY7)</f>
        <v>17443</v>
      </c>
      <c r="HZ8" s="28"/>
    </row>
    <row r="9" spans="1:234" s="11" customFormat="1" ht="20.100000000000001" customHeight="1" thickTop="1" thickBot="1" x14ac:dyDescent="0.3">
      <c r="A9" s="298"/>
      <c r="B9" s="311" t="s">
        <v>27</v>
      </c>
      <c r="C9" s="19" t="s">
        <v>24</v>
      </c>
      <c r="D9" s="168">
        <v>1</v>
      </c>
      <c r="E9" s="169">
        <v>0</v>
      </c>
      <c r="F9" s="170">
        <v>0</v>
      </c>
      <c r="G9" s="170">
        <v>0</v>
      </c>
      <c r="H9" s="170">
        <v>2</v>
      </c>
      <c r="I9" s="171">
        <v>0</v>
      </c>
      <c r="J9" s="169">
        <v>0</v>
      </c>
      <c r="K9" s="170">
        <v>0</v>
      </c>
      <c r="L9" s="169">
        <v>0</v>
      </c>
      <c r="M9" s="170">
        <v>0</v>
      </c>
      <c r="N9" s="172">
        <v>0</v>
      </c>
      <c r="O9" s="173">
        <v>5</v>
      </c>
      <c r="P9" s="173">
        <v>0</v>
      </c>
      <c r="Q9" s="124">
        <f>SUM(D9:P9)</f>
        <v>8</v>
      </c>
      <c r="R9" s="133"/>
      <c r="S9" s="298"/>
      <c r="T9" s="311" t="s">
        <v>27</v>
      </c>
      <c r="U9" s="19" t="s">
        <v>24</v>
      </c>
      <c r="V9" s="185">
        <v>20</v>
      </c>
      <c r="W9" s="186">
        <v>0</v>
      </c>
      <c r="X9" s="186">
        <v>2</v>
      </c>
      <c r="Y9" s="186">
        <v>7</v>
      </c>
      <c r="Z9" s="186">
        <v>10</v>
      </c>
      <c r="AA9" s="187">
        <v>0</v>
      </c>
      <c r="AB9" s="186">
        <v>22</v>
      </c>
      <c r="AC9" s="186">
        <v>30</v>
      </c>
      <c r="AD9" s="186">
        <v>20</v>
      </c>
      <c r="AE9" s="188">
        <v>0</v>
      </c>
      <c r="AF9" s="187">
        <v>0</v>
      </c>
      <c r="AG9" s="189">
        <v>6</v>
      </c>
      <c r="AH9" s="189">
        <v>0</v>
      </c>
      <c r="AI9" s="124">
        <f>SUM(V9:AH9)</f>
        <v>117</v>
      </c>
      <c r="AJ9" s="133"/>
      <c r="AK9" s="298"/>
      <c r="AL9" s="311" t="s">
        <v>27</v>
      </c>
      <c r="AM9" s="19" t="s">
        <v>24</v>
      </c>
      <c r="AN9" s="168">
        <v>58</v>
      </c>
      <c r="AO9" s="169">
        <v>0</v>
      </c>
      <c r="AP9" s="170">
        <v>4</v>
      </c>
      <c r="AQ9" s="170">
        <v>1</v>
      </c>
      <c r="AR9" s="170">
        <v>3</v>
      </c>
      <c r="AS9" s="171">
        <v>0</v>
      </c>
      <c r="AT9" s="169">
        <v>108</v>
      </c>
      <c r="AU9" s="170">
        <v>116</v>
      </c>
      <c r="AV9" s="169">
        <v>88</v>
      </c>
      <c r="AW9" s="170">
        <v>36</v>
      </c>
      <c r="AX9" s="172">
        <v>0</v>
      </c>
      <c r="AY9" s="173">
        <v>22</v>
      </c>
      <c r="AZ9" s="173">
        <v>0</v>
      </c>
      <c r="BA9" s="124">
        <f>SUM(AN9:AZ9)</f>
        <v>436</v>
      </c>
      <c r="BB9" s="133"/>
      <c r="BC9" s="298"/>
      <c r="BD9" s="311" t="s">
        <v>27</v>
      </c>
      <c r="BE9" s="19" t="s">
        <v>24</v>
      </c>
      <c r="BF9" s="168">
        <v>52</v>
      </c>
      <c r="BG9" s="169">
        <v>1</v>
      </c>
      <c r="BH9" s="170">
        <v>6</v>
      </c>
      <c r="BI9" s="170">
        <v>3</v>
      </c>
      <c r="BJ9" s="170">
        <v>7</v>
      </c>
      <c r="BK9" s="171">
        <v>0</v>
      </c>
      <c r="BL9" s="169">
        <v>102</v>
      </c>
      <c r="BM9" s="170">
        <v>95</v>
      </c>
      <c r="BN9" s="169">
        <v>65</v>
      </c>
      <c r="BO9" s="197">
        <v>35</v>
      </c>
      <c r="BP9" s="172">
        <v>0</v>
      </c>
      <c r="BQ9" s="173">
        <v>0</v>
      </c>
      <c r="BR9" s="21">
        <v>0</v>
      </c>
      <c r="BS9" s="124">
        <f>SUM(BF9:BR9)</f>
        <v>366</v>
      </c>
      <c r="BT9" s="133"/>
      <c r="BU9" s="298"/>
      <c r="BV9" s="311" t="s">
        <v>27</v>
      </c>
      <c r="BW9" s="19" t="s">
        <v>24</v>
      </c>
      <c r="BX9" s="168">
        <v>90</v>
      </c>
      <c r="BY9" s="169">
        <v>0</v>
      </c>
      <c r="BZ9" s="170">
        <v>51</v>
      </c>
      <c r="CA9" s="170">
        <v>41</v>
      </c>
      <c r="CB9" s="170">
        <v>121</v>
      </c>
      <c r="CC9" s="171">
        <v>0</v>
      </c>
      <c r="CD9" s="169">
        <v>88</v>
      </c>
      <c r="CE9" s="170">
        <v>102</v>
      </c>
      <c r="CF9" s="169">
        <v>128</v>
      </c>
      <c r="CG9" s="170">
        <v>95</v>
      </c>
      <c r="CH9" s="172">
        <v>0</v>
      </c>
      <c r="CI9" s="173">
        <v>0</v>
      </c>
      <c r="CJ9" s="173">
        <v>0</v>
      </c>
      <c r="CK9" s="124">
        <f>SUM(BX9:CJ9)</f>
        <v>716</v>
      </c>
      <c r="CL9" s="133"/>
      <c r="CM9" s="298"/>
      <c r="CN9" s="311" t="s">
        <v>27</v>
      </c>
      <c r="CO9" s="19" t="s">
        <v>24</v>
      </c>
      <c r="CP9" s="168">
        <v>52</v>
      </c>
      <c r="CQ9" s="169">
        <v>1</v>
      </c>
      <c r="CR9" s="170">
        <v>73</v>
      </c>
      <c r="CS9" s="170">
        <v>3</v>
      </c>
      <c r="CT9" s="170">
        <v>7</v>
      </c>
      <c r="CU9" s="171">
        <v>0</v>
      </c>
      <c r="CV9" s="169">
        <v>102</v>
      </c>
      <c r="CW9" s="170">
        <v>95</v>
      </c>
      <c r="CX9" s="169">
        <v>65</v>
      </c>
      <c r="CY9" s="170">
        <v>35</v>
      </c>
      <c r="CZ9" s="172">
        <v>0</v>
      </c>
      <c r="DA9" s="173">
        <v>20</v>
      </c>
      <c r="DB9" s="173">
        <v>0</v>
      </c>
      <c r="DC9" s="24">
        <f>SUM(CP9:DB9)</f>
        <v>453</v>
      </c>
      <c r="DD9" s="107"/>
      <c r="DE9" s="298"/>
      <c r="DF9" s="311" t="s">
        <v>27</v>
      </c>
      <c r="DG9" s="19" t="s">
        <v>24</v>
      </c>
      <c r="DH9" s="185">
        <v>20</v>
      </c>
      <c r="DI9" s="186">
        <v>0</v>
      </c>
      <c r="DJ9" s="186">
        <v>2</v>
      </c>
      <c r="DK9" s="186">
        <v>7</v>
      </c>
      <c r="DL9" s="186">
        <v>10</v>
      </c>
      <c r="DM9" s="187">
        <v>0</v>
      </c>
      <c r="DN9" s="186">
        <v>22</v>
      </c>
      <c r="DO9" s="186">
        <v>30</v>
      </c>
      <c r="DP9" s="186">
        <v>20</v>
      </c>
      <c r="DQ9" s="188">
        <v>0</v>
      </c>
      <c r="DR9" s="187">
        <v>0</v>
      </c>
      <c r="DS9" s="189">
        <v>6</v>
      </c>
      <c r="DT9" s="189">
        <v>0</v>
      </c>
      <c r="DU9" s="192">
        <v>117</v>
      </c>
      <c r="DV9" s="107"/>
      <c r="DW9" s="298"/>
      <c r="DX9" s="311" t="s">
        <v>27</v>
      </c>
      <c r="DY9" s="19" t="s">
        <v>24</v>
      </c>
      <c r="DZ9" s="217">
        <v>52</v>
      </c>
      <c r="EA9" s="218">
        <v>1</v>
      </c>
      <c r="EB9" s="219">
        <v>73</v>
      </c>
      <c r="EC9" s="219">
        <v>3</v>
      </c>
      <c r="ED9" s="219">
        <v>7</v>
      </c>
      <c r="EE9" s="220">
        <v>0</v>
      </c>
      <c r="EF9" s="218">
        <v>102</v>
      </c>
      <c r="EG9" s="219">
        <v>95</v>
      </c>
      <c r="EH9" s="218">
        <v>65</v>
      </c>
      <c r="EI9" s="219">
        <v>35</v>
      </c>
      <c r="EJ9" s="221">
        <v>0</v>
      </c>
      <c r="EK9" s="222">
        <v>20</v>
      </c>
      <c r="EL9" s="222">
        <v>0</v>
      </c>
      <c r="EM9" s="223">
        <f t="shared" ref="EM9:EM10" si="17">SUM(DZ9:EL9)</f>
        <v>453</v>
      </c>
      <c r="EN9" s="107"/>
      <c r="EO9" s="298"/>
      <c r="EP9" s="311" t="s">
        <v>27</v>
      </c>
      <c r="EQ9" s="19" t="s">
        <v>24</v>
      </c>
      <c r="ER9" s="233">
        <v>20</v>
      </c>
      <c r="ES9" s="234">
        <v>0</v>
      </c>
      <c r="ET9" s="233">
        <v>2</v>
      </c>
      <c r="EU9" s="235">
        <v>7</v>
      </c>
      <c r="EV9" s="236">
        <v>10</v>
      </c>
      <c r="EW9" s="237">
        <v>0</v>
      </c>
      <c r="EX9" s="238">
        <v>22</v>
      </c>
      <c r="EY9" s="239">
        <v>30</v>
      </c>
      <c r="EZ9" s="240">
        <v>20</v>
      </c>
      <c r="FA9" s="241">
        <v>0</v>
      </c>
      <c r="FB9" s="242">
        <v>0</v>
      </c>
      <c r="FC9" s="243">
        <v>6</v>
      </c>
      <c r="FD9" s="243">
        <v>0</v>
      </c>
      <c r="FE9" s="280">
        <f t="shared" ref="FE9:FE10" si="18">SUM(ER9:FD9)</f>
        <v>117</v>
      </c>
      <c r="FF9" s="107"/>
      <c r="FG9" s="298"/>
      <c r="FH9" s="311" t="s">
        <v>27</v>
      </c>
      <c r="FI9" s="19" t="s">
        <v>24</v>
      </c>
      <c r="FJ9" s="168">
        <v>18</v>
      </c>
      <c r="FK9" s="169">
        <v>0</v>
      </c>
      <c r="FL9" s="170">
        <v>5</v>
      </c>
      <c r="FM9" s="170">
        <v>51</v>
      </c>
      <c r="FN9" s="170">
        <v>3</v>
      </c>
      <c r="FO9" s="171">
        <v>0</v>
      </c>
      <c r="FP9" s="169">
        <v>0</v>
      </c>
      <c r="FQ9" s="170">
        <v>78</v>
      </c>
      <c r="FR9" s="169">
        <v>0</v>
      </c>
      <c r="FS9" s="170">
        <v>10</v>
      </c>
      <c r="FT9" s="172">
        <v>0</v>
      </c>
      <c r="FU9" s="173">
        <v>8</v>
      </c>
      <c r="FV9" s="173">
        <v>0</v>
      </c>
      <c r="FW9" s="211">
        <v>173</v>
      </c>
      <c r="FX9" s="107"/>
      <c r="FY9" s="298"/>
      <c r="FZ9" s="311" t="s">
        <v>27</v>
      </c>
      <c r="GA9" s="19" t="s">
        <v>24</v>
      </c>
      <c r="GB9" s="8">
        <v>0</v>
      </c>
      <c r="GC9" s="33">
        <v>0</v>
      </c>
      <c r="GD9" s="8">
        <v>0</v>
      </c>
      <c r="GE9" s="35">
        <v>0</v>
      </c>
      <c r="GF9" s="36">
        <v>0</v>
      </c>
      <c r="GG9" s="85">
        <v>0</v>
      </c>
      <c r="GH9" s="37">
        <v>0</v>
      </c>
      <c r="GI9" s="34">
        <v>0</v>
      </c>
      <c r="GJ9" s="9">
        <v>0</v>
      </c>
      <c r="GK9" s="10">
        <v>0</v>
      </c>
      <c r="GL9" s="86">
        <v>0</v>
      </c>
      <c r="GM9" s="21">
        <v>0</v>
      </c>
      <c r="GN9" s="21">
        <v>0</v>
      </c>
      <c r="GO9" s="24">
        <f>SUM(GB9:GN9)</f>
        <v>0</v>
      </c>
      <c r="GP9" s="107"/>
      <c r="GQ9" s="298"/>
      <c r="GR9" s="311" t="s">
        <v>27</v>
      </c>
      <c r="GS9" s="19" t="s">
        <v>24</v>
      </c>
      <c r="GT9" s="8">
        <v>0</v>
      </c>
      <c r="GU9" s="33">
        <v>0</v>
      </c>
      <c r="GV9" s="8">
        <v>0</v>
      </c>
      <c r="GW9" s="35">
        <v>0</v>
      </c>
      <c r="GX9" s="36">
        <v>0</v>
      </c>
      <c r="GY9" s="85">
        <v>0</v>
      </c>
      <c r="GZ9" s="37">
        <v>0</v>
      </c>
      <c r="HA9" s="34">
        <v>0</v>
      </c>
      <c r="HB9" s="9">
        <v>0</v>
      </c>
      <c r="HC9" s="10">
        <v>0</v>
      </c>
      <c r="HD9" s="86">
        <v>0</v>
      </c>
      <c r="HE9" s="21">
        <v>0</v>
      </c>
      <c r="HF9" s="21">
        <v>0</v>
      </c>
      <c r="HG9" s="24">
        <f>SUM(GT9:HF9)</f>
        <v>0</v>
      </c>
      <c r="HH9" s="107"/>
      <c r="HI9" s="298"/>
      <c r="HJ9" s="355" t="s">
        <v>27</v>
      </c>
      <c r="HK9" s="19" t="s">
        <v>24</v>
      </c>
      <c r="HL9" s="8">
        <f t="shared" ref="HL9:HL10" si="19">SUM(D9+V9+AN9+BF9+BX9+CP9+DH9+DZ9+ER9+FJ9+GB9+GT9)</f>
        <v>383</v>
      </c>
      <c r="HM9" s="9">
        <f t="shared" ref="HM9:HM10" si="20">SUM(E9+W9+AO9+BG9+BY9+CQ9+DI9+EA9+ES9+FK9+GC9+GU9)</f>
        <v>3</v>
      </c>
      <c r="HN9" s="34">
        <f t="shared" ref="HN9:HN10" si="21">SUM(F9+X9+AP9+BH9+BZ9+CR9+DJ9+EB9+ET9+FL9+GD9+GV9)</f>
        <v>218</v>
      </c>
      <c r="HO9" s="35">
        <f t="shared" ref="HO9:HO10" si="22">SUM(G9+Y9+AQ9+BI9+CA9+CS9+DK9+EC9+EU9+FM9+GE9+GW9)</f>
        <v>123</v>
      </c>
      <c r="HP9" s="35">
        <f t="shared" ref="HP9:HP10" si="23">SUM(H9+Z9+AR9+BJ9+CB9+CT9+DL9+ED9+EV9+FN9+GF9+GX9)</f>
        <v>180</v>
      </c>
      <c r="HQ9" s="46">
        <f t="shared" ref="HQ9:HQ10" si="24">SUM(I9+AA9+AS9+BK9+CC9+CU9+DM9+EE9+EW9+FO9+GG9+GY9)</f>
        <v>0</v>
      </c>
      <c r="HR9" s="9">
        <f t="shared" ref="HR9:HR10" si="25">SUM(J9+AB9+AT9+BL9+CD9+CV9+DN9+EF9+EX9+FP9+GH9+GZ9)</f>
        <v>568</v>
      </c>
      <c r="HS9" s="34">
        <f t="shared" ref="HS9:HS10" si="26">SUM(K9+AC9+AU9+BM9+CE9+CW9+DO9+EG9+EY9+FQ9+GI9+HA9)</f>
        <v>671</v>
      </c>
      <c r="HT9" s="9">
        <f t="shared" ref="HT9:HT10" si="27">SUM(L9+AD9+AV9+BN9+CF9+CX9+DP9+EH9+EZ9+FR9+GJ9+HB9)</f>
        <v>471</v>
      </c>
      <c r="HU9" s="34">
        <f t="shared" ref="HU9:HU10" si="28">SUM(M9+AE9+AW9+BO9+CG9+CY9+DQ9+EI9+FA9+FS9+GK9+HC9)</f>
        <v>246</v>
      </c>
      <c r="HV9" s="47">
        <f t="shared" ref="HV9:HV10" si="29">SUM(N9+AF9+AX9+BP9+CH9+CZ9+DR9+EJ9+FB9+FT9+GL9+HD9)</f>
        <v>0</v>
      </c>
      <c r="HW9" s="44">
        <f t="shared" ref="HW9:HW10" si="30">SUM(O9+AG9+AY9+BQ9+CI9+DA9+DS9+EK9+FC9+FU9+GM9+HE9)</f>
        <v>93</v>
      </c>
      <c r="HX9" s="44">
        <f t="shared" ref="HX9:HX10" si="31">SUM(P9+AH9+AZ9+BR9+CJ9+DB9+DT9+EL9+FD9+FV9+GN9+HF9)</f>
        <v>0</v>
      </c>
      <c r="HY9" s="24">
        <f>SUM(HL9:HX9)</f>
        <v>2956</v>
      </c>
      <c r="HZ9" s="28"/>
    </row>
    <row r="10" spans="1:234" s="11" customFormat="1" ht="20.100000000000001" customHeight="1" thickBot="1" x14ac:dyDescent="0.3">
      <c r="A10" s="298"/>
      <c r="B10" s="312"/>
      <c r="C10" s="20" t="s">
        <v>25</v>
      </c>
      <c r="D10" s="163">
        <v>1</v>
      </c>
      <c r="E10" s="164">
        <v>0</v>
      </c>
      <c r="F10" s="165">
        <v>0</v>
      </c>
      <c r="G10" s="165">
        <v>0</v>
      </c>
      <c r="H10" s="165">
        <v>2</v>
      </c>
      <c r="I10" s="165">
        <v>0</v>
      </c>
      <c r="J10" s="164">
        <v>0</v>
      </c>
      <c r="K10" s="165">
        <v>0</v>
      </c>
      <c r="L10" s="164">
        <v>0</v>
      </c>
      <c r="M10" s="165">
        <v>0</v>
      </c>
      <c r="N10" s="164">
        <v>0</v>
      </c>
      <c r="O10" s="166">
        <v>5</v>
      </c>
      <c r="P10" s="166">
        <v>0</v>
      </c>
      <c r="Q10" s="125">
        <f>SUM(D10:P10)</f>
        <v>8</v>
      </c>
      <c r="R10" s="133"/>
      <c r="S10" s="298"/>
      <c r="T10" s="312"/>
      <c r="U10" s="20" t="s">
        <v>25</v>
      </c>
      <c r="V10" s="180">
        <v>22</v>
      </c>
      <c r="W10" s="181">
        <v>0</v>
      </c>
      <c r="X10" s="181">
        <v>4</v>
      </c>
      <c r="Y10" s="181">
        <v>9</v>
      </c>
      <c r="Z10" s="181">
        <v>15</v>
      </c>
      <c r="AA10" s="181">
        <v>0</v>
      </c>
      <c r="AB10" s="181">
        <v>18</v>
      </c>
      <c r="AC10" s="181">
        <v>35</v>
      </c>
      <c r="AD10" s="181">
        <v>32</v>
      </c>
      <c r="AE10" s="182">
        <v>0</v>
      </c>
      <c r="AF10" s="181">
        <v>0</v>
      </c>
      <c r="AG10" s="183">
        <v>8</v>
      </c>
      <c r="AH10" s="183">
        <v>0</v>
      </c>
      <c r="AI10" s="125">
        <f>SUM(V10:AH10)</f>
        <v>143</v>
      </c>
      <c r="AJ10" s="133"/>
      <c r="AK10" s="298"/>
      <c r="AL10" s="312"/>
      <c r="AM10" s="20" t="s">
        <v>25</v>
      </c>
      <c r="AN10" s="163">
        <v>79</v>
      </c>
      <c r="AO10" s="164">
        <v>0</v>
      </c>
      <c r="AP10" s="165">
        <v>66</v>
      </c>
      <c r="AQ10" s="165">
        <v>13</v>
      </c>
      <c r="AR10" s="165">
        <v>83</v>
      </c>
      <c r="AS10" s="165">
        <v>0</v>
      </c>
      <c r="AT10" s="164">
        <v>122</v>
      </c>
      <c r="AU10" s="165">
        <v>98</v>
      </c>
      <c r="AV10" s="164">
        <v>108</v>
      </c>
      <c r="AW10" s="165">
        <v>82</v>
      </c>
      <c r="AX10" s="164">
        <v>4</v>
      </c>
      <c r="AY10" s="166">
        <v>28</v>
      </c>
      <c r="AZ10" s="166">
        <v>0</v>
      </c>
      <c r="BA10" s="125">
        <f>SUM(AN10:AZ10)</f>
        <v>683</v>
      </c>
      <c r="BB10" s="133"/>
      <c r="BC10" s="298"/>
      <c r="BD10" s="312"/>
      <c r="BE10" s="20" t="s">
        <v>25</v>
      </c>
      <c r="BF10" s="163">
        <v>76</v>
      </c>
      <c r="BG10" s="164">
        <v>2</v>
      </c>
      <c r="BH10" s="165">
        <v>58</v>
      </c>
      <c r="BI10" s="165">
        <v>18</v>
      </c>
      <c r="BJ10" s="165">
        <v>53</v>
      </c>
      <c r="BK10" s="165">
        <v>0</v>
      </c>
      <c r="BL10" s="164">
        <v>116</v>
      </c>
      <c r="BM10" s="165">
        <v>115</v>
      </c>
      <c r="BN10" s="164">
        <v>74</v>
      </c>
      <c r="BO10" s="194">
        <v>84</v>
      </c>
      <c r="BP10" s="164">
        <v>0</v>
      </c>
      <c r="BQ10" s="166">
        <v>49</v>
      </c>
      <c r="BR10" s="22">
        <v>0</v>
      </c>
      <c r="BS10" s="125">
        <f>SUM(BF10:BR10)</f>
        <v>645</v>
      </c>
      <c r="BT10" s="133"/>
      <c r="BU10" s="298"/>
      <c r="BV10" s="312"/>
      <c r="BW10" s="20" t="s">
        <v>25</v>
      </c>
      <c r="BX10" s="163">
        <v>102</v>
      </c>
      <c r="BY10" s="164">
        <v>0</v>
      </c>
      <c r="BZ10" s="165">
        <v>80</v>
      </c>
      <c r="CA10" s="165">
        <v>60</v>
      </c>
      <c r="CB10" s="165">
        <v>135</v>
      </c>
      <c r="CC10" s="165">
        <v>0</v>
      </c>
      <c r="CD10" s="164">
        <v>95</v>
      </c>
      <c r="CE10" s="165">
        <v>225</v>
      </c>
      <c r="CF10" s="164">
        <v>152</v>
      </c>
      <c r="CG10" s="165">
        <v>0</v>
      </c>
      <c r="CH10" s="164">
        <v>42</v>
      </c>
      <c r="CI10" s="166">
        <v>0</v>
      </c>
      <c r="CJ10" s="166">
        <v>0</v>
      </c>
      <c r="CK10" s="125">
        <f>SUM(BX10:CJ10)</f>
        <v>891</v>
      </c>
      <c r="CL10" s="133"/>
      <c r="CM10" s="298"/>
      <c r="CN10" s="312"/>
      <c r="CO10" s="20" t="s">
        <v>25</v>
      </c>
      <c r="CP10" s="163">
        <v>76</v>
      </c>
      <c r="CQ10" s="164">
        <v>2</v>
      </c>
      <c r="CR10" s="165">
        <v>6</v>
      </c>
      <c r="CS10" s="165">
        <v>18</v>
      </c>
      <c r="CT10" s="165">
        <v>53</v>
      </c>
      <c r="CU10" s="165">
        <v>0</v>
      </c>
      <c r="CV10" s="164">
        <v>116</v>
      </c>
      <c r="CW10" s="165">
        <v>115</v>
      </c>
      <c r="CX10" s="164">
        <v>74</v>
      </c>
      <c r="CY10" s="165">
        <v>84</v>
      </c>
      <c r="CZ10" s="164">
        <v>49</v>
      </c>
      <c r="DA10" s="166">
        <v>32</v>
      </c>
      <c r="DB10" s="166">
        <v>0</v>
      </c>
      <c r="DC10" s="25">
        <f>SUM(CP10:DB10)</f>
        <v>625</v>
      </c>
      <c r="DD10" s="107"/>
      <c r="DE10" s="298"/>
      <c r="DF10" s="312"/>
      <c r="DG10" s="20" t="s">
        <v>25</v>
      </c>
      <c r="DH10" s="180">
        <v>22</v>
      </c>
      <c r="DI10" s="181">
        <v>0</v>
      </c>
      <c r="DJ10" s="181">
        <v>4</v>
      </c>
      <c r="DK10" s="181">
        <v>9</v>
      </c>
      <c r="DL10" s="181">
        <v>15</v>
      </c>
      <c r="DM10" s="181">
        <v>0</v>
      </c>
      <c r="DN10" s="181">
        <v>18</v>
      </c>
      <c r="DO10" s="181">
        <v>35</v>
      </c>
      <c r="DP10" s="181">
        <v>32</v>
      </c>
      <c r="DQ10" s="182">
        <v>0</v>
      </c>
      <c r="DR10" s="181">
        <v>0</v>
      </c>
      <c r="DS10" s="183">
        <v>8</v>
      </c>
      <c r="DT10" s="183">
        <v>0</v>
      </c>
      <c r="DU10" s="202">
        <v>143</v>
      </c>
      <c r="DV10" s="107"/>
      <c r="DW10" s="298"/>
      <c r="DX10" s="312"/>
      <c r="DY10" s="20" t="s">
        <v>25</v>
      </c>
      <c r="DZ10" s="224">
        <v>76</v>
      </c>
      <c r="EA10" s="225">
        <v>2</v>
      </c>
      <c r="EB10" s="226">
        <v>6</v>
      </c>
      <c r="EC10" s="226">
        <v>18</v>
      </c>
      <c r="ED10" s="226">
        <v>53</v>
      </c>
      <c r="EE10" s="226">
        <v>0</v>
      </c>
      <c r="EF10" s="225">
        <v>116</v>
      </c>
      <c r="EG10" s="226">
        <v>115</v>
      </c>
      <c r="EH10" s="225">
        <v>74</v>
      </c>
      <c r="EI10" s="226">
        <v>84</v>
      </c>
      <c r="EJ10" s="225">
        <v>49</v>
      </c>
      <c r="EK10" s="227">
        <v>32</v>
      </c>
      <c r="EL10" s="227">
        <v>0</v>
      </c>
      <c r="EM10" s="228">
        <f t="shared" si="17"/>
        <v>625</v>
      </c>
      <c r="EN10" s="107"/>
      <c r="EO10" s="298"/>
      <c r="EP10" s="312"/>
      <c r="EQ10" s="20" t="s">
        <v>25</v>
      </c>
      <c r="ER10" s="244">
        <v>22</v>
      </c>
      <c r="ES10" s="245">
        <v>0</v>
      </c>
      <c r="ET10" s="244">
        <v>4</v>
      </c>
      <c r="EU10" s="246">
        <v>6</v>
      </c>
      <c r="EV10" s="247">
        <v>15</v>
      </c>
      <c r="EW10" s="247">
        <v>0</v>
      </c>
      <c r="EX10" s="248">
        <v>18</v>
      </c>
      <c r="EY10" s="249">
        <v>35</v>
      </c>
      <c r="EZ10" s="250">
        <v>32</v>
      </c>
      <c r="FA10" s="249">
        <v>0</v>
      </c>
      <c r="FB10" s="245">
        <v>0</v>
      </c>
      <c r="FC10" s="251">
        <v>8</v>
      </c>
      <c r="FD10" s="251">
        <v>0</v>
      </c>
      <c r="FE10" s="281">
        <f t="shared" si="18"/>
        <v>140</v>
      </c>
      <c r="FF10" s="107"/>
      <c r="FG10" s="298"/>
      <c r="FH10" s="312"/>
      <c r="FI10" s="20" t="s">
        <v>25</v>
      </c>
      <c r="FJ10" s="163">
        <v>57</v>
      </c>
      <c r="FK10" s="164">
        <v>0</v>
      </c>
      <c r="FL10" s="165">
        <v>12</v>
      </c>
      <c r="FM10" s="165">
        <v>62</v>
      </c>
      <c r="FN10" s="165">
        <v>12</v>
      </c>
      <c r="FO10" s="165">
        <v>0</v>
      </c>
      <c r="FP10" s="164">
        <v>0</v>
      </c>
      <c r="FQ10" s="165">
        <v>93</v>
      </c>
      <c r="FR10" s="164">
        <v>0</v>
      </c>
      <c r="FS10" s="165">
        <v>35</v>
      </c>
      <c r="FT10" s="164">
        <v>11</v>
      </c>
      <c r="FU10" s="166">
        <v>12</v>
      </c>
      <c r="FV10" s="166">
        <v>0</v>
      </c>
      <c r="FW10" s="167">
        <v>294</v>
      </c>
      <c r="FX10" s="107"/>
      <c r="FY10" s="298"/>
      <c r="FZ10" s="312"/>
      <c r="GA10" s="20" t="s">
        <v>25</v>
      </c>
      <c r="GB10" s="12">
        <v>0</v>
      </c>
      <c r="GC10" s="18">
        <v>0</v>
      </c>
      <c r="GD10" s="12">
        <v>0</v>
      </c>
      <c r="GE10" s="13">
        <v>0</v>
      </c>
      <c r="GF10" s="15">
        <v>0</v>
      </c>
      <c r="GG10" s="15">
        <v>0</v>
      </c>
      <c r="GH10" s="16">
        <v>0</v>
      </c>
      <c r="GI10" s="17">
        <v>0</v>
      </c>
      <c r="GJ10" s="14">
        <v>0</v>
      </c>
      <c r="GK10" s="17">
        <v>0</v>
      </c>
      <c r="GL10" s="18">
        <v>0</v>
      </c>
      <c r="GM10" s="22">
        <v>0</v>
      </c>
      <c r="GN10" s="22">
        <v>0</v>
      </c>
      <c r="GO10" s="25">
        <f>SUM(GB10:GN10)</f>
        <v>0</v>
      </c>
      <c r="GP10" s="107"/>
      <c r="GQ10" s="298"/>
      <c r="GR10" s="312"/>
      <c r="GS10" s="20" t="s">
        <v>25</v>
      </c>
      <c r="GT10" s="12">
        <v>0</v>
      </c>
      <c r="GU10" s="18">
        <v>0</v>
      </c>
      <c r="GV10" s="12">
        <v>0</v>
      </c>
      <c r="GW10" s="13">
        <v>0</v>
      </c>
      <c r="GX10" s="15">
        <v>0</v>
      </c>
      <c r="GY10" s="15">
        <v>0</v>
      </c>
      <c r="GZ10" s="16">
        <v>0</v>
      </c>
      <c r="HA10" s="17">
        <v>0</v>
      </c>
      <c r="HB10" s="14">
        <v>0</v>
      </c>
      <c r="HC10" s="17">
        <v>0</v>
      </c>
      <c r="HD10" s="18">
        <v>0</v>
      </c>
      <c r="HE10" s="22">
        <v>0</v>
      </c>
      <c r="HF10" s="22">
        <v>0</v>
      </c>
      <c r="HG10" s="25">
        <f>SUM(GT10:HF10)</f>
        <v>0</v>
      </c>
      <c r="HH10" s="107"/>
      <c r="HI10" s="298"/>
      <c r="HJ10" s="356"/>
      <c r="HK10" s="20" t="s">
        <v>25</v>
      </c>
      <c r="HL10" s="12">
        <f t="shared" si="19"/>
        <v>533</v>
      </c>
      <c r="HM10" s="14">
        <f t="shared" si="20"/>
        <v>6</v>
      </c>
      <c r="HN10" s="17">
        <f t="shared" si="21"/>
        <v>240</v>
      </c>
      <c r="HO10" s="13">
        <f t="shared" si="22"/>
        <v>213</v>
      </c>
      <c r="HP10" s="13">
        <f t="shared" si="23"/>
        <v>436</v>
      </c>
      <c r="HQ10" s="13">
        <f t="shared" si="24"/>
        <v>0</v>
      </c>
      <c r="HR10" s="14">
        <f t="shared" si="25"/>
        <v>619</v>
      </c>
      <c r="HS10" s="17">
        <f t="shared" si="26"/>
        <v>866</v>
      </c>
      <c r="HT10" s="14">
        <f t="shared" si="27"/>
        <v>578</v>
      </c>
      <c r="HU10" s="17">
        <f t="shared" si="28"/>
        <v>369</v>
      </c>
      <c r="HV10" s="14">
        <f t="shared" si="29"/>
        <v>155</v>
      </c>
      <c r="HW10" s="45">
        <f t="shared" si="30"/>
        <v>182</v>
      </c>
      <c r="HX10" s="45">
        <f t="shared" si="31"/>
        <v>0</v>
      </c>
      <c r="HY10" s="25">
        <f>SUM(HL10:HX10)</f>
        <v>4197</v>
      </c>
      <c r="HZ10" s="28"/>
    </row>
    <row r="11" spans="1:234" s="11" customFormat="1" ht="20.100000000000001" customHeight="1" thickTop="1" thickBot="1" x14ac:dyDescent="0.25">
      <c r="A11" s="299"/>
      <c r="B11" s="326" t="s">
        <v>34</v>
      </c>
      <c r="C11" s="327"/>
      <c r="D11" s="306">
        <f>SUM(D9:E10)</f>
        <v>2</v>
      </c>
      <c r="E11" s="307"/>
      <c r="F11" s="306">
        <f>SUM(F9:J10)</f>
        <v>4</v>
      </c>
      <c r="G11" s="368"/>
      <c r="H11" s="368"/>
      <c r="I11" s="368"/>
      <c r="J11" s="307"/>
      <c r="K11" s="306">
        <f>SUM(K9:L10)</f>
        <v>0</v>
      </c>
      <c r="L11" s="307"/>
      <c r="M11" s="306">
        <f>SUM(M9:N10)</f>
        <v>0</v>
      </c>
      <c r="N11" s="307"/>
      <c r="O11" s="94">
        <f>SUM(O9:O10)</f>
        <v>10</v>
      </c>
      <c r="P11" s="94">
        <f>SUM(P9:P10)</f>
        <v>0</v>
      </c>
      <c r="Q11" s="126">
        <f>SUM(Q9:Q10)</f>
        <v>16</v>
      </c>
      <c r="R11" s="133"/>
      <c r="S11" s="299"/>
      <c r="T11" s="326" t="s">
        <v>34</v>
      </c>
      <c r="U11" s="327"/>
      <c r="V11" s="306">
        <f>SUM(V9:W10)</f>
        <v>42</v>
      </c>
      <c r="W11" s="307"/>
      <c r="X11" s="306">
        <f>SUM(X9:AB10)</f>
        <v>87</v>
      </c>
      <c r="Y11" s="368"/>
      <c r="Z11" s="368"/>
      <c r="AA11" s="368"/>
      <c r="AB11" s="307"/>
      <c r="AC11" s="306">
        <f>SUM(AC9:AD10)</f>
        <v>117</v>
      </c>
      <c r="AD11" s="307"/>
      <c r="AE11" s="306">
        <f>SUM(AE9:AF10)</f>
        <v>0</v>
      </c>
      <c r="AF11" s="307"/>
      <c r="AG11" s="94">
        <f>SUM(AG9:AG10)</f>
        <v>14</v>
      </c>
      <c r="AH11" s="94">
        <f>SUM(AH9:AH10)</f>
        <v>0</v>
      </c>
      <c r="AI11" s="126">
        <f>SUM(AI9:AI10)</f>
        <v>260</v>
      </c>
      <c r="AJ11" s="133"/>
      <c r="AK11" s="299"/>
      <c r="AL11" s="326" t="s">
        <v>34</v>
      </c>
      <c r="AM11" s="327"/>
      <c r="AN11" s="306">
        <f>SUM(AN9:AO10)</f>
        <v>137</v>
      </c>
      <c r="AO11" s="307"/>
      <c r="AP11" s="306">
        <f>SUM(AP9:AT10)</f>
        <v>400</v>
      </c>
      <c r="AQ11" s="368"/>
      <c r="AR11" s="368"/>
      <c r="AS11" s="368"/>
      <c r="AT11" s="307"/>
      <c r="AU11" s="306">
        <f>SUM(AU9:AV10)</f>
        <v>410</v>
      </c>
      <c r="AV11" s="307"/>
      <c r="AW11" s="306">
        <f>SUM(AW9:AX10)</f>
        <v>122</v>
      </c>
      <c r="AX11" s="307"/>
      <c r="AY11" s="94">
        <f>SUM(AY9:AY10)</f>
        <v>50</v>
      </c>
      <c r="AZ11" s="94">
        <f>SUM(AZ9:AZ10)</f>
        <v>0</v>
      </c>
      <c r="BA11" s="126">
        <f>SUM(BA9:BA10)</f>
        <v>1119</v>
      </c>
      <c r="BB11" s="133"/>
      <c r="BC11" s="299"/>
      <c r="BD11" s="326" t="s">
        <v>34</v>
      </c>
      <c r="BE11" s="327"/>
      <c r="BF11" s="375">
        <v>131</v>
      </c>
      <c r="BG11" s="377"/>
      <c r="BH11" s="375">
        <v>363</v>
      </c>
      <c r="BI11" s="376"/>
      <c r="BJ11" s="376"/>
      <c r="BK11" s="376"/>
      <c r="BL11" s="377"/>
      <c r="BM11" s="375">
        <v>349</v>
      </c>
      <c r="BN11" s="386"/>
      <c r="BO11" s="195">
        <v>119</v>
      </c>
      <c r="BP11" s="196"/>
      <c r="BQ11" s="167">
        <v>49</v>
      </c>
      <c r="BR11" s="94">
        <f>SUM(BR9:BR10)</f>
        <v>0</v>
      </c>
      <c r="BS11" s="126">
        <f>SUM(BS9:BS10)</f>
        <v>1011</v>
      </c>
      <c r="BT11" s="133"/>
      <c r="BU11" s="299"/>
      <c r="BV11" s="326" t="s">
        <v>34</v>
      </c>
      <c r="BW11" s="327"/>
      <c r="BX11" s="306">
        <f>SUM(BX9:BY10)</f>
        <v>192</v>
      </c>
      <c r="BY11" s="307"/>
      <c r="BZ11" s="306">
        <f>SUM(BZ9:CD10)</f>
        <v>671</v>
      </c>
      <c r="CA11" s="368"/>
      <c r="CB11" s="368"/>
      <c r="CC11" s="368"/>
      <c r="CD11" s="307"/>
      <c r="CE11" s="306">
        <f>SUM(CE9:CF10)</f>
        <v>607</v>
      </c>
      <c r="CF11" s="307"/>
      <c r="CG11" s="306">
        <f>SUM(CG9:CH10)</f>
        <v>137</v>
      </c>
      <c r="CH11" s="307"/>
      <c r="CI11" s="94">
        <f>SUM(CI9:CI10)</f>
        <v>0</v>
      </c>
      <c r="CJ11" s="94">
        <f>SUM(CJ9:CJ10)</f>
        <v>0</v>
      </c>
      <c r="CK11" s="126">
        <f>SUM(CK9:CK10)</f>
        <v>1607</v>
      </c>
      <c r="CL11" s="133"/>
      <c r="CM11" s="299"/>
      <c r="CN11" s="326" t="s">
        <v>34</v>
      </c>
      <c r="CO11" s="327"/>
      <c r="CP11" s="375">
        <v>131</v>
      </c>
      <c r="CQ11" s="377"/>
      <c r="CR11" s="375">
        <v>378</v>
      </c>
      <c r="CS11" s="376"/>
      <c r="CT11" s="376"/>
      <c r="CU11" s="376"/>
      <c r="CV11" s="377"/>
      <c r="CW11" s="375">
        <v>349</v>
      </c>
      <c r="CX11" s="377"/>
      <c r="CY11" s="375">
        <v>168</v>
      </c>
      <c r="CZ11" s="377"/>
      <c r="DA11" s="167">
        <v>52</v>
      </c>
      <c r="DB11" s="167">
        <v>0</v>
      </c>
      <c r="DC11" s="26">
        <f>SUM(DC9:DC10)</f>
        <v>1078</v>
      </c>
      <c r="DD11" s="107"/>
      <c r="DE11" s="299"/>
      <c r="DF11" s="326" t="s">
        <v>34</v>
      </c>
      <c r="DG11" s="327"/>
      <c r="DH11" s="375">
        <v>42</v>
      </c>
      <c r="DI11" s="377"/>
      <c r="DJ11" s="375">
        <v>87</v>
      </c>
      <c r="DK11" s="376"/>
      <c r="DL11" s="376"/>
      <c r="DM11" s="376"/>
      <c r="DN11" s="377"/>
      <c r="DO11" s="375">
        <v>117</v>
      </c>
      <c r="DP11" s="377"/>
      <c r="DQ11" s="375">
        <v>0</v>
      </c>
      <c r="DR11" s="377"/>
      <c r="DS11" s="167">
        <v>14</v>
      </c>
      <c r="DT11" s="167">
        <v>0</v>
      </c>
      <c r="DU11" s="210">
        <v>260</v>
      </c>
      <c r="DV11" s="107"/>
      <c r="DW11" s="299"/>
      <c r="DX11" s="326" t="s">
        <v>34</v>
      </c>
      <c r="DY11" s="327"/>
      <c r="DZ11" s="359">
        <f>SUM(DZ9:EA10)</f>
        <v>131</v>
      </c>
      <c r="EA11" s="361"/>
      <c r="EB11" s="359">
        <f>SUM(EB9:EF10)</f>
        <v>378</v>
      </c>
      <c r="EC11" s="360"/>
      <c r="ED11" s="360"/>
      <c r="EE11" s="360"/>
      <c r="EF11" s="361"/>
      <c r="EG11" s="359">
        <f>SUM(EG9:EH10)</f>
        <v>349</v>
      </c>
      <c r="EH11" s="361"/>
      <c r="EI11" s="359">
        <f>SUM(EI9:EJ10)</f>
        <v>168</v>
      </c>
      <c r="EJ11" s="361"/>
      <c r="EK11" s="229">
        <f t="shared" ref="EK11:EM11" si="32">SUM(EK9:EK10)</f>
        <v>52</v>
      </c>
      <c r="EL11" s="229">
        <f t="shared" si="32"/>
        <v>0</v>
      </c>
      <c r="EM11" s="230">
        <f t="shared" si="32"/>
        <v>1078</v>
      </c>
      <c r="EN11" s="107"/>
      <c r="EO11" s="299"/>
      <c r="EP11" s="326" t="s">
        <v>34</v>
      </c>
      <c r="EQ11" s="327"/>
      <c r="ER11" s="359">
        <f>SUM(ER9:ES10)</f>
        <v>42</v>
      </c>
      <c r="ES11" s="361"/>
      <c r="ET11" s="359">
        <f>SUM(ET9:EX10)</f>
        <v>84</v>
      </c>
      <c r="EU11" s="360"/>
      <c r="EV11" s="360"/>
      <c r="EW11" s="360"/>
      <c r="EX11" s="361"/>
      <c r="EY11" s="359">
        <f>SUM(EY9:EZ10)</f>
        <v>117</v>
      </c>
      <c r="EZ11" s="361"/>
      <c r="FA11" s="359">
        <f>SUM(FA9:FB10)</f>
        <v>0</v>
      </c>
      <c r="FB11" s="361"/>
      <c r="FC11" s="229">
        <f t="shared" ref="FC11:FE11" si="33">SUM(FC9:FC10)</f>
        <v>14</v>
      </c>
      <c r="FD11" s="229">
        <f t="shared" si="33"/>
        <v>0</v>
      </c>
      <c r="FE11" s="282">
        <f t="shared" si="33"/>
        <v>257</v>
      </c>
      <c r="FF11" s="107"/>
      <c r="FG11" s="299"/>
      <c r="FH11" s="326" t="s">
        <v>34</v>
      </c>
      <c r="FI11" s="327"/>
      <c r="FJ11" s="375">
        <v>75</v>
      </c>
      <c r="FK11" s="377"/>
      <c r="FL11" s="375">
        <v>145</v>
      </c>
      <c r="FM11" s="376"/>
      <c r="FN11" s="376"/>
      <c r="FO11" s="376"/>
      <c r="FP11" s="377"/>
      <c r="FQ11" s="375">
        <v>171</v>
      </c>
      <c r="FR11" s="377"/>
      <c r="FS11" s="375">
        <v>56</v>
      </c>
      <c r="FT11" s="377"/>
      <c r="FU11" s="167">
        <v>20</v>
      </c>
      <c r="FV11" s="167">
        <v>0</v>
      </c>
      <c r="FW11" s="210">
        <v>467</v>
      </c>
      <c r="FX11" s="107"/>
      <c r="FY11" s="299"/>
      <c r="FZ11" s="326" t="s">
        <v>34</v>
      </c>
      <c r="GA11" s="327"/>
      <c r="GB11" s="306">
        <f>SUM(GB9:GC10)</f>
        <v>0</v>
      </c>
      <c r="GC11" s="307"/>
      <c r="GD11" s="306">
        <f>SUM(GD9:GH10)</f>
        <v>0</v>
      </c>
      <c r="GE11" s="368"/>
      <c r="GF11" s="368"/>
      <c r="GG11" s="368"/>
      <c r="GH11" s="307"/>
      <c r="GI11" s="306">
        <f>SUM(GI9:GJ10)</f>
        <v>0</v>
      </c>
      <c r="GJ11" s="307"/>
      <c r="GK11" s="306">
        <f>SUM(GK9:GL10)</f>
        <v>0</v>
      </c>
      <c r="GL11" s="307"/>
      <c r="GM11" s="94">
        <f>SUM(GM9:GM10)</f>
        <v>0</v>
      </c>
      <c r="GN11" s="94">
        <f>SUM(GN9:GN10)</f>
        <v>0</v>
      </c>
      <c r="GO11" s="26">
        <f>SUM(GO9:GO10)</f>
        <v>0</v>
      </c>
      <c r="GP11" s="107"/>
      <c r="GQ11" s="299"/>
      <c r="GR11" s="326" t="s">
        <v>34</v>
      </c>
      <c r="GS11" s="327"/>
      <c r="GT11" s="306">
        <f>SUM(GT9:GU10)</f>
        <v>0</v>
      </c>
      <c r="GU11" s="307"/>
      <c r="GV11" s="306">
        <f>SUM(GV9:GZ10)</f>
        <v>0</v>
      </c>
      <c r="GW11" s="368"/>
      <c r="GX11" s="368"/>
      <c r="GY11" s="368"/>
      <c r="GZ11" s="307"/>
      <c r="HA11" s="306">
        <f>SUM(HA9:HB10)</f>
        <v>0</v>
      </c>
      <c r="HB11" s="307"/>
      <c r="HC11" s="306">
        <f>SUM(HC9:HD10)</f>
        <v>0</v>
      </c>
      <c r="HD11" s="307"/>
      <c r="HE11" s="94">
        <f>SUM(HE9:HE10)</f>
        <v>0</v>
      </c>
      <c r="HF11" s="94">
        <f>SUM(HF9:HF10)</f>
        <v>0</v>
      </c>
      <c r="HG11" s="26">
        <f>SUM(HG9:HG10)</f>
        <v>0</v>
      </c>
      <c r="HH11" s="107"/>
      <c r="HI11" s="299"/>
      <c r="HJ11" s="295" t="s">
        <v>28</v>
      </c>
      <c r="HK11" s="313"/>
      <c r="HL11" s="306">
        <f>SUM(HL9:HM10)</f>
        <v>925</v>
      </c>
      <c r="HM11" s="307"/>
      <c r="HN11" s="306">
        <f>SUM(HN9:HR10)</f>
        <v>2597</v>
      </c>
      <c r="HO11" s="368"/>
      <c r="HP11" s="368"/>
      <c r="HQ11" s="368"/>
      <c r="HR11" s="307"/>
      <c r="HS11" s="306">
        <f>SUM(HS9:HT10)</f>
        <v>2586</v>
      </c>
      <c r="HT11" s="307"/>
      <c r="HU11" s="306">
        <f>SUM(HU9:HV10)</f>
        <v>770</v>
      </c>
      <c r="HV11" s="307"/>
      <c r="HW11" s="43">
        <f>SUM(HW9:HW10)</f>
        <v>275</v>
      </c>
      <c r="HX11" s="43">
        <f>SUM(HX9:HX10)</f>
        <v>0</v>
      </c>
      <c r="HY11" s="26">
        <f>SUM(HY9:HY10)</f>
        <v>7153</v>
      </c>
      <c r="HZ11" s="28"/>
    </row>
    <row r="12" spans="1:234" s="11" customFormat="1" ht="20.100000000000001" customHeight="1" thickTop="1" thickBot="1" x14ac:dyDescent="0.25">
      <c r="A12" s="41"/>
      <c r="B12" s="353" t="s">
        <v>29</v>
      </c>
      <c r="C12" s="357"/>
      <c r="D12" s="308">
        <f>SUM(D8+D11)</f>
        <v>278</v>
      </c>
      <c r="E12" s="310"/>
      <c r="F12" s="308">
        <f>SUM(F8+F11)</f>
        <v>369</v>
      </c>
      <c r="G12" s="309"/>
      <c r="H12" s="309"/>
      <c r="I12" s="309"/>
      <c r="J12" s="310"/>
      <c r="K12" s="308">
        <f>SUM(K8+K11)</f>
        <v>518</v>
      </c>
      <c r="L12" s="310"/>
      <c r="M12" s="308">
        <f>SUM(M8+M11)</f>
        <v>164</v>
      </c>
      <c r="N12" s="310"/>
      <c r="O12" s="23">
        <f>SUM(O8+O11)</f>
        <v>34</v>
      </c>
      <c r="P12" s="23">
        <f>SUM(P8+P11)</f>
        <v>0</v>
      </c>
      <c r="Q12" s="127">
        <f>SUM(Q8+Q11)</f>
        <v>1363</v>
      </c>
      <c r="R12" s="133"/>
      <c r="S12" s="41"/>
      <c r="T12" s="353" t="s">
        <v>29</v>
      </c>
      <c r="U12" s="357"/>
      <c r="V12" s="308">
        <f>SUM(V8+V11)</f>
        <v>228</v>
      </c>
      <c r="W12" s="310"/>
      <c r="X12" s="308">
        <f>SUM(X8+X11)</f>
        <v>569</v>
      </c>
      <c r="Y12" s="309"/>
      <c r="Z12" s="309"/>
      <c r="AA12" s="309"/>
      <c r="AB12" s="310"/>
      <c r="AC12" s="308">
        <f>SUM(AC8+AC11)</f>
        <v>458</v>
      </c>
      <c r="AD12" s="310"/>
      <c r="AE12" s="308">
        <f>SUM(AE8+AE11)</f>
        <v>80</v>
      </c>
      <c r="AF12" s="310"/>
      <c r="AG12" s="23">
        <f>SUM(AG8+AG11)</f>
        <v>78</v>
      </c>
      <c r="AH12" s="23">
        <f>SUM(AH8+AH11)</f>
        <v>0</v>
      </c>
      <c r="AI12" s="127">
        <f>SUM(AI8+AI11)</f>
        <v>1413</v>
      </c>
      <c r="AJ12" s="133"/>
      <c r="AK12" s="41"/>
      <c r="AL12" s="353" t="s">
        <v>29</v>
      </c>
      <c r="AM12" s="357"/>
      <c r="AN12" s="308">
        <f>SUM(AN8+AN11)</f>
        <v>356</v>
      </c>
      <c r="AO12" s="310"/>
      <c r="AP12" s="308">
        <f>SUM(AP8+AP11)</f>
        <v>823</v>
      </c>
      <c r="AQ12" s="309"/>
      <c r="AR12" s="309"/>
      <c r="AS12" s="309"/>
      <c r="AT12" s="310"/>
      <c r="AU12" s="308">
        <f>SUM(AU8+AU11)</f>
        <v>1210</v>
      </c>
      <c r="AV12" s="310"/>
      <c r="AW12" s="308">
        <f>SUM(AW8+AW11)</f>
        <v>383</v>
      </c>
      <c r="AX12" s="310"/>
      <c r="AY12" s="23">
        <f>SUM(AY8+AY11)</f>
        <v>120</v>
      </c>
      <c r="AZ12" s="23">
        <f>SUM(AZ8+AZ11)</f>
        <v>0</v>
      </c>
      <c r="BA12" s="127">
        <f>SUM(BA8+BA11)</f>
        <v>2892</v>
      </c>
      <c r="BB12" s="133"/>
      <c r="BC12" s="41"/>
      <c r="BD12" s="353" t="s">
        <v>29</v>
      </c>
      <c r="BE12" s="357"/>
      <c r="BF12" s="378">
        <v>340</v>
      </c>
      <c r="BG12" s="380"/>
      <c r="BH12" s="378">
        <v>830</v>
      </c>
      <c r="BI12" s="379"/>
      <c r="BJ12" s="379"/>
      <c r="BK12" s="379"/>
      <c r="BL12" s="380"/>
      <c r="BM12" s="378">
        <v>1134</v>
      </c>
      <c r="BN12" s="387"/>
      <c r="BO12" s="198">
        <v>306</v>
      </c>
      <c r="BP12" s="199"/>
      <c r="BQ12" s="200">
        <v>132</v>
      </c>
      <c r="BR12" s="23">
        <f>SUM(BR8+BR11)</f>
        <v>0</v>
      </c>
      <c r="BS12" s="127">
        <f>SUM(BS8+BS11)</f>
        <v>2742</v>
      </c>
      <c r="BT12" s="133"/>
      <c r="BU12" s="41"/>
      <c r="BV12" s="353" t="s">
        <v>29</v>
      </c>
      <c r="BW12" s="357"/>
      <c r="BX12" s="308">
        <f>SUM(BX8+BX11)</f>
        <v>817</v>
      </c>
      <c r="BY12" s="310"/>
      <c r="BZ12" s="308">
        <f>SUM(BZ8+BZ11)</f>
        <v>2029</v>
      </c>
      <c r="CA12" s="309"/>
      <c r="CB12" s="309"/>
      <c r="CC12" s="309"/>
      <c r="CD12" s="310"/>
      <c r="CE12" s="308">
        <f>SUM(CE8+CE11)</f>
        <v>2256</v>
      </c>
      <c r="CF12" s="310"/>
      <c r="CG12" s="308">
        <f>SUM(CG8+CG11)</f>
        <v>771</v>
      </c>
      <c r="CH12" s="310"/>
      <c r="CI12" s="23">
        <f>SUM(CI8+CI11)</f>
        <v>0</v>
      </c>
      <c r="CJ12" s="23">
        <f>SUM(CJ8+CJ11)</f>
        <v>0</v>
      </c>
      <c r="CK12" s="127">
        <f>SUM(CK8+CK11)</f>
        <v>5873</v>
      </c>
      <c r="CL12" s="133"/>
      <c r="CM12" s="41"/>
      <c r="CN12" s="353" t="s">
        <v>29</v>
      </c>
      <c r="CO12" s="357"/>
      <c r="CP12" s="378">
        <v>340</v>
      </c>
      <c r="CQ12" s="380"/>
      <c r="CR12" s="378">
        <v>845</v>
      </c>
      <c r="CS12" s="379"/>
      <c r="CT12" s="379"/>
      <c r="CU12" s="379"/>
      <c r="CV12" s="380"/>
      <c r="CW12" s="378">
        <v>1134</v>
      </c>
      <c r="CX12" s="380"/>
      <c r="CY12" s="378">
        <v>438</v>
      </c>
      <c r="CZ12" s="380"/>
      <c r="DA12" s="200">
        <v>145</v>
      </c>
      <c r="DB12" s="200">
        <v>0</v>
      </c>
      <c r="DC12" s="27">
        <f>SUM(DC8+DC11)</f>
        <v>2902</v>
      </c>
      <c r="DD12" s="107"/>
      <c r="DE12" s="41"/>
      <c r="DF12" s="353" t="s">
        <v>29</v>
      </c>
      <c r="DG12" s="357"/>
      <c r="DH12" s="378">
        <v>217</v>
      </c>
      <c r="DI12" s="380"/>
      <c r="DJ12" s="378">
        <v>548</v>
      </c>
      <c r="DK12" s="379"/>
      <c r="DL12" s="379"/>
      <c r="DM12" s="379"/>
      <c r="DN12" s="380"/>
      <c r="DO12" s="378">
        <v>452</v>
      </c>
      <c r="DP12" s="380"/>
      <c r="DQ12" s="378">
        <v>70</v>
      </c>
      <c r="DR12" s="380"/>
      <c r="DS12" s="200">
        <v>69</v>
      </c>
      <c r="DT12" s="200">
        <v>0</v>
      </c>
      <c r="DU12" s="213">
        <v>1607</v>
      </c>
      <c r="DV12" s="107"/>
      <c r="DW12" s="41"/>
      <c r="DX12" s="353" t="s">
        <v>29</v>
      </c>
      <c r="DY12" s="357"/>
      <c r="DZ12" s="363">
        <f>SUM(DZ8+DZ11)</f>
        <v>340</v>
      </c>
      <c r="EA12" s="361"/>
      <c r="EB12" s="363">
        <f>SUM(EB8+EB11)</f>
        <v>845</v>
      </c>
      <c r="EC12" s="360"/>
      <c r="ED12" s="360"/>
      <c r="EE12" s="360"/>
      <c r="EF12" s="361"/>
      <c r="EG12" s="363">
        <f>SUM(EG8+EG11)</f>
        <v>1134</v>
      </c>
      <c r="EH12" s="361"/>
      <c r="EI12" s="363">
        <f>SUM(EI8+EI11)</f>
        <v>438</v>
      </c>
      <c r="EJ12" s="361"/>
      <c r="EK12" s="231">
        <f t="shared" ref="EK12:EM12" si="34">SUM(EK8+EK11)</f>
        <v>145</v>
      </c>
      <c r="EL12" s="231">
        <f t="shared" si="34"/>
        <v>0</v>
      </c>
      <c r="EM12" s="232">
        <f t="shared" si="34"/>
        <v>2902</v>
      </c>
      <c r="EN12" s="107"/>
      <c r="EO12" s="41"/>
      <c r="EP12" s="353" t="s">
        <v>29</v>
      </c>
      <c r="EQ12" s="357"/>
      <c r="ER12" s="363">
        <f>SUM(ER8+ER11)</f>
        <v>217</v>
      </c>
      <c r="ES12" s="361"/>
      <c r="ET12" s="363">
        <f>SUM(ET8+ET11)</f>
        <v>545</v>
      </c>
      <c r="EU12" s="360"/>
      <c r="EV12" s="360"/>
      <c r="EW12" s="360"/>
      <c r="EX12" s="361"/>
      <c r="EY12" s="363">
        <f>SUM(EY8+EY11)</f>
        <v>452</v>
      </c>
      <c r="EZ12" s="361"/>
      <c r="FA12" s="363">
        <f>SUM(FA8+FA11)</f>
        <v>70</v>
      </c>
      <c r="FB12" s="361"/>
      <c r="FC12" s="231">
        <f t="shared" ref="FC12:FE12" si="35">SUM(FC8+FC11)</f>
        <v>69</v>
      </c>
      <c r="FD12" s="231">
        <f t="shared" si="35"/>
        <v>0</v>
      </c>
      <c r="FE12" s="283">
        <f t="shared" si="35"/>
        <v>1353</v>
      </c>
      <c r="FF12" s="107"/>
      <c r="FG12" s="41"/>
      <c r="FH12" s="353" t="s">
        <v>29</v>
      </c>
      <c r="FI12" s="357"/>
      <c r="FJ12" s="378">
        <v>339</v>
      </c>
      <c r="FK12" s="380"/>
      <c r="FL12" s="378">
        <v>510</v>
      </c>
      <c r="FM12" s="379"/>
      <c r="FN12" s="379"/>
      <c r="FO12" s="379"/>
      <c r="FP12" s="380"/>
      <c r="FQ12" s="378">
        <v>689</v>
      </c>
      <c r="FR12" s="380"/>
      <c r="FS12" s="378">
        <v>220</v>
      </c>
      <c r="FT12" s="380"/>
      <c r="FU12" s="200">
        <v>42</v>
      </c>
      <c r="FV12" s="200">
        <v>0</v>
      </c>
      <c r="FW12" s="213">
        <v>1800</v>
      </c>
      <c r="FX12" s="107"/>
      <c r="FY12" s="41"/>
      <c r="FZ12" s="353" t="s">
        <v>29</v>
      </c>
      <c r="GA12" s="357"/>
      <c r="GB12" s="308">
        <f>SUM(GB8+GB11)</f>
        <v>0</v>
      </c>
      <c r="GC12" s="310"/>
      <c r="GD12" s="308">
        <f>SUM(GD8+GD11)</f>
        <v>0</v>
      </c>
      <c r="GE12" s="309"/>
      <c r="GF12" s="309"/>
      <c r="GG12" s="309"/>
      <c r="GH12" s="310"/>
      <c r="GI12" s="308">
        <f>SUM(GI8+GI11)</f>
        <v>0</v>
      </c>
      <c r="GJ12" s="310"/>
      <c r="GK12" s="308">
        <f>SUM(GK8+GK11)</f>
        <v>0</v>
      </c>
      <c r="GL12" s="310"/>
      <c r="GM12" s="23">
        <f>SUM(GM8+GM11)</f>
        <v>0</v>
      </c>
      <c r="GN12" s="23">
        <f>SUM(GN8+GN11)</f>
        <v>0</v>
      </c>
      <c r="GO12" s="27">
        <f>SUM(GO8+GO11)</f>
        <v>0</v>
      </c>
      <c r="GP12" s="107"/>
      <c r="GQ12" s="41"/>
      <c r="GR12" s="353" t="s">
        <v>29</v>
      </c>
      <c r="GS12" s="357"/>
      <c r="GT12" s="308">
        <f>SUM(GT8+GT11)</f>
        <v>0</v>
      </c>
      <c r="GU12" s="310"/>
      <c r="GV12" s="308">
        <f>SUM(GV8+GV11)</f>
        <v>0</v>
      </c>
      <c r="GW12" s="309"/>
      <c r="GX12" s="309"/>
      <c r="GY12" s="309"/>
      <c r="GZ12" s="310"/>
      <c r="HA12" s="308">
        <f>SUM(HA8+HA11)</f>
        <v>0</v>
      </c>
      <c r="HB12" s="310"/>
      <c r="HC12" s="308">
        <f>SUM(HC8+HC11)</f>
        <v>0</v>
      </c>
      <c r="HD12" s="310"/>
      <c r="HE12" s="23">
        <f>SUM(HE8+HE11)</f>
        <v>0</v>
      </c>
      <c r="HF12" s="23">
        <f>SUM(HF8+HF11)</f>
        <v>0</v>
      </c>
      <c r="HG12" s="27">
        <f>SUM(HG8+HG11)</f>
        <v>0</v>
      </c>
      <c r="HH12" s="107"/>
      <c r="HI12" s="41"/>
      <c r="HJ12" s="353" t="s">
        <v>29</v>
      </c>
      <c r="HK12" s="354"/>
      <c r="HL12" s="308">
        <f>SUM(HL8+HL11)</f>
        <v>3472</v>
      </c>
      <c r="HM12" s="310"/>
      <c r="HN12" s="308">
        <f>SUM(HN8+HN11)</f>
        <v>7913</v>
      </c>
      <c r="HO12" s="309"/>
      <c r="HP12" s="309"/>
      <c r="HQ12" s="309"/>
      <c r="HR12" s="310"/>
      <c r="HS12" s="308">
        <f>SUM(HS8+HS11)</f>
        <v>9437</v>
      </c>
      <c r="HT12" s="310"/>
      <c r="HU12" s="308">
        <f>SUM(HU8+HU11)</f>
        <v>2940</v>
      </c>
      <c r="HV12" s="310"/>
      <c r="HW12" s="23">
        <f>SUM(HW8+HW11)</f>
        <v>834</v>
      </c>
      <c r="HX12" s="23">
        <f>SUM(HX8+HX11)</f>
        <v>0</v>
      </c>
      <c r="HY12" s="27">
        <f>SUM(HY8+HY11)</f>
        <v>24596</v>
      </c>
      <c r="HZ12" s="28"/>
    </row>
    <row r="13" spans="1:234" s="11" customFormat="1" ht="20.100000000000001" customHeight="1" thickTop="1" thickBot="1" x14ac:dyDescent="0.25">
      <c r="A13" s="297" t="s">
        <v>37</v>
      </c>
      <c r="B13" s="304" t="s">
        <v>9</v>
      </c>
      <c r="C13" s="19" t="s">
        <v>24</v>
      </c>
      <c r="D13" s="157">
        <v>92</v>
      </c>
      <c r="E13" s="158">
        <v>0</v>
      </c>
      <c r="F13" s="159">
        <v>0</v>
      </c>
      <c r="G13" s="159">
        <v>0</v>
      </c>
      <c r="H13" s="159">
        <v>0</v>
      </c>
      <c r="I13" s="160">
        <v>0</v>
      </c>
      <c r="J13" s="158">
        <v>0</v>
      </c>
      <c r="K13" s="159">
        <v>129</v>
      </c>
      <c r="L13" s="158">
        <v>0</v>
      </c>
      <c r="M13" s="159">
        <v>37</v>
      </c>
      <c r="N13" s="161">
        <v>0</v>
      </c>
      <c r="O13" s="162">
        <v>2</v>
      </c>
      <c r="P13" s="162">
        <v>0</v>
      </c>
      <c r="Q13" s="124">
        <f>SUM(D13:P13)</f>
        <v>260</v>
      </c>
      <c r="R13" s="133"/>
      <c r="S13" s="297" t="s">
        <v>37</v>
      </c>
      <c r="T13" s="304" t="s">
        <v>9</v>
      </c>
      <c r="U13" s="19" t="s">
        <v>24</v>
      </c>
      <c r="V13" s="157">
        <v>105</v>
      </c>
      <c r="W13" s="158">
        <v>0</v>
      </c>
      <c r="X13" s="159">
        <v>0</v>
      </c>
      <c r="Y13" s="159">
        <v>0</v>
      </c>
      <c r="Z13" s="159">
        <v>0</v>
      </c>
      <c r="AA13" s="160">
        <v>0</v>
      </c>
      <c r="AB13" s="158">
        <v>0</v>
      </c>
      <c r="AC13" s="159">
        <v>136</v>
      </c>
      <c r="AD13" s="158">
        <v>0</v>
      </c>
      <c r="AE13" s="159">
        <v>42</v>
      </c>
      <c r="AF13" s="161">
        <v>0</v>
      </c>
      <c r="AG13" s="162">
        <v>7</v>
      </c>
      <c r="AH13" s="162">
        <v>0</v>
      </c>
      <c r="AI13" s="124">
        <f>SUM(V13:AH13)</f>
        <v>290</v>
      </c>
      <c r="AJ13" s="133"/>
      <c r="AK13" s="297" t="s">
        <v>37</v>
      </c>
      <c r="AL13" s="304" t="s">
        <v>9</v>
      </c>
      <c r="AM13" s="19" t="s">
        <v>24</v>
      </c>
      <c r="AN13" s="157">
        <v>110</v>
      </c>
      <c r="AO13" s="158">
        <v>0</v>
      </c>
      <c r="AP13" s="159">
        <v>0</v>
      </c>
      <c r="AQ13" s="159">
        <v>22</v>
      </c>
      <c r="AR13" s="159">
        <v>12</v>
      </c>
      <c r="AS13" s="160">
        <v>0</v>
      </c>
      <c r="AT13" s="158">
        <v>145</v>
      </c>
      <c r="AU13" s="159">
        <v>201</v>
      </c>
      <c r="AV13" s="158">
        <v>246</v>
      </c>
      <c r="AW13" s="159">
        <v>52</v>
      </c>
      <c r="AX13" s="161">
        <v>0</v>
      </c>
      <c r="AY13" s="162">
        <v>0</v>
      </c>
      <c r="AZ13" s="162">
        <v>2</v>
      </c>
      <c r="BA13" s="124">
        <f>SUM(AN13:AZ13)</f>
        <v>790</v>
      </c>
      <c r="BB13" s="133"/>
      <c r="BC13" s="297" t="s">
        <v>37</v>
      </c>
      <c r="BD13" s="304" t="s">
        <v>9</v>
      </c>
      <c r="BE13" s="19" t="s">
        <v>24</v>
      </c>
      <c r="BF13" s="168">
        <v>150</v>
      </c>
      <c r="BG13" s="169">
        <v>0</v>
      </c>
      <c r="BH13" s="170">
        <v>8</v>
      </c>
      <c r="BI13" s="170">
        <v>0</v>
      </c>
      <c r="BJ13" s="170">
        <v>8</v>
      </c>
      <c r="BK13" s="171">
        <v>0</v>
      </c>
      <c r="BL13" s="169">
        <v>0</v>
      </c>
      <c r="BM13" s="170">
        <v>211</v>
      </c>
      <c r="BN13" s="169">
        <v>0</v>
      </c>
      <c r="BO13" s="170">
        <v>55</v>
      </c>
      <c r="BP13" s="172">
        <v>0</v>
      </c>
      <c r="BQ13" s="173">
        <v>25</v>
      </c>
      <c r="BR13" s="21">
        <v>0</v>
      </c>
      <c r="BS13" s="124">
        <f>SUM(BF13:BR13)</f>
        <v>457</v>
      </c>
      <c r="BT13" s="133"/>
      <c r="BU13" s="297" t="s">
        <v>37</v>
      </c>
      <c r="BV13" s="304" t="s">
        <v>9</v>
      </c>
      <c r="BW13" s="19" t="s">
        <v>24</v>
      </c>
      <c r="BX13" s="157">
        <v>95</v>
      </c>
      <c r="BY13" s="158">
        <v>0</v>
      </c>
      <c r="BZ13" s="159">
        <v>0</v>
      </c>
      <c r="CA13" s="159">
        <v>0</v>
      </c>
      <c r="CB13" s="159">
        <v>0</v>
      </c>
      <c r="CC13" s="160">
        <v>0</v>
      </c>
      <c r="CD13" s="158">
        <v>0</v>
      </c>
      <c r="CE13" s="159">
        <v>118</v>
      </c>
      <c r="CF13" s="158">
        <v>0</v>
      </c>
      <c r="CG13" s="159">
        <v>33</v>
      </c>
      <c r="CH13" s="161">
        <v>0</v>
      </c>
      <c r="CI13" s="162">
        <v>2</v>
      </c>
      <c r="CJ13" s="162">
        <v>0</v>
      </c>
      <c r="CK13" s="124">
        <f>SUM(BX13:CJ13)</f>
        <v>248</v>
      </c>
      <c r="CL13" s="133"/>
      <c r="CM13" s="297" t="s">
        <v>37</v>
      </c>
      <c r="CN13" s="304" t="s">
        <v>9</v>
      </c>
      <c r="CO13" s="19" t="s">
        <v>24</v>
      </c>
      <c r="CP13" s="168">
        <v>1336</v>
      </c>
      <c r="CQ13" s="169">
        <v>0</v>
      </c>
      <c r="CR13" s="170">
        <v>30</v>
      </c>
      <c r="CS13" s="170">
        <v>133</v>
      </c>
      <c r="CT13" s="170">
        <v>41</v>
      </c>
      <c r="CU13" s="171">
        <v>0</v>
      </c>
      <c r="CV13" s="169">
        <v>347</v>
      </c>
      <c r="CW13" s="170">
        <v>1820</v>
      </c>
      <c r="CX13" s="169">
        <v>502</v>
      </c>
      <c r="CY13" s="170">
        <v>492</v>
      </c>
      <c r="CZ13" s="172">
        <v>0</v>
      </c>
      <c r="DA13" s="173">
        <v>160</v>
      </c>
      <c r="DB13" s="173">
        <v>2</v>
      </c>
      <c r="DC13" s="24">
        <f>SUM(CP13:DB13)</f>
        <v>4863</v>
      </c>
      <c r="DD13" s="107"/>
      <c r="DE13" s="297" t="s">
        <v>37</v>
      </c>
      <c r="DF13" s="304" t="s">
        <v>9</v>
      </c>
      <c r="DG13" s="19" t="s">
        <v>24</v>
      </c>
      <c r="DH13" s="168">
        <v>119</v>
      </c>
      <c r="DI13" s="169">
        <v>0</v>
      </c>
      <c r="DJ13" s="170">
        <v>0</v>
      </c>
      <c r="DK13" s="170">
        <v>0</v>
      </c>
      <c r="DL13" s="170">
        <v>0</v>
      </c>
      <c r="DM13" s="171">
        <v>0</v>
      </c>
      <c r="DN13" s="169">
        <v>0</v>
      </c>
      <c r="DO13" s="170">
        <v>153</v>
      </c>
      <c r="DP13" s="169">
        <v>0</v>
      </c>
      <c r="DQ13" s="170">
        <v>43</v>
      </c>
      <c r="DR13" s="172">
        <v>0</v>
      </c>
      <c r="DS13" s="173">
        <v>6</v>
      </c>
      <c r="DT13" s="173">
        <v>0</v>
      </c>
      <c r="DU13" s="211">
        <v>321</v>
      </c>
      <c r="DV13" s="107"/>
      <c r="DW13" s="297" t="s">
        <v>37</v>
      </c>
      <c r="DX13" s="304" t="s">
        <v>9</v>
      </c>
      <c r="DY13" s="19" t="s">
        <v>24</v>
      </c>
      <c r="DZ13" s="217">
        <v>1336</v>
      </c>
      <c r="EA13" s="218">
        <v>0</v>
      </c>
      <c r="EB13" s="219">
        <v>30</v>
      </c>
      <c r="EC13" s="219">
        <v>133</v>
      </c>
      <c r="ED13" s="219">
        <v>41</v>
      </c>
      <c r="EE13" s="220">
        <v>0</v>
      </c>
      <c r="EF13" s="218">
        <v>347</v>
      </c>
      <c r="EG13" s="219">
        <v>1820</v>
      </c>
      <c r="EH13" s="218">
        <v>502</v>
      </c>
      <c r="EI13" s="219">
        <v>492</v>
      </c>
      <c r="EJ13" s="221">
        <v>0</v>
      </c>
      <c r="EK13" s="222">
        <v>160</v>
      </c>
      <c r="EL13" s="222">
        <v>2</v>
      </c>
      <c r="EM13" s="223">
        <f t="shared" ref="EM13:EM14" si="36">SUM(DZ13:EL13)</f>
        <v>4863</v>
      </c>
      <c r="EN13" s="107"/>
      <c r="EO13" s="297" t="s">
        <v>37</v>
      </c>
      <c r="EP13" s="304" t="s">
        <v>9</v>
      </c>
      <c r="EQ13" s="19" t="s">
        <v>24</v>
      </c>
      <c r="ER13" s="233">
        <v>101</v>
      </c>
      <c r="ES13" s="234">
        <v>1</v>
      </c>
      <c r="ET13" s="261">
        <v>0</v>
      </c>
      <c r="EU13" s="262">
        <v>0</v>
      </c>
      <c r="EV13" s="263">
        <v>0</v>
      </c>
      <c r="EW13" s="264">
        <v>0</v>
      </c>
      <c r="EX13" s="265">
        <v>0</v>
      </c>
      <c r="EY13" s="239">
        <v>147</v>
      </c>
      <c r="EZ13" s="240">
        <v>0</v>
      </c>
      <c r="FA13" s="241">
        <v>16</v>
      </c>
      <c r="FB13" s="242">
        <v>0</v>
      </c>
      <c r="FC13" s="243">
        <v>0</v>
      </c>
      <c r="FD13" s="243">
        <v>0</v>
      </c>
      <c r="FE13" s="280">
        <f t="shared" ref="FE13:FE14" si="37">SUM(ER13:FD13)</f>
        <v>265</v>
      </c>
      <c r="FF13" s="107"/>
      <c r="FG13" s="297" t="s">
        <v>37</v>
      </c>
      <c r="FH13" s="304" t="s">
        <v>9</v>
      </c>
      <c r="FI13" s="19" t="s">
        <v>24</v>
      </c>
      <c r="FJ13" s="8">
        <v>0</v>
      </c>
      <c r="FK13" s="33">
        <v>0</v>
      </c>
      <c r="FL13" s="4">
        <v>0</v>
      </c>
      <c r="FM13" s="5">
        <v>0</v>
      </c>
      <c r="FN13" s="6">
        <v>0</v>
      </c>
      <c r="FO13" s="84">
        <v>0</v>
      </c>
      <c r="FP13" s="7">
        <v>0</v>
      </c>
      <c r="FQ13" s="34">
        <v>0</v>
      </c>
      <c r="FR13" s="9">
        <v>0</v>
      </c>
      <c r="FS13" s="10">
        <v>0</v>
      </c>
      <c r="FT13" s="86">
        <v>0</v>
      </c>
      <c r="FU13" s="21">
        <v>0</v>
      </c>
      <c r="FV13" s="21">
        <v>0</v>
      </c>
      <c r="FW13" s="24">
        <f>SUM(FJ13:FV13)</f>
        <v>0</v>
      </c>
      <c r="FX13" s="107"/>
      <c r="FY13" s="297" t="s">
        <v>37</v>
      </c>
      <c r="FZ13" s="304" t="s">
        <v>9</v>
      </c>
      <c r="GA13" s="19" t="s">
        <v>24</v>
      </c>
      <c r="GB13" s="8">
        <v>0</v>
      </c>
      <c r="GC13" s="33">
        <v>0</v>
      </c>
      <c r="GD13" s="4">
        <v>0</v>
      </c>
      <c r="GE13" s="5">
        <v>0</v>
      </c>
      <c r="GF13" s="6">
        <v>0</v>
      </c>
      <c r="GG13" s="84">
        <v>0</v>
      </c>
      <c r="GH13" s="7">
        <v>0</v>
      </c>
      <c r="GI13" s="34">
        <v>0</v>
      </c>
      <c r="GJ13" s="9">
        <v>0</v>
      </c>
      <c r="GK13" s="10">
        <v>0</v>
      </c>
      <c r="GL13" s="86">
        <v>0</v>
      </c>
      <c r="GM13" s="21">
        <v>0</v>
      </c>
      <c r="GN13" s="21">
        <v>0</v>
      </c>
      <c r="GO13" s="24">
        <f>SUM(GB13:GN13)</f>
        <v>0</v>
      </c>
      <c r="GP13" s="107"/>
      <c r="GQ13" s="297" t="s">
        <v>37</v>
      </c>
      <c r="GR13" s="304" t="s">
        <v>9</v>
      </c>
      <c r="GS13" s="19" t="s">
        <v>24</v>
      </c>
      <c r="GT13" s="8">
        <v>0</v>
      </c>
      <c r="GU13" s="33">
        <v>0</v>
      </c>
      <c r="GV13" s="4">
        <v>0</v>
      </c>
      <c r="GW13" s="5">
        <v>0</v>
      </c>
      <c r="GX13" s="6">
        <v>0</v>
      </c>
      <c r="GY13" s="84">
        <v>0</v>
      </c>
      <c r="GZ13" s="7">
        <v>0</v>
      </c>
      <c r="HA13" s="34">
        <v>0</v>
      </c>
      <c r="HB13" s="9">
        <v>0</v>
      </c>
      <c r="HC13" s="10">
        <v>0</v>
      </c>
      <c r="HD13" s="86">
        <v>0</v>
      </c>
      <c r="HE13" s="21">
        <v>0</v>
      </c>
      <c r="HF13" s="21">
        <v>0</v>
      </c>
      <c r="HG13" s="24">
        <f>SUM(GT13:HF13)</f>
        <v>0</v>
      </c>
      <c r="HH13" s="107"/>
      <c r="HI13" s="297" t="str">
        <f>GQ13</f>
        <v>الجامعة</v>
      </c>
      <c r="HJ13" s="304" t="s">
        <v>9</v>
      </c>
      <c r="HK13" s="19" t="s">
        <v>24</v>
      </c>
      <c r="HL13" s="8">
        <f t="shared" ref="HL13:HL14" si="38">SUM(D13+V13+AN13+BF13+BX13+CP13+DH13+DZ13+ER13+FJ13+GB13+GT13)</f>
        <v>3444</v>
      </c>
      <c r="HM13" s="9">
        <f t="shared" ref="HM13:HM14" si="39">SUM(E13+W13+AO13+BG13+BY13+CQ13+DI13+EA13+ES13+FK13+GC13+GU13)</f>
        <v>1</v>
      </c>
      <c r="HN13" s="34">
        <f t="shared" ref="HN13:HN14" si="40">SUM(F13+X13+AP13+BH13+BZ13+CR13+DJ13+EB13+ET13+FL13+GD13+GV13)</f>
        <v>68</v>
      </c>
      <c r="HO13" s="35">
        <f t="shared" ref="HO13:HO14" si="41">SUM(G13+Y13+AQ13+BI13+CA13+CS13+DK13+EC13+EU13+FM13+GE13+GW13)</f>
        <v>288</v>
      </c>
      <c r="HP13" s="35">
        <f t="shared" ref="HP13:HP14" si="42">SUM(H13+Z13+AR13+BJ13+CB13+CT13+DL13+ED13+EV13+FN13+GF13+GX13)</f>
        <v>102</v>
      </c>
      <c r="HQ13" s="46">
        <f t="shared" ref="HQ13:HQ14" si="43">SUM(I13+AA13+AS13+BK13+CC13+CU13+DM13+EE13+EW13+FO13+GG13+GY13)</f>
        <v>0</v>
      </c>
      <c r="HR13" s="9">
        <f t="shared" ref="HR13:HR14" si="44">SUM(J13+AB13+AT13+BL13+CD13+CV13+DN13+EF13+EX13+FP13+GH13+GZ13)</f>
        <v>839</v>
      </c>
      <c r="HS13" s="34">
        <f t="shared" ref="HS13:HS14" si="45">SUM(K13+AC13+AU13+BM13+CE13+CW13+DO13+EG13+EY13+FQ13+GI13+HA13)</f>
        <v>4735</v>
      </c>
      <c r="HT13" s="9">
        <f t="shared" ref="HT13:HT14" si="46">SUM(L13+AD13+AV13+BN13+CF13+CX13+DP13+EH13+EZ13+FR13+GJ13+HB13)</f>
        <v>1250</v>
      </c>
      <c r="HU13" s="34">
        <f t="shared" ref="HU13:HU14" si="47">SUM(M13+AE13+AW13+BO13+CG13+CY13+DQ13+EI13+FA13+FS13+GK13+HC13)</f>
        <v>1262</v>
      </c>
      <c r="HV13" s="47">
        <f t="shared" ref="HV13:HV14" si="48">SUM(N13+AF13+AX13+BP13+CH13+CZ13+DR13+EJ13+FB13+FT13+GL13+HD13)</f>
        <v>0</v>
      </c>
      <c r="HW13" s="44">
        <f t="shared" ref="HW13:HW14" si="49">SUM(O13+AG13+AY13+BQ13+CI13+DA13+DS13+EK13+FC13+FU13+GM13+HE13)</f>
        <v>362</v>
      </c>
      <c r="HX13" s="44">
        <f t="shared" ref="HX13:HX14" si="50">SUM(P13+AH13+AZ13+BR13+CJ13+DB13+DT13+EL13+FD13+FV13+GN13+HF13)</f>
        <v>6</v>
      </c>
      <c r="HY13" s="38">
        <f>SUM(HL13:HX13)</f>
        <v>12357</v>
      </c>
      <c r="HZ13" s="28"/>
    </row>
    <row r="14" spans="1:234" s="11" customFormat="1" ht="20.100000000000001" customHeight="1" thickBot="1" x14ac:dyDescent="0.25">
      <c r="A14" s="298"/>
      <c r="B14" s="305"/>
      <c r="C14" s="20" t="s">
        <v>25</v>
      </c>
      <c r="D14" s="163">
        <v>105</v>
      </c>
      <c r="E14" s="164">
        <v>0</v>
      </c>
      <c r="F14" s="165">
        <v>0</v>
      </c>
      <c r="G14" s="165">
        <v>12</v>
      </c>
      <c r="H14" s="165">
        <v>0</v>
      </c>
      <c r="I14" s="165">
        <v>0</v>
      </c>
      <c r="J14" s="164">
        <v>0</v>
      </c>
      <c r="K14" s="165">
        <v>177</v>
      </c>
      <c r="L14" s="164">
        <v>0</v>
      </c>
      <c r="M14" s="165">
        <v>52</v>
      </c>
      <c r="N14" s="164">
        <v>0</v>
      </c>
      <c r="O14" s="166">
        <v>7</v>
      </c>
      <c r="P14" s="166">
        <v>0</v>
      </c>
      <c r="Q14" s="125">
        <f>SUM(D14:P14)</f>
        <v>353</v>
      </c>
      <c r="R14" s="133"/>
      <c r="S14" s="298"/>
      <c r="T14" s="305"/>
      <c r="U14" s="20" t="s">
        <v>25</v>
      </c>
      <c r="V14" s="163">
        <v>99</v>
      </c>
      <c r="W14" s="164">
        <v>0</v>
      </c>
      <c r="X14" s="165">
        <v>3</v>
      </c>
      <c r="Y14" s="165">
        <v>2</v>
      </c>
      <c r="Z14" s="165">
        <v>0</v>
      </c>
      <c r="AA14" s="165">
        <v>0</v>
      </c>
      <c r="AB14" s="164">
        <v>0</v>
      </c>
      <c r="AC14" s="165">
        <v>188</v>
      </c>
      <c r="AD14" s="164">
        <v>0</v>
      </c>
      <c r="AE14" s="165">
        <v>58</v>
      </c>
      <c r="AF14" s="164">
        <v>18</v>
      </c>
      <c r="AG14" s="166">
        <v>4</v>
      </c>
      <c r="AH14" s="166">
        <v>0</v>
      </c>
      <c r="AI14" s="125">
        <f>SUM(V14:AH14)</f>
        <v>372</v>
      </c>
      <c r="AJ14" s="133"/>
      <c r="AK14" s="298"/>
      <c r="AL14" s="305"/>
      <c r="AM14" s="20" t="s">
        <v>25</v>
      </c>
      <c r="AN14" s="163">
        <v>112</v>
      </c>
      <c r="AO14" s="164">
        <v>0</v>
      </c>
      <c r="AP14" s="165">
        <v>0</v>
      </c>
      <c r="AQ14" s="165">
        <v>18</v>
      </c>
      <c r="AR14" s="165">
        <v>54</v>
      </c>
      <c r="AS14" s="165">
        <v>0</v>
      </c>
      <c r="AT14" s="164">
        <v>124</v>
      </c>
      <c r="AU14" s="165">
        <v>210</v>
      </c>
      <c r="AV14" s="164">
        <v>302</v>
      </c>
      <c r="AW14" s="165">
        <v>121</v>
      </c>
      <c r="AX14" s="164">
        <v>24</v>
      </c>
      <c r="AY14" s="166">
        <v>0</v>
      </c>
      <c r="AZ14" s="166">
        <v>5</v>
      </c>
      <c r="BA14" s="125">
        <f>SUM(AN14:AZ14)</f>
        <v>970</v>
      </c>
      <c r="BB14" s="133"/>
      <c r="BC14" s="298"/>
      <c r="BD14" s="305"/>
      <c r="BE14" s="20" t="s">
        <v>25</v>
      </c>
      <c r="BF14" s="163">
        <v>266</v>
      </c>
      <c r="BG14" s="164">
        <v>2</v>
      </c>
      <c r="BH14" s="165">
        <v>10</v>
      </c>
      <c r="BI14" s="165">
        <v>3</v>
      </c>
      <c r="BJ14" s="165">
        <v>10</v>
      </c>
      <c r="BK14" s="165">
        <v>2</v>
      </c>
      <c r="BL14" s="164">
        <v>0</v>
      </c>
      <c r="BM14" s="165">
        <v>188</v>
      </c>
      <c r="BN14" s="164">
        <v>0</v>
      </c>
      <c r="BO14" s="165">
        <v>33</v>
      </c>
      <c r="BP14" s="164">
        <v>18</v>
      </c>
      <c r="BQ14" s="166">
        <v>12</v>
      </c>
      <c r="BR14" s="22">
        <v>0</v>
      </c>
      <c r="BS14" s="125">
        <f>SUM(BF14:BR14)</f>
        <v>544</v>
      </c>
      <c r="BT14" s="133"/>
      <c r="BU14" s="298"/>
      <c r="BV14" s="305"/>
      <c r="BW14" s="20" t="s">
        <v>25</v>
      </c>
      <c r="BX14" s="163">
        <v>100</v>
      </c>
      <c r="BY14" s="164">
        <v>0</v>
      </c>
      <c r="BZ14" s="165">
        <v>0</v>
      </c>
      <c r="CA14" s="165">
        <v>11</v>
      </c>
      <c r="CB14" s="165">
        <v>0</v>
      </c>
      <c r="CC14" s="165">
        <v>0</v>
      </c>
      <c r="CD14" s="164">
        <v>0</v>
      </c>
      <c r="CE14" s="165">
        <v>173</v>
      </c>
      <c r="CF14" s="164">
        <v>0</v>
      </c>
      <c r="CG14" s="165">
        <v>51</v>
      </c>
      <c r="CH14" s="164">
        <v>0</v>
      </c>
      <c r="CI14" s="166">
        <v>1</v>
      </c>
      <c r="CJ14" s="166">
        <v>0</v>
      </c>
      <c r="CK14" s="125">
        <f>SUM(BX14:CJ14)</f>
        <v>336</v>
      </c>
      <c r="CL14" s="133"/>
      <c r="CM14" s="298"/>
      <c r="CN14" s="305"/>
      <c r="CO14" s="20" t="s">
        <v>25</v>
      </c>
      <c r="CP14" s="163">
        <v>1911</v>
      </c>
      <c r="CQ14" s="164">
        <v>9</v>
      </c>
      <c r="CR14" s="165">
        <v>59</v>
      </c>
      <c r="CS14" s="165">
        <v>199</v>
      </c>
      <c r="CT14" s="165">
        <v>148</v>
      </c>
      <c r="CU14" s="165">
        <v>65</v>
      </c>
      <c r="CV14" s="164">
        <v>375</v>
      </c>
      <c r="CW14" s="165">
        <v>1995</v>
      </c>
      <c r="CX14" s="164">
        <v>707</v>
      </c>
      <c r="CY14" s="165">
        <v>612</v>
      </c>
      <c r="CZ14" s="164">
        <v>204</v>
      </c>
      <c r="DA14" s="166">
        <v>85</v>
      </c>
      <c r="DB14" s="166">
        <v>5</v>
      </c>
      <c r="DC14" s="25">
        <f>SUM(CP14:DB14)</f>
        <v>6374</v>
      </c>
      <c r="DD14" s="107"/>
      <c r="DE14" s="298"/>
      <c r="DF14" s="305"/>
      <c r="DG14" s="20" t="s">
        <v>25</v>
      </c>
      <c r="DH14" s="163">
        <v>124</v>
      </c>
      <c r="DI14" s="164">
        <v>0</v>
      </c>
      <c r="DJ14" s="165">
        <v>0</v>
      </c>
      <c r="DK14" s="165">
        <v>9</v>
      </c>
      <c r="DL14" s="165">
        <v>0</v>
      </c>
      <c r="DM14" s="165">
        <v>0</v>
      </c>
      <c r="DN14" s="164">
        <v>0</v>
      </c>
      <c r="DO14" s="165">
        <v>183</v>
      </c>
      <c r="DP14" s="164">
        <v>0</v>
      </c>
      <c r="DQ14" s="165">
        <v>62</v>
      </c>
      <c r="DR14" s="164">
        <v>0</v>
      </c>
      <c r="DS14" s="166">
        <v>8</v>
      </c>
      <c r="DT14" s="166">
        <v>0</v>
      </c>
      <c r="DU14" s="167">
        <v>386</v>
      </c>
      <c r="DV14" s="107"/>
      <c r="DW14" s="298"/>
      <c r="DX14" s="305"/>
      <c r="DY14" s="20" t="s">
        <v>25</v>
      </c>
      <c r="DZ14" s="224">
        <v>1911</v>
      </c>
      <c r="EA14" s="225">
        <v>9</v>
      </c>
      <c r="EB14" s="226">
        <v>59</v>
      </c>
      <c r="EC14" s="226">
        <v>199</v>
      </c>
      <c r="ED14" s="226">
        <v>148</v>
      </c>
      <c r="EE14" s="226">
        <v>65</v>
      </c>
      <c r="EF14" s="225">
        <v>375</v>
      </c>
      <c r="EG14" s="226">
        <v>1995</v>
      </c>
      <c r="EH14" s="225">
        <v>707</v>
      </c>
      <c r="EI14" s="226">
        <v>612</v>
      </c>
      <c r="EJ14" s="225">
        <v>204</v>
      </c>
      <c r="EK14" s="227">
        <v>85</v>
      </c>
      <c r="EL14" s="227">
        <v>5</v>
      </c>
      <c r="EM14" s="228">
        <f t="shared" si="36"/>
        <v>6374</v>
      </c>
      <c r="EN14" s="107"/>
      <c r="EO14" s="298"/>
      <c r="EP14" s="305"/>
      <c r="EQ14" s="20" t="s">
        <v>25</v>
      </c>
      <c r="ER14" s="244">
        <v>138</v>
      </c>
      <c r="ES14" s="245">
        <v>1</v>
      </c>
      <c r="ET14" s="244">
        <v>0</v>
      </c>
      <c r="EU14" s="246">
        <v>0</v>
      </c>
      <c r="EV14" s="247">
        <v>0</v>
      </c>
      <c r="EW14" s="247">
        <v>0</v>
      </c>
      <c r="EX14" s="248">
        <v>0</v>
      </c>
      <c r="EY14" s="249">
        <v>195</v>
      </c>
      <c r="EZ14" s="250">
        <v>0</v>
      </c>
      <c r="FA14" s="249">
        <v>22</v>
      </c>
      <c r="FB14" s="245">
        <v>2</v>
      </c>
      <c r="FC14" s="251">
        <v>2</v>
      </c>
      <c r="FD14" s="251">
        <v>0</v>
      </c>
      <c r="FE14" s="281">
        <f t="shared" si="37"/>
        <v>360</v>
      </c>
      <c r="FF14" s="107"/>
      <c r="FG14" s="298"/>
      <c r="FH14" s="305"/>
      <c r="FI14" s="20" t="s">
        <v>25</v>
      </c>
      <c r="FJ14" s="12">
        <v>0</v>
      </c>
      <c r="FK14" s="18">
        <v>0</v>
      </c>
      <c r="FL14" s="12">
        <v>0</v>
      </c>
      <c r="FM14" s="13">
        <v>0</v>
      </c>
      <c r="FN14" s="15">
        <v>0</v>
      </c>
      <c r="FO14" s="15">
        <v>0</v>
      </c>
      <c r="FP14" s="16">
        <v>0</v>
      </c>
      <c r="FQ14" s="17">
        <v>0</v>
      </c>
      <c r="FR14" s="14">
        <v>0</v>
      </c>
      <c r="FS14" s="17">
        <v>0</v>
      </c>
      <c r="FT14" s="18">
        <v>0</v>
      </c>
      <c r="FU14" s="22">
        <v>0</v>
      </c>
      <c r="FV14" s="22">
        <v>0</v>
      </c>
      <c r="FW14" s="25">
        <f>SUM(FJ14:FV14)</f>
        <v>0</v>
      </c>
      <c r="FX14" s="107"/>
      <c r="FY14" s="298"/>
      <c r="FZ14" s="305"/>
      <c r="GA14" s="20" t="s">
        <v>25</v>
      </c>
      <c r="GB14" s="12">
        <v>0</v>
      </c>
      <c r="GC14" s="18">
        <v>0</v>
      </c>
      <c r="GD14" s="12">
        <v>0</v>
      </c>
      <c r="GE14" s="13">
        <v>0</v>
      </c>
      <c r="GF14" s="15">
        <v>0</v>
      </c>
      <c r="GG14" s="15">
        <v>0</v>
      </c>
      <c r="GH14" s="16">
        <v>0</v>
      </c>
      <c r="GI14" s="17">
        <v>0</v>
      </c>
      <c r="GJ14" s="14">
        <v>0</v>
      </c>
      <c r="GK14" s="17">
        <v>0</v>
      </c>
      <c r="GL14" s="18">
        <v>0</v>
      </c>
      <c r="GM14" s="22">
        <v>0</v>
      </c>
      <c r="GN14" s="22">
        <v>0</v>
      </c>
      <c r="GO14" s="25">
        <f>SUM(GB14:GN14)</f>
        <v>0</v>
      </c>
      <c r="GP14" s="107"/>
      <c r="GQ14" s="298"/>
      <c r="GR14" s="305"/>
      <c r="GS14" s="20" t="s">
        <v>25</v>
      </c>
      <c r="GT14" s="12">
        <v>0</v>
      </c>
      <c r="GU14" s="18">
        <v>0</v>
      </c>
      <c r="GV14" s="12">
        <v>0</v>
      </c>
      <c r="GW14" s="13">
        <v>0</v>
      </c>
      <c r="GX14" s="15">
        <v>0</v>
      </c>
      <c r="GY14" s="15">
        <v>0</v>
      </c>
      <c r="GZ14" s="16">
        <v>0</v>
      </c>
      <c r="HA14" s="17">
        <v>0</v>
      </c>
      <c r="HB14" s="14">
        <v>0</v>
      </c>
      <c r="HC14" s="17">
        <v>0</v>
      </c>
      <c r="HD14" s="18">
        <v>0</v>
      </c>
      <c r="HE14" s="22">
        <v>0</v>
      </c>
      <c r="HF14" s="22">
        <v>0</v>
      </c>
      <c r="HG14" s="25">
        <f>SUM(GT14:HF14)</f>
        <v>0</v>
      </c>
      <c r="HH14" s="107"/>
      <c r="HI14" s="298"/>
      <c r="HJ14" s="305"/>
      <c r="HK14" s="20" t="s">
        <v>25</v>
      </c>
      <c r="HL14" s="12">
        <f t="shared" si="38"/>
        <v>4766</v>
      </c>
      <c r="HM14" s="14">
        <f t="shared" si="39"/>
        <v>21</v>
      </c>
      <c r="HN14" s="17">
        <f t="shared" si="40"/>
        <v>131</v>
      </c>
      <c r="HO14" s="13">
        <f t="shared" si="41"/>
        <v>453</v>
      </c>
      <c r="HP14" s="13">
        <f t="shared" si="42"/>
        <v>360</v>
      </c>
      <c r="HQ14" s="13">
        <f t="shared" si="43"/>
        <v>132</v>
      </c>
      <c r="HR14" s="14">
        <f t="shared" si="44"/>
        <v>874</v>
      </c>
      <c r="HS14" s="17">
        <f t="shared" si="45"/>
        <v>5304</v>
      </c>
      <c r="HT14" s="14">
        <f t="shared" si="46"/>
        <v>1716</v>
      </c>
      <c r="HU14" s="17">
        <f t="shared" si="47"/>
        <v>1623</v>
      </c>
      <c r="HV14" s="14">
        <f t="shared" si="48"/>
        <v>470</v>
      </c>
      <c r="HW14" s="45">
        <f t="shared" si="49"/>
        <v>204</v>
      </c>
      <c r="HX14" s="45">
        <f t="shared" si="50"/>
        <v>15</v>
      </c>
      <c r="HY14" s="39">
        <f>SUM(HL14:HX14)</f>
        <v>16069</v>
      </c>
      <c r="HZ14" s="28"/>
    </row>
    <row r="15" spans="1:234" s="11" customFormat="1" ht="20.100000000000001" customHeight="1" thickTop="1" thickBot="1" x14ac:dyDescent="0.25">
      <c r="A15" s="298"/>
      <c r="B15" s="295" t="s">
        <v>26</v>
      </c>
      <c r="C15" s="296"/>
      <c r="D15" s="375">
        <v>197</v>
      </c>
      <c r="E15" s="377"/>
      <c r="F15" s="375">
        <v>12</v>
      </c>
      <c r="G15" s="376"/>
      <c r="H15" s="376"/>
      <c r="I15" s="376"/>
      <c r="J15" s="377"/>
      <c r="K15" s="375">
        <v>306</v>
      </c>
      <c r="L15" s="377"/>
      <c r="M15" s="375">
        <v>89</v>
      </c>
      <c r="N15" s="377"/>
      <c r="O15" s="167">
        <v>9</v>
      </c>
      <c r="P15" s="167">
        <v>0</v>
      </c>
      <c r="Q15" s="126">
        <f>SUM(Q13:Q14)</f>
        <v>613</v>
      </c>
      <c r="R15" s="133"/>
      <c r="S15" s="298"/>
      <c r="T15" s="295" t="s">
        <v>26</v>
      </c>
      <c r="U15" s="296"/>
      <c r="V15" s="375">
        <v>204</v>
      </c>
      <c r="W15" s="377"/>
      <c r="X15" s="375">
        <v>5</v>
      </c>
      <c r="Y15" s="376"/>
      <c r="Z15" s="376"/>
      <c r="AA15" s="376"/>
      <c r="AB15" s="377"/>
      <c r="AC15" s="375">
        <v>324</v>
      </c>
      <c r="AD15" s="377"/>
      <c r="AE15" s="375">
        <v>118</v>
      </c>
      <c r="AF15" s="377"/>
      <c r="AG15" s="167">
        <v>11</v>
      </c>
      <c r="AH15" s="167">
        <v>0</v>
      </c>
      <c r="AI15" s="126">
        <f>SUM(AI13:AI14)</f>
        <v>662</v>
      </c>
      <c r="AJ15" s="133"/>
      <c r="AK15" s="298"/>
      <c r="AL15" s="295" t="s">
        <v>26</v>
      </c>
      <c r="AM15" s="296"/>
      <c r="AN15" s="375">
        <v>222</v>
      </c>
      <c r="AO15" s="377"/>
      <c r="AP15" s="375">
        <v>375</v>
      </c>
      <c r="AQ15" s="376"/>
      <c r="AR15" s="376"/>
      <c r="AS15" s="376"/>
      <c r="AT15" s="377"/>
      <c r="AU15" s="375">
        <v>959</v>
      </c>
      <c r="AV15" s="377"/>
      <c r="AW15" s="375">
        <v>197</v>
      </c>
      <c r="AX15" s="377"/>
      <c r="AY15" s="167">
        <v>0</v>
      </c>
      <c r="AZ15" s="167">
        <v>7</v>
      </c>
      <c r="BA15" s="126">
        <f>SUM(BA13:BA14)</f>
        <v>1760</v>
      </c>
      <c r="BB15" s="133"/>
      <c r="BC15" s="298"/>
      <c r="BD15" s="295" t="s">
        <v>26</v>
      </c>
      <c r="BE15" s="296"/>
      <c r="BF15" s="375">
        <v>418</v>
      </c>
      <c r="BG15" s="377"/>
      <c r="BH15" s="375">
        <v>41</v>
      </c>
      <c r="BI15" s="376"/>
      <c r="BJ15" s="376"/>
      <c r="BK15" s="376"/>
      <c r="BL15" s="377"/>
      <c r="BM15" s="375">
        <v>399</v>
      </c>
      <c r="BN15" s="377"/>
      <c r="BO15" s="375">
        <v>106</v>
      </c>
      <c r="BP15" s="377"/>
      <c r="BQ15" s="167">
        <v>37</v>
      </c>
      <c r="BR15" s="94">
        <f>SUM(BR13:BR14)</f>
        <v>0</v>
      </c>
      <c r="BS15" s="126">
        <f>SUM(BS13:BS14)</f>
        <v>1001</v>
      </c>
      <c r="BT15" s="133"/>
      <c r="BU15" s="298"/>
      <c r="BV15" s="295" t="s">
        <v>26</v>
      </c>
      <c r="BW15" s="296"/>
      <c r="BX15" s="375">
        <v>195</v>
      </c>
      <c r="BY15" s="377"/>
      <c r="BZ15" s="375">
        <v>11</v>
      </c>
      <c r="CA15" s="376"/>
      <c r="CB15" s="376"/>
      <c r="CC15" s="376"/>
      <c r="CD15" s="377"/>
      <c r="CE15" s="375">
        <v>291</v>
      </c>
      <c r="CF15" s="377"/>
      <c r="CG15" s="375">
        <v>84</v>
      </c>
      <c r="CH15" s="377"/>
      <c r="CI15" s="167">
        <v>3</v>
      </c>
      <c r="CJ15" s="167">
        <v>0</v>
      </c>
      <c r="CK15" s="126">
        <f>SUM(CK13:CK14)</f>
        <v>584</v>
      </c>
      <c r="CL15" s="133"/>
      <c r="CM15" s="298"/>
      <c r="CN15" s="295" t="s">
        <v>26</v>
      </c>
      <c r="CO15" s="296"/>
      <c r="CP15" s="375">
        <v>3256</v>
      </c>
      <c r="CQ15" s="377"/>
      <c r="CR15" s="375">
        <v>1397</v>
      </c>
      <c r="CS15" s="376"/>
      <c r="CT15" s="376"/>
      <c r="CU15" s="376"/>
      <c r="CV15" s="377"/>
      <c r="CW15" s="375">
        <v>5024</v>
      </c>
      <c r="CX15" s="377"/>
      <c r="CY15" s="375">
        <v>1308</v>
      </c>
      <c r="CZ15" s="377"/>
      <c r="DA15" s="167">
        <v>245</v>
      </c>
      <c r="DB15" s="167">
        <v>7</v>
      </c>
      <c r="DC15" s="26">
        <f>SUM(DC13:DC14)</f>
        <v>11237</v>
      </c>
      <c r="DD15" s="107"/>
      <c r="DE15" s="298"/>
      <c r="DF15" s="295" t="s">
        <v>26</v>
      </c>
      <c r="DG15" s="296"/>
      <c r="DH15" s="375">
        <v>243</v>
      </c>
      <c r="DI15" s="377"/>
      <c r="DJ15" s="375">
        <v>9</v>
      </c>
      <c r="DK15" s="376"/>
      <c r="DL15" s="376"/>
      <c r="DM15" s="376"/>
      <c r="DN15" s="377"/>
      <c r="DO15" s="375">
        <v>336</v>
      </c>
      <c r="DP15" s="377"/>
      <c r="DQ15" s="375">
        <v>105</v>
      </c>
      <c r="DR15" s="377"/>
      <c r="DS15" s="167">
        <v>14</v>
      </c>
      <c r="DT15" s="167">
        <v>0</v>
      </c>
      <c r="DU15" s="210">
        <v>707</v>
      </c>
      <c r="DV15" s="107"/>
      <c r="DW15" s="298"/>
      <c r="DX15" s="295" t="s">
        <v>26</v>
      </c>
      <c r="DY15" s="296"/>
      <c r="DZ15" s="359">
        <f>SUM(DZ13:EA14)</f>
        <v>3256</v>
      </c>
      <c r="EA15" s="361"/>
      <c r="EB15" s="359">
        <f>SUM(EB13:EF14)</f>
        <v>1397</v>
      </c>
      <c r="EC15" s="360"/>
      <c r="ED15" s="360"/>
      <c r="EE15" s="360"/>
      <c r="EF15" s="361"/>
      <c r="EG15" s="359">
        <f>SUM(EG13:EH14)</f>
        <v>5024</v>
      </c>
      <c r="EH15" s="361"/>
      <c r="EI15" s="359">
        <f>SUM(EI13:EJ14)</f>
        <v>1308</v>
      </c>
      <c r="EJ15" s="361"/>
      <c r="EK15" s="229">
        <f t="shared" ref="EK15:EM15" si="51">SUM(EK13:EK14)</f>
        <v>245</v>
      </c>
      <c r="EL15" s="229">
        <f t="shared" si="51"/>
        <v>7</v>
      </c>
      <c r="EM15" s="230">
        <f t="shared" si="51"/>
        <v>11237</v>
      </c>
      <c r="EN15" s="107"/>
      <c r="EO15" s="298"/>
      <c r="EP15" s="295" t="s">
        <v>26</v>
      </c>
      <c r="EQ15" s="296"/>
      <c r="ER15" s="359">
        <f>SUM(ER13:ES14)</f>
        <v>241</v>
      </c>
      <c r="ES15" s="361"/>
      <c r="ET15" s="359">
        <f>SUM(ET13:EX14)</f>
        <v>0</v>
      </c>
      <c r="EU15" s="360"/>
      <c r="EV15" s="360"/>
      <c r="EW15" s="360"/>
      <c r="EX15" s="361"/>
      <c r="EY15" s="359">
        <f>SUM(EY13:EZ14)</f>
        <v>342</v>
      </c>
      <c r="EZ15" s="361"/>
      <c r="FA15" s="359">
        <f>SUM(FA13:FB14)</f>
        <v>40</v>
      </c>
      <c r="FB15" s="361"/>
      <c r="FC15" s="229">
        <f t="shared" ref="FC15:FE15" si="52">SUM(FC13:FC14)</f>
        <v>2</v>
      </c>
      <c r="FD15" s="229">
        <f t="shared" si="52"/>
        <v>0</v>
      </c>
      <c r="FE15" s="282">
        <f t="shared" si="52"/>
        <v>625</v>
      </c>
      <c r="FF15" s="107"/>
      <c r="FG15" s="298"/>
      <c r="FH15" s="295" t="s">
        <v>26</v>
      </c>
      <c r="FI15" s="296"/>
      <c r="FJ15" s="306">
        <f>SUM(FJ13:FK14)</f>
        <v>0</v>
      </c>
      <c r="FK15" s="307"/>
      <c r="FL15" s="306">
        <f>SUM(FL13:FP14)</f>
        <v>0</v>
      </c>
      <c r="FM15" s="368"/>
      <c r="FN15" s="368"/>
      <c r="FO15" s="368"/>
      <c r="FP15" s="307"/>
      <c r="FQ15" s="306">
        <f>SUM(FQ13:FR14)</f>
        <v>0</v>
      </c>
      <c r="FR15" s="307"/>
      <c r="FS15" s="306">
        <f>SUM(FS13:FT14)</f>
        <v>0</v>
      </c>
      <c r="FT15" s="307"/>
      <c r="FU15" s="94">
        <f>SUM(FU13:FU14)</f>
        <v>0</v>
      </c>
      <c r="FV15" s="94">
        <f>SUM(FV13:FV14)</f>
        <v>0</v>
      </c>
      <c r="FW15" s="26">
        <f>SUM(FW13:FW14)</f>
        <v>0</v>
      </c>
      <c r="FX15" s="107"/>
      <c r="FY15" s="298"/>
      <c r="FZ15" s="295" t="s">
        <v>26</v>
      </c>
      <c r="GA15" s="296"/>
      <c r="GB15" s="306">
        <f>SUM(GB13:GC14)</f>
        <v>0</v>
      </c>
      <c r="GC15" s="307"/>
      <c r="GD15" s="306">
        <f>SUM(GD13:GH14)</f>
        <v>0</v>
      </c>
      <c r="GE15" s="368"/>
      <c r="GF15" s="368"/>
      <c r="GG15" s="368"/>
      <c r="GH15" s="307"/>
      <c r="GI15" s="306">
        <f>SUM(GI13:GJ14)</f>
        <v>0</v>
      </c>
      <c r="GJ15" s="307"/>
      <c r="GK15" s="306">
        <f>SUM(GK13:GL14)</f>
        <v>0</v>
      </c>
      <c r="GL15" s="307"/>
      <c r="GM15" s="94">
        <f>SUM(GM13:GM14)</f>
        <v>0</v>
      </c>
      <c r="GN15" s="94">
        <f>SUM(GN13:GN14)</f>
        <v>0</v>
      </c>
      <c r="GO15" s="26">
        <f>SUM(GO13:GO14)</f>
        <v>0</v>
      </c>
      <c r="GP15" s="107"/>
      <c r="GQ15" s="298"/>
      <c r="GR15" s="295" t="s">
        <v>26</v>
      </c>
      <c r="GS15" s="296"/>
      <c r="GT15" s="306">
        <f>SUM(GT13:GU14)</f>
        <v>0</v>
      </c>
      <c r="GU15" s="307"/>
      <c r="GV15" s="306">
        <f>SUM(GV13:GZ14)</f>
        <v>0</v>
      </c>
      <c r="GW15" s="368"/>
      <c r="GX15" s="368"/>
      <c r="GY15" s="368"/>
      <c r="GZ15" s="307"/>
      <c r="HA15" s="306">
        <f>SUM(HA13:HB14)</f>
        <v>0</v>
      </c>
      <c r="HB15" s="307"/>
      <c r="HC15" s="306">
        <f>SUM(HC13:HD14)</f>
        <v>0</v>
      </c>
      <c r="HD15" s="307"/>
      <c r="HE15" s="94">
        <f>SUM(HE13:HE14)</f>
        <v>0</v>
      </c>
      <c r="HF15" s="94">
        <f>SUM(HF13:HF14)</f>
        <v>0</v>
      </c>
      <c r="HG15" s="26">
        <f>SUM(HG13:HG14)</f>
        <v>0</v>
      </c>
      <c r="HH15" s="107"/>
      <c r="HI15" s="298"/>
      <c r="HJ15" s="295" t="s">
        <v>26</v>
      </c>
      <c r="HK15" s="313"/>
      <c r="HL15" s="306">
        <f>SUM(HL13:HM14)</f>
        <v>8232</v>
      </c>
      <c r="HM15" s="307"/>
      <c r="HN15" s="306">
        <f>SUM(HN13:HR14)</f>
        <v>3247</v>
      </c>
      <c r="HO15" s="368"/>
      <c r="HP15" s="368"/>
      <c r="HQ15" s="368"/>
      <c r="HR15" s="307"/>
      <c r="HS15" s="306">
        <f>SUM(HS13:HT14)</f>
        <v>13005</v>
      </c>
      <c r="HT15" s="307"/>
      <c r="HU15" s="306">
        <f>SUM(HU13:HV14)</f>
        <v>3355</v>
      </c>
      <c r="HV15" s="307"/>
      <c r="HW15" s="43">
        <f>SUM(HW13:HW14)</f>
        <v>566</v>
      </c>
      <c r="HX15" s="43">
        <f>SUM(HX13:HX14)</f>
        <v>21</v>
      </c>
      <c r="HY15" s="26">
        <f>SUM(HY13:HY14)</f>
        <v>28426</v>
      </c>
      <c r="HZ15" s="28"/>
    </row>
    <row r="16" spans="1:234" s="11" customFormat="1" ht="20.100000000000001" customHeight="1" thickBot="1" x14ac:dyDescent="0.25">
      <c r="A16" s="298"/>
      <c r="B16" s="311" t="s">
        <v>27</v>
      </c>
      <c r="C16" s="19" t="s">
        <v>24</v>
      </c>
      <c r="D16" s="168">
        <v>52</v>
      </c>
      <c r="E16" s="169">
        <v>0</v>
      </c>
      <c r="F16" s="170">
        <v>0</v>
      </c>
      <c r="G16" s="170">
        <v>0</v>
      </c>
      <c r="H16" s="170">
        <v>0</v>
      </c>
      <c r="I16" s="171">
        <v>0</v>
      </c>
      <c r="J16" s="169">
        <v>0</v>
      </c>
      <c r="K16" s="170">
        <v>27</v>
      </c>
      <c r="L16" s="169">
        <v>0</v>
      </c>
      <c r="M16" s="170">
        <v>14</v>
      </c>
      <c r="N16" s="172">
        <v>0</v>
      </c>
      <c r="O16" s="173">
        <v>1</v>
      </c>
      <c r="P16" s="173">
        <v>0</v>
      </c>
      <c r="Q16" s="124">
        <f>SUM(D16:P16)</f>
        <v>94</v>
      </c>
      <c r="R16" s="133"/>
      <c r="S16" s="298"/>
      <c r="T16" s="311" t="s">
        <v>27</v>
      </c>
      <c r="U16" s="19" t="s">
        <v>24</v>
      </c>
      <c r="V16" s="168">
        <v>66</v>
      </c>
      <c r="W16" s="169">
        <v>0</v>
      </c>
      <c r="X16" s="170">
        <v>0</v>
      </c>
      <c r="Y16" s="170">
        <v>1</v>
      </c>
      <c r="Z16" s="170">
        <v>0</v>
      </c>
      <c r="AA16" s="171">
        <v>0</v>
      </c>
      <c r="AB16" s="169">
        <v>0</v>
      </c>
      <c r="AC16" s="170">
        <v>34</v>
      </c>
      <c r="AD16" s="169">
        <v>0</v>
      </c>
      <c r="AE16" s="170">
        <v>19</v>
      </c>
      <c r="AF16" s="172">
        <v>0</v>
      </c>
      <c r="AG16" s="173">
        <v>0</v>
      </c>
      <c r="AH16" s="173">
        <v>0</v>
      </c>
      <c r="AI16" s="124">
        <f>SUM(V16:AH16)</f>
        <v>120</v>
      </c>
      <c r="AJ16" s="133"/>
      <c r="AK16" s="298"/>
      <c r="AL16" s="311" t="s">
        <v>27</v>
      </c>
      <c r="AM16" s="19" t="s">
        <v>24</v>
      </c>
      <c r="AN16" s="168">
        <v>95</v>
      </c>
      <c r="AO16" s="169">
        <v>0</v>
      </c>
      <c r="AP16" s="170">
        <v>0</v>
      </c>
      <c r="AQ16" s="170">
        <v>5</v>
      </c>
      <c r="AR16" s="170">
        <v>1</v>
      </c>
      <c r="AS16" s="171">
        <v>0</v>
      </c>
      <c r="AT16" s="169">
        <v>123</v>
      </c>
      <c r="AU16" s="170">
        <v>102</v>
      </c>
      <c r="AV16" s="169">
        <v>185</v>
      </c>
      <c r="AW16" s="170">
        <v>12</v>
      </c>
      <c r="AX16" s="172">
        <v>0</v>
      </c>
      <c r="AY16" s="173">
        <v>0</v>
      </c>
      <c r="AZ16" s="173">
        <v>0</v>
      </c>
      <c r="BA16" s="124">
        <f>SUM(AN16:AZ16)</f>
        <v>523</v>
      </c>
      <c r="BB16" s="133"/>
      <c r="BC16" s="298"/>
      <c r="BD16" s="311" t="s">
        <v>27</v>
      </c>
      <c r="BE16" s="19" t="s">
        <v>24</v>
      </c>
      <c r="BF16" s="168">
        <v>140</v>
      </c>
      <c r="BG16" s="169">
        <v>0</v>
      </c>
      <c r="BH16" s="170">
        <v>0</v>
      </c>
      <c r="BI16" s="170">
        <v>0</v>
      </c>
      <c r="BJ16" s="170">
        <v>0</v>
      </c>
      <c r="BK16" s="171">
        <v>0</v>
      </c>
      <c r="BL16" s="169">
        <v>0</v>
      </c>
      <c r="BM16" s="170">
        <v>70</v>
      </c>
      <c r="BN16" s="169">
        <v>0</v>
      </c>
      <c r="BO16" s="170">
        <v>19</v>
      </c>
      <c r="BP16" s="172">
        <v>0</v>
      </c>
      <c r="BQ16" s="173">
        <v>7</v>
      </c>
      <c r="BR16" s="21">
        <v>0</v>
      </c>
      <c r="BS16" s="124">
        <f>SUM(BF16:BR16)</f>
        <v>236</v>
      </c>
      <c r="BT16" s="133"/>
      <c r="BU16" s="298"/>
      <c r="BV16" s="311" t="s">
        <v>27</v>
      </c>
      <c r="BW16" s="19" t="s">
        <v>24</v>
      </c>
      <c r="BX16" s="168">
        <v>49</v>
      </c>
      <c r="BY16" s="169">
        <v>0</v>
      </c>
      <c r="BZ16" s="170">
        <v>0</v>
      </c>
      <c r="CA16" s="170">
        <v>0</v>
      </c>
      <c r="CB16" s="170">
        <v>0</v>
      </c>
      <c r="CC16" s="171">
        <v>0</v>
      </c>
      <c r="CD16" s="169">
        <v>0</v>
      </c>
      <c r="CE16" s="170">
        <v>23</v>
      </c>
      <c r="CF16" s="169">
        <v>0</v>
      </c>
      <c r="CG16" s="170">
        <v>12</v>
      </c>
      <c r="CH16" s="172">
        <v>0</v>
      </c>
      <c r="CI16" s="173">
        <v>0</v>
      </c>
      <c r="CJ16" s="173">
        <v>0</v>
      </c>
      <c r="CK16" s="124">
        <f>SUM(BX16:CJ16)</f>
        <v>84</v>
      </c>
      <c r="CL16" s="133"/>
      <c r="CM16" s="298"/>
      <c r="CN16" s="311" t="s">
        <v>27</v>
      </c>
      <c r="CO16" s="19" t="s">
        <v>24</v>
      </c>
      <c r="CP16" s="168">
        <v>0</v>
      </c>
      <c r="CQ16" s="169">
        <v>0</v>
      </c>
      <c r="CR16" s="170">
        <v>0</v>
      </c>
      <c r="CS16" s="170">
        <v>0</v>
      </c>
      <c r="CT16" s="170">
        <v>0</v>
      </c>
      <c r="CU16" s="171">
        <v>0</v>
      </c>
      <c r="CV16" s="169">
        <v>0</v>
      </c>
      <c r="CW16" s="170">
        <v>0</v>
      </c>
      <c r="CX16" s="169">
        <v>0</v>
      </c>
      <c r="CY16" s="170">
        <v>0</v>
      </c>
      <c r="CZ16" s="172">
        <v>0</v>
      </c>
      <c r="DA16" s="173">
        <v>0</v>
      </c>
      <c r="DB16" s="173">
        <v>0</v>
      </c>
      <c r="DC16" s="24">
        <f>SUM(CP16:DB16)</f>
        <v>0</v>
      </c>
      <c r="DD16" s="107"/>
      <c r="DE16" s="298"/>
      <c r="DF16" s="311" t="s">
        <v>27</v>
      </c>
      <c r="DG16" s="19" t="s">
        <v>24</v>
      </c>
      <c r="DH16" s="168">
        <v>66</v>
      </c>
      <c r="DI16" s="169">
        <v>0</v>
      </c>
      <c r="DJ16" s="170">
        <v>0</v>
      </c>
      <c r="DK16" s="170">
        <v>0</v>
      </c>
      <c r="DL16" s="170">
        <v>0</v>
      </c>
      <c r="DM16" s="171">
        <v>0</v>
      </c>
      <c r="DN16" s="169">
        <v>0</v>
      </c>
      <c r="DO16" s="170">
        <v>92</v>
      </c>
      <c r="DP16" s="169">
        <v>0</v>
      </c>
      <c r="DQ16" s="170">
        <v>29</v>
      </c>
      <c r="DR16" s="172">
        <v>0</v>
      </c>
      <c r="DS16" s="173">
        <v>0</v>
      </c>
      <c r="DT16" s="173">
        <v>0</v>
      </c>
      <c r="DU16" s="211">
        <v>187</v>
      </c>
      <c r="DV16" s="107"/>
      <c r="DW16" s="298"/>
      <c r="DX16" s="311" t="s">
        <v>27</v>
      </c>
      <c r="DY16" s="19" t="s">
        <v>24</v>
      </c>
      <c r="DZ16" s="233">
        <v>0</v>
      </c>
      <c r="EA16" s="234">
        <v>0</v>
      </c>
      <c r="EB16" s="233">
        <v>0</v>
      </c>
      <c r="EC16" s="235">
        <v>0</v>
      </c>
      <c r="ED16" s="236">
        <v>0</v>
      </c>
      <c r="EE16" s="237">
        <v>0</v>
      </c>
      <c r="EF16" s="238">
        <v>0</v>
      </c>
      <c r="EG16" s="239">
        <v>0</v>
      </c>
      <c r="EH16" s="240">
        <v>0</v>
      </c>
      <c r="EI16" s="241">
        <v>0</v>
      </c>
      <c r="EJ16" s="242">
        <v>0</v>
      </c>
      <c r="EK16" s="243">
        <v>0</v>
      </c>
      <c r="EL16" s="243">
        <v>0</v>
      </c>
      <c r="EM16" s="223">
        <f t="shared" ref="EM16:EM17" si="53">SUM(DZ16:EL16)</f>
        <v>0</v>
      </c>
      <c r="EN16" s="107"/>
      <c r="EO16" s="298"/>
      <c r="EP16" s="311" t="s">
        <v>27</v>
      </c>
      <c r="EQ16" s="19" t="s">
        <v>24</v>
      </c>
      <c r="ER16" s="233">
        <v>32</v>
      </c>
      <c r="ES16" s="234">
        <v>0</v>
      </c>
      <c r="ET16" s="233">
        <v>0</v>
      </c>
      <c r="EU16" s="235">
        <v>0</v>
      </c>
      <c r="EV16" s="236">
        <v>0</v>
      </c>
      <c r="EW16" s="237">
        <v>0</v>
      </c>
      <c r="EX16" s="238">
        <v>0</v>
      </c>
      <c r="EY16" s="239">
        <v>49</v>
      </c>
      <c r="EZ16" s="240">
        <v>0</v>
      </c>
      <c r="FA16" s="241">
        <v>8</v>
      </c>
      <c r="FB16" s="242">
        <v>0</v>
      </c>
      <c r="FC16" s="243">
        <v>0</v>
      </c>
      <c r="FD16" s="243">
        <v>0</v>
      </c>
      <c r="FE16" s="280">
        <f t="shared" ref="FE16:FE17" si="54">SUM(ER16:FD16)</f>
        <v>89</v>
      </c>
      <c r="FF16" s="107"/>
      <c r="FG16" s="298"/>
      <c r="FH16" s="311" t="s">
        <v>27</v>
      </c>
      <c r="FI16" s="19" t="s">
        <v>24</v>
      </c>
      <c r="FJ16" s="8">
        <v>0</v>
      </c>
      <c r="FK16" s="33">
        <v>0</v>
      </c>
      <c r="FL16" s="8">
        <v>0</v>
      </c>
      <c r="FM16" s="35">
        <v>0</v>
      </c>
      <c r="FN16" s="36">
        <v>0</v>
      </c>
      <c r="FO16" s="85">
        <v>0</v>
      </c>
      <c r="FP16" s="37">
        <v>0</v>
      </c>
      <c r="FQ16" s="34">
        <v>0</v>
      </c>
      <c r="FR16" s="9">
        <v>0</v>
      </c>
      <c r="FS16" s="10">
        <v>0</v>
      </c>
      <c r="FT16" s="86">
        <v>0</v>
      </c>
      <c r="FU16" s="21">
        <v>0</v>
      </c>
      <c r="FV16" s="21">
        <v>0</v>
      </c>
      <c r="FW16" s="24">
        <f>SUM(FJ16:FV16)</f>
        <v>0</v>
      </c>
      <c r="FX16" s="107"/>
      <c r="FY16" s="298"/>
      <c r="FZ16" s="311" t="s">
        <v>27</v>
      </c>
      <c r="GA16" s="19" t="s">
        <v>24</v>
      </c>
      <c r="GB16" s="8">
        <v>0</v>
      </c>
      <c r="GC16" s="33">
        <v>0</v>
      </c>
      <c r="GD16" s="8">
        <v>0</v>
      </c>
      <c r="GE16" s="35">
        <v>0</v>
      </c>
      <c r="GF16" s="36">
        <v>0</v>
      </c>
      <c r="GG16" s="85">
        <v>0</v>
      </c>
      <c r="GH16" s="37">
        <v>0</v>
      </c>
      <c r="GI16" s="34">
        <v>0</v>
      </c>
      <c r="GJ16" s="9">
        <v>0</v>
      </c>
      <c r="GK16" s="10">
        <v>0</v>
      </c>
      <c r="GL16" s="86">
        <v>0</v>
      </c>
      <c r="GM16" s="21">
        <v>0</v>
      </c>
      <c r="GN16" s="21">
        <v>0</v>
      </c>
      <c r="GO16" s="24">
        <f>SUM(GB16:GN16)</f>
        <v>0</v>
      </c>
      <c r="GP16" s="107"/>
      <c r="GQ16" s="298"/>
      <c r="GR16" s="311" t="s">
        <v>27</v>
      </c>
      <c r="GS16" s="19" t="s">
        <v>24</v>
      </c>
      <c r="GT16" s="8">
        <v>0</v>
      </c>
      <c r="GU16" s="33">
        <v>0</v>
      </c>
      <c r="GV16" s="8">
        <v>0</v>
      </c>
      <c r="GW16" s="35">
        <v>0</v>
      </c>
      <c r="GX16" s="36">
        <v>0</v>
      </c>
      <c r="GY16" s="85">
        <v>0</v>
      </c>
      <c r="GZ16" s="37">
        <v>0</v>
      </c>
      <c r="HA16" s="34">
        <v>0</v>
      </c>
      <c r="HB16" s="9">
        <v>0</v>
      </c>
      <c r="HC16" s="10">
        <v>0</v>
      </c>
      <c r="HD16" s="86">
        <v>0</v>
      </c>
      <c r="HE16" s="21">
        <v>0</v>
      </c>
      <c r="HF16" s="21">
        <v>0</v>
      </c>
      <c r="HG16" s="24">
        <f>SUM(GT16:HF16)</f>
        <v>0</v>
      </c>
      <c r="HH16" s="107"/>
      <c r="HI16" s="298"/>
      <c r="HJ16" s="355" t="s">
        <v>27</v>
      </c>
      <c r="HK16" s="19" t="s">
        <v>24</v>
      </c>
      <c r="HL16" s="8">
        <f t="shared" ref="HL16:HL17" si="55">SUM(D16+V16+AN16+BF16+BX16+CP16+DH16+DZ16+ER16+FJ16+GB16+GT16)</f>
        <v>500</v>
      </c>
      <c r="HM16" s="9">
        <f t="shared" ref="HM16:HM17" si="56">SUM(E16+W16+AO16+BG16+BY16+CQ16+DI16+EA16+ES16+FK16+GC16+GU16)</f>
        <v>0</v>
      </c>
      <c r="HN16" s="34">
        <f t="shared" ref="HN16:HN17" si="57">SUM(F16+X16+AP16+BH16+BZ16+CR16+DJ16+EB16+ET16+FL16+GD16+GV16)</f>
        <v>0</v>
      </c>
      <c r="HO16" s="35">
        <f t="shared" ref="HO16:HO17" si="58">SUM(G16+Y16+AQ16+BI16+CA16+CS16+DK16+EC16+EU16+FM16+GE16+GW16)</f>
        <v>6</v>
      </c>
      <c r="HP16" s="35">
        <f t="shared" ref="HP16:HP17" si="59">SUM(H16+Z16+AR16+BJ16+CB16+CT16+DL16+ED16+EV16+FN16+GF16+GX16)</f>
        <v>1</v>
      </c>
      <c r="HQ16" s="46">
        <f t="shared" ref="HQ16:HQ17" si="60">SUM(I16+AA16+AS16+BK16+CC16+CU16+DM16+EE16+EW16+FO16+GG16+GY16)</f>
        <v>0</v>
      </c>
      <c r="HR16" s="9">
        <f t="shared" ref="HR16:HR17" si="61">SUM(J16+AB16+AT16+BL16+CD16+CV16+DN16+EF16+EX16+FP16+GH16+GZ16)</f>
        <v>123</v>
      </c>
      <c r="HS16" s="34">
        <f t="shared" ref="HS16:HS17" si="62">SUM(K16+AC16+AU16+BM16+CE16+CW16+DO16+EG16+EY16+FQ16+GI16+HA16)</f>
        <v>397</v>
      </c>
      <c r="HT16" s="9">
        <f t="shared" ref="HT16:HT17" si="63">SUM(L16+AD16+AV16+BN16+CF16+CX16+DP16+EH16+EZ16+FR16+GJ16+HB16)</f>
        <v>185</v>
      </c>
      <c r="HU16" s="34">
        <f t="shared" ref="HU16:HU17" si="64">SUM(M16+AE16+AW16+BO16+CG16+CY16+DQ16+EI16+FA16+FS16+GK16+HC16)</f>
        <v>113</v>
      </c>
      <c r="HV16" s="47">
        <f t="shared" ref="HV16:HV17" si="65">SUM(N16+AF16+AX16+BP16+CH16+CZ16+DR16+EJ16+FB16+FT16+GL16+HD16)</f>
        <v>0</v>
      </c>
      <c r="HW16" s="44">
        <f t="shared" ref="HW16:HW17" si="66">SUM(O16+AG16+AY16+BQ16+CI16+DA16+DS16+EK16+FC16+FU16+GM16+HE16)</f>
        <v>8</v>
      </c>
      <c r="HX16" s="44">
        <f t="shared" ref="HX16:HX17" si="67">SUM(P16+AH16+AZ16+BR16+CJ16+DB16+DT16+EL16+FD16+FV16+GN16+HF16)</f>
        <v>0</v>
      </c>
      <c r="HY16" s="24">
        <f>SUM(HL16:HX16)</f>
        <v>1333</v>
      </c>
      <c r="HZ16" s="28"/>
    </row>
    <row r="17" spans="1:234" s="11" customFormat="1" ht="20.100000000000001" customHeight="1" thickBot="1" x14ac:dyDescent="0.25">
      <c r="A17" s="298"/>
      <c r="B17" s="312"/>
      <c r="C17" s="20" t="s">
        <v>25</v>
      </c>
      <c r="D17" s="163">
        <v>31</v>
      </c>
      <c r="E17" s="164">
        <v>0</v>
      </c>
      <c r="F17" s="165">
        <v>0</v>
      </c>
      <c r="G17" s="165">
        <v>1</v>
      </c>
      <c r="H17" s="165">
        <v>0</v>
      </c>
      <c r="I17" s="165">
        <v>0</v>
      </c>
      <c r="J17" s="164">
        <v>0</v>
      </c>
      <c r="K17" s="165">
        <v>18</v>
      </c>
      <c r="L17" s="164">
        <v>0</v>
      </c>
      <c r="M17" s="165">
        <v>9</v>
      </c>
      <c r="N17" s="164">
        <v>0</v>
      </c>
      <c r="O17" s="166">
        <v>1</v>
      </c>
      <c r="P17" s="166">
        <v>0</v>
      </c>
      <c r="Q17" s="125">
        <f>SUM(D17:P17)</f>
        <v>60</v>
      </c>
      <c r="R17" s="133"/>
      <c r="S17" s="298"/>
      <c r="T17" s="312"/>
      <c r="U17" s="20" t="s">
        <v>25</v>
      </c>
      <c r="V17" s="163">
        <v>38</v>
      </c>
      <c r="W17" s="164">
        <v>0</v>
      </c>
      <c r="X17" s="165">
        <v>0</v>
      </c>
      <c r="Y17" s="165">
        <v>1</v>
      </c>
      <c r="Z17" s="165">
        <v>0</v>
      </c>
      <c r="AA17" s="165">
        <v>0</v>
      </c>
      <c r="AB17" s="164">
        <v>0</v>
      </c>
      <c r="AC17" s="165">
        <v>28</v>
      </c>
      <c r="AD17" s="164">
        <v>0</v>
      </c>
      <c r="AE17" s="165">
        <v>13</v>
      </c>
      <c r="AF17" s="164">
        <v>0</v>
      </c>
      <c r="AG17" s="166">
        <v>2</v>
      </c>
      <c r="AH17" s="166">
        <v>0</v>
      </c>
      <c r="AI17" s="125">
        <f>SUM(V17:AH17)</f>
        <v>82</v>
      </c>
      <c r="AJ17" s="133"/>
      <c r="AK17" s="298"/>
      <c r="AL17" s="312"/>
      <c r="AM17" s="20" t="s">
        <v>25</v>
      </c>
      <c r="AN17" s="163">
        <v>87</v>
      </c>
      <c r="AO17" s="164">
        <v>0</v>
      </c>
      <c r="AP17" s="165">
        <v>0</v>
      </c>
      <c r="AQ17" s="165">
        <v>9</v>
      </c>
      <c r="AR17" s="165">
        <v>8</v>
      </c>
      <c r="AS17" s="165">
        <v>0</v>
      </c>
      <c r="AT17" s="164">
        <v>121</v>
      </c>
      <c r="AU17" s="165">
        <v>195</v>
      </c>
      <c r="AV17" s="164">
        <v>102</v>
      </c>
      <c r="AW17" s="165">
        <v>18</v>
      </c>
      <c r="AX17" s="164">
        <v>5</v>
      </c>
      <c r="AY17" s="166">
        <v>0</v>
      </c>
      <c r="AZ17" s="166">
        <v>1</v>
      </c>
      <c r="BA17" s="125">
        <f>SUM(AN17:AZ17)</f>
        <v>546</v>
      </c>
      <c r="BB17" s="133"/>
      <c r="BC17" s="298"/>
      <c r="BD17" s="312"/>
      <c r="BE17" s="20" t="s">
        <v>25</v>
      </c>
      <c r="BF17" s="163">
        <v>99</v>
      </c>
      <c r="BG17" s="164">
        <v>0</v>
      </c>
      <c r="BH17" s="165">
        <v>6</v>
      </c>
      <c r="BI17" s="165">
        <v>5</v>
      </c>
      <c r="BJ17" s="165">
        <v>6</v>
      </c>
      <c r="BK17" s="165">
        <v>0</v>
      </c>
      <c r="BL17" s="164">
        <v>0</v>
      </c>
      <c r="BM17" s="165">
        <v>44</v>
      </c>
      <c r="BN17" s="164">
        <v>0</v>
      </c>
      <c r="BO17" s="165">
        <v>9</v>
      </c>
      <c r="BP17" s="164">
        <v>6</v>
      </c>
      <c r="BQ17" s="166">
        <v>11</v>
      </c>
      <c r="BR17" s="22">
        <v>0</v>
      </c>
      <c r="BS17" s="125">
        <f>SUM(BF17:BR17)</f>
        <v>186</v>
      </c>
      <c r="BT17" s="133"/>
      <c r="BU17" s="298"/>
      <c r="BV17" s="312"/>
      <c r="BW17" s="20" t="s">
        <v>25</v>
      </c>
      <c r="BX17" s="163">
        <v>33</v>
      </c>
      <c r="BY17" s="164">
        <v>0</v>
      </c>
      <c r="BZ17" s="165">
        <v>0</v>
      </c>
      <c r="CA17" s="165">
        <v>2</v>
      </c>
      <c r="CB17" s="165">
        <v>0</v>
      </c>
      <c r="CC17" s="165">
        <v>0</v>
      </c>
      <c r="CD17" s="164">
        <v>0</v>
      </c>
      <c r="CE17" s="165">
        <v>14</v>
      </c>
      <c r="CF17" s="164">
        <v>0</v>
      </c>
      <c r="CG17" s="165">
        <v>9</v>
      </c>
      <c r="CH17" s="164">
        <v>0</v>
      </c>
      <c r="CI17" s="166">
        <v>1</v>
      </c>
      <c r="CJ17" s="166">
        <v>0</v>
      </c>
      <c r="CK17" s="125">
        <f>SUM(BX17:CJ17)</f>
        <v>59</v>
      </c>
      <c r="CL17" s="133"/>
      <c r="CM17" s="298"/>
      <c r="CN17" s="312"/>
      <c r="CO17" s="20" t="s">
        <v>25</v>
      </c>
      <c r="CP17" s="163">
        <v>0</v>
      </c>
      <c r="CQ17" s="164">
        <v>0</v>
      </c>
      <c r="CR17" s="165">
        <v>0</v>
      </c>
      <c r="CS17" s="165">
        <v>0</v>
      </c>
      <c r="CT17" s="165">
        <v>0</v>
      </c>
      <c r="CU17" s="165">
        <v>0</v>
      </c>
      <c r="CV17" s="164">
        <v>0</v>
      </c>
      <c r="CW17" s="165">
        <v>0</v>
      </c>
      <c r="CX17" s="164">
        <v>0</v>
      </c>
      <c r="CY17" s="165">
        <v>0</v>
      </c>
      <c r="CZ17" s="164">
        <v>0</v>
      </c>
      <c r="DA17" s="166">
        <v>0</v>
      </c>
      <c r="DB17" s="166">
        <v>0</v>
      </c>
      <c r="DC17" s="25">
        <f>SUM(CP17:DB17)</f>
        <v>0</v>
      </c>
      <c r="DD17" s="107"/>
      <c r="DE17" s="298"/>
      <c r="DF17" s="312"/>
      <c r="DG17" s="20" t="s">
        <v>25</v>
      </c>
      <c r="DH17" s="163">
        <v>80</v>
      </c>
      <c r="DI17" s="164">
        <v>0</v>
      </c>
      <c r="DJ17" s="165">
        <v>0</v>
      </c>
      <c r="DK17" s="165">
        <v>4</v>
      </c>
      <c r="DL17" s="165">
        <v>0</v>
      </c>
      <c r="DM17" s="165">
        <v>0</v>
      </c>
      <c r="DN17" s="164">
        <v>0</v>
      </c>
      <c r="DO17" s="165">
        <v>32</v>
      </c>
      <c r="DP17" s="164">
        <v>0</v>
      </c>
      <c r="DQ17" s="165">
        <v>24</v>
      </c>
      <c r="DR17" s="164">
        <v>0</v>
      </c>
      <c r="DS17" s="166">
        <v>0</v>
      </c>
      <c r="DT17" s="166">
        <v>0</v>
      </c>
      <c r="DU17" s="167">
        <v>140</v>
      </c>
      <c r="DV17" s="107"/>
      <c r="DW17" s="298"/>
      <c r="DX17" s="312"/>
      <c r="DY17" s="20" t="s">
        <v>25</v>
      </c>
      <c r="DZ17" s="244">
        <v>0</v>
      </c>
      <c r="EA17" s="245">
        <v>0</v>
      </c>
      <c r="EB17" s="244">
        <v>0</v>
      </c>
      <c r="EC17" s="246">
        <v>0</v>
      </c>
      <c r="ED17" s="247">
        <v>0</v>
      </c>
      <c r="EE17" s="247">
        <v>0</v>
      </c>
      <c r="EF17" s="248">
        <v>0</v>
      </c>
      <c r="EG17" s="249">
        <v>0</v>
      </c>
      <c r="EH17" s="250">
        <v>0</v>
      </c>
      <c r="EI17" s="249">
        <v>0</v>
      </c>
      <c r="EJ17" s="245">
        <v>0</v>
      </c>
      <c r="EK17" s="251">
        <v>0</v>
      </c>
      <c r="EL17" s="251">
        <v>0</v>
      </c>
      <c r="EM17" s="228">
        <f t="shared" si="53"/>
        <v>0</v>
      </c>
      <c r="EN17" s="107"/>
      <c r="EO17" s="298"/>
      <c r="EP17" s="312"/>
      <c r="EQ17" s="20" t="s">
        <v>25</v>
      </c>
      <c r="ER17" s="244">
        <v>21</v>
      </c>
      <c r="ES17" s="245">
        <v>0</v>
      </c>
      <c r="ET17" s="244">
        <v>0</v>
      </c>
      <c r="EU17" s="246">
        <v>0</v>
      </c>
      <c r="EV17" s="247">
        <v>0</v>
      </c>
      <c r="EW17" s="247">
        <v>0</v>
      </c>
      <c r="EX17" s="248">
        <v>0</v>
      </c>
      <c r="EY17" s="249">
        <v>38</v>
      </c>
      <c r="EZ17" s="250">
        <v>0</v>
      </c>
      <c r="FA17" s="249">
        <v>3</v>
      </c>
      <c r="FB17" s="245">
        <v>0</v>
      </c>
      <c r="FC17" s="251">
        <v>2</v>
      </c>
      <c r="FD17" s="251">
        <v>0</v>
      </c>
      <c r="FE17" s="281">
        <f t="shared" si="54"/>
        <v>64</v>
      </c>
      <c r="FF17" s="107"/>
      <c r="FG17" s="298"/>
      <c r="FH17" s="312"/>
      <c r="FI17" s="20" t="s">
        <v>25</v>
      </c>
      <c r="FJ17" s="12">
        <v>0</v>
      </c>
      <c r="FK17" s="18">
        <v>0</v>
      </c>
      <c r="FL17" s="12">
        <v>0</v>
      </c>
      <c r="FM17" s="13">
        <v>0</v>
      </c>
      <c r="FN17" s="15">
        <v>0</v>
      </c>
      <c r="FO17" s="15">
        <v>0</v>
      </c>
      <c r="FP17" s="16">
        <v>0</v>
      </c>
      <c r="FQ17" s="17">
        <v>0</v>
      </c>
      <c r="FR17" s="14">
        <v>0</v>
      </c>
      <c r="FS17" s="17">
        <v>0</v>
      </c>
      <c r="FT17" s="18">
        <v>0</v>
      </c>
      <c r="FU17" s="22">
        <v>0</v>
      </c>
      <c r="FV17" s="22">
        <v>0</v>
      </c>
      <c r="FW17" s="25">
        <f>SUM(FJ17:FV17)</f>
        <v>0</v>
      </c>
      <c r="FX17" s="107"/>
      <c r="FY17" s="298"/>
      <c r="FZ17" s="312"/>
      <c r="GA17" s="20" t="s">
        <v>25</v>
      </c>
      <c r="GB17" s="12">
        <v>0</v>
      </c>
      <c r="GC17" s="18">
        <v>0</v>
      </c>
      <c r="GD17" s="12">
        <v>0</v>
      </c>
      <c r="GE17" s="13">
        <v>0</v>
      </c>
      <c r="GF17" s="15">
        <v>0</v>
      </c>
      <c r="GG17" s="15">
        <v>0</v>
      </c>
      <c r="GH17" s="16">
        <v>0</v>
      </c>
      <c r="GI17" s="17">
        <v>0</v>
      </c>
      <c r="GJ17" s="14">
        <v>0</v>
      </c>
      <c r="GK17" s="17">
        <v>0</v>
      </c>
      <c r="GL17" s="18">
        <v>0</v>
      </c>
      <c r="GM17" s="22">
        <v>0</v>
      </c>
      <c r="GN17" s="22">
        <v>0</v>
      </c>
      <c r="GO17" s="25">
        <f>SUM(GB17:GN17)</f>
        <v>0</v>
      </c>
      <c r="GP17" s="107"/>
      <c r="GQ17" s="298"/>
      <c r="GR17" s="312"/>
      <c r="GS17" s="20" t="s">
        <v>25</v>
      </c>
      <c r="GT17" s="12">
        <v>0</v>
      </c>
      <c r="GU17" s="18">
        <v>0</v>
      </c>
      <c r="GV17" s="12">
        <v>0</v>
      </c>
      <c r="GW17" s="13">
        <v>0</v>
      </c>
      <c r="GX17" s="15">
        <v>0</v>
      </c>
      <c r="GY17" s="15">
        <v>0</v>
      </c>
      <c r="GZ17" s="16">
        <v>0</v>
      </c>
      <c r="HA17" s="17">
        <v>0</v>
      </c>
      <c r="HB17" s="14">
        <v>0</v>
      </c>
      <c r="HC17" s="17">
        <v>0</v>
      </c>
      <c r="HD17" s="18">
        <v>0</v>
      </c>
      <c r="HE17" s="22">
        <v>0</v>
      </c>
      <c r="HF17" s="22">
        <v>0</v>
      </c>
      <c r="HG17" s="25">
        <f>SUM(GT17:HF17)</f>
        <v>0</v>
      </c>
      <c r="HH17" s="107"/>
      <c r="HI17" s="298"/>
      <c r="HJ17" s="356"/>
      <c r="HK17" s="20" t="s">
        <v>25</v>
      </c>
      <c r="HL17" s="12">
        <f t="shared" si="55"/>
        <v>389</v>
      </c>
      <c r="HM17" s="14">
        <f t="shared" si="56"/>
        <v>0</v>
      </c>
      <c r="HN17" s="17">
        <f t="shared" si="57"/>
        <v>6</v>
      </c>
      <c r="HO17" s="13">
        <f t="shared" si="58"/>
        <v>22</v>
      </c>
      <c r="HP17" s="13">
        <f t="shared" si="59"/>
        <v>14</v>
      </c>
      <c r="HQ17" s="13">
        <f t="shared" si="60"/>
        <v>0</v>
      </c>
      <c r="HR17" s="14">
        <f t="shared" si="61"/>
        <v>121</v>
      </c>
      <c r="HS17" s="17">
        <f t="shared" si="62"/>
        <v>369</v>
      </c>
      <c r="HT17" s="14">
        <f t="shared" si="63"/>
        <v>102</v>
      </c>
      <c r="HU17" s="17">
        <f t="shared" si="64"/>
        <v>85</v>
      </c>
      <c r="HV17" s="14">
        <f t="shared" si="65"/>
        <v>11</v>
      </c>
      <c r="HW17" s="45">
        <f t="shared" si="66"/>
        <v>17</v>
      </c>
      <c r="HX17" s="45">
        <f t="shared" si="67"/>
        <v>1</v>
      </c>
      <c r="HY17" s="25">
        <f>SUM(HL17:HX17)</f>
        <v>1137</v>
      </c>
      <c r="HZ17" s="28"/>
    </row>
    <row r="18" spans="1:234" s="11" customFormat="1" ht="20.100000000000001" customHeight="1" thickTop="1" thickBot="1" x14ac:dyDescent="0.25">
      <c r="A18" s="299"/>
      <c r="B18" s="326" t="s">
        <v>34</v>
      </c>
      <c r="C18" s="327"/>
      <c r="D18" s="306">
        <f>SUM(D16:E17)</f>
        <v>83</v>
      </c>
      <c r="E18" s="307"/>
      <c r="F18" s="306">
        <f>SUM(F16:J17)</f>
        <v>1</v>
      </c>
      <c r="G18" s="368"/>
      <c r="H18" s="368"/>
      <c r="I18" s="368"/>
      <c r="J18" s="307"/>
      <c r="K18" s="306">
        <f>SUM(K16:L17)</f>
        <v>45</v>
      </c>
      <c r="L18" s="307"/>
      <c r="M18" s="306">
        <f>SUM(M16:N17)</f>
        <v>23</v>
      </c>
      <c r="N18" s="307"/>
      <c r="O18" s="94">
        <f>SUM(O16:O17)</f>
        <v>2</v>
      </c>
      <c r="P18" s="94">
        <f>SUM(P16:P17)</f>
        <v>0</v>
      </c>
      <c r="Q18" s="126">
        <f>SUM(Q16:Q17)</f>
        <v>154</v>
      </c>
      <c r="R18" s="133"/>
      <c r="S18" s="299"/>
      <c r="T18" s="326" t="s">
        <v>34</v>
      </c>
      <c r="U18" s="327"/>
      <c r="V18" s="306">
        <f>SUM(V16:W17)</f>
        <v>104</v>
      </c>
      <c r="W18" s="307"/>
      <c r="X18" s="306">
        <f>SUM(X16:AB17)</f>
        <v>2</v>
      </c>
      <c r="Y18" s="368"/>
      <c r="Z18" s="368"/>
      <c r="AA18" s="368"/>
      <c r="AB18" s="307"/>
      <c r="AC18" s="306">
        <f>SUM(AC16:AD17)</f>
        <v>62</v>
      </c>
      <c r="AD18" s="307"/>
      <c r="AE18" s="306">
        <f>SUM(AE16:AF17)</f>
        <v>32</v>
      </c>
      <c r="AF18" s="307"/>
      <c r="AG18" s="94">
        <f>SUM(AG16:AG17)</f>
        <v>2</v>
      </c>
      <c r="AH18" s="94">
        <f>SUM(AH16:AH17)</f>
        <v>0</v>
      </c>
      <c r="AI18" s="126">
        <f>SUM(AI16:AI17)</f>
        <v>202</v>
      </c>
      <c r="AJ18" s="133"/>
      <c r="AK18" s="299"/>
      <c r="AL18" s="326" t="s">
        <v>34</v>
      </c>
      <c r="AM18" s="327"/>
      <c r="AN18" s="306">
        <f>SUM(AN16:AO17)</f>
        <v>182</v>
      </c>
      <c r="AO18" s="307"/>
      <c r="AP18" s="306">
        <f>SUM(AP16:AT17)</f>
        <v>267</v>
      </c>
      <c r="AQ18" s="368"/>
      <c r="AR18" s="368"/>
      <c r="AS18" s="368"/>
      <c r="AT18" s="307"/>
      <c r="AU18" s="306">
        <f>SUM(AU16:AV17)</f>
        <v>584</v>
      </c>
      <c r="AV18" s="307"/>
      <c r="AW18" s="306">
        <f>SUM(AW16:AX17)</f>
        <v>35</v>
      </c>
      <c r="AX18" s="307"/>
      <c r="AY18" s="94">
        <f>SUM(AY16:AY17)</f>
        <v>0</v>
      </c>
      <c r="AZ18" s="94">
        <f>SUM(AZ16:AZ17)</f>
        <v>1</v>
      </c>
      <c r="BA18" s="126">
        <f>SUM(BA16:BA17)</f>
        <v>1069</v>
      </c>
      <c r="BB18" s="133"/>
      <c r="BC18" s="299"/>
      <c r="BD18" s="326" t="s">
        <v>34</v>
      </c>
      <c r="BE18" s="327"/>
      <c r="BF18" s="375">
        <v>239</v>
      </c>
      <c r="BG18" s="377"/>
      <c r="BH18" s="375">
        <v>17</v>
      </c>
      <c r="BI18" s="376"/>
      <c r="BJ18" s="376"/>
      <c r="BK18" s="376"/>
      <c r="BL18" s="377"/>
      <c r="BM18" s="375">
        <v>114</v>
      </c>
      <c r="BN18" s="377"/>
      <c r="BO18" s="375">
        <v>34</v>
      </c>
      <c r="BP18" s="377"/>
      <c r="BQ18" s="167">
        <v>18</v>
      </c>
      <c r="BR18" s="94">
        <f>SUM(BR16:BR17)</f>
        <v>0</v>
      </c>
      <c r="BS18" s="126">
        <f>SUM(BS16:BS17)</f>
        <v>422</v>
      </c>
      <c r="BT18" s="133"/>
      <c r="BU18" s="299"/>
      <c r="BV18" s="326" t="s">
        <v>34</v>
      </c>
      <c r="BW18" s="327"/>
      <c r="BX18" s="306">
        <f>SUM(BX16:BY17)</f>
        <v>82</v>
      </c>
      <c r="BY18" s="307"/>
      <c r="BZ18" s="306">
        <f>SUM(BZ16:CD17)</f>
        <v>2</v>
      </c>
      <c r="CA18" s="368"/>
      <c r="CB18" s="368"/>
      <c r="CC18" s="368"/>
      <c r="CD18" s="307"/>
      <c r="CE18" s="306">
        <f>SUM(CE16:CF17)</f>
        <v>37</v>
      </c>
      <c r="CF18" s="307"/>
      <c r="CG18" s="306">
        <f>SUM(CG16:CH17)</f>
        <v>21</v>
      </c>
      <c r="CH18" s="307"/>
      <c r="CI18" s="94">
        <f>SUM(CI16:CI17)</f>
        <v>1</v>
      </c>
      <c r="CJ18" s="94">
        <f>SUM(CJ16:CJ17)</f>
        <v>0</v>
      </c>
      <c r="CK18" s="126">
        <f>SUM(CK16:CK17)</f>
        <v>143</v>
      </c>
      <c r="CL18" s="133"/>
      <c r="CM18" s="299"/>
      <c r="CN18" s="326" t="s">
        <v>34</v>
      </c>
      <c r="CO18" s="327"/>
      <c r="CP18" s="375">
        <v>0</v>
      </c>
      <c r="CQ18" s="377"/>
      <c r="CR18" s="375">
        <v>0</v>
      </c>
      <c r="CS18" s="376"/>
      <c r="CT18" s="376"/>
      <c r="CU18" s="376"/>
      <c r="CV18" s="377"/>
      <c r="CW18" s="375">
        <v>0</v>
      </c>
      <c r="CX18" s="377"/>
      <c r="CY18" s="375">
        <v>0</v>
      </c>
      <c r="CZ18" s="377"/>
      <c r="DA18" s="167">
        <v>0</v>
      </c>
      <c r="DB18" s="167">
        <v>0</v>
      </c>
      <c r="DC18" s="26">
        <f>SUM(DC16:DC17)</f>
        <v>0</v>
      </c>
      <c r="DD18" s="107"/>
      <c r="DE18" s="299"/>
      <c r="DF18" s="326" t="s">
        <v>34</v>
      </c>
      <c r="DG18" s="327"/>
      <c r="DH18" s="375">
        <v>146</v>
      </c>
      <c r="DI18" s="377"/>
      <c r="DJ18" s="375">
        <v>4</v>
      </c>
      <c r="DK18" s="376"/>
      <c r="DL18" s="376"/>
      <c r="DM18" s="376"/>
      <c r="DN18" s="377"/>
      <c r="DO18" s="375">
        <v>124</v>
      </c>
      <c r="DP18" s="377"/>
      <c r="DQ18" s="375">
        <v>53</v>
      </c>
      <c r="DR18" s="377"/>
      <c r="DS18" s="167">
        <v>0</v>
      </c>
      <c r="DT18" s="167">
        <v>0</v>
      </c>
      <c r="DU18" s="210">
        <v>327</v>
      </c>
      <c r="DV18" s="107"/>
      <c r="DW18" s="299"/>
      <c r="DX18" s="326" t="s">
        <v>34</v>
      </c>
      <c r="DY18" s="327"/>
      <c r="DZ18" s="359">
        <f>SUM(DZ16:EA17)</f>
        <v>0</v>
      </c>
      <c r="EA18" s="361"/>
      <c r="EB18" s="359">
        <f>SUM(EB16:EF17)</f>
        <v>0</v>
      </c>
      <c r="EC18" s="360"/>
      <c r="ED18" s="360"/>
      <c r="EE18" s="360"/>
      <c r="EF18" s="361"/>
      <c r="EG18" s="359">
        <f>SUM(EG16:EH17)</f>
        <v>0</v>
      </c>
      <c r="EH18" s="361"/>
      <c r="EI18" s="359">
        <f>SUM(EI16:EJ17)</f>
        <v>0</v>
      </c>
      <c r="EJ18" s="361"/>
      <c r="EK18" s="229">
        <f t="shared" ref="EK18:EM18" si="68">SUM(EK16:EK17)</f>
        <v>0</v>
      </c>
      <c r="EL18" s="229">
        <f t="shared" si="68"/>
        <v>0</v>
      </c>
      <c r="EM18" s="230">
        <f t="shared" si="68"/>
        <v>0</v>
      </c>
      <c r="EN18" s="107"/>
      <c r="EO18" s="299"/>
      <c r="EP18" s="326" t="s">
        <v>34</v>
      </c>
      <c r="EQ18" s="327"/>
      <c r="ER18" s="359">
        <f>SUM(ER16:ES17)</f>
        <v>53</v>
      </c>
      <c r="ES18" s="361"/>
      <c r="ET18" s="359">
        <f>SUM(ET16:EX17)</f>
        <v>0</v>
      </c>
      <c r="EU18" s="360"/>
      <c r="EV18" s="360"/>
      <c r="EW18" s="360"/>
      <c r="EX18" s="361"/>
      <c r="EY18" s="359">
        <f>SUM(EY16:EZ17)</f>
        <v>87</v>
      </c>
      <c r="EZ18" s="361"/>
      <c r="FA18" s="359">
        <f>SUM(FA16:FB17)</f>
        <v>11</v>
      </c>
      <c r="FB18" s="361"/>
      <c r="FC18" s="229">
        <f t="shared" ref="FC18:FE18" si="69">SUM(FC16:FC17)</f>
        <v>2</v>
      </c>
      <c r="FD18" s="229">
        <f t="shared" si="69"/>
        <v>0</v>
      </c>
      <c r="FE18" s="282">
        <f t="shared" si="69"/>
        <v>153</v>
      </c>
      <c r="FF18" s="107"/>
      <c r="FG18" s="299"/>
      <c r="FH18" s="326" t="s">
        <v>34</v>
      </c>
      <c r="FI18" s="327"/>
      <c r="FJ18" s="306">
        <f>SUM(FJ16:FK17)</f>
        <v>0</v>
      </c>
      <c r="FK18" s="307"/>
      <c r="FL18" s="306">
        <f>SUM(FL16:FP17)</f>
        <v>0</v>
      </c>
      <c r="FM18" s="368"/>
      <c r="FN18" s="368"/>
      <c r="FO18" s="368"/>
      <c r="FP18" s="307"/>
      <c r="FQ18" s="306">
        <f>SUM(FQ16:FR17)</f>
        <v>0</v>
      </c>
      <c r="FR18" s="307"/>
      <c r="FS18" s="306">
        <f>SUM(FS16:FT17)</f>
        <v>0</v>
      </c>
      <c r="FT18" s="307"/>
      <c r="FU18" s="94">
        <f>SUM(FU16:FU17)</f>
        <v>0</v>
      </c>
      <c r="FV18" s="94">
        <f>SUM(FV16:FV17)</f>
        <v>0</v>
      </c>
      <c r="FW18" s="26">
        <f>SUM(FW16:FW17)</f>
        <v>0</v>
      </c>
      <c r="FX18" s="107"/>
      <c r="FY18" s="299"/>
      <c r="FZ18" s="326" t="s">
        <v>34</v>
      </c>
      <c r="GA18" s="327"/>
      <c r="GB18" s="306">
        <f>SUM(GB16:GC17)</f>
        <v>0</v>
      </c>
      <c r="GC18" s="307"/>
      <c r="GD18" s="306">
        <f>SUM(GD16:GH17)</f>
        <v>0</v>
      </c>
      <c r="GE18" s="368"/>
      <c r="GF18" s="368"/>
      <c r="GG18" s="368"/>
      <c r="GH18" s="307"/>
      <c r="GI18" s="306">
        <f>SUM(GI16:GJ17)</f>
        <v>0</v>
      </c>
      <c r="GJ18" s="307"/>
      <c r="GK18" s="306">
        <f>SUM(GK16:GL17)</f>
        <v>0</v>
      </c>
      <c r="GL18" s="307"/>
      <c r="GM18" s="94">
        <f>SUM(GM16:GM17)</f>
        <v>0</v>
      </c>
      <c r="GN18" s="94">
        <f>SUM(GN16:GN17)</f>
        <v>0</v>
      </c>
      <c r="GO18" s="26">
        <f>SUM(GO16:GO17)</f>
        <v>0</v>
      </c>
      <c r="GP18" s="107"/>
      <c r="GQ18" s="299"/>
      <c r="GR18" s="326" t="s">
        <v>34</v>
      </c>
      <c r="GS18" s="327"/>
      <c r="GT18" s="306">
        <f>SUM(GT16:GU17)</f>
        <v>0</v>
      </c>
      <c r="GU18" s="307"/>
      <c r="GV18" s="306">
        <f>SUM(GV16:GZ17)</f>
        <v>0</v>
      </c>
      <c r="GW18" s="368"/>
      <c r="GX18" s="368"/>
      <c r="GY18" s="368"/>
      <c r="GZ18" s="307"/>
      <c r="HA18" s="306">
        <f>SUM(HA16:HB17)</f>
        <v>0</v>
      </c>
      <c r="HB18" s="307"/>
      <c r="HC18" s="306">
        <f>SUM(HC16:HD17)</f>
        <v>0</v>
      </c>
      <c r="HD18" s="307"/>
      <c r="HE18" s="94">
        <f>SUM(HE16:HE17)</f>
        <v>0</v>
      </c>
      <c r="HF18" s="94">
        <f>SUM(HF16:HF17)</f>
        <v>0</v>
      </c>
      <c r="HG18" s="26">
        <f>SUM(HG16:HG17)</f>
        <v>0</v>
      </c>
      <c r="HH18" s="107"/>
      <c r="HI18" s="299"/>
      <c r="HJ18" s="295" t="s">
        <v>28</v>
      </c>
      <c r="HK18" s="313"/>
      <c r="HL18" s="306">
        <f>SUM(HL16:HM17)</f>
        <v>889</v>
      </c>
      <c r="HM18" s="307"/>
      <c r="HN18" s="306">
        <f>SUM(HN16:HR17)</f>
        <v>293</v>
      </c>
      <c r="HO18" s="368"/>
      <c r="HP18" s="368"/>
      <c r="HQ18" s="368"/>
      <c r="HR18" s="307"/>
      <c r="HS18" s="306">
        <f>SUM(HS16:HT17)</f>
        <v>1053</v>
      </c>
      <c r="HT18" s="307"/>
      <c r="HU18" s="306">
        <f>SUM(HU16:HV17)</f>
        <v>209</v>
      </c>
      <c r="HV18" s="307"/>
      <c r="HW18" s="43">
        <f>SUM(HW16:HW17)</f>
        <v>25</v>
      </c>
      <c r="HX18" s="43">
        <f>SUM(HX16:HX17)</f>
        <v>1</v>
      </c>
      <c r="HY18" s="26">
        <f>SUM(HY16:HY17)</f>
        <v>2470</v>
      </c>
      <c r="HZ18" s="28"/>
    </row>
    <row r="19" spans="1:234" s="11" customFormat="1" ht="20.100000000000001" customHeight="1" thickTop="1" thickBot="1" x14ac:dyDescent="0.25">
      <c r="A19" s="41"/>
      <c r="B19" s="353" t="s">
        <v>29</v>
      </c>
      <c r="C19" s="357"/>
      <c r="D19" s="308">
        <f>SUM(D15+D18)</f>
        <v>280</v>
      </c>
      <c r="E19" s="310"/>
      <c r="F19" s="308">
        <f>SUM(F15+F18)</f>
        <v>13</v>
      </c>
      <c r="G19" s="309"/>
      <c r="H19" s="309"/>
      <c r="I19" s="309"/>
      <c r="J19" s="310"/>
      <c r="K19" s="308">
        <f>SUM(K15+K18)</f>
        <v>351</v>
      </c>
      <c r="L19" s="310"/>
      <c r="M19" s="308">
        <f>SUM(M15+M18)</f>
        <v>112</v>
      </c>
      <c r="N19" s="310"/>
      <c r="O19" s="23">
        <f>SUM(O15+O18)</f>
        <v>11</v>
      </c>
      <c r="P19" s="23">
        <f>SUM(P15+P18)</f>
        <v>0</v>
      </c>
      <c r="Q19" s="127">
        <f>SUM(Q15+Q18)</f>
        <v>767</v>
      </c>
      <c r="R19" s="133"/>
      <c r="S19" s="41"/>
      <c r="T19" s="353" t="s">
        <v>29</v>
      </c>
      <c r="U19" s="357"/>
      <c r="V19" s="308">
        <f>SUM(V15+V18)</f>
        <v>308</v>
      </c>
      <c r="W19" s="310"/>
      <c r="X19" s="308">
        <f>SUM(X15+X18)</f>
        <v>7</v>
      </c>
      <c r="Y19" s="309"/>
      <c r="Z19" s="309"/>
      <c r="AA19" s="309"/>
      <c r="AB19" s="310"/>
      <c r="AC19" s="308">
        <f>SUM(AC15+AC18)</f>
        <v>386</v>
      </c>
      <c r="AD19" s="310"/>
      <c r="AE19" s="308">
        <f>SUM(AE15+AE18)</f>
        <v>150</v>
      </c>
      <c r="AF19" s="310"/>
      <c r="AG19" s="23">
        <f>SUM(AG15+AG18)</f>
        <v>13</v>
      </c>
      <c r="AH19" s="23">
        <f>SUM(AH15+AH18)</f>
        <v>0</v>
      </c>
      <c r="AI19" s="127">
        <f>SUM(AI15+AI18)</f>
        <v>864</v>
      </c>
      <c r="AJ19" s="133"/>
      <c r="AK19" s="41"/>
      <c r="AL19" s="353" t="s">
        <v>29</v>
      </c>
      <c r="AM19" s="357"/>
      <c r="AN19" s="308">
        <f>SUM(AN15+AN18)</f>
        <v>404</v>
      </c>
      <c r="AO19" s="310"/>
      <c r="AP19" s="308">
        <f>SUM(AP15+AP18)</f>
        <v>642</v>
      </c>
      <c r="AQ19" s="309"/>
      <c r="AR19" s="309"/>
      <c r="AS19" s="309"/>
      <c r="AT19" s="310"/>
      <c r="AU19" s="308">
        <f>SUM(AU15+AU18)</f>
        <v>1543</v>
      </c>
      <c r="AV19" s="310"/>
      <c r="AW19" s="308">
        <f>SUM(AW15+AW18)</f>
        <v>232</v>
      </c>
      <c r="AX19" s="310"/>
      <c r="AY19" s="23">
        <f>SUM(AY15+AY18)</f>
        <v>0</v>
      </c>
      <c r="AZ19" s="23">
        <f>SUM(AZ15+AZ18)</f>
        <v>8</v>
      </c>
      <c r="BA19" s="127">
        <f>SUM(BA15+BA18)</f>
        <v>2829</v>
      </c>
      <c r="BB19" s="133"/>
      <c r="BC19" s="41"/>
      <c r="BD19" s="353" t="s">
        <v>29</v>
      </c>
      <c r="BE19" s="357"/>
      <c r="BF19" s="308">
        <f>SUM(BF15+BF18)</f>
        <v>657</v>
      </c>
      <c r="BG19" s="310"/>
      <c r="BH19" s="308">
        <f>SUM(BH15+BH18)</f>
        <v>58</v>
      </c>
      <c r="BI19" s="309"/>
      <c r="BJ19" s="309"/>
      <c r="BK19" s="309"/>
      <c r="BL19" s="310"/>
      <c r="BM19" s="308">
        <f>SUM(BM15+BM18)</f>
        <v>513</v>
      </c>
      <c r="BN19" s="310"/>
      <c r="BO19" s="308">
        <f>SUM(BO15+BO18)</f>
        <v>140</v>
      </c>
      <c r="BP19" s="310"/>
      <c r="BQ19" s="23">
        <f>SUM(BQ15+BQ18)</f>
        <v>55</v>
      </c>
      <c r="BR19" s="23">
        <f>SUM(BR15+BR18)</f>
        <v>0</v>
      </c>
      <c r="BS19" s="127">
        <f>SUM(BS15+BS18)</f>
        <v>1423</v>
      </c>
      <c r="BT19" s="133"/>
      <c r="BU19" s="41"/>
      <c r="BV19" s="353" t="s">
        <v>29</v>
      </c>
      <c r="BW19" s="357"/>
      <c r="BX19" s="308">
        <f>SUM(BX15+BX18)</f>
        <v>277</v>
      </c>
      <c r="BY19" s="310"/>
      <c r="BZ19" s="308">
        <f>SUM(BZ15+BZ18)</f>
        <v>13</v>
      </c>
      <c r="CA19" s="309"/>
      <c r="CB19" s="309"/>
      <c r="CC19" s="309"/>
      <c r="CD19" s="310"/>
      <c r="CE19" s="308">
        <f>SUM(CE15+CE18)</f>
        <v>328</v>
      </c>
      <c r="CF19" s="310"/>
      <c r="CG19" s="308">
        <f>SUM(CG15+CG18)</f>
        <v>105</v>
      </c>
      <c r="CH19" s="310"/>
      <c r="CI19" s="23">
        <f>SUM(CI15+CI18)</f>
        <v>4</v>
      </c>
      <c r="CJ19" s="23">
        <f>SUM(CJ15+CJ18)</f>
        <v>0</v>
      </c>
      <c r="CK19" s="127">
        <f>SUM(CK15+CK18)</f>
        <v>727</v>
      </c>
      <c r="CL19" s="133"/>
      <c r="CM19" s="41"/>
      <c r="CN19" s="353" t="s">
        <v>29</v>
      </c>
      <c r="CO19" s="357"/>
      <c r="CP19" s="378">
        <v>3256</v>
      </c>
      <c r="CQ19" s="380"/>
      <c r="CR19" s="378">
        <v>1397</v>
      </c>
      <c r="CS19" s="379"/>
      <c r="CT19" s="379"/>
      <c r="CU19" s="379"/>
      <c r="CV19" s="380"/>
      <c r="CW19" s="378">
        <v>5024</v>
      </c>
      <c r="CX19" s="380"/>
      <c r="CY19" s="378">
        <v>1308</v>
      </c>
      <c r="CZ19" s="380"/>
      <c r="DA19" s="200">
        <v>245</v>
      </c>
      <c r="DB19" s="200">
        <v>7</v>
      </c>
      <c r="DC19" s="27">
        <f>SUM(DC15+DC18)</f>
        <v>11237</v>
      </c>
      <c r="DD19" s="107"/>
      <c r="DE19" s="41"/>
      <c r="DF19" s="353" t="s">
        <v>29</v>
      </c>
      <c r="DG19" s="357"/>
      <c r="DH19" s="378">
        <v>389</v>
      </c>
      <c r="DI19" s="380"/>
      <c r="DJ19" s="378">
        <v>13</v>
      </c>
      <c r="DK19" s="379"/>
      <c r="DL19" s="379"/>
      <c r="DM19" s="379"/>
      <c r="DN19" s="380"/>
      <c r="DO19" s="378">
        <v>460</v>
      </c>
      <c r="DP19" s="380"/>
      <c r="DQ19" s="378">
        <v>158</v>
      </c>
      <c r="DR19" s="380"/>
      <c r="DS19" s="200">
        <v>14</v>
      </c>
      <c r="DT19" s="200">
        <v>0</v>
      </c>
      <c r="DU19" s="213">
        <v>1034</v>
      </c>
      <c r="DV19" s="107"/>
      <c r="DW19" s="41"/>
      <c r="DX19" s="353" t="s">
        <v>29</v>
      </c>
      <c r="DY19" s="357"/>
      <c r="DZ19" s="363">
        <f>SUM(DZ15+DZ18)</f>
        <v>3256</v>
      </c>
      <c r="EA19" s="361"/>
      <c r="EB19" s="363">
        <f>SUM(EB15+EB18)</f>
        <v>1397</v>
      </c>
      <c r="EC19" s="360"/>
      <c r="ED19" s="360"/>
      <c r="EE19" s="360"/>
      <c r="EF19" s="361"/>
      <c r="EG19" s="363">
        <f>SUM(EG15+EG18)</f>
        <v>5024</v>
      </c>
      <c r="EH19" s="361"/>
      <c r="EI19" s="363">
        <f>SUM(EI15+EI18)</f>
        <v>1308</v>
      </c>
      <c r="EJ19" s="361"/>
      <c r="EK19" s="231">
        <f t="shared" ref="EK19:EM19" si="70">SUM(EK15+EK18)</f>
        <v>245</v>
      </c>
      <c r="EL19" s="231">
        <f t="shared" si="70"/>
        <v>7</v>
      </c>
      <c r="EM19" s="232">
        <f t="shared" si="70"/>
        <v>11237</v>
      </c>
      <c r="EN19" s="107"/>
      <c r="EO19" s="41"/>
      <c r="EP19" s="353" t="s">
        <v>29</v>
      </c>
      <c r="EQ19" s="357"/>
      <c r="ER19" s="363">
        <f>SUM(ER15+ER18)</f>
        <v>294</v>
      </c>
      <c r="ES19" s="361"/>
      <c r="ET19" s="363">
        <f>SUM(ET15+ET18)</f>
        <v>0</v>
      </c>
      <c r="EU19" s="360"/>
      <c r="EV19" s="360"/>
      <c r="EW19" s="360"/>
      <c r="EX19" s="361"/>
      <c r="EY19" s="363">
        <f>SUM(EY15+EY18)</f>
        <v>429</v>
      </c>
      <c r="EZ19" s="361"/>
      <c r="FA19" s="363">
        <f>SUM(FA15+FA18)</f>
        <v>51</v>
      </c>
      <c r="FB19" s="361"/>
      <c r="FC19" s="231">
        <f t="shared" ref="FC19:FE19" si="71">SUM(FC15+FC18)</f>
        <v>4</v>
      </c>
      <c r="FD19" s="231">
        <f t="shared" si="71"/>
        <v>0</v>
      </c>
      <c r="FE19" s="283">
        <f t="shared" si="71"/>
        <v>778</v>
      </c>
      <c r="FF19" s="107"/>
      <c r="FG19" s="41"/>
      <c r="FH19" s="353" t="s">
        <v>29</v>
      </c>
      <c r="FI19" s="357"/>
      <c r="FJ19" s="308">
        <f>SUM(FJ15+FJ18)</f>
        <v>0</v>
      </c>
      <c r="FK19" s="310"/>
      <c r="FL19" s="308">
        <f>SUM(FL15+FL18)</f>
        <v>0</v>
      </c>
      <c r="FM19" s="309"/>
      <c r="FN19" s="309"/>
      <c r="FO19" s="309"/>
      <c r="FP19" s="310"/>
      <c r="FQ19" s="308">
        <f>SUM(FQ15+FQ18)</f>
        <v>0</v>
      </c>
      <c r="FR19" s="310"/>
      <c r="FS19" s="308">
        <f>SUM(FS15+FS18)</f>
        <v>0</v>
      </c>
      <c r="FT19" s="310"/>
      <c r="FU19" s="23">
        <f>SUM(FU15+FU18)</f>
        <v>0</v>
      </c>
      <c r="FV19" s="23">
        <f>SUM(FV15+FV18)</f>
        <v>0</v>
      </c>
      <c r="FW19" s="27">
        <f>SUM(FW15+FW18)</f>
        <v>0</v>
      </c>
      <c r="FX19" s="107"/>
      <c r="FY19" s="41"/>
      <c r="FZ19" s="353" t="s">
        <v>29</v>
      </c>
      <c r="GA19" s="357"/>
      <c r="GB19" s="308">
        <f>SUM(GB15+GB18)</f>
        <v>0</v>
      </c>
      <c r="GC19" s="310"/>
      <c r="GD19" s="308">
        <f>SUM(GD15+GD18)</f>
        <v>0</v>
      </c>
      <c r="GE19" s="309"/>
      <c r="GF19" s="309"/>
      <c r="GG19" s="309"/>
      <c r="GH19" s="310"/>
      <c r="GI19" s="308">
        <f>SUM(GI15+GI18)</f>
        <v>0</v>
      </c>
      <c r="GJ19" s="310"/>
      <c r="GK19" s="308">
        <f>SUM(GK15+GK18)</f>
        <v>0</v>
      </c>
      <c r="GL19" s="310"/>
      <c r="GM19" s="23">
        <f>SUM(GM15+GM18)</f>
        <v>0</v>
      </c>
      <c r="GN19" s="23">
        <f>SUM(GN15+GN18)</f>
        <v>0</v>
      </c>
      <c r="GO19" s="27">
        <f>SUM(GO15+GO18)</f>
        <v>0</v>
      </c>
      <c r="GP19" s="107"/>
      <c r="GQ19" s="41"/>
      <c r="GR19" s="353" t="s">
        <v>29</v>
      </c>
      <c r="GS19" s="357"/>
      <c r="GT19" s="308">
        <f>SUM(GT15+GT18)</f>
        <v>0</v>
      </c>
      <c r="GU19" s="310"/>
      <c r="GV19" s="308">
        <f>SUM(GV15+GV18)</f>
        <v>0</v>
      </c>
      <c r="GW19" s="309"/>
      <c r="GX19" s="309"/>
      <c r="GY19" s="309"/>
      <c r="GZ19" s="310"/>
      <c r="HA19" s="308">
        <f>SUM(HA15+HA18)</f>
        <v>0</v>
      </c>
      <c r="HB19" s="310"/>
      <c r="HC19" s="308">
        <f>SUM(HC15+HC18)</f>
        <v>0</v>
      </c>
      <c r="HD19" s="310"/>
      <c r="HE19" s="23">
        <f>SUM(HE15+HE18)</f>
        <v>0</v>
      </c>
      <c r="HF19" s="23">
        <f>SUM(HF15+HF18)</f>
        <v>0</v>
      </c>
      <c r="HG19" s="27">
        <f>SUM(HG15+HG18)</f>
        <v>0</v>
      </c>
      <c r="HH19" s="107"/>
      <c r="HI19" s="41"/>
      <c r="HJ19" s="353" t="s">
        <v>29</v>
      </c>
      <c r="HK19" s="354"/>
      <c r="HL19" s="308">
        <f>SUM(HL15+HL18)</f>
        <v>9121</v>
      </c>
      <c r="HM19" s="310"/>
      <c r="HN19" s="308">
        <f>SUM(HN15+HN18)</f>
        <v>3540</v>
      </c>
      <c r="HO19" s="309"/>
      <c r="HP19" s="309"/>
      <c r="HQ19" s="309"/>
      <c r="HR19" s="310"/>
      <c r="HS19" s="308">
        <f>SUM(HS15+HS18)</f>
        <v>14058</v>
      </c>
      <c r="HT19" s="310"/>
      <c r="HU19" s="308">
        <f>SUM(HU15+HU18)</f>
        <v>3564</v>
      </c>
      <c r="HV19" s="310"/>
      <c r="HW19" s="23">
        <f>SUM(HW15+HW18)</f>
        <v>591</v>
      </c>
      <c r="HX19" s="23">
        <f>SUM(HX15+HX18)</f>
        <v>22</v>
      </c>
      <c r="HY19" s="27">
        <f>SUM(HY15+HY18)</f>
        <v>30896</v>
      </c>
      <c r="HZ19" s="28"/>
    </row>
    <row r="20" spans="1:234" s="11" customFormat="1" ht="20.100000000000001" customHeight="1" thickTop="1" thickBot="1" x14ac:dyDescent="0.3">
      <c r="A20" s="297" t="s">
        <v>38</v>
      </c>
      <c r="B20" s="304" t="s">
        <v>9</v>
      </c>
      <c r="C20" s="19" t="s">
        <v>24</v>
      </c>
      <c r="D20" s="174">
        <v>484</v>
      </c>
      <c r="E20" s="175">
        <v>2</v>
      </c>
      <c r="F20" s="175">
        <v>10</v>
      </c>
      <c r="G20" s="175">
        <v>1</v>
      </c>
      <c r="H20" s="175">
        <v>29</v>
      </c>
      <c r="I20" s="176">
        <v>0</v>
      </c>
      <c r="J20" s="175">
        <v>700</v>
      </c>
      <c r="K20" s="175">
        <v>31</v>
      </c>
      <c r="L20" s="175">
        <v>300</v>
      </c>
      <c r="M20" s="177">
        <v>162</v>
      </c>
      <c r="N20" s="176">
        <v>0</v>
      </c>
      <c r="O20" s="178">
        <v>9</v>
      </c>
      <c r="P20" s="179">
        <v>0</v>
      </c>
      <c r="Q20" s="124">
        <f>SUM(D20:P20)</f>
        <v>1728</v>
      </c>
      <c r="R20" s="133"/>
      <c r="S20" s="297" t="s">
        <v>38</v>
      </c>
      <c r="T20" s="304" t="s">
        <v>9</v>
      </c>
      <c r="U20" s="19" t="s">
        <v>24</v>
      </c>
      <c r="V20" s="174">
        <v>399</v>
      </c>
      <c r="W20" s="175">
        <v>2</v>
      </c>
      <c r="X20" s="175">
        <v>0</v>
      </c>
      <c r="Y20" s="175">
        <v>1</v>
      </c>
      <c r="Z20" s="175">
        <v>28</v>
      </c>
      <c r="AA20" s="176">
        <v>0</v>
      </c>
      <c r="AB20" s="175">
        <v>868</v>
      </c>
      <c r="AC20" s="175">
        <v>138</v>
      </c>
      <c r="AD20" s="175">
        <v>685</v>
      </c>
      <c r="AE20" s="177">
        <v>204</v>
      </c>
      <c r="AF20" s="176">
        <v>0</v>
      </c>
      <c r="AG20" s="178">
        <v>6</v>
      </c>
      <c r="AH20" s="179">
        <v>0</v>
      </c>
      <c r="AI20" s="124">
        <f>SUM(V20:AH20)</f>
        <v>2331</v>
      </c>
      <c r="AJ20" s="133"/>
      <c r="AK20" s="297" t="s">
        <v>38</v>
      </c>
      <c r="AL20" s="304" t="s">
        <v>9</v>
      </c>
      <c r="AM20" s="19" t="s">
        <v>24</v>
      </c>
      <c r="AN20" s="157">
        <v>100</v>
      </c>
      <c r="AO20" s="158">
        <v>0</v>
      </c>
      <c r="AP20" s="159">
        <v>60</v>
      </c>
      <c r="AQ20" s="159">
        <v>0</v>
      </c>
      <c r="AR20" s="159">
        <v>20</v>
      </c>
      <c r="AS20" s="160">
        <v>0</v>
      </c>
      <c r="AT20" s="158">
        <v>140</v>
      </c>
      <c r="AU20" s="159">
        <v>250</v>
      </c>
      <c r="AV20" s="158">
        <v>500</v>
      </c>
      <c r="AW20" s="159">
        <v>100</v>
      </c>
      <c r="AX20" s="161">
        <v>0</v>
      </c>
      <c r="AY20" s="162">
        <v>8</v>
      </c>
      <c r="AZ20" s="162">
        <v>0</v>
      </c>
      <c r="BA20" s="124">
        <f>SUM(AN20:AZ20)</f>
        <v>1178</v>
      </c>
      <c r="BB20" s="133"/>
      <c r="BC20" s="297" t="s">
        <v>38</v>
      </c>
      <c r="BD20" s="304" t="s">
        <v>9</v>
      </c>
      <c r="BE20" s="19" t="s">
        <v>24</v>
      </c>
      <c r="BF20" s="8">
        <v>0</v>
      </c>
      <c r="BG20" s="33">
        <v>0</v>
      </c>
      <c r="BH20" s="4">
        <v>0</v>
      </c>
      <c r="BI20" s="5">
        <v>0</v>
      </c>
      <c r="BJ20" s="6">
        <v>0</v>
      </c>
      <c r="BK20" s="84">
        <v>0</v>
      </c>
      <c r="BL20" s="7">
        <v>0</v>
      </c>
      <c r="BM20" s="34">
        <v>0</v>
      </c>
      <c r="BN20" s="9">
        <v>0</v>
      </c>
      <c r="BO20" s="10">
        <v>0</v>
      </c>
      <c r="BP20" s="86">
        <v>0</v>
      </c>
      <c r="BQ20" s="21">
        <v>0</v>
      </c>
      <c r="BR20" s="21">
        <v>0</v>
      </c>
      <c r="BS20" s="124">
        <f>SUM(BF20:BR20)</f>
        <v>0</v>
      </c>
      <c r="BT20" s="133"/>
      <c r="BU20" s="297" t="s">
        <v>38</v>
      </c>
      <c r="BV20" s="304" t="s">
        <v>9</v>
      </c>
      <c r="BW20" s="19" t="s">
        <v>24</v>
      </c>
      <c r="BX20" s="157">
        <v>368</v>
      </c>
      <c r="BY20" s="158">
        <v>0</v>
      </c>
      <c r="BZ20" s="159">
        <v>43</v>
      </c>
      <c r="CA20" s="159">
        <v>48</v>
      </c>
      <c r="CB20" s="159">
        <v>48</v>
      </c>
      <c r="CC20" s="160">
        <v>0</v>
      </c>
      <c r="CD20" s="158">
        <v>523</v>
      </c>
      <c r="CE20" s="159">
        <v>711</v>
      </c>
      <c r="CF20" s="158">
        <v>190</v>
      </c>
      <c r="CG20" s="159">
        <v>140</v>
      </c>
      <c r="CH20" s="161">
        <v>0</v>
      </c>
      <c r="CI20" s="162">
        <v>0</v>
      </c>
      <c r="CJ20" s="162">
        <v>0</v>
      </c>
      <c r="CK20" s="124">
        <f>SUM(BX20:CJ20)</f>
        <v>2071</v>
      </c>
      <c r="CL20" s="133"/>
      <c r="CM20" s="297" t="s">
        <v>38</v>
      </c>
      <c r="CN20" s="304" t="s">
        <v>9</v>
      </c>
      <c r="CO20" s="19" t="s">
        <v>24</v>
      </c>
      <c r="CP20" s="168">
        <v>20</v>
      </c>
      <c r="CQ20" s="169">
        <v>0</v>
      </c>
      <c r="CR20" s="170">
        <v>30</v>
      </c>
      <c r="CS20" s="170">
        <v>0</v>
      </c>
      <c r="CT20" s="170">
        <v>20</v>
      </c>
      <c r="CU20" s="171">
        <v>0</v>
      </c>
      <c r="CV20" s="169">
        <v>1500</v>
      </c>
      <c r="CW20" s="170">
        <v>20</v>
      </c>
      <c r="CX20" s="169">
        <v>0</v>
      </c>
      <c r="CY20" s="170">
        <v>30</v>
      </c>
      <c r="CZ20" s="172">
        <v>0</v>
      </c>
      <c r="DA20" s="173">
        <v>10</v>
      </c>
      <c r="DB20" s="173">
        <v>0</v>
      </c>
      <c r="DC20" s="24">
        <f>SUM(CP20:DB20)</f>
        <v>1630</v>
      </c>
      <c r="DD20" s="107"/>
      <c r="DE20" s="297" t="s">
        <v>38</v>
      </c>
      <c r="DF20" s="304" t="s">
        <v>9</v>
      </c>
      <c r="DG20" s="19" t="s">
        <v>24</v>
      </c>
      <c r="DH20" s="185">
        <v>407</v>
      </c>
      <c r="DI20" s="186">
        <v>1</v>
      </c>
      <c r="DJ20" s="186">
        <v>0</v>
      </c>
      <c r="DK20" s="186">
        <v>1</v>
      </c>
      <c r="DL20" s="186">
        <v>30</v>
      </c>
      <c r="DM20" s="187">
        <v>0</v>
      </c>
      <c r="DN20" s="186">
        <v>964</v>
      </c>
      <c r="DO20" s="186">
        <v>138</v>
      </c>
      <c r="DP20" s="186">
        <v>790</v>
      </c>
      <c r="DQ20" s="188">
        <v>204</v>
      </c>
      <c r="DR20" s="187">
        <v>0</v>
      </c>
      <c r="DS20" s="189">
        <v>6</v>
      </c>
      <c r="DT20" s="190">
        <v>0</v>
      </c>
      <c r="DU20" s="211">
        <v>2541</v>
      </c>
      <c r="DV20" s="107"/>
      <c r="DW20" s="297" t="s">
        <v>38</v>
      </c>
      <c r="DX20" s="304" t="s">
        <v>9</v>
      </c>
      <c r="DY20" s="19" t="s">
        <v>24</v>
      </c>
      <c r="DZ20" s="217">
        <v>20</v>
      </c>
      <c r="EA20" s="218">
        <v>0</v>
      </c>
      <c r="EB20" s="219">
        <v>30</v>
      </c>
      <c r="EC20" s="219">
        <v>0</v>
      </c>
      <c r="ED20" s="219">
        <v>20</v>
      </c>
      <c r="EE20" s="220">
        <v>0</v>
      </c>
      <c r="EF20" s="218">
        <v>1500</v>
      </c>
      <c r="EG20" s="219">
        <v>20</v>
      </c>
      <c r="EH20" s="218">
        <v>0</v>
      </c>
      <c r="EI20" s="219">
        <v>30</v>
      </c>
      <c r="EJ20" s="221">
        <v>0</v>
      </c>
      <c r="EK20" s="222">
        <v>10</v>
      </c>
      <c r="EL20" s="222">
        <v>0</v>
      </c>
      <c r="EM20" s="223">
        <f t="shared" ref="EM20:EM21" si="72">SUM(DZ20:EL20)</f>
        <v>1630</v>
      </c>
      <c r="EN20" s="107"/>
      <c r="EO20" s="297" t="s">
        <v>38</v>
      </c>
      <c r="EP20" s="304" t="s">
        <v>9</v>
      </c>
      <c r="EQ20" s="19" t="s">
        <v>24</v>
      </c>
      <c r="ER20" s="233">
        <v>201</v>
      </c>
      <c r="ES20" s="234">
        <v>0</v>
      </c>
      <c r="ET20" s="261">
        <v>0</v>
      </c>
      <c r="EU20" s="262">
        <v>8</v>
      </c>
      <c r="EV20" s="263">
        <v>0</v>
      </c>
      <c r="EW20" s="264">
        <v>0</v>
      </c>
      <c r="EX20" s="265">
        <v>0</v>
      </c>
      <c r="EY20" s="239">
        <v>211</v>
      </c>
      <c r="EZ20" s="240">
        <v>17</v>
      </c>
      <c r="FA20" s="241">
        <v>18</v>
      </c>
      <c r="FB20" s="242">
        <v>0</v>
      </c>
      <c r="FC20" s="243">
        <v>0</v>
      </c>
      <c r="FD20" s="243">
        <v>0</v>
      </c>
      <c r="FE20" s="280">
        <f t="shared" ref="FE20:FE21" si="73">SUM(ER20:FD20)</f>
        <v>455</v>
      </c>
      <c r="FF20" s="107"/>
      <c r="FG20" s="297" t="s">
        <v>38</v>
      </c>
      <c r="FH20" s="304" t="s">
        <v>9</v>
      </c>
      <c r="FI20" s="19" t="s">
        <v>24</v>
      </c>
      <c r="FJ20" s="174">
        <v>394</v>
      </c>
      <c r="FK20" s="175">
        <v>10</v>
      </c>
      <c r="FL20" s="175">
        <v>20</v>
      </c>
      <c r="FM20" s="175">
        <v>5</v>
      </c>
      <c r="FN20" s="175">
        <v>20</v>
      </c>
      <c r="FO20" s="176">
        <v>0</v>
      </c>
      <c r="FP20" s="175">
        <v>0</v>
      </c>
      <c r="FQ20" s="175">
        <v>26</v>
      </c>
      <c r="FR20" s="175">
        <v>0</v>
      </c>
      <c r="FS20" s="177">
        <v>168</v>
      </c>
      <c r="FT20" s="176">
        <v>0</v>
      </c>
      <c r="FU20" s="178">
        <v>13</v>
      </c>
      <c r="FV20" s="179">
        <v>0</v>
      </c>
      <c r="FW20" s="209">
        <v>656</v>
      </c>
      <c r="FX20" s="107"/>
      <c r="FY20" s="297" t="s">
        <v>38</v>
      </c>
      <c r="FZ20" s="304" t="s">
        <v>9</v>
      </c>
      <c r="GA20" s="19" t="s">
        <v>24</v>
      </c>
      <c r="GB20" s="8">
        <v>0</v>
      </c>
      <c r="GC20" s="33">
        <v>0</v>
      </c>
      <c r="GD20" s="4">
        <v>0</v>
      </c>
      <c r="GE20" s="5">
        <v>0</v>
      </c>
      <c r="GF20" s="6">
        <v>0</v>
      </c>
      <c r="GG20" s="84">
        <v>0</v>
      </c>
      <c r="GH20" s="7">
        <v>0</v>
      </c>
      <c r="GI20" s="34">
        <v>0</v>
      </c>
      <c r="GJ20" s="9">
        <v>0</v>
      </c>
      <c r="GK20" s="10">
        <v>0</v>
      </c>
      <c r="GL20" s="86">
        <v>0</v>
      </c>
      <c r="GM20" s="21">
        <v>0</v>
      </c>
      <c r="GN20" s="21">
        <v>0</v>
      </c>
      <c r="GO20" s="24">
        <f>SUM(GB20:GN20)</f>
        <v>0</v>
      </c>
      <c r="GP20" s="107"/>
      <c r="GQ20" s="297" t="s">
        <v>38</v>
      </c>
      <c r="GR20" s="304" t="s">
        <v>9</v>
      </c>
      <c r="GS20" s="19" t="s">
        <v>24</v>
      </c>
      <c r="GT20" s="8">
        <v>0</v>
      </c>
      <c r="GU20" s="33">
        <v>0</v>
      </c>
      <c r="GV20" s="4">
        <v>0</v>
      </c>
      <c r="GW20" s="5">
        <v>0</v>
      </c>
      <c r="GX20" s="6">
        <v>0</v>
      </c>
      <c r="GY20" s="84">
        <v>0</v>
      </c>
      <c r="GZ20" s="7">
        <v>0</v>
      </c>
      <c r="HA20" s="34">
        <v>0</v>
      </c>
      <c r="HB20" s="9">
        <v>0</v>
      </c>
      <c r="HC20" s="10">
        <v>0</v>
      </c>
      <c r="HD20" s="86">
        <v>0</v>
      </c>
      <c r="HE20" s="21">
        <v>0</v>
      </c>
      <c r="HF20" s="21">
        <v>0</v>
      </c>
      <c r="HG20" s="24">
        <f>SUM(GT20:HF20)</f>
        <v>0</v>
      </c>
      <c r="HH20" s="107"/>
      <c r="HI20" s="297" t="str">
        <f>GQ20</f>
        <v>السليمانية</v>
      </c>
      <c r="HJ20" s="304" t="s">
        <v>9</v>
      </c>
      <c r="HK20" s="19" t="s">
        <v>24</v>
      </c>
      <c r="HL20" s="8">
        <f t="shared" ref="HL20:HL21" si="74">SUM(D20+V20+AN20+BF20+BX20+CP20+DH20+DZ20+ER20+FJ20+GB20+GT20)</f>
        <v>2393</v>
      </c>
      <c r="HM20" s="9">
        <f t="shared" ref="HM20:HM21" si="75">SUM(E20+W20+AO20+BG20+BY20+CQ20+DI20+EA20+ES20+FK20+GC20+GU20)</f>
        <v>15</v>
      </c>
      <c r="HN20" s="34">
        <f t="shared" ref="HN20:HN21" si="76">SUM(F20+X20+AP20+BH20+BZ20+CR20+DJ20+EB20+ET20+FL20+GD20+GV20)</f>
        <v>193</v>
      </c>
      <c r="HO20" s="35">
        <f t="shared" ref="HO20:HO21" si="77">SUM(G20+Y20+AQ20+BI20+CA20+CS20+DK20+EC20+EU20+FM20+GE20+GW20)</f>
        <v>64</v>
      </c>
      <c r="HP20" s="35">
        <f t="shared" ref="HP20:HP21" si="78">SUM(H20+Z20+AR20+BJ20+CB20+CT20+DL20+ED20+EV20+FN20+GF20+GX20)</f>
        <v>215</v>
      </c>
      <c r="HQ20" s="46">
        <f t="shared" ref="HQ20:HQ21" si="79">SUM(I20+AA20+AS20+BK20+CC20+CU20+DM20+EE20+EW20+FO20+GG20+GY20)</f>
        <v>0</v>
      </c>
      <c r="HR20" s="9">
        <f t="shared" ref="HR20:HR21" si="80">SUM(J20+AB20+AT20+BL20+CD20+CV20+DN20+EF20+EX20+FP20+GH20+GZ20)</f>
        <v>6195</v>
      </c>
      <c r="HS20" s="34">
        <f t="shared" ref="HS20:HS21" si="81">SUM(K20+AC20+AU20+BM20+CE20+CW20+DO20+EG20+EY20+FQ20+GI20+HA20)</f>
        <v>1545</v>
      </c>
      <c r="HT20" s="9">
        <f t="shared" ref="HT20:HT21" si="82">SUM(L20+AD20+AV20+BN20+CF20+CX20+DP20+EH20+EZ20+FR20+GJ20+HB20)</f>
        <v>2482</v>
      </c>
      <c r="HU20" s="34">
        <f t="shared" ref="HU20:HU21" si="83">SUM(M20+AE20+AW20+BO20+CG20+CY20+DQ20+EI20+FA20+FS20+GK20+HC20)</f>
        <v>1056</v>
      </c>
      <c r="HV20" s="47">
        <f t="shared" ref="HV20:HV21" si="84">SUM(N20+AF20+AX20+BP20+CH20+CZ20+DR20+EJ20+FB20+FT20+GL20+HD20)</f>
        <v>0</v>
      </c>
      <c r="HW20" s="44">
        <f t="shared" ref="HW20:HW21" si="85">SUM(O20+AG20+AY20+BQ20+CI20+DA20+DS20+EK20+FC20+FU20+GM20+HE20)</f>
        <v>62</v>
      </c>
      <c r="HX20" s="44">
        <f t="shared" ref="HX20:HX21" si="86">SUM(P20+AH20+AZ20+BR20+CJ20+DB20+DT20+EL20+FD20+FV20+GN20+HF20)</f>
        <v>0</v>
      </c>
      <c r="HY20" s="38">
        <f>SUM(HL20:HX20)</f>
        <v>14220</v>
      </c>
      <c r="HZ20" s="28"/>
    </row>
    <row r="21" spans="1:234" s="11" customFormat="1" ht="20.100000000000001" customHeight="1" thickBot="1" x14ac:dyDescent="0.3">
      <c r="A21" s="298"/>
      <c r="B21" s="305"/>
      <c r="C21" s="20" t="s">
        <v>25</v>
      </c>
      <c r="D21" s="180">
        <v>455</v>
      </c>
      <c r="E21" s="181">
        <v>4</v>
      </c>
      <c r="F21" s="181">
        <v>105</v>
      </c>
      <c r="G21" s="181">
        <v>3</v>
      </c>
      <c r="H21" s="181">
        <v>100</v>
      </c>
      <c r="I21" s="181">
        <v>0</v>
      </c>
      <c r="J21" s="181">
        <v>814</v>
      </c>
      <c r="K21" s="181">
        <v>24</v>
      </c>
      <c r="L21" s="181">
        <v>667</v>
      </c>
      <c r="M21" s="182">
        <v>225</v>
      </c>
      <c r="N21" s="181">
        <v>20</v>
      </c>
      <c r="O21" s="183">
        <v>10</v>
      </c>
      <c r="P21" s="184">
        <v>0</v>
      </c>
      <c r="Q21" s="125">
        <f>SUM(D21:P21)</f>
        <v>2427</v>
      </c>
      <c r="R21" s="133"/>
      <c r="S21" s="298"/>
      <c r="T21" s="305"/>
      <c r="U21" s="20" t="s">
        <v>25</v>
      </c>
      <c r="V21" s="180">
        <v>582</v>
      </c>
      <c r="W21" s="181">
        <v>4</v>
      </c>
      <c r="X21" s="181">
        <v>0</v>
      </c>
      <c r="Y21" s="181">
        <v>5</v>
      </c>
      <c r="Z21" s="181">
        <v>225</v>
      </c>
      <c r="AA21" s="181">
        <v>0</v>
      </c>
      <c r="AB21" s="181">
        <v>0</v>
      </c>
      <c r="AC21" s="181">
        <v>137</v>
      </c>
      <c r="AD21" s="181">
        <v>1536</v>
      </c>
      <c r="AE21" s="182">
        <v>203</v>
      </c>
      <c r="AF21" s="181">
        <v>21</v>
      </c>
      <c r="AG21" s="183">
        <v>13</v>
      </c>
      <c r="AH21" s="184">
        <v>0</v>
      </c>
      <c r="AI21" s="125">
        <f>SUM(V21:AH21)</f>
        <v>2726</v>
      </c>
      <c r="AJ21" s="133"/>
      <c r="AK21" s="298"/>
      <c r="AL21" s="305"/>
      <c r="AM21" s="20" t="s">
        <v>25</v>
      </c>
      <c r="AN21" s="163">
        <v>340</v>
      </c>
      <c r="AO21" s="164">
        <v>0</v>
      </c>
      <c r="AP21" s="165">
        <v>160</v>
      </c>
      <c r="AQ21" s="165">
        <v>10</v>
      </c>
      <c r="AR21" s="165">
        <v>70</v>
      </c>
      <c r="AS21" s="165">
        <v>8</v>
      </c>
      <c r="AT21" s="164">
        <v>400</v>
      </c>
      <c r="AU21" s="165">
        <v>400</v>
      </c>
      <c r="AV21" s="164">
        <v>100</v>
      </c>
      <c r="AW21" s="165">
        <v>240</v>
      </c>
      <c r="AX21" s="164">
        <v>20</v>
      </c>
      <c r="AY21" s="166">
        <v>18</v>
      </c>
      <c r="AZ21" s="166">
        <v>0</v>
      </c>
      <c r="BA21" s="125">
        <f>SUM(AN21:AZ21)</f>
        <v>1766</v>
      </c>
      <c r="BB21" s="133"/>
      <c r="BC21" s="298"/>
      <c r="BD21" s="305"/>
      <c r="BE21" s="20" t="s">
        <v>25</v>
      </c>
      <c r="BF21" s="12">
        <v>0</v>
      </c>
      <c r="BG21" s="18">
        <v>0</v>
      </c>
      <c r="BH21" s="12">
        <v>0</v>
      </c>
      <c r="BI21" s="13">
        <v>0</v>
      </c>
      <c r="BJ21" s="15">
        <v>0</v>
      </c>
      <c r="BK21" s="15">
        <v>0</v>
      </c>
      <c r="BL21" s="16">
        <v>0</v>
      </c>
      <c r="BM21" s="17">
        <v>0</v>
      </c>
      <c r="BN21" s="14">
        <v>0</v>
      </c>
      <c r="BO21" s="17">
        <v>0</v>
      </c>
      <c r="BP21" s="18">
        <v>0</v>
      </c>
      <c r="BQ21" s="22">
        <v>0</v>
      </c>
      <c r="BR21" s="22">
        <v>0</v>
      </c>
      <c r="BS21" s="125">
        <f>SUM(BF21:BR21)</f>
        <v>0</v>
      </c>
      <c r="BT21" s="133"/>
      <c r="BU21" s="298"/>
      <c r="BV21" s="305"/>
      <c r="BW21" s="20" t="s">
        <v>25</v>
      </c>
      <c r="BX21" s="163">
        <v>295</v>
      </c>
      <c r="BY21" s="164">
        <v>0</v>
      </c>
      <c r="BZ21" s="165">
        <v>50</v>
      </c>
      <c r="CA21" s="165">
        <v>101</v>
      </c>
      <c r="CB21" s="165">
        <v>53</v>
      </c>
      <c r="CC21" s="165">
        <v>0</v>
      </c>
      <c r="CD21" s="164">
        <v>496</v>
      </c>
      <c r="CE21" s="165">
        <v>645</v>
      </c>
      <c r="CF21" s="164">
        <v>207</v>
      </c>
      <c r="CG21" s="165">
        <v>308</v>
      </c>
      <c r="CH21" s="164">
        <v>78</v>
      </c>
      <c r="CI21" s="166">
        <v>0</v>
      </c>
      <c r="CJ21" s="166">
        <v>0</v>
      </c>
      <c r="CK21" s="125">
        <f>SUM(BX21:CJ21)</f>
        <v>2233</v>
      </c>
      <c r="CL21" s="133"/>
      <c r="CM21" s="298"/>
      <c r="CN21" s="305"/>
      <c r="CO21" s="20" t="s">
        <v>25</v>
      </c>
      <c r="CP21" s="163">
        <v>50</v>
      </c>
      <c r="CQ21" s="164">
        <v>0</v>
      </c>
      <c r="CR21" s="165">
        <v>60</v>
      </c>
      <c r="CS21" s="165">
        <v>0</v>
      </c>
      <c r="CT21" s="165">
        <v>40</v>
      </c>
      <c r="CU21" s="165">
        <v>5</v>
      </c>
      <c r="CV21" s="164">
        <v>2800</v>
      </c>
      <c r="CW21" s="165">
        <v>10</v>
      </c>
      <c r="CX21" s="164">
        <v>0</v>
      </c>
      <c r="CY21" s="165">
        <v>50</v>
      </c>
      <c r="CZ21" s="164">
        <v>20</v>
      </c>
      <c r="DA21" s="166">
        <v>5</v>
      </c>
      <c r="DB21" s="166">
        <v>0</v>
      </c>
      <c r="DC21" s="25">
        <f>SUM(CP21:DB21)</f>
        <v>3040</v>
      </c>
      <c r="DD21" s="107"/>
      <c r="DE21" s="298"/>
      <c r="DF21" s="305"/>
      <c r="DG21" s="20" t="s">
        <v>25</v>
      </c>
      <c r="DH21" s="180">
        <v>619</v>
      </c>
      <c r="DI21" s="181">
        <v>5</v>
      </c>
      <c r="DJ21" s="181">
        <v>0</v>
      </c>
      <c r="DK21" s="181">
        <v>5</v>
      </c>
      <c r="DL21" s="181">
        <v>227</v>
      </c>
      <c r="DM21" s="181">
        <v>0</v>
      </c>
      <c r="DN21" s="181">
        <v>0</v>
      </c>
      <c r="DO21" s="181">
        <v>137</v>
      </c>
      <c r="DP21" s="181">
        <v>1536</v>
      </c>
      <c r="DQ21" s="182">
        <v>203</v>
      </c>
      <c r="DR21" s="181">
        <v>21</v>
      </c>
      <c r="DS21" s="183">
        <v>13</v>
      </c>
      <c r="DT21" s="184">
        <v>0</v>
      </c>
      <c r="DU21" s="167">
        <v>2766</v>
      </c>
      <c r="DV21" s="107"/>
      <c r="DW21" s="298"/>
      <c r="DX21" s="305"/>
      <c r="DY21" s="20" t="s">
        <v>25</v>
      </c>
      <c r="DZ21" s="224">
        <v>50</v>
      </c>
      <c r="EA21" s="225">
        <v>0</v>
      </c>
      <c r="EB21" s="226">
        <v>60</v>
      </c>
      <c r="EC21" s="226">
        <v>0</v>
      </c>
      <c r="ED21" s="226">
        <v>40</v>
      </c>
      <c r="EE21" s="226">
        <v>5</v>
      </c>
      <c r="EF21" s="225">
        <v>2800</v>
      </c>
      <c r="EG21" s="226">
        <v>10</v>
      </c>
      <c r="EH21" s="225">
        <v>0</v>
      </c>
      <c r="EI21" s="226">
        <v>50</v>
      </c>
      <c r="EJ21" s="225">
        <v>20</v>
      </c>
      <c r="EK21" s="227">
        <v>5</v>
      </c>
      <c r="EL21" s="227">
        <v>0</v>
      </c>
      <c r="EM21" s="228">
        <f t="shared" si="72"/>
        <v>3040</v>
      </c>
      <c r="EN21" s="107"/>
      <c r="EO21" s="298"/>
      <c r="EP21" s="305"/>
      <c r="EQ21" s="20" t="s">
        <v>25</v>
      </c>
      <c r="ER21" s="244">
        <v>154</v>
      </c>
      <c r="ES21" s="245">
        <v>0</v>
      </c>
      <c r="ET21" s="244">
        <v>0</v>
      </c>
      <c r="EU21" s="246">
        <v>11</v>
      </c>
      <c r="EV21" s="247">
        <v>0</v>
      </c>
      <c r="EW21" s="247">
        <v>0</v>
      </c>
      <c r="EX21" s="248">
        <v>0</v>
      </c>
      <c r="EY21" s="249">
        <v>204</v>
      </c>
      <c r="EZ21" s="250">
        <v>14</v>
      </c>
      <c r="FA21" s="249">
        <v>20</v>
      </c>
      <c r="FB21" s="245">
        <v>15</v>
      </c>
      <c r="FC21" s="251">
        <v>0</v>
      </c>
      <c r="FD21" s="251">
        <v>0</v>
      </c>
      <c r="FE21" s="281">
        <f t="shared" si="73"/>
        <v>418</v>
      </c>
      <c r="FF21" s="107"/>
      <c r="FG21" s="298"/>
      <c r="FH21" s="305"/>
      <c r="FI21" s="20" t="s">
        <v>25</v>
      </c>
      <c r="FJ21" s="180">
        <v>546</v>
      </c>
      <c r="FK21" s="181">
        <v>20</v>
      </c>
      <c r="FL21" s="181">
        <v>25</v>
      </c>
      <c r="FM21" s="181">
        <v>10</v>
      </c>
      <c r="FN21" s="181">
        <v>25</v>
      </c>
      <c r="FO21" s="181">
        <v>0</v>
      </c>
      <c r="FP21" s="181">
        <v>0</v>
      </c>
      <c r="FQ21" s="181">
        <v>47</v>
      </c>
      <c r="FR21" s="181">
        <v>0</v>
      </c>
      <c r="FS21" s="182">
        <v>196</v>
      </c>
      <c r="FT21" s="181">
        <v>42</v>
      </c>
      <c r="FU21" s="183">
        <v>13</v>
      </c>
      <c r="FV21" s="184">
        <v>0</v>
      </c>
      <c r="FW21" s="167">
        <v>924</v>
      </c>
      <c r="FX21" s="107"/>
      <c r="FY21" s="298"/>
      <c r="FZ21" s="305"/>
      <c r="GA21" s="20" t="s">
        <v>25</v>
      </c>
      <c r="GB21" s="12">
        <v>0</v>
      </c>
      <c r="GC21" s="18">
        <v>0</v>
      </c>
      <c r="GD21" s="12">
        <v>0</v>
      </c>
      <c r="GE21" s="13">
        <v>0</v>
      </c>
      <c r="GF21" s="15">
        <v>0</v>
      </c>
      <c r="GG21" s="15">
        <v>0</v>
      </c>
      <c r="GH21" s="16">
        <v>0</v>
      </c>
      <c r="GI21" s="17">
        <v>0</v>
      </c>
      <c r="GJ21" s="14">
        <v>0</v>
      </c>
      <c r="GK21" s="17">
        <v>0</v>
      </c>
      <c r="GL21" s="18">
        <v>0</v>
      </c>
      <c r="GM21" s="22">
        <v>0</v>
      </c>
      <c r="GN21" s="22">
        <v>0</v>
      </c>
      <c r="GO21" s="25">
        <f>SUM(GB21:GN21)</f>
        <v>0</v>
      </c>
      <c r="GP21" s="107"/>
      <c r="GQ21" s="298"/>
      <c r="GR21" s="305"/>
      <c r="GS21" s="20" t="s">
        <v>25</v>
      </c>
      <c r="GT21" s="12">
        <v>0</v>
      </c>
      <c r="GU21" s="18">
        <v>0</v>
      </c>
      <c r="GV21" s="12">
        <v>0</v>
      </c>
      <c r="GW21" s="13">
        <v>0</v>
      </c>
      <c r="GX21" s="15">
        <v>0</v>
      </c>
      <c r="GY21" s="15">
        <v>0</v>
      </c>
      <c r="GZ21" s="16">
        <v>0</v>
      </c>
      <c r="HA21" s="17">
        <v>0</v>
      </c>
      <c r="HB21" s="14">
        <v>0</v>
      </c>
      <c r="HC21" s="17">
        <v>0</v>
      </c>
      <c r="HD21" s="18">
        <v>0</v>
      </c>
      <c r="HE21" s="22">
        <v>0</v>
      </c>
      <c r="HF21" s="22">
        <v>0</v>
      </c>
      <c r="HG21" s="25">
        <f>SUM(GT21:HF21)</f>
        <v>0</v>
      </c>
      <c r="HH21" s="107"/>
      <c r="HI21" s="298"/>
      <c r="HJ21" s="305"/>
      <c r="HK21" s="20" t="s">
        <v>25</v>
      </c>
      <c r="HL21" s="12">
        <f t="shared" si="74"/>
        <v>3091</v>
      </c>
      <c r="HM21" s="14">
        <f t="shared" si="75"/>
        <v>33</v>
      </c>
      <c r="HN21" s="17">
        <f t="shared" si="76"/>
        <v>460</v>
      </c>
      <c r="HO21" s="13">
        <f t="shared" si="77"/>
        <v>145</v>
      </c>
      <c r="HP21" s="13">
        <f t="shared" si="78"/>
        <v>780</v>
      </c>
      <c r="HQ21" s="13">
        <f t="shared" si="79"/>
        <v>18</v>
      </c>
      <c r="HR21" s="14">
        <f t="shared" si="80"/>
        <v>7310</v>
      </c>
      <c r="HS21" s="17">
        <f t="shared" si="81"/>
        <v>1614</v>
      </c>
      <c r="HT21" s="14">
        <f t="shared" si="82"/>
        <v>4060</v>
      </c>
      <c r="HU21" s="17">
        <f t="shared" si="83"/>
        <v>1495</v>
      </c>
      <c r="HV21" s="14">
        <f t="shared" si="84"/>
        <v>257</v>
      </c>
      <c r="HW21" s="45">
        <f t="shared" si="85"/>
        <v>77</v>
      </c>
      <c r="HX21" s="45">
        <f t="shared" si="86"/>
        <v>0</v>
      </c>
      <c r="HY21" s="39">
        <f>SUM(HL21:HX21)</f>
        <v>19340</v>
      </c>
      <c r="HZ21" s="28"/>
    </row>
    <row r="22" spans="1:234" s="11" customFormat="1" ht="20.100000000000001" customHeight="1" thickTop="1" thickBot="1" x14ac:dyDescent="0.25">
      <c r="A22" s="298"/>
      <c r="B22" s="295" t="s">
        <v>26</v>
      </c>
      <c r="C22" s="296"/>
      <c r="D22" s="375">
        <v>945</v>
      </c>
      <c r="E22" s="377"/>
      <c r="F22" s="375">
        <v>1762</v>
      </c>
      <c r="G22" s="376"/>
      <c r="H22" s="376"/>
      <c r="I22" s="376"/>
      <c r="J22" s="377"/>
      <c r="K22" s="375">
        <v>1022</v>
      </c>
      <c r="L22" s="377"/>
      <c r="M22" s="375">
        <v>407</v>
      </c>
      <c r="N22" s="377"/>
      <c r="O22" s="167">
        <v>19</v>
      </c>
      <c r="P22" s="167">
        <v>0</v>
      </c>
      <c r="Q22" s="126">
        <f>SUM(Q20:Q21)</f>
        <v>4155</v>
      </c>
      <c r="R22" s="133"/>
      <c r="S22" s="298"/>
      <c r="T22" s="295" t="s">
        <v>26</v>
      </c>
      <c r="U22" s="296"/>
      <c r="V22" s="375">
        <v>987</v>
      </c>
      <c r="W22" s="377"/>
      <c r="X22" s="375">
        <v>1127</v>
      </c>
      <c r="Y22" s="376"/>
      <c r="Z22" s="376"/>
      <c r="AA22" s="376"/>
      <c r="AB22" s="377"/>
      <c r="AC22" s="375">
        <v>2496</v>
      </c>
      <c r="AD22" s="377"/>
      <c r="AE22" s="375">
        <v>428</v>
      </c>
      <c r="AF22" s="377"/>
      <c r="AG22" s="167">
        <v>19</v>
      </c>
      <c r="AH22" s="167">
        <v>0</v>
      </c>
      <c r="AI22" s="126">
        <f>SUM(AI20:AI21)</f>
        <v>5057</v>
      </c>
      <c r="AJ22" s="133"/>
      <c r="AK22" s="298"/>
      <c r="AL22" s="295" t="s">
        <v>26</v>
      </c>
      <c r="AM22" s="296"/>
      <c r="AN22" s="375">
        <v>440</v>
      </c>
      <c r="AO22" s="377"/>
      <c r="AP22" s="375">
        <v>868</v>
      </c>
      <c r="AQ22" s="376"/>
      <c r="AR22" s="376"/>
      <c r="AS22" s="376"/>
      <c r="AT22" s="377"/>
      <c r="AU22" s="375">
        <v>1250</v>
      </c>
      <c r="AV22" s="377"/>
      <c r="AW22" s="375">
        <v>360</v>
      </c>
      <c r="AX22" s="377"/>
      <c r="AY22" s="167">
        <v>26</v>
      </c>
      <c r="AZ22" s="167">
        <v>0</v>
      </c>
      <c r="BA22" s="126">
        <f>SUM(BA20:BA21)</f>
        <v>2944</v>
      </c>
      <c r="BB22" s="133"/>
      <c r="BC22" s="298"/>
      <c r="BD22" s="295" t="s">
        <v>26</v>
      </c>
      <c r="BE22" s="296"/>
      <c r="BF22" s="306">
        <f>SUM(BF20:BG21)</f>
        <v>0</v>
      </c>
      <c r="BG22" s="307"/>
      <c r="BH22" s="306">
        <f>SUM(BH20:BL21)</f>
        <v>0</v>
      </c>
      <c r="BI22" s="368"/>
      <c r="BJ22" s="368"/>
      <c r="BK22" s="368"/>
      <c r="BL22" s="307"/>
      <c r="BM22" s="306">
        <f>SUM(BM20:BN21)</f>
        <v>0</v>
      </c>
      <c r="BN22" s="307"/>
      <c r="BO22" s="306">
        <f>SUM(BO20:BP21)</f>
        <v>0</v>
      </c>
      <c r="BP22" s="307"/>
      <c r="BQ22" s="94">
        <f>SUM(BQ20:BQ21)</f>
        <v>0</v>
      </c>
      <c r="BR22" s="94">
        <f>SUM(BR20:BR21)</f>
        <v>0</v>
      </c>
      <c r="BS22" s="126">
        <f>SUM(BS20:BS21)</f>
        <v>0</v>
      </c>
      <c r="BT22" s="133"/>
      <c r="BU22" s="298"/>
      <c r="BV22" s="295" t="s">
        <v>26</v>
      </c>
      <c r="BW22" s="296"/>
      <c r="BX22" s="375">
        <v>663</v>
      </c>
      <c r="BY22" s="377"/>
      <c r="BZ22" s="375">
        <v>1362</v>
      </c>
      <c r="CA22" s="376"/>
      <c r="CB22" s="376"/>
      <c r="CC22" s="376"/>
      <c r="CD22" s="377"/>
      <c r="CE22" s="375">
        <v>1753</v>
      </c>
      <c r="CF22" s="377"/>
      <c r="CG22" s="375">
        <v>526</v>
      </c>
      <c r="CH22" s="377"/>
      <c r="CI22" s="167">
        <v>0</v>
      </c>
      <c r="CJ22" s="167">
        <v>0</v>
      </c>
      <c r="CK22" s="126">
        <f>SUM(CK20:CK21)</f>
        <v>4304</v>
      </c>
      <c r="CL22" s="133"/>
      <c r="CM22" s="298"/>
      <c r="CN22" s="295" t="s">
        <v>26</v>
      </c>
      <c r="CO22" s="296"/>
      <c r="CP22" s="375">
        <v>70</v>
      </c>
      <c r="CQ22" s="377"/>
      <c r="CR22" s="375">
        <v>4455</v>
      </c>
      <c r="CS22" s="376"/>
      <c r="CT22" s="376"/>
      <c r="CU22" s="376"/>
      <c r="CV22" s="377"/>
      <c r="CW22" s="375">
        <v>30</v>
      </c>
      <c r="CX22" s="377"/>
      <c r="CY22" s="375">
        <v>100</v>
      </c>
      <c r="CZ22" s="377"/>
      <c r="DA22" s="167">
        <v>15</v>
      </c>
      <c r="DB22" s="167">
        <v>0</v>
      </c>
      <c r="DC22" s="26">
        <f>SUM(DC20:DC21)</f>
        <v>4670</v>
      </c>
      <c r="DD22" s="107"/>
      <c r="DE22" s="298"/>
      <c r="DF22" s="295" t="s">
        <v>26</v>
      </c>
      <c r="DG22" s="296"/>
      <c r="DH22" s="375">
        <v>1032</v>
      </c>
      <c r="DI22" s="377"/>
      <c r="DJ22" s="375">
        <v>1227</v>
      </c>
      <c r="DK22" s="376"/>
      <c r="DL22" s="376"/>
      <c r="DM22" s="376"/>
      <c r="DN22" s="377"/>
      <c r="DO22" s="375">
        <v>2601</v>
      </c>
      <c r="DP22" s="377"/>
      <c r="DQ22" s="375">
        <v>428</v>
      </c>
      <c r="DR22" s="377"/>
      <c r="DS22" s="167">
        <v>19</v>
      </c>
      <c r="DT22" s="167">
        <v>0</v>
      </c>
      <c r="DU22" s="210">
        <v>5307</v>
      </c>
      <c r="DV22" s="107"/>
      <c r="DW22" s="298"/>
      <c r="DX22" s="295" t="s">
        <v>26</v>
      </c>
      <c r="DY22" s="296"/>
      <c r="DZ22" s="359">
        <f>SUM(DZ20:EA21)</f>
        <v>70</v>
      </c>
      <c r="EA22" s="361"/>
      <c r="EB22" s="359">
        <f>SUM(EB20:EF21)</f>
        <v>4455</v>
      </c>
      <c r="EC22" s="360"/>
      <c r="ED22" s="360"/>
      <c r="EE22" s="360"/>
      <c r="EF22" s="361"/>
      <c r="EG22" s="359">
        <f>SUM(EG20:EH21)</f>
        <v>30</v>
      </c>
      <c r="EH22" s="361"/>
      <c r="EI22" s="359">
        <f>SUM(EI20:EJ21)</f>
        <v>100</v>
      </c>
      <c r="EJ22" s="361"/>
      <c r="EK22" s="229">
        <f t="shared" ref="EK22:EM22" si="87">SUM(EK20:EK21)</f>
        <v>15</v>
      </c>
      <c r="EL22" s="229">
        <f t="shared" si="87"/>
        <v>0</v>
      </c>
      <c r="EM22" s="230">
        <f t="shared" si="87"/>
        <v>4670</v>
      </c>
      <c r="EN22" s="107"/>
      <c r="EO22" s="298"/>
      <c r="EP22" s="295" t="s">
        <v>26</v>
      </c>
      <c r="EQ22" s="296"/>
      <c r="ER22" s="359">
        <f>SUM(ER20:ES21)</f>
        <v>355</v>
      </c>
      <c r="ES22" s="361"/>
      <c r="ET22" s="359">
        <f>SUM(ET20:EX21)</f>
        <v>19</v>
      </c>
      <c r="EU22" s="360"/>
      <c r="EV22" s="360"/>
      <c r="EW22" s="360"/>
      <c r="EX22" s="361"/>
      <c r="EY22" s="359">
        <f>SUM(EY20:EZ21)</f>
        <v>446</v>
      </c>
      <c r="EZ22" s="361"/>
      <c r="FA22" s="359">
        <f>SUM(FA20:FB21)</f>
        <v>53</v>
      </c>
      <c r="FB22" s="361"/>
      <c r="FC22" s="229">
        <f t="shared" ref="FC22:FE22" si="88">SUM(FC20:FC21)</f>
        <v>0</v>
      </c>
      <c r="FD22" s="229">
        <f t="shared" si="88"/>
        <v>0</v>
      </c>
      <c r="FE22" s="282">
        <f t="shared" si="88"/>
        <v>873</v>
      </c>
      <c r="FF22" s="107"/>
      <c r="FG22" s="298"/>
      <c r="FH22" s="295" t="s">
        <v>26</v>
      </c>
      <c r="FI22" s="296"/>
      <c r="FJ22" s="375">
        <v>970</v>
      </c>
      <c r="FK22" s="377"/>
      <c r="FL22" s="375">
        <v>105</v>
      </c>
      <c r="FM22" s="376"/>
      <c r="FN22" s="376"/>
      <c r="FO22" s="376"/>
      <c r="FP22" s="377"/>
      <c r="FQ22" s="375">
        <v>73</v>
      </c>
      <c r="FR22" s="377"/>
      <c r="FS22" s="375">
        <v>406</v>
      </c>
      <c r="FT22" s="377"/>
      <c r="FU22" s="167">
        <v>26</v>
      </c>
      <c r="FV22" s="167">
        <v>0</v>
      </c>
      <c r="FW22" s="210">
        <v>1580</v>
      </c>
      <c r="FX22" s="107"/>
      <c r="FY22" s="298"/>
      <c r="FZ22" s="295" t="s">
        <v>26</v>
      </c>
      <c r="GA22" s="296"/>
      <c r="GB22" s="306">
        <f>SUM(GB20:GC21)</f>
        <v>0</v>
      </c>
      <c r="GC22" s="307"/>
      <c r="GD22" s="306">
        <f>SUM(GD20:GH21)</f>
        <v>0</v>
      </c>
      <c r="GE22" s="368"/>
      <c r="GF22" s="368"/>
      <c r="GG22" s="368"/>
      <c r="GH22" s="307"/>
      <c r="GI22" s="306">
        <f>SUM(GI20:GJ21)</f>
        <v>0</v>
      </c>
      <c r="GJ22" s="307"/>
      <c r="GK22" s="306">
        <f>SUM(GK20:GL21)</f>
        <v>0</v>
      </c>
      <c r="GL22" s="307"/>
      <c r="GM22" s="94">
        <f>SUM(GM20:GM21)</f>
        <v>0</v>
      </c>
      <c r="GN22" s="94">
        <f>SUM(GN20:GN21)</f>
        <v>0</v>
      </c>
      <c r="GO22" s="26">
        <f>SUM(GO20:GO21)</f>
        <v>0</v>
      </c>
      <c r="GP22" s="107"/>
      <c r="GQ22" s="298"/>
      <c r="GR22" s="295" t="s">
        <v>26</v>
      </c>
      <c r="GS22" s="296"/>
      <c r="GT22" s="306">
        <f>SUM(GT20:GU21)</f>
        <v>0</v>
      </c>
      <c r="GU22" s="307"/>
      <c r="GV22" s="306">
        <f>SUM(GV20:GZ21)</f>
        <v>0</v>
      </c>
      <c r="GW22" s="368"/>
      <c r="GX22" s="368"/>
      <c r="GY22" s="368"/>
      <c r="GZ22" s="307"/>
      <c r="HA22" s="306">
        <f>SUM(HA20:HB21)</f>
        <v>0</v>
      </c>
      <c r="HB22" s="307"/>
      <c r="HC22" s="306">
        <f>SUM(HC20:HD21)</f>
        <v>0</v>
      </c>
      <c r="HD22" s="307"/>
      <c r="HE22" s="94">
        <f>SUM(HE20:HE21)</f>
        <v>0</v>
      </c>
      <c r="HF22" s="94">
        <f>SUM(HF20:HF21)</f>
        <v>0</v>
      </c>
      <c r="HG22" s="26">
        <f>SUM(HG20:HG21)</f>
        <v>0</v>
      </c>
      <c r="HH22" s="107"/>
      <c r="HI22" s="298"/>
      <c r="HJ22" s="295" t="s">
        <v>26</v>
      </c>
      <c r="HK22" s="313"/>
      <c r="HL22" s="306">
        <f>SUM(HL20:HM21)</f>
        <v>5532</v>
      </c>
      <c r="HM22" s="307"/>
      <c r="HN22" s="306">
        <f>SUM(HN20:HR21)</f>
        <v>15380</v>
      </c>
      <c r="HO22" s="368"/>
      <c r="HP22" s="368"/>
      <c r="HQ22" s="368"/>
      <c r="HR22" s="307"/>
      <c r="HS22" s="306">
        <f>SUM(HS20:HT21)</f>
        <v>9701</v>
      </c>
      <c r="HT22" s="307"/>
      <c r="HU22" s="306">
        <f>SUM(HU20:HV21)</f>
        <v>2808</v>
      </c>
      <c r="HV22" s="307"/>
      <c r="HW22" s="43">
        <f>SUM(HW20:HW21)</f>
        <v>139</v>
      </c>
      <c r="HX22" s="43">
        <f>SUM(HX20:HX21)</f>
        <v>0</v>
      </c>
      <c r="HY22" s="26">
        <f>SUM(HY20:HY21)</f>
        <v>33560</v>
      </c>
      <c r="HZ22" s="28"/>
    </row>
    <row r="23" spans="1:234" s="11" customFormat="1" ht="20.100000000000001" customHeight="1" thickTop="1" thickBot="1" x14ac:dyDescent="0.3">
      <c r="A23" s="298"/>
      <c r="B23" s="311" t="s">
        <v>27</v>
      </c>
      <c r="C23" s="19" t="s">
        <v>24</v>
      </c>
      <c r="D23" s="185">
        <v>10</v>
      </c>
      <c r="E23" s="186">
        <v>1</v>
      </c>
      <c r="F23" s="186">
        <v>2</v>
      </c>
      <c r="G23" s="186">
        <v>1</v>
      </c>
      <c r="H23" s="186">
        <v>4</v>
      </c>
      <c r="I23" s="187">
        <v>0</v>
      </c>
      <c r="J23" s="186">
        <v>30</v>
      </c>
      <c r="K23" s="186">
        <v>13</v>
      </c>
      <c r="L23" s="186">
        <v>25</v>
      </c>
      <c r="M23" s="188">
        <v>20</v>
      </c>
      <c r="N23" s="187">
        <v>0</v>
      </c>
      <c r="O23" s="189">
        <v>1</v>
      </c>
      <c r="P23" s="190">
        <v>0</v>
      </c>
      <c r="Q23" s="124">
        <f>SUM(D23:P23)</f>
        <v>107</v>
      </c>
      <c r="R23" s="133"/>
      <c r="S23" s="298"/>
      <c r="T23" s="311" t="s">
        <v>27</v>
      </c>
      <c r="U23" s="19" t="s">
        <v>24</v>
      </c>
      <c r="V23" s="185">
        <v>27</v>
      </c>
      <c r="W23" s="186">
        <v>0</v>
      </c>
      <c r="X23" s="186">
        <v>0</v>
      </c>
      <c r="Y23" s="186">
        <v>0</v>
      </c>
      <c r="Z23" s="186">
        <v>5</v>
      </c>
      <c r="AA23" s="187">
        <v>0</v>
      </c>
      <c r="AB23" s="186">
        <v>87</v>
      </c>
      <c r="AC23" s="186">
        <v>20</v>
      </c>
      <c r="AD23" s="186">
        <v>51</v>
      </c>
      <c r="AE23" s="188">
        <v>51</v>
      </c>
      <c r="AF23" s="187">
        <v>0</v>
      </c>
      <c r="AG23" s="189">
        <v>6</v>
      </c>
      <c r="AH23" s="190">
        <v>0</v>
      </c>
      <c r="AI23" s="124">
        <f>SUM(V23:AH23)</f>
        <v>247</v>
      </c>
      <c r="AJ23" s="133"/>
      <c r="AK23" s="298"/>
      <c r="AL23" s="311" t="s">
        <v>27</v>
      </c>
      <c r="AM23" s="19" t="s">
        <v>24</v>
      </c>
      <c r="AN23" s="168">
        <v>90</v>
      </c>
      <c r="AO23" s="169">
        <v>0</v>
      </c>
      <c r="AP23" s="170">
        <v>20</v>
      </c>
      <c r="AQ23" s="170">
        <v>0</v>
      </c>
      <c r="AR23" s="170">
        <v>20</v>
      </c>
      <c r="AS23" s="171">
        <v>0</v>
      </c>
      <c r="AT23" s="169">
        <v>110</v>
      </c>
      <c r="AU23" s="170">
        <v>20</v>
      </c>
      <c r="AV23" s="169">
        <v>0</v>
      </c>
      <c r="AW23" s="170">
        <v>10</v>
      </c>
      <c r="AX23" s="172">
        <v>0</v>
      </c>
      <c r="AY23" s="173">
        <v>4</v>
      </c>
      <c r="AZ23" s="173">
        <v>0</v>
      </c>
      <c r="BA23" s="124">
        <f>SUM(AN23:AZ23)</f>
        <v>274</v>
      </c>
      <c r="BB23" s="133"/>
      <c r="BC23" s="298"/>
      <c r="BD23" s="311" t="s">
        <v>27</v>
      </c>
      <c r="BE23" s="19" t="s">
        <v>24</v>
      </c>
      <c r="BF23" s="8">
        <v>0</v>
      </c>
      <c r="BG23" s="33">
        <v>0</v>
      </c>
      <c r="BH23" s="8">
        <v>0</v>
      </c>
      <c r="BI23" s="35">
        <v>0</v>
      </c>
      <c r="BJ23" s="36">
        <v>0</v>
      </c>
      <c r="BK23" s="85">
        <v>0</v>
      </c>
      <c r="BL23" s="37">
        <v>0</v>
      </c>
      <c r="BM23" s="34">
        <v>0</v>
      </c>
      <c r="BN23" s="9">
        <v>0</v>
      </c>
      <c r="BO23" s="10">
        <v>0</v>
      </c>
      <c r="BP23" s="86">
        <v>0</v>
      </c>
      <c r="BQ23" s="21">
        <v>0</v>
      </c>
      <c r="BR23" s="21">
        <v>0</v>
      </c>
      <c r="BS23" s="124">
        <f>SUM(BF23:BR23)</f>
        <v>0</v>
      </c>
      <c r="BT23" s="133"/>
      <c r="BU23" s="298"/>
      <c r="BV23" s="311" t="s">
        <v>27</v>
      </c>
      <c r="BW23" s="19" t="s">
        <v>24</v>
      </c>
      <c r="BX23" s="168">
        <v>109</v>
      </c>
      <c r="BY23" s="169">
        <v>0</v>
      </c>
      <c r="BZ23" s="170">
        <v>0</v>
      </c>
      <c r="CA23" s="170">
        <v>22</v>
      </c>
      <c r="CB23" s="170">
        <v>59</v>
      </c>
      <c r="CC23" s="171">
        <v>0</v>
      </c>
      <c r="CD23" s="169">
        <v>73</v>
      </c>
      <c r="CE23" s="170">
        <v>148</v>
      </c>
      <c r="CF23" s="169">
        <v>144</v>
      </c>
      <c r="CG23" s="170">
        <v>82</v>
      </c>
      <c r="CH23" s="172">
        <v>0</v>
      </c>
      <c r="CI23" s="173">
        <v>0</v>
      </c>
      <c r="CJ23" s="173">
        <v>0</v>
      </c>
      <c r="CK23" s="124">
        <f>SUM(BX23:CJ23)</f>
        <v>637</v>
      </c>
      <c r="CL23" s="133"/>
      <c r="CM23" s="298"/>
      <c r="CN23" s="311" t="s">
        <v>27</v>
      </c>
      <c r="CO23" s="19" t="s">
        <v>24</v>
      </c>
      <c r="CP23" s="168">
        <v>10</v>
      </c>
      <c r="CQ23" s="169">
        <v>0</v>
      </c>
      <c r="CR23" s="170">
        <v>5</v>
      </c>
      <c r="CS23" s="170">
        <v>0</v>
      </c>
      <c r="CT23" s="170">
        <v>3</v>
      </c>
      <c r="CU23" s="171">
        <v>0</v>
      </c>
      <c r="CV23" s="169">
        <v>100</v>
      </c>
      <c r="CW23" s="170">
        <v>2</v>
      </c>
      <c r="CX23" s="169">
        <v>0</v>
      </c>
      <c r="CY23" s="170">
        <v>5</v>
      </c>
      <c r="CZ23" s="172">
        <v>0</v>
      </c>
      <c r="DA23" s="173">
        <v>0</v>
      </c>
      <c r="DB23" s="173">
        <v>0</v>
      </c>
      <c r="DC23" s="24">
        <f>SUM(CP23:DB23)</f>
        <v>125</v>
      </c>
      <c r="DD23" s="107"/>
      <c r="DE23" s="298"/>
      <c r="DF23" s="311" t="s">
        <v>27</v>
      </c>
      <c r="DG23" s="19" t="s">
        <v>24</v>
      </c>
      <c r="DH23" s="185">
        <v>27</v>
      </c>
      <c r="DI23" s="186">
        <v>0</v>
      </c>
      <c r="DJ23" s="186">
        <v>0</v>
      </c>
      <c r="DK23" s="186">
        <v>0</v>
      </c>
      <c r="DL23" s="186">
        <v>5</v>
      </c>
      <c r="DM23" s="187">
        <v>0</v>
      </c>
      <c r="DN23" s="186">
        <v>87</v>
      </c>
      <c r="DO23" s="186">
        <v>20</v>
      </c>
      <c r="DP23" s="186">
        <v>51</v>
      </c>
      <c r="DQ23" s="188">
        <v>51</v>
      </c>
      <c r="DR23" s="187">
        <v>0</v>
      </c>
      <c r="DS23" s="189">
        <v>6</v>
      </c>
      <c r="DT23" s="190">
        <v>0</v>
      </c>
      <c r="DU23" s="211">
        <v>247</v>
      </c>
      <c r="DV23" s="107"/>
      <c r="DW23" s="298"/>
      <c r="DX23" s="311" t="s">
        <v>27</v>
      </c>
      <c r="DY23" s="19" t="s">
        <v>24</v>
      </c>
      <c r="DZ23" s="217">
        <v>10</v>
      </c>
      <c r="EA23" s="218">
        <v>0</v>
      </c>
      <c r="EB23" s="219">
        <v>5</v>
      </c>
      <c r="EC23" s="219">
        <v>0</v>
      </c>
      <c r="ED23" s="219">
        <v>3</v>
      </c>
      <c r="EE23" s="220">
        <v>0</v>
      </c>
      <c r="EF23" s="218">
        <v>100</v>
      </c>
      <c r="EG23" s="219">
        <v>2</v>
      </c>
      <c r="EH23" s="218">
        <v>0</v>
      </c>
      <c r="EI23" s="219">
        <v>5</v>
      </c>
      <c r="EJ23" s="221">
        <v>0</v>
      </c>
      <c r="EK23" s="222">
        <v>0</v>
      </c>
      <c r="EL23" s="222">
        <v>0</v>
      </c>
      <c r="EM23" s="223">
        <f t="shared" ref="EM23:EM24" si="89">SUM(DZ23:EL23)</f>
        <v>125</v>
      </c>
      <c r="EN23" s="107"/>
      <c r="EO23" s="298"/>
      <c r="EP23" s="311" t="s">
        <v>27</v>
      </c>
      <c r="EQ23" s="19" t="s">
        <v>24</v>
      </c>
      <c r="ER23" s="233">
        <v>8</v>
      </c>
      <c r="ES23" s="234">
        <v>0</v>
      </c>
      <c r="ET23" s="233">
        <v>0</v>
      </c>
      <c r="EU23" s="235">
        <v>1</v>
      </c>
      <c r="EV23" s="236">
        <v>0</v>
      </c>
      <c r="EW23" s="237">
        <v>0</v>
      </c>
      <c r="EX23" s="238">
        <v>0</v>
      </c>
      <c r="EY23" s="239">
        <v>5</v>
      </c>
      <c r="EZ23" s="240">
        <v>4</v>
      </c>
      <c r="FA23" s="241">
        <v>2</v>
      </c>
      <c r="FB23" s="242">
        <v>0</v>
      </c>
      <c r="FC23" s="243">
        <v>0</v>
      </c>
      <c r="FD23" s="243">
        <v>0</v>
      </c>
      <c r="FE23" s="280">
        <f t="shared" ref="FE23:FE24" si="90">SUM(ER23:FD23)</f>
        <v>20</v>
      </c>
      <c r="FF23" s="107"/>
      <c r="FG23" s="298"/>
      <c r="FH23" s="311" t="s">
        <v>27</v>
      </c>
      <c r="FI23" s="19" t="s">
        <v>24</v>
      </c>
      <c r="FJ23" s="185">
        <v>30</v>
      </c>
      <c r="FK23" s="186">
        <v>10</v>
      </c>
      <c r="FL23" s="186">
        <v>5</v>
      </c>
      <c r="FM23" s="186">
        <v>5</v>
      </c>
      <c r="FN23" s="186">
        <v>10</v>
      </c>
      <c r="FO23" s="187">
        <v>0</v>
      </c>
      <c r="FP23" s="186">
        <v>0</v>
      </c>
      <c r="FQ23" s="186">
        <v>20</v>
      </c>
      <c r="FR23" s="186">
        <v>0</v>
      </c>
      <c r="FS23" s="188">
        <v>10</v>
      </c>
      <c r="FT23" s="187">
        <v>0</v>
      </c>
      <c r="FU23" s="189">
        <v>2</v>
      </c>
      <c r="FV23" s="190">
        <v>0</v>
      </c>
      <c r="FW23" s="211">
        <v>92</v>
      </c>
      <c r="FX23" s="107"/>
      <c r="FY23" s="298"/>
      <c r="FZ23" s="311" t="s">
        <v>27</v>
      </c>
      <c r="GA23" s="19" t="s">
        <v>24</v>
      </c>
      <c r="GB23" s="8">
        <v>0</v>
      </c>
      <c r="GC23" s="33">
        <v>0</v>
      </c>
      <c r="GD23" s="8">
        <v>0</v>
      </c>
      <c r="GE23" s="35">
        <v>0</v>
      </c>
      <c r="GF23" s="36">
        <v>0</v>
      </c>
      <c r="GG23" s="85">
        <v>0</v>
      </c>
      <c r="GH23" s="37">
        <v>0</v>
      </c>
      <c r="GI23" s="34">
        <v>0</v>
      </c>
      <c r="GJ23" s="9">
        <v>0</v>
      </c>
      <c r="GK23" s="10">
        <v>0</v>
      </c>
      <c r="GL23" s="86">
        <v>0</v>
      </c>
      <c r="GM23" s="21">
        <v>0</v>
      </c>
      <c r="GN23" s="21">
        <v>0</v>
      </c>
      <c r="GO23" s="24">
        <f>SUM(GB23:GN23)</f>
        <v>0</v>
      </c>
      <c r="GP23" s="107"/>
      <c r="GQ23" s="298"/>
      <c r="GR23" s="311" t="s">
        <v>27</v>
      </c>
      <c r="GS23" s="19" t="s">
        <v>24</v>
      </c>
      <c r="GT23" s="8">
        <v>0</v>
      </c>
      <c r="GU23" s="33">
        <v>0</v>
      </c>
      <c r="GV23" s="8">
        <v>0</v>
      </c>
      <c r="GW23" s="35">
        <v>0</v>
      </c>
      <c r="GX23" s="36">
        <v>0</v>
      </c>
      <c r="GY23" s="85">
        <v>0</v>
      </c>
      <c r="GZ23" s="37">
        <v>0</v>
      </c>
      <c r="HA23" s="34">
        <v>0</v>
      </c>
      <c r="HB23" s="9">
        <v>0</v>
      </c>
      <c r="HC23" s="10">
        <v>0</v>
      </c>
      <c r="HD23" s="86">
        <v>0</v>
      </c>
      <c r="HE23" s="21">
        <v>0</v>
      </c>
      <c r="HF23" s="21">
        <v>0</v>
      </c>
      <c r="HG23" s="24">
        <f>SUM(GT23:HF23)</f>
        <v>0</v>
      </c>
      <c r="HH23" s="107"/>
      <c r="HI23" s="298"/>
      <c r="HJ23" s="355" t="s">
        <v>27</v>
      </c>
      <c r="HK23" s="19" t="s">
        <v>24</v>
      </c>
      <c r="HL23" s="8">
        <f t="shared" ref="HL23:HL24" si="91">SUM(D23+V23+AN23+BF23+BX23+CP23+DH23+DZ23+ER23+FJ23+GB23+GT23)</f>
        <v>321</v>
      </c>
      <c r="HM23" s="9">
        <f t="shared" ref="HM23:HM24" si="92">SUM(E23+W23+AO23+BG23+BY23+CQ23+DI23+EA23+ES23+FK23+GC23+GU23)</f>
        <v>11</v>
      </c>
      <c r="HN23" s="34">
        <f t="shared" ref="HN23:HN24" si="93">SUM(F23+X23+AP23+BH23+BZ23+CR23+DJ23+EB23+ET23+FL23+GD23+GV23)</f>
        <v>37</v>
      </c>
      <c r="HO23" s="35">
        <f t="shared" ref="HO23:HO24" si="94">SUM(G23+Y23+AQ23+BI23+CA23+CS23+DK23+EC23+EU23+FM23+GE23+GW23)</f>
        <v>29</v>
      </c>
      <c r="HP23" s="35">
        <f t="shared" ref="HP23:HP24" si="95">SUM(H23+Z23+AR23+BJ23+CB23+CT23+DL23+ED23+EV23+FN23+GF23+GX23)</f>
        <v>109</v>
      </c>
      <c r="HQ23" s="46">
        <f t="shared" ref="HQ23:HQ24" si="96">SUM(I23+AA23+AS23+BK23+CC23+CU23+DM23+EE23+EW23+FO23+GG23+GY23)</f>
        <v>0</v>
      </c>
      <c r="HR23" s="9">
        <f t="shared" ref="HR23:HR24" si="97">SUM(J23+AB23+AT23+BL23+CD23+CV23+DN23+EF23+EX23+FP23+GH23+GZ23)</f>
        <v>587</v>
      </c>
      <c r="HS23" s="34">
        <f t="shared" ref="HS23:HS24" si="98">SUM(K23+AC23+AU23+BM23+CE23+CW23+DO23+EG23+EY23+FQ23+GI23+HA23)</f>
        <v>250</v>
      </c>
      <c r="HT23" s="9">
        <f t="shared" ref="HT23:HT24" si="99">SUM(L23+AD23+AV23+BN23+CF23+CX23+DP23+EH23+EZ23+FR23+GJ23+HB23)</f>
        <v>275</v>
      </c>
      <c r="HU23" s="34">
        <f t="shared" ref="HU23:HU24" si="100">SUM(M23+AE23+AW23+BO23+CG23+CY23+DQ23+EI23+FA23+FS23+GK23+HC23)</f>
        <v>236</v>
      </c>
      <c r="HV23" s="47">
        <f t="shared" ref="HV23:HV24" si="101">SUM(N23+AF23+AX23+BP23+CH23+CZ23+DR23+EJ23+FB23+FT23+GL23+HD23)</f>
        <v>0</v>
      </c>
      <c r="HW23" s="44">
        <f t="shared" ref="HW23:HW24" si="102">SUM(O23+AG23+AY23+BQ23+CI23+DA23+DS23+EK23+FC23+FU23+GM23+HE23)</f>
        <v>19</v>
      </c>
      <c r="HX23" s="44">
        <f t="shared" ref="HX23:HX24" si="103">SUM(P23+AH23+AZ23+BR23+CJ23+DB23+DT23+EL23+FD23+FV23+GN23+HF23)</f>
        <v>0</v>
      </c>
      <c r="HY23" s="24">
        <f>SUM(HL23:HX23)</f>
        <v>1874</v>
      </c>
      <c r="HZ23" s="28"/>
    </row>
    <row r="24" spans="1:234" s="11" customFormat="1" ht="20.100000000000001" customHeight="1" thickBot="1" x14ac:dyDescent="0.3">
      <c r="A24" s="298"/>
      <c r="B24" s="312"/>
      <c r="C24" s="20" t="s">
        <v>25</v>
      </c>
      <c r="D24" s="180">
        <v>20</v>
      </c>
      <c r="E24" s="181">
        <v>1</v>
      </c>
      <c r="F24" s="181">
        <v>4</v>
      </c>
      <c r="G24" s="181">
        <v>1</v>
      </c>
      <c r="H24" s="181">
        <v>10</v>
      </c>
      <c r="I24" s="181">
        <v>0</v>
      </c>
      <c r="J24" s="181">
        <v>55</v>
      </c>
      <c r="K24" s="181">
        <v>20</v>
      </c>
      <c r="L24" s="181">
        <v>20</v>
      </c>
      <c r="M24" s="182">
        <v>15</v>
      </c>
      <c r="N24" s="181">
        <v>0</v>
      </c>
      <c r="O24" s="183">
        <v>4</v>
      </c>
      <c r="P24" s="184">
        <v>0</v>
      </c>
      <c r="Q24" s="125">
        <f>SUM(D24:P24)</f>
        <v>150</v>
      </c>
      <c r="R24" s="133"/>
      <c r="S24" s="298"/>
      <c r="T24" s="312"/>
      <c r="U24" s="20" t="s">
        <v>25</v>
      </c>
      <c r="V24" s="180">
        <v>35</v>
      </c>
      <c r="W24" s="181">
        <v>0</v>
      </c>
      <c r="X24" s="181">
        <v>0</v>
      </c>
      <c r="Y24" s="181">
        <v>0</v>
      </c>
      <c r="Z24" s="181">
        <v>10</v>
      </c>
      <c r="AA24" s="181">
        <v>0</v>
      </c>
      <c r="AB24" s="181">
        <v>67</v>
      </c>
      <c r="AC24" s="181">
        <v>30</v>
      </c>
      <c r="AD24" s="181">
        <v>85</v>
      </c>
      <c r="AE24" s="182">
        <v>43</v>
      </c>
      <c r="AF24" s="181">
        <v>13</v>
      </c>
      <c r="AG24" s="183">
        <v>9</v>
      </c>
      <c r="AH24" s="184">
        <v>0</v>
      </c>
      <c r="AI24" s="125">
        <f>SUM(V24:AH24)</f>
        <v>292</v>
      </c>
      <c r="AJ24" s="133"/>
      <c r="AK24" s="298"/>
      <c r="AL24" s="312"/>
      <c r="AM24" s="20" t="s">
        <v>25</v>
      </c>
      <c r="AN24" s="163">
        <v>80</v>
      </c>
      <c r="AO24" s="164">
        <v>0</v>
      </c>
      <c r="AP24" s="165">
        <v>40</v>
      </c>
      <c r="AQ24" s="165">
        <v>5</v>
      </c>
      <c r="AR24" s="165">
        <v>15</v>
      </c>
      <c r="AS24" s="165">
        <v>0</v>
      </c>
      <c r="AT24" s="164">
        <v>100</v>
      </c>
      <c r="AU24" s="165">
        <v>31</v>
      </c>
      <c r="AV24" s="164">
        <v>0</v>
      </c>
      <c r="AW24" s="165">
        <v>15</v>
      </c>
      <c r="AX24" s="164">
        <v>5</v>
      </c>
      <c r="AY24" s="166">
        <v>4</v>
      </c>
      <c r="AZ24" s="166">
        <v>0</v>
      </c>
      <c r="BA24" s="125">
        <f>SUM(AN24:AZ24)</f>
        <v>295</v>
      </c>
      <c r="BB24" s="133"/>
      <c r="BC24" s="298"/>
      <c r="BD24" s="312"/>
      <c r="BE24" s="20" t="s">
        <v>25</v>
      </c>
      <c r="BF24" s="12">
        <v>0</v>
      </c>
      <c r="BG24" s="18">
        <v>0</v>
      </c>
      <c r="BH24" s="12">
        <v>0</v>
      </c>
      <c r="BI24" s="13">
        <v>0</v>
      </c>
      <c r="BJ24" s="15">
        <v>0</v>
      </c>
      <c r="BK24" s="15">
        <v>0</v>
      </c>
      <c r="BL24" s="16">
        <v>0</v>
      </c>
      <c r="BM24" s="17">
        <v>0</v>
      </c>
      <c r="BN24" s="14">
        <v>0</v>
      </c>
      <c r="BO24" s="17">
        <v>0</v>
      </c>
      <c r="BP24" s="18">
        <v>0</v>
      </c>
      <c r="BQ24" s="22">
        <v>0</v>
      </c>
      <c r="BR24" s="22">
        <v>0</v>
      </c>
      <c r="BS24" s="125">
        <f>SUM(BF24:BR24)</f>
        <v>0</v>
      </c>
      <c r="BT24" s="133"/>
      <c r="BU24" s="298"/>
      <c r="BV24" s="312"/>
      <c r="BW24" s="20" t="s">
        <v>25</v>
      </c>
      <c r="BX24" s="163">
        <v>47</v>
      </c>
      <c r="BY24" s="164">
        <v>0</v>
      </c>
      <c r="BZ24" s="165">
        <v>0</v>
      </c>
      <c r="CA24" s="165">
        <v>0</v>
      </c>
      <c r="CB24" s="165">
        <v>6</v>
      </c>
      <c r="CC24" s="165">
        <v>0</v>
      </c>
      <c r="CD24" s="164">
        <v>85</v>
      </c>
      <c r="CE24" s="165">
        <v>211</v>
      </c>
      <c r="CF24" s="164">
        <v>118</v>
      </c>
      <c r="CG24" s="165">
        <v>2</v>
      </c>
      <c r="CH24" s="164">
        <v>15</v>
      </c>
      <c r="CI24" s="166">
        <v>0</v>
      </c>
      <c r="CJ24" s="166">
        <v>0</v>
      </c>
      <c r="CK24" s="125">
        <f>SUM(BX24:CJ24)</f>
        <v>484</v>
      </c>
      <c r="CL24" s="133"/>
      <c r="CM24" s="298"/>
      <c r="CN24" s="312"/>
      <c r="CO24" s="20" t="s">
        <v>25</v>
      </c>
      <c r="CP24" s="163">
        <v>15</v>
      </c>
      <c r="CQ24" s="164">
        <v>0</v>
      </c>
      <c r="CR24" s="165">
        <v>10</v>
      </c>
      <c r="CS24" s="165">
        <v>0</v>
      </c>
      <c r="CT24" s="165">
        <v>5</v>
      </c>
      <c r="CU24" s="165">
        <v>0</v>
      </c>
      <c r="CV24" s="164">
        <v>180</v>
      </c>
      <c r="CW24" s="165">
        <v>5</v>
      </c>
      <c r="CX24" s="164">
        <v>0</v>
      </c>
      <c r="CY24" s="165">
        <v>5</v>
      </c>
      <c r="CZ24" s="164">
        <v>0</v>
      </c>
      <c r="DA24" s="166">
        <v>0</v>
      </c>
      <c r="DB24" s="166">
        <v>0</v>
      </c>
      <c r="DC24" s="25">
        <f>SUM(CP24:DB24)</f>
        <v>220</v>
      </c>
      <c r="DD24" s="107"/>
      <c r="DE24" s="298"/>
      <c r="DF24" s="312"/>
      <c r="DG24" s="20" t="s">
        <v>25</v>
      </c>
      <c r="DH24" s="180">
        <v>35</v>
      </c>
      <c r="DI24" s="181">
        <v>0</v>
      </c>
      <c r="DJ24" s="181">
        <v>0</v>
      </c>
      <c r="DK24" s="181">
        <v>0</v>
      </c>
      <c r="DL24" s="181">
        <v>10</v>
      </c>
      <c r="DM24" s="181">
        <v>0</v>
      </c>
      <c r="DN24" s="181">
        <v>67</v>
      </c>
      <c r="DO24" s="181">
        <v>30</v>
      </c>
      <c r="DP24" s="181">
        <v>85</v>
      </c>
      <c r="DQ24" s="182">
        <v>43</v>
      </c>
      <c r="DR24" s="181">
        <v>13</v>
      </c>
      <c r="DS24" s="183">
        <v>9</v>
      </c>
      <c r="DT24" s="184">
        <v>0</v>
      </c>
      <c r="DU24" s="167">
        <v>292</v>
      </c>
      <c r="DV24" s="107"/>
      <c r="DW24" s="298"/>
      <c r="DX24" s="312"/>
      <c r="DY24" s="20" t="s">
        <v>25</v>
      </c>
      <c r="DZ24" s="224">
        <v>15</v>
      </c>
      <c r="EA24" s="225">
        <v>0</v>
      </c>
      <c r="EB24" s="226">
        <v>10</v>
      </c>
      <c r="EC24" s="226">
        <v>0</v>
      </c>
      <c r="ED24" s="226">
        <v>5</v>
      </c>
      <c r="EE24" s="226">
        <v>0</v>
      </c>
      <c r="EF24" s="225">
        <v>180</v>
      </c>
      <c r="EG24" s="226">
        <v>5</v>
      </c>
      <c r="EH24" s="225">
        <v>0</v>
      </c>
      <c r="EI24" s="226">
        <v>5</v>
      </c>
      <c r="EJ24" s="225">
        <v>0</v>
      </c>
      <c r="EK24" s="227">
        <v>0</v>
      </c>
      <c r="EL24" s="227">
        <v>0</v>
      </c>
      <c r="EM24" s="228">
        <f t="shared" si="89"/>
        <v>220</v>
      </c>
      <c r="EN24" s="107"/>
      <c r="EO24" s="298"/>
      <c r="EP24" s="312"/>
      <c r="EQ24" s="20" t="s">
        <v>25</v>
      </c>
      <c r="ER24" s="244">
        <v>9</v>
      </c>
      <c r="ES24" s="245">
        <v>0</v>
      </c>
      <c r="ET24" s="244">
        <v>0</v>
      </c>
      <c r="EU24" s="246">
        <v>3</v>
      </c>
      <c r="EV24" s="247">
        <v>0</v>
      </c>
      <c r="EW24" s="247">
        <v>0</v>
      </c>
      <c r="EX24" s="248">
        <v>0</v>
      </c>
      <c r="EY24" s="249">
        <v>8</v>
      </c>
      <c r="EZ24" s="250">
        <v>7</v>
      </c>
      <c r="FA24" s="249">
        <v>1</v>
      </c>
      <c r="FB24" s="245">
        <v>1</v>
      </c>
      <c r="FC24" s="251">
        <v>0</v>
      </c>
      <c r="FD24" s="251">
        <v>0</v>
      </c>
      <c r="FE24" s="281">
        <f t="shared" si="90"/>
        <v>29</v>
      </c>
      <c r="FF24" s="107"/>
      <c r="FG24" s="298"/>
      <c r="FH24" s="312"/>
      <c r="FI24" s="20" t="s">
        <v>25</v>
      </c>
      <c r="FJ24" s="180">
        <v>20</v>
      </c>
      <c r="FK24" s="181">
        <v>20</v>
      </c>
      <c r="FL24" s="181">
        <v>5</v>
      </c>
      <c r="FM24" s="181">
        <v>5</v>
      </c>
      <c r="FN24" s="181">
        <v>10</v>
      </c>
      <c r="FO24" s="181">
        <v>0</v>
      </c>
      <c r="FP24" s="181">
        <v>0</v>
      </c>
      <c r="FQ24" s="181">
        <v>30</v>
      </c>
      <c r="FR24" s="181">
        <v>0</v>
      </c>
      <c r="FS24" s="182">
        <v>20</v>
      </c>
      <c r="FT24" s="181">
        <v>10</v>
      </c>
      <c r="FU24" s="183">
        <v>3</v>
      </c>
      <c r="FV24" s="184">
        <v>0</v>
      </c>
      <c r="FW24" s="167">
        <v>123</v>
      </c>
      <c r="FX24" s="107"/>
      <c r="FY24" s="298"/>
      <c r="FZ24" s="312"/>
      <c r="GA24" s="20" t="s">
        <v>25</v>
      </c>
      <c r="GB24" s="12">
        <v>0</v>
      </c>
      <c r="GC24" s="18">
        <v>0</v>
      </c>
      <c r="GD24" s="12">
        <v>0</v>
      </c>
      <c r="GE24" s="13">
        <v>0</v>
      </c>
      <c r="GF24" s="15">
        <v>0</v>
      </c>
      <c r="GG24" s="15">
        <v>0</v>
      </c>
      <c r="GH24" s="16">
        <v>0</v>
      </c>
      <c r="GI24" s="17">
        <v>0</v>
      </c>
      <c r="GJ24" s="14">
        <v>0</v>
      </c>
      <c r="GK24" s="17">
        <v>0</v>
      </c>
      <c r="GL24" s="18">
        <v>0</v>
      </c>
      <c r="GM24" s="22">
        <v>0</v>
      </c>
      <c r="GN24" s="22">
        <v>0</v>
      </c>
      <c r="GO24" s="25">
        <f>SUM(GB24:GN24)</f>
        <v>0</v>
      </c>
      <c r="GP24" s="107"/>
      <c r="GQ24" s="298"/>
      <c r="GR24" s="312"/>
      <c r="GS24" s="20" t="s">
        <v>25</v>
      </c>
      <c r="GT24" s="12">
        <v>0</v>
      </c>
      <c r="GU24" s="18">
        <v>0</v>
      </c>
      <c r="GV24" s="12">
        <v>0</v>
      </c>
      <c r="GW24" s="13">
        <v>0</v>
      </c>
      <c r="GX24" s="15">
        <v>0</v>
      </c>
      <c r="GY24" s="15">
        <v>0</v>
      </c>
      <c r="GZ24" s="16">
        <v>0</v>
      </c>
      <c r="HA24" s="17">
        <v>0</v>
      </c>
      <c r="HB24" s="14">
        <v>0</v>
      </c>
      <c r="HC24" s="17">
        <v>0</v>
      </c>
      <c r="HD24" s="18">
        <v>0</v>
      </c>
      <c r="HE24" s="22">
        <v>0</v>
      </c>
      <c r="HF24" s="22">
        <v>0</v>
      </c>
      <c r="HG24" s="25">
        <f>SUM(GT24:HF24)</f>
        <v>0</v>
      </c>
      <c r="HH24" s="107"/>
      <c r="HI24" s="298"/>
      <c r="HJ24" s="356"/>
      <c r="HK24" s="20" t="s">
        <v>25</v>
      </c>
      <c r="HL24" s="12">
        <f t="shared" si="91"/>
        <v>276</v>
      </c>
      <c r="HM24" s="14">
        <f t="shared" si="92"/>
        <v>21</v>
      </c>
      <c r="HN24" s="17">
        <f t="shared" si="93"/>
        <v>69</v>
      </c>
      <c r="HO24" s="13">
        <f t="shared" si="94"/>
        <v>14</v>
      </c>
      <c r="HP24" s="13">
        <f t="shared" si="95"/>
        <v>71</v>
      </c>
      <c r="HQ24" s="13">
        <f t="shared" si="96"/>
        <v>0</v>
      </c>
      <c r="HR24" s="14">
        <f t="shared" si="97"/>
        <v>734</v>
      </c>
      <c r="HS24" s="17">
        <f t="shared" si="98"/>
        <v>370</v>
      </c>
      <c r="HT24" s="14">
        <f t="shared" si="99"/>
        <v>315</v>
      </c>
      <c r="HU24" s="17">
        <f t="shared" si="100"/>
        <v>149</v>
      </c>
      <c r="HV24" s="14">
        <f t="shared" si="101"/>
        <v>57</v>
      </c>
      <c r="HW24" s="45">
        <f t="shared" si="102"/>
        <v>29</v>
      </c>
      <c r="HX24" s="45">
        <f t="shared" si="103"/>
        <v>0</v>
      </c>
      <c r="HY24" s="25">
        <f>SUM(HL24:HX24)</f>
        <v>2105</v>
      </c>
      <c r="HZ24" s="28"/>
    </row>
    <row r="25" spans="1:234" s="11" customFormat="1" ht="20.100000000000001" customHeight="1" thickTop="1" thickBot="1" x14ac:dyDescent="0.25">
      <c r="A25" s="299"/>
      <c r="B25" s="326" t="s">
        <v>34</v>
      </c>
      <c r="C25" s="327"/>
      <c r="D25" s="306">
        <f>SUM(D23:E24)</f>
        <v>32</v>
      </c>
      <c r="E25" s="307"/>
      <c r="F25" s="306">
        <f>SUM(F23:J24)</f>
        <v>107</v>
      </c>
      <c r="G25" s="368"/>
      <c r="H25" s="368"/>
      <c r="I25" s="368"/>
      <c r="J25" s="307"/>
      <c r="K25" s="306">
        <f>SUM(K23:L24)</f>
        <v>78</v>
      </c>
      <c r="L25" s="307"/>
      <c r="M25" s="306">
        <f>SUM(M23:N24)</f>
        <v>35</v>
      </c>
      <c r="N25" s="307"/>
      <c r="O25" s="94">
        <f>SUM(O23:O24)</f>
        <v>5</v>
      </c>
      <c r="P25" s="94">
        <f>SUM(P23:P24)</f>
        <v>0</v>
      </c>
      <c r="Q25" s="126">
        <f>SUM(Q23:Q24)</f>
        <v>257</v>
      </c>
      <c r="R25" s="133"/>
      <c r="S25" s="299"/>
      <c r="T25" s="326" t="s">
        <v>34</v>
      </c>
      <c r="U25" s="327"/>
      <c r="V25" s="306">
        <f>SUM(V23:W24)</f>
        <v>62</v>
      </c>
      <c r="W25" s="307"/>
      <c r="X25" s="306">
        <f>SUM(X23:AB24)</f>
        <v>169</v>
      </c>
      <c r="Y25" s="368"/>
      <c r="Z25" s="368"/>
      <c r="AA25" s="368"/>
      <c r="AB25" s="307"/>
      <c r="AC25" s="306">
        <f>SUM(AC23:AD24)</f>
        <v>186</v>
      </c>
      <c r="AD25" s="307"/>
      <c r="AE25" s="306">
        <f>SUM(AE23:AF24)</f>
        <v>107</v>
      </c>
      <c r="AF25" s="307"/>
      <c r="AG25" s="94">
        <f>SUM(AG23:AG24)</f>
        <v>15</v>
      </c>
      <c r="AH25" s="94">
        <f>SUM(AH23:AH24)</f>
        <v>0</v>
      </c>
      <c r="AI25" s="126">
        <f>SUM(AI23:AI24)</f>
        <v>539</v>
      </c>
      <c r="AJ25" s="133"/>
      <c r="AK25" s="299"/>
      <c r="AL25" s="326" t="s">
        <v>34</v>
      </c>
      <c r="AM25" s="327"/>
      <c r="AN25" s="306">
        <f>SUM(AN23:AO24)</f>
        <v>170</v>
      </c>
      <c r="AO25" s="307"/>
      <c r="AP25" s="306">
        <f>SUM(AP23:AT24)</f>
        <v>310</v>
      </c>
      <c r="AQ25" s="368"/>
      <c r="AR25" s="368"/>
      <c r="AS25" s="368"/>
      <c r="AT25" s="307"/>
      <c r="AU25" s="306">
        <f>SUM(AU23:AV24)</f>
        <v>51</v>
      </c>
      <c r="AV25" s="307"/>
      <c r="AW25" s="306">
        <f>SUM(AW23:AX24)</f>
        <v>30</v>
      </c>
      <c r="AX25" s="307"/>
      <c r="AY25" s="94">
        <f>SUM(AY23:AY24)</f>
        <v>8</v>
      </c>
      <c r="AZ25" s="94">
        <f>SUM(AZ23:AZ24)</f>
        <v>0</v>
      </c>
      <c r="BA25" s="126">
        <f>SUM(BA23:BA24)</f>
        <v>569</v>
      </c>
      <c r="BB25" s="133"/>
      <c r="BC25" s="299"/>
      <c r="BD25" s="326" t="s">
        <v>34</v>
      </c>
      <c r="BE25" s="327"/>
      <c r="BF25" s="306">
        <f>SUM(BF23:BG24)</f>
        <v>0</v>
      </c>
      <c r="BG25" s="307"/>
      <c r="BH25" s="306">
        <f>SUM(BH23:BL24)</f>
        <v>0</v>
      </c>
      <c r="BI25" s="368"/>
      <c r="BJ25" s="368"/>
      <c r="BK25" s="368"/>
      <c r="BL25" s="307"/>
      <c r="BM25" s="306">
        <f>SUM(BM23:BN24)</f>
        <v>0</v>
      </c>
      <c r="BN25" s="307"/>
      <c r="BO25" s="306">
        <f>SUM(BO23:BP24)</f>
        <v>0</v>
      </c>
      <c r="BP25" s="307"/>
      <c r="BQ25" s="94">
        <f>SUM(BQ23:BQ24)</f>
        <v>0</v>
      </c>
      <c r="BR25" s="94">
        <f>SUM(BR23:BR24)</f>
        <v>0</v>
      </c>
      <c r="BS25" s="126">
        <f>SUM(BS23:BS24)</f>
        <v>0</v>
      </c>
      <c r="BT25" s="133"/>
      <c r="BU25" s="299"/>
      <c r="BV25" s="326" t="s">
        <v>34</v>
      </c>
      <c r="BW25" s="327"/>
      <c r="BX25" s="306">
        <f>SUM(BX23:BY24)</f>
        <v>156</v>
      </c>
      <c r="BY25" s="307"/>
      <c r="BZ25" s="306">
        <f>SUM(BZ23:CD24)</f>
        <v>245</v>
      </c>
      <c r="CA25" s="368"/>
      <c r="CB25" s="368"/>
      <c r="CC25" s="368"/>
      <c r="CD25" s="307"/>
      <c r="CE25" s="306">
        <f>SUM(CE23:CF24)</f>
        <v>621</v>
      </c>
      <c r="CF25" s="307"/>
      <c r="CG25" s="306">
        <f>SUM(CG23:CH24)</f>
        <v>99</v>
      </c>
      <c r="CH25" s="307"/>
      <c r="CI25" s="94">
        <f>SUM(CI23:CI24)</f>
        <v>0</v>
      </c>
      <c r="CJ25" s="94">
        <f>SUM(CJ23:CJ24)</f>
        <v>0</v>
      </c>
      <c r="CK25" s="126">
        <f>SUM(CK23:CK24)</f>
        <v>1121</v>
      </c>
      <c r="CL25" s="133"/>
      <c r="CM25" s="299"/>
      <c r="CN25" s="326" t="s">
        <v>34</v>
      </c>
      <c r="CO25" s="327"/>
      <c r="CP25" s="375">
        <v>25</v>
      </c>
      <c r="CQ25" s="377"/>
      <c r="CR25" s="375">
        <v>303</v>
      </c>
      <c r="CS25" s="376"/>
      <c r="CT25" s="376"/>
      <c r="CU25" s="376"/>
      <c r="CV25" s="377"/>
      <c r="CW25" s="375">
        <v>7</v>
      </c>
      <c r="CX25" s="377"/>
      <c r="CY25" s="375">
        <v>10</v>
      </c>
      <c r="CZ25" s="377"/>
      <c r="DA25" s="167">
        <v>0</v>
      </c>
      <c r="DB25" s="167">
        <v>0</v>
      </c>
      <c r="DC25" s="26">
        <f>SUM(DC23:DC24)</f>
        <v>345</v>
      </c>
      <c r="DD25" s="107"/>
      <c r="DE25" s="299"/>
      <c r="DF25" s="326" t="s">
        <v>34</v>
      </c>
      <c r="DG25" s="327"/>
      <c r="DH25" s="375">
        <v>62</v>
      </c>
      <c r="DI25" s="377"/>
      <c r="DJ25" s="375">
        <v>169</v>
      </c>
      <c r="DK25" s="376"/>
      <c r="DL25" s="376"/>
      <c r="DM25" s="376"/>
      <c r="DN25" s="377"/>
      <c r="DO25" s="375">
        <v>186</v>
      </c>
      <c r="DP25" s="377"/>
      <c r="DQ25" s="375">
        <v>107</v>
      </c>
      <c r="DR25" s="377"/>
      <c r="DS25" s="167">
        <v>15</v>
      </c>
      <c r="DT25" s="167">
        <v>0</v>
      </c>
      <c r="DU25" s="210">
        <v>539</v>
      </c>
      <c r="DV25" s="107"/>
      <c r="DW25" s="299"/>
      <c r="DX25" s="326" t="s">
        <v>34</v>
      </c>
      <c r="DY25" s="327"/>
      <c r="DZ25" s="359">
        <f>SUM(DZ23:EA24)</f>
        <v>25</v>
      </c>
      <c r="EA25" s="361"/>
      <c r="EB25" s="359">
        <f>SUM(EB23:EF24)</f>
        <v>303</v>
      </c>
      <c r="EC25" s="360"/>
      <c r="ED25" s="360"/>
      <c r="EE25" s="360"/>
      <c r="EF25" s="361"/>
      <c r="EG25" s="359">
        <f>SUM(EG23:EH24)</f>
        <v>7</v>
      </c>
      <c r="EH25" s="361"/>
      <c r="EI25" s="359">
        <f>SUM(EI23:EJ24)</f>
        <v>10</v>
      </c>
      <c r="EJ25" s="361"/>
      <c r="EK25" s="229">
        <f t="shared" ref="EK25:EM25" si="104">SUM(EK23:EK24)</f>
        <v>0</v>
      </c>
      <c r="EL25" s="229">
        <f t="shared" si="104"/>
        <v>0</v>
      </c>
      <c r="EM25" s="230">
        <f t="shared" si="104"/>
        <v>345</v>
      </c>
      <c r="EN25" s="107"/>
      <c r="EO25" s="299"/>
      <c r="EP25" s="326" t="s">
        <v>34</v>
      </c>
      <c r="EQ25" s="327"/>
      <c r="ER25" s="359">
        <f>SUM(ER23:ES24)</f>
        <v>17</v>
      </c>
      <c r="ES25" s="361"/>
      <c r="ET25" s="359">
        <f>SUM(ET23:EX24)</f>
        <v>4</v>
      </c>
      <c r="EU25" s="360"/>
      <c r="EV25" s="360"/>
      <c r="EW25" s="360"/>
      <c r="EX25" s="361"/>
      <c r="EY25" s="359">
        <f>SUM(EY23:EZ24)</f>
        <v>24</v>
      </c>
      <c r="EZ25" s="361"/>
      <c r="FA25" s="359">
        <f>SUM(FA23:FB24)</f>
        <v>4</v>
      </c>
      <c r="FB25" s="361"/>
      <c r="FC25" s="229">
        <f t="shared" ref="FC25:FE25" si="105">SUM(FC23:FC24)</f>
        <v>0</v>
      </c>
      <c r="FD25" s="229">
        <f t="shared" si="105"/>
        <v>0</v>
      </c>
      <c r="FE25" s="282">
        <f t="shared" si="105"/>
        <v>49</v>
      </c>
      <c r="FF25" s="107"/>
      <c r="FG25" s="299"/>
      <c r="FH25" s="326" t="s">
        <v>34</v>
      </c>
      <c r="FI25" s="327"/>
      <c r="FJ25" s="375">
        <v>80</v>
      </c>
      <c r="FK25" s="377"/>
      <c r="FL25" s="375">
        <v>40</v>
      </c>
      <c r="FM25" s="376"/>
      <c r="FN25" s="376"/>
      <c r="FO25" s="376"/>
      <c r="FP25" s="377"/>
      <c r="FQ25" s="375">
        <v>50</v>
      </c>
      <c r="FR25" s="377"/>
      <c r="FS25" s="375">
        <v>40</v>
      </c>
      <c r="FT25" s="377"/>
      <c r="FU25" s="167">
        <v>5</v>
      </c>
      <c r="FV25" s="167">
        <v>0</v>
      </c>
      <c r="FW25" s="210">
        <v>215</v>
      </c>
      <c r="FX25" s="107"/>
      <c r="FY25" s="299"/>
      <c r="FZ25" s="326" t="s">
        <v>34</v>
      </c>
      <c r="GA25" s="327"/>
      <c r="GB25" s="306">
        <f>SUM(GB23:GC24)</f>
        <v>0</v>
      </c>
      <c r="GC25" s="307"/>
      <c r="GD25" s="306">
        <f>SUM(GD23:GH24)</f>
        <v>0</v>
      </c>
      <c r="GE25" s="368"/>
      <c r="GF25" s="368"/>
      <c r="GG25" s="368"/>
      <c r="GH25" s="307"/>
      <c r="GI25" s="306">
        <f>SUM(GI23:GJ24)</f>
        <v>0</v>
      </c>
      <c r="GJ25" s="307"/>
      <c r="GK25" s="306">
        <f>SUM(GK23:GL24)</f>
        <v>0</v>
      </c>
      <c r="GL25" s="307"/>
      <c r="GM25" s="94">
        <f>SUM(GM23:GM24)</f>
        <v>0</v>
      </c>
      <c r="GN25" s="94">
        <f>SUM(GN23:GN24)</f>
        <v>0</v>
      </c>
      <c r="GO25" s="26">
        <f>SUM(GO23:GO24)</f>
        <v>0</v>
      </c>
      <c r="GP25" s="107"/>
      <c r="GQ25" s="299"/>
      <c r="GR25" s="326" t="s">
        <v>34</v>
      </c>
      <c r="GS25" s="327"/>
      <c r="GT25" s="306">
        <f>SUM(GT23:GU24)</f>
        <v>0</v>
      </c>
      <c r="GU25" s="307"/>
      <c r="GV25" s="306">
        <f>SUM(GV23:GZ24)</f>
        <v>0</v>
      </c>
      <c r="GW25" s="368"/>
      <c r="GX25" s="368"/>
      <c r="GY25" s="368"/>
      <c r="GZ25" s="307"/>
      <c r="HA25" s="306">
        <f>SUM(HA23:HB24)</f>
        <v>0</v>
      </c>
      <c r="HB25" s="307"/>
      <c r="HC25" s="306">
        <f>SUM(HC23:HD24)</f>
        <v>0</v>
      </c>
      <c r="HD25" s="307"/>
      <c r="HE25" s="94">
        <f>SUM(HE23:HE24)</f>
        <v>0</v>
      </c>
      <c r="HF25" s="94">
        <f>SUM(HF23:HF24)</f>
        <v>0</v>
      </c>
      <c r="HG25" s="26">
        <f>SUM(HG23:HG24)</f>
        <v>0</v>
      </c>
      <c r="HH25" s="107"/>
      <c r="HI25" s="299"/>
      <c r="HJ25" s="295" t="s">
        <v>28</v>
      </c>
      <c r="HK25" s="313"/>
      <c r="HL25" s="306">
        <f>SUM(HL23:HM24)</f>
        <v>629</v>
      </c>
      <c r="HM25" s="307"/>
      <c r="HN25" s="306">
        <f>SUM(HN23:HR24)</f>
        <v>1650</v>
      </c>
      <c r="HO25" s="368"/>
      <c r="HP25" s="368"/>
      <c r="HQ25" s="368"/>
      <c r="HR25" s="307"/>
      <c r="HS25" s="306">
        <f>SUM(HS23:HT24)</f>
        <v>1210</v>
      </c>
      <c r="HT25" s="307"/>
      <c r="HU25" s="306">
        <f>SUM(HU23:HV24)</f>
        <v>442</v>
      </c>
      <c r="HV25" s="307"/>
      <c r="HW25" s="43">
        <f>SUM(HW23:HW24)</f>
        <v>48</v>
      </c>
      <c r="HX25" s="43">
        <f>SUM(HX23:HX24)</f>
        <v>0</v>
      </c>
      <c r="HY25" s="26">
        <f>SUM(HY23:HY24)</f>
        <v>3979</v>
      </c>
      <c r="HZ25" s="28"/>
    </row>
    <row r="26" spans="1:234" s="11" customFormat="1" ht="20.100000000000001" customHeight="1" thickTop="1" thickBot="1" x14ac:dyDescent="0.25">
      <c r="A26" s="41"/>
      <c r="B26" s="353" t="s">
        <v>29</v>
      </c>
      <c r="C26" s="357"/>
      <c r="D26" s="308">
        <f>SUM(D22+D25)</f>
        <v>977</v>
      </c>
      <c r="E26" s="310"/>
      <c r="F26" s="308">
        <f>SUM(F22+F25)</f>
        <v>1869</v>
      </c>
      <c r="G26" s="309"/>
      <c r="H26" s="309"/>
      <c r="I26" s="309"/>
      <c r="J26" s="310"/>
      <c r="K26" s="308">
        <f>SUM(K22+K25)</f>
        <v>1100</v>
      </c>
      <c r="L26" s="310"/>
      <c r="M26" s="308">
        <f>SUM(M22+M25)</f>
        <v>442</v>
      </c>
      <c r="N26" s="310"/>
      <c r="O26" s="23">
        <f>SUM(O22+O25)</f>
        <v>24</v>
      </c>
      <c r="P26" s="23">
        <f>SUM(P22+P25)</f>
        <v>0</v>
      </c>
      <c r="Q26" s="127">
        <f>SUM(Q22+Q25)</f>
        <v>4412</v>
      </c>
      <c r="R26" s="133"/>
      <c r="S26" s="41"/>
      <c r="T26" s="353" t="s">
        <v>29</v>
      </c>
      <c r="U26" s="357"/>
      <c r="V26" s="308">
        <f>SUM(V22+V25)</f>
        <v>1049</v>
      </c>
      <c r="W26" s="310"/>
      <c r="X26" s="308">
        <f>SUM(X22+X25)</f>
        <v>1296</v>
      </c>
      <c r="Y26" s="309"/>
      <c r="Z26" s="309"/>
      <c r="AA26" s="309"/>
      <c r="AB26" s="310"/>
      <c r="AC26" s="308">
        <f>SUM(AC22+AC25)</f>
        <v>2682</v>
      </c>
      <c r="AD26" s="310"/>
      <c r="AE26" s="308">
        <f>SUM(AE22+AE25)</f>
        <v>535</v>
      </c>
      <c r="AF26" s="310"/>
      <c r="AG26" s="23">
        <f>SUM(AG22+AG25)</f>
        <v>34</v>
      </c>
      <c r="AH26" s="23">
        <f>SUM(AH22+AH25)</f>
        <v>0</v>
      </c>
      <c r="AI26" s="127">
        <f>SUM(AI22+AI25)</f>
        <v>5596</v>
      </c>
      <c r="AJ26" s="133"/>
      <c r="AK26" s="41"/>
      <c r="AL26" s="353" t="s">
        <v>29</v>
      </c>
      <c r="AM26" s="357"/>
      <c r="AN26" s="308">
        <f>SUM(AN22+AN25)</f>
        <v>610</v>
      </c>
      <c r="AO26" s="310"/>
      <c r="AP26" s="308">
        <f>SUM(AP22+AP25)</f>
        <v>1178</v>
      </c>
      <c r="AQ26" s="309"/>
      <c r="AR26" s="309"/>
      <c r="AS26" s="309"/>
      <c r="AT26" s="310"/>
      <c r="AU26" s="308">
        <f>SUM(AU22+AU25)</f>
        <v>1301</v>
      </c>
      <c r="AV26" s="310"/>
      <c r="AW26" s="308">
        <f>SUM(AW22+AW25)</f>
        <v>390</v>
      </c>
      <c r="AX26" s="310"/>
      <c r="AY26" s="23">
        <f>SUM(AY22+AY25)</f>
        <v>34</v>
      </c>
      <c r="AZ26" s="23">
        <f>SUM(AZ22+AZ25)</f>
        <v>0</v>
      </c>
      <c r="BA26" s="127">
        <f>SUM(BA22+BA25)</f>
        <v>3513</v>
      </c>
      <c r="BB26" s="133"/>
      <c r="BC26" s="41"/>
      <c r="BD26" s="353" t="s">
        <v>29</v>
      </c>
      <c r="BE26" s="357"/>
      <c r="BF26" s="308">
        <f>SUM(BF22+BF25)</f>
        <v>0</v>
      </c>
      <c r="BG26" s="310"/>
      <c r="BH26" s="308">
        <f>SUM(BH22+BH25)</f>
        <v>0</v>
      </c>
      <c r="BI26" s="309"/>
      <c r="BJ26" s="309"/>
      <c r="BK26" s="309"/>
      <c r="BL26" s="310"/>
      <c r="BM26" s="308">
        <f>SUM(BM22+BM25)</f>
        <v>0</v>
      </c>
      <c r="BN26" s="310"/>
      <c r="BO26" s="308">
        <f>SUM(BO22+BO25)</f>
        <v>0</v>
      </c>
      <c r="BP26" s="310"/>
      <c r="BQ26" s="23">
        <f>SUM(BQ22+BQ25)</f>
        <v>0</v>
      </c>
      <c r="BR26" s="23">
        <f>SUM(BR22+BR25)</f>
        <v>0</v>
      </c>
      <c r="BS26" s="127">
        <f>SUM(BS22+BS25)</f>
        <v>0</v>
      </c>
      <c r="BT26" s="133"/>
      <c r="BU26" s="41"/>
      <c r="BV26" s="353" t="s">
        <v>29</v>
      </c>
      <c r="BW26" s="357"/>
      <c r="BX26" s="308">
        <f>SUM(BX22+BX25)</f>
        <v>819</v>
      </c>
      <c r="BY26" s="310"/>
      <c r="BZ26" s="308">
        <f>SUM(BZ22+BZ25)</f>
        <v>1607</v>
      </c>
      <c r="CA26" s="309"/>
      <c r="CB26" s="309"/>
      <c r="CC26" s="309"/>
      <c r="CD26" s="310"/>
      <c r="CE26" s="308">
        <f>SUM(CE22+CE25)</f>
        <v>2374</v>
      </c>
      <c r="CF26" s="310"/>
      <c r="CG26" s="308">
        <f>SUM(CG22+CG25)</f>
        <v>625</v>
      </c>
      <c r="CH26" s="310"/>
      <c r="CI26" s="23">
        <f>SUM(CI22+CI25)</f>
        <v>0</v>
      </c>
      <c r="CJ26" s="23">
        <f>SUM(CJ22+CJ25)</f>
        <v>0</v>
      </c>
      <c r="CK26" s="127">
        <f>SUM(CK22+CK25)</f>
        <v>5425</v>
      </c>
      <c r="CL26" s="133"/>
      <c r="CM26" s="41"/>
      <c r="CN26" s="353" t="s">
        <v>29</v>
      </c>
      <c r="CO26" s="357"/>
      <c r="CP26" s="378">
        <v>95</v>
      </c>
      <c r="CQ26" s="380"/>
      <c r="CR26" s="378">
        <v>4758</v>
      </c>
      <c r="CS26" s="379"/>
      <c r="CT26" s="379"/>
      <c r="CU26" s="379"/>
      <c r="CV26" s="380"/>
      <c r="CW26" s="378">
        <v>37</v>
      </c>
      <c r="CX26" s="380"/>
      <c r="CY26" s="378">
        <v>110</v>
      </c>
      <c r="CZ26" s="380"/>
      <c r="DA26" s="200">
        <v>15</v>
      </c>
      <c r="DB26" s="200">
        <v>0</v>
      </c>
      <c r="DC26" s="27">
        <f>SUM(DC22+DC25)</f>
        <v>5015</v>
      </c>
      <c r="DD26" s="107"/>
      <c r="DE26" s="41"/>
      <c r="DF26" s="353" t="s">
        <v>29</v>
      </c>
      <c r="DG26" s="357"/>
      <c r="DH26" s="378">
        <v>1094</v>
      </c>
      <c r="DI26" s="380"/>
      <c r="DJ26" s="378">
        <v>1396</v>
      </c>
      <c r="DK26" s="379"/>
      <c r="DL26" s="379"/>
      <c r="DM26" s="379"/>
      <c r="DN26" s="380"/>
      <c r="DO26" s="378">
        <v>2787</v>
      </c>
      <c r="DP26" s="380"/>
      <c r="DQ26" s="378">
        <v>535</v>
      </c>
      <c r="DR26" s="380"/>
      <c r="DS26" s="200">
        <v>34</v>
      </c>
      <c r="DT26" s="200">
        <v>0</v>
      </c>
      <c r="DU26" s="213">
        <v>5846</v>
      </c>
      <c r="DV26" s="107"/>
      <c r="DW26" s="41"/>
      <c r="DX26" s="353" t="s">
        <v>29</v>
      </c>
      <c r="DY26" s="357"/>
      <c r="DZ26" s="363">
        <f>SUM(DZ22+DZ25)</f>
        <v>95</v>
      </c>
      <c r="EA26" s="361"/>
      <c r="EB26" s="363">
        <f>SUM(EB22+EB25)</f>
        <v>4758</v>
      </c>
      <c r="EC26" s="360"/>
      <c r="ED26" s="360"/>
      <c r="EE26" s="360"/>
      <c r="EF26" s="361"/>
      <c r="EG26" s="363">
        <f>SUM(EG22+EG25)</f>
        <v>37</v>
      </c>
      <c r="EH26" s="361"/>
      <c r="EI26" s="363">
        <f>SUM(EI22+EI25)</f>
        <v>110</v>
      </c>
      <c r="EJ26" s="361"/>
      <c r="EK26" s="231">
        <f t="shared" ref="EK26:EM26" si="106">SUM(EK22+EK25)</f>
        <v>15</v>
      </c>
      <c r="EL26" s="231">
        <f t="shared" si="106"/>
        <v>0</v>
      </c>
      <c r="EM26" s="232">
        <f t="shared" si="106"/>
        <v>5015</v>
      </c>
      <c r="EN26" s="107"/>
      <c r="EO26" s="41"/>
      <c r="EP26" s="353" t="s">
        <v>29</v>
      </c>
      <c r="EQ26" s="357"/>
      <c r="ER26" s="363">
        <f>SUM(ER22+ER25)</f>
        <v>372</v>
      </c>
      <c r="ES26" s="361"/>
      <c r="ET26" s="363">
        <f>SUM(ET22+ET25)</f>
        <v>23</v>
      </c>
      <c r="EU26" s="360"/>
      <c r="EV26" s="360"/>
      <c r="EW26" s="360"/>
      <c r="EX26" s="361"/>
      <c r="EY26" s="363">
        <f>SUM(EY22+EY25)</f>
        <v>470</v>
      </c>
      <c r="EZ26" s="361"/>
      <c r="FA26" s="363">
        <f>SUM(FA22+FA25)</f>
        <v>57</v>
      </c>
      <c r="FB26" s="361"/>
      <c r="FC26" s="231">
        <f t="shared" ref="FC26:FE26" si="107">SUM(FC22+FC25)</f>
        <v>0</v>
      </c>
      <c r="FD26" s="231">
        <f t="shared" si="107"/>
        <v>0</v>
      </c>
      <c r="FE26" s="283">
        <f t="shared" si="107"/>
        <v>922</v>
      </c>
      <c r="FF26" s="107"/>
      <c r="FG26" s="41"/>
      <c r="FH26" s="353" t="s">
        <v>29</v>
      </c>
      <c r="FI26" s="357"/>
      <c r="FJ26" s="378">
        <v>1050</v>
      </c>
      <c r="FK26" s="380"/>
      <c r="FL26" s="378">
        <v>145</v>
      </c>
      <c r="FM26" s="379"/>
      <c r="FN26" s="379"/>
      <c r="FO26" s="379"/>
      <c r="FP26" s="380"/>
      <c r="FQ26" s="378">
        <v>123</v>
      </c>
      <c r="FR26" s="380"/>
      <c r="FS26" s="378">
        <v>446</v>
      </c>
      <c r="FT26" s="380"/>
      <c r="FU26" s="200">
        <v>31</v>
      </c>
      <c r="FV26" s="200">
        <v>0</v>
      </c>
      <c r="FW26" s="213">
        <v>1795</v>
      </c>
      <c r="FX26" s="107"/>
      <c r="FY26" s="41"/>
      <c r="FZ26" s="353" t="s">
        <v>29</v>
      </c>
      <c r="GA26" s="357"/>
      <c r="GB26" s="308">
        <f>SUM(GB22+GB25)</f>
        <v>0</v>
      </c>
      <c r="GC26" s="310"/>
      <c r="GD26" s="308">
        <f>SUM(GD22+GD25)</f>
        <v>0</v>
      </c>
      <c r="GE26" s="309"/>
      <c r="GF26" s="309"/>
      <c r="GG26" s="309"/>
      <c r="GH26" s="310"/>
      <c r="GI26" s="308">
        <f>SUM(GI22+GI25)</f>
        <v>0</v>
      </c>
      <c r="GJ26" s="310"/>
      <c r="GK26" s="308">
        <f>SUM(GK22+GK25)</f>
        <v>0</v>
      </c>
      <c r="GL26" s="310"/>
      <c r="GM26" s="23">
        <f>SUM(GM22+GM25)</f>
        <v>0</v>
      </c>
      <c r="GN26" s="23">
        <f>SUM(GN22+GN25)</f>
        <v>0</v>
      </c>
      <c r="GO26" s="27">
        <f>SUM(GO22+GO25)</f>
        <v>0</v>
      </c>
      <c r="GP26" s="107"/>
      <c r="GQ26" s="41"/>
      <c r="GR26" s="353" t="s">
        <v>29</v>
      </c>
      <c r="GS26" s="357"/>
      <c r="GT26" s="308">
        <f>SUM(GT22+GT25)</f>
        <v>0</v>
      </c>
      <c r="GU26" s="310"/>
      <c r="GV26" s="308">
        <f>SUM(GV22+GV25)</f>
        <v>0</v>
      </c>
      <c r="GW26" s="309"/>
      <c r="GX26" s="309"/>
      <c r="GY26" s="309"/>
      <c r="GZ26" s="310"/>
      <c r="HA26" s="308">
        <f>SUM(HA22+HA25)</f>
        <v>0</v>
      </c>
      <c r="HB26" s="310"/>
      <c r="HC26" s="308">
        <f>SUM(HC22+HC25)</f>
        <v>0</v>
      </c>
      <c r="HD26" s="310"/>
      <c r="HE26" s="23">
        <f>SUM(HE22+HE25)</f>
        <v>0</v>
      </c>
      <c r="HF26" s="23">
        <f>SUM(HF22+HF25)</f>
        <v>0</v>
      </c>
      <c r="HG26" s="27">
        <f>SUM(HG22+HG25)</f>
        <v>0</v>
      </c>
      <c r="HH26" s="107"/>
      <c r="HI26" s="41"/>
      <c r="HJ26" s="353" t="s">
        <v>29</v>
      </c>
      <c r="HK26" s="354"/>
      <c r="HL26" s="308">
        <f>SUM(HL22+HL25)</f>
        <v>6161</v>
      </c>
      <c r="HM26" s="310"/>
      <c r="HN26" s="308">
        <f>SUM(HN22+HN25)</f>
        <v>17030</v>
      </c>
      <c r="HO26" s="309"/>
      <c r="HP26" s="309"/>
      <c r="HQ26" s="309"/>
      <c r="HR26" s="310"/>
      <c r="HS26" s="308">
        <f>SUM(HS22+HS25)</f>
        <v>10911</v>
      </c>
      <c r="HT26" s="310"/>
      <c r="HU26" s="308">
        <f>SUM(HU22+HU25)</f>
        <v>3250</v>
      </c>
      <c r="HV26" s="310"/>
      <c r="HW26" s="23">
        <f>SUM(HW22+HW25)</f>
        <v>187</v>
      </c>
      <c r="HX26" s="23">
        <f>SUM(HX22+HX25)</f>
        <v>0</v>
      </c>
      <c r="HY26" s="27">
        <f>SUM(HY22+HY25)</f>
        <v>37539</v>
      </c>
      <c r="HZ26" s="28"/>
    </row>
    <row r="27" spans="1:234" s="11" customFormat="1" ht="20.100000000000001" customHeight="1" thickTop="1" thickBot="1" x14ac:dyDescent="0.3">
      <c r="A27" s="297" t="s">
        <v>39</v>
      </c>
      <c r="B27" s="304" t="s">
        <v>9</v>
      </c>
      <c r="C27" s="19" t="s">
        <v>24</v>
      </c>
      <c r="D27" s="157">
        <v>322</v>
      </c>
      <c r="E27" s="158">
        <v>0</v>
      </c>
      <c r="F27" s="159">
        <v>19</v>
      </c>
      <c r="G27" s="159">
        <v>100</v>
      </c>
      <c r="H27" s="159">
        <v>22</v>
      </c>
      <c r="I27" s="160">
        <v>0</v>
      </c>
      <c r="J27" s="158">
        <v>0</v>
      </c>
      <c r="K27" s="159">
        <v>230</v>
      </c>
      <c r="L27" s="158">
        <v>0</v>
      </c>
      <c r="M27" s="159">
        <v>40</v>
      </c>
      <c r="N27" s="161">
        <v>0</v>
      </c>
      <c r="O27" s="162">
        <v>19</v>
      </c>
      <c r="P27" s="162">
        <v>0</v>
      </c>
      <c r="Q27" s="124">
        <f>SUM(D27:P27)</f>
        <v>752</v>
      </c>
      <c r="R27" s="133"/>
      <c r="S27" s="297" t="s">
        <v>39</v>
      </c>
      <c r="T27" s="304" t="s">
        <v>9</v>
      </c>
      <c r="U27" s="19" t="s">
        <v>24</v>
      </c>
      <c r="V27" s="8">
        <v>0</v>
      </c>
      <c r="W27" s="33">
        <v>0</v>
      </c>
      <c r="X27" s="4">
        <v>0</v>
      </c>
      <c r="Y27" s="5">
        <v>0</v>
      </c>
      <c r="Z27" s="6">
        <v>0</v>
      </c>
      <c r="AA27" s="84">
        <v>0</v>
      </c>
      <c r="AB27" s="7">
        <v>0</v>
      </c>
      <c r="AC27" s="34">
        <v>0</v>
      </c>
      <c r="AD27" s="9">
        <v>0</v>
      </c>
      <c r="AE27" s="10">
        <v>0</v>
      </c>
      <c r="AF27" s="86">
        <v>0</v>
      </c>
      <c r="AG27" s="21">
        <v>0</v>
      </c>
      <c r="AH27" s="21">
        <v>0</v>
      </c>
      <c r="AI27" s="124">
        <f>SUM(V27:AH27)</f>
        <v>0</v>
      </c>
      <c r="AJ27" s="133"/>
      <c r="AK27" s="297" t="s">
        <v>39</v>
      </c>
      <c r="AL27" s="304" t="s">
        <v>9</v>
      </c>
      <c r="AM27" s="19" t="s">
        <v>24</v>
      </c>
      <c r="AN27" s="157">
        <v>220</v>
      </c>
      <c r="AO27" s="158">
        <v>15</v>
      </c>
      <c r="AP27" s="159">
        <v>10</v>
      </c>
      <c r="AQ27" s="159">
        <v>5</v>
      </c>
      <c r="AR27" s="159">
        <v>10</v>
      </c>
      <c r="AS27" s="160">
        <v>0</v>
      </c>
      <c r="AT27" s="158">
        <v>0</v>
      </c>
      <c r="AU27" s="159">
        <v>100</v>
      </c>
      <c r="AV27" s="158">
        <v>0</v>
      </c>
      <c r="AW27" s="159">
        <v>50</v>
      </c>
      <c r="AX27" s="161">
        <v>0</v>
      </c>
      <c r="AY27" s="162">
        <v>0</v>
      </c>
      <c r="AZ27" s="162">
        <v>0</v>
      </c>
      <c r="BA27" s="124">
        <f>SUM(AN27:AZ27)</f>
        <v>410</v>
      </c>
      <c r="BB27" s="133"/>
      <c r="BC27" s="297" t="s">
        <v>39</v>
      </c>
      <c r="BD27" s="304" t="s">
        <v>9</v>
      </c>
      <c r="BE27" s="19" t="s">
        <v>24</v>
      </c>
      <c r="BF27" s="8">
        <v>0</v>
      </c>
      <c r="BG27" s="33">
        <v>0</v>
      </c>
      <c r="BH27" s="4">
        <v>0</v>
      </c>
      <c r="BI27" s="5">
        <v>0</v>
      </c>
      <c r="BJ27" s="6">
        <v>0</v>
      </c>
      <c r="BK27" s="84">
        <v>0</v>
      </c>
      <c r="BL27" s="7">
        <v>0</v>
      </c>
      <c r="BM27" s="34">
        <v>0</v>
      </c>
      <c r="BN27" s="9">
        <v>0</v>
      </c>
      <c r="BO27" s="10">
        <v>0</v>
      </c>
      <c r="BP27" s="86">
        <v>0</v>
      </c>
      <c r="BQ27" s="21">
        <v>0</v>
      </c>
      <c r="BR27" s="21">
        <v>0</v>
      </c>
      <c r="BS27" s="124">
        <f>SUM(BF27:BR27)</f>
        <v>0</v>
      </c>
      <c r="BT27" s="133"/>
      <c r="BU27" s="297" t="s">
        <v>39</v>
      </c>
      <c r="BV27" s="304" t="s">
        <v>9</v>
      </c>
      <c r="BW27" s="19" t="s">
        <v>24</v>
      </c>
      <c r="BX27" s="157">
        <v>251</v>
      </c>
      <c r="BY27" s="158">
        <v>18</v>
      </c>
      <c r="BZ27" s="159">
        <v>0</v>
      </c>
      <c r="CA27" s="159">
        <v>46</v>
      </c>
      <c r="CB27" s="159">
        <v>46</v>
      </c>
      <c r="CC27" s="160">
        <v>0</v>
      </c>
      <c r="CD27" s="158">
        <v>15</v>
      </c>
      <c r="CE27" s="159">
        <v>19</v>
      </c>
      <c r="CF27" s="158">
        <v>11</v>
      </c>
      <c r="CG27" s="159">
        <v>0</v>
      </c>
      <c r="CH27" s="161">
        <v>0</v>
      </c>
      <c r="CI27" s="162">
        <v>3</v>
      </c>
      <c r="CJ27" s="162">
        <v>0</v>
      </c>
      <c r="CK27" s="124">
        <f>SUM(BX27:CJ27)</f>
        <v>409</v>
      </c>
      <c r="CL27" s="133"/>
      <c r="CM27" s="297" t="s">
        <v>39</v>
      </c>
      <c r="CN27" s="304" t="s">
        <v>9</v>
      </c>
      <c r="CO27" s="19" t="s">
        <v>24</v>
      </c>
      <c r="CP27" s="157">
        <v>100</v>
      </c>
      <c r="CQ27" s="158">
        <v>4</v>
      </c>
      <c r="CR27" s="159">
        <v>0</v>
      </c>
      <c r="CS27" s="159">
        <v>1</v>
      </c>
      <c r="CT27" s="159">
        <v>0</v>
      </c>
      <c r="CU27" s="160">
        <v>0</v>
      </c>
      <c r="CV27" s="158">
        <v>195</v>
      </c>
      <c r="CW27" s="159">
        <v>80</v>
      </c>
      <c r="CX27" s="158">
        <v>86</v>
      </c>
      <c r="CY27" s="159">
        <v>3</v>
      </c>
      <c r="CZ27" s="161">
        <v>0</v>
      </c>
      <c r="DA27" s="162">
        <v>8</v>
      </c>
      <c r="DB27" s="162">
        <v>0</v>
      </c>
      <c r="DC27" s="209">
        <v>477</v>
      </c>
      <c r="DD27" s="107"/>
      <c r="DE27" s="297" t="s">
        <v>39</v>
      </c>
      <c r="DF27" s="304" t="s">
        <v>9</v>
      </c>
      <c r="DG27" s="19" t="s">
        <v>24</v>
      </c>
      <c r="DH27" s="168">
        <v>353</v>
      </c>
      <c r="DI27" s="169">
        <v>0</v>
      </c>
      <c r="DJ27" s="170">
        <v>20</v>
      </c>
      <c r="DK27" s="170">
        <v>100</v>
      </c>
      <c r="DL27" s="170">
        <v>19</v>
      </c>
      <c r="DM27" s="171">
        <v>0</v>
      </c>
      <c r="DN27" s="169">
        <v>0</v>
      </c>
      <c r="DO27" s="170">
        <v>225</v>
      </c>
      <c r="DP27" s="169">
        <v>0</v>
      </c>
      <c r="DQ27" s="170">
        <v>40</v>
      </c>
      <c r="DR27" s="172">
        <v>0</v>
      </c>
      <c r="DS27" s="173">
        <v>19</v>
      </c>
      <c r="DT27" s="173">
        <v>0</v>
      </c>
      <c r="DU27" s="211">
        <v>776</v>
      </c>
      <c r="DV27" s="107"/>
      <c r="DW27" s="297" t="s">
        <v>39</v>
      </c>
      <c r="DX27" s="304" t="s">
        <v>9</v>
      </c>
      <c r="DY27" s="19" t="s">
        <v>24</v>
      </c>
      <c r="DZ27" s="252">
        <v>56</v>
      </c>
      <c r="EA27" s="253">
        <v>0</v>
      </c>
      <c r="EB27" s="253">
        <v>0</v>
      </c>
      <c r="EC27" s="253">
        <v>0</v>
      </c>
      <c r="ED27" s="253">
        <v>0</v>
      </c>
      <c r="EE27" s="254">
        <v>0</v>
      </c>
      <c r="EF27" s="253">
        <v>0</v>
      </c>
      <c r="EG27" s="255">
        <v>109</v>
      </c>
      <c r="EH27" s="253">
        <v>0</v>
      </c>
      <c r="EI27" s="255">
        <v>38</v>
      </c>
      <c r="EJ27" s="254">
        <v>0</v>
      </c>
      <c r="EK27" s="256">
        <v>1</v>
      </c>
      <c r="EL27" s="256">
        <v>0</v>
      </c>
      <c r="EM27" s="223">
        <f t="shared" ref="EM27:EM28" si="108">SUM(DZ27:EL27)</f>
        <v>204</v>
      </c>
      <c r="EN27" s="107"/>
      <c r="EO27" s="297" t="s">
        <v>39</v>
      </c>
      <c r="EP27" s="304" t="s">
        <v>9</v>
      </c>
      <c r="EQ27" s="19" t="s">
        <v>24</v>
      </c>
      <c r="ER27" s="233">
        <v>105</v>
      </c>
      <c r="ES27" s="234">
        <v>0</v>
      </c>
      <c r="ET27" s="261">
        <v>30</v>
      </c>
      <c r="EU27" s="262">
        <v>405</v>
      </c>
      <c r="EV27" s="263">
        <v>30</v>
      </c>
      <c r="EW27" s="264">
        <v>0</v>
      </c>
      <c r="EX27" s="265">
        <v>291</v>
      </c>
      <c r="EY27" s="239">
        <v>291</v>
      </c>
      <c r="EZ27" s="240">
        <v>0</v>
      </c>
      <c r="FA27" s="241">
        <v>89</v>
      </c>
      <c r="FB27" s="242">
        <v>0</v>
      </c>
      <c r="FC27" s="243">
        <v>10</v>
      </c>
      <c r="FD27" s="243">
        <v>0</v>
      </c>
      <c r="FE27" s="280">
        <f t="shared" ref="FE27:FE28" si="109">SUM(ER27:FD27)</f>
        <v>1251</v>
      </c>
      <c r="FF27" s="107"/>
      <c r="FG27" s="297" t="s">
        <v>39</v>
      </c>
      <c r="FH27" s="304" t="s">
        <v>9</v>
      </c>
      <c r="FI27" s="19" t="s">
        <v>24</v>
      </c>
      <c r="FJ27" s="157">
        <v>310</v>
      </c>
      <c r="FK27" s="158">
        <v>0</v>
      </c>
      <c r="FL27" s="159">
        <v>18</v>
      </c>
      <c r="FM27" s="159">
        <v>100</v>
      </c>
      <c r="FN27" s="159">
        <v>19</v>
      </c>
      <c r="FO27" s="160">
        <v>0</v>
      </c>
      <c r="FP27" s="158">
        <v>0</v>
      </c>
      <c r="FQ27" s="159">
        <v>210</v>
      </c>
      <c r="FR27" s="158">
        <v>0</v>
      </c>
      <c r="FS27" s="159">
        <v>40</v>
      </c>
      <c r="FT27" s="161">
        <v>0</v>
      </c>
      <c r="FU27" s="162">
        <v>19</v>
      </c>
      <c r="FV27" s="162">
        <v>0</v>
      </c>
      <c r="FW27" s="209">
        <v>716</v>
      </c>
      <c r="FX27" s="107"/>
      <c r="FY27" s="297" t="s">
        <v>39</v>
      </c>
      <c r="FZ27" s="304" t="s">
        <v>9</v>
      </c>
      <c r="GA27" s="19" t="s">
        <v>24</v>
      </c>
      <c r="GB27" s="8">
        <v>0</v>
      </c>
      <c r="GC27" s="33">
        <v>0</v>
      </c>
      <c r="GD27" s="4">
        <v>0</v>
      </c>
      <c r="GE27" s="5">
        <v>0</v>
      </c>
      <c r="GF27" s="6">
        <v>0</v>
      </c>
      <c r="GG27" s="84">
        <v>0</v>
      </c>
      <c r="GH27" s="7">
        <v>0</v>
      </c>
      <c r="GI27" s="34">
        <v>0</v>
      </c>
      <c r="GJ27" s="9">
        <v>0</v>
      </c>
      <c r="GK27" s="10">
        <v>0</v>
      </c>
      <c r="GL27" s="86">
        <v>0</v>
      </c>
      <c r="GM27" s="21">
        <v>0</v>
      </c>
      <c r="GN27" s="21">
        <v>0</v>
      </c>
      <c r="GO27" s="24">
        <f>SUM(GB27:GN27)</f>
        <v>0</v>
      </c>
      <c r="GP27" s="107"/>
      <c r="GQ27" s="297" t="s">
        <v>39</v>
      </c>
      <c r="GR27" s="304" t="s">
        <v>9</v>
      </c>
      <c r="GS27" s="19" t="s">
        <v>24</v>
      </c>
      <c r="GT27" s="8">
        <v>0</v>
      </c>
      <c r="GU27" s="33">
        <v>0</v>
      </c>
      <c r="GV27" s="4">
        <v>0</v>
      </c>
      <c r="GW27" s="5">
        <v>0</v>
      </c>
      <c r="GX27" s="6">
        <v>0</v>
      </c>
      <c r="GY27" s="84">
        <v>0</v>
      </c>
      <c r="GZ27" s="7">
        <v>0</v>
      </c>
      <c r="HA27" s="34">
        <v>0</v>
      </c>
      <c r="HB27" s="9">
        <v>0</v>
      </c>
      <c r="HC27" s="10">
        <v>0</v>
      </c>
      <c r="HD27" s="86">
        <v>0</v>
      </c>
      <c r="HE27" s="21">
        <v>0</v>
      </c>
      <c r="HF27" s="21">
        <v>0</v>
      </c>
      <c r="HG27" s="24">
        <f>SUM(GT27:HF27)</f>
        <v>0</v>
      </c>
      <c r="HH27" s="107"/>
      <c r="HI27" s="297" t="str">
        <f>GQ27</f>
        <v>المطار القديم</v>
      </c>
      <c r="HJ27" s="304" t="s">
        <v>9</v>
      </c>
      <c r="HK27" s="19" t="s">
        <v>24</v>
      </c>
      <c r="HL27" s="8">
        <f t="shared" ref="HL27:HL28" si="110">SUM(D27+V27+AN27+BF27+BX27+CP27+DH27+DZ27+ER27+FJ27+GB27+GT27)</f>
        <v>1717</v>
      </c>
      <c r="HM27" s="9">
        <f t="shared" ref="HM27:HM28" si="111">SUM(E27+W27+AO27+BG27+BY27+CQ27+DI27+EA27+ES27+FK27+GC27+GU27)</f>
        <v>37</v>
      </c>
      <c r="HN27" s="34">
        <f t="shared" ref="HN27:HN28" si="112">SUM(F27+X27+AP27+BH27+BZ27+CR27+DJ27+EB27+ET27+FL27+GD27+GV27)</f>
        <v>97</v>
      </c>
      <c r="HO27" s="35">
        <f t="shared" ref="HO27:HO28" si="113">SUM(G27+Y27+AQ27+BI27+CA27+CS27+DK27+EC27+EU27+FM27+GE27+GW27)</f>
        <v>757</v>
      </c>
      <c r="HP27" s="35">
        <f t="shared" ref="HP27:HP28" si="114">SUM(H27+Z27+AR27+BJ27+CB27+CT27+DL27+ED27+EV27+FN27+GF27+GX27)</f>
        <v>146</v>
      </c>
      <c r="HQ27" s="46">
        <f t="shared" ref="HQ27:HQ28" si="115">SUM(I27+AA27+AS27+BK27+CC27+CU27+DM27+EE27+EW27+FO27+GG27+GY27)</f>
        <v>0</v>
      </c>
      <c r="HR27" s="9">
        <f t="shared" ref="HR27:HR28" si="116">SUM(J27+AB27+AT27+BL27+CD27+CV27+DN27+EF27+EX27+FP27+GH27+GZ27)</f>
        <v>501</v>
      </c>
      <c r="HS27" s="34">
        <f t="shared" ref="HS27:HS28" si="117">SUM(K27+AC27+AU27+BM27+CE27+CW27+DO27+EG27+EY27+FQ27+GI27+HA27)</f>
        <v>1264</v>
      </c>
      <c r="HT27" s="9">
        <f t="shared" ref="HT27:HT28" si="118">SUM(L27+AD27+AV27+BN27+CF27+CX27+DP27+EH27+EZ27+FR27+GJ27+HB27)</f>
        <v>97</v>
      </c>
      <c r="HU27" s="34">
        <f t="shared" ref="HU27:HU28" si="119">SUM(M27+AE27+AW27+BO27+CG27+CY27+DQ27+EI27+FA27+FS27+GK27+HC27)</f>
        <v>300</v>
      </c>
      <c r="HV27" s="47">
        <f t="shared" ref="HV27:HV28" si="120">SUM(N27+AF27+AX27+BP27+CH27+CZ27+DR27+EJ27+FB27+FT27+GL27+HD27)</f>
        <v>0</v>
      </c>
      <c r="HW27" s="44">
        <f t="shared" ref="HW27:HW28" si="121">SUM(O27+AG27+AY27+BQ27+CI27+DA27+DS27+EK27+FC27+FU27+GM27+HE27)</f>
        <v>79</v>
      </c>
      <c r="HX27" s="44">
        <f t="shared" ref="HX27:HX28" si="122">SUM(P27+AH27+AZ27+BR27+CJ27+DB27+DT27+EL27+FD27+FV27+GN27+HF27)</f>
        <v>0</v>
      </c>
      <c r="HY27" s="38">
        <f>SUM(HL27:HX27)</f>
        <v>4995</v>
      </c>
      <c r="HZ27" s="28"/>
    </row>
    <row r="28" spans="1:234" s="11" customFormat="1" ht="20.100000000000001" customHeight="1" thickBot="1" x14ac:dyDescent="0.3">
      <c r="A28" s="298"/>
      <c r="B28" s="305"/>
      <c r="C28" s="20" t="s">
        <v>25</v>
      </c>
      <c r="D28" s="163">
        <v>320</v>
      </c>
      <c r="E28" s="164">
        <v>0</v>
      </c>
      <c r="F28" s="165">
        <v>25</v>
      </c>
      <c r="G28" s="165">
        <v>79</v>
      </c>
      <c r="H28" s="165">
        <v>14</v>
      </c>
      <c r="I28" s="165">
        <v>0</v>
      </c>
      <c r="J28" s="164">
        <v>0</v>
      </c>
      <c r="K28" s="165">
        <v>210</v>
      </c>
      <c r="L28" s="164">
        <v>0</v>
      </c>
      <c r="M28" s="165">
        <v>95</v>
      </c>
      <c r="N28" s="164">
        <v>0</v>
      </c>
      <c r="O28" s="166">
        <v>10</v>
      </c>
      <c r="P28" s="166">
        <v>0</v>
      </c>
      <c r="Q28" s="125">
        <f>SUM(D28:P28)</f>
        <v>753</v>
      </c>
      <c r="R28" s="133"/>
      <c r="S28" s="298"/>
      <c r="T28" s="305"/>
      <c r="U28" s="20" t="s">
        <v>25</v>
      </c>
      <c r="V28" s="12">
        <v>0</v>
      </c>
      <c r="W28" s="18">
        <v>0</v>
      </c>
      <c r="X28" s="12">
        <v>0</v>
      </c>
      <c r="Y28" s="13">
        <v>0</v>
      </c>
      <c r="Z28" s="15">
        <v>0</v>
      </c>
      <c r="AA28" s="15">
        <v>0</v>
      </c>
      <c r="AB28" s="16">
        <v>0</v>
      </c>
      <c r="AC28" s="17">
        <v>0</v>
      </c>
      <c r="AD28" s="14">
        <v>0</v>
      </c>
      <c r="AE28" s="17">
        <v>0</v>
      </c>
      <c r="AF28" s="18">
        <v>0</v>
      </c>
      <c r="AG28" s="22">
        <v>0</v>
      </c>
      <c r="AH28" s="22">
        <v>0</v>
      </c>
      <c r="AI28" s="125">
        <f>SUM(V28:AH28)</f>
        <v>0</v>
      </c>
      <c r="AJ28" s="133"/>
      <c r="AK28" s="298"/>
      <c r="AL28" s="305"/>
      <c r="AM28" s="20" t="s">
        <v>25</v>
      </c>
      <c r="AN28" s="163">
        <v>230</v>
      </c>
      <c r="AO28" s="164">
        <v>15</v>
      </c>
      <c r="AP28" s="165">
        <v>10</v>
      </c>
      <c r="AQ28" s="165">
        <v>5</v>
      </c>
      <c r="AR28" s="165">
        <v>10</v>
      </c>
      <c r="AS28" s="165">
        <v>0</v>
      </c>
      <c r="AT28" s="164">
        <v>0</v>
      </c>
      <c r="AU28" s="165">
        <v>100</v>
      </c>
      <c r="AV28" s="164">
        <v>0</v>
      </c>
      <c r="AW28" s="165">
        <v>100</v>
      </c>
      <c r="AX28" s="164">
        <v>10</v>
      </c>
      <c r="AY28" s="166">
        <v>0</v>
      </c>
      <c r="AZ28" s="166">
        <v>0</v>
      </c>
      <c r="BA28" s="125">
        <f>SUM(AN28:AZ28)</f>
        <v>480</v>
      </c>
      <c r="BB28" s="133"/>
      <c r="BC28" s="298"/>
      <c r="BD28" s="305"/>
      <c r="BE28" s="20" t="s">
        <v>25</v>
      </c>
      <c r="BF28" s="12">
        <v>0</v>
      </c>
      <c r="BG28" s="18">
        <v>0</v>
      </c>
      <c r="BH28" s="12">
        <v>0</v>
      </c>
      <c r="BI28" s="13">
        <v>0</v>
      </c>
      <c r="BJ28" s="15">
        <v>0</v>
      </c>
      <c r="BK28" s="15">
        <v>0</v>
      </c>
      <c r="BL28" s="16">
        <v>0</v>
      </c>
      <c r="BM28" s="17">
        <v>0</v>
      </c>
      <c r="BN28" s="14">
        <v>0</v>
      </c>
      <c r="BO28" s="17">
        <v>0</v>
      </c>
      <c r="BP28" s="18">
        <v>0</v>
      </c>
      <c r="BQ28" s="22">
        <v>0</v>
      </c>
      <c r="BR28" s="22">
        <v>0</v>
      </c>
      <c r="BS28" s="125">
        <f>SUM(BF28:BR28)</f>
        <v>0</v>
      </c>
      <c r="BT28" s="133"/>
      <c r="BU28" s="298"/>
      <c r="BV28" s="305"/>
      <c r="BW28" s="20" t="s">
        <v>25</v>
      </c>
      <c r="BX28" s="163">
        <v>66</v>
      </c>
      <c r="BY28" s="164">
        <v>19</v>
      </c>
      <c r="BZ28" s="165">
        <v>0</v>
      </c>
      <c r="CA28" s="165">
        <v>8</v>
      </c>
      <c r="CB28" s="165">
        <v>60</v>
      </c>
      <c r="CC28" s="165">
        <v>0</v>
      </c>
      <c r="CD28" s="164">
        <v>19</v>
      </c>
      <c r="CE28" s="165">
        <v>0</v>
      </c>
      <c r="CF28" s="164">
        <v>0</v>
      </c>
      <c r="CG28" s="165">
        <v>0</v>
      </c>
      <c r="CH28" s="164">
        <v>0</v>
      </c>
      <c r="CI28" s="166">
        <v>0</v>
      </c>
      <c r="CJ28" s="166">
        <v>0</v>
      </c>
      <c r="CK28" s="125">
        <f>SUM(BX28:CJ28)</f>
        <v>172</v>
      </c>
      <c r="CL28" s="133"/>
      <c r="CM28" s="298"/>
      <c r="CN28" s="305"/>
      <c r="CO28" s="20" t="s">
        <v>25</v>
      </c>
      <c r="CP28" s="163">
        <v>214</v>
      </c>
      <c r="CQ28" s="164">
        <v>1</v>
      </c>
      <c r="CR28" s="165">
        <v>0</v>
      </c>
      <c r="CS28" s="165">
        <v>5</v>
      </c>
      <c r="CT28" s="165">
        <v>0</v>
      </c>
      <c r="CU28" s="165">
        <v>0</v>
      </c>
      <c r="CV28" s="164">
        <v>383</v>
      </c>
      <c r="CW28" s="165">
        <v>129</v>
      </c>
      <c r="CX28" s="164">
        <v>102</v>
      </c>
      <c r="CY28" s="165">
        <v>2</v>
      </c>
      <c r="CZ28" s="164">
        <v>3</v>
      </c>
      <c r="DA28" s="166">
        <v>0</v>
      </c>
      <c r="DB28" s="166">
        <v>0</v>
      </c>
      <c r="DC28" s="167">
        <v>839</v>
      </c>
      <c r="DD28" s="107"/>
      <c r="DE28" s="298"/>
      <c r="DF28" s="305"/>
      <c r="DG28" s="20" t="s">
        <v>25</v>
      </c>
      <c r="DH28" s="163">
        <v>410</v>
      </c>
      <c r="DI28" s="164">
        <v>0</v>
      </c>
      <c r="DJ28" s="165">
        <v>20</v>
      </c>
      <c r="DK28" s="165">
        <v>79</v>
      </c>
      <c r="DL28" s="165">
        <v>12</v>
      </c>
      <c r="DM28" s="165">
        <v>0</v>
      </c>
      <c r="DN28" s="164">
        <v>0</v>
      </c>
      <c r="DO28" s="165">
        <v>215</v>
      </c>
      <c r="DP28" s="164">
        <v>0</v>
      </c>
      <c r="DQ28" s="165">
        <v>87</v>
      </c>
      <c r="DR28" s="164">
        <v>0</v>
      </c>
      <c r="DS28" s="166">
        <v>10</v>
      </c>
      <c r="DT28" s="166">
        <v>0</v>
      </c>
      <c r="DU28" s="167">
        <v>833</v>
      </c>
      <c r="DV28" s="107"/>
      <c r="DW28" s="298"/>
      <c r="DX28" s="305"/>
      <c r="DY28" s="20" t="s">
        <v>25</v>
      </c>
      <c r="DZ28" s="257">
        <v>119</v>
      </c>
      <c r="EA28" s="258">
        <v>0</v>
      </c>
      <c r="EB28" s="258">
        <v>0</v>
      </c>
      <c r="EC28" s="258">
        <v>19</v>
      </c>
      <c r="ED28" s="258">
        <v>0</v>
      </c>
      <c r="EE28" s="259">
        <v>0</v>
      </c>
      <c r="EF28" s="258">
        <v>0</v>
      </c>
      <c r="EG28" s="259">
        <v>199</v>
      </c>
      <c r="EH28" s="258">
        <v>0</v>
      </c>
      <c r="EI28" s="259">
        <v>70</v>
      </c>
      <c r="EJ28" s="259">
        <v>0</v>
      </c>
      <c r="EK28" s="260">
        <v>0</v>
      </c>
      <c r="EL28" s="260">
        <v>0</v>
      </c>
      <c r="EM28" s="228">
        <f t="shared" si="108"/>
        <v>407</v>
      </c>
      <c r="EN28" s="107"/>
      <c r="EO28" s="298"/>
      <c r="EP28" s="305"/>
      <c r="EQ28" s="20" t="s">
        <v>25</v>
      </c>
      <c r="ER28" s="244">
        <v>220</v>
      </c>
      <c r="ES28" s="245">
        <v>0</v>
      </c>
      <c r="ET28" s="244">
        <v>99</v>
      </c>
      <c r="EU28" s="246">
        <v>591</v>
      </c>
      <c r="EV28" s="247">
        <v>99</v>
      </c>
      <c r="EW28" s="247">
        <v>0</v>
      </c>
      <c r="EX28" s="248">
        <v>382</v>
      </c>
      <c r="EY28" s="249">
        <v>301</v>
      </c>
      <c r="EZ28" s="250">
        <v>0</v>
      </c>
      <c r="FA28" s="249">
        <v>101</v>
      </c>
      <c r="FB28" s="245">
        <v>109</v>
      </c>
      <c r="FC28" s="251">
        <v>12</v>
      </c>
      <c r="FD28" s="251">
        <v>0</v>
      </c>
      <c r="FE28" s="281">
        <f t="shared" si="109"/>
        <v>1914</v>
      </c>
      <c r="FF28" s="107"/>
      <c r="FG28" s="298"/>
      <c r="FH28" s="305"/>
      <c r="FI28" s="20" t="s">
        <v>25</v>
      </c>
      <c r="FJ28" s="163">
        <v>409</v>
      </c>
      <c r="FK28" s="164">
        <v>0</v>
      </c>
      <c r="FL28" s="165">
        <v>20</v>
      </c>
      <c r="FM28" s="165">
        <v>79</v>
      </c>
      <c r="FN28" s="165">
        <v>12</v>
      </c>
      <c r="FO28" s="165">
        <v>0</v>
      </c>
      <c r="FP28" s="164">
        <v>0</v>
      </c>
      <c r="FQ28" s="165">
        <v>215</v>
      </c>
      <c r="FR28" s="164">
        <v>0</v>
      </c>
      <c r="FS28" s="165">
        <v>87</v>
      </c>
      <c r="FT28" s="164">
        <v>0</v>
      </c>
      <c r="FU28" s="166">
        <v>10</v>
      </c>
      <c r="FV28" s="166">
        <v>0</v>
      </c>
      <c r="FW28" s="167">
        <v>832</v>
      </c>
      <c r="FX28" s="107"/>
      <c r="FY28" s="298"/>
      <c r="FZ28" s="305"/>
      <c r="GA28" s="20" t="s">
        <v>25</v>
      </c>
      <c r="GB28" s="12">
        <v>0</v>
      </c>
      <c r="GC28" s="18">
        <v>0</v>
      </c>
      <c r="GD28" s="12">
        <v>0</v>
      </c>
      <c r="GE28" s="13">
        <v>0</v>
      </c>
      <c r="GF28" s="15">
        <v>0</v>
      </c>
      <c r="GG28" s="15">
        <v>0</v>
      </c>
      <c r="GH28" s="16">
        <v>0</v>
      </c>
      <c r="GI28" s="17">
        <v>0</v>
      </c>
      <c r="GJ28" s="14">
        <v>0</v>
      </c>
      <c r="GK28" s="17">
        <v>0</v>
      </c>
      <c r="GL28" s="18">
        <v>0</v>
      </c>
      <c r="GM28" s="22">
        <v>0</v>
      </c>
      <c r="GN28" s="22">
        <v>0</v>
      </c>
      <c r="GO28" s="25">
        <f>SUM(GB28:GN28)</f>
        <v>0</v>
      </c>
      <c r="GP28" s="107"/>
      <c r="GQ28" s="298"/>
      <c r="GR28" s="305"/>
      <c r="GS28" s="20" t="s">
        <v>25</v>
      </c>
      <c r="GT28" s="12">
        <v>0</v>
      </c>
      <c r="GU28" s="18">
        <v>0</v>
      </c>
      <c r="GV28" s="12">
        <v>0</v>
      </c>
      <c r="GW28" s="13">
        <v>0</v>
      </c>
      <c r="GX28" s="15">
        <v>0</v>
      </c>
      <c r="GY28" s="15">
        <v>0</v>
      </c>
      <c r="GZ28" s="16">
        <v>0</v>
      </c>
      <c r="HA28" s="17">
        <v>0</v>
      </c>
      <c r="HB28" s="14">
        <v>0</v>
      </c>
      <c r="HC28" s="17">
        <v>0</v>
      </c>
      <c r="HD28" s="18">
        <v>0</v>
      </c>
      <c r="HE28" s="22">
        <v>0</v>
      </c>
      <c r="HF28" s="22">
        <v>0</v>
      </c>
      <c r="HG28" s="25">
        <f>SUM(GT28:HF28)</f>
        <v>0</v>
      </c>
      <c r="HH28" s="107"/>
      <c r="HI28" s="298"/>
      <c r="HJ28" s="305"/>
      <c r="HK28" s="20" t="s">
        <v>25</v>
      </c>
      <c r="HL28" s="12">
        <f t="shared" si="110"/>
        <v>1988</v>
      </c>
      <c r="HM28" s="14">
        <f t="shared" si="111"/>
        <v>35</v>
      </c>
      <c r="HN28" s="17">
        <f t="shared" si="112"/>
        <v>174</v>
      </c>
      <c r="HO28" s="13">
        <f t="shared" si="113"/>
        <v>865</v>
      </c>
      <c r="HP28" s="13">
        <f t="shared" si="114"/>
        <v>207</v>
      </c>
      <c r="HQ28" s="13">
        <f t="shared" si="115"/>
        <v>0</v>
      </c>
      <c r="HR28" s="14">
        <f t="shared" si="116"/>
        <v>784</v>
      </c>
      <c r="HS28" s="17">
        <f t="shared" si="117"/>
        <v>1369</v>
      </c>
      <c r="HT28" s="14">
        <f t="shared" si="118"/>
        <v>102</v>
      </c>
      <c r="HU28" s="17">
        <f t="shared" si="119"/>
        <v>542</v>
      </c>
      <c r="HV28" s="14">
        <f t="shared" si="120"/>
        <v>122</v>
      </c>
      <c r="HW28" s="45">
        <f t="shared" si="121"/>
        <v>42</v>
      </c>
      <c r="HX28" s="45">
        <f t="shared" si="122"/>
        <v>0</v>
      </c>
      <c r="HY28" s="39">
        <f>SUM(HL28:HX28)</f>
        <v>6230</v>
      </c>
      <c r="HZ28" s="28"/>
    </row>
    <row r="29" spans="1:234" s="11" customFormat="1" ht="20.100000000000001" customHeight="1" thickTop="1" thickBot="1" x14ac:dyDescent="0.25">
      <c r="A29" s="298"/>
      <c r="B29" s="295" t="s">
        <v>26</v>
      </c>
      <c r="C29" s="296"/>
      <c r="D29" s="375">
        <v>642</v>
      </c>
      <c r="E29" s="377"/>
      <c r="F29" s="375">
        <v>259</v>
      </c>
      <c r="G29" s="376"/>
      <c r="H29" s="376"/>
      <c r="I29" s="376"/>
      <c r="J29" s="377"/>
      <c r="K29" s="375">
        <v>440</v>
      </c>
      <c r="L29" s="377"/>
      <c r="M29" s="375">
        <v>135</v>
      </c>
      <c r="N29" s="377"/>
      <c r="O29" s="167">
        <v>29</v>
      </c>
      <c r="P29" s="167">
        <v>0</v>
      </c>
      <c r="Q29" s="126">
        <f>SUM(Q27:Q28)</f>
        <v>1505</v>
      </c>
      <c r="R29" s="133"/>
      <c r="S29" s="298"/>
      <c r="T29" s="295" t="s">
        <v>26</v>
      </c>
      <c r="U29" s="296"/>
      <c r="V29" s="306">
        <f>SUM(V27:W28)</f>
        <v>0</v>
      </c>
      <c r="W29" s="307"/>
      <c r="X29" s="306">
        <f>SUM(X27:AB28)</f>
        <v>0</v>
      </c>
      <c r="Y29" s="368"/>
      <c r="Z29" s="368"/>
      <c r="AA29" s="368"/>
      <c r="AB29" s="307"/>
      <c r="AC29" s="306">
        <f>SUM(AC27:AD28)</f>
        <v>0</v>
      </c>
      <c r="AD29" s="307"/>
      <c r="AE29" s="306">
        <f>SUM(AE27:AF28)</f>
        <v>0</v>
      </c>
      <c r="AF29" s="307"/>
      <c r="AG29" s="94">
        <f>SUM(AG27:AG28)</f>
        <v>0</v>
      </c>
      <c r="AH29" s="94">
        <f>SUM(AH27:AH28)</f>
        <v>0</v>
      </c>
      <c r="AI29" s="126">
        <f>SUM(AI27:AI28)</f>
        <v>0</v>
      </c>
      <c r="AJ29" s="133"/>
      <c r="AK29" s="298"/>
      <c r="AL29" s="295" t="s">
        <v>26</v>
      </c>
      <c r="AM29" s="296"/>
      <c r="AN29" s="375">
        <v>480</v>
      </c>
      <c r="AO29" s="377"/>
      <c r="AP29" s="375">
        <v>50</v>
      </c>
      <c r="AQ29" s="376"/>
      <c r="AR29" s="376"/>
      <c r="AS29" s="376"/>
      <c r="AT29" s="377"/>
      <c r="AU29" s="375">
        <v>200</v>
      </c>
      <c r="AV29" s="377"/>
      <c r="AW29" s="375">
        <v>160</v>
      </c>
      <c r="AX29" s="377"/>
      <c r="AY29" s="167">
        <v>0</v>
      </c>
      <c r="AZ29" s="167">
        <v>0</v>
      </c>
      <c r="BA29" s="126">
        <f>SUM(BA27:BA28)</f>
        <v>890</v>
      </c>
      <c r="BB29" s="133"/>
      <c r="BC29" s="298"/>
      <c r="BD29" s="295" t="s">
        <v>26</v>
      </c>
      <c r="BE29" s="296"/>
      <c r="BF29" s="306">
        <f>SUM(BF27:BG28)</f>
        <v>0</v>
      </c>
      <c r="BG29" s="307"/>
      <c r="BH29" s="306">
        <f>SUM(BH27:BL28)</f>
        <v>0</v>
      </c>
      <c r="BI29" s="368"/>
      <c r="BJ29" s="368"/>
      <c r="BK29" s="368"/>
      <c r="BL29" s="307"/>
      <c r="BM29" s="306">
        <f>SUM(BM27:BN28)</f>
        <v>0</v>
      </c>
      <c r="BN29" s="307"/>
      <c r="BO29" s="306">
        <f>SUM(BO27:BP28)</f>
        <v>0</v>
      </c>
      <c r="BP29" s="307"/>
      <c r="BQ29" s="94">
        <f>SUM(BQ27:BQ28)</f>
        <v>0</v>
      </c>
      <c r="BR29" s="94">
        <f>SUM(BR27:BR28)</f>
        <v>0</v>
      </c>
      <c r="BS29" s="126">
        <f>SUM(BS27:BS28)</f>
        <v>0</v>
      </c>
      <c r="BT29" s="133"/>
      <c r="BU29" s="298"/>
      <c r="BV29" s="295" t="s">
        <v>26</v>
      </c>
      <c r="BW29" s="296"/>
      <c r="BX29" s="375">
        <v>354</v>
      </c>
      <c r="BY29" s="377"/>
      <c r="BZ29" s="375">
        <v>194</v>
      </c>
      <c r="CA29" s="376"/>
      <c r="CB29" s="376"/>
      <c r="CC29" s="376"/>
      <c r="CD29" s="377"/>
      <c r="CE29" s="375">
        <v>30</v>
      </c>
      <c r="CF29" s="377"/>
      <c r="CG29" s="375">
        <v>0</v>
      </c>
      <c r="CH29" s="377"/>
      <c r="CI29" s="167">
        <v>3</v>
      </c>
      <c r="CJ29" s="167">
        <v>0</v>
      </c>
      <c r="CK29" s="126">
        <f>SUM(CK27:CK28)</f>
        <v>581</v>
      </c>
      <c r="CL29" s="133"/>
      <c r="CM29" s="298"/>
      <c r="CN29" s="295" t="s">
        <v>26</v>
      </c>
      <c r="CO29" s="296"/>
      <c r="CP29" s="375">
        <v>319</v>
      </c>
      <c r="CQ29" s="377"/>
      <c r="CR29" s="375">
        <v>584</v>
      </c>
      <c r="CS29" s="376"/>
      <c r="CT29" s="376"/>
      <c r="CU29" s="376"/>
      <c r="CV29" s="377"/>
      <c r="CW29" s="375">
        <v>397</v>
      </c>
      <c r="CX29" s="377"/>
      <c r="CY29" s="375">
        <v>8</v>
      </c>
      <c r="CZ29" s="377"/>
      <c r="DA29" s="167">
        <v>8</v>
      </c>
      <c r="DB29" s="167">
        <v>0</v>
      </c>
      <c r="DC29" s="210">
        <v>1316</v>
      </c>
      <c r="DD29" s="107"/>
      <c r="DE29" s="298"/>
      <c r="DF29" s="295" t="s">
        <v>26</v>
      </c>
      <c r="DG29" s="296"/>
      <c r="DH29" s="375">
        <v>763</v>
      </c>
      <c r="DI29" s="377"/>
      <c r="DJ29" s="375">
        <v>250</v>
      </c>
      <c r="DK29" s="376"/>
      <c r="DL29" s="376"/>
      <c r="DM29" s="376"/>
      <c r="DN29" s="377"/>
      <c r="DO29" s="375">
        <v>440</v>
      </c>
      <c r="DP29" s="377"/>
      <c r="DQ29" s="375">
        <v>127</v>
      </c>
      <c r="DR29" s="377"/>
      <c r="DS29" s="167">
        <v>29</v>
      </c>
      <c r="DT29" s="167">
        <v>0</v>
      </c>
      <c r="DU29" s="210">
        <v>1609</v>
      </c>
      <c r="DV29" s="107"/>
      <c r="DW29" s="298"/>
      <c r="DX29" s="295" t="s">
        <v>26</v>
      </c>
      <c r="DY29" s="296"/>
      <c r="DZ29" s="359">
        <f>SUM(DZ27:EA28)</f>
        <v>175</v>
      </c>
      <c r="EA29" s="361"/>
      <c r="EB29" s="359">
        <f>SUM(EB27:EF28)</f>
        <v>19</v>
      </c>
      <c r="EC29" s="360"/>
      <c r="ED29" s="360"/>
      <c r="EE29" s="360"/>
      <c r="EF29" s="361"/>
      <c r="EG29" s="359">
        <f>SUM(EG27:EH28)</f>
        <v>308</v>
      </c>
      <c r="EH29" s="361"/>
      <c r="EI29" s="359">
        <f>SUM(EI27:EJ28)</f>
        <v>108</v>
      </c>
      <c r="EJ29" s="361"/>
      <c r="EK29" s="229">
        <f t="shared" ref="EK29:EM29" si="123">SUM(EK27:EK28)</f>
        <v>1</v>
      </c>
      <c r="EL29" s="229">
        <f t="shared" si="123"/>
        <v>0</v>
      </c>
      <c r="EM29" s="230">
        <f t="shared" si="123"/>
        <v>611</v>
      </c>
      <c r="EN29" s="107"/>
      <c r="EO29" s="298"/>
      <c r="EP29" s="295" t="s">
        <v>26</v>
      </c>
      <c r="EQ29" s="296"/>
      <c r="ER29" s="359">
        <f>SUM(ER27:ES28)</f>
        <v>325</v>
      </c>
      <c r="ES29" s="361"/>
      <c r="ET29" s="359">
        <f>SUM(ET27:EX28)</f>
        <v>1927</v>
      </c>
      <c r="EU29" s="360"/>
      <c r="EV29" s="360"/>
      <c r="EW29" s="360"/>
      <c r="EX29" s="361"/>
      <c r="EY29" s="359">
        <f>SUM(EY27:EZ28)</f>
        <v>592</v>
      </c>
      <c r="EZ29" s="361"/>
      <c r="FA29" s="359">
        <f>SUM(FA27:FB28)</f>
        <v>299</v>
      </c>
      <c r="FB29" s="361"/>
      <c r="FC29" s="229">
        <f t="shared" ref="FC29:FE29" si="124">SUM(FC27:FC28)</f>
        <v>22</v>
      </c>
      <c r="FD29" s="229">
        <f t="shared" si="124"/>
        <v>0</v>
      </c>
      <c r="FE29" s="282">
        <f t="shared" si="124"/>
        <v>3165</v>
      </c>
      <c r="FF29" s="107"/>
      <c r="FG29" s="298"/>
      <c r="FH29" s="295" t="s">
        <v>26</v>
      </c>
      <c r="FI29" s="296"/>
      <c r="FJ29" s="375">
        <v>719</v>
      </c>
      <c r="FK29" s="377"/>
      <c r="FL29" s="375">
        <v>248</v>
      </c>
      <c r="FM29" s="376"/>
      <c r="FN29" s="376"/>
      <c r="FO29" s="376"/>
      <c r="FP29" s="377"/>
      <c r="FQ29" s="375">
        <v>425</v>
      </c>
      <c r="FR29" s="377"/>
      <c r="FS29" s="375">
        <v>127</v>
      </c>
      <c r="FT29" s="377"/>
      <c r="FU29" s="167">
        <v>29</v>
      </c>
      <c r="FV29" s="167">
        <v>0</v>
      </c>
      <c r="FW29" s="210">
        <v>1548</v>
      </c>
      <c r="FX29" s="107"/>
      <c r="FY29" s="298"/>
      <c r="FZ29" s="295" t="s">
        <v>26</v>
      </c>
      <c r="GA29" s="296"/>
      <c r="GB29" s="306">
        <f>SUM(GB27:GC28)</f>
        <v>0</v>
      </c>
      <c r="GC29" s="307"/>
      <c r="GD29" s="306">
        <f>SUM(GD27:GH28)</f>
        <v>0</v>
      </c>
      <c r="GE29" s="368"/>
      <c r="GF29" s="368"/>
      <c r="GG29" s="368"/>
      <c r="GH29" s="307"/>
      <c r="GI29" s="306">
        <f>SUM(GI27:GJ28)</f>
        <v>0</v>
      </c>
      <c r="GJ29" s="307"/>
      <c r="GK29" s="306">
        <f>SUM(GK27:GL28)</f>
        <v>0</v>
      </c>
      <c r="GL29" s="307"/>
      <c r="GM29" s="94">
        <f>SUM(GM27:GM28)</f>
        <v>0</v>
      </c>
      <c r="GN29" s="94">
        <f>SUM(GN27:GN28)</f>
        <v>0</v>
      </c>
      <c r="GO29" s="26">
        <f>SUM(GO27:GO28)</f>
        <v>0</v>
      </c>
      <c r="GP29" s="107"/>
      <c r="GQ29" s="298"/>
      <c r="GR29" s="295" t="s">
        <v>26</v>
      </c>
      <c r="GS29" s="296"/>
      <c r="GT29" s="306">
        <f>SUM(GT27:GU28)</f>
        <v>0</v>
      </c>
      <c r="GU29" s="307"/>
      <c r="GV29" s="306">
        <f>SUM(GV27:GZ28)</f>
        <v>0</v>
      </c>
      <c r="GW29" s="368"/>
      <c r="GX29" s="368"/>
      <c r="GY29" s="368"/>
      <c r="GZ29" s="307"/>
      <c r="HA29" s="306">
        <f>SUM(HA27:HB28)</f>
        <v>0</v>
      </c>
      <c r="HB29" s="307"/>
      <c r="HC29" s="306">
        <f>SUM(HC27:HD28)</f>
        <v>0</v>
      </c>
      <c r="HD29" s="307"/>
      <c r="HE29" s="94">
        <f>SUM(HE27:HE28)</f>
        <v>0</v>
      </c>
      <c r="HF29" s="94">
        <f>SUM(HF27:HF28)</f>
        <v>0</v>
      </c>
      <c r="HG29" s="26">
        <f>SUM(HG27:HG28)</f>
        <v>0</v>
      </c>
      <c r="HH29" s="107"/>
      <c r="HI29" s="298"/>
      <c r="HJ29" s="295" t="s">
        <v>26</v>
      </c>
      <c r="HK29" s="313"/>
      <c r="HL29" s="306">
        <f>SUM(HL27:HM28)</f>
        <v>3777</v>
      </c>
      <c r="HM29" s="307"/>
      <c r="HN29" s="306">
        <f>SUM(HN27:HR28)</f>
        <v>3531</v>
      </c>
      <c r="HO29" s="368"/>
      <c r="HP29" s="368"/>
      <c r="HQ29" s="368"/>
      <c r="HR29" s="307"/>
      <c r="HS29" s="306">
        <f>SUM(HS27:HT28)</f>
        <v>2832</v>
      </c>
      <c r="HT29" s="307"/>
      <c r="HU29" s="306">
        <f>SUM(HU27:HV28)</f>
        <v>964</v>
      </c>
      <c r="HV29" s="307"/>
      <c r="HW29" s="43">
        <f>SUM(HW27:HW28)</f>
        <v>121</v>
      </c>
      <c r="HX29" s="43">
        <f>SUM(HX27:HX28)</f>
        <v>0</v>
      </c>
      <c r="HY29" s="26">
        <f>SUM(HY27:HY28)</f>
        <v>11225</v>
      </c>
      <c r="HZ29" s="28"/>
    </row>
    <row r="30" spans="1:234" s="11" customFormat="1" ht="20.100000000000001" customHeight="1" thickTop="1" thickBot="1" x14ac:dyDescent="0.3">
      <c r="A30" s="298"/>
      <c r="B30" s="311" t="s">
        <v>27</v>
      </c>
      <c r="C30" s="19" t="s">
        <v>24</v>
      </c>
      <c r="D30" s="168">
        <v>20</v>
      </c>
      <c r="E30" s="169">
        <v>0</v>
      </c>
      <c r="F30" s="170">
        <v>6</v>
      </c>
      <c r="G30" s="170">
        <v>0</v>
      </c>
      <c r="H30" s="170">
        <v>0</v>
      </c>
      <c r="I30" s="171">
        <v>0</v>
      </c>
      <c r="J30" s="169">
        <v>0</v>
      </c>
      <c r="K30" s="170">
        <v>95</v>
      </c>
      <c r="L30" s="169">
        <v>0</v>
      </c>
      <c r="M30" s="170">
        <v>22</v>
      </c>
      <c r="N30" s="172">
        <v>0</v>
      </c>
      <c r="O30" s="173">
        <v>14</v>
      </c>
      <c r="P30" s="173">
        <v>0</v>
      </c>
      <c r="Q30" s="124">
        <f>SUM(D30:P30)</f>
        <v>157</v>
      </c>
      <c r="R30" s="133"/>
      <c r="S30" s="298"/>
      <c r="T30" s="311" t="s">
        <v>27</v>
      </c>
      <c r="U30" s="19" t="s">
        <v>24</v>
      </c>
      <c r="V30" s="8">
        <v>0</v>
      </c>
      <c r="W30" s="33">
        <v>0</v>
      </c>
      <c r="X30" s="8">
        <v>0</v>
      </c>
      <c r="Y30" s="35">
        <v>0</v>
      </c>
      <c r="Z30" s="36">
        <v>0</v>
      </c>
      <c r="AA30" s="85">
        <v>0</v>
      </c>
      <c r="AB30" s="37">
        <v>0</v>
      </c>
      <c r="AC30" s="34">
        <v>0</v>
      </c>
      <c r="AD30" s="9">
        <v>0</v>
      </c>
      <c r="AE30" s="10">
        <v>0</v>
      </c>
      <c r="AF30" s="86">
        <v>0</v>
      </c>
      <c r="AG30" s="21">
        <v>0</v>
      </c>
      <c r="AH30" s="21">
        <v>0</v>
      </c>
      <c r="AI30" s="124">
        <f>SUM(V30:AH30)</f>
        <v>0</v>
      </c>
      <c r="AJ30" s="133"/>
      <c r="AK30" s="298"/>
      <c r="AL30" s="311" t="s">
        <v>27</v>
      </c>
      <c r="AM30" s="19" t="s">
        <v>24</v>
      </c>
      <c r="AN30" s="168">
        <v>20</v>
      </c>
      <c r="AO30" s="169">
        <v>10</v>
      </c>
      <c r="AP30" s="170">
        <v>5</v>
      </c>
      <c r="AQ30" s="170">
        <v>5</v>
      </c>
      <c r="AR30" s="170">
        <v>3</v>
      </c>
      <c r="AS30" s="171">
        <v>0</v>
      </c>
      <c r="AT30" s="169">
        <v>0</v>
      </c>
      <c r="AU30" s="170">
        <v>10</v>
      </c>
      <c r="AV30" s="169">
        <v>0</v>
      </c>
      <c r="AW30" s="170">
        <v>10</v>
      </c>
      <c r="AX30" s="172">
        <v>0</v>
      </c>
      <c r="AY30" s="173">
        <v>0</v>
      </c>
      <c r="AZ30" s="173">
        <v>0</v>
      </c>
      <c r="BA30" s="124">
        <f>SUM(AN30:AZ30)</f>
        <v>63</v>
      </c>
      <c r="BB30" s="133"/>
      <c r="BC30" s="298"/>
      <c r="BD30" s="311" t="s">
        <v>27</v>
      </c>
      <c r="BE30" s="19" t="s">
        <v>24</v>
      </c>
      <c r="BF30" s="8">
        <v>0</v>
      </c>
      <c r="BG30" s="33">
        <v>0</v>
      </c>
      <c r="BH30" s="8">
        <v>0</v>
      </c>
      <c r="BI30" s="35">
        <v>0</v>
      </c>
      <c r="BJ30" s="36">
        <v>0</v>
      </c>
      <c r="BK30" s="85">
        <v>0</v>
      </c>
      <c r="BL30" s="37">
        <v>0</v>
      </c>
      <c r="BM30" s="34">
        <v>0</v>
      </c>
      <c r="BN30" s="9">
        <v>0</v>
      </c>
      <c r="BO30" s="10">
        <v>0</v>
      </c>
      <c r="BP30" s="86">
        <v>0</v>
      </c>
      <c r="BQ30" s="21">
        <v>0</v>
      </c>
      <c r="BR30" s="21">
        <v>0</v>
      </c>
      <c r="BS30" s="124">
        <f>SUM(BF30:BR30)</f>
        <v>0</v>
      </c>
      <c r="BT30" s="133"/>
      <c r="BU30" s="298"/>
      <c r="BV30" s="311" t="s">
        <v>27</v>
      </c>
      <c r="BW30" s="19" t="s">
        <v>24</v>
      </c>
      <c r="BX30" s="168">
        <v>0</v>
      </c>
      <c r="BY30" s="169">
        <v>0</v>
      </c>
      <c r="BZ30" s="170">
        <v>0</v>
      </c>
      <c r="CA30" s="170">
        <v>26</v>
      </c>
      <c r="CB30" s="170">
        <v>15</v>
      </c>
      <c r="CC30" s="171">
        <v>0</v>
      </c>
      <c r="CD30" s="169">
        <v>0</v>
      </c>
      <c r="CE30" s="170">
        <v>0</v>
      </c>
      <c r="CF30" s="169">
        <v>0</v>
      </c>
      <c r="CG30" s="170">
        <v>0</v>
      </c>
      <c r="CH30" s="172">
        <v>0</v>
      </c>
      <c r="CI30" s="173">
        <v>0</v>
      </c>
      <c r="CJ30" s="173">
        <v>0</v>
      </c>
      <c r="CK30" s="124">
        <f>SUM(BX30:CJ30)</f>
        <v>41</v>
      </c>
      <c r="CL30" s="133"/>
      <c r="CM30" s="298"/>
      <c r="CN30" s="311" t="s">
        <v>27</v>
      </c>
      <c r="CO30" s="19" t="s">
        <v>24</v>
      </c>
      <c r="CP30" s="168">
        <v>6</v>
      </c>
      <c r="CQ30" s="169">
        <v>0</v>
      </c>
      <c r="CR30" s="170">
        <v>0</v>
      </c>
      <c r="CS30" s="170">
        <v>0</v>
      </c>
      <c r="CT30" s="170">
        <v>0</v>
      </c>
      <c r="CU30" s="171">
        <v>0</v>
      </c>
      <c r="CV30" s="169">
        <v>12</v>
      </c>
      <c r="CW30" s="170">
        <v>6</v>
      </c>
      <c r="CX30" s="169">
        <v>4</v>
      </c>
      <c r="CY30" s="170">
        <v>0</v>
      </c>
      <c r="CZ30" s="172">
        <v>0</v>
      </c>
      <c r="DA30" s="173">
        <v>0</v>
      </c>
      <c r="DB30" s="173">
        <v>0</v>
      </c>
      <c r="DC30" s="211">
        <v>28</v>
      </c>
      <c r="DD30" s="107"/>
      <c r="DE30" s="298"/>
      <c r="DF30" s="311" t="s">
        <v>27</v>
      </c>
      <c r="DG30" s="19" t="s">
        <v>24</v>
      </c>
      <c r="DH30" s="168">
        <v>41</v>
      </c>
      <c r="DI30" s="169">
        <v>0</v>
      </c>
      <c r="DJ30" s="170">
        <v>4</v>
      </c>
      <c r="DK30" s="170">
        <v>0</v>
      </c>
      <c r="DL30" s="170">
        <v>0</v>
      </c>
      <c r="DM30" s="171">
        <v>0</v>
      </c>
      <c r="DN30" s="169">
        <v>0</v>
      </c>
      <c r="DO30" s="170">
        <v>80</v>
      </c>
      <c r="DP30" s="169">
        <v>0</v>
      </c>
      <c r="DQ30" s="170">
        <v>18</v>
      </c>
      <c r="DR30" s="172">
        <v>0</v>
      </c>
      <c r="DS30" s="173">
        <v>11</v>
      </c>
      <c r="DT30" s="173">
        <v>0</v>
      </c>
      <c r="DU30" s="211">
        <v>154</v>
      </c>
      <c r="DV30" s="107"/>
      <c r="DW30" s="298"/>
      <c r="DX30" s="311" t="s">
        <v>27</v>
      </c>
      <c r="DY30" s="19" t="s">
        <v>24</v>
      </c>
      <c r="DZ30" s="252">
        <v>19</v>
      </c>
      <c r="EA30" s="253">
        <v>0</v>
      </c>
      <c r="EB30" s="253">
        <v>0</v>
      </c>
      <c r="EC30" s="253">
        <v>0</v>
      </c>
      <c r="ED30" s="253">
        <v>0</v>
      </c>
      <c r="EE30" s="254">
        <v>0</v>
      </c>
      <c r="EF30" s="253">
        <v>0</v>
      </c>
      <c r="EG30" s="255">
        <v>30</v>
      </c>
      <c r="EH30" s="253">
        <v>0</v>
      </c>
      <c r="EI30" s="255">
        <v>0</v>
      </c>
      <c r="EJ30" s="254">
        <v>0</v>
      </c>
      <c r="EK30" s="256">
        <v>0</v>
      </c>
      <c r="EL30" s="256">
        <v>0</v>
      </c>
      <c r="EM30" s="223">
        <f t="shared" ref="EM30:EM31" si="125">SUM(DZ30:EL30)</f>
        <v>49</v>
      </c>
      <c r="EN30" s="107"/>
      <c r="EO30" s="298"/>
      <c r="EP30" s="311" t="s">
        <v>27</v>
      </c>
      <c r="EQ30" s="19" t="s">
        <v>24</v>
      </c>
      <c r="ER30" s="233">
        <v>30</v>
      </c>
      <c r="ES30" s="234">
        <v>0</v>
      </c>
      <c r="ET30" s="233">
        <v>10</v>
      </c>
      <c r="EU30" s="235">
        <v>88</v>
      </c>
      <c r="EV30" s="236">
        <v>30</v>
      </c>
      <c r="EW30" s="237">
        <v>0</v>
      </c>
      <c r="EX30" s="238">
        <v>10</v>
      </c>
      <c r="EY30" s="239">
        <v>10</v>
      </c>
      <c r="EZ30" s="240">
        <v>0</v>
      </c>
      <c r="FA30" s="241">
        <v>18</v>
      </c>
      <c r="FB30" s="242">
        <v>0</v>
      </c>
      <c r="FC30" s="243">
        <v>7</v>
      </c>
      <c r="FD30" s="243">
        <v>0</v>
      </c>
      <c r="FE30" s="280">
        <f t="shared" ref="FE30:FE31" si="126">SUM(ER30:FD30)</f>
        <v>203</v>
      </c>
      <c r="FF30" s="107"/>
      <c r="FG30" s="298"/>
      <c r="FH30" s="311" t="s">
        <v>27</v>
      </c>
      <c r="FI30" s="19" t="s">
        <v>24</v>
      </c>
      <c r="FJ30" s="168">
        <v>41</v>
      </c>
      <c r="FK30" s="169">
        <v>0</v>
      </c>
      <c r="FL30" s="170">
        <v>4</v>
      </c>
      <c r="FM30" s="170">
        <v>0</v>
      </c>
      <c r="FN30" s="170">
        <v>0</v>
      </c>
      <c r="FO30" s="171">
        <v>0</v>
      </c>
      <c r="FP30" s="169">
        <v>0</v>
      </c>
      <c r="FQ30" s="170">
        <v>80</v>
      </c>
      <c r="FR30" s="169">
        <v>0</v>
      </c>
      <c r="FS30" s="170">
        <v>18</v>
      </c>
      <c r="FT30" s="172">
        <v>0</v>
      </c>
      <c r="FU30" s="173">
        <v>11</v>
      </c>
      <c r="FV30" s="173">
        <v>0</v>
      </c>
      <c r="FW30" s="211">
        <v>154</v>
      </c>
      <c r="FX30" s="107"/>
      <c r="FY30" s="298"/>
      <c r="FZ30" s="311" t="s">
        <v>27</v>
      </c>
      <c r="GA30" s="19" t="s">
        <v>24</v>
      </c>
      <c r="GB30" s="8">
        <v>0</v>
      </c>
      <c r="GC30" s="33">
        <v>0</v>
      </c>
      <c r="GD30" s="8">
        <v>0</v>
      </c>
      <c r="GE30" s="35">
        <v>0</v>
      </c>
      <c r="GF30" s="36">
        <v>0</v>
      </c>
      <c r="GG30" s="85">
        <v>0</v>
      </c>
      <c r="GH30" s="37">
        <v>0</v>
      </c>
      <c r="GI30" s="34">
        <v>0</v>
      </c>
      <c r="GJ30" s="9">
        <v>0</v>
      </c>
      <c r="GK30" s="10">
        <v>0</v>
      </c>
      <c r="GL30" s="86">
        <v>0</v>
      </c>
      <c r="GM30" s="21">
        <v>0</v>
      </c>
      <c r="GN30" s="21">
        <v>0</v>
      </c>
      <c r="GO30" s="24">
        <f>SUM(GB30:GN30)</f>
        <v>0</v>
      </c>
      <c r="GP30" s="107"/>
      <c r="GQ30" s="298"/>
      <c r="GR30" s="311" t="s">
        <v>27</v>
      </c>
      <c r="GS30" s="19" t="s">
        <v>24</v>
      </c>
      <c r="GT30" s="8">
        <v>0</v>
      </c>
      <c r="GU30" s="33">
        <v>0</v>
      </c>
      <c r="GV30" s="8">
        <v>0</v>
      </c>
      <c r="GW30" s="35">
        <v>0</v>
      </c>
      <c r="GX30" s="36">
        <v>0</v>
      </c>
      <c r="GY30" s="85">
        <v>0</v>
      </c>
      <c r="GZ30" s="37">
        <v>0</v>
      </c>
      <c r="HA30" s="34">
        <v>0</v>
      </c>
      <c r="HB30" s="9">
        <v>0</v>
      </c>
      <c r="HC30" s="10">
        <v>0</v>
      </c>
      <c r="HD30" s="86">
        <v>0</v>
      </c>
      <c r="HE30" s="21">
        <v>0</v>
      </c>
      <c r="HF30" s="21">
        <v>0</v>
      </c>
      <c r="HG30" s="24">
        <f>SUM(GT30:HF30)</f>
        <v>0</v>
      </c>
      <c r="HH30" s="107"/>
      <c r="HI30" s="298"/>
      <c r="HJ30" s="355" t="s">
        <v>27</v>
      </c>
      <c r="HK30" s="19" t="s">
        <v>24</v>
      </c>
      <c r="HL30" s="8">
        <f t="shared" ref="HL30:HL31" si="127">SUM(D30+V30+AN30+BF30+BX30+CP30+DH30+DZ30+ER30+FJ30+GB30+GT30)</f>
        <v>177</v>
      </c>
      <c r="HM30" s="9">
        <f t="shared" ref="HM30:HM31" si="128">SUM(E30+W30+AO30+BG30+BY30+CQ30+DI30+EA30+ES30+FK30+GC30+GU30)</f>
        <v>10</v>
      </c>
      <c r="HN30" s="34">
        <f t="shared" ref="HN30:HN31" si="129">SUM(F30+X30+AP30+BH30+BZ30+CR30+DJ30+EB30+ET30+FL30+GD30+GV30)</f>
        <v>29</v>
      </c>
      <c r="HO30" s="35">
        <f t="shared" ref="HO30:HO31" si="130">SUM(G30+Y30+AQ30+BI30+CA30+CS30+DK30+EC30+EU30+FM30+GE30+GW30)</f>
        <v>119</v>
      </c>
      <c r="HP30" s="35">
        <f t="shared" ref="HP30:HP31" si="131">SUM(H30+Z30+AR30+BJ30+CB30+CT30+DL30+ED30+EV30+FN30+GF30+GX30)</f>
        <v>48</v>
      </c>
      <c r="HQ30" s="46">
        <f t="shared" ref="HQ30:HQ31" si="132">SUM(I30+AA30+AS30+BK30+CC30+CU30+DM30+EE30+EW30+FO30+GG30+GY30)</f>
        <v>0</v>
      </c>
      <c r="HR30" s="9">
        <f t="shared" ref="HR30:HR31" si="133">SUM(J30+AB30+AT30+BL30+CD30+CV30+DN30+EF30+EX30+FP30+GH30+GZ30)</f>
        <v>22</v>
      </c>
      <c r="HS30" s="34">
        <f t="shared" ref="HS30:HS31" si="134">SUM(K30+AC30+AU30+BM30+CE30+CW30+DO30+EG30+EY30+FQ30+GI30+HA30)</f>
        <v>311</v>
      </c>
      <c r="HT30" s="9">
        <f t="shared" ref="HT30:HT31" si="135">SUM(L30+AD30+AV30+BN30+CF30+CX30+DP30+EH30+EZ30+FR30+GJ30+HB30)</f>
        <v>4</v>
      </c>
      <c r="HU30" s="34">
        <f t="shared" ref="HU30:HU31" si="136">SUM(M30+AE30+AW30+BO30+CG30+CY30+DQ30+EI30+FA30+FS30+GK30+HC30)</f>
        <v>86</v>
      </c>
      <c r="HV30" s="47">
        <f t="shared" ref="HV30:HV31" si="137">SUM(N30+AF30+AX30+BP30+CH30+CZ30+DR30+EJ30+FB30+FT30+GL30+HD30)</f>
        <v>0</v>
      </c>
      <c r="HW30" s="44">
        <f t="shared" ref="HW30:HW31" si="138">SUM(O30+AG30+AY30+BQ30+CI30+DA30+DS30+EK30+FC30+FU30+GM30+HE30)</f>
        <v>43</v>
      </c>
      <c r="HX30" s="44">
        <f t="shared" ref="HX30:HX31" si="139">SUM(P30+AH30+AZ30+BR30+CJ30+DB30+DT30+EL30+FD30+FV30+GN30+HF30)</f>
        <v>0</v>
      </c>
      <c r="HY30" s="24">
        <f>SUM(HL30:HX30)</f>
        <v>849</v>
      </c>
      <c r="HZ30" s="28"/>
    </row>
    <row r="31" spans="1:234" s="11" customFormat="1" ht="20.100000000000001" customHeight="1" thickBot="1" x14ac:dyDescent="0.3">
      <c r="A31" s="298"/>
      <c r="B31" s="312"/>
      <c r="C31" s="20" t="s">
        <v>25</v>
      </c>
      <c r="D31" s="163">
        <v>28</v>
      </c>
      <c r="E31" s="164">
        <v>0</v>
      </c>
      <c r="F31" s="165">
        <v>10</v>
      </c>
      <c r="G31" s="165">
        <v>0</v>
      </c>
      <c r="H31" s="165">
        <v>0</v>
      </c>
      <c r="I31" s="165">
        <v>0</v>
      </c>
      <c r="J31" s="164">
        <v>0</v>
      </c>
      <c r="K31" s="165">
        <v>60</v>
      </c>
      <c r="L31" s="164">
        <v>0</v>
      </c>
      <c r="M31" s="165">
        <v>36</v>
      </c>
      <c r="N31" s="164">
        <v>20</v>
      </c>
      <c r="O31" s="166">
        <v>18</v>
      </c>
      <c r="P31" s="166">
        <v>0</v>
      </c>
      <c r="Q31" s="125">
        <f>SUM(D31:P31)</f>
        <v>172</v>
      </c>
      <c r="R31" s="133"/>
      <c r="S31" s="298"/>
      <c r="T31" s="312"/>
      <c r="U31" s="20" t="s">
        <v>25</v>
      </c>
      <c r="V31" s="12">
        <v>0</v>
      </c>
      <c r="W31" s="18">
        <v>0</v>
      </c>
      <c r="X31" s="12">
        <v>0</v>
      </c>
      <c r="Y31" s="13">
        <v>0</v>
      </c>
      <c r="Z31" s="15">
        <v>0</v>
      </c>
      <c r="AA31" s="15">
        <v>0</v>
      </c>
      <c r="AB31" s="16">
        <v>0</v>
      </c>
      <c r="AC31" s="17">
        <v>0</v>
      </c>
      <c r="AD31" s="14">
        <v>0</v>
      </c>
      <c r="AE31" s="17">
        <v>0</v>
      </c>
      <c r="AF31" s="18">
        <v>0</v>
      </c>
      <c r="AG31" s="22">
        <v>0</v>
      </c>
      <c r="AH31" s="22">
        <v>0</v>
      </c>
      <c r="AI31" s="125">
        <f>SUM(V31:AH31)</f>
        <v>0</v>
      </c>
      <c r="AJ31" s="133"/>
      <c r="AK31" s="298"/>
      <c r="AL31" s="312"/>
      <c r="AM31" s="20" t="s">
        <v>25</v>
      </c>
      <c r="AN31" s="163">
        <v>20</v>
      </c>
      <c r="AO31" s="164">
        <v>10</v>
      </c>
      <c r="AP31" s="165">
        <v>10</v>
      </c>
      <c r="AQ31" s="165">
        <v>10</v>
      </c>
      <c r="AR31" s="165">
        <v>10</v>
      </c>
      <c r="AS31" s="165">
        <v>0</v>
      </c>
      <c r="AT31" s="164">
        <v>0</v>
      </c>
      <c r="AU31" s="165">
        <v>20</v>
      </c>
      <c r="AV31" s="164">
        <v>0</v>
      </c>
      <c r="AW31" s="165">
        <v>20</v>
      </c>
      <c r="AX31" s="164">
        <v>5</v>
      </c>
      <c r="AY31" s="166">
        <v>0</v>
      </c>
      <c r="AZ31" s="166">
        <v>0</v>
      </c>
      <c r="BA31" s="125">
        <f>SUM(AN31:AZ31)</f>
        <v>105</v>
      </c>
      <c r="BB31" s="133"/>
      <c r="BC31" s="298"/>
      <c r="BD31" s="312"/>
      <c r="BE31" s="20" t="s">
        <v>25</v>
      </c>
      <c r="BF31" s="12">
        <v>0</v>
      </c>
      <c r="BG31" s="18">
        <v>0</v>
      </c>
      <c r="BH31" s="12">
        <v>0</v>
      </c>
      <c r="BI31" s="13">
        <v>0</v>
      </c>
      <c r="BJ31" s="15">
        <v>0</v>
      </c>
      <c r="BK31" s="15">
        <v>0</v>
      </c>
      <c r="BL31" s="16">
        <v>0</v>
      </c>
      <c r="BM31" s="17">
        <v>0</v>
      </c>
      <c r="BN31" s="14">
        <v>0</v>
      </c>
      <c r="BO31" s="17">
        <v>0</v>
      </c>
      <c r="BP31" s="18">
        <v>0</v>
      </c>
      <c r="BQ31" s="22">
        <v>0</v>
      </c>
      <c r="BR31" s="22">
        <v>0</v>
      </c>
      <c r="BS31" s="125">
        <f>SUM(BF31:BR31)</f>
        <v>0</v>
      </c>
      <c r="BT31" s="133"/>
      <c r="BU31" s="298"/>
      <c r="BV31" s="312"/>
      <c r="BW31" s="20" t="s">
        <v>25</v>
      </c>
      <c r="BX31" s="163">
        <v>18</v>
      </c>
      <c r="BY31" s="164">
        <v>0</v>
      </c>
      <c r="BZ31" s="165">
        <v>0</v>
      </c>
      <c r="CA31" s="165">
        <v>20</v>
      </c>
      <c r="CB31" s="165">
        <v>8</v>
      </c>
      <c r="CC31" s="165">
        <v>0</v>
      </c>
      <c r="CD31" s="164">
        <v>0</v>
      </c>
      <c r="CE31" s="165">
        <v>0</v>
      </c>
      <c r="CF31" s="164">
        <v>0</v>
      </c>
      <c r="CG31" s="165">
        <v>0</v>
      </c>
      <c r="CH31" s="164">
        <v>0</v>
      </c>
      <c r="CI31" s="166">
        <v>0</v>
      </c>
      <c r="CJ31" s="166">
        <v>0</v>
      </c>
      <c r="CK31" s="125">
        <f>SUM(BX31:CJ31)</f>
        <v>46</v>
      </c>
      <c r="CL31" s="133"/>
      <c r="CM31" s="298"/>
      <c r="CN31" s="312"/>
      <c r="CO31" s="20" t="s">
        <v>25</v>
      </c>
      <c r="CP31" s="163">
        <v>4</v>
      </c>
      <c r="CQ31" s="164">
        <v>0</v>
      </c>
      <c r="CR31" s="165">
        <v>0</v>
      </c>
      <c r="CS31" s="165">
        <v>0</v>
      </c>
      <c r="CT31" s="165">
        <v>0</v>
      </c>
      <c r="CU31" s="165">
        <v>0</v>
      </c>
      <c r="CV31" s="164">
        <v>7</v>
      </c>
      <c r="CW31" s="165">
        <v>3</v>
      </c>
      <c r="CX31" s="164">
        <v>3</v>
      </c>
      <c r="CY31" s="165">
        <v>0</v>
      </c>
      <c r="CZ31" s="164">
        <v>0</v>
      </c>
      <c r="DA31" s="166">
        <v>0</v>
      </c>
      <c r="DB31" s="166">
        <v>0</v>
      </c>
      <c r="DC31" s="167">
        <v>17</v>
      </c>
      <c r="DD31" s="107"/>
      <c r="DE31" s="298"/>
      <c r="DF31" s="312"/>
      <c r="DG31" s="20" t="s">
        <v>25</v>
      </c>
      <c r="DH31" s="163">
        <v>28</v>
      </c>
      <c r="DI31" s="164">
        <v>0</v>
      </c>
      <c r="DJ31" s="165">
        <v>7</v>
      </c>
      <c r="DK31" s="165">
        <v>0</v>
      </c>
      <c r="DL31" s="165">
        <v>0</v>
      </c>
      <c r="DM31" s="165">
        <v>0</v>
      </c>
      <c r="DN31" s="164">
        <v>0</v>
      </c>
      <c r="DO31" s="165">
        <v>77</v>
      </c>
      <c r="DP31" s="164">
        <v>0</v>
      </c>
      <c r="DQ31" s="165">
        <v>32</v>
      </c>
      <c r="DR31" s="164">
        <v>17</v>
      </c>
      <c r="DS31" s="166">
        <v>18</v>
      </c>
      <c r="DT31" s="166">
        <v>0</v>
      </c>
      <c r="DU31" s="167">
        <v>179</v>
      </c>
      <c r="DV31" s="107"/>
      <c r="DW31" s="298"/>
      <c r="DX31" s="312"/>
      <c r="DY31" s="20" t="s">
        <v>25</v>
      </c>
      <c r="DZ31" s="257">
        <v>10</v>
      </c>
      <c r="EA31" s="258">
        <v>0</v>
      </c>
      <c r="EB31" s="258">
        <v>0</v>
      </c>
      <c r="EC31" s="258">
        <v>8</v>
      </c>
      <c r="ED31" s="258">
        <v>0</v>
      </c>
      <c r="EE31" s="259">
        <v>0</v>
      </c>
      <c r="EF31" s="258">
        <v>0</v>
      </c>
      <c r="EG31" s="259">
        <v>10</v>
      </c>
      <c r="EH31" s="258">
        <v>0</v>
      </c>
      <c r="EI31" s="259">
        <v>0</v>
      </c>
      <c r="EJ31" s="259">
        <v>0</v>
      </c>
      <c r="EK31" s="260">
        <v>0</v>
      </c>
      <c r="EL31" s="260">
        <v>0</v>
      </c>
      <c r="EM31" s="228">
        <f t="shared" si="125"/>
        <v>28</v>
      </c>
      <c r="EN31" s="107"/>
      <c r="EO31" s="298"/>
      <c r="EP31" s="312"/>
      <c r="EQ31" s="20" t="s">
        <v>25</v>
      </c>
      <c r="ER31" s="244">
        <v>41</v>
      </c>
      <c r="ES31" s="245">
        <v>0</v>
      </c>
      <c r="ET31" s="244">
        <v>25</v>
      </c>
      <c r="EU31" s="246">
        <v>90</v>
      </c>
      <c r="EV31" s="247">
        <v>42</v>
      </c>
      <c r="EW31" s="247">
        <v>0</v>
      </c>
      <c r="EX31" s="248">
        <v>28</v>
      </c>
      <c r="EY31" s="249">
        <v>48</v>
      </c>
      <c r="EZ31" s="250">
        <v>0</v>
      </c>
      <c r="FA31" s="249">
        <v>35</v>
      </c>
      <c r="FB31" s="245">
        <v>50</v>
      </c>
      <c r="FC31" s="251">
        <v>11</v>
      </c>
      <c r="FD31" s="251">
        <v>0</v>
      </c>
      <c r="FE31" s="281">
        <f t="shared" si="126"/>
        <v>370</v>
      </c>
      <c r="FF31" s="107"/>
      <c r="FG31" s="298"/>
      <c r="FH31" s="312"/>
      <c r="FI31" s="20" t="s">
        <v>25</v>
      </c>
      <c r="FJ31" s="163">
        <v>28</v>
      </c>
      <c r="FK31" s="164">
        <v>0</v>
      </c>
      <c r="FL31" s="165">
        <v>7</v>
      </c>
      <c r="FM31" s="165">
        <v>0</v>
      </c>
      <c r="FN31" s="165">
        <v>0</v>
      </c>
      <c r="FO31" s="165">
        <v>0</v>
      </c>
      <c r="FP31" s="164">
        <v>0</v>
      </c>
      <c r="FQ31" s="165">
        <v>77</v>
      </c>
      <c r="FR31" s="164">
        <v>0</v>
      </c>
      <c r="FS31" s="165">
        <v>32</v>
      </c>
      <c r="FT31" s="164">
        <v>17</v>
      </c>
      <c r="FU31" s="166">
        <v>18</v>
      </c>
      <c r="FV31" s="166">
        <v>0</v>
      </c>
      <c r="FW31" s="167">
        <v>179</v>
      </c>
      <c r="FX31" s="107"/>
      <c r="FY31" s="298"/>
      <c r="FZ31" s="312"/>
      <c r="GA31" s="20" t="s">
        <v>25</v>
      </c>
      <c r="GB31" s="12">
        <v>0</v>
      </c>
      <c r="GC31" s="18">
        <v>0</v>
      </c>
      <c r="GD31" s="12">
        <v>0</v>
      </c>
      <c r="GE31" s="13">
        <v>0</v>
      </c>
      <c r="GF31" s="15">
        <v>0</v>
      </c>
      <c r="GG31" s="15">
        <v>0</v>
      </c>
      <c r="GH31" s="16">
        <v>0</v>
      </c>
      <c r="GI31" s="17">
        <v>0</v>
      </c>
      <c r="GJ31" s="14">
        <v>0</v>
      </c>
      <c r="GK31" s="17">
        <v>0</v>
      </c>
      <c r="GL31" s="18">
        <v>0</v>
      </c>
      <c r="GM31" s="22">
        <v>0</v>
      </c>
      <c r="GN31" s="22">
        <v>0</v>
      </c>
      <c r="GO31" s="25">
        <f>SUM(GB31:GN31)</f>
        <v>0</v>
      </c>
      <c r="GP31" s="107"/>
      <c r="GQ31" s="298"/>
      <c r="GR31" s="312"/>
      <c r="GS31" s="20" t="s">
        <v>25</v>
      </c>
      <c r="GT31" s="12">
        <v>0</v>
      </c>
      <c r="GU31" s="18">
        <v>0</v>
      </c>
      <c r="GV31" s="12">
        <v>0</v>
      </c>
      <c r="GW31" s="13">
        <v>0</v>
      </c>
      <c r="GX31" s="15">
        <v>0</v>
      </c>
      <c r="GY31" s="15">
        <v>0</v>
      </c>
      <c r="GZ31" s="16">
        <v>0</v>
      </c>
      <c r="HA31" s="17">
        <v>0</v>
      </c>
      <c r="HB31" s="14">
        <v>0</v>
      </c>
      <c r="HC31" s="17">
        <v>0</v>
      </c>
      <c r="HD31" s="18">
        <v>0</v>
      </c>
      <c r="HE31" s="22">
        <v>0</v>
      </c>
      <c r="HF31" s="22">
        <v>0</v>
      </c>
      <c r="HG31" s="25">
        <f>SUM(GT31:HF31)</f>
        <v>0</v>
      </c>
      <c r="HH31" s="107"/>
      <c r="HI31" s="298"/>
      <c r="HJ31" s="356"/>
      <c r="HK31" s="20" t="s">
        <v>25</v>
      </c>
      <c r="HL31" s="12">
        <f t="shared" si="127"/>
        <v>177</v>
      </c>
      <c r="HM31" s="14">
        <f t="shared" si="128"/>
        <v>10</v>
      </c>
      <c r="HN31" s="17">
        <f t="shared" si="129"/>
        <v>59</v>
      </c>
      <c r="HO31" s="13">
        <f t="shared" si="130"/>
        <v>128</v>
      </c>
      <c r="HP31" s="13">
        <f t="shared" si="131"/>
        <v>60</v>
      </c>
      <c r="HQ31" s="13">
        <f t="shared" si="132"/>
        <v>0</v>
      </c>
      <c r="HR31" s="14">
        <f t="shared" si="133"/>
        <v>35</v>
      </c>
      <c r="HS31" s="17">
        <f t="shared" si="134"/>
        <v>295</v>
      </c>
      <c r="HT31" s="14">
        <f t="shared" si="135"/>
        <v>3</v>
      </c>
      <c r="HU31" s="17">
        <f t="shared" si="136"/>
        <v>155</v>
      </c>
      <c r="HV31" s="14">
        <f t="shared" si="137"/>
        <v>109</v>
      </c>
      <c r="HW31" s="45">
        <f t="shared" si="138"/>
        <v>65</v>
      </c>
      <c r="HX31" s="45">
        <f t="shared" si="139"/>
        <v>0</v>
      </c>
      <c r="HY31" s="25">
        <f>SUM(HL31:HX31)</f>
        <v>1096</v>
      </c>
      <c r="HZ31" s="28"/>
    </row>
    <row r="32" spans="1:234" s="11" customFormat="1" ht="20.100000000000001" customHeight="1" thickTop="1" thickBot="1" x14ac:dyDescent="0.25">
      <c r="A32" s="299"/>
      <c r="B32" s="326" t="s">
        <v>34</v>
      </c>
      <c r="C32" s="327"/>
      <c r="D32" s="306">
        <f>SUM(D30:E31)</f>
        <v>48</v>
      </c>
      <c r="E32" s="307"/>
      <c r="F32" s="306">
        <f>SUM(F30:J31)</f>
        <v>16</v>
      </c>
      <c r="G32" s="368"/>
      <c r="H32" s="368"/>
      <c r="I32" s="368"/>
      <c r="J32" s="307"/>
      <c r="K32" s="306">
        <f>SUM(K30:L31)</f>
        <v>155</v>
      </c>
      <c r="L32" s="307"/>
      <c r="M32" s="306">
        <f>SUM(M30:N31)</f>
        <v>78</v>
      </c>
      <c r="N32" s="307"/>
      <c r="O32" s="94">
        <f>SUM(O30:O31)</f>
        <v>32</v>
      </c>
      <c r="P32" s="94">
        <f>SUM(P30:P31)</f>
        <v>0</v>
      </c>
      <c r="Q32" s="126">
        <f>SUM(Q30:Q31)</f>
        <v>329</v>
      </c>
      <c r="R32" s="133"/>
      <c r="S32" s="299"/>
      <c r="T32" s="326" t="s">
        <v>34</v>
      </c>
      <c r="U32" s="327"/>
      <c r="V32" s="306">
        <f>SUM(V30:W31)</f>
        <v>0</v>
      </c>
      <c r="W32" s="307"/>
      <c r="X32" s="306">
        <f>SUM(X30:AB31)</f>
        <v>0</v>
      </c>
      <c r="Y32" s="368"/>
      <c r="Z32" s="368"/>
      <c r="AA32" s="368"/>
      <c r="AB32" s="307"/>
      <c r="AC32" s="306">
        <f>SUM(AC30:AD31)</f>
        <v>0</v>
      </c>
      <c r="AD32" s="307"/>
      <c r="AE32" s="306">
        <f>SUM(AE30:AF31)</f>
        <v>0</v>
      </c>
      <c r="AF32" s="307"/>
      <c r="AG32" s="94">
        <f>SUM(AG30:AG31)</f>
        <v>0</v>
      </c>
      <c r="AH32" s="94">
        <f>SUM(AH30:AH31)</f>
        <v>0</v>
      </c>
      <c r="AI32" s="126">
        <f>SUM(AI30:AI31)</f>
        <v>0</v>
      </c>
      <c r="AJ32" s="133"/>
      <c r="AK32" s="299"/>
      <c r="AL32" s="326" t="s">
        <v>34</v>
      </c>
      <c r="AM32" s="327"/>
      <c r="AN32" s="306">
        <f>SUM(AN30:AO31)</f>
        <v>60</v>
      </c>
      <c r="AO32" s="307"/>
      <c r="AP32" s="306">
        <f>SUM(AP30:AT31)</f>
        <v>43</v>
      </c>
      <c r="AQ32" s="368"/>
      <c r="AR32" s="368"/>
      <c r="AS32" s="368"/>
      <c r="AT32" s="307"/>
      <c r="AU32" s="306">
        <f>SUM(AU30:AV31)</f>
        <v>30</v>
      </c>
      <c r="AV32" s="307"/>
      <c r="AW32" s="306">
        <f>SUM(AW30:AX31)</f>
        <v>35</v>
      </c>
      <c r="AX32" s="307"/>
      <c r="AY32" s="94">
        <f>SUM(AY30:AY31)</f>
        <v>0</v>
      </c>
      <c r="AZ32" s="94">
        <f>SUM(AZ30:AZ31)</f>
        <v>0</v>
      </c>
      <c r="BA32" s="126">
        <f>SUM(BA30:BA31)</f>
        <v>168</v>
      </c>
      <c r="BB32" s="133"/>
      <c r="BC32" s="299"/>
      <c r="BD32" s="326" t="s">
        <v>34</v>
      </c>
      <c r="BE32" s="327"/>
      <c r="BF32" s="306">
        <f>SUM(BF30:BG31)</f>
        <v>0</v>
      </c>
      <c r="BG32" s="307"/>
      <c r="BH32" s="306">
        <f>SUM(BH30:BL31)</f>
        <v>0</v>
      </c>
      <c r="BI32" s="368"/>
      <c r="BJ32" s="368"/>
      <c r="BK32" s="368"/>
      <c r="BL32" s="307"/>
      <c r="BM32" s="306">
        <f>SUM(BM30:BN31)</f>
        <v>0</v>
      </c>
      <c r="BN32" s="307"/>
      <c r="BO32" s="306">
        <f>SUM(BO30:BP31)</f>
        <v>0</v>
      </c>
      <c r="BP32" s="307"/>
      <c r="BQ32" s="94">
        <f>SUM(BQ30:BQ31)</f>
        <v>0</v>
      </c>
      <c r="BR32" s="94">
        <f>SUM(BR30:BR31)</f>
        <v>0</v>
      </c>
      <c r="BS32" s="126">
        <f>SUM(BS30:BS31)</f>
        <v>0</v>
      </c>
      <c r="BT32" s="133"/>
      <c r="BU32" s="299"/>
      <c r="BV32" s="326" t="s">
        <v>34</v>
      </c>
      <c r="BW32" s="327"/>
      <c r="BX32" s="306">
        <f>SUM(BX30:BY31)</f>
        <v>18</v>
      </c>
      <c r="BY32" s="307"/>
      <c r="BZ32" s="306">
        <f>SUM(BZ30:CD31)</f>
        <v>69</v>
      </c>
      <c r="CA32" s="368"/>
      <c r="CB32" s="368"/>
      <c r="CC32" s="368"/>
      <c r="CD32" s="307"/>
      <c r="CE32" s="306">
        <f>SUM(CE30:CF31)</f>
        <v>0</v>
      </c>
      <c r="CF32" s="307"/>
      <c r="CG32" s="306">
        <f>SUM(CG30:CH31)</f>
        <v>0</v>
      </c>
      <c r="CH32" s="307"/>
      <c r="CI32" s="94">
        <f>SUM(CI30:CI31)</f>
        <v>0</v>
      </c>
      <c r="CJ32" s="94">
        <f>SUM(CJ30:CJ31)</f>
        <v>0</v>
      </c>
      <c r="CK32" s="126">
        <f>SUM(CK30:CK31)</f>
        <v>87</v>
      </c>
      <c r="CL32" s="133"/>
      <c r="CM32" s="299"/>
      <c r="CN32" s="326" t="s">
        <v>34</v>
      </c>
      <c r="CO32" s="327"/>
      <c r="CP32" s="375">
        <v>10</v>
      </c>
      <c r="CQ32" s="377"/>
      <c r="CR32" s="375">
        <v>19</v>
      </c>
      <c r="CS32" s="376"/>
      <c r="CT32" s="376"/>
      <c r="CU32" s="376"/>
      <c r="CV32" s="377"/>
      <c r="CW32" s="375">
        <v>16</v>
      </c>
      <c r="CX32" s="377"/>
      <c r="CY32" s="375">
        <v>0</v>
      </c>
      <c r="CZ32" s="377"/>
      <c r="DA32" s="167">
        <v>0</v>
      </c>
      <c r="DB32" s="167">
        <v>0</v>
      </c>
      <c r="DC32" s="210">
        <v>45</v>
      </c>
      <c r="DD32" s="107"/>
      <c r="DE32" s="299"/>
      <c r="DF32" s="326" t="s">
        <v>34</v>
      </c>
      <c r="DG32" s="327"/>
      <c r="DH32" s="375">
        <v>69</v>
      </c>
      <c r="DI32" s="377"/>
      <c r="DJ32" s="375">
        <v>11</v>
      </c>
      <c r="DK32" s="376"/>
      <c r="DL32" s="376"/>
      <c r="DM32" s="376"/>
      <c r="DN32" s="377"/>
      <c r="DO32" s="375">
        <v>157</v>
      </c>
      <c r="DP32" s="377"/>
      <c r="DQ32" s="375">
        <v>67</v>
      </c>
      <c r="DR32" s="377"/>
      <c r="DS32" s="167">
        <v>29</v>
      </c>
      <c r="DT32" s="167">
        <v>0</v>
      </c>
      <c r="DU32" s="210">
        <v>333</v>
      </c>
      <c r="DV32" s="107"/>
      <c r="DW32" s="299"/>
      <c r="DX32" s="326" t="s">
        <v>34</v>
      </c>
      <c r="DY32" s="327"/>
      <c r="DZ32" s="359">
        <f>SUM(DZ30:EA31)</f>
        <v>29</v>
      </c>
      <c r="EA32" s="361"/>
      <c r="EB32" s="359">
        <f>SUM(EB30:EF31)</f>
        <v>8</v>
      </c>
      <c r="EC32" s="360"/>
      <c r="ED32" s="360"/>
      <c r="EE32" s="360"/>
      <c r="EF32" s="361"/>
      <c r="EG32" s="359">
        <f>SUM(EG30:EH31)</f>
        <v>40</v>
      </c>
      <c r="EH32" s="361"/>
      <c r="EI32" s="359">
        <f>SUM(EI30:EJ31)</f>
        <v>0</v>
      </c>
      <c r="EJ32" s="361"/>
      <c r="EK32" s="229">
        <f t="shared" ref="EK32:EM32" si="140">SUM(EK30:EK31)</f>
        <v>0</v>
      </c>
      <c r="EL32" s="229">
        <f t="shared" si="140"/>
        <v>0</v>
      </c>
      <c r="EM32" s="230">
        <f t="shared" si="140"/>
        <v>77</v>
      </c>
      <c r="EN32" s="107"/>
      <c r="EO32" s="299"/>
      <c r="EP32" s="326" t="s">
        <v>34</v>
      </c>
      <c r="EQ32" s="327"/>
      <c r="ER32" s="359">
        <f>SUM(ER30:ES31)</f>
        <v>71</v>
      </c>
      <c r="ES32" s="361"/>
      <c r="ET32" s="359">
        <f>SUM(ET30:EX31)</f>
        <v>323</v>
      </c>
      <c r="EU32" s="360"/>
      <c r="EV32" s="360"/>
      <c r="EW32" s="360"/>
      <c r="EX32" s="361"/>
      <c r="EY32" s="359">
        <f>SUM(EY30:EZ31)</f>
        <v>58</v>
      </c>
      <c r="EZ32" s="361"/>
      <c r="FA32" s="359">
        <f>SUM(FA30:FB31)</f>
        <v>103</v>
      </c>
      <c r="FB32" s="361"/>
      <c r="FC32" s="229">
        <f t="shared" ref="FC32:FE32" si="141">SUM(FC30:FC31)</f>
        <v>18</v>
      </c>
      <c r="FD32" s="229">
        <f t="shared" si="141"/>
        <v>0</v>
      </c>
      <c r="FE32" s="282">
        <f t="shared" si="141"/>
        <v>573</v>
      </c>
      <c r="FF32" s="107"/>
      <c r="FG32" s="299"/>
      <c r="FH32" s="326" t="s">
        <v>34</v>
      </c>
      <c r="FI32" s="327"/>
      <c r="FJ32" s="375">
        <v>69</v>
      </c>
      <c r="FK32" s="377"/>
      <c r="FL32" s="375">
        <v>11</v>
      </c>
      <c r="FM32" s="376"/>
      <c r="FN32" s="376"/>
      <c r="FO32" s="376"/>
      <c r="FP32" s="377"/>
      <c r="FQ32" s="375">
        <v>157</v>
      </c>
      <c r="FR32" s="377"/>
      <c r="FS32" s="375">
        <v>67</v>
      </c>
      <c r="FT32" s="377"/>
      <c r="FU32" s="167">
        <v>29</v>
      </c>
      <c r="FV32" s="167">
        <v>0</v>
      </c>
      <c r="FW32" s="210">
        <v>333</v>
      </c>
      <c r="FX32" s="107"/>
      <c r="FY32" s="299"/>
      <c r="FZ32" s="326" t="s">
        <v>34</v>
      </c>
      <c r="GA32" s="327"/>
      <c r="GB32" s="306">
        <f>SUM(GB30:GC31)</f>
        <v>0</v>
      </c>
      <c r="GC32" s="307"/>
      <c r="GD32" s="306">
        <f>SUM(GD30:GH31)</f>
        <v>0</v>
      </c>
      <c r="GE32" s="368"/>
      <c r="GF32" s="368"/>
      <c r="GG32" s="368"/>
      <c r="GH32" s="307"/>
      <c r="GI32" s="306">
        <f>SUM(GI30:GJ31)</f>
        <v>0</v>
      </c>
      <c r="GJ32" s="307"/>
      <c r="GK32" s="306">
        <f>SUM(GK30:GL31)</f>
        <v>0</v>
      </c>
      <c r="GL32" s="307"/>
      <c r="GM32" s="94">
        <f>SUM(GM30:GM31)</f>
        <v>0</v>
      </c>
      <c r="GN32" s="94">
        <f>SUM(GN30:GN31)</f>
        <v>0</v>
      </c>
      <c r="GO32" s="26">
        <f>SUM(GO30:GO31)</f>
        <v>0</v>
      </c>
      <c r="GP32" s="107"/>
      <c r="GQ32" s="299"/>
      <c r="GR32" s="326" t="s">
        <v>34</v>
      </c>
      <c r="GS32" s="327"/>
      <c r="GT32" s="306">
        <f>SUM(GT30:GU31)</f>
        <v>0</v>
      </c>
      <c r="GU32" s="307"/>
      <c r="GV32" s="306">
        <f>SUM(GV30:GZ31)</f>
        <v>0</v>
      </c>
      <c r="GW32" s="368"/>
      <c r="GX32" s="368"/>
      <c r="GY32" s="368"/>
      <c r="GZ32" s="307"/>
      <c r="HA32" s="306">
        <f>SUM(HA30:HB31)</f>
        <v>0</v>
      </c>
      <c r="HB32" s="307"/>
      <c r="HC32" s="306">
        <f>SUM(HC30:HD31)</f>
        <v>0</v>
      </c>
      <c r="HD32" s="307"/>
      <c r="HE32" s="94">
        <f>SUM(HE30:HE31)</f>
        <v>0</v>
      </c>
      <c r="HF32" s="94">
        <f>SUM(HF30:HF31)</f>
        <v>0</v>
      </c>
      <c r="HG32" s="26">
        <f>SUM(HG30:HG31)</f>
        <v>0</v>
      </c>
      <c r="HH32" s="107"/>
      <c r="HI32" s="299"/>
      <c r="HJ32" s="295" t="s">
        <v>28</v>
      </c>
      <c r="HK32" s="313"/>
      <c r="HL32" s="306">
        <f>SUM(HL30:HM31)</f>
        <v>374</v>
      </c>
      <c r="HM32" s="307"/>
      <c r="HN32" s="306">
        <f>SUM(HN30:HR31)</f>
        <v>500</v>
      </c>
      <c r="HO32" s="368"/>
      <c r="HP32" s="368"/>
      <c r="HQ32" s="368"/>
      <c r="HR32" s="307"/>
      <c r="HS32" s="306">
        <f>SUM(HS30:HT31)</f>
        <v>613</v>
      </c>
      <c r="HT32" s="307"/>
      <c r="HU32" s="306">
        <f>SUM(HU30:HV31)</f>
        <v>350</v>
      </c>
      <c r="HV32" s="307"/>
      <c r="HW32" s="43">
        <f>SUM(HW30:HW31)</f>
        <v>108</v>
      </c>
      <c r="HX32" s="43">
        <f>SUM(HX30:HX31)</f>
        <v>0</v>
      </c>
      <c r="HY32" s="26">
        <f>SUM(HY30:HY31)</f>
        <v>1945</v>
      </c>
      <c r="HZ32" s="28"/>
    </row>
    <row r="33" spans="1:244" s="11" customFormat="1" ht="20.100000000000001" customHeight="1" thickTop="1" thickBot="1" x14ac:dyDescent="0.25">
      <c r="A33" s="41"/>
      <c r="B33" s="353" t="s">
        <v>29</v>
      </c>
      <c r="C33" s="357"/>
      <c r="D33" s="308">
        <f>SUM(D29+D32)</f>
        <v>690</v>
      </c>
      <c r="E33" s="310"/>
      <c r="F33" s="308">
        <f>SUM(F29+F32)</f>
        <v>275</v>
      </c>
      <c r="G33" s="309"/>
      <c r="H33" s="309"/>
      <c r="I33" s="309"/>
      <c r="J33" s="310"/>
      <c r="K33" s="308">
        <f>SUM(K29+K32)</f>
        <v>595</v>
      </c>
      <c r="L33" s="310"/>
      <c r="M33" s="308">
        <f>SUM(M29+M32)</f>
        <v>213</v>
      </c>
      <c r="N33" s="310"/>
      <c r="O33" s="23">
        <f>SUM(O29+O32)</f>
        <v>61</v>
      </c>
      <c r="P33" s="23">
        <f>SUM(P29+P32)</f>
        <v>0</v>
      </c>
      <c r="Q33" s="127">
        <f>SUM(Q29+Q32)</f>
        <v>1834</v>
      </c>
      <c r="R33" s="133"/>
      <c r="S33" s="41"/>
      <c r="T33" s="353" t="s">
        <v>29</v>
      </c>
      <c r="U33" s="357"/>
      <c r="V33" s="308">
        <f>SUM(V29+V32)</f>
        <v>0</v>
      </c>
      <c r="W33" s="310"/>
      <c r="X33" s="308">
        <f>SUM(X29+X32)</f>
        <v>0</v>
      </c>
      <c r="Y33" s="309"/>
      <c r="Z33" s="309"/>
      <c r="AA33" s="309"/>
      <c r="AB33" s="310"/>
      <c r="AC33" s="308">
        <f>SUM(AC29+AC32)</f>
        <v>0</v>
      </c>
      <c r="AD33" s="310"/>
      <c r="AE33" s="308">
        <f>SUM(AE29+AE32)</f>
        <v>0</v>
      </c>
      <c r="AF33" s="310"/>
      <c r="AG33" s="23">
        <f>SUM(AG29+AG32)</f>
        <v>0</v>
      </c>
      <c r="AH33" s="23">
        <f>SUM(AH29+AH32)</f>
        <v>0</v>
      </c>
      <c r="AI33" s="127">
        <f>SUM(AI29+AI32)</f>
        <v>0</v>
      </c>
      <c r="AJ33" s="133"/>
      <c r="AK33" s="41"/>
      <c r="AL33" s="353" t="s">
        <v>29</v>
      </c>
      <c r="AM33" s="357"/>
      <c r="AN33" s="308">
        <f>SUM(AN29+AN32)</f>
        <v>540</v>
      </c>
      <c r="AO33" s="310"/>
      <c r="AP33" s="308">
        <f>SUM(AP29+AP32)</f>
        <v>93</v>
      </c>
      <c r="AQ33" s="309"/>
      <c r="AR33" s="309"/>
      <c r="AS33" s="309"/>
      <c r="AT33" s="310"/>
      <c r="AU33" s="308">
        <f>SUM(AU29+AU32)</f>
        <v>230</v>
      </c>
      <c r="AV33" s="310"/>
      <c r="AW33" s="308">
        <f>SUM(AW29+AW32)</f>
        <v>195</v>
      </c>
      <c r="AX33" s="310"/>
      <c r="AY33" s="23">
        <f>SUM(AY29+AY32)</f>
        <v>0</v>
      </c>
      <c r="AZ33" s="23">
        <f>SUM(AZ29+AZ32)</f>
        <v>0</v>
      </c>
      <c r="BA33" s="127">
        <f>SUM(BA29+BA32)</f>
        <v>1058</v>
      </c>
      <c r="BB33" s="133"/>
      <c r="BC33" s="41"/>
      <c r="BD33" s="353" t="s">
        <v>29</v>
      </c>
      <c r="BE33" s="357"/>
      <c r="BF33" s="308">
        <f>SUM(BF29+BF32)</f>
        <v>0</v>
      </c>
      <c r="BG33" s="310"/>
      <c r="BH33" s="308">
        <f>SUM(BH29+BH32)</f>
        <v>0</v>
      </c>
      <c r="BI33" s="309"/>
      <c r="BJ33" s="309"/>
      <c r="BK33" s="309"/>
      <c r="BL33" s="310"/>
      <c r="BM33" s="308">
        <f>SUM(BM29+BM32)</f>
        <v>0</v>
      </c>
      <c r="BN33" s="310"/>
      <c r="BO33" s="308">
        <f>SUM(BO29+BO32)</f>
        <v>0</v>
      </c>
      <c r="BP33" s="310"/>
      <c r="BQ33" s="23">
        <f>SUM(BQ29+BQ32)</f>
        <v>0</v>
      </c>
      <c r="BR33" s="23">
        <f>SUM(BR29+BR32)</f>
        <v>0</v>
      </c>
      <c r="BS33" s="127">
        <f>SUM(BS29+BS32)</f>
        <v>0</v>
      </c>
      <c r="BT33" s="133"/>
      <c r="BU33" s="41"/>
      <c r="BV33" s="353" t="s">
        <v>29</v>
      </c>
      <c r="BW33" s="357"/>
      <c r="BX33" s="308">
        <f>SUM(BX29+BX32)</f>
        <v>372</v>
      </c>
      <c r="BY33" s="310"/>
      <c r="BZ33" s="308">
        <f>SUM(BZ29+BZ32)</f>
        <v>263</v>
      </c>
      <c r="CA33" s="309"/>
      <c r="CB33" s="309"/>
      <c r="CC33" s="309"/>
      <c r="CD33" s="310"/>
      <c r="CE33" s="308">
        <f>SUM(CE29+CE32)</f>
        <v>30</v>
      </c>
      <c r="CF33" s="310"/>
      <c r="CG33" s="308">
        <f>SUM(CG29+CG32)</f>
        <v>0</v>
      </c>
      <c r="CH33" s="310"/>
      <c r="CI33" s="23">
        <f>SUM(CI29+CI32)</f>
        <v>3</v>
      </c>
      <c r="CJ33" s="23">
        <f>SUM(CJ29+CJ32)</f>
        <v>0</v>
      </c>
      <c r="CK33" s="127">
        <f>SUM(CK29+CK32)</f>
        <v>668</v>
      </c>
      <c r="CL33" s="133"/>
      <c r="CM33" s="41"/>
      <c r="CN33" s="353" t="s">
        <v>29</v>
      </c>
      <c r="CO33" s="357"/>
      <c r="CP33" s="378">
        <v>0</v>
      </c>
      <c r="CQ33" s="380"/>
      <c r="CR33" s="378">
        <v>0</v>
      </c>
      <c r="CS33" s="379"/>
      <c r="CT33" s="379"/>
      <c r="CU33" s="379"/>
      <c r="CV33" s="380"/>
      <c r="CW33" s="378">
        <v>0</v>
      </c>
      <c r="CX33" s="380"/>
      <c r="CY33" s="378">
        <v>0</v>
      </c>
      <c r="CZ33" s="380"/>
      <c r="DA33" s="200">
        <v>0</v>
      </c>
      <c r="DB33" s="200">
        <v>0</v>
      </c>
      <c r="DC33" s="27">
        <f>SUM(DC29+DC32)</f>
        <v>1361</v>
      </c>
      <c r="DD33" s="107"/>
      <c r="DE33" s="41"/>
      <c r="DF33" s="353" t="s">
        <v>29</v>
      </c>
      <c r="DG33" s="357"/>
      <c r="DH33" s="378">
        <v>832</v>
      </c>
      <c r="DI33" s="380"/>
      <c r="DJ33" s="378">
        <v>261</v>
      </c>
      <c r="DK33" s="379"/>
      <c r="DL33" s="379"/>
      <c r="DM33" s="379"/>
      <c r="DN33" s="380"/>
      <c r="DO33" s="378">
        <v>597</v>
      </c>
      <c r="DP33" s="380"/>
      <c r="DQ33" s="378">
        <v>194</v>
      </c>
      <c r="DR33" s="380"/>
      <c r="DS33" s="200">
        <v>58</v>
      </c>
      <c r="DT33" s="200">
        <v>0</v>
      </c>
      <c r="DU33" s="213">
        <v>1942</v>
      </c>
      <c r="DV33" s="107"/>
      <c r="DW33" s="41"/>
      <c r="DX33" s="353" t="s">
        <v>29</v>
      </c>
      <c r="DY33" s="357"/>
      <c r="DZ33" s="363">
        <f>SUM(DZ29+DZ32)</f>
        <v>204</v>
      </c>
      <c r="EA33" s="361"/>
      <c r="EB33" s="363">
        <f>SUM(EB29+EB32)</f>
        <v>27</v>
      </c>
      <c r="EC33" s="360"/>
      <c r="ED33" s="360"/>
      <c r="EE33" s="360"/>
      <c r="EF33" s="361"/>
      <c r="EG33" s="363">
        <f>SUM(EG29+EG32)</f>
        <v>348</v>
      </c>
      <c r="EH33" s="361"/>
      <c r="EI33" s="363">
        <f>SUM(EI29+EI32)</f>
        <v>108</v>
      </c>
      <c r="EJ33" s="361"/>
      <c r="EK33" s="231">
        <f t="shared" ref="EK33:EM33" si="142">SUM(EK29+EK32)</f>
        <v>1</v>
      </c>
      <c r="EL33" s="231">
        <f t="shared" si="142"/>
        <v>0</v>
      </c>
      <c r="EM33" s="232">
        <f t="shared" si="142"/>
        <v>688</v>
      </c>
      <c r="EN33" s="107"/>
      <c r="EO33" s="41"/>
      <c r="EP33" s="353" t="s">
        <v>29</v>
      </c>
      <c r="EQ33" s="357"/>
      <c r="ER33" s="308">
        <f>SUM(ER29+ER32)</f>
        <v>396</v>
      </c>
      <c r="ES33" s="310"/>
      <c r="ET33" s="308">
        <f>SUM(ET29+ET32)</f>
        <v>2250</v>
      </c>
      <c r="EU33" s="309"/>
      <c r="EV33" s="309"/>
      <c r="EW33" s="309"/>
      <c r="EX33" s="310"/>
      <c r="EY33" s="308">
        <f>SUM(EY29+EY32)</f>
        <v>650</v>
      </c>
      <c r="EZ33" s="310"/>
      <c r="FA33" s="308">
        <f>SUM(FA29+FA32)</f>
        <v>402</v>
      </c>
      <c r="FB33" s="310"/>
      <c r="FC33" s="23">
        <f>SUM(FC29+FC32)</f>
        <v>40</v>
      </c>
      <c r="FD33" s="23">
        <f>SUM(FD29+FD32)</f>
        <v>0</v>
      </c>
      <c r="FE33" s="27">
        <f>SUM(FE29+FE32)</f>
        <v>3738</v>
      </c>
      <c r="FF33" s="107"/>
      <c r="FG33" s="41"/>
      <c r="FH33" s="353" t="s">
        <v>29</v>
      </c>
      <c r="FI33" s="357"/>
      <c r="FJ33" s="378">
        <v>788</v>
      </c>
      <c r="FK33" s="380"/>
      <c r="FL33" s="378">
        <v>259</v>
      </c>
      <c r="FM33" s="379"/>
      <c r="FN33" s="379"/>
      <c r="FO33" s="379"/>
      <c r="FP33" s="380"/>
      <c r="FQ33" s="378">
        <v>582</v>
      </c>
      <c r="FR33" s="380"/>
      <c r="FS33" s="378">
        <v>194</v>
      </c>
      <c r="FT33" s="380"/>
      <c r="FU33" s="200">
        <v>58</v>
      </c>
      <c r="FV33" s="200">
        <v>0</v>
      </c>
      <c r="FW33" s="213">
        <v>1881</v>
      </c>
      <c r="FX33" s="107"/>
      <c r="FY33" s="41"/>
      <c r="FZ33" s="353" t="s">
        <v>29</v>
      </c>
      <c r="GA33" s="357"/>
      <c r="GB33" s="308">
        <f>SUM(GB29+GB32)</f>
        <v>0</v>
      </c>
      <c r="GC33" s="310"/>
      <c r="GD33" s="308">
        <f>SUM(GD29+GD32)</f>
        <v>0</v>
      </c>
      <c r="GE33" s="309"/>
      <c r="GF33" s="309"/>
      <c r="GG33" s="309"/>
      <c r="GH33" s="310"/>
      <c r="GI33" s="308">
        <f>SUM(GI29+GI32)</f>
        <v>0</v>
      </c>
      <c r="GJ33" s="310"/>
      <c r="GK33" s="308">
        <f>SUM(GK29+GK32)</f>
        <v>0</v>
      </c>
      <c r="GL33" s="310"/>
      <c r="GM33" s="23">
        <f>SUM(GM29+GM32)</f>
        <v>0</v>
      </c>
      <c r="GN33" s="23">
        <f>SUM(GN29+GN32)</f>
        <v>0</v>
      </c>
      <c r="GO33" s="27">
        <f>SUM(GO29+GO32)</f>
        <v>0</v>
      </c>
      <c r="GP33" s="107"/>
      <c r="GQ33" s="41"/>
      <c r="GR33" s="353" t="s">
        <v>29</v>
      </c>
      <c r="GS33" s="357"/>
      <c r="GT33" s="308">
        <f>SUM(GT29+GT32)</f>
        <v>0</v>
      </c>
      <c r="GU33" s="310"/>
      <c r="GV33" s="308">
        <f>SUM(GV29+GV32)</f>
        <v>0</v>
      </c>
      <c r="GW33" s="309"/>
      <c r="GX33" s="309"/>
      <c r="GY33" s="309"/>
      <c r="GZ33" s="310"/>
      <c r="HA33" s="308">
        <f>SUM(HA29+HA32)</f>
        <v>0</v>
      </c>
      <c r="HB33" s="310"/>
      <c r="HC33" s="308">
        <f>SUM(HC29+HC32)</f>
        <v>0</v>
      </c>
      <c r="HD33" s="310"/>
      <c r="HE33" s="23">
        <f>SUM(HE29+HE32)</f>
        <v>0</v>
      </c>
      <c r="HF33" s="23">
        <f>SUM(HF29+HF32)</f>
        <v>0</v>
      </c>
      <c r="HG33" s="27">
        <f>SUM(HG29+HG32)</f>
        <v>0</v>
      </c>
      <c r="HH33" s="107"/>
      <c r="HI33" s="41"/>
      <c r="HJ33" s="353" t="s">
        <v>29</v>
      </c>
      <c r="HK33" s="354"/>
      <c r="HL33" s="308">
        <f>SUM(HL29+HL32)</f>
        <v>4151</v>
      </c>
      <c r="HM33" s="310"/>
      <c r="HN33" s="308">
        <f>SUM(HN29+HN32)</f>
        <v>4031</v>
      </c>
      <c r="HO33" s="309"/>
      <c r="HP33" s="309"/>
      <c r="HQ33" s="309"/>
      <c r="HR33" s="310"/>
      <c r="HS33" s="308">
        <f>SUM(HS29+HS32)</f>
        <v>3445</v>
      </c>
      <c r="HT33" s="310"/>
      <c r="HU33" s="308">
        <f>SUM(HU29+HU32)</f>
        <v>1314</v>
      </c>
      <c r="HV33" s="310"/>
      <c r="HW33" s="23">
        <f>SUM(HW29+HW32)</f>
        <v>229</v>
      </c>
      <c r="HX33" s="23">
        <f>SUM(HX29+HX32)</f>
        <v>0</v>
      </c>
      <c r="HY33" s="27">
        <f>SUM(HY29+HY32)</f>
        <v>13170</v>
      </c>
      <c r="HZ33" s="28"/>
    </row>
    <row r="34" spans="1:244" s="11" customFormat="1" ht="20.100000000000001" customHeight="1" thickTop="1" thickBot="1" x14ac:dyDescent="0.25">
      <c r="A34" s="297" t="s">
        <v>40</v>
      </c>
      <c r="B34" s="304" t="s">
        <v>9</v>
      </c>
      <c r="C34" s="19" t="s">
        <v>24</v>
      </c>
      <c r="D34" s="8">
        <v>0</v>
      </c>
      <c r="E34" s="33">
        <v>0</v>
      </c>
      <c r="F34" s="4">
        <v>0</v>
      </c>
      <c r="G34" s="5">
        <v>0</v>
      </c>
      <c r="H34" s="6">
        <v>0</v>
      </c>
      <c r="I34" s="84">
        <v>0</v>
      </c>
      <c r="J34" s="7">
        <v>0</v>
      </c>
      <c r="K34" s="34">
        <v>0</v>
      </c>
      <c r="L34" s="9">
        <v>0</v>
      </c>
      <c r="M34" s="10">
        <v>0</v>
      </c>
      <c r="N34" s="86">
        <v>0</v>
      </c>
      <c r="O34" s="21">
        <v>0</v>
      </c>
      <c r="P34" s="21">
        <v>0</v>
      </c>
      <c r="Q34" s="124">
        <f>SUM(D34:P34)</f>
        <v>0</v>
      </c>
      <c r="R34" s="133"/>
      <c r="S34" s="297" t="s">
        <v>40</v>
      </c>
      <c r="T34" s="304" t="s">
        <v>9</v>
      </c>
      <c r="U34" s="19" t="s">
        <v>24</v>
      </c>
      <c r="V34" s="8">
        <v>0</v>
      </c>
      <c r="W34" s="33">
        <v>0</v>
      </c>
      <c r="X34" s="4">
        <v>0</v>
      </c>
      <c r="Y34" s="5">
        <v>0</v>
      </c>
      <c r="Z34" s="6">
        <v>0</v>
      </c>
      <c r="AA34" s="84">
        <v>0</v>
      </c>
      <c r="AB34" s="7">
        <v>0</v>
      </c>
      <c r="AC34" s="34">
        <v>0</v>
      </c>
      <c r="AD34" s="9">
        <v>0</v>
      </c>
      <c r="AE34" s="10">
        <v>0</v>
      </c>
      <c r="AF34" s="86">
        <v>0</v>
      </c>
      <c r="AG34" s="21">
        <v>0</v>
      </c>
      <c r="AH34" s="21">
        <v>0</v>
      </c>
      <c r="AI34" s="124">
        <f>SUM(V34:AH34)</f>
        <v>0</v>
      </c>
      <c r="AJ34" s="133"/>
      <c r="AK34" s="297" t="s">
        <v>40</v>
      </c>
      <c r="AL34" s="304" t="s">
        <v>9</v>
      </c>
      <c r="AM34" s="19" t="s">
        <v>24</v>
      </c>
      <c r="AN34" s="8">
        <v>0</v>
      </c>
      <c r="AO34" s="33">
        <v>0</v>
      </c>
      <c r="AP34" s="4">
        <v>0</v>
      </c>
      <c r="AQ34" s="5">
        <v>0</v>
      </c>
      <c r="AR34" s="6">
        <v>0</v>
      </c>
      <c r="AS34" s="84">
        <v>0</v>
      </c>
      <c r="AT34" s="7">
        <v>0</v>
      </c>
      <c r="AU34" s="34">
        <v>0</v>
      </c>
      <c r="AV34" s="9">
        <v>0</v>
      </c>
      <c r="AW34" s="10">
        <v>0</v>
      </c>
      <c r="AX34" s="86">
        <v>0</v>
      </c>
      <c r="AY34" s="21">
        <v>0</v>
      </c>
      <c r="AZ34" s="21">
        <v>0</v>
      </c>
      <c r="BA34" s="124">
        <f>SUM(AN34:AZ34)</f>
        <v>0</v>
      </c>
      <c r="BB34" s="133"/>
      <c r="BC34" s="297" t="s">
        <v>40</v>
      </c>
      <c r="BD34" s="304" t="s">
        <v>9</v>
      </c>
      <c r="BE34" s="19" t="s">
        <v>24</v>
      </c>
      <c r="BF34" s="8">
        <v>0</v>
      </c>
      <c r="BG34" s="33">
        <v>0</v>
      </c>
      <c r="BH34" s="4">
        <v>0</v>
      </c>
      <c r="BI34" s="5">
        <v>0</v>
      </c>
      <c r="BJ34" s="6">
        <v>0</v>
      </c>
      <c r="BK34" s="84">
        <v>0</v>
      </c>
      <c r="BL34" s="7">
        <v>0</v>
      </c>
      <c r="BM34" s="34">
        <v>0</v>
      </c>
      <c r="BN34" s="9">
        <v>0</v>
      </c>
      <c r="BO34" s="10">
        <v>0</v>
      </c>
      <c r="BP34" s="86">
        <v>0</v>
      </c>
      <c r="BQ34" s="21">
        <v>0</v>
      </c>
      <c r="BR34" s="21">
        <v>0</v>
      </c>
      <c r="BS34" s="124">
        <f>SUM(BF34:BR34)</f>
        <v>0</v>
      </c>
      <c r="BT34" s="133"/>
      <c r="BU34" s="297" t="s">
        <v>40</v>
      </c>
      <c r="BV34" s="304" t="s">
        <v>9</v>
      </c>
      <c r="BW34" s="19" t="s">
        <v>24</v>
      </c>
      <c r="BX34" s="8">
        <v>0</v>
      </c>
      <c r="BY34" s="33">
        <v>0</v>
      </c>
      <c r="BZ34" s="4">
        <v>0</v>
      </c>
      <c r="CA34" s="5">
        <v>0</v>
      </c>
      <c r="CB34" s="6">
        <v>0</v>
      </c>
      <c r="CC34" s="84">
        <v>0</v>
      </c>
      <c r="CD34" s="7">
        <v>0</v>
      </c>
      <c r="CE34" s="34">
        <v>0</v>
      </c>
      <c r="CF34" s="9">
        <v>0</v>
      </c>
      <c r="CG34" s="10">
        <v>0</v>
      </c>
      <c r="CH34" s="86">
        <v>0</v>
      </c>
      <c r="CI34" s="21">
        <v>0</v>
      </c>
      <c r="CJ34" s="21">
        <v>0</v>
      </c>
      <c r="CK34" s="124">
        <f>SUM(BX34:CJ34)</f>
        <v>0</v>
      </c>
      <c r="CL34" s="133"/>
      <c r="CM34" s="297" t="s">
        <v>40</v>
      </c>
      <c r="CN34" s="304" t="s">
        <v>9</v>
      </c>
      <c r="CO34" s="19" t="s">
        <v>24</v>
      </c>
      <c r="CP34" s="168">
        <v>0</v>
      </c>
      <c r="CQ34" s="169">
        <v>0</v>
      </c>
      <c r="CR34" s="170">
        <v>0</v>
      </c>
      <c r="CS34" s="170">
        <v>0</v>
      </c>
      <c r="CT34" s="170">
        <v>0</v>
      </c>
      <c r="CU34" s="171">
        <v>0</v>
      </c>
      <c r="CV34" s="169">
        <v>0</v>
      </c>
      <c r="CW34" s="170">
        <v>0</v>
      </c>
      <c r="CX34" s="169">
        <v>0</v>
      </c>
      <c r="CY34" s="170">
        <v>0</v>
      </c>
      <c r="CZ34" s="172">
        <v>0</v>
      </c>
      <c r="DA34" s="173">
        <v>0</v>
      </c>
      <c r="DB34" s="173">
        <v>0</v>
      </c>
      <c r="DC34" s="24">
        <f>SUM(CP34:DB34)</f>
        <v>0</v>
      </c>
      <c r="DD34" s="107"/>
      <c r="DE34" s="297" t="s">
        <v>40</v>
      </c>
      <c r="DF34" s="304" t="s">
        <v>9</v>
      </c>
      <c r="DG34" s="19" t="s">
        <v>24</v>
      </c>
      <c r="DH34" s="168">
        <v>0</v>
      </c>
      <c r="DI34" s="169">
        <v>0</v>
      </c>
      <c r="DJ34" s="170">
        <v>0</v>
      </c>
      <c r="DK34" s="170">
        <v>0</v>
      </c>
      <c r="DL34" s="170">
        <v>0</v>
      </c>
      <c r="DM34" s="171">
        <v>0</v>
      </c>
      <c r="DN34" s="169">
        <v>0</v>
      </c>
      <c r="DO34" s="170">
        <v>0</v>
      </c>
      <c r="DP34" s="169">
        <v>0</v>
      </c>
      <c r="DQ34" s="170">
        <v>0</v>
      </c>
      <c r="DR34" s="172">
        <v>0</v>
      </c>
      <c r="DS34" s="173">
        <v>0</v>
      </c>
      <c r="DT34" s="173">
        <v>0</v>
      </c>
      <c r="DU34" s="211">
        <v>0</v>
      </c>
      <c r="DV34" s="107"/>
      <c r="DW34" s="297" t="s">
        <v>40</v>
      </c>
      <c r="DX34" s="304" t="s">
        <v>9</v>
      </c>
      <c r="DY34" s="19" t="s">
        <v>24</v>
      </c>
      <c r="DZ34" s="233">
        <v>0</v>
      </c>
      <c r="EA34" s="234">
        <v>0</v>
      </c>
      <c r="EB34" s="261">
        <v>0</v>
      </c>
      <c r="EC34" s="262">
        <v>0</v>
      </c>
      <c r="ED34" s="263">
        <v>0</v>
      </c>
      <c r="EE34" s="264">
        <v>0</v>
      </c>
      <c r="EF34" s="265">
        <v>0</v>
      </c>
      <c r="EG34" s="239">
        <v>0</v>
      </c>
      <c r="EH34" s="240">
        <v>0</v>
      </c>
      <c r="EI34" s="241">
        <v>0</v>
      </c>
      <c r="EJ34" s="242">
        <v>0</v>
      </c>
      <c r="EK34" s="243">
        <v>0</v>
      </c>
      <c r="EL34" s="243">
        <v>0</v>
      </c>
      <c r="EM34" s="223">
        <f t="shared" ref="EM34:EM35" si="143">SUM(DZ34:EL34)</f>
        <v>0</v>
      </c>
      <c r="EN34" s="107"/>
      <c r="EO34" s="297" t="s">
        <v>40</v>
      </c>
      <c r="EP34" s="304" t="s">
        <v>9</v>
      </c>
      <c r="EQ34" s="19" t="s">
        <v>24</v>
      </c>
      <c r="ER34" s="8">
        <v>0</v>
      </c>
      <c r="ES34" s="33">
        <v>0</v>
      </c>
      <c r="ET34" s="4">
        <v>0</v>
      </c>
      <c r="EU34" s="5">
        <v>0</v>
      </c>
      <c r="EV34" s="6">
        <v>0</v>
      </c>
      <c r="EW34" s="84">
        <v>0</v>
      </c>
      <c r="EX34" s="7">
        <v>0</v>
      </c>
      <c r="EY34" s="34">
        <v>0</v>
      </c>
      <c r="EZ34" s="9">
        <v>0</v>
      </c>
      <c r="FA34" s="10">
        <v>0</v>
      </c>
      <c r="FB34" s="86">
        <v>0</v>
      </c>
      <c r="FC34" s="21">
        <v>0</v>
      </c>
      <c r="FD34" s="21">
        <v>0</v>
      </c>
      <c r="FE34" s="24">
        <f>SUM(ER34:FD34)</f>
        <v>0</v>
      </c>
      <c r="FF34" s="107"/>
      <c r="FG34" s="297" t="s">
        <v>40</v>
      </c>
      <c r="FH34" s="304" t="s">
        <v>9</v>
      </c>
      <c r="FI34" s="19" t="s">
        <v>24</v>
      </c>
      <c r="FJ34" s="157">
        <v>92</v>
      </c>
      <c r="FK34" s="158">
        <v>0</v>
      </c>
      <c r="FL34" s="159">
        <v>0</v>
      </c>
      <c r="FM34" s="159">
        <v>0</v>
      </c>
      <c r="FN34" s="159">
        <v>0</v>
      </c>
      <c r="FO34" s="160">
        <v>0</v>
      </c>
      <c r="FP34" s="158">
        <v>0</v>
      </c>
      <c r="FQ34" s="159">
        <v>129</v>
      </c>
      <c r="FR34" s="158">
        <v>0</v>
      </c>
      <c r="FS34" s="159">
        <v>37</v>
      </c>
      <c r="FT34" s="161">
        <v>0</v>
      </c>
      <c r="FU34" s="162">
        <v>2</v>
      </c>
      <c r="FV34" s="162">
        <v>0</v>
      </c>
      <c r="FW34" s="209">
        <v>260</v>
      </c>
      <c r="FX34" s="107"/>
      <c r="FY34" s="297" t="s">
        <v>40</v>
      </c>
      <c r="FZ34" s="304" t="s">
        <v>9</v>
      </c>
      <c r="GA34" s="19" t="s">
        <v>24</v>
      </c>
      <c r="GB34" s="8">
        <v>0</v>
      </c>
      <c r="GC34" s="33">
        <v>0</v>
      </c>
      <c r="GD34" s="4">
        <v>0</v>
      </c>
      <c r="GE34" s="5">
        <v>0</v>
      </c>
      <c r="GF34" s="6">
        <v>0</v>
      </c>
      <c r="GG34" s="84">
        <v>0</v>
      </c>
      <c r="GH34" s="7">
        <v>0</v>
      </c>
      <c r="GI34" s="34">
        <v>0</v>
      </c>
      <c r="GJ34" s="9">
        <v>0</v>
      </c>
      <c r="GK34" s="10">
        <v>0</v>
      </c>
      <c r="GL34" s="86">
        <v>0</v>
      </c>
      <c r="GM34" s="21">
        <v>0</v>
      </c>
      <c r="GN34" s="21">
        <v>0</v>
      </c>
      <c r="GO34" s="24">
        <f>SUM(GB34:GN34)</f>
        <v>0</v>
      </c>
      <c r="GP34" s="107"/>
      <c r="GQ34" s="297" t="s">
        <v>40</v>
      </c>
      <c r="GR34" s="304" t="s">
        <v>9</v>
      </c>
      <c r="GS34" s="19" t="s">
        <v>24</v>
      </c>
      <c r="GT34" s="8">
        <v>0</v>
      </c>
      <c r="GU34" s="33">
        <v>0</v>
      </c>
      <c r="GV34" s="4">
        <v>0</v>
      </c>
      <c r="GW34" s="5">
        <v>0</v>
      </c>
      <c r="GX34" s="6">
        <v>0</v>
      </c>
      <c r="GY34" s="84">
        <v>0</v>
      </c>
      <c r="GZ34" s="7">
        <v>0</v>
      </c>
      <c r="HA34" s="34">
        <v>0</v>
      </c>
      <c r="HB34" s="9">
        <v>0</v>
      </c>
      <c r="HC34" s="10">
        <v>0</v>
      </c>
      <c r="HD34" s="86">
        <v>0</v>
      </c>
      <c r="HE34" s="21">
        <v>0</v>
      </c>
      <c r="HF34" s="21">
        <v>0</v>
      </c>
      <c r="HG34" s="24">
        <f>SUM(GT34:HF34)</f>
        <v>0</v>
      </c>
      <c r="HH34" s="107"/>
      <c r="HI34" s="297" t="str">
        <f>GQ34</f>
        <v>الروابي</v>
      </c>
      <c r="HJ34" s="304" t="s">
        <v>9</v>
      </c>
      <c r="HK34" s="19" t="s">
        <v>24</v>
      </c>
      <c r="HL34" s="8">
        <f t="shared" ref="HL34:HL35" si="144">SUM(D34+V34+AN34+BF34+BX34+CP34+DH34+DZ34+ER34+FJ34+GB34+GT34)</f>
        <v>92</v>
      </c>
      <c r="HM34" s="9">
        <f t="shared" ref="HM34:HM35" si="145">SUM(E34+W34+AO34+BG34+BY34+CQ34+DI34+EA34+ES34+FK34+GC34+GU34)</f>
        <v>0</v>
      </c>
      <c r="HN34" s="34">
        <f t="shared" ref="HN34:HN35" si="146">SUM(F34+X34+AP34+BH34+BZ34+CR34+DJ34+EB34+ET34+FL34+GD34+GV34)</f>
        <v>0</v>
      </c>
      <c r="HO34" s="35">
        <f t="shared" ref="HO34:HO35" si="147">SUM(G34+Y34+AQ34+BI34+CA34+CS34+DK34+EC34+EU34+FM34+GE34+GW34)</f>
        <v>0</v>
      </c>
      <c r="HP34" s="35">
        <f t="shared" ref="HP34:HP35" si="148">SUM(H34+Z34+AR34+BJ34+CB34+CT34+DL34+ED34+EV34+FN34+GF34+GX34)</f>
        <v>0</v>
      </c>
      <c r="HQ34" s="46">
        <f t="shared" ref="HQ34:HQ35" si="149">SUM(I34+AA34+AS34+BK34+CC34+CU34+DM34+EE34+EW34+FO34+GG34+GY34)</f>
        <v>0</v>
      </c>
      <c r="HR34" s="9">
        <f t="shared" ref="HR34:HR35" si="150">SUM(J34+AB34+AT34+BL34+CD34+CV34+DN34+EF34+EX34+FP34+GH34+GZ34)</f>
        <v>0</v>
      </c>
      <c r="HS34" s="34">
        <f t="shared" ref="HS34:HS35" si="151">SUM(K34+AC34+AU34+BM34+CE34+CW34+DO34+EG34+EY34+FQ34+GI34+HA34)</f>
        <v>129</v>
      </c>
      <c r="HT34" s="9">
        <f t="shared" ref="HT34:HT35" si="152">SUM(L34+AD34+AV34+BN34+CF34+CX34+DP34+EH34+EZ34+FR34+GJ34+HB34)</f>
        <v>0</v>
      </c>
      <c r="HU34" s="34">
        <f t="shared" ref="HU34:HU35" si="153">SUM(M34+AE34+AW34+BO34+CG34+CY34+DQ34+EI34+FA34+FS34+GK34+HC34)</f>
        <v>37</v>
      </c>
      <c r="HV34" s="47">
        <f t="shared" ref="HV34:HV35" si="154">SUM(N34+AF34+AX34+BP34+CH34+CZ34+DR34+EJ34+FB34+FT34+GL34+HD34)</f>
        <v>0</v>
      </c>
      <c r="HW34" s="44">
        <f t="shared" ref="HW34:HW35" si="155">SUM(O34+AG34+AY34+BQ34+CI34+DA34+DS34+EK34+FC34+FU34+GM34+HE34)</f>
        <v>2</v>
      </c>
      <c r="HX34" s="44">
        <f t="shared" ref="HX34:HX35" si="156">SUM(P34+AH34+AZ34+BR34+CJ34+DB34+DT34+EL34+FD34+FV34+GN34+HF34)</f>
        <v>0</v>
      </c>
      <c r="HY34" s="38">
        <f>SUM(HL34:HX34)</f>
        <v>260</v>
      </c>
      <c r="HZ34" s="28"/>
    </row>
    <row r="35" spans="1:244" s="11" customFormat="1" ht="20.100000000000001" customHeight="1" thickBot="1" x14ac:dyDescent="0.25">
      <c r="A35" s="298"/>
      <c r="B35" s="305"/>
      <c r="C35" s="20" t="s">
        <v>25</v>
      </c>
      <c r="D35" s="12">
        <v>0</v>
      </c>
      <c r="E35" s="18">
        <v>0</v>
      </c>
      <c r="F35" s="12">
        <v>0</v>
      </c>
      <c r="G35" s="13">
        <v>0</v>
      </c>
      <c r="H35" s="15">
        <v>0</v>
      </c>
      <c r="I35" s="15">
        <v>0</v>
      </c>
      <c r="J35" s="16">
        <v>0</v>
      </c>
      <c r="K35" s="17">
        <v>0</v>
      </c>
      <c r="L35" s="14">
        <v>0</v>
      </c>
      <c r="M35" s="17">
        <v>0</v>
      </c>
      <c r="N35" s="18">
        <v>0</v>
      </c>
      <c r="O35" s="22">
        <v>0</v>
      </c>
      <c r="P35" s="22">
        <v>0</v>
      </c>
      <c r="Q35" s="125">
        <f>SUM(D35:P35)</f>
        <v>0</v>
      </c>
      <c r="R35" s="133"/>
      <c r="S35" s="298"/>
      <c r="T35" s="305"/>
      <c r="U35" s="20" t="s">
        <v>25</v>
      </c>
      <c r="V35" s="12">
        <v>0</v>
      </c>
      <c r="W35" s="18">
        <v>0</v>
      </c>
      <c r="X35" s="12">
        <v>0</v>
      </c>
      <c r="Y35" s="13">
        <v>0</v>
      </c>
      <c r="Z35" s="15">
        <v>0</v>
      </c>
      <c r="AA35" s="15">
        <v>0</v>
      </c>
      <c r="AB35" s="16">
        <v>0</v>
      </c>
      <c r="AC35" s="17">
        <v>0</v>
      </c>
      <c r="AD35" s="14">
        <v>0</v>
      </c>
      <c r="AE35" s="17">
        <v>0</v>
      </c>
      <c r="AF35" s="18">
        <v>0</v>
      </c>
      <c r="AG35" s="22">
        <v>0</v>
      </c>
      <c r="AH35" s="22">
        <v>0</v>
      </c>
      <c r="AI35" s="125">
        <f>SUM(V35:AH35)</f>
        <v>0</v>
      </c>
      <c r="AJ35" s="133"/>
      <c r="AK35" s="298"/>
      <c r="AL35" s="305"/>
      <c r="AM35" s="20" t="s">
        <v>25</v>
      </c>
      <c r="AN35" s="12">
        <v>0</v>
      </c>
      <c r="AO35" s="18">
        <v>0</v>
      </c>
      <c r="AP35" s="12">
        <v>0</v>
      </c>
      <c r="AQ35" s="13">
        <v>0</v>
      </c>
      <c r="AR35" s="15">
        <v>0</v>
      </c>
      <c r="AS35" s="15">
        <v>0</v>
      </c>
      <c r="AT35" s="16">
        <v>0</v>
      </c>
      <c r="AU35" s="17">
        <v>0</v>
      </c>
      <c r="AV35" s="14">
        <v>0</v>
      </c>
      <c r="AW35" s="17">
        <v>0</v>
      </c>
      <c r="AX35" s="18">
        <v>0</v>
      </c>
      <c r="AY35" s="22">
        <v>0</v>
      </c>
      <c r="AZ35" s="22">
        <v>0</v>
      </c>
      <c r="BA35" s="125">
        <f>SUM(AN35:AZ35)</f>
        <v>0</v>
      </c>
      <c r="BB35" s="133"/>
      <c r="BC35" s="298"/>
      <c r="BD35" s="305"/>
      <c r="BE35" s="20" t="s">
        <v>25</v>
      </c>
      <c r="BF35" s="12">
        <v>0</v>
      </c>
      <c r="BG35" s="18">
        <v>0</v>
      </c>
      <c r="BH35" s="12">
        <v>0</v>
      </c>
      <c r="BI35" s="13">
        <v>0</v>
      </c>
      <c r="BJ35" s="15">
        <v>0</v>
      </c>
      <c r="BK35" s="15">
        <v>0</v>
      </c>
      <c r="BL35" s="16">
        <v>0</v>
      </c>
      <c r="BM35" s="17">
        <v>0</v>
      </c>
      <c r="BN35" s="14">
        <v>0</v>
      </c>
      <c r="BO35" s="17">
        <v>0</v>
      </c>
      <c r="BP35" s="18">
        <v>0</v>
      </c>
      <c r="BQ35" s="22">
        <v>0</v>
      </c>
      <c r="BR35" s="22">
        <v>0</v>
      </c>
      <c r="BS35" s="125">
        <f>SUM(BF35:BR35)</f>
        <v>0</v>
      </c>
      <c r="BT35" s="133"/>
      <c r="BU35" s="298"/>
      <c r="BV35" s="305"/>
      <c r="BW35" s="20" t="s">
        <v>25</v>
      </c>
      <c r="BX35" s="12">
        <v>0</v>
      </c>
      <c r="BY35" s="18">
        <v>0</v>
      </c>
      <c r="BZ35" s="12">
        <v>0</v>
      </c>
      <c r="CA35" s="13">
        <v>0</v>
      </c>
      <c r="CB35" s="15">
        <v>0</v>
      </c>
      <c r="CC35" s="15">
        <v>0</v>
      </c>
      <c r="CD35" s="16">
        <v>0</v>
      </c>
      <c r="CE35" s="17">
        <v>0</v>
      </c>
      <c r="CF35" s="14">
        <v>0</v>
      </c>
      <c r="CG35" s="17">
        <v>0</v>
      </c>
      <c r="CH35" s="18">
        <v>0</v>
      </c>
      <c r="CI35" s="22">
        <v>0</v>
      </c>
      <c r="CJ35" s="22">
        <v>0</v>
      </c>
      <c r="CK35" s="125">
        <f>SUM(BX35:CJ35)</f>
        <v>0</v>
      </c>
      <c r="CL35" s="133"/>
      <c r="CM35" s="298"/>
      <c r="CN35" s="305"/>
      <c r="CO35" s="20" t="s">
        <v>25</v>
      </c>
      <c r="CP35" s="163">
        <v>0</v>
      </c>
      <c r="CQ35" s="164">
        <v>0</v>
      </c>
      <c r="CR35" s="165">
        <v>0</v>
      </c>
      <c r="CS35" s="165">
        <v>0</v>
      </c>
      <c r="CT35" s="165">
        <v>0</v>
      </c>
      <c r="CU35" s="165">
        <v>0</v>
      </c>
      <c r="CV35" s="164">
        <v>0</v>
      </c>
      <c r="CW35" s="165">
        <v>0</v>
      </c>
      <c r="CX35" s="164">
        <v>0</v>
      </c>
      <c r="CY35" s="165">
        <v>0</v>
      </c>
      <c r="CZ35" s="164">
        <v>0</v>
      </c>
      <c r="DA35" s="166">
        <v>0</v>
      </c>
      <c r="DB35" s="166">
        <v>0</v>
      </c>
      <c r="DC35" s="25">
        <f>SUM(CP35:DB35)</f>
        <v>0</v>
      </c>
      <c r="DD35" s="107"/>
      <c r="DE35" s="298"/>
      <c r="DF35" s="305"/>
      <c r="DG35" s="20" t="s">
        <v>25</v>
      </c>
      <c r="DH35" s="163">
        <v>0</v>
      </c>
      <c r="DI35" s="164">
        <v>0</v>
      </c>
      <c r="DJ35" s="165">
        <v>0</v>
      </c>
      <c r="DK35" s="165">
        <v>0</v>
      </c>
      <c r="DL35" s="165">
        <v>0</v>
      </c>
      <c r="DM35" s="165">
        <v>0</v>
      </c>
      <c r="DN35" s="164">
        <v>0</v>
      </c>
      <c r="DO35" s="165">
        <v>0</v>
      </c>
      <c r="DP35" s="164">
        <v>0</v>
      </c>
      <c r="DQ35" s="165">
        <v>0</v>
      </c>
      <c r="DR35" s="164">
        <v>0</v>
      </c>
      <c r="DS35" s="166">
        <v>0</v>
      </c>
      <c r="DT35" s="166">
        <v>0</v>
      </c>
      <c r="DU35" s="167">
        <v>0</v>
      </c>
      <c r="DV35" s="107"/>
      <c r="DW35" s="298"/>
      <c r="DX35" s="305"/>
      <c r="DY35" s="20" t="s">
        <v>25</v>
      </c>
      <c r="DZ35" s="244">
        <v>0</v>
      </c>
      <c r="EA35" s="245">
        <v>0</v>
      </c>
      <c r="EB35" s="244">
        <v>0</v>
      </c>
      <c r="EC35" s="246">
        <v>0</v>
      </c>
      <c r="ED35" s="247">
        <v>0</v>
      </c>
      <c r="EE35" s="247">
        <v>0</v>
      </c>
      <c r="EF35" s="248">
        <v>0</v>
      </c>
      <c r="EG35" s="249">
        <v>0</v>
      </c>
      <c r="EH35" s="250">
        <v>0</v>
      </c>
      <c r="EI35" s="249">
        <v>0</v>
      </c>
      <c r="EJ35" s="245">
        <v>0</v>
      </c>
      <c r="EK35" s="251">
        <v>0</v>
      </c>
      <c r="EL35" s="251">
        <v>0</v>
      </c>
      <c r="EM35" s="228">
        <f t="shared" si="143"/>
        <v>0</v>
      </c>
      <c r="EN35" s="107"/>
      <c r="EO35" s="298"/>
      <c r="EP35" s="305"/>
      <c r="EQ35" s="20" t="s">
        <v>25</v>
      </c>
      <c r="ER35" s="12">
        <v>0</v>
      </c>
      <c r="ES35" s="18">
        <v>0</v>
      </c>
      <c r="ET35" s="12">
        <v>0</v>
      </c>
      <c r="EU35" s="13">
        <v>0</v>
      </c>
      <c r="EV35" s="15">
        <v>0</v>
      </c>
      <c r="EW35" s="15">
        <v>0</v>
      </c>
      <c r="EX35" s="16">
        <v>0</v>
      </c>
      <c r="EY35" s="17">
        <v>0</v>
      </c>
      <c r="EZ35" s="14">
        <v>0</v>
      </c>
      <c r="FA35" s="17">
        <v>0</v>
      </c>
      <c r="FB35" s="18">
        <v>0</v>
      </c>
      <c r="FC35" s="22">
        <v>0</v>
      </c>
      <c r="FD35" s="22">
        <v>0</v>
      </c>
      <c r="FE35" s="25">
        <f>SUM(ER35:FD35)</f>
        <v>0</v>
      </c>
      <c r="FF35" s="107"/>
      <c r="FG35" s="298"/>
      <c r="FH35" s="305"/>
      <c r="FI35" s="20" t="s">
        <v>25</v>
      </c>
      <c r="FJ35" s="163">
        <v>105</v>
      </c>
      <c r="FK35" s="164">
        <v>0</v>
      </c>
      <c r="FL35" s="165">
        <v>0</v>
      </c>
      <c r="FM35" s="165">
        <v>0</v>
      </c>
      <c r="FN35" s="165">
        <v>0</v>
      </c>
      <c r="FO35" s="165">
        <v>0</v>
      </c>
      <c r="FP35" s="164">
        <v>0</v>
      </c>
      <c r="FQ35" s="165">
        <v>177</v>
      </c>
      <c r="FR35" s="164">
        <v>0</v>
      </c>
      <c r="FS35" s="165">
        <v>52</v>
      </c>
      <c r="FT35" s="164">
        <v>0</v>
      </c>
      <c r="FU35" s="166">
        <v>7</v>
      </c>
      <c r="FV35" s="166">
        <v>0</v>
      </c>
      <c r="FW35" s="167">
        <v>341</v>
      </c>
      <c r="FX35" s="107"/>
      <c r="FY35" s="298"/>
      <c r="FZ35" s="305"/>
      <c r="GA35" s="20" t="s">
        <v>25</v>
      </c>
      <c r="GB35" s="12">
        <v>0</v>
      </c>
      <c r="GC35" s="18">
        <v>0</v>
      </c>
      <c r="GD35" s="12">
        <v>0</v>
      </c>
      <c r="GE35" s="13">
        <v>0</v>
      </c>
      <c r="GF35" s="15">
        <v>0</v>
      </c>
      <c r="GG35" s="15">
        <v>0</v>
      </c>
      <c r="GH35" s="16">
        <v>0</v>
      </c>
      <c r="GI35" s="17">
        <v>0</v>
      </c>
      <c r="GJ35" s="14">
        <v>0</v>
      </c>
      <c r="GK35" s="17">
        <v>0</v>
      </c>
      <c r="GL35" s="18">
        <v>0</v>
      </c>
      <c r="GM35" s="22">
        <v>0</v>
      </c>
      <c r="GN35" s="22">
        <v>0</v>
      </c>
      <c r="GO35" s="25">
        <f>SUM(GB35:GN35)</f>
        <v>0</v>
      </c>
      <c r="GP35" s="107"/>
      <c r="GQ35" s="298"/>
      <c r="GR35" s="305"/>
      <c r="GS35" s="20" t="s">
        <v>25</v>
      </c>
      <c r="GT35" s="12">
        <v>0</v>
      </c>
      <c r="GU35" s="18">
        <v>0</v>
      </c>
      <c r="GV35" s="12">
        <v>0</v>
      </c>
      <c r="GW35" s="13">
        <v>0</v>
      </c>
      <c r="GX35" s="15">
        <v>0</v>
      </c>
      <c r="GY35" s="15">
        <v>0</v>
      </c>
      <c r="GZ35" s="16">
        <v>0</v>
      </c>
      <c r="HA35" s="17">
        <v>0</v>
      </c>
      <c r="HB35" s="14">
        <v>0</v>
      </c>
      <c r="HC35" s="17">
        <v>0</v>
      </c>
      <c r="HD35" s="18">
        <v>0</v>
      </c>
      <c r="HE35" s="22">
        <v>0</v>
      </c>
      <c r="HF35" s="22">
        <v>0</v>
      </c>
      <c r="HG35" s="25">
        <f>SUM(GT35:HF35)</f>
        <v>0</v>
      </c>
      <c r="HH35" s="107"/>
      <c r="HI35" s="298"/>
      <c r="HJ35" s="305"/>
      <c r="HK35" s="20" t="s">
        <v>25</v>
      </c>
      <c r="HL35" s="12">
        <f t="shared" si="144"/>
        <v>105</v>
      </c>
      <c r="HM35" s="14">
        <f t="shared" si="145"/>
        <v>0</v>
      </c>
      <c r="HN35" s="17">
        <f t="shared" si="146"/>
        <v>0</v>
      </c>
      <c r="HO35" s="13">
        <f t="shared" si="147"/>
        <v>0</v>
      </c>
      <c r="HP35" s="13">
        <f t="shared" si="148"/>
        <v>0</v>
      </c>
      <c r="HQ35" s="13">
        <f t="shared" si="149"/>
        <v>0</v>
      </c>
      <c r="HR35" s="14">
        <f t="shared" si="150"/>
        <v>0</v>
      </c>
      <c r="HS35" s="17">
        <f t="shared" si="151"/>
        <v>177</v>
      </c>
      <c r="HT35" s="14">
        <f t="shared" si="152"/>
        <v>0</v>
      </c>
      <c r="HU35" s="17">
        <f t="shared" si="153"/>
        <v>52</v>
      </c>
      <c r="HV35" s="14">
        <f t="shared" si="154"/>
        <v>0</v>
      </c>
      <c r="HW35" s="45">
        <f t="shared" si="155"/>
        <v>7</v>
      </c>
      <c r="HX35" s="45">
        <f t="shared" si="156"/>
        <v>0</v>
      </c>
      <c r="HY35" s="39">
        <f>SUM(HL35:HX35)</f>
        <v>341</v>
      </c>
      <c r="HZ35" s="28"/>
    </row>
    <row r="36" spans="1:244" s="11" customFormat="1" ht="20.100000000000001" customHeight="1" thickTop="1" thickBot="1" x14ac:dyDescent="0.25">
      <c r="A36" s="298"/>
      <c r="B36" s="295" t="s">
        <v>26</v>
      </c>
      <c r="C36" s="296"/>
      <c r="D36" s="306">
        <f>SUM(D34:E35)</f>
        <v>0</v>
      </c>
      <c r="E36" s="307"/>
      <c r="F36" s="306">
        <f>SUM(F34:J35)</f>
        <v>0</v>
      </c>
      <c r="G36" s="368"/>
      <c r="H36" s="368"/>
      <c r="I36" s="368"/>
      <c r="J36" s="307"/>
      <c r="K36" s="306">
        <f>SUM(K34:L35)</f>
        <v>0</v>
      </c>
      <c r="L36" s="307"/>
      <c r="M36" s="306">
        <f>SUM(M34:N35)</f>
        <v>0</v>
      </c>
      <c r="N36" s="307"/>
      <c r="O36" s="94">
        <f>SUM(O34:O35)</f>
        <v>0</v>
      </c>
      <c r="P36" s="94">
        <f>SUM(P34:P35)</f>
        <v>0</v>
      </c>
      <c r="Q36" s="126">
        <f>SUM(Q34:Q35)</f>
        <v>0</v>
      </c>
      <c r="R36" s="133"/>
      <c r="S36" s="298"/>
      <c r="T36" s="295" t="s">
        <v>26</v>
      </c>
      <c r="U36" s="296"/>
      <c r="V36" s="306">
        <f>SUM(V34:W35)</f>
        <v>0</v>
      </c>
      <c r="W36" s="307"/>
      <c r="X36" s="306">
        <f>SUM(X34:AB35)</f>
        <v>0</v>
      </c>
      <c r="Y36" s="368"/>
      <c r="Z36" s="368"/>
      <c r="AA36" s="368"/>
      <c r="AB36" s="307"/>
      <c r="AC36" s="306">
        <f>SUM(AC34:AD35)</f>
        <v>0</v>
      </c>
      <c r="AD36" s="307"/>
      <c r="AE36" s="306">
        <f>SUM(AE34:AF35)</f>
        <v>0</v>
      </c>
      <c r="AF36" s="307"/>
      <c r="AG36" s="94">
        <f>SUM(AG34:AG35)</f>
        <v>0</v>
      </c>
      <c r="AH36" s="94">
        <f>SUM(AH34:AH35)</f>
        <v>0</v>
      </c>
      <c r="AI36" s="126">
        <f>SUM(AI34:AI35)</f>
        <v>0</v>
      </c>
      <c r="AJ36" s="133"/>
      <c r="AK36" s="298"/>
      <c r="AL36" s="295" t="s">
        <v>26</v>
      </c>
      <c r="AM36" s="296"/>
      <c r="AN36" s="306">
        <f>SUM(AN34:AO35)</f>
        <v>0</v>
      </c>
      <c r="AO36" s="307"/>
      <c r="AP36" s="306">
        <f>SUM(AP34:AT35)</f>
        <v>0</v>
      </c>
      <c r="AQ36" s="368"/>
      <c r="AR36" s="368"/>
      <c r="AS36" s="368"/>
      <c r="AT36" s="307"/>
      <c r="AU36" s="306">
        <f>SUM(AU34:AV35)</f>
        <v>0</v>
      </c>
      <c r="AV36" s="307"/>
      <c r="AW36" s="306">
        <f>SUM(AW34:AX35)</f>
        <v>0</v>
      </c>
      <c r="AX36" s="307"/>
      <c r="AY36" s="94">
        <f>SUM(AY34:AY35)</f>
        <v>0</v>
      </c>
      <c r="AZ36" s="94">
        <f>SUM(AZ34:AZ35)</f>
        <v>0</v>
      </c>
      <c r="BA36" s="126">
        <f>SUM(BA34:BA35)</f>
        <v>0</v>
      </c>
      <c r="BB36" s="133"/>
      <c r="BC36" s="298"/>
      <c r="BD36" s="295" t="s">
        <v>26</v>
      </c>
      <c r="BE36" s="296"/>
      <c r="BF36" s="306">
        <f>SUM(BF34:BG35)</f>
        <v>0</v>
      </c>
      <c r="BG36" s="307"/>
      <c r="BH36" s="306">
        <f>SUM(BH34:BL35)</f>
        <v>0</v>
      </c>
      <c r="BI36" s="368"/>
      <c r="BJ36" s="368"/>
      <c r="BK36" s="368"/>
      <c r="BL36" s="307"/>
      <c r="BM36" s="306">
        <f>SUM(BM34:BN35)</f>
        <v>0</v>
      </c>
      <c r="BN36" s="307"/>
      <c r="BO36" s="306">
        <f>SUM(BO34:BP35)</f>
        <v>0</v>
      </c>
      <c r="BP36" s="307"/>
      <c r="BQ36" s="94">
        <f>SUM(BQ34:BQ35)</f>
        <v>0</v>
      </c>
      <c r="BR36" s="94">
        <f>SUM(BR34:BR35)</f>
        <v>0</v>
      </c>
      <c r="BS36" s="126">
        <f>SUM(BS34:BS35)</f>
        <v>0</v>
      </c>
      <c r="BT36" s="133"/>
      <c r="BU36" s="298"/>
      <c r="BV36" s="295" t="s">
        <v>26</v>
      </c>
      <c r="BW36" s="296"/>
      <c r="BX36" s="306">
        <f>SUM(BX34:BY35)</f>
        <v>0</v>
      </c>
      <c r="BY36" s="307"/>
      <c r="BZ36" s="306">
        <f>SUM(BZ34:CD35)</f>
        <v>0</v>
      </c>
      <c r="CA36" s="368"/>
      <c r="CB36" s="368"/>
      <c r="CC36" s="368"/>
      <c r="CD36" s="307"/>
      <c r="CE36" s="306">
        <f>SUM(CE34:CF35)</f>
        <v>0</v>
      </c>
      <c r="CF36" s="307"/>
      <c r="CG36" s="306">
        <f>SUM(CG34:CH35)</f>
        <v>0</v>
      </c>
      <c r="CH36" s="307"/>
      <c r="CI36" s="94">
        <f>SUM(CI34:CI35)</f>
        <v>0</v>
      </c>
      <c r="CJ36" s="94">
        <f>SUM(CJ34:CJ35)</f>
        <v>0</v>
      </c>
      <c r="CK36" s="126">
        <f>SUM(CK34:CK35)</f>
        <v>0</v>
      </c>
      <c r="CL36" s="133"/>
      <c r="CM36" s="298"/>
      <c r="CN36" s="295" t="s">
        <v>26</v>
      </c>
      <c r="CO36" s="296"/>
      <c r="CP36" s="375">
        <v>0</v>
      </c>
      <c r="CQ36" s="377"/>
      <c r="CR36" s="375">
        <v>0</v>
      </c>
      <c r="CS36" s="376"/>
      <c r="CT36" s="376"/>
      <c r="CU36" s="376"/>
      <c r="CV36" s="377"/>
      <c r="CW36" s="375">
        <v>0</v>
      </c>
      <c r="CX36" s="377"/>
      <c r="CY36" s="375">
        <v>0</v>
      </c>
      <c r="CZ36" s="377"/>
      <c r="DA36" s="167">
        <v>0</v>
      </c>
      <c r="DB36" s="167">
        <v>0</v>
      </c>
      <c r="DC36" s="26">
        <f>SUM(DC34:DC35)</f>
        <v>0</v>
      </c>
      <c r="DD36" s="107"/>
      <c r="DE36" s="298"/>
      <c r="DF36" s="295" t="s">
        <v>26</v>
      </c>
      <c r="DG36" s="296"/>
      <c r="DH36" s="375">
        <v>0</v>
      </c>
      <c r="DI36" s="377"/>
      <c r="DJ36" s="375">
        <v>0</v>
      </c>
      <c r="DK36" s="376"/>
      <c r="DL36" s="376"/>
      <c r="DM36" s="376"/>
      <c r="DN36" s="377"/>
      <c r="DO36" s="375">
        <v>0</v>
      </c>
      <c r="DP36" s="377"/>
      <c r="DQ36" s="375">
        <v>0</v>
      </c>
      <c r="DR36" s="377"/>
      <c r="DS36" s="167">
        <v>0</v>
      </c>
      <c r="DT36" s="167">
        <v>0</v>
      </c>
      <c r="DU36" s="210">
        <v>0</v>
      </c>
      <c r="DV36" s="107"/>
      <c r="DW36" s="298"/>
      <c r="DX36" s="295" t="s">
        <v>26</v>
      </c>
      <c r="DY36" s="296"/>
      <c r="DZ36" s="359">
        <f>SUM(DZ34:EA35)</f>
        <v>0</v>
      </c>
      <c r="EA36" s="361"/>
      <c r="EB36" s="359">
        <f>SUM(EB34:EF35)</f>
        <v>0</v>
      </c>
      <c r="EC36" s="360"/>
      <c r="ED36" s="360"/>
      <c r="EE36" s="360"/>
      <c r="EF36" s="361"/>
      <c r="EG36" s="359">
        <f>SUM(EG34:EH35)</f>
        <v>0</v>
      </c>
      <c r="EH36" s="361"/>
      <c r="EI36" s="359">
        <f>SUM(EI34:EJ35)</f>
        <v>0</v>
      </c>
      <c r="EJ36" s="361"/>
      <c r="EK36" s="229">
        <f t="shared" ref="EK36:EM36" si="157">SUM(EK34:EK35)</f>
        <v>0</v>
      </c>
      <c r="EL36" s="229">
        <f t="shared" si="157"/>
        <v>0</v>
      </c>
      <c r="EM36" s="230">
        <f t="shared" si="157"/>
        <v>0</v>
      </c>
      <c r="EN36" s="107"/>
      <c r="EO36" s="298"/>
      <c r="EP36" s="295" t="s">
        <v>26</v>
      </c>
      <c r="EQ36" s="296"/>
      <c r="ER36" s="306">
        <f>SUM(ER34:ES35)</f>
        <v>0</v>
      </c>
      <c r="ES36" s="307"/>
      <c r="ET36" s="306">
        <f>SUM(ET34:EX35)</f>
        <v>0</v>
      </c>
      <c r="EU36" s="368"/>
      <c r="EV36" s="368"/>
      <c r="EW36" s="368"/>
      <c r="EX36" s="307"/>
      <c r="EY36" s="306">
        <f>SUM(EY34:EZ35)</f>
        <v>0</v>
      </c>
      <c r="EZ36" s="307"/>
      <c r="FA36" s="306">
        <f>SUM(FA34:FB35)</f>
        <v>0</v>
      </c>
      <c r="FB36" s="307"/>
      <c r="FC36" s="94">
        <f>SUM(FC34:FC35)</f>
        <v>0</v>
      </c>
      <c r="FD36" s="94">
        <f>SUM(FD34:FD35)</f>
        <v>0</v>
      </c>
      <c r="FE36" s="26">
        <f>SUM(FE34:FE35)</f>
        <v>0</v>
      </c>
      <c r="FF36" s="107"/>
      <c r="FG36" s="298"/>
      <c r="FH36" s="295" t="s">
        <v>26</v>
      </c>
      <c r="FI36" s="296"/>
      <c r="FJ36" s="375">
        <v>197</v>
      </c>
      <c r="FK36" s="377"/>
      <c r="FL36" s="375">
        <v>0</v>
      </c>
      <c r="FM36" s="376"/>
      <c r="FN36" s="376"/>
      <c r="FO36" s="376"/>
      <c r="FP36" s="377"/>
      <c r="FQ36" s="375">
        <v>306</v>
      </c>
      <c r="FR36" s="377"/>
      <c r="FS36" s="375">
        <v>89</v>
      </c>
      <c r="FT36" s="377"/>
      <c r="FU36" s="167">
        <v>9</v>
      </c>
      <c r="FV36" s="167">
        <v>0</v>
      </c>
      <c r="FW36" s="210">
        <v>601</v>
      </c>
      <c r="FX36" s="107"/>
      <c r="FY36" s="298"/>
      <c r="FZ36" s="295" t="s">
        <v>26</v>
      </c>
      <c r="GA36" s="296"/>
      <c r="GB36" s="306">
        <f>SUM(GB34:GC35)</f>
        <v>0</v>
      </c>
      <c r="GC36" s="307"/>
      <c r="GD36" s="306">
        <f>SUM(GD34:GH35)</f>
        <v>0</v>
      </c>
      <c r="GE36" s="368"/>
      <c r="GF36" s="368"/>
      <c r="GG36" s="368"/>
      <c r="GH36" s="307"/>
      <c r="GI36" s="306">
        <f>SUM(GI34:GJ35)</f>
        <v>0</v>
      </c>
      <c r="GJ36" s="307"/>
      <c r="GK36" s="306">
        <f>SUM(GK34:GL35)</f>
        <v>0</v>
      </c>
      <c r="GL36" s="307"/>
      <c r="GM36" s="94">
        <f>SUM(GM34:GM35)</f>
        <v>0</v>
      </c>
      <c r="GN36" s="94">
        <f>SUM(GN34:GN35)</f>
        <v>0</v>
      </c>
      <c r="GO36" s="26">
        <f>SUM(GO34:GO35)</f>
        <v>0</v>
      </c>
      <c r="GP36" s="107"/>
      <c r="GQ36" s="298"/>
      <c r="GR36" s="295" t="s">
        <v>26</v>
      </c>
      <c r="GS36" s="296"/>
      <c r="GT36" s="306">
        <f>SUM(GT34:GU35)</f>
        <v>0</v>
      </c>
      <c r="GU36" s="307"/>
      <c r="GV36" s="306">
        <f>SUM(GV34:GZ35)</f>
        <v>0</v>
      </c>
      <c r="GW36" s="368"/>
      <c r="GX36" s="368"/>
      <c r="GY36" s="368"/>
      <c r="GZ36" s="307"/>
      <c r="HA36" s="306">
        <f>SUM(HA34:HB35)</f>
        <v>0</v>
      </c>
      <c r="HB36" s="307"/>
      <c r="HC36" s="306">
        <f>SUM(HC34:HD35)</f>
        <v>0</v>
      </c>
      <c r="HD36" s="307"/>
      <c r="HE36" s="94">
        <f>SUM(HE34:HE35)</f>
        <v>0</v>
      </c>
      <c r="HF36" s="94">
        <f>SUM(HF34:HF35)</f>
        <v>0</v>
      </c>
      <c r="HG36" s="26">
        <f>SUM(HG34:HG35)</f>
        <v>0</v>
      </c>
      <c r="HH36" s="107"/>
      <c r="HI36" s="298"/>
      <c r="HJ36" s="295" t="s">
        <v>26</v>
      </c>
      <c r="HK36" s="313"/>
      <c r="HL36" s="306">
        <f>SUM(HL34:HM35)</f>
        <v>197</v>
      </c>
      <c r="HM36" s="307"/>
      <c r="HN36" s="306">
        <f>SUM(HN34:HR35)</f>
        <v>0</v>
      </c>
      <c r="HO36" s="368"/>
      <c r="HP36" s="368"/>
      <c r="HQ36" s="368"/>
      <c r="HR36" s="307"/>
      <c r="HS36" s="306">
        <f>SUM(HS34:HT35)</f>
        <v>306</v>
      </c>
      <c r="HT36" s="307"/>
      <c r="HU36" s="306">
        <f>SUM(HU34:HV35)</f>
        <v>89</v>
      </c>
      <c r="HV36" s="307"/>
      <c r="HW36" s="43">
        <f>SUM(HW34:HW35)</f>
        <v>9</v>
      </c>
      <c r="HX36" s="43">
        <f>SUM(HX34:HX35)</f>
        <v>0</v>
      </c>
      <c r="HY36" s="26">
        <f>SUM(HY34:HY35)</f>
        <v>601</v>
      </c>
      <c r="HZ36" s="28"/>
    </row>
    <row r="37" spans="1:244" s="11" customFormat="1" ht="20.100000000000001" customHeight="1" thickBot="1" x14ac:dyDescent="0.25">
      <c r="A37" s="298"/>
      <c r="B37" s="311" t="s">
        <v>27</v>
      </c>
      <c r="C37" s="19" t="s">
        <v>24</v>
      </c>
      <c r="D37" s="8">
        <v>0</v>
      </c>
      <c r="E37" s="33">
        <v>0</v>
      </c>
      <c r="F37" s="8">
        <v>0</v>
      </c>
      <c r="G37" s="35">
        <v>0</v>
      </c>
      <c r="H37" s="36">
        <v>0</v>
      </c>
      <c r="I37" s="85">
        <v>0</v>
      </c>
      <c r="J37" s="37">
        <v>0</v>
      </c>
      <c r="K37" s="34">
        <v>0</v>
      </c>
      <c r="L37" s="9">
        <v>0</v>
      </c>
      <c r="M37" s="10">
        <v>0</v>
      </c>
      <c r="N37" s="86">
        <v>0</v>
      </c>
      <c r="O37" s="21">
        <v>0</v>
      </c>
      <c r="P37" s="21">
        <v>0</v>
      </c>
      <c r="Q37" s="124">
        <f>SUM(D37:P37)</f>
        <v>0</v>
      </c>
      <c r="R37" s="133"/>
      <c r="S37" s="298"/>
      <c r="T37" s="311" t="s">
        <v>27</v>
      </c>
      <c r="U37" s="19" t="s">
        <v>24</v>
      </c>
      <c r="V37" s="8">
        <v>0</v>
      </c>
      <c r="W37" s="33">
        <v>0</v>
      </c>
      <c r="X37" s="8">
        <v>0</v>
      </c>
      <c r="Y37" s="35">
        <v>0</v>
      </c>
      <c r="Z37" s="36">
        <v>0</v>
      </c>
      <c r="AA37" s="85">
        <v>0</v>
      </c>
      <c r="AB37" s="37">
        <v>0</v>
      </c>
      <c r="AC37" s="34">
        <v>0</v>
      </c>
      <c r="AD37" s="9">
        <v>0</v>
      </c>
      <c r="AE37" s="10">
        <v>0</v>
      </c>
      <c r="AF37" s="86">
        <v>0</v>
      </c>
      <c r="AG37" s="21">
        <v>0</v>
      </c>
      <c r="AH37" s="21">
        <v>0</v>
      </c>
      <c r="AI37" s="124">
        <f>SUM(V37:AH37)</f>
        <v>0</v>
      </c>
      <c r="AJ37" s="133"/>
      <c r="AK37" s="298"/>
      <c r="AL37" s="311" t="s">
        <v>27</v>
      </c>
      <c r="AM37" s="19" t="s">
        <v>24</v>
      </c>
      <c r="AN37" s="8">
        <v>0</v>
      </c>
      <c r="AO37" s="33">
        <v>0</v>
      </c>
      <c r="AP37" s="8">
        <v>0</v>
      </c>
      <c r="AQ37" s="35">
        <v>0</v>
      </c>
      <c r="AR37" s="36">
        <v>0</v>
      </c>
      <c r="AS37" s="85">
        <v>0</v>
      </c>
      <c r="AT37" s="37">
        <v>0</v>
      </c>
      <c r="AU37" s="34">
        <v>0</v>
      </c>
      <c r="AV37" s="9">
        <v>0</v>
      </c>
      <c r="AW37" s="10">
        <v>0</v>
      </c>
      <c r="AX37" s="86">
        <v>0</v>
      </c>
      <c r="AY37" s="21">
        <v>0</v>
      </c>
      <c r="AZ37" s="21">
        <v>0</v>
      </c>
      <c r="BA37" s="124">
        <f>SUM(AN37:AZ37)</f>
        <v>0</v>
      </c>
      <c r="BB37" s="133"/>
      <c r="BC37" s="298"/>
      <c r="BD37" s="311" t="s">
        <v>27</v>
      </c>
      <c r="BE37" s="19" t="s">
        <v>24</v>
      </c>
      <c r="BF37" s="8">
        <v>0</v>
      </c>
      <c r="BG37" s="33">
        <v>0</v>
      </c>
      <c r="BH37" s="8">
        <v>0</v>
      </c>
      <c r="BI37" s="35">
        <v>0</v>
      </c>
      <c r="BJ37" s="36">
        <v>0</v>
      </c>
      <c r="BK37" s="85">
        <v>0</v>
      </c>
      <c r="BL37" s="37">
        <v>0</v>
      </c>
      <c r="BM37" s="34">
        <v>0</v>
      </c>
      <c r="BN37" s="9">
        <v>0</v>
      </c>
      <c r="BO37" s="10">
        <v>0</v>
      </c>
      <c r="BP37" s="86">
        <v>0</v>
      </c>
      <c r="BQ37" s="21">
        <v>0</v>
      </c>
      <c r="BR37" s="21">
        <v>0</v>
      </c>
      <c r="BS37" s="124">
        <f>SUM(BF37:BR37)</f>
        <v>0</v>
      </c>
      <c r="BT37" s="133"/>
      <c r="BU37" s="298"/>
      <c r="BV37" s="311" t="s">
        <v>27</v>
      </c>
      <c r="BW37" s="19" t="s">
        <v>24</v>
      </c>
      <c r="BX37" s="8">
        <v>0</v>
      </c>
      <c r="BY37" s="33">
        <v>0</v>
      </c>
      <c r="BZ37" s="8">
        <v>0</v>
      </c>
      <c r="CA37" s="35">
        <v>0</v>
      </c>
      <c r="CB37" s="36">
        <v>0</v>
      </c>
      <c r="CC37" s="85">
        <v>0</v>
      </c>
      <c r="CD37" s="37">
        <v>0</v>
      </c>
      <c r="CE37" s="34">
        <v>0</v>
      </c>
      <c r="CF37" s="9">
        <v>0</v>
      </c>
      <c r="CG37" s="10">
        <v>0</v>
      </c>
      <c r="CH37" s="86">
        <v>0</v>
      </c>
      <c r="CI37" s="21">
        <v>0</v>
      </c>
      <c r="CJ37" s="21">
        <v>0</v>
      </c>
      <c r="CK37" s="124">
        <f>SUM(BX37:CJ37)</f>
        <v>0</v>
      </c>
      <c r="CL37" s="133"/>
      <c r="CM37" s="298"/>
      <c r="CN37" s="311" t="s">
        <v>27</v>
      </c>
      <c r="CO37" s="19" t="s">
        <v>24</v>
      </c>
      <c r="CP37" s="168">
        <v>0</v>
      </c>
      <c r="CQ37" s="169">
        <v>0</v>
      </c>
      <c r="CR37" s="170">
        <v>0</v>
      </c>
      <c r="CS37" s="170">
        <v>0</v>
      </c>
      <c r="CT37" s="170">
        <v>0</v>
      </c>
      <c r="CU37" s="171">
        <v>0</v>
      </c>
      <c r="CV37" s="169">
        <v>0</v>
      </c>
      <c r="CW37" s="170">
        <v>0</v>
      </c>
      <c r="CX37" s="169">
        <v>0</v>
      </c>
      <c r="CY37" s="170">
        <v>0</v>
      </c>
      <c r="CZ37" s="172">
        <v>0</v>
      </c>
      <c r="DA37" s="173">
        <v>0</v>
      </c>
      <c r="DB37" s="173">
        <v>0</v>
      </c>
      <c r="DC37" s="24">
        <f>SUM(CP37:DB37)</f>
        <v>0</v>
      </c>
      <c r="DD37" s="107"/>
      <c r="DE37" s="298"/>
      <c r="DF37" s="311" t="s">
        <v>27</v>
      </c>
      <c r="DG37" s="19" t="s">
        <v>24</v>
      </c>
      <c r="DH37" s="168">
        <v>0</v>
      </c>
      <c r="DI37" s="169">
        <v>0</v>
      </c>
      <c r="DJ37" s="170">
        <v>0</v>
      </c>
      <c r="DK37" s="170">
        <v>0</v>
      </c>
      <c r="DL37" s="170">
        <v>0</v>
      </c>
      <c r="DM37" s="171">
        <v>0</v>
      </c>
      <c r="DN37" s="169">
        <v>0</v>
      </c>
      <c r="DO37" s="170">
        <v>0</v>
      </c>
      <c r="DP37" s="169">
        <v>0</v>
      </c>
      <c r="DQ37" s="170">
        <v>0</v>
      </c>
      <c r="DR37" s="172">
        <v>0</v>
      </c>
      <c r="DS37" s="173">
        <v>0</v>
      </c>
      <c r="DT37" s="173">
        <v>0</v>
      </c>
      <c r="DU37" s="211">
        <v>0</v>
      </c>
      <c r="DV37" s="107"/>
      <c r="DW37" s="298"/>
      <c r="DX37" s="311" t="s">
        <v>27</v>
      </c>
      <c r="DY37" s="19" t="s">
        <v>24</v>
      </c>
      <c r="DZ37" s="233">
        <v>0</v>
      </c>
      <c r="EA37" s="234">
        <v>0</v>
      </c>
      <c r="EB37" s="233">
        <v>0</v>
      </c>
      <c r="EC37" s="235">
        <v>0</v>
      </c>
      <c r="ED37" s="236">
        <v>0</v>
      </c>
      <c r="EE37" s="237">
        <v>0</v>
      </c>
      <c r="EF37" s="238">
        <v>0</v>
      </c>
      <c r="EG37" s="239">
        <v>0</v>
      </c>
      <c r="EH37" s="240">
        <v>0</v>
      </c>
      <c r="EI37" s="241">
        <v>0</v>
      </c>
      <c r="EJ37" s="242">
        <v>0</v>
      </c>
      <c r="EK37" s="243">
        <v>0</v>
      </c>
      <c r="EL37" s="243">
        <v>0</v>
      </c>
      <c r="EM37" s="223">
        <f t="shared" ref="EM37:EM38" si="158">SUM(DZ37:EL37)</f>
        <v>0</v>
      </c>
      <c r="EN37" s="107"/>
      <c r="EO37" s="298"/>
      <c r="EP37" s="311" t="s">
        <v>27</v>
      </c>
      <c r="EQ37" s="19" t="s">
        <v>24</v>
      </c>
      <c r="ER37" s="8">
        <v>0</v>
      </c>
      <c r="ES37" s="33">
        <v>0</v>
      </c>
      <c r="ET37" s="8">
        <v>0</v>
      </c>
      <c r="EU37" s="35">
        <v>0</v>
      </c>
      <c r="EV37" s="36">
        <v>0</v>
      </c>
      <c r="EW37" s="85">
        <v>0</v>
      </c>
      <c r="EX37" s="37">
        <v>0</v>
      </c>
      <c r="EY37" s="34">
        <v>0</v>
      </c>
      <c r="EZ37" s="9">
        <v>0</v>
      </c>
      <c r="FA37" s="10">
        <v>0</v>
      </c>
      <c r="FB37" s="86">
        <v>0</v>
      </c>
      <c r="FC37" s="21">
        <v>0</v>
      </c>
      <c r="FD37" s="21">
        <v>0</v>
      </c>
      <c r="FE37" s="24">
        <f>SUM(ER37:FD37)</f>
        <v>0</v>
      </c>
      <c r="FF37" s="107"/>
      <c r="FG37" s="298"/>
      <c r="FH37" s="311" t="s">
        <v>27</v>
      </c>
      <c r="FI37" s="19" t="s">
        <v>24</v>
      </c>
      <c r="FJ37" s="168">
        <v>52</v>
      </c>
      <c r="FK37" s="169">
        <v>0</v>
      </c>
      <c r="FL37" s="170">
        <v>0</v>
      </c>
      <c r="FM37" s="170">
        <v>0</v>
      </c>
      <c r="FN37" s="170">
        <v>0</v>
      </c>
      <c r="FO37" s="171">
        <v>0</v>
      </c>
      <c r="FP37" s="169">
        <v>0</v>
      </c>
      <c r="FQ37" s="170">
        <v>27</v>
      </c>
      <c r="FR37" s="169">
        <v>0</v>
      </c>
      <c r="FS37" s="170">
        <v>14</v>
      </c>
      <c r="FT37" s="172">
        <v>0</v>
      </c>
      <c r="FU37" s="173">
        <v>0</v>
      </c>
      <c r="FV37" s="173">
        <v>0</v>
      </c>
      <c r="FW37" s="211">
        <v>93</v>
      </c>
      <c r="FX37" s="107"/>
      <c r="FY37" s="298"/>
      <c r="FZ37" s="311" t="s">
        <v>27</v>
      </c>
      <c r="GA37" s="19" t="s">
        <v>24</v>
      </c>
      <c r="GB37" s="8">
        <v>0</v>
      </c>
      <c r="GC37" s="33">
        <v>0</v>
      </c>
      <c r="GD37" s="8">
        <v>0</v>
      </c>
      <c r="GE37" s="35">
        <v>0</v>
      </c>
      <c r="GF37" s="36">
        <v>0</v>
      </c>
      <c r="GG37" s="85">
        <v>0</v>
      </c>
      <c r="GH37" s="37">
        <v>0</v>
      </c>
      <c r="GI37" s="34">
        <v>0</v>
      </c>
      <c r="GJ37" s="9">
        <v>0</v>
      </c>
      <c r="GK37" s="10">
        <v>0</v>
      </c>
      <c r="GL37" s="86">
        <v>0</v>
      </c>
      <c r="GM37" s="21">
        <v>0</v>
      </c>
      <c r="GN37" s="21">
        <v>0</v>
      </c>
      <c r="GO37" s="24">
        <f>SUM(GB37:GN37)</f>
        <v>0</v>
      </c>
      <c r="GP37" s="107"/>
      <c r="GQ37" s="298"/>
      <c r="GR37" s="311" t="s">
        <v>27</v>
      </c>
      <c r="GS37" s="19" t="s">
        <v>24</v>
      </c>
      <c r="GT37" s="8">
        <v>0</v>
      </c>
      <c r="GU37" s="33">
        <v>0</v>
      </c>
      <c r="GV37" s="8">
        <v>0</v>
      </c>
      <c r="GW37" s="35">
        <v>0</v>
      </c>
      <c r="GX37" s="36">
        <v>0</v>
      </c>
      <c r="GY37" s="85">
        <v>0</v>
      </c>
      <c r="GZ37" s="37">
        <v>0</v>
      </c>
      <c r="HA37" s="34">
        <v>0</v>
      </c>
      <c r="HB37" s="9">
        <v>0</v>
      </c>
      <c r="HC37" s="10">
        <v>0</v>
      </c>
      <c r="HD37" s="86">
        <v>0</v>
      </c>
      <c r="HE37" s="21">
        <v>0</v>
      </c>
      <c r="HF37" s="21">
        <v>0</v>
      </c>
      <c r="HG37" s="24">
        <f>SUM(GT37:HF37)</f>
        <v>0</v>
      </c>
      <c r="HH37" s="107"/>
      <c r="HI37" s="298"/>
      <c r="HJ37" s="355" t="s">
        <v>27</v>
      </c>
      <c r="HK37" s="19" t="s">
        <v>24</v>
      </c>
      <c r="HL37" s="8">
        <f t="shared" ref="HL37:HL38" si="159">SUM(D37+V37+AN37+BF37+BX37+CP37+DH37+DZ37+ER37+FJ37+GB37+GT37)</f>
        <v>52</v>
      </c>
      <c r="HM37" s="9">
        <f t="shared" ref="HM37:HM38" si="160">SUM(E37+W37+AO37+BG37+BY37+CQ37+DI37+EA37+ES37+FK37+GC37+GU37)</f>
        <v>0</v>
      </c>
      <c r="HN37" s="34">
        <f t="shared" ref="HN37:HN38" si="161">SUM(F37+X37+AP37+BH37+BZ37+CR37+DJ37+EB37+ET37+FL37+GD37+GV37)</f>
        <v>0</v>
      </c>
      <c r="HO37" s="35">
        <f t="shared" ref="HO37:HO38" si="162">SUM(G37+Y37+AQ37+BI37+CA37+CS37+DK37+EC37+EU37+FM37+GE37+GW37)</f>
        <v>0</v>
      </c>
      <c r="HP37" s="35">
        <f t="shared" ref="HP37:HP38" si="163">SUM(H37+Z37+AR37+BJ37+CB37+CT37+DL37+ED37+EV37+FN37+GF37+GX37)</f>
        <v>0</v>
      </c>
      <c r="HQ37" s="46">
        <f t="shared" ref="HQ37:HQ38" si="164">SUM(I37+AA37+AS37+BK37+CC37+CU37+DM37+EE37+EW37+FO37+GG37+GY37)</f>
        <v>0</v>
      </c>
      <c r="HR37" s="9">
        <f t="shared" ref="HR37:HR38" si="165">SUM(J37+AB37+AT37+BL37+CD37+CV37+DN37+EF37+EX37+FP37+GH37+GZ37)</f>
        <v>0</v>
      </c>
      <c r="HS37" s="34">
        <f t="shared" ref="HS37:HS38" si="166">SUM(K37+AC37+AU37+BM37+CE37+CW37+DO37+EG37+EY37+FQ37+GI37+HA37)</f>
        <v>27</v>
      </c>
      <c r="HT37" s="9">
        <f t="shared" ref="HT37:HT38" si="167">SUM(L37+AD37+AV37+BN37+CF37+CX37+DP37+EH37+EZ37+FR37+GJ37+HB37)</f>
        <v>0</v>
      </c>
      <c r="HU37" s="34">
        <f t="shared" ref="HU37:HU38" si="168">SUM(M37+AE37+AW37+BO37+CG37+CY37+DQ37+EI37+FA37+FS37+GK37+HC37)</f>
        <v>14</v>
      </c>
      <c r="HV37" s="47">
        <f t="shared" ref="HV37:HV38" si="169">SUM(N37+AF37+AX37+BP37+CH37+CZ37+DR37+EJ37+FB37+FT37+GL37+HD37)</f>
        <v>0</v>
      </c>
      <c r="HW37" s="44">
        <f t="shared" ref="HW37:HW38" si="170">SUM(O37+AG37+AY37+BQ37+CI37+DA37+DS37+EK37+FC37+FU37+GM37+HE37)</f>
        <v>0</v>
      </c>
      <c r="HX37" s="44">
        <f t="shared" ref="HX37:HX38" si="171">SUM(P37+AH37+AZ37+BR37+CJ37+DB37+DT37+EL37+FD37+FV37+GN37+HF37)</f>
        <v>0</v>
      </c>
      <c r="HY37" s="24">
        <f>SUM(HL37:HX37)</f>
        <v>93</v>
      </c>
      <c r="HZ37" s="28"/>
    </row>
    <row r="38" spans="1:244" s="11" customFormat="1" ht="20.100000000000001" customHeight="1" thickBot="1" x14ac:dyDescent="0.25">
      <c r="A38" s="298"/>
      <c r="B38" s="312"/>
      <c r="C38" s="20" t="s">
        <v>25</v>
      </c>
      <c r="D38" s="12">
        <v>0</v>
      </c>
      <c r="E38" s="18">
        <v>0</v>
      </c>
      <c r="F38" s="12">
        <v>0</v>
      </c>
      <c r="G38" s="13">
        <v>0</v>
      </c>
      <c r="H38" s="15">
        <v>0</v>
      </c>
      <c r="I38" s="15">
        <v>0</v>
      </c>
      <c r="J38" s="16">
        <v>0</v>
      </c>
      <c r="K38" s="17">
        <v>0</v>
      </c>
      <c r="L38" s="14">
        <v>0</v>
      </c>
      <c r="M38" s="17">
        <v>0</v>
      </c>
      <c r="N38" s="18">
        <v>0</v>
      </c>
      <c r="O38" s="22">
        <v>0</v>
      </c>
      <c r="P38" s="22">
        <v>0</v>
      </c>
      <c r="Q38" s="125">
        <f>SUM(D38:P38)</f>
        <v>0</v>
      </c>
      <c r="R38" s="133"/>
      <c r="S38" s="298"/>
      <c r="T38" s="312"/>
      <c r="U38" s="20" t="s">
        <v>25</v>
      </c>
      <c r="V38" s="12">
        <v>0</v>
      </c>
      <c r="W38" s="18">
        <v>0</v>
      </c>
      <c r="X38" s="12">
        <v>0</v>
      </c>
      <c r="Y38" s="13">
        <v>0</v>
      </c>
      <c r="Z38" s="15">
        <v>0</v>
      </c>
      <c r="AA38" s="15">
        <v>0</v>
      </c>
      <c r="AB38" s="16">
        <v>0</v>
      </c>
      <c r="AC38" s="17">
        <v>0</v>
      </c>
      <c r="AD38" s="14">
        <v>0</v>
      </c>
      <c r="AE38" s="17">
        <v>0</v>
      </c>
      <c r="AF38" s="18">
        <v>0</v>
      </c>
      <c r="AG38" s="22">
        <v>0</v>
      </c>
      <c r="AH38" s="22">
        <v>0</v>
      </c>
      <c r="AI38" s="125">
        <f>SUM(V38:AH38)</f>
        <v>0</v>
      </c>
      <c r="AJ38" s="133"/>
      <c r="AK38" s="298"/>
      <c r="AL38" s="312"/>
      <c r="AM38" s="20" t="s">
        <v>25</v>
      </c>
      <c r="AN38" s="12">
        <v>0</v>
      </c>
      <c r="AO38" s="18">
        <v>0</v>
      </c>
      <c r="AP38" s="12">
        <v>0</v>
      </c>
      <c r="AQ38" s="13">
        <v>0</v>
      </c>
      <c r="AR38" s="15">
        <v>0</v>
      </c>
      <c r="AS38" s="15">
        <v>0</v>
      </c>
      <c r="AT38" s="16">
        <v>0</v>
      </c>
      <c r="AU38" s="17">
        <v>0</v>
      </c>
      <c r="AV38" s="14">
        <v>0</v>
      </c>
      <c r="AW38" s="17">
        <v>0</v>
      </c>
      <c r="AX38" s="18">
        <v>0</v>
      </c>
      <c r="AY38" s="22">
        <v>0</v>
      </c>
      <c r="AZ38" s="22">
        <v>0</v>
      </c>
      <c r="BA38" s="125">
        <f>SUM(AN38:AZ38)</f>
        <v>0</v>
      </c>
      <c r="BB38" s="133"/>
      <c r="BC38" s="298"/>
      <c r="BD38" s="312"/>
      <c r="BE38" s="20" t="s">
        <v>25</v>
      </c>
      <c r="BF38" s="12">
        <v>0</v>
      </c>
      <c r="BG38" s="18">
        <v>0</v>
      </c>
      <c r="BH38" s="12">
        <v>0</v>
      </c>
      <c r="BI38" s="13">
        <v>0</v>
      </c>
      <c r="BJ38" s="15">
        <v>0</v>
      </c>
      <c r="BK38" s="15">
        <v>0</v>
      </c>
      <c r="BL38" s="16">
        <v>0</v>
      </c>
      <c r="BM38" s="17">
        <v>0</v>
      </c>
      <c r="BN38" s="14">
        <v>0</v>
      </c>
      <c r="BO38" s="17">
        <v>0</v>
      </c>
      <c r="BP38" s="18">
        <v>0</v>
      </c>
      <c r="BQ38" s="22">
        <v>0</v>
      </c>
      <c r="BR38" s="22">
        <v>0</v>
      </c>
      <c r="BS38" s="125">
        <f>SUM(BF38:BR38)</f>
        <v>0</v>
      </c>
      <c r="BT38" s="133"/>
      <c r="BU38" s="298"/>
      <c r="BV38" s="312"/>
      <c r="BW38" s="20" t="s">
        <v>25</v>
      </c>
      <c r="BX38" s="12">
        <v>0</v>
      </c>
      <c r="BY38" s="18">
        <v>0</v>
      </c>
      <c r="BZ38" s="12">
        <v>0</v>
      </c>
      <c r="CA38" s="13">
        <v>0</v>
      </c>
      <c r="CB38" s="15">
        <v>0</v>
      </c>
      <c r="CC38" s="15">
        <v>0</v>
      </c>
      <c r="CD38" s="16">
        <v>0</v>
      </c>
      <c r="CE38" s="17">
        <v>0</v>
      </c>
      <c r="CF38" s="14">
        <v>0</v>
      </c>
      <c r="CG38" s="17">
        <v>0</v>
      </c>
      <c r="CH38" s="18">
        <v>0</v>
      </c>
      <c r="CI38" s="22">
        <v>0</v>
      </c>
      <c r="CJ38" s="22">
        <v>0</v>
      </c>
      <c r="CK38" s="125">
        <f>SUM(BX38:CJ38)</f>
        <v>0</v>
      </c>
      <c r="CL38" s="133"/>
      <c r="CM38" s="298"/>
      <c r="CN38" s="312"/>
      <c r="CO38" s="20" t="s">
        <v>25</v>
      </c>
      <c r="CP38" s="163">
        <v>0</v>
      </c>
      <c r="CQ38" s="164">
        <v>0</v>
      </c>
      <c r="CR38" s="165">
        <v>0</v>
      </c>
      <c r="CS38" s="165">
        <v>0</v>
      </c>
      <c r="CT38" s="165">
        <v>0</v>
      </c>
      <c r="CU38" s="165">
        <v>0</v>
      </c>
      <c r="CV38" s="164">
        <v>0</v>
      </c>
      <c r="CW38" s="165">
        <v>0</v>
      </c>
      <c r="CX38" s="164">
        <v>0</v>
      </c>
      <c r="CY38" s="165">
        <v>0</v>
      </c>
      <c r="CZ38" s="164">
        <v>0</v>
      </c>
      <c r="DA38" s="166">
        <v>0</v>
      </c>
      <c r="DB38" s="166">
        <v>0</v>
      </c>
      <c r="DC38" s="25">
        <f>SUM(CP38:DB38)</f>
        <v>0</v>
      </c>
      <c r="DD38" s="107"/>
      <c r="DE38" s="298"/>
      <c r="DF38" s="312"/>
      <c r="DG38" s="20" t="s">
        <v>25</v>
      </c>
      <c r="DH38" s="163">
        <v>0</v>
      </c>
      <c r="DI38" s="164">
        <v>0</v>
      </c>
      <c r="DJ38" s="165">
        <v>0</v>
      </c>
      <c r="DK38" s="165">
        <v>0</v>
      </c>
      <c r="DL38" s="165">
        <v>0</v>
      </c>
      <c r="DM38" s="165">
        <v>0</v>
      </c>
      <c r="DN38" s="164">
        <v>0</v>
      </c>
      <c r="DO38" s="165">
        <v>0</v>
      </c>
      <c r="DP38" s="164">
        <v>0</v>
      </c>
      <c r="DQ38" s="165">
        <v>0</v>
      </c>
      <c r="DR38" s="164">
        <v>0</v>
      </c>
      <c r="DS38" s="166">
        <v>0</v>
      </c>
      <c r="DT38" s="166">
        <v>0</v>
      </c>
      <c r="DU38" s="167">
        <v>0</v>
      </c>
      <c r="DV38" s="107"/>
      <c r="DW38" s="298"/>
      <c r="DX38" s="312"/>
      <c r="DY38" s="20" t="s">
        <v>25</v>
      </c>
      <c r="DZ38" s="244">
        <v>0</v>
      </c>
      <c r="EA38" s="245">
        <v>0</v>
      </c>
      <c r="EB38" s="244">
        <v>0</v>
      </c>
      <c r="EC38" s="246">
        <v>0</v>
      </c>
      <c r="ED38" s="247">
        <v>0</v>
      </c>
      <c r="EE38" s="247">
        <v>0</v>
      </c>
      <c r="EF38" s="248">
        <v>0</v>
      </c>
      <c r="EG38" s="249">
        <v>0</v>
      </c>
      <c r="EH38" s="250">
        <v>0</v>
      </c>
      <c r="EI38" s="249">
        <v>0</v>
      </c>
      <c r="EJ38" s="245">
        <v>0</v>
      </c>
      <c r="EK38" s="251">
        <v>0</v>
      </c>
      <c r="EL38" s="251">
        <v>0</v>
      </c>
      <c r="EM38" s="228">
        <f t="shared" si="158"/>
        <v>0</v>
      </c>
      <c r="EN38" s="107"/>
      <c r="EO38" s="298"/>
      <c r="EP38" s="312"/>
      <c r="EQ38" s="20" t="s">
        <v>25</v>
      </c>
      <c r="ER38" s="12">
        <v>0</v>
      </c>
      <c r="ES38" s="18">
        <v>0</v>
      </c>
      <c r="ET38" s="12">
        <v>0</v>
      </c>
      <c r="EU38" s="13">
        <v>0</v>
      </c>
      <c r="EV38" s="15">
        <v>0</v>
      </c>
      <c r="EW38" s="15">
        <v>0</v>
      </c>
      <c r="EX38" s="16">
        <v>0</v>
      </c>
      <c r="EY38" s="17">
        <v>0</v>
      </c>
      <c r="EZ38" s="14">
        <v>0</v>
      </c>
      <c r="FA38" s="17">
        <v>0</v>
      </c>
      <c r="FB38" s="18">
        <v>0</v>
      </c>
      <c r="FC38" s="22">
        <v>0</v>
      </c>
      <c r="FD38" s="22">
        <v>0</v>
      </c>
      <c r="FE38" s="25">
        <f>SUM(ER38:FD38)</f>
        <v>0</v>
      </c>
      <c r="FF38" s="107"/>
      <c r="FG38" s="298"/>
      <c r="FH38" s="312"/>
      <c r="FI38" s="20" t="s">
        <v>25</v>
      </c>
      <c r="FJ38" s="163">
        <v>31</v>
      </c>
      <c r="FK38" s="164">
        <v>0</v>
      </c>
      <c r="FL38" s="165">
        <v>0</v>
      </c>
      <c r="FM38" s="165">
        <v>12</v>
      </c>
      <c r="FN38" s="165">
        <v>0</v>
      </c>
      <c r="FO38" s="165">
        <v>0</v>
      </c>
      <c r="FP38" s="164">
        <v>0</v>
      </c>
      <c r="FQ38" s="165">
        <v>18</v>
      </c>
      <c r="FR38" s="164">
        <v>0</v>
      </c>
      <c r="FS38" s="165">
        <v>9</v>
      </c>
      <c r="FT38" s="164">
        <v>0</v>
      </c>
      <c r="FU38" s="166">
        <v>1</v>
      </c>
      <c r="FV38" s="166">
        <v>0</v>
      </c>
      <c r="FW38" s="167">
        <v>71</v>
      </c>
      <c r="FX38" s="107"/>
      <c r="FY38" s="298"/>
      <c r="FZ38" s="312"/>
      <c r="GA38" s="20" t="s">
        <v>25</v>
      </c>
      <c r="GB38" s="12">
        <v>0</v>
      </c>
      <c r="GC38" s="18">
        <v>0</v>
      </c>
      <c r="GD38" s="12">
        <v>0</v>
      </c>
      <c r="GE38" s="13">
        <v>0</v>
      </c>
      <c r="GF38" s="15">
        <v>0</v>
      </c>
      <c r="GG38" s="15">
        <v>0</v>
      </c>
      <c r="GH38" s="16">
        <v>0</v>
      </c>
      <c r="GI38" s="17">
        <v>0</v>
      </c>
      <c r="GJ38" s="14">
        <v>0</v>
      </c>
      <c r="GK38" s="17">
        <v>0</v>
      </c>
      <c r="GL38" s="18">
        <v>0</v>
      </c>
      <c r="GM38" s="22">
        <v>0</v>
      </c>
      <c r="GN38" s="22">
        <v>0</v>
      </c>
      <c r="GO38" s="25">
        <f>SUM(GB38:GN38)</f>
        <v>0</v>
      </c>
      <c r="GP38" s="107"/>
      <c r="GQ38" s="298"/>
      <c r="GR38" s="312"/>
      <c r="GS38" s="20" t="s">
        <v>25</v>
      </c>
      <c r="GT38" s="12">
        <v>0</v>
      </c>
      <c r="GU38" s="18">
        <v>0</v>
      </c>
      <c r="GV38" s="12">
        <v>0</v>
      </c>
      <c r="GW38" s="13">
        <v>0</v>
      </c>
      <c r="GX38" s="15">
        <v>0</v>
      </c>
      <c r="GY38" s="15">
        <v>0</v>
      </c>
      <c r="GZ38" s="16">
        <v>0</v>
      </c>
      <c r="HA38" s="17">
        <v>0</v>
      </c>
      <c r="HB38" s="14">
        <v>0</v>
      </c>
      <c r="HC38" s="17">
        <v>0</v>
      </c>
      <c r="HD38" s="18">
        <v>0</v>
      </c>
      <c r="HE38" s="22">
        <v>0</v>
      </c>
      <c r="HF38" s="22">
        <v>0</v>
      </c>
      <c r="HG38" s="25">
        <f>SUM(GT38:HF38)</f>
        <v>0</v>
      </c>
      <c r="HH38" s="107"/>
      <c r="HI38" s="298"/>
      <c r="HJ38" s="356"/>
      <c r="HK38" s="20" t="s">
        <v>25</v>
      </c>
      <c r="HL38" s="12">
        <f t="shared" si="159"/>
        <v>31</v>
      </c>
      <c r="HM38" s="14">
        <f t="shared" si="160"/>
        <v>0</v>
      </c>
      <c r="HN38" s="17">
        <f t="shared" si="161"/>
        <v>0</v>
      </c>
      <c r="HO38" s="13">
        <f t="shared" si="162"/>
        <v>12</v>
      </c>
      <c r="HP38" s="13">
        <f t="shared" si="163"/>
        <v>0</v>
      </c>
      <c r="HQ38" s="13">
        <f t="shared" si="164"/>
        <v>0</v>
      </c>
      <c r="HR38" s="14">
        <f t="shared" si="165"/>
        <v>0</v>
      </c>
      <c r="HS38" s="17">
        <f t="shared" si="166"/>
        <v>18</v>
      </c>
      <c r="HT38" s="14">
        <f t="shared" si="167"/>
        <v>0</v>
      </c>
      <c r="HU38" s="17">
        <f t="shared" si="168"/>
        <v>9</v>
      </c>
      <c r="HV38" s="14">
        <f t="shared" si="169"/>
        <v>0</v>
      </c>
      <c r="HW38" s="45">
        <f t="shared" si="170"/>
        <v>1</v>
      </c>
      <c r="HX38" s="45">
        <f t="shared" si="171"/>
        <v>0</v>
      </c>
      <c r="HY38" s="25">
        <f>SUM(HL38:HX38)</f>
        <v>71</v>
      </c>
      <c r="HZ38" s="28"/>
    </row>
    <row r="39" spans="1:244" s="11" customFormat="1" ht="20.100000000000001" customHeight="1" thickTop="1" thickBot="1" x14ac:dyDescent="0.25">
      <c r="A39" s="299"/>
      <c r="B39" s="326" t="s">
        <v>34</v>
      </c>
      <c r="C39" s="327"/>
      <c r="D39" s="306">
        <f>SUM(D37:E38)</f>
        <v>0</v>
      </c>
      <c r="E39" s="307"/>
      <c r="F39" s="306">
        <f>SUM(F37:J38)</f>
        <v>0</v>
      </c>
      <c r="G39" s="368"/>
      <c r="H39" s="368"/>
      <c r="I39" s="368"/>
      <c r="J39" s="307"/>
      <c r="K39" s="306">
        <f>SUM(K37:L38)</f>
        <v>0</v>
      </c>
      <c r="L39" s="307"/>
      <c r="M39" s="306">
        <f>SUM(M37:N38)</f>
        <v>0</v>
      </c>
      <c r="N39" s="307"/>
      <c r="O39" s="94">
        <f>SUM(O37:O38)</f>
        <v>0</v>
      </c>
      <c r="P39" s="94">
        <f>SUM(P37:P38)</f>
        <v>0</v>
      </c>
      <c r="Q39" s="126">
        <f>SUM(Q37:Q38)</f>
        <v>0</v>
      </c>
      <c r="R39" s="133"/>
      <c r="S39" s="299"/>
      <c r="T39" s="326" t="s">
        <v>34</v>
      </c>
      <c r="U39" s="327"/>
      <c r="V39" s="306">
        <f>SUM(V37:W38)</f>
        <v>0</v>
      </c>
      <c r="W39" s="307"/>
      <c r="X39" s="306">
        <f>SUM(X37:AB38)</f>
        <v>0</v>
      </c>
      <c r="Y39" s="368"/>
      <c r="Z39" s="368"/>
      <c r="AA39" s="368"/>
      <c r="AB39" s="307"/>
      <c r="AC39" s="306">
        <f>SUM(AC37:AD38)</f>
        <v>0</v>
      </c>
      <c r="AD39" s="307"/>
      <c r="AE39" s="306">
        <f>SUM(AE37:AF38)</f>
        <v>0</v>
      </c>
      <c r="AF39" s="307"/>
      <c r="AG39" s="94">
        <f>SUM(AG37:AG38)</f>
        <v>0</v>
      </c>
      <c r="AH39" s="94">
        <f>SUM(AH37:AH38)</f>
        <v>0</v>
      </c>
      <c r="AI39" s="126">
        <f>SUM(AI37:AI38)</f>
        <v>0</v>
      </c>
      <c r="AJ39" s="133"/>
      <c r="AK39" s="299"/>
      <c r="AL39" s="326" t="s">
        <v>34</v>
      </c>
      <c r="AM39" s="327"/>
      <c r="AN39" s="306">
        <f>SUM(AN37:AO38)</f>
        <v>0</v>
      </c>
      <c r="AO39" s="307"/>
      <c r="AP39" s="306">
        <f>SUM(AP37:AT38)</f>
        <v>0</v>
      </c>
      <c r="AQ39" s="368"/>
      <c r="AR39" s="368"/>
      <c r="AS39" s="368"/>
      <c r="AT39" s="307"/>
      <c r="AU39" s="306">
        <f>SUM(AU37:AV38)</f>
        <v>0</v>
      </c>
      <c r="AV39" s="307"/>
      <c r="AW39" s="306">
        <f>SUM(AW37:AX38)</f>
        <v>0</v>
      </c>
      <c r="AX39" s="307"/>
      <c r="AY39" s="94">
        <f>SUM(AY37:AY38)</f>
        <v>0</v>
      </c>
      <c r="AZ39" s="94">
        <f>SUM(AZ37:AZ38)</f>
        <v>0</v>
      </c>
      <c r="BA39" s="126">
        <f>SUM(BA37:BA38)</f>
        <v>0</v>
      </c>
      <c r="BB39" s="133"/>
      <c r="BC39" s="299"/>
      <c r="BD39" s="326" t="s">
        <v>34</v>
      </c>
      <c r="BE39" s="327"/>
      <c r="BF39" s="306">
        <f>SUM(BF37:BG38)</f>
        <v>0</v>
      </c>
      <c r="BG39" s="307"/>
      <c r="BH39" s="306">
        <f>SUM(BH37:BL38)</f>
        <v>0</v>
      </c>
      <c r="BI39" s="368"/>
      <c r="BJ39" s="368"/>
      <c r="BK39" s="368"/>
      <c r="BL39" s="307"/>
      <c r="BM39" s="306">
        <f>SUM(BM37:BN38)</f>
        <v>0</v>
      </c>
      <c r="BN39" s="307"/>
      <c r="BO39" s="306">
        <f>SUM(BO37:BP38)</f>
        <v>0</v>
      </c>
      <c r="BP39" s="307"/>
      <c r="BQ39" s="94">
        <f>SUM(BQ37:BQ38)</f>
        <v>0</v>
      </c>
      <c r="BR39" s="94">
        <f>SUM(BR37:BR38)</f>
        <v>0</v>
      </c>
      <c r="BS39" s="126">
        <f>SUM(BS37:BS38)</f>
        <v>0</v>
      </c>
      <c r="BT39" s="133"/>
      <c r="BU39" s="299"/>
      <c r="BV39" s="326" t="s">
        <v>34</v>
      </c>
      <c r="BW39" s="327"/>
      <c r="BX39" s="306">
        <f>SUM(BX37:BY38)</f>
        <v>0</v>
      </c>
      <c r="BY39" s="307"/>
      <c r="BZ39" s="306">
        <f>SUM(BZ37:CD38)</f>
        <v>0</v>
      </c>
      <c r="CA39" s="368"/>
      <c r="CB39" s="368"/>
      <c r="CC39" s="368"/>
      <c r="CD39" s="307"/>
      <c r="CE39" s="306">
        <f>SUM(CE37:CF38)</f>
        <v>0</v>
      </c>
      <c r="CF39" s="307"/>
      <c r="CG39" s="306">
        <f>SUM(CG37:CH38)</f>
        <v>0</v>
      </c>
      <c r="CH39" s="307"/>
      <c r="CI39" s="94">
        <f>SUM(CI37:CI38)</f>
        <v>0</v>
      </c>
      <c r="CJ39" s="94">
        <f>SUM(CJ37:CJ38)</f>
        <v>0</v>
      </c>
      <c r="CK39" s="126">
        <f>SUM(CK37:CK38)</f>
        <v>0</v>
      </c>
      <c r="CL39" s="133"/>
      <c r="CM39" s="299"/>
      <c r="CN39" s="326" t="s">
        <v>34</v>
      </c>
      <c r="CO39" s="327"/>
      <c r="CP39" s="375">
        <v>0</v>
      </c>
      <c r="CQ39" s="377"/>
      <c r="CR39" s="375">
        <v>0</v>
      </c>
      <c r="CS39" s="376"/>
      <c r="CT39" s="376"/>
      <c r="CU39" s="376"/>
      <c r="CV39" s="377"/>
      <c r="CW39" s="375">
        <v>0</v>
      </c>
      <c r="CX39" s="377"/>
      <c r="CY39" s="375">
        <v>0</v>
      </c>
      <c r="CZ39" s="377"/>
      <c r="DA39" s="167">
        <v>0</v>
      </c>
      <c r="DB39" s="167">
        <v>0</v>
      </c>
      <c r="DC39" s="26">
        <f>SUM(DC37:DC38)</f>
        <v>0</v>
      </c>
      <c r="DD39" s="107"/>
      <c r="DE39" s="299"/>
      <c r="DF39" s="326" t="s">
        <v>34</v>
      </c>
      <c r="DG39" s="327"/>
      <c r="DH39" s="375">
        <v>0</v>
      </c>
      <c r="DI39" s="377"/>
      <c r="DJ39" s="375">
        <v>0</v>
      </c>
      <c r="DK39" s="376"/>
      <c r="DL39" s="376"/>
      <c r="DM39" s="376"/>
      <c r="DN39" s="377"/>
      <c r="DO39" s="375">
        <v>0</v>
      </c>
      <c r="DP39" s="377"/>
      <c r="DQ39" s="375">
        <v>0</v>
      </c>
      <c r="DR39" s="377"/>
      <c r="DS39" s="167">
        <v>0</v>
      </c>
      <c r="DT39" s="167">
        <v>0</v>
      </c>
      <c r="DU39" s="210">
        <v>0</v>
      </c>
      <c r="DV39" s="107"/>
      <c r="DW39" s="299"/>
      <c r="DX39" s="326" t="s">
        <v>34</v>
      </c>
      <c r="DY39" s="327"/>
      <c r="DZ39" s="359">
        <f>SUM(DZ37:EA38)</f>
        <v>0</v>
      </c>
      <c r="EA39" s="361"/>
      <c r="EB39" s="359">
        <f>SUM(EB37:EF38)</f>
        <v>0</v>
      </c>
      <c r="EC39" s="360"/>
      <c r="ED39" s="360"/>
      <c r="EE39" s="360"/>
      <c r="EF39" s="361"/>
      <c r="EG39" s="359">
        <f>SUM(EG37:EH38)</f>
        <v>0</v>
      </c>
      <c r="EH39" s="361"/>
      <c r="EI39" s="359">
        <f>SUM(EI37:EJ38)</f>
        <v>0</v>
      </c>
      <c r="EJ39" s="361"/>
      <c r="EK39" s="229">
        <f t="shared" ref="EK39:EM39" si="172">SUM(EK37:EK38)</f>
        <v>0</v>
      </c>
      <c r="EL39" s="229">
        <f t="shared" si="172"/>
        <v>0</v>
      </c>
      <c r="EM39" s="230">
        <f t="shared" si="172"/>
        <v>0</v>
      </c>
      <c r="EN39" s="107"/>
      <c r="EO39" s="299"/>
      <c r="EP39" s="326" t="s">
        <v>34</v>
      </c>
      <c r="EQ39" s="327"/>
      <c r="ER39" s="306">
        <f>SUM(ER37:ES38)</f>
        <v>0</v>
      </c>
      <c r="ES39" s="307"/>
      <c r="ET39" s="306">
        <f>SUM(ET37:EX38)</f>
        <v>0</v>
      </c>
      <c r="EU39" s="368"/>
      <c r="EV39" s="368"/>
      <c r="EW39" s="368"/>
      <c r="EX39" s="307"/>
      <c r="EY39" s="306">
        <f>SUM(EY37:EZ38)</f>
        <v>0</v>
      </c>
      <c r="EZ39" s="307"/>
      <c r="FA39" s="306">
        <f>SUM(FA37:FB38)</f>
        <v>0</v>
      </c>
      <c r="FB39" s="307"/>
      <c r="FC39" s="94">
        <f>SUM(FC37:FC38)</f>
        <v>0</v>
      </c>
      <c r="FD39" s="94">
        <f>SUM(FD37:FD38)</f>
        <v>0</v>
      </c>
      <c r="FE39" s="26">
        <f>SUM(FE37:FE38)</f>
        <v>0</v>
      </c>
      <c r="FF39" s="107"/>
      <c r="FG39" s="299"/>
      <c r="FH39" s="326" t="s">
        <v>34</v>
      </c>
      <c r="FI39" s="327"/>
      <c r="FJ39" s="375">
        <v>83</v>
      </c>
      <c r="FK39" s="377"/>
      <c r="FL39" s="375">
        <v>12</v>
      </c>
      <c r="FM39" s="376"/>
      <c r="FN39" s="376"/>
      <c r="FO39" s="376"/>
      <c r="FP39" s="377"/>
      <c r="FQ39" s="375">
        <v>45</v>
      </c>
      <c r="FR39" s="377"/>
      <c r="FS39" s="375">
        <v>23</v>
      </c>
      <c r="FT39" s="377"/>
      <c r="FU39" s="167">
        <v>1</v>
      </c>
      <c r="FV39" s="167">
        <v>0</v>
      </c>
      <c r="FW39" s="210">
        <v>164</v>
      </c>
      <c r="FX39" s="107"/>
      <c r="FY39" s="299"/>
      <c r="FZ39" s="326" t="s">
        <v>34</v>
      </c>
      <c r="GA39" s="327"/>
      <c r="GB39" s="306">
        <f>SUM(GB37:GC38)</f>
        <v>0</v>
      </c>
      <c r="GC39" s="307"/>
      <c r="GD39" s="306">
        <f>SUM(GD37:GH38)</f>
        <v>0</v>
      </c>
      <c r="GE39" s="368"/>
      <c r="GF39" s="368"/>
      <c r="GG39" s="368"/>
      <c r="GH39" s="307"/>
      <c r="GI39" s="306">
        <f>SUM(GI37:GJ38)</f>
        <v>0</v>
      </c>
      <c r="GJ39" s="307"/>
      <c r="GK39" s="306">
        <f>SUM(GK37:GL38)</f>
        <v>0</v>
      </c>
      <c r="GL39" s="307"/>
      <c r="GM39" s="94">
        <f>SUM(GM37:GM38)</f>
        <v>0</v>
      </c>
      <c r="GN39" s="94">
        <f>SUM(GN37:GN38)</f>
        <v>0</v>
      </c>
      <c r="GO39" s="26">
        <f>SUM(GO37:GO38)</f>
        <v>0</v>
      </c>
      <c r="GP39" s="107"/>
      <c r="GQ39" s="299"/>
      <c r="GR39" s="326" t="s">
        <v>34</v>
      </c>
      <c r="GS39" s="327"/>
      <c r="GT39" s="306">
        <f>SUM(GT37:GU38)</f>
        <v>0</v>
      </c>
      <c r="GU39" s="307"/>
      <c r="GV39" s="306">
        <f>SUM(GV37:GZ38)</f>
        <v>0</v>
      </c>
      <c r="GW39" s="368"/>
      <c r="GX39" s="368"/>
      <c r="GY39" s="368"/>
      <c r="GZ39" s="307"/>
      <c r="HA39" s="306">
        <f>SUM(HA37:HB38)</f>
        <v>0</v>
      </c>
      <c r="HB39" s="307"/>
      <c r="HC39" s="306">
        <f>SUM(HC37:HD38)</f>
        <v>0</v>
      </c>
      <c r="HD39" s="307"/>
      <c r="HE39" s="94">
        <f>SUM(HE37:HE38)</f>
        <v>0</v>
      </c>
      <c r="HF39" s="94">
        <f>SUM(HF37:HF38)</f>
        <v>0</v>
      </c>
      <c r="HG39" s="26">
        <f>SUM(HG37:HG38)</f>
        <v>0</v>
      </c>
      <c r="HH39" s="107"/>
      <c r="HI39" s="299"/>
      <c r="HJ39" s="295" t="s">
        <v>28</v>
      </c>
      <c r="HK39" s="313"/>
      <c r="HL39" s="306">
        <f>SUM(HL37:HM38)</f>
        <v>83</v>
      </c>
      <c r="HM39" s="307"/>
      <c r="HN39" s="306">
        <f>SUM(HN37:HR38)</f>
        <v>12</v>
      </c>
      <c r="HO39" s="368"/>
      <c r="HP39" s="368"/>
      <c r="HQ39" s="368"/>
      <c r="HR39" s="307"/>
      <c r="HS39" s="306">
        <f>SUM(HS37:HT38)</f>
        <v>45</v>
      </c>
      <c r="HT39" s="307"/>
      <c r="HU39" s="306">
        <f>SUM(HU37:HV38)</f>
        <v>23</v>
      </c>
      <c r="HV39" s="307"/>
      <c r="HW39" s="43">
        <f>SUM(HW37:HW38)</f>
        <v>1</v>
      </c>
      <c r="HX39" s="43">
        <f>SUM(HX37:HX38)</f>
        <v>0</v>
      </c>
      <c r="HY39" s="26">
        <f>SUM(HY37:HY38)</f>
        <v>164</v>
      </c>
      <c r="HZ39" s="28"/>
    </row>
    <row r="40" spans="1:244" s="11" customFormat="1" ht="20.100000000000001" customHeight="1" thickTop="1" thickBot="1" x14ac:dyDescent="0.25">
      <c r="A40" s="41"/>
      <c r="B40" s="353" t="s">
        <v>29</v>
      </c>
      <c r="C40" s="357"/>
      <c r="D40" s="308">
        <f>SUM(D36+D39)</f>
        <v>0</v>
      </c>
      <c r="E40" s="310"/>
      <c r="F40" s="308">
        <f>SUM(F36+F39)</f>
        <v>0</v>
      </c>
      <c r="G40" s="309"/>
      <c r="H40" s="309"/>
      <c r="I40" s="309"/>
      <c r="J40" s="310"/>
      <c r="K40" s="308">
        <f>SUM(K36+K39)</f>
        <v>0</v>
      </c>
      <c r="L40" s="310"/>
      <c r="M40" s="308">
        <f>SUM(M36+M39)</f>
        <v>0</v>
      </c>
      <c r="N40" s="310"/>
      <c r="O40" s="23">
        <f>SUM(O36+O39)</f>
        <v>0</v>
      </c>
      <c r="P40" s="23">
        <f>SUM(P36+P39)</f>
        <v>0</v>
      </c>
      <c r="Q40" s="127">
        <f>SUM(Q36+Q39)</f>
        <v>0</v>
      </c>
      <c r="R40" s="133"/>
      <c r="S40" s="41"/>
      <c r="T40" s="353" t="s">
        <v>29</v>
      </c>
      <c r="U40" s="357"/>
      <c r="V40" s="308">
        <f>SUM(V36+V39)</f>
        <v>0</v>
      </c>
      <c r="W40" s="310"/>
      <c r="X40" s="308">
        <f>SUM(X36+X39)</f>
        <v>0</v>
      </c>
      <c r="Y40" s="309"/>
      <c r="Z40" s="309"/>
      <c r="AA40" s="309"/>
      <c r="AB40" s="310"/>
      <c r="AC40" s="308">
        <f>SUM(AC36+AC39)</f>
        <v>0</v>
      </c>
      <c r="AD40" s="310"/>
      <c r="AE40" s="308">
        <f>SUM(AE36+AE39)</f>
        <v>0</v>
      </c>
      <c r="AF40" s="310"/>
      <c r="AG40" s="23">
        <f>SUM(AG36+AG39)</f>
        <v>0</v>
      </c>
      <c r="AH40" s="23">
        <f>SUM(AH36+AH39)</f>
        <v>0</v>
      </c>
      <c r="AI40" s="127">
        <f>SUM(AI36+AI39)</f>
        <v>0</v>
      </c>
      <c r="AJ40" s="133"/>
      <c r="AK40" s="41"/>
      <c r="AL40" s="353" t="s">
        <v>29</v>
      </c>
      <c r="AM40" s="357"/>
      <c r="AN40" s="308">
        <f>SUM(AN36+AN39)</f>
        <v>0</v>
      </c>
      <c r="AO40" s="310"/>
      <c r="AP40" s="308">
        <f>SUM(AP36+AP39)</f>
        <v>0</v>
      </c>
      <c r="AQ40" s="309"/>
      <c r="AR40" s="309"/>
      <c r="AS40" s="309"/>
      <c r="AT40" s="310"/>
      <c r="AU40" s="308">
        <f>SUM(AU36+AU39)</f>
        <v>0</v>
      </c>
      <c r="AV40" s="310"/>
      <c r="AW40" s="308">
        <f>SUM(AW36+AW39)</f>
        <v>0</v>
      </c>
      <c r="AX40" s="310"/>
      <c r="AY40" s="23">
        <f>SUM(AY36+AY39)</f>
        <v>0</v>
      </c>
      <c r="AZ40" s="23">
        <f>SUM(AZ36+AZ39)</f>
        <v>0</v>
      </c>
      <c r="BA40" s="127">
        <f>SUM(BA36+BA39)</f>
        <v>0</v>
      </c>
      <c r="BB40" s="133"/>
      <c r="BC40" s="41"/>
      <c r="BD40" s="353" t="s">
        <v>29</v>
      </c>
      <c r="BE40" s="357"/>
      <c r="BF40" s="308">
        <f>SUM(BF36+BF39)</f>
        <v>0</v>
      </c>
      <c r="BG40" s="310"/>
      <c r="BH40" s="308">
        <f>SUM(BH36+BH39)</f>
        <v>0</v>
      </c>
      <c r="BI40" s="309"/>
      <c r="BJ40" s="309"/>
      <c r="BK40" s="309"/>
      <c r="BL40" s="310"/>
      <c r="BM40" s="308">
        <f>SUM(BM36+BM39)</f>
        <v>0</v>
      </c>
      <c r="BN40" s="310"/>
      <c r="BO40" s="308">
        <f>SUM(BO36+BO39)</f>
        <v>0</v>
      </c>
      <c r="BP40" s="310"/>
      <c r="BQ40" s="23">
        <f>SUM(BQ36+BQ39)</f>
        <v>0</v>
      </c>
      <c r="BR40" s="23">
        <f>SUM(BR36+BR39)</f>
        <v>0</v>
      </c>
      <c r="BS40" s="127">
        <f>SUM(BS36+BS39)</f>
        <v>0</v>
      </c>
      <c r="BT40" s="133"/>
      <c r="BU40" s="41"/>
      <c r="BV40" s="353" t="s">
        <v>29</v>
      </c>
      <c r="BW40" s="357"/>
      <c r="BX40" s="308">
        <f>SUM(BX36+BX39)</f>
        <v>0</v>
      </c>
      <c r="BY40" s="310"/>
      <c r="BZ40" s="308">
        <f>SUM(BZ36+BZ39)</f>
        <v>0</v>
      </c>
      <c r="CA40" s="309"/>
      <c r="CB40" s="309"/>
      <c r="CC40" s="309"/>
      <c r="CD40" s="310"/>
      <c r="CE40" s="308">
        <f>SUM(CE36+CE39)</f>
        <v>0</v>
      </c>
      <c r="CF40" s="310"/>
      <c r="CG40" s="308">
        <f>SUM(CG36+CG39)</f>
        <v>0</v>
      </c>
      <c r="CH40" s="310"/>
      <c r="CI40" s="23">
        <f>SUM(CI36+CI39)</f>
        <v>0</v>
      </c>
      <c r="CJ40" s="23">
        <f>SUM(CJ36+CJ39)</f>
        <v>0</v>
      </c>
      <c r="CK40" s="127">
        <f>SUM(CK36+CK39)</f>
        <v>0</v>
      </c>
      <c r="CL40" s="133"/>
      <c r="CM40" s="41"/>
      <c r="CN40" s="353" t="s">
        <v>29</v>
      </c>
      <c r="CO40" s="357"/>
      <c r="CP40" s="378">
        <v>0</v>
      </c>
      <c r="CQ40" s="380"/>
      <c r="CR40" s="378">
        <v>0</v>
      </c>
      <c r="CS40" s="379"/>
      <c r="CT40" s="379"/>
      <c r="CU40" s="379"/>
      <c r="CV40" s="380"/>
      <c r="CW40" s="378">
        <v>0</v>
      </c>
      <c r="CX40" s="380"/>
      <c r="CY40" s="378">
        <v>0</v>
      </c>
      <c r="CZ40" s="380"/>
      <c r="DA40" s="200">
        <v>0</v>
      </c>
      <c r="DB40" s="200">
        <v>0</v>
      </c>
      <c r="DC40" s="27">
        <f>SUM(DC36+DC39)</f>
        <v>0</v>
      </c>
      <c r="DD40" s="107"/>
      <c r="DE40" s="41"/>
      <c r="DF40" s="353" t="s">
        <v>29</v>
      </c>
      <c r="DG40" s="357"/>
      <c r="DH40" s="378">
        <v>0</v>
      </c>
      <c r="DI40" s="380"/>
      <c r="DJ40" s="378">
        <v>0</v>
      </c>
      <c r="DK40" s="379"/>
      <c r="DL40" s="379"/>
      <c r="DM40" s="379"/>
      <c r="DN40" s="380"/>
      <c r="DO40" s="378">
        <v>0</v>
      </c>
      <c r="DP40" s="380"/>
      <c r="DQ40" s="378">
        <v>0</v>
      </c>
      <c r="DR40" s="380"/>
      <c r="DS40" s="200">
        <v>0</v>
      </c>
      <c r="DT40" s="200">
        <v>0</v>
      </c>
      <c r="DU40" s="213">
        <v>0</v>
      </c>
      <c r="DV40" s="107"/>
      <c r="DW40" s="41"/>
      <c r="DX40" s="353" t="s">
        <v>29</v>
      </c>
      <c r="DY40" s="357"/>
      <c r="DZ40" s="363">
        <f>SUM(DZ36+DZ39)</f>
        <v>0</v>
      </c>
      <c r="EA40" s="361"/>
      <c r="EB40" s="363">
        <f>SUM(EB36+EB39)</f>
        <v>0</v>
      </c>
      <c r="EC40" s="360"/>
      <c r="ED40" s="360"/>
      <c r="EE40" s="360"/>
      <c r="EF40" s="361"/>
      <c r="EG40" s="363">
        <f>SUM(EG36+EG39)</f>
        <v>0</v>
      </c>
      <c r="EH40" s="361"/>
      <c r="EI40" s="363">
        <f>SUM(EI36+EI39)</f>
        <v>0</v>
      </c>
      <c r="EJ40" s="361"/>
      <c r="EK40" s="231">
        <f t="shared" ref="EK40:EM40" si="173">SUM(EK36+EK39)</f>
        <v>0</v>
      </c>
      <c r="EL40" s="231">
        <f t="shared" si="173"/>
        <v>0</v>
      </c>
      <c r="EM40" s="232">
        <f t="shared" si="173"/>
        <v>0</v>
      </c>
      <c r="EN40" s="107"/>
      <c r="EO40" s="41"/>
      <c r="EP40" s="353" t="s">
        <v>29</v>
      </c>
      <c r="EQ40" s="357"/>
      <c r="ER40" s="308">
        <f>SUM(ER36+ER39)</f>
        <v>0</v>
      </c>
      <c r="ES40" s="310"/>
      <c r="ET40" s="308">
        <f>SUM(ET36+ET39)</f>
        <v>0</v>
      </c>
      <c r="EU40" s="309"/>
      <c r="EV40" s="309"/>
      <c r="EW40" s="309"/>
      <c r="EX40" s="310"/>
      <c r="EY40" s="308">
        <f>SUM(EY36+EY39)</f>
        <v>0</v>
      </c>
      <c r="EZ40" s="310"/>
      <c r="FA40" s="308">
        <f>SUM(FA36+FA39)</f>
        <v>0</v>
      </c>
      <c r="FB40" s="310"/>
      <c r="FC40" s="23">
        <f>SUM(FC36+FC39)</f>
        <v>0</v>
      </c>
      <c r="FD40" s="23">
        <f>SUM(FD36+FD39)</f>
        <v>0</v>
      </c>
      <c r="FE40" s="27">
        <f>SUM(FE36+FE39)</f>
        <v>0</v>
      </c>
      <c r="FF40" s="107"/>
      <c r="FG40" s="41"/>
      <c r="FH40" s="353" t="s">
        <v>29</v>
      </c>
      <c r="FI40" s="357"/>
      <c r="FJ40" s="378">
        <v>280</v>
      </c>
      <c r="FK40" s="380"/>
      <c r="FL40" s="378">
        <v>12</v>
      </c>
      <c r="FM40" s="379"/>
      <c r="FN40" s="379"/>
      <c r="FO40" s="379"/>
      <c r="FP40" s="380"/>
      <c r="FQ40" s="378">
        <v>351</v>
      </c>
      <c r="FR40" s="380"/>
      <c r="FS40" s="378">
        <v>112</v>
      </c>
      <c r="FT40" s="380"/>
      <c r="FU40" s="200">
        <v>10</v>
      </c>
      <c r="FV40" s="200">
        <v>0</v>
      </c>
      <c r="FW40" s="213">
        <v>765</v>
      </c>
      <c r="FX40" s="107"/>
      <c r="FY40" s="41"/>
      <c r="FZ40" s="353" t="s">
        <v>29</v>
      </c>
      <c r="GA40" s="357"/>
      <c r="GB40" s="308">
        <f>SUM(GB36+GB39)</f>
        <v>0</v>
      </c>
      <c r="GC40" s="310"/>
      <c r="GD40" s="308">
        <f>SUM(GD36+GD39)</f>
        <v>0</v>
      </c>
      <c r="GE40" s="309"/>
      <c r="GF40" s="309"/>
      <c r="GG40" s="309"/>
      <c r="GH40" s="310"/>
      <c r="GI40" s="308">
        <f>SUM(GI36+GI39)</f>
        <v>0</v>
      </c>
      <c r="GJ40" s="310"/>
      <c r="GK40" s="308">
        <f>SUM(GK36+GK39)</f>
        <v>0</v>
      </c>
      <c r="GL40" s="310"/>
      <c r="GM40" s="23">
        <f>SUM(GM36+GM39)</f>
        <v>0</v>
      </c>
      <c r="GN40" s="23">
        <f>SUM(GN36+GN39)</f>
        <v>0</v>
      </c>
      <c r="GO40" s="27">
        <f>SUM(GO36+GO39)</f>
        <v>0</v>
      </c>
      <c r="GP40" s="107"/>
      <c r="GQ40" s="41"/>
      <c r="GR40" s="353" t="s">
        <v>29</v>
      </c>
      <c r="GS40" s="357"/>
      <c r="GT40" s="308">
        <f>SUM(GT36+GT39)</f>
        <v>0</v>
      </c>
      <c r="GU40" s="310"/>
      <c r="GV40" s="308">
        <f>SUM(GV36+GV39)</f>
        <v>0</v>
      </c>
      <c r="GW40" s="309"/>
      <c r="GX40" s="309"/>
      <c r="GY40" s="309"/>
      <c r="GZ40" s="310"/>
      <c r="HA40" s="308">
        <f>SUM(HA36+HA39)</f>
        <v>0</v>
      </c>
      <c r="HB40" s="310"/>
      <c r="HC40" s="308">
        <f>SUM(HC36+HC39)</f>
        <v>0</v>
      </c>
      <c r="HD40" s="310"/>
      <c r="HE40" s="23">
        <f>SUM(HE36+HE39)</f>
        <v>0</v>
      </c>
      <c r="HF40" s="23">
        <f>SUM(HF36+HF39)</f>
        <v>0</v>
      </c>
      <c r="HG40" s="27">
        <f>SUM(HG36+HG39)</f>
        <v>0</v>
      </c>
      <c r="HH40" s="107"/>
      <c r="HI40" s="41"/>
      <c r="HJ40" s="353" t="s">
        <v>29</v>
      </c>
      <c r="HK40" s="354"/>
      <c r="HL40" s="308">
        <f>SUM(HL36+HL39)</f>
        <v>280</v>
      </c>
      <c r="HM40" s="310"/>
      <c r="HN40" s="308">
        <f>SUM(HN36+HN39)</f>
        <v>12</v>
      </c>
      <c r="HO40" s="309"/>
      <c r="HP40" s="309"/>
      <c r="HQ40" s="309"/>
      <c r="HR40" s="310"/>
      <c r="HS40" s="308">
        <f>SUM(HS36+HS39)</f>
        <v>351</v>
      </c>
      <c r="HT40" s="310"/>
      <c r="HU40" s="308">
        <f>SUM(HU36+HU39)</f>
        <v>112</v>
      </c>
      <c r="HV40" s="310"/>
      <c r="HW40" s="23">
        <f>SUM(HW36+HW39)</f>
        <v>10</v>
      </c>
      <c r="HX40" s="23">
        <f>SUM(HX36+HX39)</f>
        <v>0</v>
      </c>
      <c r="HY40" s="27">
        <f>SUM(HY36+HY39)</f>
        <v>765</v>
      </c>
      <c r="HZ40" s="28"/>
    </row>
    <row r="41" spans="1:244" s="11" customFormat="1" ht="20.100000000000001" customHeight="1" thickTop="1" thickBot="1" x14ac:dyDescent="0.3">
      <c r="A41" s="297" t="s">
        <v>41</v>
      </c>
      <c r="B41" s="304" t="s">
        <v>9</v>
      </c>
      <c r="C41" s="19" t="s">
        <v>24</v>
      </c>
      <c r="D41" s="157">
        <v>94</v>
      </c>
      <c r="E41" s="158">
        <v>0</v>
      </c>
      <c r="F41" s="159">
        <v>0</v>
      </c>
      <c r="G41" s="159">
        <v>0</v>
      </c>
      <c r="H41" s="159">
        <v>0</v>
      </c>
      <c r="I41" s="160">
        <v>0</v>
      </c>
      <c r="J41" s="158">
        <v>0</v>
      </c>
      <c r="K41" s="159">
        <v>131</v>
      </c>
      <c r="L41" s="158">
        <v>0</v>
      </c>
      <c r="M41" s="159">
        <v>36</v>
      </c>
      <c r="N41" s="161">
        <v>0</v>
      </c>
      <c r="O41" s="162">
        <v>3</v>
      </c>
      <c r="P41" s="162">
        <v>0</v>
      </c>
      <c r="Q41" s="124">
        <f>SUM(D41:P41)</f>
        <v>264</v>
      </c>
      <c r="R41" s="133"/>
      <c r="S41" s="297" t="s">
        <v>41</v>
      </c>
      <c r="T41" s="304" t="s">
        <v>9</v>
      </c>
      <c r="U41" s="19" t="s">
        <v>24</v>
      </c>
      <c r="V41" s="157">
        <v>98</v>
      </c>
      <c r="W41" s="158">
        <v>0</v>
      </c>
      <c r="X41" s="159">
        <v>0</v>
      </c>
      <c r="Y41" s="159">
        <v>0</v>
      </c>
      <c r="Z41" s="159">
        <v>0</v>
      </c>
      <c r="AA41" s="160">
        <v>0</v>
      </c>
      <c r="AB41" s="158">
        <v>0</v>
      </c>
      <c r="AC41" s="159">
        <v>138</v>
      </c>
      <c r="AD41" s="158">
        <v>0</v>
      </c>
      <c r="AE41" s="159">
        <v>38</v>
      </c>
      <c r="AF41" s="161">
        <v>0</v>
      </c>
      <c r="AG41" s="162">
        <v>5</v>
      </c>
      <c r="AH41" s="162">
        <v>0</v>
      </c>
      <c r="AI41" s="124">
        <f>SUM(V41:AH41)</f>
        <v>279</v>
      </c>
      <c r="AJ41" s="133"/>
      <c r="AK41" s="297" t="s">
        <v>41</v>
      </c>
      <c r="AL41" s="304" t="s">
        <v>9</v>
      </c>
      <c r="AM41" s="19" t="s">
        <v>24</v>
      </c>
      <c r="AN41" s="157">
        <v>105</v>
      </c>
      <c r="AO41" s="158">
        <v>0</v>
      </c>
      <c r="AP41" s="159">
        <v>0</v>
      </c>
      <c r="AQ41" s="159">
        <v>0</v>
      </c>
      <c r="AR41" s="159">
        <v>0</v>
      </c>
      <c r="AS41" s="160">
        <v>0</v>
      </c>
      <c r="AT41" s="158">
        <v>0</v>
      </c>
      <c r="AU41" s="159">
        <v>132</v>
      </c>
      <c r="AV41" s="158">
        <v>23</v>
      </c>
      <c r="AW41" s="159">
        <v>37</v>
      </c>
      <c r="AX41" s="161">
        <v>0</v>
      </c>
      <c r="AY41" s="162">
        <v>4</v>
      </c>
      <c r="AZ41" s="162">
        <v>0</v>
      </c>
      <c r="BA41" s="124">
        <f>SUM(AN41:AZ41)</f>
        <v>301</v>
      </c>
      <c r="BB41" s="133"/>
      <c r="BC41" s="297" t="s">
        <v>41</v>
      </c>
      <c r="BD41" s="304" t="s">
        <v>9</v>
      </c>
      <c r="BE41" s="19" t="s">
        <v>24</v>
      </c>
      <c r="BF41" s="157">
        <v>99</v>
      </c>
      <c r="BG41" s="158">
        <v>0</v>
      </c>
      <c r="BH41" s="159">
        <v>0</v>
      </c>
      <c r="BI41" s="159">
        <v>0</v>
      </c>
      <c r="BJ41" s="159">
        <v>0</v>
      </c>
      <c r="BK41" s="160">
        <v>0</v>
      </c>
      <c r="BL41" s="158">
        <v>0</v>
      </c>
      <c r="BM41" s="159">
        <v>145</v>
      </c>
      <c r="BN41" s="158">
        <v>0</v>
      </c>
      <c r="BO41" s="159">
        <v>41</v>
      </c>
      <c r="BP41" s="161">
        <v>0</v>
      </c>
      <c r="BQ41" s="162">
        <v>4</v>
      </c>
      <c r="BR41" s="162">
        <v>0</v>
      </c>
      <c r="BS41" s="124">
        <f>SUM(BF41:BR41)</f>
        <v>289</v>
      </c>
      <c r="BT41" s="133"/>
      <c r="BU41" s="297" t="s">
        <v>41</v>
      </c>
      <c r="BV41" s="304" t="s">
        <v>9</v>
      </c>
      <c r="BW41" s="19" t="s">
        <v>24</v>
      </c>
      <c r="BX41" s="157">
        <v>9</v>
      </c>
      <c r="BY41" s="158">
        <v>1</v>
      </c>
      <c r="BZ41" s="159">
        <v>6</v>
      </c>
      <c r="CA41" s="159">
        <v>2</v>
      </c>
      <c r="CB41" s="159">
        <v>4</v>
      </c>
      <c r="CC41" s="160">
        <v>0</v>
      </c>
      <c r="CD41" s="158">
        <v>0</v>
      </c>
      <c r="CE41" s="159">
        <v>0</v>
      </c>
      <c r="CF41" s="158">
        <v>157</v>
      </c>
      <c r="CG41" s="159">
        <v>28</v>
      </c>
      <c r="CH41" s="161">
        <v>0</v>
      </c>
      <c r="CI41" s="162">
        <v>14</v>
      </c>
      <c r="CJ41" s="162">
        <v>0</v>
      </c>
      <c r="CK41" s="124">
        <f>SUM(BX41:CJ41)</f>
        <v>221</v>
      </c>
      <c r="CL41" s="133"/>
      <c r="CM41" s="297" t="s">
        <v>41</v>
      </c>
      <c r="CN41" s="304" t="s">
        <v>9</v>
      </c>
      <c r="CO41" s="19" t="s">
        <v>24</v>
      </c>
      <c r="CP41" s="168">
        <v>75</v>
      </c>
      <c r="CQ41" s="169">
        <v>0</v>
      </c>
      <c r="CR41" s="170">
        <v>0</v>
      </c>
      <c r="CS41" s="170">
        <v>0</v>
      </c>
      <c r="CT41" s="170">
        <v>0</v>
      </c>
      <c r="CU41" s="171">
        <v>0</v>
      </c>
      <c r="CV41" s="169">
        <v>0</v>
      </c>
      <c r="CW41" s="170">
        <v>101</v>
      </c>
      <c r="CX41" s="169">
        <v>0</v>
      </c>
      <c r="CY41" s="170">
        <v>15</v>
      </c>
      <c r="CZ41" s="172">
        <v>0</v>
      </c>
      <c r="DA41" s="173">
        <v>2</v>
      </c>
      <c r="DB41" s="173">
        <v>0</v>
      </c>
      <c r="DC41" s="24">
        <f>SUM(CP41:DB41)</f>
        <v>193</v>
      </c>
      <c r="DD41" s="107"/>
      <c r="DE41" s="297" t="s">
        <v>41</v>
      </c>
      <c r="DF41" s="304" t="s">
        <v>9</v>
      </c>
      <c r="DG41" s="19" t="s">
        <v>24</v>
      </c>
      <c r="DH41" s="168">
        <v>96</v>
      </c>
      <c r="DI41" s="169">
        <v>0</v>
      </c>
      <c r="DJ41" s="170">
        <v>0</v>
      </c>
      <c r="DK41" s="170">
        <v>0</v>
      </c>
      <c r="DL41" s="170">
        <v>0</v>
      </c>
      <c r="DM41" s="171">
        <v>0</v>
      </c>
      <c r="DN41" s="169">
        <v>0</v>
      </c>
      <c r="DO41" s="170">
        <v>132</v>
      </c>
      <c r="DP41" s="169">
        <v>0</v>
      </c>
      <c r="DQ41" s="170">
        <v>37</v>
      </c>
      <c r="DR41" s="172">
        <v>0</v>
      </c>
      <c r="DS41" s="173">
        <v>4</v>
      </c>
      <c r="DT41" s="173">
        <v>0</v>
      </c>
      <c r="DU41" s="211">
        <v>269</v>
      </c>
      <c r="DV41" s="107"/>
      <c r="DW41" s="297" t="s">
        <v>41</v>
      </c>
      <c r="DX41" s="304" t="s">
        <v>9</v>
      </c>
      <c r="DY41" s="19" t="s">
        <v>24</v>
      </c>
      <c r="DZ41" s="217">
        <v>75</v>
      </c>
      <c r="EA41" s="218">
        <v>0</v>
      </c>
      <c r="EB41" s="219">
        <v>0</v>
      </c>
      <c r="EC41" s="219">
        <v>0</v>
      </c>
      <c r="ED41" s="219">
        <v>0</v>
      </c>
      <c r="EE41" s="220">
        <v>0</v>
      </c>
      <c r="EF41" s="218">
        <v>0</v>
      </c>
      <c r="EG41" s="219">
        <v>101</v>
      </c>
      <c r="EH41" s="218">
        <v>0</v>
      </c>
      <c r="EI41" s="219">
        <v>15</v>
      </c>
      <c r="EJ41" s="221">
        <v>0</v>
      </c>
      <c r="EK41" s="222">
        <v>2</v>
      </c>
      <c r="EL41" s="222">
        <v>0</v>
      </c>
      <c r="EM41" s="223">
        <f t="shared" ref="EM41:EM42" si="174">SUM(DZ41:EL41)</f>
        <v>193</v>
      </c>
      <c r="EN41" s="107"/>
      <c r="EO41" s="297" t="s">
        <v>41</v>
      </c>
      <c r="EP41" s="304" t="s">
        <v>9</v>
      </c>
      <c r="EQ41" s="19" t="s">
        <v>24</v>
      </c>
      <c r="ER41" s="284">
        <v>56</v>
      </c>
      <c r="ES41" s="284">
        <v>3</v>
      </c>
      <c r="ET41" s="284">
        <v>0</v>
      </c>
      <c r="EU41" s="284">
        <v>20</v>
      </c>
      <c r="EV41" s="285">
        <v>0</v>
      </c>
      <c r="EW41" s="286">
        <v>0</v>
      </c>
      <c r="EX41" s="285">
        <v>5</v>
      </c>
      <c r="EY41" s="284">
        <v>50</v>
      </c>
      <c r="EZ41" s="284">
        <v>42</v>
      </c>
      <c r="FA41" s="284">
        <v>44</v>
      </c>
      <c r="FB41" s="287">
        <v>0</v>
      </c>
      <c r="FC41" s="288">
        <v>5</v>
      </c>
      <c r="FD41" s="288">
        <v>0</v>
      </c>
      <c r="FE41" s="289">
        <f t="shared" ref="FE41:FE42" si="175">SUM(ER41:FD41)</f>
        <v>225</v>
      </c>
      <c r="FF41" s="107"/>
      <c r="FG41" s="297" t="s">
        <v>41</v>
      </c>
      <c r="FH41" s="304" t="s">
        <v>9</v>
      </c>
      <c r="FI41" s="19" t="s">
        <v>24</v>
      </c>
      <c r="FJ41" s="458">
        <v>93</v>
      </c>
      <c r="FK41" s="175">
        <v>0</v>
      </c>
      <c r="FL41" s="175">
        <v>0</v>
      </c>
      <c r="FM41" s="175">
        <v>0</v>
      </c>
      <c r="FN41" s="175">
        <v>0</v>
      </c>
      <c r="FO41" s="459">
        <v>0</v>
      </c>
      <c r="FP41" s="175">
        <v>0</v>
      </c>
      <c r="FQ41" s="460">
        <v>130</v>
      </c>
      <c r="FR41" s="175">
        <v>0</v>
      </c>
      <c r="FS41" s="460">
        <v>34</v>
      </c>
      <c r="FT41" s="459">
        <v>0</v>
      </c>
      <c r="FU41" s="179">
        <v>2</v>
      </c>
      <c r="FV41" s="179">
        <v>0</v>
      </c>
      <c r="FW41" s="212">
        <v>259</v>
      </c>
      <c r="FX41" s="107"/>
      <c r="FY41" s="297" t="s">
        <v>41</v>
      </c>
      <c r="FZ41" s="304" t="s">
        <v>9</v>
      </c>
      <c r="GA41" s="19" t="s">
        <v>24</v>
      </c>
      <c r="GB41" s="8">
        <v>0</v>
      </c>
      <c r="GC41" s="33">
        <v>0</v>
      </c>
      <c r="GD41" s="4">
        <v>0</v>
      </c>
      <c r="GE41" s="5">
        <v>0</v>
      </c>
      <c r="GF41" s="6">
        <v>0</v>
      </c>
      <c r="GG41" s="84">
        <v>0</v>
      </c>
      <c r="GH41" s="7">
        <v>0</v>
      </c>
      <c r="GI41" s="34">
        <v>0</v>
      </c>
      <c r="GJ41" s="9">
        <v>0</v>
      </c>
      <c r="GK41" s="10">
        <v>0</v>
      </c>
      <c r="GL41" s="86">
        <v>0</v>
      </c>
      <c r="GM41" s="21">
        <v>0</v>
      </c>
      <c r="GN41" s="21">
        <v>0</v>
      </c>
      <c r="GO41" s="24">
        <f>SUM(GB41:GN41)</f>
        <v>0</v>
      </c>
      <c r="GP41" s="107"/>
      <c r="GQ41" s="297" t="s">
        <v>41</v>
      </c>
      <c r="GR41" s="304" t="s">
        <v>9</v>
      </c>
      <c r="GS41" s="19" t="s">
        <v>24</v>
      </c>
      <c r="GT41" s="8">
        <v>0</v>
      </c>
      <c r="GU41" s="33">
        <v>0</v>
      </c>
      <c r="GV41" s="4">
        <v>0</v>
      </c>
      <c r="GW41" s="5">
        <v>0</v>
      </c>
      <c r="GX41" s="6">
        <v>0</v>
      </c>
      <c r="GY41" s="84">
        <v>0</v>
      </c>
      <c r="GZ41" s="7">
        <v>0</v>
      </c>
      <c r="HA41" s="34">
        <v>0</v>
      </c>
      <c r="HB41" s="9">
        <v>0</v>
      </c>
      <c r="HC41" s="10">
        <v>0</v>
      </c>
      <c r="HD41" s="86">
        <v>0</v>
      </c>
      <c r="HE41" s="21">
        <v>0</v>
      </c>
      <c r="HF41" s="21">
        <v>0</v>
      </c>
      <c r="HG41" s="24">
        <f>SUM(GT41:HF41)</f>
        <v>0</v>
      </c>
      <c r="HH41" s="107"/>
      <c r="HI41" s="297" t="str">
        <f>GQ41</f>
        <v>قويزة</v>
      </c>
      <c r="HJ41" s="304" t="s">
        <v>9</v>
      </c>
      <c r="HK41" s="19" t="s">
        <v>24</v>
      </c>
      <c r="HL41" s="8">
        <f t="shared" ref="HL41:HL42" si="176">SUM(D41+V41+AN41+BF41+BX41+CP41+DH41+DZ41+ER41+FJ41+GB41+GT41)</f>
        <v>800</v>
      </c>
      <c r="HM41" s="9">
        <f t="shared" ref="HM41:HM42" si="177">SUM(E41+W41+AO41+BG41+BY41+CQ41+DI41+EA41+ES41+FK41+GC41+GU41)</f>
        <v>4</v>
      </c>
      <c r="HN41" s="34">
        <f t="shared" ref="HN41:HN42" si="178">SUM(F41+X41+AP41+BH41+BZ41+CR41+DJ41+EB41+ET41+FL41+GD41+GV41)</f>
        <v>6</v>
      </c>
      <c r="HO41" s="35">
        <f t="shared" ref="HO41:HO42" si="179">SUM(G41+Y41+AQ41+BI41+CA41+CS41+DK41+EC41+EU41+FM41+GE41+GW41)</f>
        <v>22</v>
      </c>
      <c r="HP41" s="35">
        <f t="shared" ref="HP41:HP42" si="180">SUM(H41+Z41+AR41+BJ41+CB41+CT41+DL41+ED41+EV41+FN41+GF41+GX41)</f>
        <v>4</v>
      </c>
      <c r="HQ41" s="46">
        <f t="shared" ref="HQ41:HQ42" si="181">SUM(I41+AA41+AS41+BK41+CC41+CU41+DM41+EE41+EW41+FO41+GG41+GY41)</f>
        <v>0</v>
      </c>
      <c r="HR41" s="9">
        <f t="shared" ref="HR41:HR42" si="182">SUM(J41+AB41+AT41+BL41+CD41+CV41+DN41+EF41+EX41+FP41+GH41+GZ41)</f>
        <v>5</v>
      </c>
      <c r="HS41" s="34">
        <f t="shared" ref="HS41:HS42" si="183">SUM(K41+AC41+AU41+BM41+CE41+CW41+DO41+EG41+EY41+FQ41+GI41+HA41)</f>
        <v>1060</v>
      </c>
      <c r="HT41" s="9">
        <f t="shared" ref="HT41:HT42" si="184">SUM(L41+AD41+AV41+BN41+CF41+CX41+DP41+EH41+EZ41+FR41+GJ41+HB41)</f>
        <v>222</v>
      </c>
      <c r="HU41" s="34">
        <f t="shared" ref="HU41:HU42" si="185">SUM(M41+AE41+AW41+BO41+CG41+CY41+DQ41+EI41+FA41+FS41+GK41+HC41)</f>
        <v>325</v>
      </c>
      <c r="HV41" s="47">
        <f t="shared" ref="HV41:HV42" si="186">SUM(N41+AF41+AX41+BP41+CH41+CZ41+DR41+EJ41+FB41+FT41+GL41+HD41)</f>
        <v>0</v>
      </c>
      <c r="HW41" s="44">
        <f t="shared" ref="HW41:HW42" si="187">SUM(O41+AG41+AY41+BQ41+CI41+DA41+DS41+EK41+FC41+FU41+GM41+HE41)</f>
        <v>45</v>
      </c>
      <c r="HX41" s="44">
        <f t="shared" ref="HX41:HX42" si="188">SUM(P41+AH41+AZ41+BR41+CJ41+DB41+DT41+EL41+FD41+FV41+GN41+HF41)</f>
        <v>0</v>
      </c>
      <c r="HY41" s="38">
        <f>SUM(HL41:HX41)</f>
        <v>2493</v>
      </c>
      <c r="HZ41" s="28"/>
    </row>
    <row r="42" spans="1:244" s="11" customFormat="1" ht="20.100000000000001" customHeight="1" thickBot="1" x14ac:dyDescent="0.3">
      <c r="A42" s="298"/>
      <c r="B42" s="305"/>
      <c r="C42" s="20" t="s">
        <v>25</v>
      </c>
      <c r="D42" s="163">
        <v>108</v>
      </c>
      <c r="E42" s="164">
        <v>0</v>
      </c>
      <c r="F42" s="165">
        <v>0</v>
      </c>
      <c r="G42" s="165">
        <v>14</v>
      </c>
      <c r="H42" s="165">
        <v>0</v>
      </c>
      <c r="I42" s="165">
        <v>0</v>
      </c>
      <c r="J42" s="164">
        <v>0</v>
      </c>
      <c r="K42" s="165">
        <v>188</v>
      </c>
      <c r="L42" s="164">
        <v>0</v>
      </c>
      <c r="M42" s="165">
        <v>53</v>
      </c>
      <c r="N42" s="164">
        <v>0</v>
      </c>
      <c r="O42" s="166">
        <v>8</v>
      </c>
      <c r="P42" s="166">
        <v>0</v>
      </c>
      <c r="Q42" s="125">
        <f>SUM(D42:P42)</f>
        <v>371</v>
      </c>
      <c r="R42" s="133"/>
      <c r="S42" s="298"/>
      <c r="T42" s="305"/>
      <c r="U42" s="20" t="s">
        <v>25</v>
      </c>
      <c r="V42" s="163">
        <v>110</v>
      </c>
      <c r="W42" s="164">
        <v>0</v>
      </c>
      <c r="X42" s="165">
        <v>0</v>
      </c>
      <c r="Y42" s="165">
        <v>16</v>
      </c>
      <c r="Z42" s="165">
        <v>0</v>
      </c>
      <c r="AA42" s="165">
        <v>0</v>
      </c>
      <c r="AB42" s="164">
        <v>0</v>
      </c>
      <c r="AC42" s="165">
        <v>191</v>
      </c>
      <c r="AD42" s="164">
        <v>0</v>
      </c>
      <c r="AE42" s="165">
        <v>55</v>
      </c>
      <c r="AF42" s="164">
        <v>0</v>
      </c>
      <c r="AG42" s="166">
        <v>11</v>
      </c>
      <c r="AH42" s="166">
        <v>0</v>
      </c>
      <c r="AI42" s="125">
        <f>SUM(V42:AH42)</f>
        <v>383</v>
      </c>
      <c r="AJ42" s="133"/>
      <c r="AK42" s="298"/>
      <c r="AL42" s="305"/>
      <c r="AM42" s="20" t="s">
        <v>25</v>
      </c>
      <c r="AN42" s="163">
        <v>109</v>
      </c>
      <c r="AO42" s="164">
        <v>0</v>
      </c>
      <c r="AP42" s="165">
        <v>0</v>
      </c>
      <c r="AQ42" s="165">
        <v>15</v>
      </c>
      <c r="AR42" s="165">
        <v>0</v>
      </c>
      <c r="AS42" s="165">
        <v>8</v>
      </c>
      <c r="AT42" s="164">
        <v>0</v>
      </c>
      <c r="AU42" s="165">
        <v>160</v>
      </c>
      <c r="AV42" s="164">
        <v>12</v>
      </c>
      <c r="AW42" s="165">
        <v>54</v>
      </c>
      <c r="AX42" s="164">
        <v>2</v>
      </c>
      <c r="AY42" s="166">
        <v>5</v>
      </c>
      <c r="AZ42" s="166">
        <v>0</v>
      </c>
      <c r="BA42" s="125">
        <f>SUM(AN42:AZ42)</f>
        <v>365</v>
      </c>
      <c r="BB42" s="133"/>
      <c r="BC42" s="298"/>
      <c r="BD42" s="305"/>
      <c r="BE42" s="20" t="s">
        <v>25</v>
      </c>
      <c r="BF42" s="163">
        <v>110</v>
      </c>
      <c r="BG42" s="164">
        <v>0</v>
      </c>
      <c r="BH42" s="165">
        <v>0</v>
      </c>
      <c r="BI42" s="165">
        <v>16</v>
      </c>
      <c r="BJ42" s="165">
        <v>0</v>
      </c>
      <c r="BK42" s="165">
        <v>0</v>
      </c>
      <c r="BL42" s="164">
        <v>0</v>
      </c>
      <c r="BM42" s="165">
        <v>192</v>
      </c>
      <c r="BN42" s="164">
        <v>0</v>
      </c>
      <c r="BO42" s="165">
        <v>43</v>
      </c>
      <c r="BP42" s="164">
        <v>0</v>
      </c>
      <c r="BQ42" s="166">
        <v>5</v>
      </c>
      <c r="BR42" s="166">
        <v>0</v>
      </c>
      <c r="BS42" s="125">
        <f>SUM(BF42:BR42)</f>
        <v>366</v>
      </c>
      <c r="BT42" s="133"/>
      <c r="BU42" s="298"/>
      <c r="BV42" s="305"/>
      <c r="BW42" s="20" t="s">
        <v>25</v>
      </c>
      <c r="BX42" s="163">
        <v>21</v>
      </c>
      <c r="BY42" s="164">
        <v>1</v>
      </c>
      <c r="BZ42" s="165">
        <v>43</v>
      </c>
      <c r="CA42" s="165">
        <v>41</v>
      </c>
      <c r="CB42" s="165">
        <v>39</v>
      </c>
      <c r="CC42" s="165">
        <v>0</v>
      </c>
      <c r="CD42" s="164">
        <v>0</v>
      </c>
      <c r="CE42" s="165">
        <v>0</v>
      </c>
      <c r="CF42" s="164">
        <v>166</v>
      </c>
      <c r="CG42" s="165">
        <v>41</v>
      </c>
      <c r="CH42" s="164">
        <v>32</v>
      </c>
      <c r="CI42" s="166">
        <v>16</v>
      </c>
      <c r="CJ42" s="166">
        <v>0</v>
      </c>
      <c r="CK42" s="125">
        <f>SUM(BX42:CJ42)</f>
        <v>400</v>
      </c>
      <c r="CL42" s="133"/>
      <c r="CM42" s="298"/>
      <c r="CN42" s="305"/>
      <c r="CO42" s="20" t="s">
        <v>25</v>
      </c>
      <c r="CP42" s="163">
        <v>80</v>
      </c>
      <c r="CQ42" s="164">
        <v>0</v>
      </c>
      <c r="CR42" s="165">
        <v>0</v>
      </c>
      <c r="CS42" s="165">
        <v>0</v>
      </c>
      <c r="CT42" s="165">
        <v>0</v>
      </c>
      <c r="CU42" s="165">
        <v>0</v>
      </c>
      <c r="CV42" s="164">
        <v>0</v>
      </c>
      <c r="CW42" s="165">
        <v>94</v>
      </c>
      <c r="CX42" s="164">
        <v>0</v>
      </c>
      <c r="CY42" s="165">
        <v>14</v>
      </c>
      <c r="CZ42" s="164">
        <v>0</v>
      </c>
      <c r="DA42" s="166">
        <v>3</v>
      </c>
      <c r="DB42" s="166">
        <v>0</v>
      </c>
      <c r="DC42" s="25">
        <f>SUM(CP42:DB42)</f>
        <v>191</v>
      </c>
      <c r="DD42" s="107"/>
      <c r="DE42" s="298"/>
      <c r="DF42" s="305"/>
      <c r="DG42" s="20" t="s">
        <v>25</v>
      </c>
      <c r="DH42" s="163">
        <v>109</v>
      </c>
      <c r="DI42" s="164">
        <v>0</v>
      </c>
      <c r="DJ42" s="165">
        <v>0</v>
      </c>
      <c r="DK42" s="165">
        <v>15</v>
      </c>
      <c r="DL42" s="165">
        <v>0</v>
      </c>
      <c r="DM42" s="165">
        <v>0</v>
      </c>
      <c r="DN42" s="164">
        <v>0</v>
      </c>
      <c r="DO42" s="165">
        <v>189</v>
      </c>
      <c r="DP42" s="164">
        <v>0</v>
      </c>
      <c r="DQ42" s="165">
        <v>54</v>
      </c>
      <c r="DR42" s="164">
        <v>0</v>
      </c>
      <c r="DS42" s="166">
        <v>9</v>
      </c>
      <c r="DT42" s="166">
        <v>0</v>
      </c>
      <c r="DU42" s="167">
        <v>376</v>
      </c>
      <c r="DV42" s="107"/>
      <c r="DW42" s="298"/>
      <c r="DX42" s="305"/>
      <c r="DY42" s="20" t="s">
        <v>25</v>
      </c>
      <c r="DZ42" s="224">
        <v>80</v>
      </c>
      <c r="EA42" s="225">
        <v>0</v>
      </c>
      <c r="EB42" s="226">
        <v>0</v>
      </c>
      <c r="EC42" s="226">
        <v>0</v>
      </c>
      <c r="ED42" s="226">
        <v>0</v>
      </c>
      <c r="EE42" s="226">
        <v>0</v>
      </c>
      <c r="EF42" s="225">
        <v>0</v>
      </c>
      <c r="EG42" s="226">
        <v>94</v>
      </c>
      <c r="EH42" s="225">
        <v>0</v>
      </c>
      <c r="EI42" s="226">
        <v>14</v>
      </c>
      <c r="EJ42" s="225">
        <v>0</v>
      </c>
      <c r="EK42" s="227">
        <v>3</v>
      </c>
      <c r="EL42" s="227">
        <v>0</v>
      </c>
      <c r="EM42" s="228">
        <f t="shared" si="174"/>
        <v>191</v>
      </c>
      <c r="EN42" s="107"/>
      <c r="EO42" s="298"/>
      <c r="EP42" s="305"/>
      <c r="EQ42" s="20" t="s">
        <v>25</v>
      </c>
      <c r="ER42" s="284">
        <v>66</v>
      </c>
      <c r="ES42" s="284">
        <v>1</v>
      </c>
      <c r="ET42" s="284">
        <v>0</v>
      </c>
      <c r="EU42" s="284">
        <v>21</v>
      </c>
      <c r="EV42" s="285">
        <v>0</v>
      </c>
      <c r="EW42" s="285">
        <v>0</v>
      </c>
      <c r="EX42" s="285">
        <v>2</v>
      </c>
      <c r="EY42" s="284">
        <v>23</v>
      </c>
      <c r="EZ42" s="284">
        <v>50</v>
      </c>
      <c r="FA42" s="284">
        <v>65</v>
      </c>
      <c r="FB42" s="284">
        <v>24</v>
      </c>
      <c r="FC42" s="288">
        <v>2</v>
      </c>
      <c r="FD42" s="288">
        <v>0</v>
      </c>
      <c r="FE42" s="289">
        <f t="shared" si="175"/>
        <v>254</v>
      </c>
      <c r="FF42" s="107"/>
      <c r="FG42" s="298"/>
      <c r="FH42" s="305"/>
      <c r="FI42" s="20" t="s">
        <v>25</v>
      </c>
      <c r="FJ42" s="461">
        <v>106</v>
      </c>
      <c r="FK42" s="181">
        <v>0</v>
      </c>
      <c r="FL42" s="181">
        <v>0</v>
      </c>
      <c r="FM42" s="181">
        <v>13</v>
      </c>
      <c r="FN42" s="181">
        <v>0</v>
      </c>
      <c r="FO42" s="208">
        <v>0</v>
      </c>
      <c r="FP42" s="181">
        <v>0</v>
      </c>
      <c r="FQ42" s="208">
        <v>187</v>
      </c>
      <c r="FR42" s="181">
        <v>0</v>
      </c>
      <c r="FS42" s="208">
        <v>52</v>
      </c>
      <c r="FT42" s="208">
        <v>0</v>
      </c>
      <c r="FU42" s="184">
        <v>7</v>
      </c>
      <c r="FV42" s="184">
        <v>0</v>
      </c>
      <c r="FW42" s="202">
        <v>365</v>
      </c>
      <c r="FX42" s="107"/>
      <c r="FY42" s="298"/>
      <c r="FZ42" s="305"/>
      <c r="GA42" s="20" t="s">
        <v>25</v>
      </c>
      <c r="GB42" s="12">
        <v>0</v>
      </c>
      <c r="GC42" s="18">
        <v>0</v>
      </c>
      <c r="GD42" s="12">
        <v>0</v>
      </c>
      <c r="GE42" s="13">
        <v>0</v>
      </c>
      <c r="GF42" s="15">
        <v>0</v>
      </c>
      <c r="GG42" s="15">
        <v>0</v>
      </c>
      <c r="GH42" s="16">
        <v>0</v>
      </c>
      <c r="GI42" s="17">
        <v>0</v>
      </c>
      <c r="GJ42" s="14">
        <v>0</v>
      </c>
      <c r="GK42" s="17">
        <v>0</v>
      </c>
      <c r="GL42" s="18">
        <v>0</v>
      </c>
      <c r="GM42" s="22">
        <v>0</v>
      </c>
      <c r="GN42" s="22">
        <v>0</v>
      </c>
      <c r="GO42" s="25">
        <f>SUM(GB42:GN42)</f>
        <v>0</v>
      </c>
      <c r="GP42" s="107"/>
      <c r="GQ42" s="298"/>
      <c r="GR42" s="305"/>
      <c r="GS42" s="20" t="s">
        <v>25</v>
      </c>
      <c r="GT42" s="12">
        <v>0</v>
      </c>
      <c r="GU42" s="18">
        <v>0</v>
      </c>
      <c r="GV42" s="12">
        <v>0</v>
      </c>
      <c r="GW42" s="13">
        <v>0</v>
      </c>
      <c r="GX42" s="15">
        <v>0</v>
      </c>
      <c r="GY42" s="15">
        <v>0</v>
      </c>
      <c r="GZ42" s="16">
        <v>0</v>
      </c>
      <c r="HA42" s="17">
        <v>0</v>
      </c>
      <c r="HB42" s="14">
        <v>0</v>
      </c>
      <c r="HC42" s="17">
        <v>0</v>
      </c>
      <c r="HD42" s="18">
        <v>0</v>
      </c>
      <c r="HE42" s="22">
        <v>0</v>
      </c>
      <c r="HF42" s="22">
        <v>0</v>
      </c>
      <c r="HG42" s="25">
        <f>SUM(GT42:HF42)</f>
        <v>0</v>
      </c>
      <c r="HH42" s="107"/>
      <c r="HI42" s="298"/>
      <c r="HJ42" s="305"/>
      <c r="HK42" s="20" t="s">
        <v>25</v>
      </c>
      <c r="HL42" s="12">
        <f t="shared" si="176"/>
        <v>899</v>
      </c>
      <c r="HM42" s="14">
        <f t="shared" si="177"/>
        <v>2</v>
      </c>
      <c r="HN42" s="17">
        <f t="shared" si="178"/>
        <v>43</v>
      </c>
      <c r="HO42" s="13">
        <f t="shared" si="179"/>
        <v>151</v>
      </c>
      <c r="HP42" s="13">
        <f t="shared" si="180"/>
        <v>39</v>
      </c>
      <c r="HQ42" s="13">
        <f t="shared" si="181"/>
        <v>8</v>
      </c>
      <c r="HR42" s="14">
        <f t="shared" si="182"/>
        <v>2</v>
      </c>
      <c r="HS42" s="17">
        <f t="shared" si="183"/>
        <v>1318</v>
      </c>
      <c r="HT42" s="14">
        <f t="shared" si="184"/>
        <v>228</v>
      </c>
      <c r="HU42" s="17">
        <f t="shared" si="185"/>
        <v>445</v>
      </c>
      <c r="HV42" s="14">
        <f t="shared" si="186"/>
        <v>58</v>
      </c>
      <c r="HW42" s="45">
        <f t="shared" si="187"/>
        <v>69</v>
      </c>
      <c r="HX42" s="45">
        <f t="shared" si="188"/>
        <v>0</v>
      </c>
      <c r="HY42" s="39">
        <f>SUM(HL42:HX42)</f>
        <v>3262</v>
      </c>
      <c r="HZ42" s="28"/>
    </row>
    <row r="43" spans="1:244" s="11" customFormat="1" ht="20.100000000000001" customHeight="1" thickTop="1" thickBot="1" x14ac:dyDescent="0.3">
      <c r="A43" s="298"/>
      <c r="B43" s="295" t="s">
        <v>26</v>
      </c>
      <c r="C43" s="296"/>
      <c r="D43" s="375">
        <v>202</v>
      </c>
      <c r="E43" s="377"/>
      <c r="F43" s="375">
        <v>14</v>
      </c>
      <c r="G43" s="376"/>
      <c r="H43" s="376"/>
      <c r="I43" s="376"/>
      <c r="J43" s="377"/>
      <c r="K43" s="375">
        <v>319</v>
      </c>
      <c r="L43" s="377"/>
      <c r="M43" s="375">
        <v>89</v>
      </c>
      <c r="N43" s="377"/>
      <c r="O43" s="167">
        <v>11</v>
      </c>
      <c r="P43" s="167">
        <v>0</v>
      </c>
      <c r="Q43" s="126">
        <f>SUM(Q41:Q42)</f>
        <v>635</v>
      </c>
      <c r="R43" s="133"/>
      <c r="S43" s="298"/>
      <c r="T43" s="295" t="s">
        <v>26</v>
      </c>
      <c r="U43" s="296"/>
      <c r="V43" s="375">
        <v>208</v>
      </c>
      <c r="W43" s="377"/>
      <c r="X43" s="375">
        <v>16</v>
      </c>
      <c r="Y43" s="376"/>
      <c r="Z43" s="376"/>
      <c r="AA43" s="376"/>
      <c r="AB43" s="377"/>
      <c r="AC43" s="375">
        <v>329</v>
      </c>
      <c r="AD43" s="377"/>
      <c r="AE43" s="375">
        <v>93</v>
      </c>
      <c r="AF43" s="377"/>
      <c r="AG43" s="167">
        <v>16</v>
      </c>
      <c r="AH43" s="167">
        <v>0</v>
      </c>
      <c r="AI43" s="126">
        <f>SUM(AI41:AI42)</f>
        <v>662</v>
      </c>
      <c r="AJ43" s="133"/>
      <c r="AK43" s="298"/>
      <c r="AL43" s="295" t="s">
        <v>26</v>
      </c>
      <c r="AM43" s="296"/>
      <c r="AN43" s="375">
        <v>214</v>
      </c>
      <c r="AO43" s="377"/>
      <c r="AP43" s="375">
        <v>23</v>
      </c>
      <c r="AQ43" s="376"/>
      <c r="AR43" s="376"/>
      <c r="AS43" s="376"/>
      <c r="AT43" s="377"/>
      <c r="AU43" s="375">
        <v>327</v>
      </c>
      <c r="AV43" s="377"/>
      <c r="AW43" s="375">
        <v>93</v>
      </c>
      <c r="AX43" s="377"/>
      <c r="AY43" s="167">
        <v>9</v>
      </c>
      <c r="AZ43" s="167">
        <v>0</v>
      </c>
      <c r="BA43" s="126">
        <f>SUM(BA41:BA42)</f>
        <v>666</v>
      </c>
      <c r="BB43" s="133"/>
      <c r="BC43" s="298"/>
      <c r="BD43" s="295" t="s">
        <v>26</v>
      </c>
      <c r="BE43" s="296"/>
      <c r="BF43" s="375">
        <v>209</v>
      </c>
      <c r="BG43" s="377"/>
      <c r="BH43" s="375">
        <v>16</v>
      </c>
      <c r="BI43" s="376"/>
      <c r="BJ43" s="376"/>
      <c r="BK43" s="376"/>
      <c r="BL43" s="377"/>
      <c r="BM43" s="375">
        <v>337</v>
      </c>
      <c r="BN43" s="377"/>
      <c r="BO43" s="375">
        <v>84</v>
      </c>
      <c r="BP43" s="377"/>
      <c r="BQ43" s="167">
        <v>9</v>
      </c>
      <c r="BR43" s="167">
        <v>0</v>
      </c>
      <c r="BS43" s="126">
        <f>SUM(BS41:BS42)</f>
        <v>655</v>
      </c>
      <c r="BT43" s="133"/>
      <c r="BU43" s="298"/>
      <c r="BV43" s="295" t="s">
        <v>26</v>
      </c>
      <c r="BW43" s="296"/>
      <c r="BX43" s="375">
        <v>32</v>
      </c>
      <c r="BY43" s="377"/>
      <c r="BZ43" s="375">
        <v>135</v>
      </c>
      <c r="CA43" s="376"/>
      <c r="CB43" s="376"/>
      <c r="CC43" s="376"/>
      <c r="CD43" s="377"/>
      <c r="CE43" s="375">
        <v>323</v>
      </c>
      <c r="CF43" s="377"/>
      <c r="CG43" s="375">
        <v>101</v>
      </c>
      <c r="CH43" s="377"/>
      <c r="CI43" s="167">
        <v>30</v>
      </c>
      <c r="CJ43" s="167">
        <v>0</v>
      </c>
      <c r="CK43" s="126">
        <f>SUM(CK41:CK42)</f>
        <v>621</v>
      </c>
      <c r="CL43" s="133"/>
      <c r="CM43" s="298"/>
      <c r="CN43" s="295" t="s">
        <v>26</v>
      </c>
      <c r="CO43" s="296"/>
      <c r="CP43" s="375">
        <v>155</v>
      </c>
      <c r="CQ43" s="377"/>
      <c r="CR43" s="375">
        <v>0</v>
      </c>
      <c r="CS43" s="376"/>
      <c r="CT43" s="376"/>
      <c r="CU43" s="376"/>
      <c r="CV43" s="377"/>
      <c r="CW43" s="375">
        <v>195</v>
      </c>
      <c r="CX43" s="377"/>
      <c r="CY43" s="375">
        <v>29</v>
      </c>
      <c r="CZ43" s="377"/>
      <c r="DA43" s="167">
        <v>5</v>
      </c>
      <c r="DB43" s="167">
        <v>0</v>
      </c>
      <c r="DC43" s="26">
        <f>SUM(DC41:DC42)</f>
        <v>384</v>
      </c>
      <c r="DD43" s="107"/>
      <c r="DE43" s="298"/>
      <c r="DF43" s="295" t="s">
        <v>26</v>
      </c>
      <c r="DG43" s="296"/>
      <c r="DH43" s="375">
        <v>205</v>
      </c>
      <c r="DI43" s="377"/>
      <c r="DJ43" s="375">
        <v>15</v>
      </c>
      <c r="DK43" s="376"/>
      <c r="DL43" s="376"/>
      <c r="DM43" s="376"/>
      <c r="DN43" s="377"/>
      <c r="DO43" s="375">
        <v>321</v>
      </c>
      <c r="DP43" s="377"/>
      <c r="DQ43" s="375">
        <v>91</v>
      </c>
      <c r="DR43" s="377"/>
      <c r="DS43" s="167">
        <v>13</v>
      </c>
      <c r="DT43" s="167">
        <v>0</v>
      </c>
      <c r="DU43" s="210">
        <v>645</v>
      </c>
      <c r="DV43" s="107"/>
      <c r="DW43" s="298"/>
      <c r="DX43" s="295" t="s">
        <v>26</v>
      </c>
      <c r="DY43" s="296"/>
      <c r="DZ43" s="359">
        <f>SUM(DZ41:EA42)</f>
        <v>155</v>
      </c>
      <c r="EA43" s="361"/>
      <c r="EB43" s="359">
        <f>SUM(EB41:EF42)</f>
        <v>0</v>
      </c>
      <c r="EC43" s="360"/>
      <c r="ED43" s="360"/>
      <c r="EE43" s="360"/>
      <c r="EF43" s="361"/>
      <c r="EG43" s="359">
        <f>SUM(EG41:EH42)</f>
        <v>195</v>
      </c>
      <c r="EH43" s="361"/>
      <c r="EI43" s="359">
        <f>SUM(EI41:EJ42)</f>
        <v>29</v>
      </c>
      <c r="EJ43" s="361"/>
      <c r="EK43" s="229">
        <f t="shared" ref="EK43:EM43" si="189">SUM(EK41:EK42)</f>
        <v>5</v>
      </c>
      <c r="EL43" s="229">
        <f t="shared" si="189"/>
        <v>0</v>
      </c>
      <c r="EM43" s="230">
        <f t="shared" si="189"/>
        <v>384</v>
      </c>
      <c r="EN43" s="107"/>
      <c r="EO43" s="298"/>
      <c r="EP43" s="295" t="s">
        <v>26</v>
      </c>
      <c r="EQ43" s="296"/>
      <c r="ER43" s="364">
        <f>SUM(ES41:ET42)</f>
        <v>4</v>
      </c>
      <c r="ES43" s="365"/>
      <c r="ET43" s="364">
        <f>SUM(EX41:FB42)</f>
        <v>305</v>
      </c>
      <c r="EU43" s="374"/>
      <c r="EV43" s="374"/>
      <c r="EW43" s="374"/>
      <c r="EX43" s="365"/>
      <c r="EY43" s="364">
        <f>SUM(EZ41:FA42)</f>
        <v>201</v>
      </c>
      <c r="EZ43" s="365"/>
      <c r="FA43" s="364">
        <f>SUM(FB41:FC42)</f>
        <v>31</v>
      </c>
      <c r="FB43" s="365"/>
      <c r="FC43" s="289">
        <f t="shared" ref="FC43:FE43" si="190">SUM(FC41:FC42)</f>
        <v>7</v>
      </c>
      <c r="FD43" s="289">
        <f t="shared" si="190"/>
        <v>0</v>
      </c>
      <c r="FE43" s="290">
        <f t="shared" si="190"/>
        <v>479</v>
      </c>
      <c r="FF43" s="107"/>
      <c r="FG43" s="298"/>
      <c r="FH43" s="295" t="s">
        <v>26</v>
      </c>
      <c r="FI43" s="296"/>
      <c r="FJ43" s="396">
        <v>199</v>
      </c>
      <c r="FK43" s="398"/>
      <c r="FL43" s="396">
        <v>13</v>
      </c>
      <c r="FM43" s="397"/>
      <c r="FN43" s="397"/>
      <c r="FO43" s="397"/>
      <c r="FP43" s="398"/>
      <c r="FQ43" s="396">
        <v>317</v>
      </c>
      <c r="FR43" s="398"/>
      <c r="FS43" s="396">
        <v>89</v>
      </c>
      <c r="FT43" s="398"/>
      <c r="FU43" s="202">
        <v>9</v>
      </c>
      <c r="FV43" s="202">
        <v>0</v>
      </c>
      <c r="FW43" s="215">
        <v>624</v>
      </c>
      <c r="FX43" s="107"/>
      <c r="FY43" s="298"/>
      <c r="FZ43" s="295" t="s">
        <v>26</v>
      </c>
      <c r="GA43" s="296"/>
      <c r="GB43" s="306">
        <f>SUM(GB41:GC42)</f>
        <v>0</v>
      </c>
      <c r="GC43" s="307"/>
      <c r="GD43" s="306">
        <f>SUM(GD41:GH42)</f>
        <v>0</v>
      </c>
      <c r="GE43" s="368"/>
      <c r="GF43" s="368"/>
      <c r="GG43" s="368"/>
      <c r="GH43" s="307"/>
      <c r="GI43" s="306">
        <f>SUM(GI41:GJ42)</f>
        <v>0</v>
      </c>
      <c r="GJ43" s="307"/>
      <c r="GK43" s="306">
        <f>SUM(GK41:GL42)</f>
        <v>0</v>
      </c>
      <c r="GL43" s="307"/>
      <c r="GM43" s="94">
        <f>SUM(GM41:GM42)</f>
        <v>0</v>
      </c>
      <c r="GN43" s="94">
        <f>SUM(GN41:GN42)</f>
        <v>0</v>
      </c>
      <c r="GO43" s="26">
        <f>SUM(GO41:GO42)</f>
        <v>0</v>
      </c>
      <c r="GP43" s="107"/>
      <c r="GQ43" s="298"/>
      <c r="GR43" s="295" t="s">
        <v>26</v>
      </c>
      <c r="GS43" s="296"/>
      <c r="GT43" s="306">
        <f>SUM(GT41:GU42)</f>
        <v>0</v>
      </c>
      <c r="GU43" s="307"/>
      <c r="GV43" s="306">
        <f>SUM(GV41:GZ42)</f>
        <v>0</v>
      </c>
      <c r="GW43" s="368"/>
      <c r="GX43" s="368"/>
      <c r="GY43" s="368"/>
      <c r="GZ43" s="307"/>
      <c r="HA43" s="306">
        <f>SUM(HA41:HB42)</f>
        <v>0</v>
      </c>
      <c r="HB43" s="307"/>
      <c r="HC43" s="306">
        <f>SUM(HC41:HD42)</f>
        <v>0</v>
      </c>
      <c r="HD43" s="307"/>
      <c r="HE43" s="94">
        <f>SUM(HE41:HE42)</f>
        <v>0</v>
      </c>
      <c r="HF43" s="94">
        <f>SUM(HF41:HF42)</f>
        <v>0</v>
      </c>
      <c r="HG43" s="26">
        <f>SUM(HG41:HG42)</f>
        <v>0</v>
      </c>
      <c r="HH43" s="107"/>
      <c r="HI43" s="298"/>
      <c r="HJ43" s="295" t="s">
        <v>26</v>
      </c>
      <c r="HK43" s="313"/>
      <c r="HL43" s="306">
        <f>SUM(HL41:HM42)</f>
        <v>1705</v>
      </c>
      <c r="HM43" s="307"/>
      <c r="HN43" s="306">
        <f>SUM(HN41:HR42)</f>
        <v>280</v>
      </c>
      <c r="HO43" s="368"/>
      <c r="HP43" s="368"/>
      <c r="HQ43" s="368"/>
      <c r="HR43" s="307"/>
      <c r="HS43" s="306">
        <f>SUM(HS41:HT42)</f>
        <v>2828</v>
      </c>
      <c r="HT43" s="307"/>
      <c r="HU43" s="306">
        <f>SUM(HU41:HV42)</f>
        <v>828</v>
      </c>
      <c r="HV43" s="307"/>
      <c r="HW43" s="43">
        <f>SUM(HW41:HW42)</f>
        <v>114</v>
      </c>
      <c r="HX43" s="43">
        <f>SUM(HX41:HX42)</f>
        <v>0</v>
      </c>
      <c r="HY43" s="26">
        <f>SUM(HY41:HY42)</f>
        <v>5755</v>
      </c>
      <c r="HZ43" s="28"/>
    </row>
    <row r="44" spans="1:244" s="11" customFormat="1" ht="20.100000000000001" customHeight="1" thickBot="1" x14ac:dyDescent="0.3">
      <c r="A44" s="298"/>
      <c r="B44" s="311" t="s">
        <v>27</v>
      </c>
      <c r="C44" s="19" t="s">
        <v>24</v>
      </c>
      <c r="D44" s="168">
        <v>0</v>
      </c>
      <c r="E44" s="169">
        <v>0</v>
      </c>
      <c r="F44" s="170">
        <v>0</v>
      </c>
      <c r="G44" s="170">
        <v>0</v>
      </c>
      <c r="H44" s="170">
        <v>0</v>
      </c>
      <c r="I44" s="171">
        <v>0</v>
      </c>
      <c r="J44" s="169">
        <v>0</v>
      </c>
      <c r="K44" s="170">
        <v>0</v>
      </c>
      <c r="L44" s="169">
        <v>0</v>
      </c>
      <c r="M44" s="170">
        <v>0</v>
      </c>
      <c r="N44" s="172">
        <v>0</v>
      </c>
      <c r="O44" s="173">
        <v>0</v>
      </c>
      <c r="P44" s="173">
        <v>0</v>
      </c>
      <c r="Q44" s="124">
        <f>SUM(D44:P44)</f>
        <v>0</v>
      </c>
      <c r="R44" s="133"/>
      <c r="S44" s="298"/>
      <c r="T44" s="311" t="s">
        <v>27</v>
      </c>
      <c r="U44" s="19" t="s">
        <v>24</v>
      </c>
      <c r="V44" s="168">
        <v>0</v>
      </c>
      <c r="W44" s="169">
        <v>0</v>
      </c>
      <c r="X44" s="170">
        <v>0</v>
      </c>
      <c r="Y44" s="170">
        <v>0</v>
      </c>
      <c r="Z44" s="170">
        <v>0</v>
      </c>
      <c r="AA44" s="171">
        <v>0</v>
      </c>
      <c r="AB44" s="169">
        <v>0</v>
      </c>
      <c r="AC44" s="170">
        <v>0</v>
      </c>
      <c r="AD44" s="169">
        <v>0</v>
      </c>
      <c r="AE44" s="170">
        <v>0</v>
      </c>
      <c r="AF44" s="172">
        <v>0</v>
      </c>
      <c r="AG44" s="173">
        <v>0</v>
      </c>
      <c r="AH44" s="173">
        <v>0</v>
      </c>
      <c r="AI44" s="124">
        <f>SUM(V44:AH44)</f>
        <v>0</v>
      </c>
      <c r="AJ44" s="133"/>
      <c r="AK44" s="298"/>
      <c r="AL44" s="311" t="s">
        <v>27</v>
      </c>
      <c r="AM44" s="19" t="s">
        <v>24</v>
      </c>
      <c r="AN44" s="168">
        <v>0</v>
      </c>
      <c r="AO44" s="169">
        <v>0</v>
      </c>
      <c r="AP44" s="170">
        <v>0</v>
      </c>
      <c r="AQ44" s="170">
        <v>0</v>
      </c>
      <c r="AR44" s="170">
        <v>0</v>
      </c>
      <c r="AS44" s="171">
        <v>0</v>
      </c>
      <c r="AT44" s="169">
        <v>0</v>
      </c>
      <c r="AU44" s="170">
        <v>0</v>
      </c>
      <c r="AV44" s="169">
        <v>0</v>
      </c>
      <c r="AW44" s="170">
        <v>0</v>
      </c>
      <c r="AX44" s="172">
        <v>0</v>
      </c>
      <c r="AY44" s="173">
        <v>0</v>
      </c>
      <c r="AZ44" s="173">
        <v>0</v>
      </c>
      <c r="BA44" s="124">
        <f>SUM(AN44:AZ44)</f>
        <v>0</v>
      </c>
      <c r="BB44" s="133"/>
      <c r="BC44" s="298"/>
      <c r="BD44" s="311" t="s">
        <v>27</v>
      </c>
      <c r="BE44" s="19" t="s">
        <v>24</v>
      </c>
      <c r="BF44" s="168">
        <v>0</v>
      </c>
      <c r="BG44" s="169">
        <v>0</v>
      </c>
      <c r="BH44" s="170">
        <v>0</v>
      </c>
      <c r="BI44" s="170">
        <v>0</v>
      </c>
      <c r="BJ44" s="170">
        <v>0</v>
      </c>
      <c r="BK44" s="171">
        <v>0</v>
      </c>
      <c r="BL44" s="169">
        <v>0</v>
      </c>
      <c r="BM44" s="170">
        <v>0</v>
      </c>
      <c r="BN44" s="169">
        <v>0</v>
      </c>
      <c r="BO44" s="170">
        <v>0</v>
      </c>
      <c r="BP44" s="172">
        <v>0</v>
      </c>
      <c r="BQ44" s="173">
        <v>0</v>
      </c>
      <c r="BR44" s="173">
        <v>0</v>
      </c>
      <c r="BS44" s="124">
        <f>SUM(BF44:BR44)</f>
        <v>0</v>
      </c>
      <c r="BT44" s="133"/>
      <c r="BU44" s="298"/>
      <c r="BV44" s="311" t="s">
        <v>27</v>
      </c>
      <c r="BW44" s="19" t="s">
        <v>24</v>
      </c>
      <c r="BX44" s="168">
        <v>0</v>
      </c>
      <c r="BY44" s="169">
        <v>0</v>
      </c>
      <c r="BZ44" s="170">
        <v>1</v>
      </c>
      <c r="CA44" s="170">
        <v>0</v>
      </c>
      <c r="CB44" s="170">
        <v>0</v>
      </c>
      <c r="CC44" s="171">
        <v>0</v>
      </c>
      <c r="CD44" s="169">
        <v>0</v>
      </c>
      <c r="CE44" s="170">
        <v>0</v>
      </c>
      <c r="CF44" s="169">
        <v>1</v>
      </c>
      <c r="CG44" s="170">
        <v>5</v>
      </c>
      <c r="CH44" s="172">
        <v>0</v>
      </c>
      <c r="CI44" s="173">
        <v>1</v>
      </c>
      <c r="CJ44" s="173">
        <v>0</v>
      </c>
      <c r="CK44" s="124">
        <f>SUM(BX44:CJ44)</f>
        <v>8</v>
      </c>
      <c r="CL44" s="133"/>
      <c r="CM44" s="298"/>
      <c r="CN44" s="311" t="s">
        <v>27</v>
      </c>
      <c r="CO44" s="19" t="s">
        <v>24</v>
      </c>
      <c r="CP44" s="168">
        <v>0</v>
      </c>
      <c r="CQ44" s="169">
        <v>0</v>
      </c>
      <c r="CR44" s="170">
        <v>0</v>
      </c>
      <c r="CS44" s="170">
        <v>0</v>
      </c>
      <c r="CT44" s="170">
        <v>0</v>
      </c>
      <c r="CU44" s="171">
        <v>0</v>
      </c>
      <c r="CV44" s="169">
        <v>0</v>
      </c>
      <c r="CW44" s="170">
        <v>0</v>
      </c>
      <c r="CX44" s="169">
        <v>0</v>
      </c>
      <c r="CY44" s="170">
        <v>0</v>
      </c>
      <c r="CZ44" s="172">
        <v>0</v>
      </c>
      <c r="DA44" s="173">
        <v>0</v>
      </c>
      <c r="DB44" s="173">
        <v>0</v>
      </c>
      <c r="DC44" s="24">
        <f>SUM(CP44:DB44)</f>
        <v>0</v>
      </c>
      <c r="DD44" s="107"/>
      <c r="DE44" s="298"/>
      <c r="DF44" s="311" t="s">
        <v>27</v>
      </c>
      <c r="DG44" s="19" t="s">
        <v>24</v>
      </c>
      <c r="DH44" s="168">
        <v>0</v>
      </c>
      <c r="DI44" s="169">
        <v>0</v>
      </c>
      <c r="DJ44" s="170">
        <v>0</v>
      </c>
      <c r="DK44" s="170">
        <v>0</v>
      </c>
      <c r="DL44" s="170">
        <v>0</v>
      </c>
      <c r="DM44" s="171">
        <v>0</v>
      </c>
      <c r="DN44" s="169">
        <v>0</v>
      </c>
      <c r="DO44" s="170">
        <v>0</v>
      </c>
      <c r="DP44" s="169">
        <v>0</v>
      </c>
      <c r="DQ44" s="170">
        <v>0</v>
      </c>
      <c r="DR44" s="172">
        <v>0</v>
      </c>
      <c r="DS44" s="173">
        <v>0</v>
      </c>
      <c r="DT44" s="173">
        <v>0</v>
      </c>
      <c r="DU44" s="211">
        <v>0</v>
      </c>
      <c r="DV44" s="107"/>
      <c r="DW44" s="298"/>
      <c r="DX44" s="311" t="s">
        <v>27</v>
      </c>
      <c r="DY44" s="19" t="s">
        <v>24</v>
      </c>
      <c r="DZ44" s="233">
        <v>0</v>
      </c>
      <c r="EA44" s="234">
        <v>0</v>
      </c>
      <c r="EB44" s="233">
        <v>0</v>
      </c>
      <c r="EC44" s="235">
        <v>0</v>
      </c>
      <c r="ED44" s="236">
        <v>0</v>
      </c>
      <c r="EE44" s="237">
        <v>0</v>
      </c>
      <c r="EF44" s="238">
        <v>0</v>
      </c>
      <c r="EG44" s="239">
        <v>0</v>
      </c>
      <c r="EH44" s="240">
        <v>0</v>
      </c>
      <c r="EI44" s="241">
        <v>0</v>
      </c>
      <c r="EJ44" s="242">
        <v>0</v>
      </c>
      <c r="EK44" s="243">
        <v>0</v>
      </c>
      <c r="EL44" s="243">
        <v>0</v>
      </c>
      <c r="EM44" s="223">
        <f t="shared" ref="EM44:EM45" si="191">SUM(DZ44:EL44)</f>
        <v>0</v>
      </c>
      <c r="EN44" s="107"/>
      <c r="EO44" s="298"/>
      <c r="EP44" s="311" t="s">
        <v>27</v>
      </c>
      <c r="EQ44" s="19" t="s">
        <v>24</v>
      </c>
      <c r="ER44" s="284">
        <v>1</v>
      </c>
      <c r="ES44" s="284">
        <v>0</v>
      </c>
      <c r="ET44" s="284">
        <v>0</v>
      </c>
      <c r="EU44" s="284">
        <v>0</v>
      </c>
      <c r="EV44" s="285">
        <v>0</v>
      </c>
      <c r="EW44" s="286">
        <v>0</v>
      </c>
      <c r="EX44" s="285">
        <v>0</v>
      </c>
      <c r="EY44" s="284">
        <v>0</v>
      </c>
      <c r="EZ44" s="284">
        <v>0</v>
      </c>
      <c r="FA44" s="284">
        <v>0</v>
      </c>
      <c r="FB44" s="287">
        <v>0</v>
      </c>
      <c r="FC44" s="288">
        <v>0</v>
      </c>
      <c r="FD44" s="288">
        <v>0</v>
      </c>
      <c r="FE44" s="289">
        <f t="shared" ref="FE44:FE45" si="192">SUM(ER44:FD44)</f>
        <v>1</v>
      </c>
      <c r="FF44" s="107"/>
      <c r="FG44" s="298"/>
      <c r="FH44" s="311" t="s">
        <v>27</v>
      </c>
      <c r="FI44" s="19" t="s">
        <v>24</v>
      </c>
      <c r="FJ44" s="462">
        <v>0</v>
      </c>
      <c r="FK44" s="205">
        <v>0</v>
      </c>
      <c r="FL44" s="205">
        <v>0</v>
      </c>
      <c r="FM44" s="205">
        <v>0</v>
      </c>
      <c r="FN44" s="205">
        <v>0</v>
      </c>
      <c r="FO44" s="205">
        <v>0</v>
      </c>
      <c r="FP44" s="205">
        <v>0</v>
      </c>
      <c r="FQ44" s="205">
        <v>0</v>
      </c>
      <c r="FR44" s="205">
        <v>0</v>
      </c>
      <c r="FS44" s="205">
        <v>0</v>
      </c>
      <c r="FT44" s="205">
        <v>0</v>
      </c>
      <c r="FU44" s="205">
        <v>0</v>
      </c>
      <c r="FV44" s="205">
        <v>0</v>
      </c>
      <c r="FW44" s="192">
        <v>0</v>
      </c>
      <c r="FX44" s="107"/>
      <c r="FY44" s="298"/>
      <c r="FZ44" s="311" t="s">
        <v>27</v>
      </c>
      <c r="GA44" s="19" t="s">
        <v>24</v>
      </c>
      <c r="GB44" s="8">
        <v>0</v>
      </c>
      <c r="GC44" s="33">
        <v>0</v>
      </c>
      <c r="GD44" s="8">
        <v>0</v>
      </c>
      <c r="GE44" s="35">
        <v>0</v>
      </c>
      <c r="GF44" s="36">
        <v>0</v>
      </c>
      <c r="GG44" s="85">
        <v>0</v>
      </c>
      <c r="GH44" s="37">
        <v>0</v>
      </c>
      <c r="GI44" s="34">
        <v>0</v>
      </c>
      <c r="GJ44" s="9">
        <v>0</v>
      </c>
      <c r="GK44" s="10">
        <v>0</v>
      </c>
      <c r="GL44" s="86">
        <v>0</v>
      </c>
      <c r="GM44" s="21">
        <v>0</v>
      </c>
      <c r="GN44" s="21">
        <v>0</v>
      </c>
      <c r="GO44" s="24">
        <f>SUM(GB44:GN44)</f>
        <v>0</v>
      </c>
      <c r="GP44" s="107"/>
      <c r="GQ44" s="298"/>
      <c r="GR44" s="311" t="s">
        <v>27</v>
      </c>
      <c r="GS44" s="19" t="s">
        <v>24</v>
      </c>
      <c r="GT44" s="8">
        <v>0</v>
      </c>
      <c r="GU44" s="33">
        <v>0</v>
      </c>
      <c r="GV44" s="8">
        <v>0</v>
      </c>
      <c r="GW44" s="35">
        <v>0</v>
      </c>
      <c r="GX44" s="36">
        <v>0</v>
      </c>
      <c r="GY44" s="85">
        <v>0</v>
      </c>
      <c r="GZ44" s="37">
        <v>0</v>
      </c>
      <c r="HA44" s="34">
        <v>0</v>
      </c>
      <c r="HB44" s="9">
        <v>0</v>
      </c>
      <c r="HC44" s="10">
        <v>0</v>
      </c>
      <c r="HD44" s="86">
        <v>0</v>
      </c>
      <c r="HE44" s="21">
        <v>0</v>
      </c>
      <c r="HF44" s="21">
        <v>0</v>
      </c>
      <c r="HG44" s="24">
        <f>SUM(GT44:HF44)</f>
        <v>0</v>
      </c>
      <c r="HH44" s="107"/>
      <c r="HI44" s="298"/>
      <c r="HJ44" s="355" t="s">
        <v>27</v>
      </c>
      <c r="HK44" s="19" t="s">
        <v>24</v>
      </c>
      <c r="HL44" s="8">
        <f t="shared" ref="HL44:HL45" si="193">SUM(D44+V44+AN44+BF44+BX44+CP44+DH44+DZ44+ER44+FJ44+GB44+GT44)</f>
        <v>1</v>
      </c>
      <c r="HM44" s="9">
        <f t="shared" ref="HM44:HM45" si="194">SUM(E44+W44+AO44+BG44+BY44+CQ44+DI44+EA44+ES44+FK44+GC44+GU44)</f>
        <v>0</v>
      </c>
      <c r="HN44" s="34">
        <f t="shared" ref="HN44:HN45" si="195">SUM(F44+X44+AP44+BH44+BZ44+CR44+DJ44+EB44+ET44+FL44+GD44+GV44)</f>
        <v>1</v>
      </c>
      <c r="HO44" s="35">
        <f t="shared" ref="HO44:HO45" si="196">SUM(G44+Y44+AQ44+BI44+CA44+CS44+DK44+EC44+EU44+FM44+GE44+GW44)</f>
        <v>0</v>
      </c>
      <c r="HP44" s="35">
        <f t="shared" ref="HP44:HP45" si="197">SUM(H44+Z44+AR44+BJ44+CB44+CT44+DL44+ED44+EV44+FN44+GF44+GX44)</f>
        <v>0</v>
      </c>
      <c r="HQ44" s="46">
        <f t="shared" ref="HQ44:HQ45" si="198">SUM(I44+AA44+AS44+BK44+CC44+CU44+DM44+EE44+EW44+FO44+GG44+GY44)</f>
        <v>0</v>
      </c>
      <c r="HR44" s="9">
        <f t="shared" ref="HR44:HR45" si="199">SUM(J44+AB44+AT44+BL44+CD44+CV44+DN44+EF44+EX44+FP44+GH44+GZ44)</f>
        <v>0</v>
      </c>
      <c r="HS44" s="34">
        <f t="shared" ref="HS44:HS45" si="200">SUM(K44+AC44+AU44+BM44+CE44+CW44+DO44+EG44+EY44+FQ44+GI44+HA44)</f>
        <v>0</v>
      </c>
      <c r="HT44" s="9">
        <f t="shared" ref="HT44:HT45" si="201">SUM(L44+AD44+AV44+BN44+CF44+CX44+DP44+EH44+EZ44+FR44+GJ44+HB44)</f>
        <v>1</v>
      </c>
      <c r="HU44" s="34">
        <f t="shared" ref="HU44:HU45" si="202">SUM(M44+AE44+AW44+BO44+CG44+CY44+DQ44+EI44+FA44+FS44+GK44+HC44)</f>
        <v>5</v>
      </c>
      <c r="HV44" s="47">
        <f t="shared" ref="HV44:HV45" si="203">SUM(N44+AF44+AX44+BP44+CH44+CZ44+DR44+EJ44+FB44+FT44+GL44+HD44)</f>
        <v>0</v>
      </c>
      <c r="HW44" s="44">
        <f t="shared" ref="HW44:HW45" si="204">SUM(O44+AG44+AY44+BQ44+CI44+DA44+DS44+EK44+FC44+FU44+GM44+HE44)</f>
        <v>1</v>
      </c>
      <c r="HX44" s="44">
        <f t="shared" ref="HX44:HX45" si="205">SUM(P44+AH44+AZ44+BR44+CJ44+DB44+DT44+EL44+FD44+FV44+GN44+HF44)</f>
        <v>0</v>
      </c>
      <c r="HY44" s="24">
        <f>SUM(HL44:HX44)</f>
        <v>9</v>
      </c>
      <c r="HZ44" s="28"/>
    </row>
    <row r="45" spans="1:244" s="11" customFormat="1" ht="20.100000000000001" customHeight="1" thickBot="1" x14ac:dyDescent="0.3">
      <c r="A45" s="298"/>
      <c r="B45" s="312"/>
      <c r="C45" s="20" t="s">
        <v>25</v>
      </c>
      <c r="D45" s="163">
        <v>0</v>
      </c>
      <c r="E45" s="164">
        <v>0</v>
      </c>
      <c r="F45" s="165">
        <v>0</v>
      </c>
      <c r="G45" s="165">
        <v>0</v>
      </c>
      <c r="H45" s="165">
        <v>0</v>
      </c>
      <c r="I45" s="165">
        <v>0</v>
      </c>
      <c r="J45" s="164">
        <v>0</v>
      </c>
      <c r="K45" s="165">
        <v>0</v>
      </c>
      <c r="L45" s="164">
        <v>0</v>
      </c>
      <c r="M45" s="165">
        <v>0</v>
      </c>
      <c r="N45" s="164">
        <v>0</v>
      </c>
      <c r="O45" s="166">
        <v>0</v>
      </c>
      <c r="P45" s="166">
        <v>0</v>
      </c>
      <c r="Q45" s="125">
        <f>SUM(D45:P45)</f>
        <v>0</v>
      </c>
      <c r="R45" s="133"/>
      <c r="S45" s="298"/>
      <c r="T45" s="312"/>
      <c r="U45" s="20" t="s">
        <v>25</v>
      </c>
      <c r="V45" s="163">
        <v>0</v>
      </c>
      <c r="W45" s="164">
        <v>0</v>
      </c>
      <c r="X45" s="165">
        <v>0</v>
      </c>
      <c r="Y45" s="165">
        <v>0</v>
      </c>
      <c r="Z45" s="165">
        <v>0</v>
      </c>
      <c r="AA45" s="165">
        <v>0</v>
      </c>
      <c r="AB45" s="164">
        <v>0</v>
      </c>
      <c r="AC45" s="165">
        <v>0</v>
      </c>
      <c r="AD45" s="164">
        <v>0</v>
      </c>
      <c r="AE45" s="165">
        <v>0</v>
      </c>
      <c r="AF45" s="164">
        <v>0</v>
      </c>
      <c r="AG45" s="166">
        <v>0</v>
      </c>
      <c r="AH45" s="166">
        <v>0</v>
      </c>
      <c r="AI45" s="125">
        <f>SUM(V45:AH45)</f>
        <v>0</v>
      </c>
      <c r="AJ45" s="133"/>
      <c r="AK45" s="298"/>
      <c r="AL45" s="312"/>
      <c r="AM45" s="20" t="s">
        <v>25</v>
      </c>
      <c r="AN45" s="163">
        <v>0</v>
      </c>
      <c r="AO45" s="164">
        <v>0</v>
      </c>
      <c r="AP45" s="165">
        <v>0</v>
      </c>
      <c r="AQ45" s="165">
        <v>0</v>
      </c>
      <c r="AR45" s="165">
        <v>0</v>
      </c>
      <c r="AS45" s="165">
        <v>0</v>
      </c>
      <c r="AT45" s="164">
        <v>0</v>
      </c>
      <c r="AU45" s="165">
        <v>0</v>
      </c>
      <c r="AV45" s="164">
        <v>0</v>
      </c>
      <c r="AW45" s="165">
        <v>0</v>
      </c>
      <c r="AX45" s="164">
        <v>0</v>
      </c>
      <c r="AY45" s="166">
        <v>0</v>
      </c>
      <c r="AZ45" s="166">
        <v>0</v>
      </c>
      <c r="BA45" s="125">
        <f>SUM(AN45:AZ45)</f>
        <v>0</v>
      </c>
      <c r="BB45" s="133"/>
      <c r="BC45" s="298"/>
      <c r="BD45" s="312"/>
      <c r="BE45" s="20" t="s">
        <v>25</v>
      </c>
      <c r="BF45" s="163">
        <v>0</v>
      </c>
      <c r="BG45" s="164">
        <v>0</v>
      </c>
      <c r="BH45" s="165">
        <v>0</v>
      </c>
      <c r="BI45" s="165">
        <v>0</v>
      </c>
      <c r="BJ45" s="165">
        <v>0</v>
      </c>
      <c r="BK45" s="165">
        <v>0</v>
      </c>
      <c r="BL45" s="164">
        <v>0</v>
      </c>
      <c r="BM45" s="165">
        <v>0</v>
      </c>
      <c r="BN45" s="164">
        <v>0</v>
      </c>
      <c r="BO45" s="165">
        <v>0</v>
      </c>
      <c r="BP45" s="164">
        <v>0</v>
      </c>
      <c r="BQ45" s="166">
        <v>0</v>
      </c>
      <c r="BR45" s="166">
        <v>0</v>
      </c>
      <c r="BS45" s="125">
        <f>SUM(BF45:BR45)</f>
        <v>0</v>
      </c>
      <c r="BT45" s="133"/>
      <c r="BU45" s="298"/>
      <c r="BV45" s="312"/>
      <c r="BW45" s="20" t="s">
        <v>25</v>
      </c>
      <c r="BX45" s="163">
        <v>0</v>
      </c>
      <c r="BY45" s="164">
        <v>0</v>
      </c>
      <c r="BZ45" s="165">
        <v>0</v>
      </c>
      <c r="CA45" s="165">
        <v>0</v>
      </c>
      <c r="CB45" s="165">
        <v>0</v>
      </c>
      <c r="CC45" s="165">
        <v>0</v>
      </c>
      <c r="CD45" s="164">
        <v>0</v>
      </c>
      <c r="CE45" s="165">
        <v>0</v>
      </c>
      <c r="CF45" s="164">
        <v>2</v>
      </c>
      <c r="CG45" s="165">
        <v>3</v>
      </c>
      <c r="CH45" s="164">
        <v>0</v>
      </c>
      <c r="CI45" s="166">
        <v>0</v>
      </c>
      <c r="CJ45" s="166">
        <v>0</v>
      </c>
      <c r="CK45" s="125">
        <f>SUM(BX45:CJ45)</f>
        <v>5</v>
      </c>
      <c r="CL45" s="133"/>
      <c r="CM45" s="298"/>
      <c r="CN45" s="312"/>
      <c r="CO45" s="20" t="s">
        <v>25</v>
      </c>
      <c r="CP45" s="163">
        <v>0</v>
      </c>
      <c r="CQ45" s="164">
        <v>0</v>
      </c>
      <c r="CR45" s="165">
        <v>0</v>
      </c>
      <c r="CS45" s="165">
        <v>0</v>
      </c>
      <c r="CT45" s="165">
        <v>0</v>
      </c>
      <c r="CU45" s="165">
        <v>0</v>
      </c>
      <c r="CV45" s="164">
        <v>0</v>
      </c>
      <c r="CW45" s="165">
        <v>0</v>
      </c>
      <c r="CX45" s="164">
        <v>0</v>
      </c>
      <c r="CY45" s="165">
        <v>0</v>
      </c>
      <c r="CZ45" s="164">
        <v>0</v>
      </c>
      <c r="DA45" s="166">
        <v>0</v>
      </c>
      <c r="DB45" s="166">
        <v>0</v>
      </c>
      <c r="DC45" s="25">
        <f>SUM(CP45:DB45)</f>
        <v>0</v>
      </c>
      <c r="DD45" s="107"/>
      <c r="DE45" s="298"/>
      <c r="DF45" s="312"/>
      <c r="DG45" s="20" t="s">
        <v>25</v>
      </c>
      <c r="DH45" s="163">
        <v>0</v>
      </c>
      <c r="DI45" s="164">
        <v>0</v>
      </c>
      <c r="DJ45" s="165">
        <v>0</v>
      </c>
      <c r="DK45" s="165">
        <v>0</v>
      </c>
      <c r="DL45" s="165">
        <v>0</v>
      </c>
      <c r="DM45" s="165">
        <v>0</v>
      </c>
      <c r="DN45" s="164">
        <v>0</v>
      </c>
      <c r="DO45" s="165">
        <v>0</v>
      </c>
      <c r="DP45" s="164">
        <v>0</v>
      </c>
      <c r="DQ45" s="165">
        <v>0</v>
      </c>
      <c r="DR45" s="164">
        <v>0</v>
      </c>
      <c r="DS45" s="166">
        <v>0</v>
      </c>
      <c r="DT45" s="166">
        <v>0</v>
      </c>
      <c r="DU45" s="167">
        <v>0</v>
      </c>
      <c r="DV45" s="107"/>
      <c r="DW45" s="298"/>
      <c r="DX45" s="312"/>
      <c r="DY45" s="20" t="s">
        <v>25</v>
      </c>
      <c r="DZ45" s="244">
        <v>0</v>
      </c>
      <c r="EA45" s="245">
        <v>0</v>
      </c>
      <c r="EB45" s="244">
        <v>0</v>
      </c>
      <c r="EC45" s="246">
        <v>0</v>
      </c>
      <c r="ED45" s="247">
        <v>0</v>
      </c>
      <c r="EE45" s="247">
        <v>0</v>
      </c>
      <c r="EF45" s="248">
        <v>0</v>
      </c>
      <c r="EG45" s="249">
        <v>0</v>
      </c>
      <c r="EH45" s="250">
        <v>0</v>
      </c>
      <c r="EI45" s="249">
        <v>0</v>
      </c>
      <c r="EJ45" s="245">
        <v>0</v>
      </c>
      <c r="EK45" s="251">
        <v>0</v>
      </c>
      <c r="EL45" s="251">
        <v>0</v>
      </c>
      <c r="EM45" s="228">
        <f t="shared" si="191"/>
        <v>0</v>
      </c>
      <c r="EN45" s="107"/>
      <c r="EO45" s="298"/>
      <c r="EP45" s="312"/>
      <c r="EQ45" s="20" t="s">
        <v>25</v>
      </c>
      <c r="ER45" s="284">
        <v>0</v>
      </c>
      <c r="ES45" s="284">
        <v>0</v>
      </c>
      <c r="ET45" s="284">
        <v>0</v>
      </c>
      <c r="EU45" s="284">
        <v>0</v>
      </c>
      <c r="EV45" s="285">
        <v>0</v>
      </c>
      <c r="EW45" s="285">
        <v>0</v>
      </c>
      <c r="EX45" s="285">
        <v>0</v>
      </c>
      <c r="EY45" s="284">
        <v>0</v>
      </c>
      <c r="EZ45" s="284">
        <v>0</v>
      </c>
      <c r="FA45" s="284">
        <v>0</v>
      </c>
      <c r="FB45" s="284">
        <v>0</v>
      </c>
      <c r="FC45" s="288">
        <v>0</v>
      </c>
      <c r="FD45" s="288">
        <v>0</v>
      </c>
      <c r="FE45" s="289">
        <f t="shared" si="192"/>
        <v>0</v>
      </c>
      <c r="FF45" s="107"/>
      <c r="FG45" s="298"/>
      <c r="FH45" s="312"/>
      <c r="FI45" s="20" t="s">
        <v>25</v>
      </c>
      <c r="FJ45" s="461">
        <v>0</v>
      </c>
      <c r="FK45" s="208">
        <v>0</v>
      </c>
      <c r="FL45" s="208">
        <v>0</v>
      </c>
      <c r="FM45" s="208">
        <v>0</v>
      </c>
      <c r="FN45" s="208">
        <v>0</v>
      </c>
      <c r="FO45" s="208">
        <v>0</v>
      </c>
      <c r="FP45" s="208">
        <v>0</v>
      </c>
      <c r="FQ45" s="208">
        <v>0</v>
      </c>
      <c r="FR45" s="208">
        <v>0</v>
      </c>
      <c r="FS45" s="208">
        <v>0</v>
      </c>
      <c r="FT45" s="208">
        <v>0</v>
      </c>
      <c r="FU45" s="208">
        <v>0</v>
      </c>
      <c r="FV45" s="208">
        <v>0</v>
      </c>
      <c r="FW45" s="202">
        <v>0</v>
      </c>
      <c r="FX45" s="107"/>
      <c r="FY45" s="298"/>
      <c r="FZ45" s="312"/>
      <c r="GA45" s="20" t="s">
        <v>25</v>
      </c>
      <c r="GB45" s="12">
        <v>0</v>
      </c>
      <c r="GC45" s="18">
        <v>0</v>
      </c>
      <c r="GD45" s="12">
        <v>0</v>
      </c>
      <c r="GE45" s="13">
        <v>0</v>
      </c>
      <c r="GF45" s="15">
        <v>0</v>
      </c>
      <c r="GG45" s="15">
        <v>0</v>
      </c>
      <c r="GH45" s="16">
        <v>0</v>
      </c>
      <c r="GI45" s="17">
        <v>0</v>
      </c>
      <c r="GJ45" s="14">
        <v>0</v>
      </c>
      <c r="GK45" s="17">
        <v>0</v>
      </c>
      <c r="GL45" s="18">
        <v>0</v>
      </c>
      <c r="GM45" s="22">
        <v>0</v>
      </c>
      <c r="GN45" s="22">
        <v>0</v>
      </c>
      <c r="GO45" s="25">
        <f>SUM(GB45:GN45)</f>
        <v>0</v>
      </c>
      <c r="GP45" s="107"/>
      <c r="GQ45" s="298"/>
      <c r="GR45" s="312"/>
      <c r="GS45" s="20" t="s">
        <v>25</v>
      </c>
      <c r="GT45" s="12">
        <v>0</v>
      </c>
      <c r="GU45" s="18">
        <v>0</v>
      </c>
      <c r="GV45" s="12">
        <v>0</v>
      </c>
      <c r="GW45" s="13">
        <v>0</v>
      </c>
      <c r="GX45" s="15">
        <v>0</v>
      </c>
      <c r="GY45" s="15">
        <v>0</v>
      </c>
      <c r="GZ45" s="16">
        <v>0</v>
      </c>
      <c r="HA45" s="17">
        <v>0</v>
      </c>
      <c r="HB45" s="14">
        <v>0</v>
      </c>
      <c r="HC45" s="17">
        <v>0</v>
      </c>
      <c r="HD45" s="18">
        <v>0</v>
      </c>
      <c r="HE45" s="22">
        <v>0</v>
      </c>
      <c r="HF45" s="22">
        <v>0</v>
      </c>
      <c r="HG45" s="25">
        <f>SUM(GT45:HF45)</f>
        <v>0</v>
      </c>
      <c r="HH45" s="107"/>
      <c r="HI45" s="298"/>
      <c r="HJ45" s="356"/>
      <c r="HK45" s="20" t="s">
        <v>25</v>
      </c>
      <c r="HL45" s="12">
        <f t="shared" si="193"/>
        <v>0</v>
      </c>
      <c r="HM45" s="14">
        <f t="shared" si="194"/>
        <v>0</v>
      </c>
      <c r="HN45" s="17">
        <f t="shared" si="195"/>
        <v>0</v>
      </c>
      <c r="HO45" s="13">
        <f t="shared" si="196"/>
        <v>0</v>
      </c>
      <c r="HP45" s="13">
        <f t="shared" si="197"/>
        <v>0</v>
      </c>
      <c r="HQ45" s="13">
        <f t="shared" si="198"/>
        <v>0</v>
      </c>
      <c r="HR45" s="14">
        <f t="shared" si="199"/>
        <v>0</v>
      </c>
      <c r="HS45" s="17">
        <f t="shared" si="200"/>
        <v>0</v>
      </c>
      <c r="HT45" s="14">
        <f t="shared" si="201"/>
        <v>2</v>
      </c>
      <c r="HU45" s="17">
        <f t="shared" si="202"/>
        <v>3</v>
      </c>
      <c r="HV45" s="14">
        <f t="shared" si="203"/>
        <v>0</v>
      </c>
      <c r="HW45" s="45">
        <f t="shared" si="204"/>
        <v>0</v>
      </c>
      <c r="HX45" s="45">
        <f t="shared" si="205"/>
        <v>0</v>
      </c>
      <c r="HY45" s="25">
        <f>SUM(HL45:HX45)</f>
        <v>5</v>
      </c>
      <c r="HZ45" s="28"/>
    </row>
    <row r="46" spans="1:244" s="11" customFormat="1" ht="20.100000000000001" customHeight="1" thickTop="1" thickBot="1" x14ac:dyDescent="0.3">
      <c r="A46" s="299"/>
      <c r="B46" s="326" t="s">
        <v>34</v>
      </c>
      <c r="C46" s="327"/>
      <c r="D46" s="306">
        <f>SUM(D44:E45)</f>
        <v>0</v>
      </c>
      <c r="E46" s="307"/>
      <c r="F46" s="306">
        <f>SUM(F44:J45)</f>
        <v>0</v>
      </c>
      <c r="G46" s="368"/>
      <c r="H46" s="368"/>
      <c r="I46" s="368"/>
      <c r="J46" s="307"/>
      <c r="K46" s="306">
        <f>SUM(K44:L45)</f>
        <v>0</v>
      </c>
      <c r="L46" s="307"/>
      <c r="M46" s="306">
        <f>SUM(M44:N45)</f>
        <v>0</v>
      </c>
      <c r="N46" s="307"/>
      <c r="O46" s="94">
        <f>SUM(O44:O45)</f>
        <v>0</v>
      </c>
      <c r="P46" s="94">
        <f>SUM(P44:P45)</f>
        <v>0</v>
      </c>
      <c r="Q46" s="126">
        <f>SUM(Q44:Q45)</f>
        <v>0</v>
      </c>
      <c r="R46" s="133"/>
      <c r="S46" s="299"/>
      <c r="T46" s="326" t="s">
        <v>34</v>
      </c>
      <c r="U46" s="327"/>
      <c r="V46" s="306">
        <f>SUM(V44:W45)</f>
        <v>0</v>
      </c>
      <c r="W46" s="307"/>
      <c r="X46" s="306">
        <f>SUM(X44:AB45)</f>
        <v>0</v>
      </c>
      <c r="Y46" s="368"/>
      <c r="Z46" s="368"/>
      <c r="AA46" s="368"/>
      <c r="AB46" s="307"/>
      <c r="AC46" s="306">
        <f>SUM(AC44:AD45)</f>
        <v>0</v>
      </c>
      <c r="AD46" s="307"/>
      <c r="AE46" s="306">
        <f>SUM(AE44:AF45)</f>
        <v>0</v>
      </c>
      <c r="AF46" s="307"/>
      <c r="AG46" s="94">
        <f>SUM(AG44:AG45)</f>
        <v>0</v>
      </c>
      <c r="AH46" s="94">
        <f>SUM(AH44:AH45)</f>
        <v>0</v>
      </c>
      <c r="AI46" s="126">
        <f>SUM(AI44:AI45)</f>
        <v>0</v>
      </c>
      <c r="AJ46" s="133"/>
      <c r="AK46" s="299"/>
      <c r="AL46" s="326" t="s">
        <v>34</v>
      </c>
      <c r="AM46" s="327"/>
      <c r="AN46" s="306">
        <f>SUM(AN44:AO45)</f>
        <v>0</v>
      </c>
      <c r="AO46" s="307"/>
      <c r="AP46" s="306">
        <f>SUM(AP44:AT45)</f>
        <v>0</v>
      </c>
      <c r="AQ46" s="368"/>
      <c r="AR46" s="368"/>
      <c r="AS46" s="368"/>
      <c r="AT46" s="307"/>
      <c r="AU46" s="306">
        <f>SUM(AU44:AV45)</f>
        <v>0</v>
      </c>
      <c r="AV46" s="307"/>
      <c r="AW46" s="306">
        <f>SUM(AW44:AX45)</f>
        <v>0</v>
      </c>
      <c r="AX46" s="307"/>
      <c r="AY46" s="94">
        <f>SUM(AY44:AY45)</f>
        <v>0</v>
      </c>
      <c r="AZ46" s="94">
        <f>SUM(AZ44:AZ45)</f>
        <v>0</v>
      </c>
      <c r="BA46" s="126">
        <f>SUM(BA44:BA45)</f>
        <v>0</v>
      </c>
      <c r="BB46" s="133"/>
      <c r="BC46" s="299"/>
      <c r="BD46" s="326" t="s">
        <v>34</v>
      </c>
      <c r="BE46" s="327"/>
      <c r="BF46" s="375">
        <v>0</v>
      </c>
      <c r="BG46" s="377"/>
      <c r="BH46" s="375">
        <v>0</v>
      </c>
      <c r="BI46" s="376"/>
      <c r="BJ46" s="376"/>
      <c r="BK46" s="376"/>
      <c r="BL46" s="377"/>
      <c r="BM46" s="375">
        <v>0</v>
      </c>
      <c r="BN46" s="377"/>
      <c r="BO46" s="375">
        <v>0</v>
      </c>
      <c r="BP46" s="377"/>
      <c r="BQ46" s="167">
        <v>0</v>
      </c>
      <c r="BR46" s="167">
        <v>0</v>
      </c>
      <c r="BS46" s="126">
        <f>SUM(BS44:BS45)</f>
        <v>0</v>
      </c>
      <c r="BT46" s="133"/>
      <c r="BU46" s="299"/>
      <c r="BV46" s="326" t="s">
        <v>34</v>
      </c>
      <c r="BW46" s="327"/>
      <c r="BX46" s="306">
        <f>SUM(BX44:BY45)</f>
        <v>0</v>
      </c>
      <c r="BY46" s="307"/>
      <c r="BZ46" s="306">
        <f>SUM(BZ44:CD45)</f>
        <v>1</v>
      </c>
      <c r="CA46" s="368"/>
      <c r="CB46" s="368"/>
      <c r="CC46" s="368"/>
      <c r="CD46" s="307"/>
      <c r="CE46" s="306">
        <f>SUM(CE44:CF45)</f>
        <v>3</v>
      </c>
      <c r="CF46" s="307"/>
      <c r="CG46" s="306">
        <f>SUM(CG44:CH45)</f>
        <v>8</v>
      </c>
      <c r="CH46" s="307"/>
      <c r="CI46" s="94">
        <f>SUM(CI44:CI45)</f>
        <v>1</v>
      </c>
      <c r="CJ46" s="94">
        <f>SUM(CJ44:CJ45)</f>
        <v>0</v>
      </c>
      <c r="CK46" s="126">
        <f>SUM(CK44:CK45)</f>
        <v>13</v>
      </c>
      <c r="CL46" s="133"/>
      <c r="CM46" s="299"/>
      <c r="CN46" s="326" t="s">
        <v>34</v>
      </c>
      <c r="CO46" s="327"/>
      <c r="CP46" s="375">
        <v>0</v>
      </c>
      <c r="CQ46" s="377"/>
      <c r="CR46" s="375">
        <v>0</v>
      </c>
      <c r="CS46" s="376"/>
      <c r="CT46" s="376"/>
      <c r="CU46" s="376"/>
      <c r="CV46" s="377"/>
      <c r="CW46" s="375">
        <v>0</v>
      </c>
      <c r="CX46" s="377"/>
      <c r="CY46" s="375">
        <v>0</v>
      </c>
      <c r="CZ46" s="377"/>
      <c r="DA46" s="167">
        <v>0</v>
      </c>
      <c r="DB46" s="167">
        <v>0</v>
      </c>
      <c r="DC46" s="26">
        <f>SUM(DC44:DC45)</f>
        <v>0</v>
      </c>
      <c r="DD46" s="107"/>
      <c r="DE46" s="299"/>
      <c r="DF46" s="326" t="s">
        <v>34</v>
      </c>
      <c r="DG46" s="327"/>
      <c r="DH46" s="375">
        <v>0</v>
      </c>
      <c r="DI46" s="377"/>
      <c r="DJ46" s="375">
        <v>0</v>
      </c>
      <c r="DK46" s="376"/>
      <c r="DL46" s="376"/>
      <c r="DM46" s="376"/>
      <c r="DN46" s="377"/>
      <c r="DO46" s="375">
        <v>0</v>
      </c>
      <c r="DP46" s="377"/>
      <c r="DQ46" s="375">
        <v>0</v>
      </c>
      <c r="DR46" s="377"/>
      <c r="DS46" s="167">
        <v>0</v>
      </c>
      <c r="DT46" s="167">
        <v>0</v>
      </c>
      <c r="DU46" s="210">
        <v>0</v>
      </c>
      <c r="DV46" s="107"/>
      <c r="DW46" s="299"/>
      <c r="DX46" s="326" t="s">
        <v>34</v>
      </c>
      <c r="DY46" s="327"/>
      <c r="DZ46" s="359">
        <f>SUM(DZ44:EA45)</f>
        <v>0</v>
      </c>
      <c r="EA46" s="361"/>
      <c r="EB46" s="359">
        <f>SUM(EB44:EF45)</f>
        <v>0</v>
      </c>
      <c r="EC46" s="360"/>
      <c r="ED46" s="360"/>
      <c r="EE46" s="360"/>
      <c r="EF46" s="361"/>
      <c r="EG46" s="359">
        <f>SUM(EG44:EH45)</f>
        <v>0</v>
      </c>
      <c r="EH46" s="361"/>
      <c r="EI46" s="359">
        <f>SUM(EI44:EJ45)</f>
        <v>0</v>
      </c>
      <c r="EJ46" s="361"/>
      <c r="EK46" s="229">
        <f t="shared" ref="EK46:EM46" si="206">SUM(EK44:EK45)</f>
        <v>0</v>
      </c>
      <c r="EL46" s="229">
        <f t="shared" si="206"/>
        <v>0</v>
      </c>
      <c r="EM46" s="230">
        <f t="shared" si="206"/>
        <v>0</v>
      </c>
      <c r="EN46" s="107"/>
      <c r="EO46" s="299"/>
      <c r="EP46" s="326" t="s">
        <v>34</v>
      </c>
      <c r="EQ46" s="327"/>
      <c r="ER46" s="364">
        <f>SUM(ES44:ET45)</f>
        <v>0</v>
      </c>
      <c r="ES46" s="365"/>
      <c r="ET46" s="364">
        <f>SUM(EX44:FB45)</f>
        <v>0</v>
      </c>
      <c r="EU46" s="374"/>
      <c r="EV46" s="374"/>
      <c r="EW46" s="374"/>
      <c r="EX46" s="365"/>
      <c r="EY46" s="364">
        <f>SUM(EZ44:FA45)</f>
        <v>0</v>
      </c>
      <c r="EZ46" s="365"/>
      <c r="FA46" s="364">
        <f>SUM(FB44:FC45)</f>
        <v>0</v>
      </c>
      <c r="FB46" s="365"/>
      <c r="FC46" s="289">
        <f t="shared" ref="FC46:FE46" si="207">SUM(FC44:FC45)</f>
        <v>0</v>
      </c>
      <c r="FD46" s="289">
        <f t="shared" si="207"/>
        <v>0</v>
      </c>
      <c r="FE46" s="290">
        <f t="shared" si="207"/>
        <v>1</v>
      </c>
      <c r="FF46" s="107"/>
      <c r="FG46" s="299"/>
      <c r="FH46" s="326" t="s">
        <v>34</v>
      </c>
      <c r="FI46" s="327"/>
      <c r="FJ46" s="396">
        <v>0</v>
      </c>
      <c r="FK46" s="398"/>
      <c r="FL46" s="396">
        <v>0</v>
      </c>
      <c r="FM46" s="397"/>
      <c r="FN46" s="397"/>
      <c r="FO46" s="397"/>
      <c r="FP46" s="398"/>
      <c r="FQ46" s="396">
        <v>0</v>
      </c>
      <c r="FR46" s="398"/>
      <c r="FS46" s="396">
        <v>0</v>
      </c>
      <c r="FT46" s="398"/>
      <c r="FU46" s="202">
        <v>0</v>
      </c>
      <c r="FV46" s="202">
        <v>0</v>
      </c>
      <c r="FW46" s="215">
        <v>0</v>
      </c>
      <c r="FX46" s="107"/>
      <c r="FY46" s="299"/>
      <c r="FZ46" s="326" t="s">
        <v>34</v>
      </c>
      <c r="GA46" s="327"/>
      <c r="GB46" s="306">
        <f>SUM(GB44:GC45)</f>
        <v>0</v>
      </c>
      <c r="GC46" s="307"/>
      <c r="GD46" s="306">
        <f>SUM(GD44:GH45)</f>
        <v>0</v>
      </c>
      <c r="GE46" s="368"/>
      <c r="GF46" s="368"/>
      <c r="GG46" s="368"/>
      <c r="GH46" s="307"/>
      <c r="GI46" s="306">
        <f>SUM(GI44:GJ45)</f>
        <v>0</v>
      </c>
      <c r="GJ46" s="307"/>
      <c r="GK46" s="306">
        <f>SUM(GK44:GL45)</f>
        <v>0</v>
      </c>
      <c r="GL46" s="307"/>
      <c r="GM46" s="94">
        <f>SUM(GM44:GM45)</f>
        <v>0</v>
      </c>
      <c r="GN46" s="94">
        <f>SUM(GN44:GN45)</f>
        <v>0</v>
      </c>
      <c r="GO46" s="26">
        <f>SUM(GO44:GO45)</f>
        <v>0</v>
      </c>
      <c r="GP46" s="107"/>
      <c r="GQ46" s="299"/>
      <c r="GR46" s="326" t="s">
        <v>34</v>
      </c>
      <c r="GS46" s="327"/>
      <c r="GT46" s="306">
        <f>SUM(GT44:GU45)</f>
        <v>0</v>
      </c>
      <c r="GU46" s="307"/>
      <c r="GV46" s="306">
        <f>SUM(GV44:GZ45)</f>
        <v>0</v>
      </c>
      <c r="GW46" s="368"/>
      <c r="GX46" s="368"/>
      <c r="GY46" s="368"/>
      <c r="GZ46" s="307"/>
      <c r="HA46" s="306">
        <f>SUM(HA44:HB45)</f>
        <v>0</v>
      </c>
      <c r="HB46" s="307"/>
      <c r="HC46" s="306">
        <f>SUM(HC44:HD45)</f>
        <v>0</v>
      </c>
      <c r="HD46" s="307"/>
      <c r="HE46" s="94">
        <f>SUM(HE44:HE45)</f>
        <v>0</v>
      </c>
      <c r="HF46" s="94">
        <f>SUM(HF44:HF45)</f>
        <v>0</v>
      </c>
      <c r="HG46" s="26">
        <f>SUM(HG44:HG45)</f>
        <v>0</v>
      </c>
      <c r="HH46" s="107"/>
      <c r="HI46" s="299"/>
      <c r="HJ46" s="295" t="s">
        <v>28</v>
      </c>
      <c r="HK46" s="313"/>
      <c r="HL46" s="306">
        <f>SUM(HL44:HM45)</f>
        <v>1</v>
      </c>
      <c r="HM46" s="307"/>
      <c r="HN46" s="306">
        <f>SUM(HN44:HR45)</f>
        <v>1</v>
      </c>
      <c r="HO46" s="368"/>
      <c r="HP46" s="368"/>
      <c r="HQ46" s="368"/>
      <c r="HR46" s="307"/>
      <c r="HS46" s="306">
        <f>SUM(HS44:HT45)</f>
        <v>3</v>
      </c>
      <c r="HT46" s="307"/>
      <c r="HU46" s="306">
        <f>SUM(HU44:HV45)</f>
        <v>8</v>
      </c>
      <c r="HV46" s="307"/>
      <c r="HW46" s="43">
        <f>SUM(HW44:HW45)</f>
        <v>1</v>
      </c>
      <c r="HX46" s="43">
        <f>SUM(HX44:HX45)</f>
        <v>0</v>
      </c>
      <c r="HY46" s="26">
        <f>SUM(HY44:HY45)</f>
        <v>14</v>
      </c>
      <c r="HZ46" s="28"/>
    </row>
    <row r="47" spans="1:244" s="93" customFormat="1" ht="20.100000000000001" customHeight="1" thickTop="1" thickBot="1" x14ac:dyDescent="0.25">
      <c r="A47" s="41"/>
      <c r="B47" s="353" t="s">
        <v>29</v>
      </c>
      <c r="C47" s="357"/>
      <c r="D47" s="308">
        <f>SUM(D43+D46)</f>
        <v>202</v>
      </c>
      <c r="E47" s="310"/>
      <c r="F47" s="308">
        <f>SUM(F43+F46)</f>
        <v>14</v>
      </c>
      <c r="G47" s="309"/>
      <c r="H47" s="309"/>
      <c r="I47" s="309"/>
      <c r="J47" s="310"/>
      <c r="K47" s="308">
        <f>SUM(K43+K46)</f>
        <v>319</v>
      </c>
      <c r="L47" s="310"/>
      <c r="M47" s="308">
        <f>SUM(M43+M46)</f>
        <v>89</v>
      </c>
      <c r="N47" s="310"/>
      <c r="O47" s="23">
        <f>SUM(O43+O46)</f>
        <v>11</v>
      </c>
      <c r="P47" s="23">
        <f>SUM(P43+P46)</f>
        <v>0</v>
      </c>
      <c r="Q47" s="127">
        <f>SUM(Q43+Q46)</f>
        <v>635</v>
      </c>
      <c r="R47" s="133"/>
      <c r="S47" s="41"/>
      <c r="T47" s="353" t="s">
        <v>29</v>
      </c>
      <c r="U47" s="357"/>
      <c r="V47" s="308">
        <f>SUM(V43+V46)</f>
        <v>208</v>
      </c>
      <c r="W47" s="310"/>
      <c r="X47" s="308">
        <f>SUM(X43+X46)</f>
        <v>16</v>
      </c>
      <c r="Y47" s="309"/>
      <c r="Z47" s="309"/>
      <c r="AA47" s="309"/>
      <c r="AB47" s="310"/>
      <c r="AC47" s="308">
        <f>SUM(AC43+AC46)</f>
        <v>329</v>
      </c>
      <c r="AD47" s="310"/>
      <c r="AE47" s="308">
        <f>SUM(AE43+AE46)</f>
        <v>93</v>
      </c>
      <c r="AF47" s="310"/>
      <c r="AG47" s="23">
        <f>SUM(AG43+AG46)</f>
        <v>16</v>
      </c>
      <c r="AH47" s="23">
        <f>SUM(AH43+AH46)</f>
        <v>0</v>
      </c>
      <c r="AI47" s="127">
        <f>SUM(AI43+AI46)</f>
        <v>662</v>
      </c>
      <c r="AJ47" s="133"/>
      <c r="AK47" s="41"/>
      <c r="AL47" s="353" t="s">
        <v>29</v>
      </c>
      <c r="AM47" s="357"/>
      <c r="AN47" s="308">
        <f>SUM(AN43+AN46)</f>
        <v>214</v>
      </c>
      <c r="AO47" s="310"/>
      <c r="AP47" s="308">
        <f>SUM(AP43+AP46)</f>
        <v>23</v>
      </c>
      <c r="AQ47" s="309"/>
      <c r="AR47" s="309"/>
      <c r="AS47" s="309"/>
      <c r="AT47" s="310"/>
      <c r="AU47" s="308">
        <f>SUM(AU43+AU46)</f>
        <v>327</v>
      </c>
      <c r="AV47" s="310"/>
      <c r="AW47" s="308">
        <f>SUM(AW43+AW46)</f>
        <v>93</v>
      </c>
      <c r="AX47" s="310"/>
      <c r="AY47" s="23">
        <f>SUM(AY43+AY46)</f>
        <v>9</v>
      </c>
      <c r="AZ47" s="23">
        <f>SUM(AZ43+AZ46)</f>
        <v>0</v>
      </c>
      <c r="BA47" s="127">
        <f>SUM(BA43+BA46)</f>
        <v>666</v>
      </c>
      <c r="BB47" s="133"/>
      <c r="BC47" s="41"/>
      <c r="BD47" s="353" t="s">
        <v>29</v>
      </c>
      <c r="BE47" s="357"/>
      <c r="BF47" s="378">
        <v>209</v>
      </c>
      <c r="BG47" s="380"/>
      <c r="BH47" s="378">
        <v>16</v>
      </c>
      <c r="BI47" s="379"/>
      <c r="BJ47" s="379"/>
      <c r="BK47" s="379"/>
      <c r="BL47" s="380"/>
      <c r="BM47" s="378">
        <v>337</v>
      </c>
      <c r="BN47" s="380"/>
      <c r="BO47" s="378">
        <v>84</v>
      </c>
      <c r="BP47" s="380"/>
      <c r="BQ47" s="200">
        <v>9</v>
      </c>
      <c r="BR47" s="200">
        <v>0</v>
      </c>
      <c r="BS47" s="127">
        <f>SUM(BS43+BS46)</f>
        <v>655</v>
      </c>
      <c r="BT47" s="133"/>
      <c r="BU47" s="41"/>
      <c r="BV47" s="353" t="s">
        <v>29</v>
      </c>
      <c r="BW47" s="357"/>
      <c r="BX47" s="308">
        <f>SUM(BX43+BX46)</f>
        <v>32</v>
      </c>
      <c r="BY47" s="310"/>
      <c r="BZ47" s="308">
        <f>SUM(BZ43+BZ46)</f>
        <v>136</v>
      </c>
      <c r="CA47" s="309"/>
      <c r="CB47" s="309"/>
      <c r="CC47" s="309"/>
      <c r="CD47" s="310"/>
      <c r="CE47" s="308">
        <f>SUM(CE43+CE46)</f>
        <v>326</v>
      </c>
      <c r="CF47" s="310"/>
      <c r="CG47" s="308">
        <f>SUM(CG43+CG46)</f>
        <v>109</v>
      </c>
      <c r="CH47" s="310"/>
      <c r="CI47" s="23">
        <f>SUM(CI43+CI46)</f>
        <v>31</v>
      </c>
      <c r="CJ47" s="23">
        <f>SUM(CJ43+CJ46)</f>
        <v>0</v>
      </c>
      <c r="CK47" s="127">
        <f>SUM(CK43+CK46)</f>
        <v>634</v>
      </c>
      <c r="CL47" s="133"/>
      <c r="CM47" s="41"/>
      <c r="CN47" s="353" t="s">
        <v>29</v>
      </c>
      <c r="CO47" s="357"/>
      <c r="CP47" s="378">
        <v>155</v>
      </c>
      <c r="CQ47" s="380"/>
      <c r="CR47" s="378">
        <v>0</v>
      </c>
      <c r="CS47" s="379"/>
      <c r="CT47" s="379"/>
      <c r="CU47" s="379"/>
      <c r="CV47" s="380"/>
      <c r="CW47" s="378">
        <v>195</v>
      </c>
      <c r="CX47" s="380"/>
      <c r="CY47" s="378">
        <v>29</v>
      </c>
      <c r="CZ47" s="380"/>
      <c r="DA47" s="200">
        <v>5</v>
      </c>
      <c r="DB47" s="200">
        <v>0</v>
      </c>
      <c r="DC47" s="27">
        <f>SUM(DC43+DC46)</f>
        <v>384</v>
      </c>
      <c r="DD47" s="107"/>
      <c r="DE47" s="41"/>
      <c r="DF47" s="353" t="s">
        <v>29</v>
      </c>
      <c r="DG47" s="357"/>
      <c r="DH47" s="378">
        <v>205</v>
      </c>
      <c r="DI47" s="380"/>
      <c r="DJ47" s="378">
        <v>15</v>
      </c>
      <c r="DK47" s="379"/>
      <c r="DL47" s="379"/>
      <c r="DM47" s="379"/>
      <c r="DN47" s="380"/>
      <c r="DO47" s="378">
        <v>321</v>
      </c>
      <c r="DP47" s="380"/>
      <c r="DQ47" s="378">
        <v>91</v>
      </c>
      <c r="DR47" s="380"/>
      <c r="DS47" s="200">
        <v>13</v>
      </c>
      <c r="DT47" s="200">
        <v>0</v>
      </c>
      <c r="DU47" s="213">
        <v>645</v>
      </c>
      <c r="DV47" s="107"/>
      <c r="DW47" s="41"/>
      <c r="DX47" s="353" t="s">
        <v>29</v>
      </c>
      <c r="DY47" s="357"/>
      <c r="DZ47" s="363">
        <f>SUM(DZ43+DZ46)</f>
        <v>155</v>
      </c>
      <c r="EA47" s="361"/>
      <c r="EB47" s="363">
        <f>SUM(EB43+EB46)</f>
        <v>0</v>
      </c>
      <c r="EC47" s="360"/>
      <c r="ED47" s="360"/>
      <c r="EE47" s="360"/>
      <c r="EF47" s="361"/>
      <c r="EG47" s="363">
        <f>SUM(EG43+EG46)</f>
        <v>195</v>
      </c>
      <c r="EH47" s="361"/>
      <c r="EI47" s="363">
        <f>SUM(EI43+EI46)</f>
        <v>29</v>
      </c>
      <c r="EJ47" s="361"/>
      <c r="EK47" s="231">
        <f t="shared" ref="EK47:EM47" si="208">SUM(EK43+EK46)</f>
        <v>5</v>
      </c>
      <c r="EL47" s="231">
        <f t="shared" si="208"/>
        <v>0</v>
      </c>
      <c r="EM47" s="232">
        <f t="shared" si="208"/>
        <v>384</v>
      </c>
      <c r="EN47" s="107"/>
      <c r="EO47" s="41"/>
      <c r="EP47" s="353" t="s">
        <v>29</v>
      </c>
      <c r="EQ47" s="357"/>
      <c r="ER47" s="363">
        <f>SUM(ER43+ER46)</f>
        <v>4</v>
      </c>
      <c r="ES47" s="361"/>
      <c r="ET47" s="363">
        <f>SUM(ET43+ET46)</f>
        <v>305</v>
      </c>
      <c r="EU47" s="360"/>
      <c r="EV47" s="360"/>
      <c r="EW47" s="360"/>
      <c r="EX47" s="361"/>
      <c r="EY47" s="363">
        <f>SUM(EY43+EY46)</f>
        <v>201</v>
      </c>
      <c r="EZ47" s="361"/>
      <c r="FA47" s="363">
        <f>SUM(FA43+FA46)</f>
        <v>31</v>
      </c>
      <c r="FB47" s="361"/>
      <c r="FC47" s="231">
        <f t="shared" ref="FC47:FE47" si="209">SUM(FC43+FC46)</f>
        <v>7</v>
      </c>
      <c r="FD47" s="231">
        <f t="shared" si="209"/>
        <v>0</v>
      </c>
      <c r="FE47" s="283">
        <f t="shared" si="209"/>
        <v>480</v>
      </c>
      <c r="FF47" s="107"/>
      <c r="FG47" s="41"/>
      <c r="FH47" s="353" t="s">
        <v>29</v>
      </c>
      <c r="FI47" s="357"/>
      <c r="FJ47" s="378">
        <v>199</v>
      </c>
      <c r="FK47" s="380"/>
      <c r="FL47" s="378">
        <v>13</v>
      </c>
      <c r="FM47" s="379"/>
      <c r="FN47" s="379"/>
      <c r="FO47" s="379"/>
      <c r="FP47" s="380"/>
      <c r="FQ47" s="378">
        <v>317</v>
      </c>
      <c r="FR47" s="380"/>
      <c r="FS47" s="378">
        <v>89</v>
      </c>
      <c r="FT47" s="380"/>
      <c r="FU47" s="200">
        <v>9</v>
      </c>
      <c r="FV47" s="200">
        <v>0</v>
      </c>
      <c r="FW47" s="213">
        <v>624</v>
      </c>
      <c r="FX47" s="107"/>
      <c r="FY47" s="41"/>
      <c r="FZ47" s="353" t="s">
        <v>29</v>
      </c>
      <c r="GA47" s="357"/>
      <c r="GB47" s="308">
        <f>SUM(GB43+GB46)</f>
        <v>0</v>
      </c>
      <c r="GC47" s="310"/>
      <c r="GD47" s="308">
        <f>SUM(GD43+GD46)</f>
        <v>0</v>
      </c>
      <c r="GE47" s="309"/>
      <c r="GF47" s="309"/>
      <c r="GG47" s="309"/>
      <c r="GH47" s="310"/>
      <c r="GI47" s="308">
        <f>SUM(GI43+GI46)</f>
        <v>0</v>
      </c>
      <c r="GJ47" s="310"/>
      <c r="GK47" s="308">
        <f>SUM(GK43+GK46)</f>
        <v>0</v>
      </c>
      <c r="GL47" s="310"/>
      <c r="GM47" s="23">
        <f>SUM(GM43+GM46)</f>
        <v>0</v>
      </c>
      <c r="GN47" s="23">
        <f>SUM(GN43+GN46)</f>
        <v>0</v>
      </c>
      <c r="GO47" s="27">
        <f>SUM(GO43+GO46)</f>
        <v>0</v>
      </c>
      <c r="GP47" s="107"/>
      <c r="GQ47" s="41"/>
      <c r="GR47" s="353" t="s">
        <v>29</v>
      </c>
      <c r="GS47" s="357"/>
      <c r="GT47" s="308">
        <f>SUM(GT43+GT46)</f>
        <v>0</v>
      </c>
      <c r="GU47" s="310"/>
      <c r="GV47" s="308">
        <f>SUM(GV43+GV46)</f>
        <v>0</v>
      </c>
      <c r="GW47" s="309"/>
      <c r="GX47" s="309"/>
      <c r="GY47" s="309"/>
      <c r="GZ47" s="310"/>
      <c r="HA47" s="308">
        <f>SUM(HA43+HA46)</f>
        <v>0</v>
      </c>
      <c r="HB47" s="310"/>
      <c r="HC47" s="308">
        <f>SUM(HC43+HC46)</f>
        <v>0</v>
      </c>
      <c r="HD47" s="310"/>
      <c r="HE47" s="23">
        <f>SUM(HE43+HE46)</f>
        <v>0</v>
      </c>
      <c r="HF47" s="23">
        <f>SUM(HF43+HF46)</f>
        <v>0</v>
      </c>
      <c r="HG47" s="27">
        <f>SUM(HG43+HG46)</f>
        <v>0</v>
      </c>
      <c r="HH47" s="107"/>
      <c r="HI47" s="41"/>
      <c r="HJ47" s="353" t="s">
        <v>29</v>
      </c>
      <c r="HK47" s="354"/>
      <c r="HL47" s="308">
        <f>SUM(HL43+HL46)</f>
        <v>1706</v>
      </c>
      <c r="HM47" s="310"/>
      <c r="HN47" s="308">
        <f>SUM(HN43+HN46)</f>
        <v>281</v>
      </c>
      <c r="HO47" s="309"/>
      <c r="HP47" s="309"/>
      <c r="HQ47" s="309"/>
      <c r="HR47" s="310"/>
      <c r="HS47" s="308">
        <f>SUM(HS43+HS46)</f>
        <v>2831</v>
      </c>
      <c r="HT47" s="310"/>
      <c r="HU47" s="308">
        <f>SUM(HU43+HU46)</f>
        <v>836</v>
      </c>
      <c r="HV47" s="310"/>
      <c r="HW47" s="23">
        <f>SUM(HW43+HW46)</f>
        <v>115</v>
      </c>
      <c r="HX47" s="23">
        <f>SUM(HX43+HX46)</f>
        <v>0</v>
      </c>
      <c r="HY47" s="27">
        <f>SUM(HY43+HY46)</f>
        <v>5769</v>
      </c>
      <c r="HZ47" s="28"/>
      <c r="IA47" s="11"/>
      <c r="IB47" s="11"/>
      <c r="IC47" s="11"/>
      <c r="ID47" s="11"/>
      <c r="IE47" s="11"/>
      <c r="IF47" s="11"/>
      <c r="IG47" s="11"/>
      <c r="IH47" s="11"/>
      <c r="II47" s="11"/>
      <c r="IJ47" s="11"/>
    </row>
    <row r="48" spans="1:244" s="11" customFormat="1" ht="20.100000000000001" customHeight="1" thickTop="1" thickBot="1" x14ac:dyDescent="0.3">
      <c r="A48" s="297" t="s">
        <v>42</v>
      </c>
      <c r="B48" s="304" t="s">
        <v>9</v>
      </c>
      <c r="C48" s="19" t="s">
        <v>24</v>
      </c>
      <c r="D48" s="174">
        <v>193</v>
      </c>
      <c r="E48" s="175">
        <v>9</v>
      </c>
      <c r="F48" s="175">
        <v>0</v>
      </c>
      <c r="G48" s="175">
        <v>215</v>
      </c>
      <c r="H48" s="175">
        <v>0</v>
      </c>
      <c r="I48" s="176">
        <v>0</v>
      </c>
      <c r="J48" s="175">
        <v>154</v>
      </c>
      <c r="K48" s="175">
        <v>245</v>
      </c>
      <c r="L48" s="175">
        <v>78</v>
      </c>
      <c r="M48" s="175">
        <v>134</v>
      </c>
      <c r="N48" s="176">
        <v>0</v>
      </c>
      <c r="O48" s="178">
        <v>76</v>
      </c>
      <c r="P48" s="179">
        <v>0</v>
      </c>
      <c r="Q48" s="124">
        <f>SUM(D48:P48)</f>
        <v>1104</v>
      </c>
      <c r="R48" s="133"/>
      <c r="S48" s="297" t="s">
        <v>42</v>
      </c>
      <c r="T48" s="304" t="s">
        <v>9</v>
      </c>
      <c r="U48" s="19" t="s">
        <v>24</v>
      </c>
      <c r="V48" s="174">
        <v>212</v>
      </c>
      <c r="W48" s="175">
        <v>3</v>
      </c>
      <c r="X48" s="175">
        <v>0</v>
      </c>
      <c r="Y48" s="175">
        <v>314</v>
      </c>
      <c r="Z48" s="175">
        <v>0</v>
      </c>
      <c r="AA48" s="176">
        <v>0</v>
      </c>
      <c r="AB48" s="175">
        <v>215</v>
      </c>
      <c r="AC48" s="175">
        <v>293</v>
      </c>
      <c r="AD48" s="175">
        <v>89</v>
      </c>
      <c r="AE48" s="175">
        <v>148</v>
      </c>
      <c r="AF48" s="176">
        <v>0</v>
      </c>
      <c r="AG48" s="178">
        <v>79</v>
      </c>
      <c r="AH48" s="179">
        <v>0</v>
      </c>
      <c r="AI48" s="124">
        <f>SUM(V48:AH48)</f>
        <v>1353</v>
      </c>
      <c r="AJ48" s="133"/>
      <c r="AK48" s="297" t="s">
        <v>42</v>
      </c>
      <c r="AL48" s="304" t="s">
        <v>9</v>
      </c>
      <c r="AM48" s="19" t="s">
        <v>24</v>
      </c>
      <c r="AN48" s="174">
        <v>199</v>
      </c>
      <c r="AO48" s="175">
        <v>12</v>
      </c>
      <c r="AP48" s="175">
        <v>0</v>
      </c>
      <c r="AQ48" s="175">
        <v>298</v>
      </c>
      <c r="AR48" s="175">
        <v>0</v>
      </c>
      <c r="AS48" s="176">
        <v>0</v>
      </c>
      <c r="AT48" s="175">
        <v>159</v>
      </c>
      <c r="AU48" s="175">
        <v>285</v>
      </c>
      <c r="AV48" s="175">
        <v>88</v>
      </c>
      <c r="AW48" s="175">
        <v>139</v>
      </c>
      <c r="AX48" s="176">
        <v>0</v>
      </c>
      <c r="AY48" s="178">
        <v>76</v>
      </c>
      <c r="AZ48" s="179">
        <v>0</v>
      </c>
      <c r="BA48" s="124">
        <f>SUM(AN48:AZ48)</f>
        <v>1256</v>
      </c>
      <c r="BB48" s="133"/>
      <c r="BC48" s="297" t="s">
        <v>42</v>
      </c>
      <c r="BD48" s="304" t="s">
        <v>9</v>
      </c>
      <c r="BE48" s="19" t="s">
        <v>24</v>
      </c>
      <c r="BF48" s="185">
        <v>109</v>
      </c>
      <c r="BG48" s="186">
        <v>6</v>
      </c>
      <c r="BH48" s="186">
        <v>0</v>
      </c>
      <c r="BI48" s="186">
        <v>139</v>
      </c>
      <c r="BJ48" s="186">
        <v>0</v>
      </c>
      <c r="BK48" s="187">
        <v>0</v>
      </c>
      <c r="BL48" s="186">
        <v>78</v>
      </c>
      <c r="BM48" s="186">
        <v>187</v>
      </c>
      <c r="BN48" s="186">
        <v>59</v>
      </c>
      <c r="BO48" s="186">
        <v>123</v>
      </c>
      <c r="BP48" s="187">
        <v>0</v>
      </c>
      <c r="BQ48" s="189">
        <v>48</v>
      </c>
      <c r="BR48" s="190">
        <v>0</v>
      </c>
      <c r="BS48" s="124">
        <f>SUM(BF48:BR48)</f>
        <v>749</v>
      </c>
      <c r="BT48" s="133"/>
      <c r="BU48" s="297" t="s">
        <v>42</v>
      </c>
      <c r="BV48" s="304" t="s">
        <v>9</v>
      </c>
      <c r="BW48" s="19" t="s">
        <v>24</v>
      </c>
      <c r="BX48" s="174">
        <v>145</v>
      </c>
      <c r="BY48" s="175">
        <v>6</v>
      </c>
      <c r="BZ48" s="175">
        <v>0</v>
      </c>
      <c r="CA48" s="175">
        <v>167</v>
      </c>
      <c r="CB48" s="175">
        <v>0</v>
      </c>
      <c r="CC48" s="176">
        <v>0</v>
      </c>
      <c r="CD48" s="175">
        <v>132</v>
      </c>
      <c r="CE48" s="175">
        <v>234</v>
      </c>
      <c r="CF48" s="175">
        <v>76</v>
      </c>
      <c r="CG48" s="175">
        <v>134</v>
      </c>
      <c r="CH48" s="176">
        <v>0</v>
      </c>
      <c r="CI48" s="178">
        <v>56</v>
      </c>
      <c r="CJ48" s="179">
        <v>0</v>
      </c>
      <c r="CK48" s="124">
        <f>SUM(BX48:CJ48)</f>
        <v>950</v>
      </c>
      <c r="CL48" s="133"/>
      <c r="CM48" s="297" t="s">
        <v>42</v>
      </c>
      <c r="CN48" s="304" t="s">
        <v>9</v>
      </c>
      <c r="CO48" s="19" t="s">
        <v>24</v>
      </c>
      <c r="CP48" s="204">
        <v>85</v>
      </c>
      <c r="CQ48" s="205">
        <v>0</v>
      </c>
      <c r="CR48" s="186">
        <v>0</v>
      </c>
      <c r="CS48" s="186">
        <v>33</v>
      </c>
      <c r="CT48" s="186">
        <v>96</v>
      </c>
      <c r="CU48" s="187">
        <v>0</v>
      </c>
      <c r="CV48" s="205">
        <v>105</v>
      </c>
      <c r="CW48" s="186">
        <v>118</v>
      </c>
      <c r="CX48" s="205">
        <v>112</v>
      </c>
      <c r="CY48" s="186">
        <v>112</v>
      </c>
      <c r="CZ48" s="206">
        <v>0</v>
      </c>
      <c r="DA48" s="190">
        <v>5</v>
      </c>
      <c r="DB48" s="190">
        <v>0</v>
      </c>
      <c r="DC48" s="24">
        <f>SUM(CP48:DB48)</f>
        <v>666</v>
      </c>
      <c r="DD48" s="107"/>
      <c r="DE48" s="297" t="s">
        <v>42</v>
      </c>
      <c r="DF48" s="304" t="s">
        <v>9</v>
      </c>
      <c r="DG48" s="19" t="s">
        <v>24</v>
      </c>
      <c r="DH48" s="185">
        <v>199</v>
      </c>
      <c r="DI48" s="186">
        <v>12</v>
      </c>
      <c r="DJ48" s="186">
        <v>0</v>
      </c>
      <c r="DK48" s="186">
        <v>298</v>
      </c>
      <c r="DL48" s="186">
        <v>0</v>
      </c>
      <c r="DM48" s="187">
        <v>0</v>
      </c>
      <c r="DN48" s="186">
        <v>159</v>
      </c>
      <c r="DO48" s="186">
        <v>285</v>
      </c>
      <c r="DP48" s="186">
        <v>88</v>
      </c>
      <c r="DQ48" s="186">
        <v>139</v>
      </c>
      <c r="DR48" s="187">
        <v>0</v>
      </c>
      <c r="DS48" s="189">
        <v>76</v>
      </c>
      <c r="DT48" s="190">
        <v>0</v>
      </c>
      <c r="DU48" s="192">
        <v>1256</v>
      </c>
      <c r="DV48" s="107"/>
      <c r="DW48" s="297" t="s">
        <v>42</v>
      </c>
      <c r="DX48" s="304" t="s">
        <v>9</v>
      </c>
      <c r="DY48" s="19" t="s">
        <v>24</v>
      </c>
      <c r="DZ48" s="266">
        <v>85</v>
      </c>
      <c r="EA48" s="255">
        <v>0</v>
      </c>
      <c r="EB48" s="253">
        <v>0</v>
      </c>
      <c r="EC48" s="253">
        <v>33</v>
      </c>
      <c r="ED48" s="253">
        <v>96</v>
      </c>
      <c r="EE48" s="267">
        <v>0</v>
      </c>
      <c r="EF48" s="255">
        <v>105</v>
      </c>
      <c r="EG48" s="253">
        <v>118</v>
      </c>
      <c r="EH48" s="255">
        <v>112</v>
      </c>
      <c r="EI48" s="253">
        <v>112</v>
      </c>
      <c r="EJ48" s="254">
        <v>0</v>
      </c>
      <c r="EK48" s="256">
        <v>5</v>
      </c>
      <c r="EL48" s="256">
        <v>0</v>
      </c>
      <c r="EM48" s="223">
        <f t="shared" ref="EM48:EM49" si="210">SUM(DZ48:EL48)</f>
        <v>666</v>
      </c>
      <c r="EN48" s="107"/>
      <c r="EO48" s="297" t="s">
        <v>42</v>
      </c>
      <c r="EP48" s="304" t="s">
        <v>9</v>
      </c>
      <c r="EQ48" s="19" t="s">
        <v>24</v>
      </c>
      <c r="ER48" s="284">
        <v>72</v>
      </c>
      <c r="ES48" s="284">
        <v>6</v>
      </c>
      <c r="ET48" s="284">
        <v>0</v>
      </c>
      <c r="EU48" s="284">
        <v>26</v>
      </c>
      <c r="EV48" s="285">
        <v>0</v>
      </c>
      <c r="EW48" s="286">
        <v>0</v>
      </c>
      <c r="EX48" s="285">
        <v>60</v>
      </c>
      <c r="EY48" s="284">
        <v>172</v>
      </c>
      <c r="EZ48" s="284">
        <v>59</v>
      </c>
      <c r="FA48" s="284">
        <v>102</v>
      </c>
      <c r="FB48" s="287">
        <v>0</v>
      </c>
      <c r="FC48" s="288">
        <v>48</v>
      </c>
      <c r="FD48" s="288">
        <v>0</v>
      </c>
      <c r="FE48" s="289">
        <f t="shared" ref="FE48:FE49" si="211">SUM(ER48:FD48)</f>
        <v>545</v>
      </c>
      <c r="FF48" s="107"/>
      <c r="FG48" s="297" t="s">
        <v>42</v>
      </c>
      <c r="FH48" s="304" t="s">
        <v>9</v>
      </c>
      <c r="FI48" s="19" t="s">
        <v>24</v>
      </c>
      <c r="FJ48" s="185">
        <v>166</v>
      </c>
      <c r="FK48" s="186">
        <v>9</v>
      </c>
      <c r="FL48" s="186">
        <v>0</v>
      </c>
      <c r="FM48" s="186">
        <v>178</v>
      </c>
      <c r="FN48" s="186">
        <v>0</v>
      </c>
      <c r="FO48" s="187">
        <v>0</v>
      </c>
      <c r="FP48" s="186">
        <v>154</v>
      </c>
      <c r="FQ48" s="186">
        <v>245</v>
      </c>
      <c r="FR48" s="186">
        <v>78</v>
      </c>
      <c r="FS48" s="186">
        <v>134</v>
      </c>
      <c r="FT48" s="187">
        <v>0</v>
      </c>
      <c r="FU48" s="189">
        <v>76</v>
      </c>
      <c r="FV48" s="190">
        <v>0</v>
      </c>
      <c r="FW48" s="192">
        <v>1040</v>
      </c>
      <c r="FX48" s="107"/>
      <c r="FY48" s="297" t="s">
        <v>42</v>
      </c>
      <c r="FZ48" s="304" t="s">
        <v>9</v>
      </c>
      <c r="GA48" s="19" t="s">
        <v>24</v>
      </c>
      <c r="GB48" s="8">
        <v>0</v>
      </c>
      <c r="GC48" s="33">
        <v>0</v>
      </c>
      <c r="GD48" s="4">
        <v>0</v>
      </c>
      <c r="GE48" s="5">
        <v>0</v>
      </c>
      <c r="GF48" s="6">
        <v>0</v>
      </c>
      <c r="GG48" s="84">
        <v>0</v>
      </c>
      <c r="GH48" s="7">
        <v>0</v>
      </c>
      <c r="GI48" s="34">
        <v>0</v>
      </c>
      <c r="GJ48" s="9">
        <v>0</v>
      </c>
      <c r="GK48" s="10">
        <v>0</v>
      </c>
      <c r="GL48" s="86">
        <v>0</v>
      </c>
      <c r="GM48" s="21">
        <v>0</v>
      </c>
      <c r="GN48" s="21">
        <v>0</v>
      </c>
      <c r="GO48" s="24">
        <f>SUM(GB48:GN48)</f>
        <v>0</v>
      </c>
      <c r="GP48" s="107"/>
      <c r="GQ48" s="297" t="s">
        <v>42</v>
      </c>
      <c r="GR48" s="304" t="s">
        <v>9</v>
      </c>
      <c r="GS48" s="19" t="s">
        <v>24</v>
      </c>
      <c r="GT48" s="8">
        <v>0</v>
      </c>
      <c r="GU48" s="33">
        <v>0</v>
      </c>
      <c r="GV48" s="4">
        <v>0</v>
      </c>
      <c r="GW48" s="5">
        <v>0</v>
      </c>
      <c r="GX48" s="6">
        <v>0</v>
      </c>
      <c r="GY48" s="84">
        <v>0</v>
      </c>
      <c r="GZ48" s="7">
        <v>0</v>
      </c>
      <c r="HA48" s="34">
        <v>0</v>
      </c>
      <c r="HB48" s="9">
        <v>0</v>
      </c>
      <c r="HC48" s="10">
        <v>0</v>
      </c>
      <c r="HD48" s="86">
        <v>0</v>
      </c>
      <c r="HE48" s="21">
        <v>0</v>
      </c>
      <c r="HF48" s="21">
        <v>0</v>
      </c>
      <c r="HG48" s="24">
        <f>SUM(GT48:HF48)</f>
        <v>0</v>
      </c>
      <c r="HH48" s="107"/>
      <c r="HI48" s="297" t="str">
        <f>GQ48</f>
        <v>الرغامة</v>
      </c>
      <c r="HJ48" s="304" t="s">
        <v>9</v>
      </c>
      <c r="HK48" s="19" t="s">
        <v>24</v>
      </c>
      <c r="HL48" s="8">
        <f t="shared" ref="HL48:HL49" si="212">SUM(D48+V48+AN48+BF48+BX48+CP48+DH48+DZ48+ER48+FJ48+GB48+GT48)</f>
        <v>1465</v>
      </c>
      <c r="HM48" s="9">
        <f t="shared" ref="HM48:HM49" si="213">SUM(E48+W48+AO48+BG48+BY48+CQ48+DI48+EA48+ES48+FK48+GC48+GU48)</f>
        <v>63</v>
      </c>
      <c r="HN48" s="34">
        <f t="shared" ref="HN48:HN49" si="214">SUM(F48+X48+AP48+BH48+BZ48+CR48+DJ48+EB48+ET48+FL48+GD48+GV48)</f>
        <v>0</v>
      </c>
      <c r="HO48" s="35">
        <f t="shared" ref="HO48:HO49" si="215">SUM(G48+Y48+AQ48+BI48+CA48+CS48+DK48+EC48+EU48+FM48+GE48+GW48)</f>
        <v>1701</v>
      </c>
      <c r="HP48" s="35">
        <f t="shared" ref="HP48:HP49" si="216">SUM(H48+Z48+AR48+BJ48+CB48+CT48+DL48+ED48+EV48+FN48+GF48+GX48)</f>
        <v>192</v>
      </c>
      <c r="HQ48" s="46">
        <f t="shared" ref="HQ48:HQ49" si="217">SUM(I48+AA48+AS48+BK48+CC48+CU48+DM48+EE48+EW48+FO48+GG48+GY48)</f>
        <v>0</v>
      </c>
      <c r="HR48" s="9">
        <f t="shared" ref="HR48:HR49" si="218">SUM(J48+AB48+AT48+BL48+CD48+CV48+DN48+EF48+EX48+FP48+GH48+GZ48)</f>
        <v>1321</v>
      </c>
      <c r="HS48" s="34">
        <f t="shared" ref="HS48:HS49" si="219">SUM(K48+AC48+AU48+BM48+CE48+CW48+DO48+EG48+EY48+FQ48+GI48+HA48)</f>
        <v>2182</v>
      </c>
      <c r="HT48" s="9">
        <f t="shared" ref="HT48:HT49" si="220">SUM(L48+AD48+AV48+BN48+CF48+CX48+DP48+EH48+EZ48+FR48+GJ48+HB48)</f>
        <v>839</v>
      </c>
      <c r="HU48" s="34">
        <f t="shared" ref="HU48:HU49" si="221">SUM(M48+AE48+AW48+BO48+CG48+CY48+DQ48+EI48+FA48+FS48+GK48+HC48)</f>
        <v>1277</v>
      </c>
      <c r="HV48" s="47">
        <f t="shared" ref="HV48:HV49" si="222">SUM(N48+AF48+AX48+BP48+CH48+CZ48+DR48+EJ48+FB48+FT48+GL48+HD48)</f>
        <v>0</v>
      </c>
      <c r="HW48" s="44">
        <f t="shared" ref="HW48:HW49" si="223">SUM(O48+AG48+AY48+BQ48+CI48+DA48+DS48+EK48+FC48+FU48+GM48+HE48)</f>
        <v>545</v>
      </c>
      <c r="HX48" s="44">
        <f t="shared" ref="HX48:HX49" si="224">SUM(P48+AH48+AZ48+BR48+CJ48+DB48+DT48+EL48+FD48+FV48+GN48+HF48)</f>
        <v>0</v>
      </c>
      <c r="HY48" s="38">
        <f>SUM(HL48:HX48)</f>
        <v>9585</v>
      </c>
      <c r="HZ48" s="28"/>
    </row>
    <row r="49" spans="1:234" s="11" customFormat="1" ht="20.100000000000001" customHeight="1" thickBot="1" x14ac:dyDescent="0.3">
      <c r="A49" s="298"/>
      <c r="B49" s="305"/>
      <c r="C49" s="20" t="s">
        <v>25</v>
      </c>
      <c r="D49" s="185">
        <v>208</v>
      </c>
      <c r="E49" s="186">
        <v>11</v>
      </c>
      <c r="F49" s="186">
        <v>15</v>
      </c>
      <c r="G49" s="186">
        <v>193</v>
      </c>
      <c r="H49" s="186">
        <v>0</v>
      </c>
      <c r="I49" s="186">
        <v>0</v>
      </c>
      <c r="J49" s="186">
        <v>167</v>
      </c>
      <c r="K49" s="186">
        <v>255</v>
      </c>
      <c r="L49" s="186">
        <v>123</v>
      </c>
      <c r="M49" s="186">
        <v>145</v>
      </c>
      <c r="N49" s="186">
        <v>4</v>
      </c>
      <c r="O49" s="189">
        <v>56</v>
      </c>
      <c r="P49" s="190">
        <v>0</v>
      </c>
      <c r="Q49" s="125">
        <f>SUM(D49:P49)</f>
        <v>1177</v>
      </c>
      <c r="R49" s="133"/>
      <c r="S49" s="298"/>
      <c r="T49" s="305"/>
      <c r="U49" s="20" t="s">
        <v>25</v>
      </c>
      <c r="V49" s="185">
        <v>249</v>
      </c>
      <c r="W49" s="186">
        <v>13</v>
      </c>
      <c r="X49" s="186">
        <v>33</v>
      </c>
      <c r="Y49" s="186">
        <v>269</v>
      </c>
      <c r="Z49" s="186">
        <v>0</v>
      </c>
      <c r="AA49" s="186">
        <v>0</v>
      </c>
      <c r="AB49" s="186">
        <v>199</v>
      </c>
      <c r="AC49" s="186">
        <v>273</v>
      </c>
      <c r="AD49" s="186">
        <v>136</v>
      </c>
      <c r="AE49" s="186">
        <v>165</v>
      </c>
      <c r="AF49" s="186">
        <v>12</v>
      </c>
      <c r="AG49" s="189">
        <v>60</v>
      </c>
      <c r="AH49" s="190">
        <v>0</v>
      </c>
      <c r="AI49" s="125">
        <f>SUM(V49:AH49)</f>
        <v>1409</v>
      </c>
      <c r="AJ49" s="133"/>
      <c r="AK49" s="298"/>
      <c r="AL49" s="305"/>
      <c r="AM49" s="20" t="s">
        <v>25</v>
      </c>
      <c r="AN49" s="185">
        <v>245</v>
      </c>
      <c r="AO49" s="186">
        <v>15</v>
      </c>
      <c r="AP49" s="186">
        <v>25</v>
      </c>
      <c r="AQ49" s="186">
        <v>289</v>
      </c>
      <c r="AR49" s="186">
        <v>0</v>
      </c>
      <c r="AS49" s="186">
        <v>0</v>
      </c>
      <c r="AT49" s="186">
        <v>196</v>
      </c>
      <c r="AU49" s="186">
        <v>268</v>
      </c>
      <c r="AV49" s="186">
        <v>133</v>
      </c>
      <c r="AW49" s="186">
        <v>154</v>
      </c>
      <c r="AX49" s="186">
        <v>8</v>
      </c>
      <c r="AY49" s="189">
        <v>56</v>
      </c>
      <c r="AZ49" s="190">
        <v>0</v>
      </c>
      <c r="BA49" s="125">
        <f>SUM(AN49:AZ49)</f>
        <v>1389</v>
      </c>
      <c r="BB49" s="133"/>
      <c r="BC49" s="298"/>
      <c r="BD49" s="305"/>
      <c r="BE49" s="20" t="s">
        <v>25</v>
      </c>
      <c r="BF49" s="185">
        <v>123</v>
      </c>
      <c r="BG49" s="186">
        <v>8</v>
      </c>
      <c r="BH49" s="186">
        <v>22</v>
      </c>
      <c r="BI49" s="186">
        <v>135</v>
      </c>
      <c r="BJ49" s="186">
        <v>0</v>
      </c>
      <c r="BK49" s="186">
        <v>0</v>
      </c>
      <c r="BL49" s="186">
        <v>121</v>
      </c>
      <c r="BM49" s="186">
        <v>206</v>
      </c>
      <c r="BN49" s="186">
        <v>103</v>
      </c>
      <c r="BO49" s="186">
        <v>118</v>
      </c>
      <c r="BP49" s="186">
        <v>49</v>
      </c>
      <c r="BQ49" s="189">
        <v>39</v>
      </c>
      <c r="BR49" s="190">
        <v>0</v>
      </c>
      <c r="BS49" s="125">
        <f>SUM(BF49:BR49)</f>
        <v>924</v>
      </c>
      <c r="BT49" s="133"/>
      <c r="BU49" s="298"/>
      <c r="BV49" s="305"/>
      <c r="BW49" s="20" t="s">
        <v>25</v>
      </c>
      <c r="BX49" s="185">
        <v>156</v>
      </c>
      <c r="BY49" s="186">
        <v>4</v>
      </c>
      <c r="BZ49" s="186">
        <v>15</v>
      </c>
      <c r="CA49" s="186">
        <v>165</v>
      </c>
      <c r="CB49" s="186">
        <v>0</v>
      </c>
      <c r="CC49" s="186">
        <v>0</v>
      </c>
      <c r="CD49" s="186">
        <v>167</v>
      </c>
      <c r="CE49" s="186">
        <v>231</v>
      </c>
      <c r="CF49" s="186">
        <v>112</v>
      </c>
      <c r="CG49" s="186">
        <v>132</v>
      </c>
      <c r="CH49" s="186">
        <v>4</v>
      </c>
      <c r="CI49" s="189">
        <v>44</v>
      </c>
      <c r="CJ49" s="190">
        <v>0</v>
      </c>
      <c r="CK49" s="125">
        <f>SUM(BX49:CJ49)</f>
        <v>1030</v>
      </c>
      <c r="CL49" s="133"/>
      <c r="CM49" s="298"/>
      <c r="CN49" s="305"/>
      <c r="CO49" s="20" t="s">
        <v>25</v>
      </c>
      <c r="CP49" s="207">
        <v>98</v>
      </c>
      <c r="CQ49" s="208">
        <v>0</v>
      </c>
      <c r="CR49" s="181">
        <v>0</v>
      </c>
      <c r="CS49" s="181">
        <v>48</v>
      </c>
      <c r="CT49" s="181">
        <v>86</v>
      </c>
      <c r="CU49" s="181">
        <v>2</v>
      </c>
      <c r="CV49" s="208">
        <v>147</v>
      </c>
      <c r="CW49" s="181">
        <v>77</v>
      </c>
      <c r="CX49" s="208">
        <v>96</v>
      </c>
      <c r="CY49" s="181">
        <v>109</v>
      </c>
      <c r="CZ49" s="208">
        <v>24</v>
      </c>
      <c r="DA49" s="184">
        <v>9</v>
      </c>
      <c r="DB49" s="184">
        <v>0</v>
      </c>
      <c r="DC49" s="25">
        <f>SUM(CP49:DB49)</f>
        <v>696</v>
      </c>
      <c r="DD49" s="107"/>
      <c r="DE49" s="298"/>
      <c r="DF49" s="305"/>
      <c r="DG49" s="20" t="s">
        <v>25</v>
      </c>
      <c r="DH49" s="185">
        <v>245</v>
      </c>
      <c r="DI49" s="186">
        <v>15</v>
      </c>
      <c r="DJ49" s="186">
        <v>25</v>
      </c>
      <c r="DK49" s="186">
        <v>289</v>
      </c>
      <c r="DL49" s="186">
        <v>0</v>
      </c>
      <c r="DM49" s="186">
        <v>0</v>
      </c>
      <c r="DN49" s="186">
        <v>196</v>
      </c>
      <c r="DO49" s="186">
        <v>268</v>
      </c>
      <c r="DP49" s="186">
        <v>133</v>
      </c>
      <c r="DQ49" s="186">
        <v>154</v>
      </c>
      <c r="DR49" s="186">
        <v>8</v>
      </c>
      <c r="DS49" s="189">
        <v>56</v>
      </c>
      <c r="DT49" s="190">
        <v>0</v>
      </c>
      <c r="DU49" s="192">
        <v>1389</v>
      </c>
      <c r="DV49" s="107"/>
      <c r="DW49" s="298"/>
      <c r="DX49" s="305"/>
      <c r="DY49" s="20" t="s">
        <v>25</v>
      </c>
      <c r="DZ49" s="268">
        <v>98</v>
      </c>
      <c r="EA49" s="259">
        <v>0</v>
      </c>
      <c r="EB49" s="258">
        <v>0</v>
      </c>
      <c r="EC49" s="258">
        <v>48</v>
      </c>
      <c r="ED49" s="258">
        <v>86</v>
      </c>
      <c r="EE49" s="258">
        <v>2</v>
      </c>
      <c r="EF49" s="259">
        <v>147</v>
      </c>
      <c r="EG49" s="258">
        <v>77</v>
      </c>
      <c r="EH49" s="259">
        <v>96</v>
      </c>
      <c r="EI49" s="258">
        <v>109</v>
      </c>
      <c r="EJ49" s="259">
        <v>24</v>
      </c>
      <c r="EK49" s="260">
        <v>9</v>
      </c>
      <c r="EL49" s="260">
        <v>0</v>
      </c>
      <c r="EM49" s="228">
        <f t="shared" si="210"/>
        <v>696</v>
      </c>
      <c r="EN49" s="107"/>
      <c r="EO49" s="298"/>
      <c r="EP49" s="305"/>
      <c r="EQ49" s="20" t="s">
        <v>25</v>
      </c>
      <c r="ER49" s="284">
        <v>118</v>
      </c>
      <c r="ES49" s="284">
        <v>8</v>
      </c>
      <c r="ET49" s="284">
        <v>19</v>
      </c>
      <c r="EU49" s="284">
        <v>30</v>
      </c>
      <c r="EV49" s="285">
        <v>0</v>
      </c>
      <c r="EW49" s="285">
        <v>0</v>
      </c>
      <c r="EX49" s="285">
        <v>92</v>
      </c>
      <c r="EY49" s="284">
        <v>196</v>
      </c>
      <c r="EZ49" s="284">
        <v>103</v>
      </c>
      <c r="FA49" s="284">
        <v>116</v>
      </c>
      <c r="FB49" s="284">
        <v>49</v>
      </c>
      <c r="FC49" s="288">
        <v>39</v>
      </c>
      <c r="FD49" s="288">
        <v>0</v>
      </c>
      <c r="FE49" s="289">
        <f t="shared" si="211"/>
        <v>770</v>
      </c>
      <c r="FF49" s="107"/>
      <c r="FG49" s="298"/>
      <c r="FH49" s="305"/>
      <c r="FI49" s="20" t="s">
        <v>25</v>
      </c>
      <c r="FJ49" s="185">
        <v>178</v>
      </c>
      <c r="FK49" s="186">
        <v>7</v>
      </c>
      <c r="FL49" s="186">
        <v>15</v>
      </c>
      <c r="FM49" s="186">
        <v>177</v>
      </c>
      <c r="FN49" s="186">
        <v>0</v>
      </c>
      <c r="FO49" s="186">
        <v>0</v>
      </c>
      <c r="FP49" s="186">
        <v>167</v>
      </c>
      <c r="FQ49" s="186">
        <v>255</v>
      </c>
      <c r="FR49" s="186">
        <v>123</v>
      </c>
      <c r="FS49" s="186">
        <v>145</v>
      </c>
      <c r="FT49" s="186">
        <v>4</v>
      </c>
      <c r="FU49" s="189">
        <v>56</v>
      </c>
      <c r="FV49" s="190">
        <v>0</v>
      </c>
      <c r="FW49" s="192">
        <v>1127</v>
      </c>
      <c r="FX49" s="107"/>
      <c r="FY49" s="298"/>
      <c r="FZ49" s="305"/>
      <c r="GA49" s="20" t="s">
        <v>25</v>
      </c>
      <c r="GB49" s="12">
        <v>0</v>
      </c>
      <c r="GC49" s="18">
        <v>0</v>
      </c>
      <c r="GD49" s="12">
        <v>0</v>
      </c>
      <c r="GE49" s="13">
        <v>0</v>
      </c>
      <c r="GF49" s="15">
        <v>0</v>
      </c>
      <c r="GG49" s="15">
        <v>0</v>
      </c>
      <c r="GH49" s="16">
        <v>0</v>
      </c>
      <c r="GI49" s="17">
        <v>0</v>
      </c>
      <c r="GJ49" s="14">
        <v>0</v>
      </c>
      <c r="GK49" s="17">
        <v>0</v>
      </c>
      <c r="GL49" s="18">
        <v>0</v>
      </c>
      <c r="GM49" s="22">
        <v>0</v>
      </c>
      <c r="GN49" s="22">
        <v>0</v>
      </c>
      <c r="GO49" s="25">
        <f>SUM(GB49:GN49)</f>
        <v>0</v>
      </c>
      <c r="GP49" s="107"/>
      <c r="GQ49" s="298"/>
      <c r="GR49" s="305"/>
      <c r="GS49" s="20" t="s">
        <v>25</v>
      </c>
      <c r="GT49" s="12">
        <v>0</v>
      </c>
      <c r="GU49" s="18">
        <v>0</v>
      </c>
      <c r="GV49" s="12">
        <v>0</v>
      </c>
      <c r="GW49" s="13">
        <v>0</v>
      </c>
      <c r="GX49" s="15">
        <v>0</v>
      </c>
      <c r="GY49" s="15">
        <v>0</v>
      </c>
      <c r="GZ49" s="16">
        <v>0</v>
      </c>
      <c r="HA49" s="17">
        <v>0</v>
      </c>
      <c r="HB49" s="14">
        <v>0</v>
      </c>
      <c r="HC49" s="17">
        <v>0</v>
      </c>
      <c r="HD49" s="18">
        <v>0</v>
      </c>
      <c r="HE49" s="22">
        <v>0</v>
      </c>
      <c r="HF49" s="22">
        <v>0</v>
      </c>
      <c r="HG49" s="25">
        <f>SUM(GT49:HF49)</f>
        <v>0</v>
      </c>
      <c r="HH49" s="107"/>
      <c r="HI49" s="298"/>
      <c r="HJ49" s="305"/>
      <c r="HK49" s="20" t="s">
        <v>25</v>
      </c>
      <c r="HL49" s="12">
        <f t="shared" si="212"/>
        <v>1718</v>
      </c>
      <c r="HM49" s="14">
        <f t="shared" si="213"/>
        <v>81</v>
      </c>
      <c r="HN49" s="17">
        <f t="shared" si="214"/>
        <v>169</v>
      </c>
      <c r="HO49" s="13">
        <f t="shared" si="215"/>
        <v>1643</v>
      </c>
      <c r="HP49" s="13">
        <f t="shared" si="216"/>
        <v>172</v>
      </c>
      <c r="HQ49" s="13">
        <f t="shared" si="217"/>
        <v>4</v>
      </c>
      <c r="HR49" s="14">
        <f t="shared" si="218"/>
        <v>1599</v>
      </c>
      <c r="HS49" s="17">
        <f t="shared" si="219"/>
        <v>2106</v>
      </c>
      <c r="HT49" s="14">
        <f t="shared" si="220"/>
        <v>1158</v>
      </c>
      <c r="HU49" s="17">
        <f t="shared" si="221"/>
        <v>1347</v>
      </c>
      <c r="HV49" s="14">
        <f t="shared" si="222"/>
        <v>186</v>
      </c>
      <c r="HW49" s="45">
        <f t="shared" si="223"/>
        <v>424</v>
      </c>
      <c r="HX49" s="45">
        <f t="shared" si="224"/>
        <v>0</v>
      </c>
      <c r="HY49" s="39">
        <f>SUM(HL49:HX49)</f>
        <v>10607</v>
      </c>
      <c r="HZ49" s="28"/>
    </row>
    <row r="50" spans="1:234" s="11" customFormat="1" ht="20.100000000000001" customHeight="1" thickTop="1" thickBot="1" x14ac:dyDescent="0.3">
      <c r="A50" s="298"/>
      <c r="B50" s="295" t="s">
        <v>26</v>
      </c>
      <c r="C50" s="296"/>
      <c r="D50" s="383">
        <v>423</v>
      </c>
      <c r="E50" s="384"/>
      <c r="F50" s="383">
        <v>2417</v>
      </c>
      <c r="G50" s="389"/>
      <c r="H50" s="389"/>
      <c r="I50" s="389"/>
      <c r="J50" s="384"/>
      <c r="K50" s="383">
        <v>283</v>
      </c>
      <c r="L50" s="384"/>
      <c r="M50" s="383">
        <v>132</v>
      </c>
      <c r="N50" s="390"/>
      <c r="O50" s="191">
        <v>132</v>
      </c>
      <c r="P50" s="192">
        <v>0</v>
      </c>
      <c r="Q50" s="126">
        <f>SUM(Q48:Q49)</f>
        <v>2281</v>
      </c>
      <c r="R50" s="133"/>
      <c r="S50" s="298"/>
      <c r="T50" s="295" t="s">
        <v>26</v>
      </c>
      <c r="U50" s="296"/>
      <c r="V50" s="383">
        <v>616</v>
      </c>
      <c r="W50" s="384"/>
      <c r="X50" s="383">
        <v>2913</v>
      </c>
      <c r="Y50" s="389"/>
      <c r="Z50" s="389"/>
      <c r="AA50" s="389"/>
      <c r="AB50" s="384"/>
      <c r="AC50" s="383">
        <v>325</v>
      </c>
      <c r="AD50" s="384"/>
      <c r="AE50" s="383">
        <v>139</v>
      </c>
      <c r="AF50" s="390"/>
      <c r="AG50" s="191">
        <v>139</v>
      </c>
      <c r="AH50" s="192">
        <v>0</v>
      </c>
      <c r="AI50" s="126">
        <f>SUM(AI48:AI49)</f>
        <v>2762</v>
      </c>
      <c r="AJ50" s="133"/>
      <c r="AK50" s="298"/>
      <c r="AL50" s="295" t="s">
        <v>26</v>
      </c>
      <c r="AM50" s="296"/>
      <c r="AN50" s="383">
        <v>612</v>
      </c>
      <c r="AO50" s="384"/>
      <c r="AP50" s="383">
        <v>2785</v>
      </c>
      <c r="AQ50" s="389"/>
      <c r="AR50" s="389"/>
      <c r="AS50" s="389"/>
      <c r="AT50" s="384"/>
      <c r="AU50" s="383">
        <v>301</v>
      </c>
      <c r="AV50" s="384"/>
      <c r="AW50" s="383">
        <v>132</v>
      </c>
      <c r="AX50" s="390"/>
      <c r="AY50" s="191">
        <v>132</v>
      </c>
      <c r="AZ50" s="192">
        <v>0</v>
      </c>
      <c r="BA50" s="126">
        <f>SUM(BA48:BA49)</f>
        <v>2645</v>
      </c>
      <c r="BB50" s="133"/>
      <c r="BC50" s="298"/>
      <c r="BD50" s="295" t="s">
        <v>26</v>
      </c>
      <c r="BE50" s="296"/>
      <c r="BF50" s="393">
        <v>296</v>
      </c>
      <c r="BG50" s="395"/>
      <c r="BH50" s="393">
        <v>1809</v>
      </c>
      <c r="BI50" s="394"/>
      <c r="BJ50" s="394"/>
      <c r="BK50" s="394"/>
      <c r="BL50" s="395"/>
      <c r="BM50" s="393">
        <v>290</v>
      </c>
      <c r="BN50" s="395"/>
      <c r="BO50" s="393">
        <v>87</v>
      </c>
      <c r="BP50" s="395"/>
      <c r="BQ50" s="191">
        <v>87</v>
      </c>
      <c r="BR50" s="192">
        <v>0</v>
      </c>
      <c r="BS50" s="126">
        <f>SUM(BS48:BS49)</f>
        <v>1673</v>
      </c>
      <c r="BT50" s="133"/>
      <c r="BU50" s="298"/>
      <c r="BV50" s="295" t="s">
        <v>26</v>
      </c>
      <c r="BW50" s="296"/>
      <c r="BX50" s="393">
        <v>347</v>
      </c>
      <c r="BY50" s="395"/>
      <c r="BZ50" s="393">
        <v>2084</v>
      </c>
      <c r="CA50" s="394"/>
      <c r="CB50" s="394"/>
      <c r="CC50" s="394"/>
      <c r="CD50" s="395"/>
      <c r="CE50" s="393">
        <v>270</v>
      </c>
      <c r="CF50" s="395"/>
      <c r="CG50" s="393">
        <v>100</v>
      </c>
      <c r="CH50" s="395"/>
      <c r="CI50" s="191">
        <v>100</v>
      </c>
      <c r="CJ50" s="192">
        <v>0</v>
      </c>
      <c r="CK50" s="126">
        <f>SUM(CK48:CK49)</f>
        <v>1980</v>
      </c>
      <c r="CL50" s="133"/>
      <c r="CM50" s="298"/>
      <c r="CN50" s="295" t="s">
        <v>26</v>
      </c>
      <c r="CO50" s="296"/>
      <c r="CP50" s="396">
        <v>0</v>
      </c>
      <c r="CQ50" s="398"/>
      <c r="CR50" s="396">
        <v>900</v>
      </c>
      <c r="CS50" s="397"/>
      <c r="CT50" s="397"/>
      <c r="CU50" s="397"/>
      <c r="CV50" s="398"/>
      <c r="CW50" s="391"/>
      <c r="CX50" s="392"/>
      <c r="CY50" s="391"/>
      <c r="CZ50" s="392"/>
      <c r="DA50" s="202">
        <v>14</v>
      </c>
      <c r="DB50" s="202">
        <v>0</v>
      </c>
      <c r="DC50" s="26">
        <f>SUM(DC48:DC49)</f>
        <v>1362</v>
      </c>
      <c r="DD50" s="107"/>
      <c r="DE50" s="298"/>
      <c r="DF50" s="295" t="s">
        <v>26</v>
      </c>
      <c r="DG50" s="296"/>
      <c r="DH50" s="383">
        <v>612</v>
      </c>
      <c r="DI50" s="384"/>
      <c r="DJ50" s="383">
        <v>2785</v>
      </c>
      <c r="DK50" s="389"/>
      <c r="DL50" s="389"/>
      <c r="DM50" s="389"/>
      <c r="DN50" s="384"/>
      <c r="DO50" s="383">
        <v>301</v>
      </c>
      <c r="DP50" s="384"/>
      <c r="DQ50" s="383">
        <v>132</v>
      </c>
      <c r="DR50" s="390"/>
      <c r="DS50" s="191">
        <v>132</v>
      </c>
      <c r="DT50" s="192">
        <v>0</v>
      </c>
      <c r="DU50" s="214">
        <v>2645</v>
      </c>
      <c r="DV50" s="107"/>
      <c r="DW50" s="298"/>
      <c r="DX50" s="295" t="s">
        <v>26</v>
      </c>
      <c r="DY50" s="296"/>
      <c r="DZ50" s="359">
        <f>SUM(DZ48:EA49)</f>
        <v>183</v>
      </c>
      <c r="EA50" s="361"/>
      <c r="EB50" s="359">
        <f>SUM(EB48:EF49)</f>
        <v>517</v>
      </c>
      <c r="EC50" s="360"/>
      <c r="ED50" s="360"/>
      <c r="EE50" s="360"/>
      <c r="EF50" s="361"/>
      <c r="EG50" s="359">
        <f>SUM(EG48:EH49)</f>
        <v>403</v>
      </c>
      <c r="EH50" s="361"/>
      <c r="EI50" s="359">
        <f>SUM(EI48:EJ49)</f>
        <v>245</v>
      </c>
      <c r="EJ50" s="361"/>
      <c r="EK50" s="229">
        <f t="shared" ref="EK50:EM50" si="225">SUM(EK48:EK49)</f>
        <v>14</v>
      </c>
      <c r="EL50" s="229">
        <f t="shared" si="225"/>
        <v>0</v>
      </c>
      <c r="EM50" s="230">
        <f t="shared" si="225"/>
        <v>1362</v>
      </c>
      <c r="EN50" s="107"/>
      <c r="EO50" s="298"/>
      <c r="EP50" s="295" t="s">
        <v>26</v>
      </c>
      <c r="EQ50" s="296"/>
      <c r="ER50" s="364">
        <f>SUM(ES48:ET49)</f>
        <v>33</v>
      </c>
      <c r="ES50" s="365"/>
      <c r="ET50" s="364">
        <f>SUM(EX48:FB49)</f>
        <v>949</v>
      </c>
      <c r="EU50" s="374"/>
      <c r="EV50" s="374"/>
      <c r="EW50" s="374"/>
      <c r="EX50" s="365"/>
      <c r="EY50" s="364">
        <f>SUM(EZ48:FA49)</f>
        <v>380</v>
      </c>
      <c r="EZ50" s="365"/>
      <c r="FA50" s="364">
        <f>SUM(FB48:FC49)</f>
        <v>136</v>
      </c>
      <c r="FB50" s="365"/>
      <c r="FC50" s="289">
        <f t="shared" ref="FC50:FE50" si="226">SUM(FC48:FC49)</f>
        <v>87</v>
      </c>
      <c r="FD50" s="289">
        <f t="shared" si="226"/>
        <v>0</v>
      </c>
      <c r="FE50" s="290">
        <f t="shared" si="226"/>
        <v>1315</v>
      </c>
      <c r="FF50" s="107"/>
      <c r="FG50" s="298"/>
      <c r="FH50" s="295" t="s">
        <v>26</v>
      </c>
      <c r="FI50" s="296"/>
      <c r="FJ50" s="383">
        <v>370</v>
      </c>
      <c r="FK50" s="384"/>
      <c r="FL50" s="383">
        <v>2303</v>
      </c>
      <c r="FM50" s="389"/>
      <c r="FN50" s="389"/>
      <c r="FO50" s="389"/>
      <c r="FP50" s="384"/>
      <c r="FQ50" s="383">
        <v>283</v>
      </c>
      <c r="FR50" s="384"/>
      <c r="FS50" s="383">
        <v>132</v>
      </c>
      <c r="FT50" s="390"/>
      <c r="FU50" s="191">
        <v>132</v>
      </c>
      <c r="FV50" s="192">
        <v>0</v>
      </c>
      <c r="FW50" s="214">
        <v>2167</v>
      </c>
      <c r="FX50" s="107"/>
      <c r="FY50" s="298"/>
      <c r="FZ50" s="295" t="s">
        <v>26</v>
      </c>
      <c r="GA50" s="296"/>
      <c r="GB50" s="306">
        <f>SUM(GB48:GC49)</f>
        <v>0</v>
      </c>
      <c r="GC50" s="307"/>
      <c r="GD50" s="306">
        <f>SUM(GD48:GH49)</f>
        <v>0</v>
      </c>
      <c r="GE50" s="368"/>
      <c r="GF50" s="368"/>
      <c r="GG50" s="368"/>
      <c r="GH50" s="307"/>
      <c r="GI50" s="306">
        <f>SUM(GI48:GJ49)</f>
        <v>0</v>
      </c>
      <c r="GJ50" s="307"/>
      <c r="GK50" s="306">
        <f>SUM(GK48:GL49)</f>
        <v>0</v>
      </c>
      <c r="GL50" s="307"/>
      <c r="GM50" s="94">
        <f>SUM(GM48:GM49)</f>
        <v>0</v>
      </c>
      <c r="GN50" s="94">
        <f>SUM(GN48:GN49)</f>
        <v>0</v>
      </c>
      <c r="GO50" s="26">
        <f>SUM(GO48:GO49)</f>
        <v>0</v>
      </c>
      <c r="GP50" s="107"/>
      <c r="GQ50" s="298"/>
      <c r="GR50" s="295" t="s">
        <v>26</v>
      </c>
      <c r="GS50" s="296"/>
      <c r="GT50" s="306">
        <f>SUM(GT48:GU49)</f>
        <v>0</v>
      </c>
      <c r="GU50" s="307"/>
      <c r="GV50" s="306">
        <f>SUM(GV48:GZ49)</f>
        <v>0</v>
      </c>
      <c r="GW50" s="368"/>
      <c r="GX50" s="368"/>
      <c r="GY50" s="368"/>
      <c r="GZ50" s="307"/>
      <c r="HA50" s="306">
        <f>SUM(HA48:HB49)</f>
        <v>0</v>
      </c>
      <c r="HB50" s="307"/>
      <c r="HC50" s="306">
        <f>SUM(HC48:HD49)</f>
        <v>0</v>
      </c>
      <c r="HD50" s="307"/>
      <c r="HE50" s="94">
        <f>SUM(HE48:HE49)</f>
        <v>0</v>
      </c>
      <c r="HF50" s="94">
        <f>SUM(HF48:HF49)</f>
        <v>0</v>
      </c>
      <c r="HG50" s="26">
        <f>SUM(HG48:HG49)</f>
        <v>0</v>
      </c>
      <c r="HH50" s="107"/>
      <c r="HI50" s="298"/>
      <c r="HJ50" s="295" t="s">
        <v>26</v>
      </c>
      <c r="HK50" s="313"/>
      <c r="HL50" s="306">
        <f>SUM(HL48:HM49)</f>
        <v>3327</v>
      </c>
      <c r="HM50" s="307"/>
      <c r="HN50" s="306">
        <f>SUM(HN48:HR49)</f>
        <v>6801</v>
      </c>
      <c r="HO50" s="368"/>
      <c r="HP50" s="368"/>
      <c r="HQ50" s="368"/>
      <c r="HR50" s="307"/>
      <c r="HS50" s="306">
        <f>SUM(HS48:HT49)</f>
        <v>6285</v>
      </c>
      <c r="HT50" s="307"/>
      <c r="HU50" s="306">
        <f>SUM(HU48:HV49)</f>
        <v>2810</v>
      </c>
      <c r="HV50" s="307"/>
      <c r="HW50" s="43">
        <f>SUM(HW48:HW49)</f>
        <v>969</v>
      </c>
      <c r="HX50" s="43">
        <f>SUM(HX48:HX49)</f>
        <v>0</v>
      </c>
      <c r="HY50" s="26">
        <f>SUM(HY48:HY49)</f>
        <v>20192</v>
      </c>
      <c r="HZ50" s="28"/>
    </row>
    <row r="51" spans="1:234" s="11" customFormat="1" ht="20.100000000000001" customHeight="1" thickTop="1" thickBot="1" x14ac:dyDescent="0.3">
      <c r="A51" s="298"/>
      <c r="B51" s="311" t="s">
        <v>27</v>
      </c>
      <c r="C51" s="19" t="s">
        <v>24</v>
      </c>
      <c r="D51" s="185">
        <v>8</v>
      </c>
      <c r="E51" s="186">
        <v>0</v>
      </c>
      <c r="F51" s="186">
        <v>0</v>
      </c>
      <c r="G51" s="186">
        <v>0</v>
      </c>
      <c r="H51" s="186">
        <v>0</v>
      </c>
      <c r="I51" s="187">
        <v>0</v>
      </c>
      <c r="J51" s="186">
        <v>4</v>
      </c>
      <c r="K51" s="186">
        <v>7</v>
      </c>
      <c r="L51" s="186">
        <v>8</v>
      </c>
      <c r="M51" s="186">
        <v>9</v>
      </c>
      <c r="N51" s="187">
        <v>0</v>
      </c>
      <c r="O51" s="189">
        <v>12</v>
      </c>
      <c r="P51" s="190">
        <v>0</v>
      </c>
      <c r="Q51" s="124">
        <f>SUM(D51:P51)</f>
        <v>48</v>
      </c>
      <c r="R51" s="133"/>
      <c r="S51" s="298"/>
      <c r="T51" s="311" t="s">
        <v>27</v>
      </c>
      <c r="U51" s="19" t="s">
        <v>24</v>
      </c>
      <c r="V51" s="185">
        <v>0</v>
      </c>
      <c r="W51" s="186">
        <v>0</v>
      </c>
      <c r="X51" s="186">
        <v>0</v>
      </c>
      <c r="Y51" s="186">
        <v>0</v>
      </c>
      <c r="Z51" s="186">
        <v>0</v>
      </c>
      <c r="AA51" s="187">
        <v>0</v>
      </c>
      <c r="AB51" s="186">
        <v>0</v>
      </c>
      <c r="AC51" s="186">
        <v>0</v>
      </c>
      <c r="AD51" s="186">
        <v>0</v>
      </c>
      <c r="AE51" s="186">
        <v>0</v>
      </c>
      <c r="AF51" s="187">
        <v>0</v>
      </c>
      <c r="AG51" s="189">
        <v>0</v>
      </c>
      <c r="AH51" s="190">
        <v>0</v>
      </c>
      <c r="AI51" s="124">
        <f>SUM(V51:AH51)</f>
        <v>0</v>
      </c>
      <c r="AJ51" s="133"/>
      <c r="AK51" s="298"/>
      <c r="AL51" s="311" t="s">
        <v>27</v>
      </c>
      <c r="AM51" s="19" t="s">
        <v>24</v>
      </c>
      <c r="AN51" s="185">
        <v>7</v>
      </c>
      <c r="AO51" s="186">
        <v>0</v>
      </c>
      <c r="AP51" s="186">
        <v>0</v>
      </c>
      <c r="AQ51" s="186">
        <v>0</v>
      </c>
      <c r="AR51" s="186">
        <v>0</v>
      </c>
      <c r="AS51" s="187">
        <v>0</v>
      </c>
      <c r="AT51" s="186">
        <v>4</v>
      </c>
      <c r="AU51" s="186">
        <v>7</v>
      </c>
      <c r="AV51" s="186">
        <v>11</v>
      </c>
      <c r="AW51" s="186">
        <v>12</v>
      </c>
      <c r="AX51" s="187">
        <v>0</v>
      </c>
      <c r="AY51" s="189">
        <v>12</v>
      </c>
      <c r="AZ51" s="190">
        <v>0</v>
      </c>
      <c r="BA51" s="124">
        <f>SUM(AN51:AZ51)</f>
        <v>53</v>
      </c>
      <c r="BB51" s="133"/>
      <c r="BC51" s="298"/>
      <c r="BD51" s="311" t="s">
        <v>27</v>
      </c>
      <c r="BE51" s="19" t="s">
        <v>24</v>
      </c>
      <c r="BF51" s="185">
        <v>28</v>
      </c>
      <c r="BG51" s="186">
        <v>0</v>
      </c>
      <c r="BH51" s="186">
        <v>0</v>
      </c>
      <c r="BI51" s="186">
        <v>0</v>
      </c>
      <c r="BJ51" s="186">
        <v>0</v>
      </c>
      <c r="BK51" s="187">
        <v>0</v>
      </c>
      <c r="BL51" s="186">
        <v>5</v>
      </c>
      <c r="BM51" s="186">
        <v>21</v>
      </c>
      <c r="BN51" s="186">
        <v>11</v>
      </c>
      <c r="BO51" s="186">
        <v>20</v>
      </c>
      <c r="BP51" s="187">
        <v>0</v>
      </c>
      <c r="BQ51" s="189">
        <v>23</v>
      </c>
      <c r="BR51" s="190">
        <v>0</v>
      </c>
      <c r="BS51" s="124">
        <f>SUM(BF51:BR51)</f>
        <v>108</v>
      </c>
      <c r="BT51" s="133"/>
      <c r="BU51" s="298"/>
      <c r="BV51" s="311" t="s">
        <v>27</v>
      </c>
      <c r="BW51" s="19" t="s">
        <v>24</v>
      </c>
      <c r="BX51" s="185">
        <v>6</v>
      </c>
      <c r="BY51" s="186">
        <v>0</v>
      </c>
      <c r="BZ51" s="186">
        <v>0</v>
      </c>
      <c r="CA51" s="186">
        <v>0</v>
      </c>
      <c r="CB51" s="186">
        <v>0</v>
      </c>
      <c r="CC51" s="187">
        <v>0</v>
      </c>
      <c r="CD51" s="186">
        <v>4</v>
      </c>
      <c r="CE51" s="186">
        <v>7</v>
      </c>
      <c r="CF51" s="186">
        <v>9</v>
      </c>
      <c r="CG51" s="186">
        <v>11</v>
      </c>
      <c r="CH51" s="187">
        <v>0</v>
      </c>
      <c r="CI51" s="189">
        <v>18</v>
      </c>
      <c r="CJ51" s="190">
        <v>0</v>
      </c>
      <c r="CK51" s="124">
        <f>SUM(BX51:CJ51)</f>
        <v>55</v>
      </c>
      <c r="CL51" s="133"/>
      <c r="CM51" s="298"/>
      <c r="CN51" s="311" t="s">
        <v>27</v>
      </c>
      <c r="CO51" s="19" t="s">
        <v>24</v>
      </c>
      <c r="CP51" s="204">
        <v>19</v>
      </c>
      <c r="CQ51" s="205">
        <v>0</v>
      </c>
      <c r="CR51" s="186">
        <v>0</v>
      </c>
      <c r="CS51" s="186">
        <v>0</v>
      </c>
      <c r="CT51" s="186">
        <v>0</v>
      </c>
      <c r="CU51" s="187">
        <v>0</v>
      </c>
      <c r="CV51" s="205">
        <v>6</v>
      </c>
      <c r="CW51" s="186">
        <v>10</v>
      </c>
      <c r="CX51" s="205">
        <v>5</v>
      </c>
      <c r="CY51" s="186">
        <v>21</v>
      </c>
      <c r="CZ51" s="206">
        <v>0</v>
      </c>
      <c r="DA51" s="190">
        <v>0</v>
      </c>
      <c r="DB51" s="190">
        <v>0</v>
      </c>
      <c r="DC51" s="24">
        <f>SUM(CP51:DB51)</f>
        <v>61</v>
      </c>
      <c r="DD51" s="107"/>
      <c r="DE51" s="298"/>
      <c r="DF51" s="311" t="s">
        <v>27</v>
      </c>
      <c r="DG51" s="19" t="s">
        <v>24</v>
      </c>
      <c r="DH51" s="185">
        <v>7</v>
      </c>
      <c r="DI51" s="186">
        <v>0</v>
      </c>
      <c r="DJ51" s="186">
        <v>0</v>
      </c>
      <c r="DK51" s="186">
        <v>0</v>
      </c>
      <c r="DL51" s="186">
        <v>0</v>
      </c>
      <c r="DM51" s="187">
        <v>0</v>
      </c>
      <c r="DN51" s="186">
        <v>4</v>
      </c>
      <c r="DO51" s="186">
        <v>7</v>
      </c>
      <c r="DP51" s="186">
        <v>11</v>
      </c>
      <c r="DQ51" s="186">
        <v>12</v>
      </c>
      <c r="DR51" s="187">
        <v>0</v>
      </c>
      <c r="DS51" s="189">
        <v>12</v>
      </c>
      <c r="DT51" s="190">
        <v>0</v>
      </c>
      <c r="DU51" s="192">
        <v>53</v>
      </c>
      <c r="DV51" s="107"/>
      <c r="DW51" s="298"/>
      <c r="DX51" s="311" t="s">
        <v>27</v>
      </c>
      <c r="DY51" s="19" t="s">
        <v>24</v>
      </c>
      <c r="DZ51" s="266">
        <v>19</v>
      </c>
      <c r="EA51" s="255">
        <v>0</v>
      </c>
      <c r="EB51" s="253">
        <v>0</v>
      </c>
      <c r="EC51" s="253">
        <v>0</v>
      </c>
      <c r="ED51" s="253">
        <v>0</v>
      </c>
      <c r="EE51" s="267">
        <v>0</v>
      </c>
      <c r="EF51" s="255">
        <v>6</v>
      </c>
      <c r="EG51" s="253">
        <v>10</v>
      </c>
      <c r="EH51" s="255">
        <v>5</v>
      </c>
      <c r="EI51" s="253">
        <v>21</v>
      </c>
      <c r="EJ51" s="254">
        <v>0</v>
      </c>
      <c r="EK51" s="256">
        <v>0</v>
      </c>
      <c r="EL51" s="256">
        <v>0</v>
      </c>
      <c r="EM51" s="223">
        <f t="shared" ref="EM51:EM52" si="227">SUM(DZ51:EL51)</f>
        <v>61</v>
      </c>
      <c r="EN51" s="107"/>
      <c r="EO51" s="298"/>
      <c r="EP51" s="311" t="s">
        <v>27</v>
      </c>
      <c r="EQ51" s="19" t="s">
        <v>24</v>
      </c>
      <c r="ER51" s="284">
        <v>25</v>
      </c>
      <c r="ES51" s="284">
        <v>0</v>
      </c>
      <c r="ET51" s="284">
        <v>0</v>
      </c>
      <c r="EU51" s="284">
        <v>0</v>
      </c>
      <c r="EV51" s="285">
        <v>5</v>
      </c>
      <c r="EW51" s="286">
        <v>0</v>
      </c>
      <c r="EX51" s="285">
        <v>6</v>
      </c>
      <c r="EY51" s="284">
        <v>19</v>
      </c>
      <c r="EZ51" s="284">
        <v>11</v>
      </c>
      <c r="FA51" s="284">
        <v>25</v>
      </c>
      <c r="FB51" s="287">
        <v>0</v>
      </c>
      <c r="FC51" s="288">
        <v>23</v>
      </c>
      <c r="FD51" s="288">
        <v>0</v>
      </c>
      <c r="FE51" s="289">
        <f t="shared" ref="FE51:FE52" si="228">SUM(ER51:FD51)</f>
        <v>114</v>
      </c>
      <c r="FF51" s="107"/>
      <c r="FG51" s="298"/>
      <c r="FH51" s="311" t="s">
        <v>27</v>
      </c>
      <c r="FI51" s="19" t="s">
        <v>24</v>
      </c>
      <c r="FJ51" s="185">
        <v>8</v>
      </c>
      <c r="FK51" s="186">
        <v>0</v>
      </c>
      <c r="FL51" s="186">
        <v>0</v>
      </c>
      <c r="FM51" s="186">
        <v>0</v>
      </c>
      <c r="FN51" s="186">
        <v>0</v>
      </c>
      <c r="FO51" s="187">
        <v>0</v>
      </c>
      <c r="FP51" s="186">
        <v>4</v>
      </c>
      <c r="FQ51" s="186">
        <v>7</v>
      </c>
      <c r="FR51" s="186">
        <v>14</v>
      </c>
      <c r="FS51" s="186">
        <v>14</v>
      </c>
      <c r="FT51" s="187">
        <v>0</v>
      </c>
      <c r="FU51" s="189">
        <v>12</v>
      </c>
      <c r="FV51" s="190">
        <v>0</v>
      </c>
      <c r="FW51" s="192">
        <v>59</v>
      </c>
      <c r="FX51" s="107"/>
      <c r="FY51" s="298"/>
      <c r="FZ51" s="311" t="s">
        <v>27</v>
      </c>
      <c r="GA51" s="19" t="s">
        <v>24</v>
      </c>
      <c r="GB51" s="8">
        <v>0</v>
      </c>
      <c r="GC51" s="33">
        <v>0</v>
      </c>
      <c r="GD51" s="8">
        <v>0</v>
      </c>
      <c r="GE51" s="35">
        <v>0</v>
      </c>
      <c r="GF51" s="36">
        <v>0</v>
      </c>
      <c r="GG51" s="85">
        <v>0</v>
      </c>
      <c r="GH51" s="37">
        <v>0</v>
      </c>
      <c r="GI51" s="34">
        <v>0</v>
      </c>
      <c r="GJ51" s="9">
        <v>0</v>
      </c>
      <c r="GK51" s="10">
        <v>0</v>
      </c>
      <c r="GL51" s="86">
        <v>0</v>
      </c>
      <c r="GM51" s="21">
        <v>0</v>
      </c>
      <c r="GN51" s="21">
        <v>0</v>
      </c>
      <c r="GO51" s="24">
        <f>SUM(GB51:GN51)</f>
        <v>0</v>
      </c>
      <c r="GP51" s="107"/>
      <c r="GQ51" s="298"/>
      <c r="GR51" s="311" t="s">
        <v>27</v>
      </c>
      <c r="GS51" s="19" t="s">
        <v>24</v>
      </c>
      <c r="GT51" s="8">
        <v>0</v>
      </c>
      <c r="GU51" s="33">
        <v>0</v>
      </c>
      <c r="GV51" s="8">
        <v>0</v>
      </c>
      <c r="GW51" s="35">
        <v>0</v>
      </c>
      <c r="GX51" s="36">
        <v>0</v>
      </c>
      <c r="GY51" s="85">
        <v>0</v>
      </c>
      <c r="GZ51" s="37">
        <v>0</v>
      </c>
      <c r="HA51" s="34">
        <v>0</v>
      </c>
      <c r="HB51" s="9">
        <v>0</v>
      </c>
      <c r="HC51" s="10">
        <v>0</v>
      </c>
      <c r="HD51" s="86">
        <v>0</v>
      </c>
      <c r="HE51" s="21">
        <v>0</v>
      </c>
      <c r="HF51" s="21">
        <v>0</v>
      </c>
      <c r="HG51" s="24">
        <f>SUM(GT51:HF51)</f>
        <v>0</v>
      </c>
      <c r="HH51" s="107"/>
      <c r="HI51" s="298"/>
      <c r="HJ51" s="355" t="s">
        <v>27</v>
      </c>
      <c r="HK51" s="19" t="s">
        <v>24</v>
      </c>
      <c r="HL51" s="8">
        <f t="shared" ref="HL51:HL52" si="229">SUM(D51+V51+AN51+BF51+BX51+CP51+DH51+DZ51+ER51+FJ51+GB51+GT51)</f>
        <v>127</v>
      </c>
      <c r="HM51" s="9">
        <f t="shared" ref="HM51:HM52" si="230">SUM(E51+W51+AO51+BG51+BY51+CQ51+DI51+EA51+ES51+FK51+GC51+GU51)</f>
        <v>0</v>
      </c>
      <c r="HN51" s="34">
        <f t="shared" ref="HN51:HN52" si="231">SUM(F51+X51+AP51+BH51+BZ51+CR51+DJ51+EB51+ET51+FL51+GD51+GV51)</f>
        <v>0</v>
      </c>
      <c r="HO51" s="35">
        <f t="shared" ref="HO51:HO52" si="232">SUM(G51+Y51+AQ51+BI51+CA51+CS51+DK51+EC51+EU51+FM51+GE51+GW51)</f>
        <v>0</v>
      </c>
      <c r="HP51" s="35">
        <f t="shared" ref="HP51:HP52" si="233">SUM(H51+Z51+AR51+BJ51+CB51+CT51+DL51+ED51+EV51+FN51+GF51+GX51)</f>
        <v>5</v>
      </c>
      <c r="HQ51" s="46">
        <f t="shared" ref="HQ51:HQ52" si="234">SUM(I51+AA51+AS51+BK51+CC51+CU51+DM51+EE51+EW51+FO51+GG51+GY51)</f>
        <v>0</v>
      </c>
      <c r="HR51" s="9">
        <f t="shared" ref="HR51:HR52" si="235">SUM(J51+AB51+AT51+BL51+CD51+CV51+DN51+EF51+EX51+FP51+GH51+GZ51)</f>
        <v>43</v>
      </c>
      <c r="HS51" s="34">
        <f t="shared" ref="HS51:HS52" si="236">SUM(K51+AC51+AU51+BM51+CE51+CW51+DO51+EG51+EY51+FQ51+GI51+HA51)</f>
        <v>95</v>
      </c>
      <c r="HT51" s="9">
        <f t="shared" ref="HT51:HT52" si="237">SUM(L51+AD51+AV51+BN51+CF51+CX51+DP51+EH51+EZ51+FR51+GJ51+HB51)</f>
        <v>85</v>
      </c>
      <c r="HU51" s="34">
        <f t="shared" ref="HU51:HU52" si="238">SUM(M51+AE51+AW51+BO51+CG51+CY51+DQ51+EI51+FA51+FS51+GK51+HC51)</f>
        <v>145</v>
      </c>
      <c r="HV51" s="47">
        <f t="shared" ref="HV51:HV52" si="239">SUM(N51+AF51+AX51+BP51+CH51+CZ51+DR51+EJ51+FB51+FT51+GL51+HD51)</f>
        <v>0</v>
      </c>
      <c r="HW51" s="44">
        <f t="shared" ref="HW51:HW52" si="240">SUM(O51+AG51+AY51+BQ51+CI51+DA51+DS51+EK51+FC51+FU51+GM51+HE51)</f>
        <v>112</v>
      </c>
      <c r="HX51" s="44">
        <f t="shared" ref="HX51:HX52" si="241">SUM(P51+AH51+AZ51+BR51+CJ51+DB51+DT51+EL51+FD51+FV51+GN51+HF51)</f>
        <v>0</v>
      </c>
      <c r="HY51" s="24">
        <f>SUM(HL51:HX51)</f>
        <v>612</v>
      </c>
      <c r="HZ51" s="28"/>
    </row>
    <row r="52" spans="1:234" s="11" customFormat="1" ht="20.100000000000001" customHeight="1" thickBot="1" x14ac:dyDescent="0.3">
      <c r="A52" s="298"/>
      <c r="B52" s="312"/>
      <c r="C52" s="20" t="s">
        <v>25</v>
      </c>
      <c r="D52" s="185">
        <v>4</v>
      </c>
      <c r="E52" s="186">
        <v>0</v>
      </c>
      <c r="F52" s="186">
        <v>8</v>
      </c>
      <c r="G52" s="186">
        <v>0</v>
      </c>
      <c r="H52" s="186">
        <v>0</v>
      </c>
      <c r="I52" s="186">
        <v>0</v>
      </c>
      <c r="J52" s="186">
        <v>7</v>
      </c>
      <c r="K52" s="186">
        <v>5</v>
      </c>
      <c r="L52" s="186">
        <v>13</v>
      </c>
      <c r="M52" s="186">
        <v>18</v>
      </c>
      <c r="N52" s="186">
        <v>0</v>
      </c>
      <c r="O52" s="189">
        <v>23</v>
      </c>
      <c r="P52" s="190">
        <v>0</v>
      </c>
      <c r="Q52" s="125">
        <f>SUM(D52:P52)</f>
        <v>78</v>
      </c>
      <c r="R52" s="133"/>
      <c r="S52" s="298"/>
      <c r="T52" s="312"/>
      <c r="U52" s="20" t="s">
        <v>25</v>
      </c>
      <c r="V52" s="185" t="s">
        <v>50</v>
      </c>
      <c r="W52" s="186">
        <v>0</v>
      </c>
      <c r="X52" s="186">
        <v>0</v>
      </c>
      <c r="Y52" s="186">
        <v>0</v>
      </c>
      <c r="Z52" s="186">
        <v>0</v>
      </c>
      <c r="AA52" s="186">
        <v>0</v>
      </c>
      <c r="AB52" s="186">
        <v>0</v>
      </c>
      <c r="AC52" s="186">
        <v>0</v>
      </c>
      <c r="AD52" s="186">
        <v>0</v>
      </c>
      <c r="AE52" s="186">
        <v>0</v>
      </c>
      <c r="AF52" s="186">
        <v>0</v>
      </c>
      <c r="AG52" s="189">
        <v>0</v>
      </c>
      <c r="AH52" s="190">
        <v>0</v>
      </c>
      <c r="AI52" s="125">
        <f>SUM(V52:AH52)</f>
        <v>0</v>
      </c>
      <c r="AJ52" s="133"/>
      <c r="AK52" s="298"/>
      <c r="AL52" s="312"/>
      <c r="AM52" s="20" t="s">
        <v>25</v>
      </c>
      <c r="AN52" s="185">
        <v>3</v>
      </c>
      <c r="AO52" s="186">
        <v>0</v>
      </c>
      <c r="AP52" s="186">
        <v>8</v>
      </c>
      <c r="AQ52" s="186">
        <v>0</v>
      </c>
      <c r="AR52" s="186">
        <v>0</v>
      </c>
      <c r="AS52" s="186">
        <v>0</v>
      </c>
      <c r="AT52" s="186">
        <v>7</v>
      </c>
      <c r="AU52" s="186">
        <v>5</v>
      </c>
      <c r="AV52" s="186">
        <v>13</v>
      </c>
      <c r="AW52" s="186">
        <v>18</v>
      </c>
      <c r="AX52" s="186">
        <v>0</v>
      </c>
      <c r="AY52" s="189">
        <v>23</v>
      </c>
      <c r="AZ52" s="190">
        <v>0</v>
      </c>
      <c r="BA52" s="125">
        <f>SUM(AN52:AZ52)</f>
        <v>77</v>
      </c>
      <c r="BB52" s="133"/>
      <c r="BC52" s="298"/>
      <c r="BD52" s="312"/>
      <c r="BE52" s="20" t="s">
        <v>25</v>
      </c>
      <c r="BF52" s="185">
        <v>24</v>
      </c>
      <c r="BG52" s="186">
        <v>0</v>
      </c>
      <c r="BH52" s="186">
        <v>7</v>
      </c>
      <c r="BI52" s="186">
        <v>19</v>
      </c>
      <c r="BJ52" s="186">
        <v>0</v>
      </c>
      <c r="BK52" s="186">
        <v>0</v>
      </c>
      <c r="BL52" s="186">
        <v>9</v>
      </c>
      <c r="BM52" s="186">
        <v>23</v>
      </c>
      <c r="BN52" s="186">
        <v>13</v>
      </c>
      <c r="BO52" s="186">
        <v>43</v>
      </c>
      <c r="BP52" s="186">
        <v>6</v>
      </c>
      <c r="BQ52" s="189">
        <v>27</v>
      </c>
      <c r="BR52" s="190">
        <v>0</v>
      </c>
      <c r="BS52" s="125">
        <f>SUM(BF52:BR52)</f>
        <v>171</v>
      </c>
      <c r="BT52" s="133"/>
      <c r="BU52" s="298"/>
      <c r="BV52" s="312"/>
      <c r="BW52" s="20" t="s">
        <v>25</v>
      </c>
      <c r="BX52" s="185">
        <v>7</v>
      </c>
      <c r="BY52" s="186">
        <v>0</v>
      </c>
      <c r="BZ52" s="186">
        <v>8</v>
      </c>
      <c r="CA52" s="186">
        <v>0</v>
      </c>
      <c r="CB52" s="186">
        <v>0</v>
      </c>
      <c r="CC52" s="186">
        <v>0</v>
      </c>
      <c r="CD52" s="186">
        <v>7</v>
      </c>
      <c r="CE52" s="186">
        <v>5</v>
      </c>
      <c r="CF52" s="186">
        <v>10</v>
      </c>
      <c r="CG52" s="186">
        <v>16</v>
      </c>
      <c r="CH52" s="186">
        <v>0</v>
      </c>
      <c r="CI52" s="189">
        <v>12</v>
      </c>
      <c r="CJ52" s="190">
        <v>0</v>
      </c>
      <c r="CK52" s="125">
        <f>SUM(BX52:CJ52)</f>
        <v>65</v>
      </c>
      <c r="CL52" s="133"/>
      <c r="CM52" s="298"/>
      <c r="CN52" s="312"/>
      <c r="CO52" s="20" t="s">
        <v>25</v>
      </c>
      <c r="CP52" s="207">
        <v>36</v>
      </c>
      <c r="CQ52" s="208">
        <v>0</v>
      </c>
      <c r="CR52" s="181">
        <v>0</v>
      </c>
      <c r="CS52" s="181">
        <v>0</v>
      </c>
      <c r="CT52" s="181">
        <v>0</v>
      </c>
      <c r="CU52" s="181">
        <v>0</v>
      </c>
      <c r="CV52" s="208">
        <v>3</v>
      </c>
      <c r="CW52" s="181">
        <v>9</v>
      </c>
      <c r="CX52" s="208">
        <v>10</v>
      </c>
      <c r="CY52" s="181">
        <v>18</v>
      </c>
      <c r="CZ52" s="208">
        <v>4</v>
      </c>
      <c r="DA52" s="184">
        <v>0</v>
      </c>
      <c r="DB52" s="184">
        <v>0</v>
      </c>
      <c r="DC52" s="25">
        <f>SUM(CP52:DB52)</f>
        <v>80</v>
      </c>
      <c r="DD52" s="107"/>
      <c r="DE52" s="298"/>
      <c r="DF52" s="312"/>
      <c r="DG52" s="20" t="s">
        <v>25</v>
      </c>
      <c r="DH52" s="185">
        <v>3</v>
      </c>
      <c r="DI52" s="186">
        <v>0</v>
      </c>
      <c r="DJ52" s="186">
        <v>8</v>
      </c>
      <c r="DK52" s="186">
        <v>0</v>
      </c>
      <c r="DL52" s="186">
        <v>0</v>
      </c>
      <c r="DM52" s="186">
        <v>0</v>
      </c>
      <c r="DN52" s="186">
        <v>7</v>
      </c>
      <c r="DO52" s="186">
        <v>5</v>
      </c>
      <c r="DP52" s="186">
        <v>13</v>
      </c>
      <c r="DQ52" s="186">
        <v>18</v>
      </c>
      <c r="DR52" s="186">
        <v>0</v>
      </c>
      <c r="DS52" s="189">
        <v>23</v>
      </c>
      <c r="DT52" s="190">
        <v>0</v>
      </c>
      <c r="DU52" s="192">
        <v>77</v>
      </c>
      <c r="DV52" s="107"/>
      <c r="DW52" s="298"/>
      <c r="DX52" s="312"/>
      <c r="DY52" s="20" t="s">
        <v>25</v>
      </c>
      <c r="DZ52" s="268">
        <v>36</v>
      </c>
      <c r="EA52" s="259">
        <v>0</v>
      </c>
      <c r="EB52" s="258">
        <v>0</v>
      </c>
      <c r="EC52" s="258">
        <v>0</v>
      </c>
      <c r="ED52" s="258">
        <v>0</v>
      </c>
      <c r="EE52" s="258">
        <v>0</v>
      </c>
      <c r="EF52" s="259">
        <v>3</v>
      </c>
      <c r="EG52" s="258">
        <v>9</v>
      </c>
      <c r="EH52" s="259">
        <v>10</v>
      </c>
      <c r="EI52" s="258">
        <v>18</v>
      </c>
      <c r="EJ52" s="259">
        <v>4</v>
      </c>
      <c r="EK52" s="260">
        <v>0</v>
      </c>
      <c r="EL52" s="260">
        <v>0</v>
      </c>
      <c r="EM52" s="228">
        <f t="shared" si="227"/>
        <v>80</v>
      </c>
      <c r="EN52" s="107"/>
      <c r="EO52" s="298"/>
      <c r="EP52" s="312"/>
      <c r="EQ52" s="20" t="s">
        <v>25</v>
      </c>
      <c r="ER52" s="284">
        <v>27</v>
      </c>
      <c r="ES52" s="284">
        <v>0</v>
      </c>
      <c r="ET52" s="284">
        <v>4</v>
      </c>
      <c r="EU52" s="284">
        <v>23</v>
      </c>
      <c r="EV52" s="285">
        <v>18</v>
      </c>
      <c r="EW52" s="285">
        <v>0</v>
      </c>
      <c r="EX52" s="285">
        <v>5</v>
      </c>
      <c r="EY52" s="284">
        <v>25</v>
      </c>
      <c r="EZ52" s="284">
        <v>13</v>
      </c>
      <c r="FA52" s="284">
        <v>38</v>
      </c>
      <c r="FB52" s="284">
        <v>6</v>
      </c>
      <c r="FC52" s="288">
        <v>27</v>
      </c>
      <c r="FD52" s="288">
        <v>0</v>
      </c>
      <c r="FE52" s="289">
        <f t="shared" si="228"/>
        <v>186</v>
      </c>
      <c r="FF52" s="107"/>
      <c r="FG52" s="298"/>
      <c r="FH52" s="312"/>
      <c r="FI52" s="20" t="s">
        <v>25</v>
      </c>
      <c r="FJ52" s="185">
        <v>4</v>
      </c>
      <c r="FK52" s="186">
        <v>0</v>
      </c>
      <c r="FL52" s="186">
        <v>8</v>
      </c>
      <c r="FM52" s="186">
        <v>0</v>
      </c>
      <c r="FN52" s="186">
        <v>0</v>
      </c>
      <c r="FO52" s="186">
        <v>0</v>
      </c>
      <c r="FP52" s="186">
        <v>7</v>
      </c>
      <c r="FQ52" s="186">
        <v>5</v>
      </c>
      <c r="FR52" s="186">
        <v>13</v>
      </c>
      <c r="FS52" s="186">
        <v>18</v>
      </c>
      <c r="FT52" s="186">
        <v>0</v>
      </c>
      <c r="FU52" s="189">
        <v>23</v>
      </c>
      <c r="FV52" s="190">
        <v>0</v>
      </c>
      <c r="FW52" s="192">
        <v>78</v>
      </c>
      <c r="FX52" s="107"/>
      <c r="FY52" s="298"/>
      <c r="FZ52" s="312"/>
      <c r="GA52" s="20" t="s">
        <v>25</v>
      </c>
      <c r="GB52" s="12">
        <v>0</v>
      </c>
      <c r="GC52" s="18">
        <v>0</v>
      </c>
      <c r="GD52" s="12">
        <v>0</v>
      </c>
      <c r="GE52" s="13">
        <v>0</v>
      </c>
      <c r="GF52" s="15">
        <v>0</v>
      </c>
      <c r="GG52" s="15">
        <v>0</v>
      </c>
      <c r="GH52" s="16">
        <v>0</v>
      </c>
      <c r="GI52" s="17">
        <v>0</v>
      </c>
      <c r="GJ52" s="14">
        <v>0</v>
      </c>
      <c r="GK52" s="17">
        <v>0</v>
      </c>
      <c r="GL52" s="18">
        <v>0</v>
      </c>
      <c r="GM52" s="22">
        <v>0</v>
      </c>
      <c r="GN52" s="22">
        <v>0</v>
      </c>
      <c r="GO52" s="25">
        <f>SUM(GB52:GN52)</f>
        <v>0</v>
      </c>
      <c r="GP52" s="107"/>
      <c r="GQ52" s="298"/>
      <c r="GR52" s="312"/>
      <c r="GS52" s="20" t="s">
        <v>25</v>
      </c>
      <c r="GT52" s="12">
        <v>0</v>
      </c>
      <c r="GU52" s="18">
        <v>0</v>
      </c>
      <c r="GV52" s="12">
        <v>0</v>
      </c>
      <c r="GW52" s="13">
        <v>0</v>
      </c>
      <c r="GX52" s="15">
        <v>0</v>
      </c>
      <c r="GY52" s="15">
        <v>0</v>
      </c>
      <c r="GZ52" s="16">
        <v>0</v>
      </c>
      <c r="HA52" s="17">
        <v>0</v>
      </c>
      <c r="HB52" s="14">
        <v>0</v>
      </c>
      <c r="HC52" s="17">
        <v>0</v>
      </c>
      <c r="HD52" s="18">
        <v>0</v>
      </c>
      <c r="HE52" s="22">
        <v>0</v>
      </c>
      <c r="HF52" s="22">
        <v>0</v>
      </c>
      <c r="HG52" s="25">
        <f>SUM(GT52:HF52)</f>
        <v>0</v>
      </c>
      <c r="HH52" s="107"/>
      <c r="HI52" s="298"/>
      <c r="HJ52" s="356"/>
      <c r="HK52" s="20" t="s">
        <v>25</v>
      </c>
      <c r="HL52" s="12" t="e">
        <f t="shared" si="229"/>
        <v>#VALUE!</v>
      </c>
      <c r="HM52" s="14">
        <f t="shared" si="230"/>
        <v>0</v>
      </c>
      <c r="HN52" s="17">
        <f t="shared" si="231"/>
        <v>51</v>
      </c>
      <c r="HO52" s="13">
        <f t="shared" si="232"/>
        <v>42</v>
      </c>
      <c r="HP52" s="13">
        <f t="shared" si="233"/>
        <v>18</v>
      </c>
      <c r="HQ52" s="13">
        <f t="shared" si="234"/>
        <v>0</v>
      </c>
      <c r="HR52" s="14">
        <f t="shared" si="235"/>
        <v>55</v>
      </c>
      <c r="HS52" s="17">
        <f t="shared" si="236"/>
        <v>91</v>
      </c>
      <c r="HT52" s="14">
        <f t="shared" si="237"/>
        <v>108</v>
      </c>
      <c r="HU52" s="17">
        <f t="shared" si="238"/>
        <v>205</v>
      </c>
      <c r="HV52" s="14">
        <f t="shared" si="239"/>
        <v>20</v>
      </c>
      <c r="HW52" s="45">
        <f t="shared" si="240"/>
        <v>158</v>
      </c>
      <c r="HX52" s="45">
        <f t="shared" si="241"/>
        <v>0</v>
      </c>
      <c r="HY52" s="25" t="e">
        <f>SUM(HL52:HX52)</f>
        <v>#VALUE!</v>
      </c>
      <c r="HZ52" s="28"/>
    </row>
    <row r="53" spans="1:234" s="11" customFormat="1" ht="20.100000000000001" customHeight="1" thickTop="1" thickBot="1" x14ac:dyDescent="0.3">
      <c r="A53" s="299"/>
      <c r="B53" s="326" t="s">
        <v>34</v>
      </c>
      <c r="C53" s="327"/>
      <c r="D53" s="306">
        <f>SUM(D51:E52)</f>
        <v>12</v>
      </c>
      <c r="E53" s="307"/>
      <c r="F53" s="306">
        <f>SUM(F51:J52)</f>
        <v>19</v>
      </c>
      <c r="G53" s="368"/>
      <c r="H53" s="368"/>
      <c r="I53" s="368"/>
      <c r="J53" s="307"/>
      <c r="K53" s="306">
        <f>SUM(K51:L52)</f>
        <v>33</v>
      </c>
      <c r="L53" s="307"/>
      <c r="M53" s="306">
        <f>SUM(M51:N52)</f>
        <v>27</v>
      </c>
      <c r="N53" s="307"/>
      <c r="O53" s="94">
        <f>SUM(O51:O52)</f>
        <v>35</v>
      </c>
      <c r="P53" s="94">
        <f>SUM(P51:P52)</f>
        <v>0</v>
      </c>
      <c r="Q53" s="126">
        <f>SUM(Q51:Q52)</f>
        <v>126</v>
      </c>
      <c r="R53" s="133"/>
      <c r="S53" s="299"/>
      <c r="T53" s="326" t="s">
        <v>34</v>
      </c>
      <c r="U53" s="327"/>
      <c r="V53" s="306">
        <f>SUM(V51:W52)</f>
        <v>0</v>
      </c>
      <c r="W53" s="307"/>
      <c r="X53" s="306">
        <f>SUM(X51:AB52)</f>
        <v>0</v>
      </c>
      <c r="Y53" s="368"/>
      <c r="Z53" s="368"/>
      <c r="AA53" s="368"/>
      <c r="AB53" s="307"/>
      <c r="AC53" s="306">
        <f>SUM(AC51:AD52)</f>
        <v>0</v>
      </c>
      <c r="AD53" s="307"/>
      <c r="AE53" s="306">
        <f>SUM(AE51:AF52)</f>
        <v>0</v>
      </c>
      <c r="AF53" s="307"/>
      <c r="AG53" s="94">
        <f>SUM(AG51:AG52)</f>
        <v>0</v>
      </c>
      <c r="AH53" s="94">
        <f>SUM(AH51:AH52)</f>
        <v>0</v>
      </c>
      <c r="AI53" s="126">
        <f>SUM(AI51:AI52)</f>
        <v>0</v>
      </c>
      <c r="AJ53" s="133"/>
      <c r="AK53" s="299"/>
      <c r="AL53" s="326" t="s">
        <v>34</v>
      </c>
      <c r="AM53" s="327"/>
      <c r="AN53" s="306">
        <f>SUM(AN51:AO52)</f>
        <v>10</v>
      </c>
      <c r="AO53" s="307"/>
      <c r="AP53" s="306">
        <f>SUM(AP51:AT52)</f>
        <v>19</v>
      </c>
      <c r="AQ53" s="368"/>
      <c r="AR53" s="368"/>
      <c r="AS53" s="368"/>
      <c r="AT53" s="307"/>
      <c r="AU53" s="306">
        <f>SUM(AU51:AV52)</f>
        <v>36</v>
      </c>
      <c r="AV53" s="307"/>
      <c r="AW53" s="306">
        <f>SUM(AW51:AX52)</f>
        <v>30</v>
      </c>
      <c r="AX53" s="307"/>
      <c r="AY53" s="94">
        <f>SUM(AY51:AY52)</f>
        <v>35</v>
      </c>
      <c r="AZ53" s="94">
        <f>SUM(AZ51:AZ52)</f>
        <v>0</v>
      </c>
      <c r="BA53" s="126">
        <f>SUM(BA51:BA52)</f>
        <v>130</v>
      </c>
      <c r="BB53" s="133"/>
      <c r="BC53" s="299"/>
      <c r="BD53" s="326" t="s">
        <v>34</v>
      </c>
      <c r="BE53" s="327"/>
      <c r="BF53" s="388">
        <v>26</v>
      </c>
      <c r="BG53" s="390"/>
      <c r="BH53" s="388">
        <v>335</v>
      </c>
      <c r="BI53" s="389"/>
      <c r="BJ53" s="389"/>
      <c r="BK53" s="389"/>
      <c r="BL53" s="390"/>
      <c r="BM53" s="388">
        <v>69</v>
      </c>
      <c r="BN53" s="390"/>
      <c r="BO53" s="388">
        <v>50</v>
      </c>
      <c r="BP53" s="390"/>
      <c r="BQ53" s="201">
        <v>50</v>
      </c>
      <c r="BR53" s="202">
        <v>0</v>
      </c>
      <c r="BS53" s="126">
        <f>SUM(BS51:BS52)</f>
        <v>279</v>
      </c>
      <c r="BT53" s="133"/>
      <c r="BU53" s="299"/>
      <c r="BV53" s="326" t="s">
        <v>34</v>
      </c>
      <c r="BW53" s="327"/>
      <c r="BX53" s="306">
        <f>SUM(BX51:BY52)</f>
        <v>13</v>
      </c>
      <c r="BY53" s="307"/>
      <c r="BZ53" s="306">
        <f>SUM(BZ51:CD52)</f>
        <v>19</v>
      </c>
      <c r="CA53" s="368"/>
      <c r="CB53" s="368"/>
      <c r="CC53" s="368"/>
      <c r="CD53" s="307"/>
      <c r="CE53" s="306">
        <f>SUM(CE51:CF52)</f>
        <v>31</v>
      </c>
      <c r="CF53" s="307"/>
      <c r="CG53" s="306">
        <f>SUM(CG51:CH52)</f>
        <v>27</v>
      </c>
      <c r="CH53" s="307"/>
      <c r="CI53" s="94">
        <f>SUM(CI51:CI52)</f>
        <v>30</v>
      </c>
      <c r="CJ53" s="94">
        <f>SUM(CJ51:CJ52)</f>
        <v>0</v>
      </c>
      <c r="CK53" s="126">
        <f>SUM(CK51:CK52)</f>
        <v>120</v>
      </c>
      <c r="CL53" s="133"/>
      <c r="CM53" s="299"/>
      <c r="CN53" s="326" t="s">
        <v>34</v>
      </c>
      <c r="CO53" s="327"/>
      <c r="CP53" s="396">
        <v>0</v>
      </c>
      <c r="CQ53" s="398"/>
      <c r="CR53" s="396">
        <v>86</v>
      </c>
      <c r="CS53" s="397"/>
      <c r="CT53" s="397"/>
      <c r="CU53" s="397"/>
      <c r="CV53" s="398"/>
      <c r="CW53" s="396">
        <v>54</v>
      </c>
      <c r="CX53" s="398"/>
      <c r="CY53" s="396">
        <v>4</v>
      </c>
      <c r="CZ53" s="398"/>
      <c r="DA53" s="202">
        <v>0</v>
      </c>
      <c r="DB53" s="202">
        <v>0</v>
      </c>
      <c r="DC53" s="26">
        <f>SUM(DC51:DC52)</f>
        <v>141</v>
      </c>
      <c r="DD53" s="107"/>
      <c r="DE53" s="299"/>
      <c r="DF53" s="326" t="s">
        <v>34</v>
      </c>
      <c r="DG53" s="327"/>
      <c r="DH53" s="383">
        <v>8</v>
      </c>
      <c r="DI53" s="384"/>
      <c r="DJ53" s="383">
        <v>165</v>
      </c>
      <c r="DK53" s="389"/>
      <c r="DL53" s="389"/>
      <c r="DM53" s="389"/>
      <c r="DN53" s="384"/>
      <c r="DO53" s="383">
        <v>30</v>
      </c>
      <c r="DP53" s="384"/>
      <c r="DQ53" s="383">
        <v>35</v>
      </c>
      <c r="DR53" s="390"/>
      <c r="DS53" s="201">
        <v>35</v>
      </c>
      <c r="DT53" s="202">
        <v>0</v>
      </c>
      <c r="DU53" s="215">
        <v>130</v>
      </c>
      <c r="DV53" s="107"/>
      <c r="DW53" s="299"/>
      <c r="DX53" s="326" t="s">
        <v>34</v>
      </c>
      <c r="DY53" s="327"/>
      <c r="DZ53" s="359">
        <f>SUM(DZ51:EA52)</f>
        <v>55</v>
      </c>
      <c r="EA53" s="361"/>
      <c r="EB53" s="359">
        <f>SUM(EB51:EF52)</f>
        <v>9</v>
      </c>
      <c r="EC53" s="360"/>
      <c r="ED53" s="360"/>
      <c r="EE53" s="360"/>
      <c r="EF53" s="361"/>
      <c r="EG53" s="359">
        <f>SUM(EG51:EH52)</f>
        <v>34</v>
      </c>
      <c r="EH53" s="361"/>
      <c r="EI53" s="359">
        <f>SUM(EI51:EJ52)</f>
        <v>43</v>
      </c>
      <c r="EJ53" s="361"/>
      <c r="EK53" s="229">
        <f t="shared" ref="EK53:EM53" si="242">SUM(EK51:EK52)</f>
        <v>0</v>
      </c>
      <c r="EL53" s="229">
        <f t="shared" si="242"/>
        <v>0</v>
      </c>
      <c r="EM53" s="230">
        <f t="shared" si="242"/>
        <v>141</v>
      </c>
      <c r="EN53" s="107"/>
      <c r="EO53" s="299"/>
      <c r="EP53" s="326" t="s">
        <v>34</v>
      </c>
      <c r="EQ53" s="327"/>
      <c r="ER53" s="364">
        <f>SUM(ES51:ET52)</f>
        <v>4</v>
      </c>
      <c r="ES53" s="365"/>
      <c r="ET53" s="364">
        <f>SUM(EX51:FB52)</f>
        <v>148</v>
      </c>
      <c r="EU53" s="374"/>
      <c r="EV53" s="374"/>
      <c r="EW53" s="374"/>
      <c r="EX53" s="365"/>
      <c r="EY53" s="364">
        <f>SUM(EZ51:FA52)</f>
        <v>87</v>
      </c>
      <c r="EZ53" s="365"/>
      <c r="FA53" s="364">
        <f>SUM(FB51:FC52)</f>
        <v>56</v>
      </c>
      <c r="FB53" s="365"/>
      <c r="FC53" s="289">
        <f t="shared" ref="FC53:FE53" si="243">SUM(FC51:FC52)</f>
        <v>50</v>
      </c>
      <c r="FD53" s="289">
        <f t="shared" si="243"/>
        <v>0</v>
      </c>
      <c r="FE53" s="290">
        <f t="shared" si="243"/>
        <v>300</v>
      </c>
      <c r="FF53" s="107"/>
      <c r="FG53" s="299"/>
      <c r="FH53" s="326" t="s">
        <v>34</v>
      </c>
      <c r="FI53" s="327"/>
      <c r="FJ53" s="383">
        <v>8</v>
      </c>
      <c r="FK53" s="384"/>
      <c r="FL53" s="383">
        <v>172</v>
      </c>
      <c r="FM53" s="389"/>
      <c r="FN53" s="389"/>
      <c r="FO53" s="389"/>
      <c r="FP53" s="384"/>
      <c r="FQ53" s="383">
        <v>32</v>
      </c>
      <c r="FR53" s="384"/>
      <c r="FS53" s="383">
        <v>35</v>
      </c>
      <c r="FT53" s="390"/>
      <c r="FU53" s="201">
        <v>35</v>
      </c>
      <c r="FV53" s="202">
        <v>0</v>
      </c>
      <c r="FW53" s="215">
        <v>137</v>
      </c>
      <c r="FX53" s="107"/>
      <c r="FY53" s="299"/>
      <c r="FZ53" s="326" t="s">
        <v>34</v>
      </c>
      <c r="GA53" s="327"/>
      <c r="GB53" s="306">
        <f>SUM(GB51:GC52)</f>
        <v>0</v>
      </c>
      <c r="GC53" s="307"/>
      <c r="GD53" s="306">
        <f>SUM(GD51:GH52)</f>
        <v>0</v>
      </c>
      <c r="GE53" s="368"/>
      <c r="GF53" s="368"/>
      <c r="GG53" s="368"/>
      <c r="GH53" s="307"/>
      <c r="GI53" s="306">
        <f>SUM(GI51:GJ52)</f>
        <v>0</v>
      </c>
      <c r="GJ53" s="307"/>
      <c r="GK53" s="306">
        <f>SUM(GK51:GL52)</f>
        <v>0</v>
      </c>
      <c r="GL53" s="307"/>
      <c r="GM53" s="94">
        <f>SUM(GM51:GM52)</f>
        <v>0</v>
      </c>
      <c r="GN53" s="94">
        <f>SUM(GN51:GN52)</f>
        <v>0</v>
      </c>
      <c r="GO53" s="26">
        <f>SUM(GO51:GO52)</f>
        <v>0</v>
      </c>
      <c r="GP53" s="107"/>
      <c r="GQ53" s="299"/>
      <c r="GR53" s="326" t="s">
        <v>34</v>
      </c>
      <c r="GS53" s="327"/>
      <c r="GT53" s="306">
        <f>SUM(GT51:GU52)</f>
        <v>0</v>
      </c>
      <c r="GU53" s="307"/>
      <c r="GV53" s="306">
        <f>SUM(GV51:GZ52)</f>
        <v>0</v>
      </c>
      <c r="GW53" s="368"/>
      <c r="GX53" s="368"/>
      <c r="GY53" s="368"/>
      <c r="GZ53" s="307"/>
      <c r="HA53" s="306">
        <f>SUM(HA51:HB52)</f>
        <v>0</v>
      </c>
      <c r="HB53" s="307"/>
      <c r="HC53" s="306">
        <f>SUM(HC51:HD52)</f>
        <v>0</v>
      </c>
      <c r="HD53" s="307"/>
      <c r="HE53" s="94">
        <f>SUM(HE51:HE52)</f>
        <v>0</v>
      </c>
      <c r="HF53" s="94">
        <f>SUM(HF51:HF52)</f>
        <v>0</v>
      </c>
      <c r="HG53" s="26">
        <f>SUM(HG51:HG52)</f>
        <v>0</v>
      </c>
      <c r="HH53" s="107"/>
      <c r="HI53" s="299"/>
      <c r="HJ53" s="295" t="s">
        <v>28</v>
      </c>
      <c r="HK53" s="313"/>
      <c r="HL53" s="306" t="e">
        <f>SUM(HL51:HM52)</f>
        <v>#VALUE!</v>
      </c>
      <c r="HM53" s="307"/>
      <c r="HN53" s="306">
        <f>SUM(HN51:HR52)</f>
        <v>214</v>
      </c>
      <c r="HO53" s="368"/>
      <c r="HP53" s="368"/>
      <c r="HQ53" s="368"/>
      <c r="HR53" s="307"/>
      <c r="HS53" s="306">
        <f>SUM(HS51:HT52)</f>
        <v>379</v>
      </c>
      <c r="HT53" s="307"/>
      <c r="HU53" s="306">
        <f>SUM(HU51:HV52)</f>
        <v>370</v>
      </c>
      <c r="HV53" s="307"/>
      <c r="HW53" s="43">
        <f>SUM(HW51:HW52)</f>
        <v>270</v>
      </c>
      <c r="HX53" s="43">
        <f>SUM(HX51:HX52)</f>
        <v>0</v>
      </c>
      <c r="HY53" s="26" t="e">
        <f>SUM(HY51:HY52)</f>
        <v>#VALUE!</v>
      </c>
      <c r="HZ53" s="28"/>
    </row>
    <row r="54" spans="1:234" s="11" customFormat="1" ht="20.100000000000001" customHeight="1" thickTop="1" thickBot="1" x14ac:dyDescent="0.3">
      <c r="A54" s="41"/>
      <c r="B54" s="353" t="s">
        <v>29</v>
      </c>
      <c r="C54" s="357"/>
      <c r="D54" s="308">
        <f>SUM(D50+D53)</f>
        <v>435</v>
      </c>
      <c r="E54" s="310"/>
      <c r="F54" s="308">
        <f>SUM(F50+F53)</f>
        <v>2436</v>
      </c>
      <c r="G54" s="309"/>
      <c r="H54" s="309"/>
      <c r="I54" s="309"/>
      <c r="J54" s="310"/>
      <c r="K54" s="308">
        <f>SUM(K50+K53)</f>
        <v>316</v>
      </c>
      <c r="L54" s="310"/>
      <c r="M54" s="308">
        <f>SUM(M50+M53)</f>
        <v>159</v>
      </c>
      <c r="N54" s="310"/>
      <c r="O54" s="23">
        <f>SUM(O50+O53)</f>
        <v>167</v>
      </c>
      <c r="P54" s="23">
        <f>SUM(P50+P53)</f>
        <v>0</v>
      </c>
      <c r="Q54" s="127">
        <f>SUM(Q50+Q53)</f>
        <v>2407</v>
      </c>
      <c r="R54" s="133"/>
      <c r="S54" s="41"/>
      <c r="T54" s="353" t="s">
        <v>29</v>
      </c>
      <c r="U54" s="357"/>
      <c r="V54" s="308">
        <f>SUM(V50+V53)</f>
        <v>616</v>
      </c>
      <c r="W54" s="310"/>
      <c r="X54" s="308">
        <f>SUM(X50+X53)</f>
        <v>2913</v>
      </c>
      <c r="Y54" s="309"/>
      <c r="Z54" s="309"/>
      <c r="AA54" s="309"/>
      <c r="AB54" s="310"/>
      <c r="AC54" s="308">
        <f>SUM(AC50+AC53)</f>
        <v>325</v>
      </c>
      <c r="AD54" s="310"/>
      <c r="AE54" s="308">
        <f>SUM(AE50+AE53)</f>
        <v>139</v>
      </c>
      <c r="AF54" s="310"/>
      <c r="AG54" s="23">
        <f>SUM(AG50+AG53)</f>
        <v>139</v>
      </c>
      <c r="AH54" s="23">
        <f>SUM(AH50+AH53)</f>
        <v>0</v>
      </c>
      <c r="AI54" s="127">
        <f>SUM(AI50+AI53)</f>
        <v>2762</v>
      </c>
      <c r="AJ54" s="133"/>
      <c r="AK54" s="41"/>
      <c r="AL54" s="353" t="s">
        <v>29</v>
      </c>
      <c r="AM54" s="357"/>
      <c r="AN54" s="308">
        <f>SUM(AN50+AN53)</f>
        <v>622</v>
      </c>
      <c r="AO54" s="310"/>
      <c r="AP54" s="308">
        <f>SUM(AP50+AP53)</f>
        <v>2804</v>
      </c>
      <c r="AQ54" s="309"/>
      <c r="AR54" s="309"/>
      <c r="AS54" s="309"/>
      <c r="AT54" s="310"/>
      <c r="AU54" s="308">
        <f>SUM(AU50+AU53)</f>
        <v>337</v>
      </c>
      <c r="AV54" s="310"/>
      <c r="AW54" s="308">
        <f>SUM(AW50+AW53)</f>
        <v>162</v>
      </c>
      <c r="AX54" s="310"/>
      <c r="AY54" s="23">
        <f>SUM(AY50+AY53)</f>
        <v>167</v>
      </c>
      <c r="AZ54" s="23">
        <f>SUM(AZ50+AZ53)</f>
        <v>0</v>
      </c>
      <c r="BA54" s="127">
        <f>SUM(BA50+BA53)</f>
        <v>2775</v>
      </c>
      <c r="BB54" s="133"/>
      <c r="BC54" s="41"/>
      <c r="BD54" s="353" t="s">
        <v>29</v>
      </c>
      <c r="BE54" s="357"/>
      <c r="BF54" s="381">
        <v>0</v>
      </c>
      <c r="BG54" s="382"/>
      <c r="BH54" s="381">
        <v>0</v>
      </c>
      <c r="BI54" s="399"/>
      <c r="BJ54" s="399"/>
      <c r="BK54" s="399"/>
      <c r="BL54" s="382"/>
      <c r="BM54" s="381">
        <v>0</v>
      </c>
      <c r="BN54" s="382"/>
      <c r="BO54" s="381">
        <v>0</v>
      </c>
      <c r="BP54" s="382"/>
      <c r="BQ54" s="203">
        <v>137</v>
      </c>
      <c r="BR54" s="203">
        <v>0</v>
      </c>
      <c r="BS54" s="127">
        <f>SUM(BS50+BS53)</f>
        <v>1952</v>
      </c>
      <c r="BT54" s="133"/>
      <c r="BU54" s="41"/>
      <c r="BV54" s="353" t="s">
        <v>29</v>
      </c>
      <c r="BW54" s="357"/>
      <c r="BX54" s="308">
        <f>SUM(BX50+BX53)</f>
        <v>360</v>
      </c>
      <c r="BY54" s="310"/>
      <c r="BZ54" s="308">
        <f>SUM(BZ50+BZ53)</f>
        <v>2103</v>
      </c>
      <c r="CA54" s="309"/>
      <c r="CB54" s="309"/>
      <c r="CC54" s="309"/>
      <c r="CD54" s="310"/>
      <c r="CE54" s="308">
        <f>SUM(CE50+CE53)</f>
        <v>301</v>
      </c>
      <c r="CF54" s="310"/>
      <c r="CG54" s="308">
        <f>SUM(CG50+CG53)</f>
        <v>127</v>
      </c>
      <c r="CH54" s="310"/>
      <c r="CI54" s="23">
        <f>SUM(CI50+CI53)</f>
        <v>130</v>
      </c>
      <c r="CJ54" s="23">
        <f>SUM(CJ50+CJ53)</f>
        <v>0</v>
      </c>
      <c r="CK54" s="127">
        <f>SUM(CK50+CK53)</f>
        <v>2100</v>
      </c>
      <c r="CL54" s="133"/>
      <c r="CM54" s="41"/>
      <c r="CN54" s="353" t="s">
        <v>29</v>
      </c>
      <c r="CO54" s="357"/>
      <c r="CP54" s="381">
        <v>0</v>
      </c>
      <c r="CQ54" s="382"/>
      <c r="CR54" s="381">
        <v>986</v>
      </c>
      <c r="CS54" s="399"/>
      <c r="CT54" s="399"/>
      <c r="CU54" s="399"/>
      <c r="CV54" s="382"/>
      <c r="CW54" s="381">
        <v>54</v>
      </c>
      <c r="CX54" s="382"/>
      <c r="CY54" s="381">
        <v>4</v>
      </c>
      <c r="CZ54" s="382"/>
      <c r="DA54" s="203">
        <v>14</v>
      </c>
      <c r="DB54" s="203">
        <v>0</v>
      </c>
      <c r="DC54" s="27">
        <f>SUM(DC50+DC53)</f>
        <v>1503</v>
      </c>
      <c r="DD54" s="107"/>
      <c r="DE54" s="41"/>
      <c r="DF54" s="353" t="s">
        <v>29</v>
      </c>
      <c r="DG54" s="357"/>
      <c r="DH54" s="381">
        <v>620</v>
      </c>
      <c r="DI54" s="382"/>
      <c r="DJ54" s="381">
        <v>2950</v>
      </c>
      <c r="DK54" s="399"/>
      <c r="DL54" s="399"/>
      <c r="DM54" s="399"/>
      <c r="DN54" s="382"/>
      <c r="DO54" s="381">
        <v>331</v>
      </c>
      <c r="DP54" s="382"/>
      <c r="DQ54" s="381">
        <v>167</v>
      </c>
      <c r="DR54" s="382"/>
      <c r="DS54" s="203">
        <v>167</v>
      </c>
      <c r="DT54" s="203">
        <v>0</v>
      </c>
      <c r="DU54" s="216">
        <v>2775</v>
      </c>
      <c r="DV54" s="107"/>
      <c r="DW54" s="41"/>
      <c r="DX54" s="353" t="s">
        <v>29</v>
      </c>
      <c r="DY54" s="357"/>
      <c r="DZ54" s="363">
        <f>SUM(DZ50+DZ53)</f>
        <v>238</v>
      </c>
      <c r="EA54" s="361"/>
      <c r="EB54" s="363">
        <f>SUM(EB50+EB53)</f>
        <v>526</v>
      </c>
      <c r="EC54" s="360"/>
      <c r="ED54" s="360"/>
      <c r="EE54" s="360"/>
      <c r="EF54" s="361"/>
      <c r="EG54" s="363">
        <f>SUM(EG50+EG53)</f>
        <v>437</v>
      </c>
      <c r="EH54" s="361"/>
      <c r="EI54" s="363">
        <f>SUM(EI50+EI53)</f>
        <v>288</v>
      </c>
      <c r="EJ54" s="361"/>
      <c r="EK54" s="231">
        <f t="shared" ref="EK54:EM54" si="244">SUM(EK50+EK53)</f>
        <v>14</v>
      </c>
      <c r="EL54" s="231">
        <f t="shared" si="244"/>
        <v>0</v>
      </c>
      <c r="EM54" s="232">
        <f t="shared" si="244"/>
        <v>1503</v>
      </c>
      <c r="EN54" s="107"/>
      <c r="EO54" s="41"/>
      <c r="EP54" s="353" t="s">
        <v>29</v>
      </c>
      <c r="EQ54" s="357"/>
      <c r="ER54" s="363">
        <f>SUM(ER50+ER53)</f>
        <v>37</v>
      </c>
      <c r="ES54" s="361"/>
      <c r="ET54" s="363">
        <f>SUM(ET50+ET53)</f>
        <v>1097</v>
      </c>
      <c r="EU54" s="360"/>
      <c r="EV54" s="360"/>
      <c r="EW54" s="360"/>
      <c r="EX54" s="361"/>
      <c r="EY54" s="363">
        <f>SUM(EY50+EY53)</f>
        <v>467</v>
      </c>
      <c r="EZ54" s="361"/>
      <c r="FA54" s="363">
        <f>SUM(FA50+FA53)</f>
        <v>192</v>
      </c>
      <c r="FB54" s="361"/>
      <c r="FC54" s="231">
        <f t="shared" ref="FC54:FE54" si="245">SUM(FC50+FC53)</f>
        <v>137</v>
      </c>
      <c r="FD54" s="231">
        <f t="shared" si="245"/>
        <v>0</v>
      </c>
      <c r="FE54" s="283">
        <f t="shared" si="245"/>
        <v>1615</v>
      </c>
      <c r="FF54" s="107"/>
      <c r="FG54" s="41"/>
      <c r="FH54" s="353" t="s">
        <v>29</v>
      </c>
      <c r="FI54" s="357"/>
      <c r="FJ54" s="381">
        <v>378</v>
      </c>
      <c r="FK54" s="382"/>
      <c r="FL54" s="381">
        <v>2475</v>
      </c>
      <c r="FM54" s="399"/>
      <c r="FN54" s="399"/>
      <c r="FO54" s="399"/>
      <c r="FP54" s="382"/>
      <c r="FQ54" s="381">
        <v>315</v>
      </c>
      <c r="FR54" s="382"/>
      <c r="FS54" s="381">
        <v>167</v>
      </c>
      <c r="FT54" s="382"/>
      <c r="FU54" s="203">
        <v>167</v>
      </c>
      <c r="FV54" s="203">
        <v>0</v>
      </c>
      <c r="FW54" s="216">
        <v>2304</v>
      </c>
      <c r="FX54" s="107"/>
      <c r="FY54" s="41"/>
      <c r="FZ54" s="353" t="s">
        <v>29</v>
      </c>
      <c r="GA54" s="357"/>
      <c r="GB54" s="308">
        <f>SUM(GB50+GB53)</f>
        <v>0</v>
      </c>
      <c r="GC54" s="310"/>
      <c r="GD54" s="308">
        <f>SUM(GD50+GD53)</f>
        <v>0</v>
      </c>
      <c r="GE54" s="309"/>
      <c r="GF54" s="309"/>
      <c r="GG54" s="309"/>
      <c r="GH54" s="310"/>
      <c r="GI54" s="308">
        <f>SUM(GI50+GI53)</f>
        <v>0</v>
      </c>
      <c r="GJ54" s="310"/>
      <c r="GK54" s="308">
        <f>SUM(GK50+GK53)</f>
        <v>0</v>
      </c>
      <c r="GL54" s="310"/>
      <c r="GM54" s="23">
        <f>SUM(GM50+GM53)</f>
        <v>0</v>
      </c>
      <c r="GN54" s="23">
        <f>SUM(GN50+GN53)</f>
        <v>0</v>
      </c>
      <c r="GO54" s="27">
        <f>SUM(GO50+GO53)</f>
        <v>0</v>
      </c>
      <c r="GP54" s="107"/>
      <c r="GQ54" s="41"/>
      <c r="GR54" s="353" t="s">
        <v>29</v>
      </c>
      <c r="GS54" s="357"/>
      <c r="GT54" s="308">
        <f>SUM(GT50+GT53)</f>
        <v>0</v>
      </c>
      <c r="GU54" s="310"/>
      <c r="GV54" s="308">
        <f>SUM(GV50+GV53)</f>
        <v>0</v>
      </c>
      <c r="GW54" s="309"/>
      <c r="GX54" s="309"/>
      <c r="GY54" s="309"/>
      <c r="GZ54" s="310"/>
      <c r="HA54" s="308">
        <f>SUM(HA50+HA53)</f>
        <v>0</v>
      </c>
      <c r="HB54" s="310"/>
      <c r="HC54" s="308">
        <f>SUM(HC50+HC53)</f>
        <v>0</v>
      </c>
      <c r="HD54" s="310"/>
      <c r="HE54" s="23">
        <f>SUM(HE50+HE53)</f>
        <v>0</v>
      </c>
      <c r="HF54" s="23">
        <f>SUM(HF50+HF53)</f>
        <v>0</v>
      </c>
      <c r="HG54" s="27">
        <f>SUM(HG50+HG53)</f>
        <v>0</v>
      </c>
      <c r="HH54" s="107"/>
      <c r="HI54" s="41"/>
      <c r="HJ54" s="353" t="s">
        <v>29</v>
      </c>
      <c r="HK54" s="354"/>
      <c r="HL54" s="308" t="e">
        <f>SUM(HL50+HL53)</f>
        <v>#VALUE!</v>
      </c>
      <c r="HM54" s="310"/>
      <c r="HN54" s="308">
        <f>SUM(HN50+HN53)</f>
        <v>7015</v>
      </c>
      <c r="HO54" s="309"/>
      <c r="HP54" s="309"/>
      <c r="HQ54" s="309"/>
      <c r="HR54" s="310"/>
      <c r="HS54" s="308">
        <f>SUM(HS50+HS53)</f>
        <v>6664</v>
      </c>
      <c r="HT54" s="310"/>
      <c r="HU54" s="308">
        <f>SUM(HU50+HU53)</f>
        <v>3180</v>
      </c>
      <c r="HV54" s="310"/>
      <c r="HW54" s="23">
        <f>SUM(HW50+HW53)</f>
        <v>1239</v>
      </c>
      <c r="HX54" s="23">
        <f>SUM(HX50+HX53)</f>
        <v>0</v>
      </c>
      <c r="HY54" s="27" t="e">
        <f>SUM(HY50+HY53)</f>
        <v>#VALUE!</v>
      </c>
      <c r="HZ54" s="28"/>
    </row>
    <row r="55" spans="1:234" s="11" customFormat="1" ht="20.100000000000001" customHeight="1" thickTop="1" thickBot="1" x14ac:dyDescent="0.3">
      <c r="A55" s="297" t="s">
        <v>49</v>
      </c>
      <c r="B55" s="304" t="s">
        <v>9</v>
      </c>
      <c r="C55" s="19" t="s">
        <v>24</v>
      </c>
      <c r="D55" s="157">
        <v>600</v>
      </c>
      <c r="E55" s="158">
        <v>2</v>
      </c>
      <c r="F55" s="159">
        <v>3</v>
      </c>
      <c r="G55" s="159">
        <v>0</v>
      </c>
      <c r="H55" s="159">
        <v>0</v>
      </c>
      <c r="I55" s="160">
        <v>0</v>
      </c>
      <c r="J55" s="158">
        <v>10</v>
      </c>
      <c r="K55" s="159">
        <v>0</v>
      </c>
      <c r="L55" s="158">
        <v>1105</v>
      </c>
      <c r="M55" s="159">
        <v>250</v>
      </c>
      <c r="N55" s="161">
        <v>0</v>
      </c>
      <c r="O55" s="162">
        <v>5</v>
      </c>
      <c r="P55" s="162">
        <v>0</v>
      </c>
      <c r="Q55" s="124">
        <f>SUM(D55:P55)</f>
        <v>1975</v>
      </c>
      <c r="R55" s="133"/>
      <c r="S55" s="297" t="s">
        <v>49</v>
      </c>
      <c r="T55" s="304" t="s">
        <v>9</v>
      </c>
      <c r="U55" s="19" t="s">
        <v>24</v>
      </c>
      <c r="V55" s="157">
        <v>0</v>
      </c>
      <c r="W55" s="158">
        <v>0</v>
      </c>
      <c r="X55" s="159">
        <v>0</v>
      </c>
      <c r="Y55" s="159">
        <v>29</v>
      </c>
      <c r="Z55" s="159">
        <v>0</v>
      </c>
      <c r="AA55" s="160">
        <v>0</v>
      </c>
      <c r="AB55" s="158">
        <v>0</v>
      </c>
      <c r="AC55" s="159">
        <v>241</v>
      </c>
      <c r="AD55" s="158">
        <v>570</v>
      </c>
      <c r="AE55" s="159">
        <v>49</v>
      </c>
      <c r="AF55" s="161">
        <v>0</v>
      </c>
      <c r="AG55" s="162">
        <v>18</v>
      </c>
      <c r="AH55" s="162">
        <v>0</v>
      </c>
      <c r="AI55" s="124">
        <f>SUM(V55:AH55)</f>
        <v>907</v>
      </c>
      <c r="AJ55" s="133"/>
      <c r="AK55" s="297" t="s">
        <v>49</v>
      </c>
      <c r="AL55" s="304" t="s">
        <v>9</v>
      </c>
      <c r="AM55" s="19" t="s">
        <v>24</v>
      </c>
      <c r="AN55" s="157">
        <v>110</v>
      </c>
      <c r="AO55" s="158">
        <v>2</v>
      </c>
      <c r="AP55" s="159">
        <v>0</v>
      </c>
      <c r="AQ55" s="159">
        <v>2</v>
      </c>
      <c r="AR55" s="159">
        <v>8</v>
      </c>
      <c r="AS55" s="160">
        <v>0</v>
      </c>
      <c r="AT55" s="158">
        <v>433</v>
      </c>
      <c r="AU55" s="159">
        <v>15</v>
      </c>
      <c r="AV55" s="158">
        <v>160</v>
      </c>
      <c r="AW55" s="159">
        <v>15</v>
      </c>
      <c r="AX55" s="161">
        <v>0</v>
      </c>
      <c r="AY55" s="162">
        <v>20</v>
      </c>
      <c r="AZ55" s="162">
        <v>0</v>
      </c>
      <c r="BA55" s="124">
        <f>SUM(AN55:AZ55)</f>
        <v>765</v>
      </c>
      <c r="BB55" s="133"/>
      <c r="BC55" s="297" t="s">
        <v>49</v>
      </c>
      <c r="BD55" s="304" t="s">
        <v>9</v>
      </c>
      <c r="BE55" s="19" t="s">
        <v>24</v>
      </c>
      <c r="BF55" s="168">
        <v>344</v>
      </c>
      <c r="BG55" s="169">
        <v>0</v>
      </c>
      <c r="BH55" s="170">
        <v>0</v>
      </c>
      <c r="BI55" s="170">
        <v>30</v>
      </c>
      <c r="BJ55" s="170">
        <v>233</v>
      </c>
      <c r="BK55" s="171">
        <v>0</v>
      </c>
      <c r="BL55" s="169">
        <v>344</v>
      </c>
      <c r="BM55" s="170">
        <v>344</v>
      </c>
      <c r="BN55" s="169">
        <v>810</v>
      </c>
      <c r="BO55" s="170">
        <v>38</v>
      </c>
      <c r="BP55" s="172">
        <v>0</v>
      </c>
      <c r="BQ55" s="173">
        <v>20</v>
      </c>
      <c r="BR55" s="173">
        <v>0</v>
      </c>
      <c r="BS55" s="124">
        <f>SUM(BF55:BR55)</f>
        <v>2163</v>
      </c>
      <c r="BT55" s="133"/>
      <c r="BU55" s="297" t="s">
        <v>49</v>
      </c>
      <c r="BV55" s="304" t="s">
        <v>9</v>
      </c>
      <c r="BW55" s="19" t="s">
        <v>24</v>
      </c>
      <c r="BX55" s="157">
        <v>330</v>
      </c>
      <c r="BY55" s="158">
        <v>0</v>
      </c>
      <c r="BZ55" s="159">
        <v>0</v>
      </c>
      <c r="CA55" s="159">
        <v>0</v>
      </c>
      <c r="CB55" s="159">
        <v>0</v>
      </c>
      <c r="CC55" s="160">
        <v>0</v>
      </c>
      <c r="CD55" s="158">
        <v>0</v>
      </c>
      <c r="CE55" s="159">
        <v>330</v>
      </c>
      <c r="CF55" s="158">
        <v>451</v>
      </c>
      <c r="CG55" s="159">
        <v>24</v>
      </c>
      <c r="CH55" s="161">
        <v>0</v>
      </c>
      <c r="CI55" s="162">
        <v>18</v>
      </c>
      <c r="CJ55" s="162">
        <v>0</v>
      </c>
      <c r="CK55" s="124">
        <f>SUM(BX55:CJ55)</f>
        <v>1153</v>
      </c>
      <c r="CL55" s="133"/>
      <c r="CM55" s="297" t="s">
        <v>49</v>
      </c>
      <c r="CN55" s="304" t="s">
        <v>9</v>
      </c>
      <c r="CO55" s="19" t="s">
        <v>24</v>
      </c>
      <c r="CP55" s="185">
        <v>119</v>
      </c>
      <c r="CQ55" s="186">
        <v>6</v>
      </c>
      <c r="CR55" s="186">
        <v>0</v>
      </c>
      <c r="CS55" s="186">
        <v>139</v>
      </c>
      <c r="CT55" s="186">
        <v>0</v>
      </c>
      <c r="CU55" s="187">
        <v>0</v>
      </c>
      <c r="CV55" s="186">
        <v>123</v>
      </c>
      <c r="CW55" s="186">
        <v>187</v>
      </c>
      <c r="CX55" s="186">
        <v>59</v>
      </c>
      <c r="CY55" s="186">
        <v>123</v>
      </c>
      <c r="CZ55" s="187">
        <v>0</v>
      </c>
      <c r="DA55" s="189">
        <v>48</v>
      </c>
      <c r="DB55" s="190">
        <v>0</v>
      </c>
      <c r="DC55" s="24">
        <f>SUM(CP55:DB55)</f>
        <v>804</v>
      </c>
      <c r="DD55" s="107"/>
      <c r="DE55" s="297" t="s">
        <v>49</v>
      </c>
      <c r="DF55" s="304" t="s">
        <v>9</v>
      </c>
      <c r="DG55" s="19" t="s">
        <v>24</v>
      </c>
      <c r="DH55" s="168">
        <v>251</v>
      </c>
      <c r="DI55" s="169">
        <v>0</v>
      </c>
      <c r="DJ55" s="170">
        <v>0</v>
      </c>
      <c r="DK55" s="170">
        <v>13</v>
      </c>
      <c r="DL55" s="170">
        <v>0</v>
      </c>
      <c r="DM55" s="171">
        <v>0</v>
      </c>
      <c r="DN55" s="169">
        <v>0</v>
      </c>
      <c r="DO55" s="170">
        <v>251</v>
      </c>
      <c r="DP55" s="169">
        <v>585</v>
      </c>
      <c r="DQ55" s="170">
        <v>58</v>
      </c>
      <c r="DR55" s="172">
        <v>0</v>
      </c>
      <c r="DS55" s="173">
        <v>14</v>
      </c>
      <c r="DT55" s="173">
        <v>0</v>
      </c>
      <c r="DU55" s="211">
        <v>1172</v>
      </c>
      <c r="DV55" s="107"/>
      <c r="DW55" s="297" t="s">
        <v>49</v>
      </c>
      <c r="DX55" s="304" t="s">
        <v>9</v>
      </c>
      <c r="DY55" s="19" t="s">
        <v>24</v>
      </c>
      <c r="DZ55" s="269">
        <v>119</v>
      </c>
      <c r="EA55" s="253">
        <v>6</v>
      </c>
      <c r="EB55" s="253">
        <v>0</v>
      </c>
      <c r="EC55" s="253">
        <v>139</v>
      </c>
      <c r="ED55" s="253">
        <v>0</v>
      </c>
      <c r="EE55" s="267">
        <v>0</v>
      </c>
      <c r="EF55" s="253">
        <v>123</v>
      </c>
      <c r="EG55" s="253">
        <v>187</v>
      </c>
      <c r="EH55" s="253">
        <v>59</v>
      </c>
      <c r="EI55" s="253">
        <v>123</v>
      </c>
      <c r="EJ55" s="267">
        <v>0</v>
      </c>
      <c r="EK55" s="270">
        <v>48</v>
      </c>
      <c r="EL55" s="256">
        <v>0</v>
      </c>
      <c r="EM55" s="223">
        <f t="shared" ref="EM55:EM56" si="246">SUM(DZ55:EL55)</f>
        <v>804</v>
      </c>
      <c r="EN55" s="107"/>
      <c r="EO55" s="297" t="s">
        <v>49</v>
      </c>
      <c r="EP55" s="304" t="s">
        <v>9</v>
      </c>
      <c r="EQ55" s="19" t="s">
        <v>24</v>
      </c>
      <c r="ER55" s="233">
        <v>90</v>
      </c>
      <c r="ES55" s="234">
        <v>6</v>
      </c>
      <c r="ET55" s="261">
        <v>12</v>
      </c>
      <c r="EU55" s="262">
        <v>8</v>
      </c>
      <c r="EV55" s="263">
        <v>10</v>
      </c>
      <c r="EW55" s="264">
        <v>0</v>
      </c>
      <c r="EX55" s="265">
        <v>130</v>
      </c>
      <c r="EY55" s="239">
        <v>260</v>
      </c>
      <c r="EZ55" s="240">
        <v>306</v>
      </c>
      <c r="FA55" s="241">
        <v>55</v>
      </c>
      <c r="FB55" s="242">
        <v>0</v>
      </c>
      <c r="FC55" s="243">
        <v>12</v>
      </c>
      <c r="FD55" s="243">
        <v>0</v>
      </c>
      <c r="FE55" s="280">
        <f t="shared" ref="FE55:FE56" si="247">SUM(ER55:FD55)</f>
        <v>889</v>
      </c>
      <c r="FF55" s="107"/>
      <c r="FG55" s="297" t="s">
        <v>49</v>
      </c>
      <c r="FH55" s="304" t="s">
        <v>9</v>
      </c>
      <c r="FI55" s="19" t="s">
        <v>24</v>
      </c>
      <c r="FJ55" s="168">
        <v>344</v>
      </c>
      <c r="FK55" s="169">
        <v>0</v>
      </c>
      <c r="FL55" s="170">
        <v>0</v>
      </c>
      <c r="FM55" s="170">
        <v>30</v>
      </c>
      <c r="FN55" s="170">
        <v>0</v>
      </c>
      <c r="FO55" s="171">
        <v>0</v>
      </c>
      <c r="FP55" s="169">
        <v>577</v>
      </c>
      <c r="FQ55" s="170">
        <v>344</v>
      </c>
      <c r="FR55" s="169">
        <v>810</v>
      </c>
      <c r="FS55" s="170">
        <v>38</v>
      </c>
      <c r="FT55" s="172">
        <v>0</v>
      </c>
      <c r="FU55" s="173">
        <v>20</v>
      </c>
      <c r="FV55" s="173">
        <v>0</v>
      </c>
      <c r="FW55" s="211">
        <v>2163</v>
      </c>
      <c r="FX55" s="107"/>
      <c r="FY55" s="297" t="s">
        <v>49</v>
      </c>
      <c r="FZ55" s="304" t="s">
        <v>9</v>
      </c>
      <c r="GA55" s="19" t="s">
        <v>24</v>
      </c>
      <c r="GB55" s="8">
        <v>0</v>
      </c>
      <c r="GC55" s="33">
        <v>0</v>
      </c>
      <c r="GD55" s="4">
        <v>0</v>
      </c>
      <c r="GE55" s="5">
        <v>0</v>
      </c>
      <c r="GF55" s="6">
        <v>0</v>
      </c>
      <c r="GG55" s="84">
        <v>0</v>
      </c>
      <c r="GH55" s="7">
        <v>0</v>
      </c>
      <c r="GI55" s="34">
        <v>0</v>
      </c>
      <c r="GJ55" s="9">
        <v>0</v>
      </c>
      <c r="GK55" s="10">
        <v>0</v>
      </c>
      <c r="GL55" s="86">
        <v>0</v>
      </c>
      <c r="GM55" s="21">
        <v>0</v>
      </c>
      <c r="GN55" s="21">
        <v>0</v>
      </c>
      <c r="GO55" s="24">
        <f>SUM(GB55:GN55)</f>
        <v>0</v>
      </c>
      <c r="GP55" s="107"/>
      <c r="GQ55" s="297" t="s">
        <v>49</v>
      </c>
      <c r="GR55" s="304" t="s">
        <v>9</v>
      </c>
      <c r="GS55" s="19" t="s">
        <v>24</v>
      </c>
      <c r="GT55" s="8">
        <v>0</v>
      </c>
      <c r="GU55" s="33">
        <v>0</v>
      </c>
      <c r="GV55" s="4">
        <v>0</v>
      </c>
      <c r="GW55" s="5">
        <v>0</v>
      </c>
      <c r="GX55" s="6">
        <v>0</v>
      </c>
      <c r="GY55" s="84">
        <v>0</v>
      </c>
      <c r="GZ55" s="7">
        <v>0</v>
      </c>
      <c r="HA55" s="34">
        <v>0</v>
      </c>
      <c r="HB55" s="9">
        <v>0</v>
      </c>
      <c r="HC55" s="10">
        <v>0</v>
      </c>
      <c r="HD55" s="86">
        <v>0</v>
      </c>
      <c r="HE55" s="21">
        <v>0</v>
      </c>
      <c r="HF55" s="21">
        <v>0</v>
      </c>
      <c r="HG55" s="24">
        <f>SUM(GT55:HF55)</f>
        <v>0</v>
      </c>
      <c r="HH55" s="107"/>
      <c r="HI55" s="297" t="str">
        <f>GQ55</f>
        <v>الواحة</v>
      </c>
      <c r="HJ55" s="304" t="s">
        <v>9</v>
      </c>
      <c r="HK55" s="19" t="s">
        <v>24</v>
      </c>
      <c r="HL55" s="8">
        <f t="shared" ref="HL55:HL56" si="248">SUM(D55+V55+AN55+BF55+BX55+CP55+DH55+DZ55+ER55+FJ55+GB55+GT55)</f>
        <v>2307</v>
      </c>
      <c r="HM55" s="9">
        <f t="shared" ref="HM55:HM56" si="249">SUM(E55+W55+AO55+BG55+BY55+CQ55+DI55+EA55+ES55+FK55+GC55+GU55)</f>
        <v>22</v>
      </c>
      <c r="HN55" s="34">
        <f t="shared" ref="HN55:HN56" si="250">SUM(F55+X55+AP55+BH55+BZ55+CR55+DJ55+EB55+ET55+FL55+GD55+GV55)</f>
        <v>15</v>
      </c>
      <c r="HO55" s="35">
        <f t="shared" ref="HO55:HO56" si="251">SUM(G55+Y55+AQ55+BI55+CA55+CS55+DK55+EC55+EU55+FM55+GE55+GW55)</f>
        <v>390</v>
      </c>
      <c r="HP55" s="35">
        <f t="shared" ref="HP55:HP56" si="252">SUM(H55+Z55+AR55+BJ55+CB55+CT55+DL55+ED55+EV55+FN55+GF55+GX55)</f>
        <v>251</v>
      </c>
      <c r="HQ55" s="46">
        <f t="shared" ref="HQ55:HQ56" si="253">SUM(I55+AA55+AS55+BK55+CC55+CU55+DM55+EE55+EW55+FO55+GG55+GY55)</f>
        <v>0</v>
      </c>
      <c r="HR55" s="9">
        <f t="shared" ref="HR55:HR56" si="254">SUM(J55+AB55+AT55+BL55+CD55+CV55+DN55+EF55+EX55+FP55+GH55+GZ55)</f>
        <v>1740</v>
      </c>
      <c r="HS55" s="34">
        <f t="shared" ref="HS55:HS56" si="255">SUM(K55+AC55+AU55+BM55+CE55+CW55+DO55+EG55+EY55+FQ55+GI55+HA55)</f>
        <v>2159</v>
      </c>
      <c r="HT55" s="9">
        <f t="shared" ref="HT55:HT56" si="256">SUM(L55+AD55+AV55+BN55+CF55+CX55+DP55+EH55+EZ55+FR55+GJ55+HB55)</f>
        <v>4915</v>
      </c>
      <c r="HU55" s="34">
        <f t="shared" ref="HU55:HU56" si="257">SUM(M55+AE55+AW55+BO55+CG55+CY55+DQ55+EI55+FA55+FS55+GK55+HC55)</f>
        <v>773</v>
      </c>
      <c r="HV55" s="47">
        <f t="shared" ref="HV55:HV56" si="258">SUM(N55+AF55+AX55+BP55+CH55+CZ55+DR55+EJ55+FB55+FT55+GL55+HD55)</f>
        <v>0</v>
      </c>
      <c r="HW55" s="44">
        <f t="shared" ref="HW55:HW56" si="259">SUM(O55+AG55+AY55+BQ55+CI55+DA55+DS55+EK55+FC55+FU55+GM55+HE55)</f>
        <v>223</v>
      </c>
      <c r="HX55" s="44">
        <f t="shared" ref="HX55:HX56" si="260">SUM(P55+AH55+AZ55+BR55+CJ55+DB55+DT55+EL55+FD55+FV55+GN55+HF55)</f>
        <v>0</v>
      </c>
      <c r="HY55" s="38">
        <f>SUM(HL55:HX55)</f>
        <v>12795</v>
      </c>
      <c r="HZ55" s="28"/>
    </row>
    <row r="56" spans="1:234" s="11" customFormat="1" ht="20.100000000000001" customHeight="1" thickBot="1" x14ac:dyDescent="0.3">
      <c r="A56" s="298"/>
      <c r="B56" s="305"/>
      <c r="C56" s="20" t="s">
        <v>25</v>
      </c>
      <c r="D56" s="163">
        <v>920</v>
      </c>
      <c r="E56" s="164">
        <v>6</v>
      </c>
      <c r="F56" s="165">
        <v>32</v>
      </c>
      <c r="G56" s="165">
        <v>30</v>
      </c>
      <c r="H56" s="165">
        <v>0</v>
      </c>
      <c r="I56" s="165">
        <v>0</v>
      </c>
      <c r="J56" s="164">
        <v>40</v>
      </c>
      <c r="K56" s="165">
        <v>0</v>
      </c>
      <c r="L56" s="164">
        <v>2215</v>
      </c>
      <c r="M56" s="165">
        <v>370</v>
      </c>
      <c r="N56" s="164">
        <v>80</v>
      </c>
      <c r="O56" s="166">
        <v>15</v>
      </c>
      <c r="P56" s="166">
        <v>0</v>
      </c>
      <c r="Q56" s="125">
        <f>SUM(D56:P56)</f>
        <v>3708</v>
      </c>
      <c r="R56" s="133"/>
      <c r="S56" s="298"/>
      <c r="T56" s="305"/>
      <c r="U56" s="20" t="s">
        <v>25</v>
      </c>
      <c r="V56" s="163">
        <v>0</v>
      </c>
      <c r="W56" s="164">
        <v>0</v>
      </c>
      <c r="X56" s="165">
        <v>0</v>
      </c>
      <c r="Y56" s="165">
        <v>25</v>
      </c>
      <c r="Z56" s="165">
        <v>0</v>
      </c>
      <c r="AA56" s="165">
        <v>0</v>
      </c>
      <c r="AB56" s="164">
        <v>0</v>
      </c>
      <c r="AC56" s="165">
        <v>281</v>
      </c>
      <c r="AD56" s="164">
        <v>656</v>
      </c>
      <c r="AE56" s="165">
        <v>68</v>
      </c>
      <c r="AF56" s="164">
        <v>38</v>
      </c>
      <c r="AG56" s="166">
        <v>15</v>
      </c>
      <c r="AH56" s="166">
        <v>0</v>
      </c>
      <c r="AI56" s="125">
        <f>SUM(V56:AH56)</f>
        <v>1083</v>
      </c>
      <c r="AJ56" s="133"/>
      <c r="AK56" s="298"/>
      <c r="AL56" s="305"/>
      <c r="AM56" s="20" t="s">
        <v>25</v>
      </c>
      <c r="AN56" s="163">
        <v>321</v>
      </c>
      <c r="AO56" s="164">
        <v>5</v>
      </c>
      <c r="AP56" s="165">
        <v>0</v>
      </c>
      <c r="AQ56" s="165">
        <v>14</v>
      </c>
      <c r="AR56" s="165">
        <v>20</v>
      </c>
      <c r="AS56" s="165">
        <v>10</v>
      </c>
      <c r="AT56" s="164">
        <v>913</v>
      </c>
      <c r="AU56" s="165">
        <v>28</v>
      </c>
      <c r="AV56" s="164">
        <v>194</v>
      </c>
      <c r="AW56" s="165">
        <v>63</v>
      </c>
      <c r="AX56" s="164">
        <v>8</v>
      </c>
      <c r="AY56" s="166">
        <v>15</v>
      </c>
      <c r="AZ56" s="166">
        <v>0</v>
      </c>
      <c r="BA56" s="125">
        <f>SUM(AN56:AZ56)</f>
        <v>1591</v>
      </c>
      <c r="BB56" s="133"/>
      <c r="BC56" s="298"/>
      <c r="BD56" s="305"/>
      <c r="BE56" s="20" t="s">
        <v>25</v>
      </c>
      <c r="BF56" s="163">
        <v>486</v>
      </c>
      <c r="BG56" s="164">
        <v>0</v>
      </c>
      <c r="BH56" s="165">
        <v>0</v>
      </c>
      <c r="BI56" s="165">
        <v>37</v>
      </c>
      <c r="BJ56" s="165">
        <v>383</v>
      </c>
      <c r="BK56" s="165">
        <v>0</v>
      </c>
      <c r="BL56" s="164">
        <v>476</v>
      </c>
      <c r="BM56" s="165">
        <v>486</v>
      </c>
      <c r="BN56" s="164">
        <v>1139</v>
      </c>
      <c r="BO56" s="165">
        <v>52</v>
      </c>
      <c r="BP56" s="164">
        <v>65</v>
      </c>
      <c r="BQ56" s="166">
        <v>20</v>
      </c>
      <c r="BR56" s="166">
        <v>0</v>
      </c>
      <c r="BS56" s="125">
        <f>SUM(BF56:BR56)</f>
        <v>3144</v>
      </c>
      <c r="BT56" s="133"/>
      <c r="BU56" s="298"/>
      <c r="BV56" s="305"/>
      <c r="BW56" s="20" t="s">
        <v>25</v>
      </c>
      <c r="BX56" s="163">
        <v>458</v>
      </c>
      <c r="BY56" s="164">
        <v>0</v>
      </c>
      <c r="BZ56" s="165">
        <v>0</v>
      </c>
      <c r="CA56" s="165">
        <v>0</v>
      </c>
      <c r="CB56" s="165">
        <v>0</v>
      </c>
      <c r="CC56" s="165">
        <v>63</v>
      </c>
      <c r="CD56" s="164">
        <v>0</v>
      </c>
      <c r="CE56" s="165">
        <v>458</v>
      </c>
      <c r="CF56" s="164">
        <v>687</v>
      </c>
      <c r="CG56" s="165">
        <v>34</v>
      </c>
      <c r="CH56" s="164">
        <v>63</v>
      </c>
      <c r="CI56" s="166">
        <v>17</v>
      </c>
      <c r="CJ56" s="166">
        <v>0</v>
      </c>
      <c r="CK56" s="125">
        <f>SUM(BX56:CJ56)</f>
        <v>1780</v>
      </c>
      <c r="CL56" s="133"/>
      <c r="CM56" s="298"/>
      <c r="CN56" s="305"/>
      <c r="CO56" s="20" t="s">
        <v>25</v>
      </c>
      <c r="CP56" s="185">
        <v>156</v>
      </c>
      <c r="CQ56" s="186">
        <v>8</v>
      </c>
      <c r="CR56" s="186">
        <v>22</v>
      </c>
      <c r="CS56" s="186">
        <v>135</v>
      </c>
      <c r="CT56" s="186">
        <v>0</v>
      </c>
      <c r="CU56" s="186">
        <v>0</v>
      </c>
      <c r="CV56" s="186">
        <v>245</v>
      </c>
      <c r="CW56" s="186">
        <v>206</v>
      </c>
      <c r="CX56" s="186">
        <v>103</v>
      </c>
      <c r="CY56" s="186">
        <v>118</v>
      </c>
      <c r="CZ56" s="186">
        <v>49</v>
      </c>
      <c r="DA56" s="189">
        <v>39</v>
      </c>
      <c r="DB56" s="190">
        <v>0</v>
      </c>
      <c r="DC56" s="25">
        <f>SUM(CP56:DB56)</f>
        <v>1081</v>
      </c>
      <c r="DD56" s="107"/>
      <c r="DE56" s="298"/>
      <c r="DF56" s="305"/>
      <c r="DG56" s="20" t="s">
        <v>25</v>
      </c>
      <c r="DH56" s="163">
        <v>467</v>
      </c>
      <c r="DI56" s="164">
        <v>0</v>
      </c>
      <c r="DJ56" s="165">
        <v>0</v>
      </c>
      <c r="DK56" s="165">
        <v>25</v>
      </c>
      <c r="DL56" s="165">
        <v>0</v>
      </c>
      <c r="DM56" s="165">
        <v>0</v>
      </c>
      <c r="DN56" s="164">
        <v>0</v>
      </c>
      <c r="DO56" s="165">
        <v>487</v>
      </c>
      <c r="DP56" s="164">
        <v>954</v>
      </c>
      <c r="DQ56" s="165">
        <v>96</v>
      </c>
      <c r="DR56" s="164">
        <v>87</v>
      </c>
      <c r="DS56" s="166">
        <v>26</v>
      </c>
      <c r="DT56" s="166">
        <v>0</v>
      </c>
      <c r="DU56" s="167">
        <v>2142</v>
      </c>
      <c r="DV56" s="107"/>
      <c r="DW56" s="298"/>
      <c r="DX56" s="305"/>
      <c r="DY56" s="20" t="s">
        <v>25</v>
      </c>
      <c r="DZ56" s="271">
        <v>156</v>
      </c>
      <c r="EA56" s="272">
        <v>8</v>
      </c>
      <c r="EB56" s="272">
        <v>22</v>
      </c>
      <c r="EC56" s="272">
        <v>135</v>
      </c>
      <c r="ED56" s="272">
        <v>0</v>
      </c>
      <c r="EE56" s="272">
        <v>0</v>
      </c>
      <c r="EF56" s="272">
        <v>245</v>
      </c>
      <c r="EG56" s="272">
        <v>206</v>
      </c>
      <c r="EH56" s="272">
        <v>103</v>
      </c>
      <c r="EI56" s="272">
        <v>118</v>
      </c>
      <c r="EJ56" s="272">
        <v>49</v>
      </c>
      <c r="EK56" s="273">
        <v>39</v>
      </c>
      <c r="EL56" s="274">
        <v>0</v>
      </c>
      <c r="EM56" s="228">
        <f t="shared" si="246"/>
        <v>1081</v>
      </c>
      <c r="EN56" s="107"/>
      <c r="EO56" s="298"/>
      <c r="EP56" s="305"/>
      <c r="EQ56" s="20" t="s">
        <v>25</v>
      </c>
      <c r="ER56" s="244">
        <v>105</v>
      </c>
      <c r="ES56" s="245">
        <v>10</v>
      </c>
      <c r="ET56" s="244">
        <v>120</v>
      </c>
      <c r="EU56" s="246">
        <v>120</v>
      </c>
      <c r="EV56" s="247">
        <v>120</v>
      </c>
      <c r="EW56" s="247">
        <v>0</v>
      </c>
      <c r="EX56" s="248">
        <v>180</v>
      </c>
      <c r="EY56" s="249">
        <v>320</v>
      </c>
      <c r="EZ56" s="250">
        <v>320</v>
      </c>
      <c r="FA56" s="249">
        <v>80</v>
      </c>
      <c r="FB56" s="245">
        <v>22</v>
      </c>
      <c r="FC56" s="251">
        <v>19</v>
      </c>
      <c r="FD56" s="251">
        <v>0</v>
      </c>
      <c r="FE56" s="281">
        <f t="shared" si="247"/>
        <v>1416</v>
      </c>
      <c r="FF56" s="107"/>
      <c r="FG56" s="298"/>
      <c r="FH56" s="305"/>
      <c r="FI56" s="20" t="s">
        <v>25</v>
      </c>
      <c r="FJ56" s="163">
        <v>485</v>
      </c>
      <c r="FK56" s="164">
        <v>0</v>
      </c>
      <c r="FL56" s="165">
        <v>0</v>
      </c>
      <c r="FM56" s="165">
        <v>37</v>
      </c>
      <c r="FN56" s="165">
        <v>0</v>
      </c>
      <c r="FO56" s="165">
        <v>0</v>
      </c>
      <c r="FP56" s="164">
        <v>859</v>
      </c>
      <c r="FQ56" s="165">
        <v>846</v>
      </c>
      <c r="FR56" s="164">
        <v>1139</v>
      </c>
      <c r="FS56" s="165">
        <v>52</v>
      </c>
      <c r="FT56" s="164">
        <v>5</v>
      </c>
      <c r="FU56" s="166">
        <v>20</v>
      </c>
      <c r="FV56" s="166">
        <v>0</v>
      </c>
      <c r="FW56" s="167">
        <v>3443</v>
      </c>
      <c r="FX56" s="107"/>
      <c r="FY56" s="298"/>
      <c r="FZ56" s="305"/>
      <c r="GA56" s="20" t="s">
        <v>25</v>
      </c>
      <c r="GB56" s="12">
        <v>0</v>
      </c>
      <c r="GC56" s="18">
        <v>0</v>
      </c>
      <c r="GD56" s="12">
        <v>0</v>
      </c>
      <c r="GE56" s="13">
        <v>0</v>
      </c>
      <c r="GF56" s="15">
        <v>0</v>
      </c>
      <c r="GG56" s="15">
        <v>0</v>
      </c>
      <c r="GH56" s="16">
        <v>0</v>
      </c>
      <c r="GI56" s="17">
        <v>0</v>
      </c>
      <c r="GJ56" s="14">
        <v>0</v>
      </c>
      <c r="GK56" s="17">
        <v>0</v>
      </c>
      <c r="GL56" s="18">
        <v>0</v>
      </c>
      <c r="GM56" s="22">
        <v>0</v>
      </c>
      <c r="GN56" s="22">
        <v>0</v>
      </c>
      <c r="GO56" s="25">
        <f>SUM(GB56:GN56)</f>
        <v>0</v>
      </c>
      <c r="GP56" s="107"/>
      <c r="GQ56" s="298"/>
      <c r="GR56" s="305"/>
      <c r="GS56" s="20" t="s">
        <v>25</v>
      </c>
      <c r="GT56" s="12">
        <v>0</v>
      </c>
      <c r="GU56" s="18">
        <v>0</v>
      </c>
      <c r="GV56" s="12">
        <v>0</v>
      </c>
      <c r="GW56" s="13">
        <v>0</v>
      </c>
      <c r="GX56" s="15">
        <v>0</v>
      </c>
      <c r="GY56" s="15">
        <v>0</v>
      </c>
      <c r="GZ56" s="16">
        <v>0</v>
      </c>
      <c r="HA56" s="17">
        <v>0</v>
      </c>
      <c r="HB56" s="14">
        <v>0</v>
      </c>
      <c r="HC56" s="17">
        <v>0</v>
      </c>
      <c r="HD56" s="18">
        <v>0</v>
      </c>
      <c r="HE56" s="22">
        <v>0</v>
      </c>
      <c r="HF56" s="22">
        <v>0</v>
      </c>
      <c r="HG56" s="25">
        <f>SUM(GT56:HF56)</f>
        <v>0</v>
      </c>
      <c r="HH56" s="107"/>
      <c r="HI56" s="298"/>
      <c r="HJ56" s="305"/>
      <c r="HK56" s="20" t="s">
        <v>25</v>
      </c>
      <c r="HL56" s="12">
        <f t="shared" si="248"/>
        <v>3554</v>
      </c>
      <c r="HM56" s="14">
        <f t="shared" si="249"/>
        <v>37</v>
      </c>
      <c r="HN56" s="17">
        <f t="shared" si="250"/>
        <v>196</v>
      </c>
      <c r="HO56" s="13">
        <f t="shared" si="251"/>
        <v>558</v>
      </c>
      <c r="HP56" s="13">
        <f t="shared" si="252"/>
        <v>523</v>
      </c>
      <c r="HQ56" s="13">
        <f t="shared" si="253"/>
        <v>73</v>
      </c>
      <c r="HR56" s="14">
        <f t="shared" si="254"/>
        <v>2958</v>
      </c>
      <c r="HS56" s="17">
        <f t="shared" si="255"/>
        <v>3318</v>
      </c>
      <c r="HT56" s="14">
        <f t="shared" si="256"/>
        <v>7510</v>
      </c>
      <c r="HU56" s="17">
        <f t="shared" si="257"/>
        <v>1051</v>
      </c>
      <c r="HV56" s="14">
        <f t="shared" si="258"/>
        <v>466</v>
      </c>
      <c r="HW56" s="45">
        <f t="shared" si="259"/>
        <v>225</v>
      </c>
      <c r="HX56" s="45">
        <f t="shared" si="260"/>
        <v>0</v>
      </c>
      <c r="HY56" s="39">
        <f>SUM(HL56:HX56)</f>
        <v>20469</v>
      </c>
      <c r="HZ56" s="28"/>
    </row>
    <row r="57" spans="1:234" s="11" customFormat="1" ht="20.100000000000001" customHeight="1" thickTop="1" thickBot="1" x14ac:dyDescent="0.3">
      <c r="A57" s="298"/>
      <c r="B57" s="295" t="s">
        <v>26</v>
      </c>
      <c r="C57" s="296"/>
      <c r="D57" s="375">
        <v>1528</v>
      </c>
      <c r="E57" s="377"/>
      <c r="F57" s="375">
        <v>115</v>
      </c>
      <c r="G57" s="376"/>
      <c r="H57" s="376"/>
      <c r="I57" s="376"/>
      <c r="J57" s="377"/>
      <c r="K57" s="375">
        <v>3320</v>
      </c>
      <c r="L57" s="377"/>
      <c r="M57" s="375">
        <v>700</v>
      </c>
      <c r="N57" s="377"/>
      <c r="O57" s="167">
        <v>20</v>
      </c>
      <c r="P57" s="167">
        <v>0</v>
      </c>
      <c r="Q57" s="126">
        <f>SUM(Q55:Q56)</f>
        <v>5683</v>
      </c>
      <c r="R57" s="133"/>
      <c r="S57" s="298"/>
      <c r="T57" s="295" t="s">
        <v>26</v>
      </c>
      <c r="U57" s="296"/>
      <c r="V57" s="375">
        <v>656</v>
      </c>
      <c r="W57" s="377"/>
      <c r="X57" s="375">
        <v>54</v>
      </c>
      <c r="Y57" s="376"/>
      <c r="Z57" s="376"/>
      <c r="AA57" s="376"/>
      <c r="AB57" s="377"/>
      <c r="AC57" s="375">
        <v>1748</v>
      </c>
      <c r="AD57" s="377"/>
      <c r="AE57" s="375">
        <v>155</v>
      </c>
      <c r="AF57" s="377"/>
      <c r="AG57" s="167">
        <v>33</v>
      </c>
      <c r="AH57" s="167">
        <v>0</v>
      </c>
      <c r="AI57" s="126">
        <f>SUM(AI55:AI56)</f>
        <v>1990</v>
      </c>
      <c r="AJ57" s="133"/>
      <c r="AK57" s="298"/>
      <c r="AL57" s="295" t="s">
        <v>26</v>
      </c>
      <c r="AM57" s="296"/>
      <c r="AN57" s="375">
        <v>438</v>
      </c>
      <c r="AO57" s="377"/>
      <c r="AP57" s="375">
        <v>1400</v>
      </c>
      <c r="AQ57" s="376"/>
      <c r="AR57" s="376"/>
      <c r="AS57" s="376"/>
      <c r="AT57" s="377"/>
      <c r="AU57" s="375">
        <v>397</v>
      </c>
      <c r="AV57" s="377"/>
      <c r="AW57" s="375">
        <v>86</v>
      </c>
      <c r="AX57" s="377"/>
      <c r="AY57" s="167">
        <v>35</v>
      </c>
      <c r="AZ57" s="167">
        <v>0</v>
      </c>
      <c r="BA57" s="126">
        <f>SUM(BA55:BA56)</f>
        <v>2356</v>
      </c>
      <c r="BB57" s="133"/>
      <c r="BC57" s="298"/>
      <c r="BD57" s="295" t="s">
        <v>26</v>
      </c>
      <c r="BE57" s="296"/>
      <c r="BF57" s="375">
        <v>830</v>
      </c>
      <c r="BG57" s="377"/>
      <c r="BH57" s="375">
        <v>1503</v>
      </c>
      <c r="BI57" s="376"/>
      <c r="BJ57" s="376"/>
      <c r="BK57" s="376"/>
      <c r="BL57" s="377"/>
      <c r="BM57" s="375">
        <v>2779</v>
      </c>
      <c r="BN57" s="377"/>
      <c r="BO57" s="375">
        <v>155</v>
      </c>
      <c r="BP57" s="377"/>
      <c r="BQ57" s="167">
        <v>40</v>
      </c>
      <c r="BR57" s="167">
        <v>0</v>
      </c>
      <c r="BS57" s="126">
        <f>SUM(BS55:BS56)</f>
        <v>5307</v>
      </c>
      <c r="BT57" s="133"/>
      <c r="BU57" s="298"/>
      <c r="BV57" s="295" t="s">
        <v>26</v>
      </c>
      <c r="BW57" s="296"/>
      <c r="BX57" s="375">
        <v>788</v>
      </c>
      <c r="BY57" s="377"/>
      <c r="BZ57" s="375">
        <v>63</v>
      </c>
      <c r="CA57" s="376"/>
      <c r="CB57" s="376"/>
      <c r="CC57" s="376"/>
      <c r="CD57" s="377"/>
      <c r="CE57" s="375">
        <v>1926</v>
      </c>
      <c r="CF57" s="377"/>
      <c r="CG57" s="375">
        <v>121</v>
      </c>
      <c r="CH57" s="377"/>
      <c r="CI57" s="167">
        <v>35</v>
      </c>
      <c r="CJ57" s="167">
        <v>0</v>
      </c>
      <c r="CK57" s="126">
        <f>SUM(CK55:CK56)</f>
        <v>2933</v>
      </c>
      <c r="CL57" s="133"/>
      <c r="CM57" s="298"/>
      <c r="CN57" s="295" t="s">
        <v>26</v>
      </c>
      <c r="CO57" s="296"/>
      <c r="CP57" s="393">
        <v>296</v>
      </c>
      <c r="CQ57" s="395"/>
      <c r="CR57" s="393">
        <v>2021</v>
      </c>
      <c r="CS57" s="394"/>
      <c r="CT57" s="394"/>
      <c r="CU57" s="394"/>
      <c r="CV57" s="395"/>
      <c r="CW57" s="393">
        <v>290</v>
      </c>
      <c r="CX57" s="395"/>
      <c r="CY57" s="393">
        <v>87</v>
      </c>
      <c r="CZ57" s="395"/>
      <c r="DA57" s="191">
        <v>87</v>
      </c>
      <c r="DB57" s="192">
        <v>0</v>
      </c>
      <c r="DC57" s="26">
        <f>SUM(DC55:DC56)</f>
        <v>1885</v>
      </c>
      <c r="DD57" s="107"/>
      <c r="DE57" s="298"/>
      <c r="DF57" s="295" t="s">
        <v>26</v>
      </c>
      <c r="DG57" s="296"/>
      <c r="DH57" s="375">
        <v>718</v>
      </c>
      <c r="DI57" s="377"/>
      <c r="DJ57" s="375">
        <v>38</v>
      </c>
      <c r="DK57" s="376"/>
      <c r="DL57" s="376"/>
      <c r="DM57" s="376"/>
      <c r="DN57" s="377"/>
      <c r="DO57" s="375">
        <v>2277</v>
      </c>
      <c r="DP57" s="377"/>
      <c r="DQ57" s="375">
        <v>241</v>
      </c>
      <c r="DR57" s="377"/>
      <c r="DS57" s="167">
        <v>40</v>
      </c>
      <c r="DT57" s="167">
        <v>0</v>
      </c>
      <c r="DU57" s="210">
        <v>3314</v>
      </c>
      <c r="DV57" s="107"/>
      <c r="DW57" s="298"/>
      <c r="DX57" s="295" t="s">
        <v>26</v>
      </c>
      <c r="DY57" s="296"/>
      <c r="DZ57" s="359">
        <f>SUM(DZ55:EA56)</f>
        <v>289</v>
      </c>
      <c r="EA57" s="361"/>
      <c r="EB57" s="359">
        <f>SUM(EB55:EF56)</f>
        <v>664</v>
      </c>
      <c r="EC57" s="360"/>
      <c r="ED57" s="360"/>
      <c r="EE57" s="360"/>
      <c r="EF57" s="361"/>
      <c r="EG57" s="359">
        <f>SUM(EG55:EH56)</f>
        <v>555</v>
      </c>
      <c r="EH57" s="361"/>
      <c r="EI57" s="359">
        <f>SUM(EI55:EJ56)</f>
        <v>290</v>
      </c>
      <c r="EJ57" s="361"/>
      <c r="EK57" s="229">
        <f t="shared" ref="EK57:EM57" si="261">SUM(EK55:EK56)</f>
        <v>87</v>
      </c>
      <c r="EL57" s="229">
        <f t="shared" si="261"/>
        <v>0</v>
      </c>
      <c r="EM57" s="230">
        <f t="shared" si="261"/>
        <v>1885</v>
      </c>
      <c r="EN57" s="107"/>
      <c r="EO57" s="298"/>
      <c r="EP57" s="295" t="s">
        <v>26</v>
      </c>
      <c r="EQ57" s="296"/>
      <c r="ER57" s="359">
        <f>SUM(ER55:ES56)</f>
        <v>211</v>
      </c>
      <c r="ES57" s="361"/>
      <c r="ET57" s="359">
        <f>SUM(ET55:EX56)</f>
        <v>700</v>
      </c>
      <c r="EU57" s="360"/>
      <c r="EV57" s="360"/>
      <c r="EW57" s="360"/>
      <c r="EX57" s="361"/>
      <c r="EY57" s="359">
        <f>SUM(EY55:EZ56)</f>
        <v>1206</v>
      </c>
      <c r="EZ57" s="361"/>
      <c r="FA57" s="359">
        <f>SUM(FA55:FB56)</f>
        <v>157</v>
      </c>
      <c r="FB57" s="361"/>
      <c r="FC57" s="229">
        <f t="shared" ref="FC57:FE57" si="262">SUM(FC55:FC56)</f>
        <v>31</v>
      </c>
      <c r="FD57" s="229">
        <f t="shared" si="262"/>
        <v>0</v>
      </c>
      <c r="FE57" s="282">
        <f t="shared" si="262"/>
        <v>2305</v>
      </c>
      <c r="FF57" s="107"/>
      <c r="FG57" s="298"/>
      <c r="FH57" s="295" t="s">
        <v>26</v>
      </c>
      <c r="FI57" s="296"/>
      <c r="FJ57" s="375">
        <v>829</v>
      </c>
      <c r="FK57" s="377"/>
      <c r="FL57" s="375">
        <v>1503</v>
      </c>
      <c r="FM57" s="376"/>
      <c r="FN57" s="376"/>
      <c r="FO57" s="376"/>
      <c r="FP57" s="377"/>
      <c r="FQ57" s="375">
        <v>3139</v>
      </c>
      <c r="FR57" s="377"/>
      <c r="FS57" s="375">
        <v>95</v>
      </c>
      <c r="FT57" s="377"/>
      <c r="FU57" s="167">
        <v>40</v>
      </c>
      <c r="FV57" s="167">
        <v>0</v>
      </c>
      <c r="FW57" s="210">
        <v>5606</v>
      </c>
      <c r="FX57" s="107"/>
      <c r="FY57" s="298"/>
      <c r="FZ57" s="295" t="s">
        <v>26</v>
      </c>
      <c r="GA57" s="296"/>
      <c r="GB57" s="306">
        <f>SUM(GB55:GC56)</f>
        <v>0</v>
      </c>
      <c r="GC57" s="307"/>
      <c r="GD57" s="306">
        <f>SUM(GD55:GH56)</f>
        <v>0</v>
      </c>
      <c r="GE57" s="368"/>
      <c r="GF57" s="368"/>
      <c r="GG57" s="368"/>
      <c r="GH57" s="307"/>
      <c r="GI57" s="306">
        <f>SUM(GI55:GJ56)</f>
        <v>0</v>
      </c>
      <c r="GJ57" s="307"/>
      <c r="GK57" s="306">
        <f>SUM(GK55:GL56)</f>
        <v>0</v>
      </c>
      <c r="GL57" s="307"/>
      <c r="GM57" s="94">
        <f>SUM(GM55:GM56)</f>
        <v>0</v>
      </c>
      <c r="GN57" s="94">
        <f>SUM(GN55:GN56)</f>
        <v>0</v>
      </c>
      <c r="GO57" s="26">
        <f>SUM(GO55:GO56)</f>
        <v>0</v>
      </c>
      <c r="GP57" s="107"/>
      <c r="GQ57" s="298"/>
      <c r="GR57" s="295" t="s">
        <v>26</v>
      </c>
      <c r="GS57" s="296"/>
      <c r="GT57" s="306">
        <f>SUM(GT55:GU56)</f>
        <v>0</v>
      </c>
      <c r="GU57" s="307"/>
      <c r="GV57" s="306">
        <f>SUM(GV55:GZ56)</f>
        <v>0</v>
      </c>
      <c r="GW57" s="368"/>
      <c r="GX57" s="368"/>
      <c r="GY57" s="368"/>
      <c r="GZ57" s="307"/>
      <c r="HA57" s="306">
        <f>SUM(HA55:HB56)</f>
        <v>0</v>
      </c>
      <c r="HB57" s="307"/>
      <c r="HC57" s="306">
        <f>SUM(HC55:HD56)</f>
        <v>0</v>
      </c>
      <c r="HD57" s="307"/>
      <c r="HE57" s="94">
        <f>SUM(HE55:HE56)</f>
        <v>0</v>
      </c>
      <c r="HF57" s="94">
        <f>SUM(HF55:HF56)</f>
        <v>0</v>
      </c>
      <c r="HG57" s="26">
        <f>SUM(HG55:HG56)</f>
        <v>0</v>
      </c>
      <c r="HH57" s="107"/>
      <c r="HI57" s="298"/>
      <c r="HJ57" s="295" t="s">
        <v>26</v>
      </c>
      <c r="HK57" s="313"/>
      <c r="HL57" s="306">
        <f>SUM(HL55:HM56)</f>
        <v>5920</v>
      </c>
      <c r="HM57" s="307"/>
      <c r="HN57" s="306">
        <f>SUM(HN55:HR56)</f>
        <v>6704</v>
      </c>
      <c r="HO57" s="368"/>
      <c r="HP57" s="368"/>
      <c r="HQ57" s="368"/>
      <c r="HR57" s="307"/>
      <c r="HS57" s="306">
        <f>SUM(HS55:HT56)</f>
        <v>17902</v>
      </c>
      <c r="HT57" s="307"/>
      <c r="HU57" s="306">
        <f>SUM(HU55:HV56)</f>
        <v>2290</v>
      </c>
      <c r="HV57" s="307"/>
      <c r="HW57" s="43">
        <f>SUM(HW55:HW56)</f>
        <v>448</v>
      </c>
      <c r="HX57" s="43">
        <f>SUM(HX55:HX56)</f>
        <v>0</v>
      </c>
      <c r="HY57" s="26">
        <f>SUM(HY55:HY56)</f>
        <v>33264</v>
      </c>
      <c r="HZ57" s="28"/>
    </row>
    <row r="58" spans="1:234" s="11" customFormat="1" ht="20.100000000000001" customHeight="1" thickBot="1" x14ac:dyDescent="0.3">
      <c r="A58" s="298"/>
      <c r="B58" s="311" t="s">
        <v>27</v>
      </c>
      <c r="C58" s="19" t="s">
        <v>24</v>
      </c>
      <c r="D58" s="168">
        <v>105</v>
      </c>
      <c r="E58" s="169">
        <v>1</v>
      </c>
      <c r="F58" s="170">
        <v>2</v>
      </c>
      <c r="G58" s="170">
        <v>0</v>
      </c>
      <c r="H58" s="170">
        <v>0</v>
      </c>
      <c r="I58" s="171">
        <v>0</v>
      </c>
      <c r="J58" s="169">
        <v>2</v>
      </c>
      <c r="K58" s="170">
        <v>0</v>
      </c>
      <c r="L58" s="169">
        <v>225</v>
      </c>
      <c r="M58" s="170">
        <v>95</v>
      </c>
      <c r="N58" s="172">
        <v>0</v>
      </c>
      <c r="O58" s="173">
        <v>2</v>
      </c>
      <c r="P58" s="173">
        <v>0</v>
      </c>
      <c r="Q58" s="124">
        <f>SUM(D58:P58)</f>
        <v>432</v>
      </c>
      <c r="R58" s="133"/>
      <c r="S58" s="298"/>
      <c r="T58" s="311" t="s">
        <v>27</v>
      </c>
      <c r="U58" s="19" t="s">
        <v>24</v>
      </c>
      <c r="V58" s="168">
        <v>0</v>
      </c>
      <c r="W58" s="169">
        <v>0</v>
      </c>
      <c r="X58" s="170">
        <v>0</v>
      </c>
      <c r="Y58" s="170">
        <v>0</v>
      </c>
      <c r="Z58" s="170">
        <v>0</v>
      </c>
      <c r="AA58" s="171">
        <v>0</v>
      </c>
      <c r="AB58" s="169">
        <v>0</v>
      </c>
      <c r="AC58" s="170">
        <v>25</v>
      </c>
      <c r="AD58" s="169">
        <v>52</v>
      </c>
      <c r="AE58" s="170">
        <v>22</v>
      </c>
      <c r="AF58" s="172">
        <v>0</v>
      </c>
      <c r="AG58" s="173">
        <v>6</v>
      </c>
      <c r="AH58" s="173">
        <v>0</v>
      </c>
      <c r="AI58" s="124">
        <f>SUM(V58:AH58)</f>
        <v>105</v>
      </c>
      <c r="AJ58" s="133"/>
      <c r="AK58" s="298"/>
      <c r="AL58" s="311" t="s">
        <v>27</v>
      </c>
      <c r="AM58" s="19" t="s">
        <v>24</v>
      </c>
      <c r="AN58" s="168">
        <v>22</v>
      </c>
      <c r="AO58" s="169">
        <v>1</v>
      </c>
      <c r="AP58" s="170">
        <v>0</v>
      </c>
      <c r="AQ58" s="170">
        <v>1</v>
      </c>
      <c r="AR58" s="170">
        <v>3</v>
      </c>
      <c r="AS58" s="171">
        <v>0</v>
      </c>
      <c r="AT58" s="169">
        <v>15</v>
      </c>
      <c r="AU58" s="170">
        <v>3</v>
      </c>
      <c r="AV58" s="169">
        <v>20</v>
      </c>
      <c r="AW58" s="170">
        <v>4</v>
      </c>
      <c r="AX58" s="172">
        <v>0</v>
      </c>
      <c r="AY58" s="173">
        <v>0</v>
      </c>
      <c r="AZ58" s="173">
        <v>0</v>
      </c>
      <c r="BA58" s="124">
        <f>SUM(AN58:AZ58)</f>
        <v>69</v>
      </c>
      <c r="BB58" s="133"/>
      <c r="BC58" s="298"/>
      <c r="BD58" s="311" t="s">
        <v>27</v>
      </c>
      <c r="BE58" s="19" t="s">
        <v>24</v>
      </c>
      <c r="BF58" s="168">
        <v>29</v>
      </c>
      <c r="BG58" s="169">
        <v>0</v>
      </c>
      <c r="BH58" s="170">
        <v>0</v>
      </c>
      <c r="BI58" s="170">
        <v>3</v>
      </c>
      <c r="BJ58" s="170">
        <v>64</v>
      </c>
      <c r="BK58" s="171">
        <v>0</v>
      </c>
      <c r="BL58" s="169">
        <v>29</v>
      </c>
      <c r="BM58" s="170">
        <v>33</v>
      </c>
      <c r="BN58" s="169">
        <v>71</v>
      </c>
      <c r="BO58" s="170">
        <v>10</v>
      </c>
      <c r="BP58" s="172">
        <v>0</v>
      </c>
      <c r="BQ58" s="173">
        <v>6</v>
      </c>
      <c r="BR58" s="173">
        <v>0</v>
      </c>
      <c r="BS58" s="124">
        <f>SUM(BF58:BR58)</f>
        <v>245</v>
      </c>
      <c r="BT58" s="133"/>
      <c r="BU58" s="298"/>
      <c r="BV58" s="311" t="s">
        <v>27</v>
      </c>
      <c r="BW58" s="19" t="s">
        <v>24</v>
      </c>
      <c r="BX58" s="168">
        <v>36</v>
      </c>
      <c r="BY58" s="169">
        <v>0</v>
      </c>
      <c r="BZ58" s="170">
        <v>0</v>
      </c>
      <c r="CA58" s="170">
        <v>0</v>
      </c>
      <c r="CB58" s="170">
        <v>0</v>
      </c>
      <c r="CC58" s="171">
        <v>0</v>
      </c>
      <c r="CD58" s="169">
        <v>0</v>
      </c>
      <c r="CE58" s="170">
        <v>37</v>
      </c>
      <c r="CF58" s="169">
        <v>39</v>
      </c>
      <c r="CG58" s="170">
        <v>9</v>
      </c>
      <c r="CH58" s="172">
        <v>0</v>
      </c>
      <c r="CI58" s="173">
        <v>2</v>
      </c>
      <c r="CJ58" s="173">
        <v>0</v>
      </c>
      <c r="CK58" s="124">
        <f>SUM(BX58:CJ58)</f>
        <v>123</v>
      </c>
      <c r="CL58" s="133"/>
      <c r="CM58" s="298"/>
      <c r="CN58" s="311" t="s">
        <v>27</v>
      </c>
      <c r="CO58" s="19" t="s">
        <v>24</v>
      </c>
      <c r="CP58" s="185">
        <v>33</v>
      </c>
      <c r="CQ58" s="186">
        <v>0</v>
      </c>
      <c r="CR58" s="186">
        <v>0</v>
      </c>
      <c r="CS58" s="186">
        <v>0</v>
      </c>
      <c r="CT58" s="186">
        <v>0</v>
      </c>
      <c r="CU58" s="187">
        <v>0</v>
      </c>
      <c r="CV58" s="186">
        <v>15</v>
      </c>
      <c r="CW58" s="186">
        <v>21</v>
      </c>
      <c r="CX58" s="186">
        <v>11</v>
      </c>
      <c r="CY58" s="186">
        <v>20</v>
      </c>
      <c r="CZ58" s="187">
        <v>0</v>
      </c>
      <c r="DA58" s="189">
        <v>23</v>
      </c>
      <c r="DB58" s="190">
        <v>0</v>
      </c>
      <c r="DC58" s="24">
        <f>SUM(CP58:DB58)</f>
        <v>123</v>
      </c>
      <c r="DD58" s="107"/>
      <c r="DE58" s="298"/>
      <c r="DF58" s="311" t="s">
        <v>27</v>
      </c>
      <c r="DG58" s="19" t="s">
        <v>24</v>
      </c>
      <c r="DH58" s="168">
        <v>37</v>
      </c>
      <c r="DI58" s="169">
        <v>0</v>
      </c>
      <c r="DJ58" s="170">
        <v>0</v>
      </c>
      <c r="DK58" s="170">
        <v>0</v>
      </c>
      <c r="DL58" s="170">
        <v>0</v>
      </c>
      <c r="DM58" s="171">
        <v>0</v>
      </c>
      <c r="DN58" s="169">
        <v>0</v>
      </c>
      <c r="DO58" s="170">
        <v>37</v>
      </c>
      <c r="DP58" s="169">
        <v>65</v>
      </c>
      <c r="DQ58" s="170">
        <v>23</v>
      </c>
      <c r="DR58" s="172">
        <v>0</v>
      </c>
      <c r="DS58" s="173">
        <v>0</v>
      </c>
      <c r="DT58" s="173">
        <v>0</v>
      </c>
      <c r="DU58" s="211">
        <v>162</v>
      </c>
      <c r="DV58" s="107"/>
      <c r="DW58" s="298"/>
      <c r="DX58" s="311" t="s">
        <v>27</v>
      </c>
      <c r="DY58" s="19" t="s">
        <v>24</v>
      </c>
      <c r="DZ58" s="275">
        <v>33</v>
      </c>
      <c r="EA58" s="276">
        <v>0</v>
      </c>
      <c r="EB58" s="276">
        <v>0</v>
      </c>
      <c r="EC58" s="276">
        <v>0</v>
      </c>
      <c r="ED58" s="276">
        <v>0</v>
      </c>
      <c r="EE58" s="277">
        <v>0</v>
      </c>
      <c r="EF58" s="276">
        <v>15</v>
      </c>
      <c r="EG58" s="276">
        <v>21</v>
      </c>
      <c r="EH58" s="276">
        <v>11</v>
      </c>
      <c r="EI58" s="276">
        <v>20</v>
      </c>
      <c r="EJ58" s="277">
        <v>0</v>
      </c>
      <c r="EK58" s="278">
        <v>23</v>
      </c>
      <c r="EL58" s="279">
        <v>0</v>
      </c>
      <c r="EM58" s="223">
        <f t="shared" ref="EM58:EM59" si="263">SUM(DZ58:EL58)</f>
        <v>123</v>
      </c>
      <c r="EN58" s="107"/>
      <c r="EO58" s="298"/>
      <c r="EP58" s="311" t="s">
        <v>27</v>
      </c>
      <c r="EQ58" s="19" t="s">
        <v>24</v>
      </c>
      <c r="ER58" s="233">
        <v>20</v>
      </c>
      <c r="ES58" s="234">
        <v>2</v>
      </c>
      <c r="ET58" s="233">
        <v>4</v>
      </c>
      <c r="EU58" s="235">
        <v>2</v>
      </c>
      <c r="EV58" s="236">
        <v>6</v>
      </c>
      <c r="EW58" s="237">
        <v>0</v>
      </c>
      <c r="EX58" s="238">
        <v>32</v>
      </c>
      <c r="EY58" s="239">
        <v>110</v>
      </c>
      <c r="EZ58" s="240">
        <v>260</v>
      </c>
      <c r="FA58" s="241">
        <v>18</v>
      </c>
      <c r="FB58" s="242">
        <v>0</v>
      </c>
      <c r="FC58" s="243">
        <v>6</v>
      </c>
      <c r="FD58" s="243">
        <v>0</v>
      </c>
      <c r="FE58" s="280">
        <f t="shared" ref="FE58:FE59" si="264">SUM(ER58:FD58)</f>
        <v>460</v>
      </c>
      <c r="FF58" s="107"/>
      <c r="FG58" s="298"/>
      <c r="FH58" s="311" t="s">
        <v>27</v>
      </c>
      <c r="FI58" s="19" t="s">
        <v>24</v>
      </c>
      <c r="FJ58" s="168">
        <v>29</v>
      </c>
      <c r="FK58" s="169">
        <v>0</v>
      </c>
      <c r="FL58" s="170">
        <v>0</v>
      </c>
      <c r="FM58" s="170">
        <v>3</v>
      </c>
      <c r="FN58" s="170">
        <v>0</v>
      </c>
      <c r="FO58" s="171">
        <v>0</v>
      </c>
      <c r="FP58" s="169">
        <v>33</v>
      </c>
      <c r="FQ58" s="170">
        <v>33</v>
      </c>
      <c r="FR58" s="169">
        <v>71</v>
      </c>
      <c r="FS58" s="170">
        <v>10</v>
      </c>
      <c r="FT58" s="172">
        <v>0</v>
      </c>
      <c r="FU58" s="173">
        <v>0</v>
      </c>
      <c r="FV58" s="173">
        <v>0</v>
      </c>
      <c r="FW58" s="211">
        <v>179</v>
      </c>
      <c r="FX58" s="107"/>
      <c r="FY58" s="298"/>
      <c r="FZ58" s="311" t="s">
        <v>27</v>
      </c>
      <c r="GA58" s="19" t="s">
        <v>24</v>
      </c>
      <c r="GB58" s="8">
        <v>0</v>
      </c>
      <c r="GC58" s="33">
        <v>0</v>
      </c>
      <c r="GD58" s="8">
        <v>0</v>
      </c>
      <c r="GE58" s="35">
        <v>0</v>
      </c>
      <c r="GF58" s="36">
        <v>0</v>
      </c>
      <c r="GG58" s="85">
        <v>0</v>
      </c>
      <c r="GH58" s="37">
        <v>0</v>
      </c>
      <c r="GI58" s="34">
        <v>0</v>
      </c>
      <c r="GJ58" s="9">
        <v>0</v>
      </c>
      <c r="GK58" s="10">
        <v>0</v>
      </c>
      <c r="GL58" s="86">
        <v>0</v>
      </c>
      <c r="GM58" s="21">
        <v>0</v>
      </c>
      <c r="GN58" s="21">
        <v>0</v>
      </c>
      <c r="GO58" s="24">
        <f>SUM(GB58:GN58)</f>
        <v>0</v>
      </c>
      <c r="GP58" s="107"/>
      <c r="GQ58" s="298"/>
      <c r="GR58" s="311" t="s">
        <v>27</v>
      </c>
      <c r="GS58" s="19" t="s">
        <v>24</v>
      </c>
      <c r="GT58" s="8">
        <v>0</v>
      </c>
      <c r="GU58" s="33">
        <v>0</v>
      </c>
      <c r="GV58" s="8">
        <v>0</v>
      </c>
      <c r="GW58" s="35">
        <v>0</v>
      </c>
      <c r="GX58" s="36">
        <v>0</v>
      </c>
      <c r="GY58" s="85">
        <v>0</v>
      </c>
      <c r="GZ58" s="37">
        <v>0</v>
      </c>
      <c r="HA58" s="34">
        <v>0</v>
      </c>
      <c r="HB58" s="9">
        <v>0</v>
      </c>
      <c r="HC58" s="10">
        <v>0</v>
      </c>
      <c r="HD58" s="86">
        <v>0</v>
      </c>
      <c r="HE58" s="21">
        <v>0</v>
      </c>
      <c r="HF58" s="21">
        <v>0</v>
      </c>
      <c r="HG58" s="24">
        <f>SUM(GT58:HF58)</f>
        <v>0</v>
      </c>
      <c r="HH58" s="107"/>
      <c r="HI58" s="298"/>
      <c r="HJ58" s="355" t="s">
        <v>27</v>
      </c>
      <c r="HK58" s="19" t="s">
        <v>24</v>
      </c>
      <c r="HL58" s="8">
        <f t="shared" ref="HL58:HL59" si="265">SUM(D58+V58+AN58+BF58+BX58+CP58+DH58+DZ58+ER58+FJ58+GB58+GT58)</f>
        <v>344</v>
      </c>
      <c r="HM58" s="9">
        <f t="shared" ref="HM58:HM59" si="266">SUM(E58+W58+AO58+BG58+BY58+CQ58+DI58+EA58+ES58+FK58+GC58+GU58)</f>
        <v>4</v>
      </c>
      <c r="HN58" s="34">
        <f t="shared" ref="HN58:HN59" si="267">SUM(F58+X58+AP58+BH58+BZ58+CR58+DJ58+EB58+ET58+FL58+GD58+GV58)</f>
        <v>6</v>
      </c>
      <c r="HO58" s="35">
        <f t="shared" ref="HO58:HO59" si="268">SUM(G58+Y58+AQ58+BI58+CA58+CS58+DK58+EC58+EU58+FM58+GE58+GW58)</f>
        <v>9</v>
      </c>
      <c r="HP58" s="35">
        <f t="shared" ref="HP58:HP59" si="269">SUM(H58+Z58+AR58+BJ58+CB58+CT58+DL58+ED58+EV58+FN58+GF58+GX58)</f>
        <v>73</v>
      </c>
      <c r="HQ58" s="46">
        <f t="shared" ref="HQ58:HQ59" si="270">SUM(I58+AA58+AS58+BK58+CC58+CU58+DM58+EE58+EW58+FO58+GG58+GY58)</f>
        <v>0</v>
      </c>
      <c r="HR58" s="9">
        <f t="shared" ref="HR58:HR59" si="271">SUM(J58+AB58+AT58+BL58+CD58+CV58+DN58+EF58+EX58+FP58+GH58+GZ58)</f>
        <v>141</v>
      </c>
      <c r="HS58" s="34">
        <f t="shared" ref="HS58:HS59" si="272">SUM(K58+AC58+AU58+BM58+CE58+CW58+DO58+EG58+EY58+FQ58+GI58+HA58)</f>
        <v>320</v>
      </c>
      <c r="HT58" s="9">
        <f t="shared" ref="HT58:HT59" si="273">SUM(L58+AD58+AV58+BN58+CF58+CX58+DP58+EH58+EZ58+FR58+GJ58+HB58)</f>
        <v>825</v>
      </c>
      <c r="HU58" s="34">
        <f t="shared" ref="HU58:HU59" si="274">SUM(M58+AE58+AW58+BO58+CG58+CY58+DQ58+EI58+FA58+FS58+GK58+HC58)</f>
        <v>231</v>
      </c>
      <c r="HV58" s="47">
        <f t="shared" ref="HV58:HV59" si="275">SUM(N58+AF58+AX58+BP58+CH58+CZ58+DR58+EJ58+FB58+FT58+GL58+HD58)</f>
        <v>0</v>
      </c>
      <c r="HW58" s="44">
        <f t="shared" ref="HW58:HW59" si="276">SUM(O58+AG58+AY58+BQ58+CI58+DA58+DS58+EK58+FC58+FU58+GM58+HE58)</f>
        <v>68</v>
      </c>
      <c r="HX58" s="44">
        <f t="shared" ref="HX58:HX59" si="277">SUM(P58+AH58+AZ58+BR58+CJ58+DB58+DT58+EL58+FD58+FV58+GN58+HF58)</f>
        <v>0</v>
      </c>
      <c r="HY58" s="24">
        <f>SUM(HL58:HX58)</f>
        <v>2021</v>
      </c>
      <c r="HZ58" s="28"/>
    </row>
    <row r="59" spans="1:234" s="11" customFormat="1" ht="20.100000000000001" customHeight="1" thickBot="1" x14ac:dyDescent="0.3">
      <c r="A59" s="298"/>
      <c r="B59" s="312"/>
      <c r="C59" s="20" t="s">
        <v>25</v>
      </c>
      <c r="D59" s="163">
        <v>303</v>
      </c>
      <c r="E59" s="164">
        <v>1</v>
      </c>
      <c r="F59" s="165">
        <v>3</v>
      </c>
      <c r="G59" s="165">
        <v>30</v>
      </c>
      <c r="H59" s="165">
        <v>0</v>
      </c>
      <c r="I59" s="165">
        <v>0</v>
      </c>
      <c r="J59" s="164">
        <v>5</v>
      </c>
      <c r="K59" s="165">
        <v>0</v>
      </c>
      <c r="L59" s="164">
        <v>350</v>
      </c>
      <c r="M59" s="165">
        <v>201</v>
      </c>
      <c r="N59" s="164">
        <v>3</v>
      </c>
      <c r="O59" s="166">
        <v>3</v>
      </c>
      <c r="P59" s="166">
        <v>0</v>
      </c>
      <c r="Q59" s="125">
        <f>SUM(D59:P59)</f>
        <v>899</v>
      </c>
      <c r="R59" s="133"/>
      <c r="S59" s="298"/>
      <c r="T59" s="312"/>
      <c r="U59" s="20" t="s">
        <v>25</v>
      </c>
      <c r="V59" s="163">
        <v>0</v>
      </c>
      <c r="W59" s="164">
        <v>0</v>
      </c>
      <c r="X59" s="165">
        <v>0</v>
      </c>
      <c r="Y59" s="165">
        <v>0</v>
      </c>
      <c r="Z59" s="165">
        <v>0</v>
      </c>
      <c r="AA59" s="165">
        <v>0</v>
      </c>
      <c r="AB59" s="164">
        <v>0</v>
      </c>
      <c r="AC59" s="165">
        <v>21</v>
      </c>
      <c r="AD59" s="164">
        <v>39</v>
      </c>
      <c r="AE59" s="165">
        <v>17</v>
      </c>
      <c r="AF59" s="164">
        <v>1</v>
      </c>
      <c r="AG59" s="166">
        <v>2</v>
      </c>
      <c r="AH59" s="166">
        <v>0</v>
      </c>
      <c r="AI59" s="125">
        <f>SUM(V59:AH59)</f>
        <v>80</v>
      </c>
      <c r="AJ59" s="133"/>
      <c r="AK59" s="298"/>
      <c r="AL59" s="312"/>
      <c r="AM59" s="20" t="s">
        <v>25</v>
      </c>
      <c r="AN59" s="163">
        <v>38</v>
      </c>
      <c r="AO59" s="164">
        <v>2</v>
      </c>
      <c r="AP59" s="165">
        <v>0</v>
      </c>
      <c r="AQ59" s="165">
        <v>2</v>
      </c>
      <c r="AR59" s="165">
        <v>7</v>
      </c>
      <c r="AS59" s="165">
        <v>0</v>
      </c>
      <c r="AT59" s="164">
        <v>45</v>
      </c>
      <c r="AU59" s="165">
        <v>6</v>
      </c>
      <c r="AV59" s="164">
        <v>40</v>
      </c>
      <c r="AW59" s="165">
        <v>6</v>
      </c>
      <c r="AX59" s="164">
        <v>2</v>
      </c>
      <c r="AY59" s="166">
        <v>0</v>
      </c>
      <c r="AZ59" s="166">
        <v>0</v>
      </c>
      <c r="BA59" s="125">
        <f>SUM(AN59:AZ59)</f>
        <v>148</v>
      </c>
      <c r="BB59" s="133"/>
      <c r="BC59" s="298"/>
      <c r="BD59" s="312"/>
      <c r="BE59" s="20" t="s">
        <v>25</v>
      </c>
      <c r="BF59" s="163">
        <v>36</v>
      </c>
      <c r="BG59" s="164">
        <v>0</v>
      </c>
      <c r="BH59" s="165">
        <v>0</v>
      </c>
      <c r="BI59" s="165">
        <v>9</v>
      </c>
      <c r="BJ59" s="165">
        <v>145</v>
      </c>
      <c r="BK59" s="165">
        <v>0</v>
      </c>
      <c r="BL59" s="164">
        <v>37</v>
      </c>
      <c r="BM59" s="165">
        <v>40</v>
      </c>
      <c r="BN59" s="164">
        <v>87</v>
      </c>
      <c r="BO59" s="165">
        <v>18</v>
      </c>
      <c r="BP59" s="164">
        <v>2</v>
      </c>
      <c r="BQ59" s="166">
        <v>3</v>
      </c>
      <c r="BR59" s="166">
        <v>0</v>
      </c>
      <c r="BS59" s="125">
        <f>SUM(BF59:BR59)</f>
        <v>377</v>
      </c>
      <c r="BT59" s="133"/>
      <c r="BU59" s="298"/>
      <c r="BV59" s="312"/>
      <c r="BW59" s="20" t="s">
        <v>25</v>
      </c>
      <c r="BX59" s="163">
        <v>44</v>
      </c>
      <c r="BY59" s="164">
        <v>0</v>
      </c>
      <c r="BZ59" s="165">
        <v>0</v>
      </c>
      <c r="CA59" s="165">
        <v>0</v>
      </c>
      <c r="CB59" s="165">
        <v>0</v>
      </c>
      <c r="CC59" s="165">
        <v>0</v>
      </c>
      <c r="CD59" s="164">
        <v>0</v>
      </c>
      <c r="CE59" s="165">
        <v>46</v>
      </c>
      <c r="CF59" s="164">
        <v>33</v>
      </c>
      <c r="CG59" s="165">
        <v>8</v>
      </c>
      <c r="CH59" s="164">
        <v>0</v>
      </c>
      <c r="CI59" s="166">
        <v>4</v>
      </c>
      <c r="CJ59" s="166">
        <v>0</v>
      </c>
      <c r="CK59" s="125">
        <f>SUM(BX59:CJ59)</f>
        <v>135</v>
      </c>
      <c r="CL59" s="133"/>
      <c r="CM59" s="298"/>
      <c r="CN59" s="312"/>
      <c r="CO59" s="20" t="s">
        <v>25</v>
      </c>
      <c r="CP59" s="185">
        <v>25</v>
      </c>
      <c r="CQ59" s="186">
        <v>0</v>
      </c>
      <c r="CR59" s="186">
        <v>7</v>
      </c>
      <c r="CS59" s="186">
        <v>19</v>
      </c>
      <c r="CT59" s="186">
        <v>0</v>
      </c>
      <c r="CU59" s="186">
        <v>0</v>
      </c>
      <c r="CV59" s="186">
        <v>22</v>
      </c>
      <c r="CW59" s="186">
        <v>23</v>
      </c>
      <c r="CX59" s="186">
        <v>13</v>
      </c>
      <c r="CY59" s="186">
        <v>43</v>
      </c>
      <c r="CZ59" s="186">
        <v>6</v>
      </c>
      <c r="DA59" s="189">
        <v>27</v>
      </c>
      <c r="DB59" s="190">
        <v>0</v>
      </c>
      <c r="DC59" s="25">
        <f>SUM(CP59:DB59)</f>
        <v>185</v>
      </c>
      <c r="DD59" s="107"/>
      <c r="DE59" s="298"/>
      <c r="DF59" s="312"/>
      <c r="DG59" s="20" t="s">
        <v>25</v>
      </c>
      <c r="DH59" s="163">
        <v>43</v>
      </c>
      <c r="DI59" s="164">
        <v>0</v>
      </c>
      <c r="DJ59" s="165">
        <v>0</v>
      </c>
      <c r="DK59" s="165">
        <v>0</v>
      </c>
      <c r="DL59" s="165">
        <v>0</v>
      </c>
      <c r="DM59" s="165">
        <v>0</v>
      </c>
      <c r="DN59" s="164">
        <v>0</v>
      </c>
      <c r="DO59" s="165">
        <v>42</v>
      </c>
      <c r="DP59" s="164">
        <v>68</v>
      </c>
      <c r="DQ59" s="165">
        <v>34</v>
      </c>
      <c r="DR59" s="164">
        <v>0</v>
      </c>
      <c r="DS59" s="166">
        <v>1</v>
      </c>
      <c r="DT59" s="166">
        <v>0</v>
      </c>
      <c r="DU59" s="167">
        <v>188</v>
      </c>
      <c r="DV59" s="107"/>
      <c r="DW59" s="298"/>
      <c r="DX59" s="312"/>
      <c r="DY59" s="20" t="s">
        <v>25</v>
      </c>
      <c r="DZ59" s="271">
        <v>25</v>
      </c>
      <c r="EA59" s="272">
        <v>0</v>
      </c>
      <c r="EB59" s="272">
        <v>7</v>
      </c>
      <c r="EC59" s="272">
        <v>19</v>
      </c>
      <c r="ED59" s="272">
        <v>0</v>
      </c>
      <c r="EE59" s="272">
        <v>0</v>
      </c>
      <c r="EF59" s="272">
        <v>22</v>
      </c>
      <c r="EG59" s="272">
        <v>23</v>
      </c>
      <c r="EH59" s="272">
        <v>13</v>
      </c>
      <c r="EI59" s="272">
        <v>43</v>
      </c>
      <c r="EJ59" s="272">
        <v>6</v>
      </c>
      <c r="EK59" s="273">
        <v>27</v>
      </c>
      <c r="EL59" s="274">
        <v>0</v>
      </c>
      <c r="EM59" s="228">
        <f t="shared" si="263"/>
        <v>185</v>
      </c>
      <c r="EN59" s="107"/>
      <c r="EO59" s="298"/>
      <c r="EP59" s="312"/>
      <c r="EQ59" s="20" t="s">
        <v>25</v>
      </c>
      <c r="ER59" s="244">
        <v>50</v>
      </c>
      <c r="ES59" s="245">
        <v>4</v>
      </c>
      <c r="ET59" s="244">
        <v>26</v>
      </c>
      <c r="EU59" s="246">
        <v>26</v>
      </c>
      <c r="EV59" s="247">
        <v>26</v>
      </c>
      <c r="EW59" s="247">
        <v>0</v>
      </c>
      <c r="EX59" s="248">
        <v>72</v>
      </c>
      <c r="EY59" s="249">
        <v>180</v>
      </c>
      <c r="EZ59" s="250">
        <v>380</v>
      </c>
      <c r="FA59" s="249">
        <v>50</v>
      </c>
      <c r="FB59" s="245">
        <v>8</v>
      </c>
      <c r="FC59" s="251">
        <v>8</v>
      </c>
      <c r="FD59" s="251">
        <v>0</v>
      </c>
      <c r="FE59" s="281">
        <f t="shared" si="264"/>
        <v>830</v>
      </c>
      <c r="FF59" s="107"/>
      <c r="FG59" s="298"/>
      <c r="FH59" s="312"/>
      <c r="FI59" s="20" t="s">
        <v>25</v>
      </c>
      <c r="FJ59" s="163">
        <v>35</v>
      </c>
      <c r="FK59" s="164">
        <v>0</v>
      </c>
      <c r="FL59" s="165">
        <v>0</v>
      </c>
      <c r="FM59" s="165">
        <v>9</v>
      </c>
      <c r="FN59" s="165">
        <v>0</v>
      </c>
      <c r="FO59" s="165">
        <v>0</v>
      </c>
      <c r="FP59" s="164">
        <v>182</v>
      </c>
      <c r="FQ59" s="165">
        <v>40</v>
      </c>
      <c r="FR59" s="164">
        <v>87</v>
      </c>
      <c r="FS59" s="165">
        <v>18</v>
      </c>
      <c r="FT59" s="164">
        <v>2</v>
      </c>
      <c r="FU59" s="166">
        <v>3</v>
      </c>
      <c r="FV59" s="166">
        <v>0</v>
      </c>
      <c r="FW59" s="167">
        <v>376</v>
      </c>
      <c r="FX59" s="107"/>
      <c r="FY59" s="298"/>
      <c r="FZ59" s="312"/>
      <c r="GA59" s="20" t="s">
        <v>25</v>
      </c>
      <c r="GB59" s="12">
        <v>0</v>
      </c>
      <c r="GC59" s="18">
        <v>0</v>
      </c>
      <c r="GD59" s="12">
        <v>0</v>
      </c>
      <c r="GE59" s="13">
        <v>0</v>
      </c>
      <c r="GF59" s="15">
        <v>0</v>
      </c>
      <c r="GG59" s="15">
        <v>0</v>
      </c>
      <c r="GH59" s="16">
        <v>0</v>
      </c>
      <c r="GI59" s="17">
        <v>0</v>
      </c>
      <c r="GJ59" s="14">
        <v>0</v>
      </c>
      <c r="GK59" s="17">
        <v>0</v>
      </c>
      <c r="GL59" s="18">
        <v>0</v>
      </c>
      <c r="GM59" s="22">
        <v>0</v>
      </c>
      <c r="GN59" s="22">
        <v>0</v>
      </c>
      <c r="GO59" s="25">
        <f>SUM(GB59:GN59)</f>
        <v>0</v>
      </c>
      <c r="GP59" s="107"/>
      <c r="GQ59" s="298"/>
      <c r="GR59" s="312"/>
      <c r="GS59" s="20" t="s">
        <v>25</v>
      </c>
      <c r="GT59" s="12">
        <v>0</v>
      </c>
      <c r="GU59" s="18">
        <v>0</v>
      </c>
      <c r="GV59" s="12">
        <v>0</v>
      </c>
      <c r="GW59" s="13">
        <v>0</v>
      </c>
      <c r="GX59" s="15">
        <v>0</v>
      </c>
      <c r="GY59" s="15">
        <v>0</v>
      </c>
      <c r="GZ59" s="16">
        <v>0</v>
      </c>
      <c r="HA59" s="17">
        <v>0</v>
      </c>
      <c r="HB59" s="14">
        <v>0</v>
      </c>
      <c r="HC59" s="17">
        <v>0</v>
      </c>
      <c r="HD59" s="18">
        <v>0</v>
      </c>
      <c r="HE59" s="22">
        <v>0</v>
      </c>
      <c r="HF59" s="22">
        <v>0</v>
      </c>
      <c r="HG59" s="25">
        <f>SUM(GT59:HF59)</f>
        <v>0</v>
      </c>
      <c r="HH59" s="107"/>
      <c r="HI59" s="298"/>
      <c r="HJ59" s="356"/>
      <c r="HK59" s="20" t="s">
        <v>25</v>
      </c>
      <c r="HL59" s="12">
        <f t="shared" si="265"/>
        <v>599</v>
      </c>
      <c r="HM59" s="14">
        <f t="shared" si="266"/>
        <v>7</v>
      </c>
      <c r="HN59" s="17">
        <f t="shared" si="267"/>
        <v>43</v>
      </c>
      <c r="HO59" s="13">
        <f t="shared" si="268"/>
        <v>114</v>
      </c>
      <c r="HP59" s="13">
        <f t="shared" si="269"/>
        <v>178</v>
      </c>
      <c r="HQ59" s="13">
        <f t="shared" si="270"/>
        <v>0</v>
      </c>
      <c r="HR59" s="14">
        <f t="shared" si="271"/>
        <v>385</v>
      </c>
      <c r="HS59" s="17">
        <f t="shared" si="272"/>
        <v>421</v>
      </c>
      <c r="HT59" s="14">
        <f t="shared" si="273"/>
        <v>1110</v>
      </c>
      <c r="HU59" s="17">
        <f t="shared" si="274"/>
        <v>438</v>
      </c>
      <c r="HV59" s="14">
        <f t="shared" si="275"/>
        <v>30</v>
      </c>
      <c r="HW59" s="45">
        <f t="shared" si="276"/>
        <v>78</v>
      </c>
      <c r="HX59" s="45">
        <f t="shared" si="277"/>
        <v>0</v>
      </c>
      <c r="HY59" s="25">
        <f>SUM(HL59:HX59)</f>
        <v>3403</v>
      </c>
      <c r="HZ59" s="28"/>
    </row>
    <row r="60" spans="1:234" s="11" customFormat="1" ht="20.100000000000001" customHeight="1" thickTop="1" thickBot="1" x14ac:dyDescent="0.3">
      <c r="A60" s="299"/>
      <c r="B60" s="326" t="s">
        <v>34</v>
      </c>
      <c r="C60" s="327"/>
      <c r="D60" s="306">
        <f>SUM(D58:E59)</f>
        <v>410</v>
      </c>
      <c r="E60" s="307"/>
      <c r="F60" s="306">
        <f>SUM(F58:J59)</f>
        <v>42</v>
      </c>
      <c r="G60" s="368"/>
      <c r="H60" s="368"/>
      <c r="I60" s="368"/>
      <c r="J60" s="307"/>
      <c r="K60" s="306">
        <f>SUM(K58:L59)</f>
        <v>575</v>
      </c>
      <c r="L60" s="307"/>
      <c r="M60" s="306">
        <f>SUM(M58:N59)</f>
        <v>299</v>
      </c>
      <c r="N60" s="307"/>
      <c r="O60" s="94">
        <f>SUM(O58:O59)</f>
        <v>5</v>
      </c>
      <c r="P60" s="94">
        <f>SUM(P58:P59)</f>
        <v>0</v>
      </c>
      <c r="Q60" s="126">
        <f>SUM(Q58:Q59)</f>
        <v>1331</v>
      </c>
      <c r="R60" s="133"/>
      <c r="S60" s="299"/>
      <c r="T60" s="326" t="s">
        <v>34</v>
      </c>
      <c r="U60" s="327"/>
      <c r="V60" s="306">
        <f>SUM(V58:W59)</f>
        <v>0</v>
      </c>
      <c r="W60" s="307"/>
      <c r="X60" s="306">
        <f>SUM(X58:AB59)</f>
        <v>0</v>
      </c>
      <c r="Y60" s="368"/>
      <c r="Z60" s="368"/>
      <c r="AA60" s="368"/>
      <c r="AB60" s="307"/>
      <c r="AC60" s="306">
        <f>SUM(AC58:AD59)</f>
        <v>137</v>
      </c>
      <c r="AD60" s="307"/>
      <c r="AE60" s="306">
        <f>SUM(AE58:AF59)</f>
        <v>40</v>
      </c>
      <c r="AF60" s="307"/>
      <c r="AG60" s="94">
        <f>SUM(AG58:AG59)</f>
        <v>8</v>
      </c>
      <c r="AH60" s="94">
        <f>SUM(AH58:AH59)</f>
        <v>0</v>
      </c>
      <c r="AI60" s="126">
        <f>SUM(AI58:AI59)</f>
        <v>185</v>
      </c>
      <c r="AJ60" s="133"/>
      <c r="AK60" s="299"/>
      <c r="AL60" s="326" t="s">
        <v>34</v>
      </c>
      <c r="AM60" s="327"/>
      <c r="AN60" s="306">
        <f>SUM(AN58:AO59)</f>
        <v>63</v>
      </c>
      <c r="AO60" s="307"/>
      <c r="AP60" s="306">
        <f>SUM(AP58:AT59)</f>
        <v>73</v>
      </c>
      <c r="AQ60" s="368"/>
      <c r="AR60" s="368"/>
      <c r="AS60" s="368"/>
      <c r="AT60" s="307"/>
      <c r="AU60" s="306">
        <f>SUM(AU58:AV59)</f>
        <v>69</v>
      </c>
      <c r="AV60" s="307"/>
      <c r="AW60" s="306">
        <f>SUM(AW58:AX59)</f>
        <v>12</v>
      </c>
      <c r="AX60" s="307"/>
      <c r="AY60" s="94">
        <f>SUM(AY58:AY59)</f>
        <v>0</v>
      </c>
      <c r="AZ60" s="94">
        <f>SUM(AZ58:AZ59)</f>
        <v>0</v>
      </c>
      <c r="BA60" s="126">
        <f>SUM(BA58:BA59)</f>
        <v>217</v>
      </c>
      <c r="BB60" s="133"/>
      <c r="BC60" s="299"/>
      <c r="BD60" s="326" t="s">
        <v>34</v>
      </c>
      <c r="BE60" s="327"/>
      <c r="BF60" s="375">
        <v>65</v>
      </c>
      <c r="BG60" s="377"/>
      <c r="BH60" s="375">
        <v>287</v>
      </c>
      <c r="BI60" s="376"/>
      <c r="BJ60" s="376"/>
      <c r="BK60" s="376"/>
      <c r="BL60" s="377"/>
      <c r="BM60" s="375">
        <v>231</v>
      </c>
      <c r="BN60" s="377"/>
      <c r="BO60" s="375">
        <v>30</v>
      </c>
      <c r="BP60" s="377"/>
      <c r="BQ60" s="167">
        <v>9</v>
      </c>
      <c r="BR60" s="167">
        <v>0</v>
      </c>
      <c r="BS60" s="126">
        <f>SUM(BS58:BS59)</f>
        <v>622</v>
      </c>
      <c r="BT60" s="133"/>
      <c r="BU60" s="299"/>
      <c r="BV60" s="326" t="s">
        <v>34</v>
      </c>
      <c r="BW60" s="327"/>
      <c r="BX60" s="306">
        <f>SUM(BX58:BY59)</f>
        <v>80</v>
      </c>
      <c r="BY60" s="307"/>
      <c r="BZ60" s="306">
        <f>SUM(BZ58:CD59)</f>
        <v>0</v>
      </c>
      <c r="CA60" s="368"/>
      <c r="CB60" s="368"/>
      <c r="CC60" s="368"/>
      <c r="CD60" s="307"/>
      <c r="CE60" s="306">
        <f>SUM(CE58:CF59)</f>
        <v>155</v>
      </c>
      <c r="CF60" s="307"/>
      <c r="CG60" s="306">
        <f>SUM(CG58:CH59)</f>
        <v>17</v>
      </c>
      <c r="CH60" s="307"/>
      <c r="CI60" s="94">
        <f>SUM(CI58:CI59)</f>
        <v>6</v>
      </c>
      <c r="CJ60" s="94">
        <f>SUM(CJ58:CJ59)</f>
        <v>0</v>
      </c>
      <c r="CK60" s="126">
        <f>SUM(CK58:CK59)</f>
        <v>258</v>
      </c>
      <c r="CL60" s="133"/>
      <c r="CM60" s="299"/>
      <c r="CN60" s="326" t="s">
        <v>34</v>
      </c>
      <c r="CO60" s="327"/>
      <c r="CP60" s="388">
        <v>26</v>
      </c>
      <c r="CQ60" s="390"/>
      <c r="CR60" s="388">
        <v>364</v>
      </c>
      <c r="CS60" s="389"/>
      <c r="CT60" s="389"/>
      <c r="CU60" s="389"/>
      <c r="CV60" s="390"/>
      <c r="CW60" s="388">
        <v>69</v>
      </c>
      <c r="CX60" s="390"/>
      <c r="CY60" s="388">
        <v>50</v>
      </c>
      <c r="CZ60" s="390"/>
      <c r="DA60" s="201">
        <v>50</v>
      </c>
      <c r="DB60" s="202">
        <v>0</v>
      </c>
      <c r="DC60" s="26">
        <f>SUM(DC58:DC59)</f>
        <v>308</v>
      </c>
      <c r="DD60" s="107"/>
      <c r="DE60" s="299"/>
      <c r="DF60" s="326" t="s">
        <v>34</v>
      </c>
      <c r="DG60" s="327"/>
      <c r="DH60" s="375">
        <v>80</v>
      </c>
      <c r="DI60" s="377"/>
      <c r="DJ60" s="375">
        <v>0</v>
      </c>
      <c r="DK60" s="376"/>
      <c r="DL60" s="376"/>
      <c r="DM60" s="376"/>
      <c r="DN60" s="377"/>
      <c r="DO60" s="375">
        <v>212</v>
      </c>
      <c r="DP60" s="377"/>
      <c r="DQ60" s="375">
        <v>57</v>
      </c>
      <c r="DR60" s="377"/>
      <c r="DS60" s="167">
        <v>1</v>
      </c>
      <c r="DT60" s="167">
        <v>0</v>
      </c>
      <c r="DU60" s="210">
        <v>350</v>
      </c>
      <c r="DV60" s="107"/>
      <c r="DW60" s="299"/>
      <c r="DX60" s="326" t="s">
        <v>34</v>
      </c>
      <c r="DY60" s="327"/>
      <c r="DZ60" s="359">
        <f>SUM(DZ58:EA59)</f>
        <v>58</v>
      </c>
      <c r="EA60" s="361"/>
      <c r="EB60" s="359">
        <f>SUM(EB58:EF59)</f>
        <v>63</v>
      </c>
      <c r="EC60" s="360"/>
      <c r="ED60" s="360"/>
      <c r="EE60" s="360"/>
      <c r="EF60" s="361"/>
      <c r="EG60" s="359">
        <f>SUM(EG58:EH59)</f>
        <v>68</v>
      </c>
      <c r="EH60" s="361"/>
      <c r="EI60" s="359">
        <f>SUM(EI58:EJ59)</f>
        <v>69</v>
      </c>
      <c r="EJ60" s="361"/>
      <c r="EK60" s="229">
        <f t="shared" ref="EK60:EM60" si="278">SUM(EK58:EK59)</f>
        <v>50</v>
      </c>
      <c r="EL60" s="229">
        <f t="shared" si="278"/>
        <v>0</v>
      </c>
      <c r="EM60" s="230">
        <f t="shared" si="278"/>
        <v>308</v>
      </c>
      <c r="EN60" s="107"/>
      <c r="EO60" s="299"/>
      <c r="EP60" s="326" t="s">
        <v>34</v>
      </c>
      <c r="EQ60" s="327"/>
      <c r="ER60" s="359">
        <f>SUM(ER58:ES59)</f>
        <v>76</v>
      </c>
      <c r="ES60" s="361"/>
      <c r="ET60" s="359">
        <f>SUM(ET58:EX59)</f>
        <v>194</v>
      </c>
      <c r="EU60" s="360"/>
      <c r="EV60" s="360"/>
      <c r="EW60" s="360"/>
      <c r="EX60" s="361"/>
      <c r="EY60" s="359">
        <f>SUM(EY58:EZ59)</f>
        <v>930</v>
      </c>
      <c r="EZ60" s="361"/>
      <c r="FA60" s="359">
        <f>SUM(FA58:FB59)</f>
        <v>76</v>
      </c>
      <c r="FB60" s="361"/>
      <c r="FC60" s="229">
        <f t="shared" ref="FC60:FE60" si="279">SUM(FC58:FC59)</f>
        <v>14</v>
      </c>
      <c r="FD60" s="229">
        <f t="shared" si="279"/>
        <v>0</v>
      </c>
      <c r="FE60" s="282">
        <f t="shared" si="279"/>
        <v>1290</v>
      </c>
      <c r="FF60" s="107"/>
      <c r="FG60" s="299"/>
      <c r="FH60" s="326" t="s">
        <v>34</v>
      </c>
      <c r="FI60" s="327"/>
      <c r="FJ60" s="375">
        <v>64</v>
      </c>
      <c r="FK60" s="377"/>
      <c r="FL60" s="375">
        <v>227</v>
      </c>
      <c r="FM60" s="376"/>
      <c r="FN60" s="376"/>
      <c r="FO60" s="376"/>
      <c r="FP60" s="377"/>
      <c r="FQ60" s="375">
        <v>231</v>
      </c>
      <c r="FR60" s="377"/>
      <c r="FS60" s="375">
        <v>30</v>
      </c>
      <c r="FT60" s="377"/>
      <c r="FU60" s="167">
        <v>3</v>
      </c>
      <c r="FV60" s="167">
        <v>0</v>
      </c>
      <c r="FW60" s="210">
        <v>555</v>
      </c>
      <c r="FX60" s="107"/>
      <c r="FY60" s="299"/>
      <c r="FZ60" s="326" t="s">
        <v>34</v>
      </c>
      <c r="GA60" s="327"/>
      <c r="GB60" s="306">
        <f>SUM(GB58:GC59)</f>
        <v>0</v>
      </c>
      <c r="GC60" s="307"/>
      <c r="GD60" s="306">
        <f>SUM(GD58:GH59)</f>
        <v>0</v>
      </c>
      <c r="GE60" s="368"/>
      <c r="GF60" s="368"/>
      <c r="GG60" s="368"/>
      <c r="GH60" s="307"/>
      <c r="GI60" s="306">
        <f>SUM(GI58:GJ59)</f>
        <v>0</v>
      </c>
      <c r="GJ60" s="307"/>
      <c r="GK60" s="306">
        <f>SUM(GK58:GL59)</f>
        <v>0</v>
      </c>
      <c r="GL60" s="307"/>
      <c r="GM60" s="94">
        <f>SUM(GM58:GM59)</f>
        <v>0</v>
      </c>
      <c r="GN60" s="94">
        <f>SUM(GN58:GN59)</f>
        <v>0</v>
      </c>
      <c r="GO60" s="26">
        <f>SUM(GO58:GO59)</f>
        <v>0</v>
      </c>
      <c r="GP60" s="107"/>
      <c r="GQ60" s="299"/>
      <c r="GR60" s="326" t="s">
        <v>34</v>
      </c>
      <c r="GS60" s="327"/>
      <c r="GT60" s="306">
        <f>SUM(GT58:GU59)</f>
        <v>0</v>
      </c>
      <c r="GU60" s="307"/>
      <c r="GV60" s="306">
        <f>SUM(GV58:GZ59)</f>
        <v>0</v>
      </c>
      <c r="GW60" s="368"/>
      <c r="GX60" s="368"/>
      <c r="GY60" s="368"/>
      <c r="GZ60" s="307"/>
      <c r="HA60" s="306">
        <f>SUM(HA58:HB59)</f>
        <v>0</v>
      </c>
      <c r="HB60" s="307"/>
      <c r="HC60" s="306">
        <f>SUM(HC58:HD59)</f>
        <v>0</v>
      </c>
      <c r="HD60" s="307"/>
      <c r="HE60" s="94">
        <f>SUM(HE58:HE59)</f>
        <v>0</v>
      </c>
      <c r="HF60" s="94">
        <f>SUM(HF58:HF59)</f>
        <v>0</v>
      </c>
      <c r="HG60" s="26">
        <f>SUM(HG58:HG59)</f>
        <v>0</v>
      </c>
      <c r="HH60" s="107"/>
      <c r="HI60" s="299"/>
      <c r="HJ60" s="295" t="s">
        <v>28</v>
      </c>
      <c r="HK60" s="313"/>
      <c r="HL60" s="306">
        <f>SUM(HL58:HM59)</f>
        <v>954</v>
      </c>
      <c r="HM60" s="307"/>
      <c r="HN60" s="306">
        <f>SUM(HN58:HR59)</f>
        <v>949</v>
      </c>
      <c r="HO60" s="368"/>
      <c r="HP60" s="368"/>
      <c r="HQ60" s="368"/>
      <c r="HR60" s="307"/>
      <c r="HS60" s="306">
        <f>SUM(HS58:HT59)</f>
        <v>2676</v>
      </c>
      <c r="HT60" s="307"/>
      <c r="HU60" s="306">
        <f>SUM(HU58:HV59)</f>
        <v>699</v>
      </c>
      <c r="HV60" s="307"/>
      <c r="HW60" s="43">
        <f>SUM(HW58:HW59)</f>
        <v>146</v>
      </c>
      <c r="HX60" s="43">
        <f>SUM(HX58:HX59)</f>
        <v>0</v>
      </c>
      <c r="HY60" s="26">
        <f>SUM(HY58:HY59)</f>
        <v>5424</v>
      </c>
      <c r="HZ60" s="28"/>
    </row>
    <row r="61" spans="1:234" s="11" customFormat="1" ht="20.100000000000001" customHeight="1" thickTop="1" thickBot="1" x14ac:dyDescent="0.25">
      <c r="A61" s="41"/>
      <c r="B61" s="353" t="s">
        <v>29</v>
      </c>
      <c r="C61" s="357"/>
      <c r="D61" s="308">
        <f>SUM(D57+D60)</f>
        <v>1938</v>
      </c>
      <c r="E61" s="310"/>
      <c r="F61" s="308">
        <f>SUM(F57+F60)</f>
        <v>157</v>
      </c>
      <c r="G61" s="309"/>
      <c r="H61" s="309"/>
      <c r="I61" s="309"/>
      <c r="J61" s="310"/>
      <c r="K61" s="308">
        <f>SUM(K57+K60)</f>
        <v>3895</v>
      </c>
      <c r="L61" s="310"/>
      <c r="M61" s="308">
        <f>SUM(M57+M60)</f>
        <v>999</v>
      </c>
      <c r="N61" s="310"/>
      <c r="O61" s="23">
        <f>SUM(O57+O60)</f>
        <v>25</v>
      </c>
      <c r="P61" s="23">
        <f>SUM(P57+P60)</f>
        <v>0</v>
      </c>
      <c r="Q61" s="127">
        <f>SUM(Q57+Q60)</f>
        <v>7014</v>
      </c>
      <c r="R61" s="133"/>
      <c r="S61" s="41"/>
      <c r="T61" s="353" t="s">
        <v>29</v>
      </c>
      <c r="U61" s="357"/>
      <c r="V61" s="308">
        <f>SUM(V57+V60)</f>
        <v>656</v>
      </c>
      <c r="W61" s="310"/>
      <c r="X61" s="308">
        <f>SUM(X57+X60)</f>
        <v>54</v>
      </c>
      <c r="Y61" s="309"/>
      <c r="Z61" s="309"/>
      <c r="AA61" s="309"/>
      <c r="AB61" s="310"/>
      <c r="AC61" s="308">
        <f>SUM(AC57+AC60)</f>
        <v>1885</v>
      </c>
      <c r="AD61" s="310"/>
      <c r="AE61" s="308">
        <f>SUM(AE57+AE60)</f>
        <v>195</v>
      </c>
      <c r="AF61" s="310"/>
      <c r="AG61" s="23">
        <f>SUM(AG57+AG60)</f>
        <v>41</v>
      </c>
      <c r="AH61" s="23">
        <f>SUM(AH57+AH60)</f>
        <v>0</v>
      </c>
      <c r="AI61" s="127">
        <f>SUM(AI57+AI60)</f>
        <v>2175</v>
      </c>
      <c r="AJ61" s="133"/>
      <c r="AK61" s="41"/>
      <c r="AL61" s="353" t="s">
        <v>29</v>
      </c>
      <c r="AM61" s="357"/>
      <c r="AN61" s="308">
        <f>SUM(AN57+AN60)</f>
        <v>501</v>
      </c>
      <c r="AO61" s="310"/>
      <c r="AP61" s="308">
        <f>SUM(AP57+AP60)</f>
        <v>1473</v>
      </c>
      <c r="AQ61" s="309"/>
      <c r="AR61" s="309"/>
      <c r="AS61" s="309"/>
      <c r="AT61" s="310"/>
      <c r="AU61" s="308">
        <f>SUM(AU57+AU60)</f>
        <v>466</v>
      </c>
      <c r="AV61" s="310"/>
      <c r="AW61" s="308">
        <f>SUM(AW57+AW60)</f>
        <v>98</v>
      </c>
      <c r="AX61" s="310"/>
      <c r="AY61" s="23">
        <f>SUM(AY57+AY60)</f>
        <v>35</v>
      </c>
      <c r="AZ61" s="23">
        <f>SUM(AZ57+AZ60)</f>
        <v>0</v>
      </c>
      <c r="BA61" s="127">
        <f>SUM(BA57+BA60)</f>
        <v>2573</v>
      </c>
      <c r="BB61" s="133"/>
      <c r="BC61" s="41"/>
      <c r="BD61" s="353" t="s">
        <v>29</v>
      </c>
      <c r="BE61" s="357"/>
      <c r="BF61" s="378">
        <v>895</v>
      </c>
      <c r="BG61" s="380"/>
      <c r="BH61" s="378">
        <v>1790</v>
      </c>
      <c r="BI61" s="379"/>
      <c r="BJ61" s="379"/>
      <c r="BK61" s="379"/>
      <c r="BL61" s="380"/>
      <c r="BM61" s="378">
        <v>3010</v>
      </c>
      <c r="BN61" s="380"/>
      <c r="BO61" s="378">
        <v>185</v>
      </c>
      <c r="BP61" s="380"/>
      <c r="BQ61" s="200">
        <v>49</v>
      </c>
      <c r="BR61" s="200">
        <v>0</v>
      </c>
      <c r="BS61" s="127">
        <f>SUM(BS57+BS60)</f>
        <v>5929</v>
      </c>
      <c r="BT61" s="133"/>
      <c r="BU61" s="41"/>
      <c r="BV61" s="353" t="s">
        <v>29</v>
      </c>
      <c r="BW61" s="357"/>
      <c r="BX61" s="308">
        <f>SUM(BX57+BX60)</f>
        <v>868</v>
      </c>
      <c r="BY61" s="310"/>
      <c r="BZ61" s="308">
        <f>SUM(BZ57+BZ60)</f>
        <v>63</v>
      </c>
      <c r="CA61" s="309"/>
      <c r="CB61" s="309"/>
      <c r="CC61" s="309"/>
      <c r="CD61" s="310"/>
      <c r="CE61" s="308">
        <f>SUM(CE57+CE60)</f>
        <v>2081</v>
      </c>
      <c r="CF61" s="310"/>
      <c r="CG61" s="308">
        <f>SUM(CG57+CG60)</f>
        <v>138</v>
      </c>
      <c r="CH61" s="310"/>
      <c r="CI61" s="23">
        <f>SUM(CI57+CI60)</f>
        <v>41</v>
      </c>
      <c r="CJ61" s="23">
        <f>SUM(CJ57+CJ60)</f>
        <v>0</v>
      </c>
      <c r="CK61" s="127">
        <f>SUM(CK57+CK60)</f>
        <v>3191</v>
      </c>
      <c r="CL61" s="133"/>
      <c r="CM61" s="41"/>
      <c r="CN61" s="353" t="s">
        <v>29</v>
      </c>
      <c r="CO61" s="357"/>
      <c r="CP61" s="308">
        <f>SUM(CP57+CP60)</f>
        <v>322</v>
      </c>
      <c r="CQ61" s="310"/>
      <c r="CR61" s="308">
        <f>SUM(CR57+CR60)</f>
        <v>2385</v>
      </c>
      <c r="CS61" s="309"/>
      <c r="CT61" s="309"/>
      <c r="CU61" s="309"/>
      <c r="CV61" s="310"/>
      <c r="CW61" s="308">
        <f>SUM(CW57+CW60)</f>
        <v>359</v>
      </c>
      <c r="CX61" s="310"/>
      <c r="CY61" s="308">
        <f>SUM(CY57+CY60)</f>
        <v>137</v>
      </c>
      <c r="CZ61" s="310"/>
      <c r="DA61" s="23">
        <f>SUM(DA57+DA60)</f>
        <v>137</v>
      </c>
      <c r="DB61" s="23">
        <f>SUM(DB57+DB60)</f>
        <v>0</v>
      </c>
      <c r="DC61" s="27">
        <f>SUM(DC57+DC60)</f>
        <v>2193</v>
      </c>
      <c r="DD61" s="107"/>
      <c r="DE61" s="41"/>
      <c r="DF61" s="353" t="s">
        <v>29</v>
      </c>
      <c r="DG61" s="357"/>
      <c r="DH61" s="378">
        <v>798</v>
      </c>
      <c r="DI61" s="380"/>
      <c r="DJ61" s="378">
        <v>38</v>
      </c>
      <c r="DK61" s="379"/>
      <c r="DL61" s="379"/>
      <c r="DM61" s="379"/>
      <c r="DN61" s="380"/>
      <c r="DO61" s="378">
        <v>2489</v>
      </c>
      <c r="DP61" s="380"/>
      <c r="DQ61" s="378">
        <v>298</v>
      </c>
      <c r="DR61" s="380"/>
      <c r="DS61" s="200">
        <v>41</v>
      </c>
      <c r="DT61" s="200">
        <v>0</v>
      </c>
      <c r="DU61" s="213">
        <v>3664</v>
      </c>
      <c r="DV61" s="107"/>
      <c r="DW61" s="41"/>
      <c r="DX61" s="353" t="s">
        <v>29</v>
      </c>
      <c r="DY61" s="357"/>
      <c r="DZ61" s="363">
        <f>SUM(DZ57+DZ60)</f>
        <v>347</v>
      </c>
      <c r="EA61" s="361"/>
      <c r="EB61" s="363">
        <f>SUM(EB57+EB60)</f>
        <v>727</v>
      </c>
      <c r="EC61" s="360"/>
      <c r="ED61" s="360"/>
      <c r="EE61" s="360"/>
      <c r="EF61" s="361"/>
      <c r="EG61" s="363">
        <f>SUM(EG57+EG60)</f>
        <v>623</v>
      </c>
      <c r="EH61" s="361"/>
      <c r="EI61" s="363">
        <f>SUM(EI57+EI60)</f>
        <v>359</v>
      </c>
      <c r="EJ61" s="361"/>
      <c r="EK61" s="231">
        <f t="shared" ref="EK61:EM61" si="280">SUM(EK57+EK60)</f>
        <v>137</v>
      </c>
      <c r="EL61" s="231">
        <f t="shared" si="280"/>
        <v>0</v>
      </c>
      <c r="EM61" s="232">
        <f t="shared" si="280"/>
        <v>2193</v>
      </c>
      <c r="EN61" s="107"/>
      <c r="EO61" s="41"/>
      <c r="EP61" s="353" t="s">
        <v>29</v>
      </c>
      <c r="EQ61" s="357"/>
      <c r="ER61" s="363">
        <f>SUM(ER57+ER60)</f>
        <v>287</v>
      </c>
      <c r="ES61" s="361"/>
      <c r="ET61" s="363">
        <f>SUM(ET57+ET60)</f>
        <v>894</v>
      </c>
      <c r="EU61" s="360"/>
      <c r="EV61" s="360"/>
      <c r="EW61" s="360"/>
      <c r="EX61" s="361"/>
      <c r="EY61" s="363">
        <f>SUM(EY57+EY60)</f>
        <v>2136</v>
      </c>
      <c r="EZ61" s="361"/>
      <c r="FA61" s="363">
        <f>SUM(FA57+FA60)</f>
        <v>233</v>
      </c>
      <c r="FB61" s="361"/>
      <c r="FC61" s="231">
        <f t="shared" ref="FC61:FE61" si="281">SUM(FC57+FC60)</f>
        <v>45</v>
      </c>
      <c r="FD61" s="231">
        <f t="shared" si="281"/>
        <v>0</v>
      </c>
      <c r="FE61" s="283">
        <f t="shared" si="281"/>
        <v>3595</v>
      </c>
      <c r="FF61" s="107"/>
      <c r="FG61" s="41"/>
      <c r="FH61" s="353" t="s">
        <v>29</v>
      </c>
      <c r="FI61" s="357"/>
      <c r="FJ61" s="378">
        <v>893</v>
      </c>
      <c r="FK61" s="380"/>
      <c r="FL61" s="378">
        <v>1730</v>
      </c>
      <c r="FM61" s="379"/>
      <c r="FN61" s="379"/>
      <c r="FO61" s="379"/>
      <c r="FP61" s="380"/>
      <c r="FQ61" s="378">
        <v>3370</v>
      </c>
      <c r="FR61" s="380"/>
      <c r="FS61" s="378">
        <v>125</v>
      </c>
      <c r="FT61" s="380"/>
      <c r="FU61" s="200">
        <v>43</v>
      </c>
      <c r="FV61" s="200">
        <v>0</v>
      </c>
      <c r="FW61" s="213">
        <v>6161</v>
      </c>
      <c r="FX61" s="107"/>
      <c r="FY61" s="41"/>
      <c r="FZ61" s="353" t="s">
        <v>29</v>
      </c>
      <c r="GA61" s="357"/>
      <c r="GB61" s="308">
        <f>SUM(GB57+GB60)</f>
        <v>0</v>
      </c>
      <c r="GC61" s="310"/>
      <c r="GD61" s="308">
        <f>SUM(GD57+GD60)</f>
        <v>0</v>
      </c>
      <c r="GE61" s="309"/>
      <c r="GF61" s="309"/>
      <c r="GG61" s="309"/>
      <c r="GH61" s="310"/>
      <c r="GI61" s="308">
        <f>SUM(GI57+GI60)</f>
        <v>0</v>
      </c>
      <c r="GJ61" s="310"/>
      <c r="GK61" s="308">
        <f>SUM(GK57+GK60)</f>
        <v>0</v>
      </c>
      <c r="GL61" s="310"/>
      <c r="GM61" s="23">
        <f>SUM(GM57+GM60)</f>
        <v>0</v>
      </c>
      <c r="GN61" s="23">
        <f>SUM(GN57+GN60)</f>
        <v>0</v>
      </c>
      <c r="GO61" s="27">
        <f>SUM(GO57+GO60)</f>
        <v>0</v>
      </c>
      <c r="GP61" s="107"/>
      <c r="GQ61" s="41"/>
      <c r="GR61" s="353" t="s">
        <v>29</v>
      </c>
      <c r="GS61" s="357"/>
      <c r="GT61" s="308">
        <f>SUM(GT57+GT60)</f>
        <v>0</v>
      </c>
      <c r="GU61" s="310"/>
      <c r="GV61" s="308">
        <f>SUM(GV57+GV60)</f>
        <v>0</v>
      </c>
      <c r="GW61" s="309"/>
      <c r="GX61" s="309"/>
      <c r="GY61" s="309"/>
      <c r="GZ61" s="310"/>
      <c r="HA61" s="308">
        <f>SUM(HA57+HA60)</f>
        <v>0</v>
      </c>
      <c r="HB61" s="310"/>
      <c r="HC61" s="308">
        <f>SUM(HC57+HC60)</f>
        <v>0</v>
      </c>
      <c r="HD61" s="310"/>
      <c r="HE61" s="23">
        <f>SUM(HE57+HE60)</f>
        <v>0</v>
      </c>
      <c r="HF61" s="23">
        <f>SUM(HF57+HF60)</f>
        <v>0</v>
      </c>
      <c r="HG61" s="27">
        <f>SUM(HG57+HG60)</f>
        <v>0</v>
      </c>
      <c r="HH61" s="107"/>
      <c r="HI61" s="41"/>
      <c r="HJ61" s="353" t="s">
        <v>29</v>
      </c>
      <c r="HK61" s="354"/>
      <c r="HL61" s="308">
        <f>SUM(HL57+HL60)</f>
        <v>6874</v>
      </c>
      <c r="HM61" s="310"/>
      <c r="HN61" s="308">
        <f>SUM(HN57+HN60)</f>
        <v>7653</v>
      </c>
      <c r="HO61" s="309"/>
      <c r="HP61" s="309"/>
      <c r="HQ61" s="309"/>
      <c r="HR61" s="310"/>
      <c r="HS61" s="308">
        <f>SUM(HS57+HS60)</f>
        <v>20578</v>
      </c>
      <c r="HT61" s="310"/>
      <c r="HU61" s="308">
        <f>SUM(HU57+HU60)</f>
        <v>2989</v>
      </c>
      <c r="HV61" s="310"/>
      <c r="HW61" s="23">
        <f>SUM(HW57+HW60)</f>
        <v>594</v>
      </c>
      <c r="HX61" s="23">
        <f>SUM(HX57+HX60)</f>
        <v>0</v>
      </c>
      <c r="HY61" s="27">
        <f>SUM(HY57+HY60)</f>
        <v>38688</v>
      </c>
      <c r="HZ61" s="28"/>
    </row>
    <row r="62" spans="1:234" s="11" customFormat="1" ht="20.100000000000001" customHeight="1" thickBot="1" x14ac:dyDescent="0.25">
      <c r="A62" s="297">
        <v>0</v>
      </c>
      <c r="B62" s="304" t="s">
        <v>9</v>
      </c>
      <c r="C62" s="19" t="s">
        <v>24</v>
      </c>
      <c r="D62" s="8">
        <v>0</v>
      </c>
      <c r="E62" s="33">
        <v>0</v>
      </c>
      <c r="F62" s="4">
        <v>0</v>
      </c>
      <c r="G62" s="5">
        <v>0</v>
      </c>
      <c r="H62" s="6">
        <v>0</v>
      </c>
      <c r="I62" s="84">
        <v>0</v>
      </c>
      <c r="J62" s="7">
        <v>0</v>
      </c>
      <c r="K62" s="34">
        <v>0</v>
      </c>
      <c r="L62" s="9">
        <v>0</v>
      </c>
      <c r="M62" s="10">
        <v>0</v>
      </c>
      <c r="N62" s="86">
        <v>0</v>
      </c>
      <c r="O62" s="21">
        <v>0</v>
      </c>
      <c r="P62" s="21">
        <v>0</v>
      </c>
      <c r="Q62" s="124">
        <f>SUM(D62:P62)</f>
        <v>0</v>
      </c>
      <c r="R62" s="133"/>
      <c r="S62" s="297">
        <v>0</v>
      </c>
      <c r="T62" s="304" t="s">
        <v>9</v>
      </c>
      <c r="U62" s="19" t="s">
        <v>24</v>
      </c>
      <c r="V62" s="8">
        <v>0</v>
      </c>
      <c r="W62" s="33">
        <v>0</v>
      </c>
      <c r="X62" s="4">
        <v>0</v>
      </c>
      <c r="Y62" s="5">
        <v>0</v>
      </c>
      <c r="Z62" s="6">
        <v>0</v>
      </c>
      <c r="AA62" s="84">
        <v>0</v>
      </c>
      <c r="AB62" s="7">
        <v>0</v>
      </c>
      <c r="AC62" s="34">
        <v>0</v>
      </c>
      <c r="AD62" s="9">
        <v>0</v>
      </c>
      <c r="AE62" s="10">
        <v>0</v>
      </c>
      <c r="AF62" s="86">
        <v>0</v>
      </c>
      <c r="AG62" s="21">
        <v>0</v>
      </c>
      <c r="AH62" s="21">
        <v>0</v>
      </c>
      <c r="AI62" s="124">
        <f>SUM(V62:AH62)</f>
        <v>0</v>
      </c>
      <c r="AJ62" s="133"/>
      <c r="AK62" s="297">
        <v>0</v>
      </c>
      <c r="AL62" s="304" t="s">
        <v>9</v>
      </c>
      <c r="AM62" s="19" t="s">
        <v>24</v>
      </c>
      <c r="AN62" s="8">
        <v>0</v>
      </c>
      <c r="AO62" s="33">
        <v>0</v>
      </c>
      <c r="AP62" s="4">
        <v>0</v>
      </c>
      <c r="AQ62" s="5">
        <v>0</v>
      </c>
      <c r="AR62" s="6">
        <v>0</v>
      </c>
      <c r="AS62" s="84">
        <v>0</v>
      </c>
      <c r="AT62" s="7">
        <v>0</v>
      </c>
      <c r="AU62" s="34">
        <v>0</v>
      </c>
      <c r="AV62" s="9">
        <v>0</v>
      </c>
      <c r="AW62" s="10">
        <v>0</v>
      </c>
      <c r="AX62" s="86">
        <v>0</v>
      </c>
      <c r="AY62" s="21">
        <v>0</v>
      </c>
      <c r="AZ62" s="21">
        <v>0</v>
      </c>
      <c r="BA62" s="124">
        <f>SUM(AN62:AZ62)</f>
        <v>0</v>
      </c>
      <c r="BB62" s="133"/>
      <c r="BC62" s="297">
        <v>0</v>
      </c>
      <c r="BD62" s="304" t="s">
        <v>9</v>
      </c>
      <c r="BE62" s="19" t="s">
        <v>24</v>
      </c>
      <c r="BF62" s="8">
        <v>0</v>
      </c>
      <c r="BG62" s="33">
        <v>0</v>
      </c>
      <c r="BH62" s="4">
        <v>0</v>
      </c>
      <c r="BI62" s="5">
        <v>0</v>
      </c>
      <c r="BJ62" s="6">
        <v>0</v>
      </c>
      <c r="BK62" s="84">
        <v>0</v>
      </c>
      <c r="BL62" s="7">
        <v>0</v>
      </c>
      <c r="BM62" s="34">
        <v>0</v>
      </c>
      <c r="BN62" s="9">
        <v>0</v>
      </c>
      <c r="BO62" s="10">
        <v>0</v>
      </c>
      <c r="BP62" s="86">
        <v>0</v>
      </c>
      <c r="BQ62" s="21">
        <v>0</v>
      </c>
      <c r="BR62" s="21">
        <v>0</v>
      </c>
      <c r="BS62" s="124">
        <f>SUM(BF62:BR62)</f>
        <v>0</v>
      </c>
      <c r="BT62" s="133"/>
      <c r="BU62" s="297">
        <v>0</v>
      </c>
      <c r="BV62" s="304" t="s">
        <v>9</v>
      </c>
      <c r="BW62" s="19" t="s">
        <v>24</v>
      </c>
      <c r="BX62" s="8">
        <v>0</v>
      </c>
      <c r="BY62" s="33">
        <v>0</v>
      </c>
      <c r="BZ62" s="4">
        <v>0</v>
      </c>
      <c r="CA62" s="5">
        <v>0</v>
      </c>
      <c r="CB62" s="6">
        <v>0</v>
      </c>
      <c r="CC62" s="84">
        <v>0</v>
      </c>
      <c r="CD62" s="7">
        <v>0</v>
      </c>
      <c r="CE62" s="34">
        <v>0</v>
      </c>
      <c r="CF62" s="9">
        <v>0</v>
      </c>
      <c r="CG62" s="10">
        <v>0</v>
      </c>
      <c r="CH62" s="86">
        <v>0</v>
      </c>
      <c r="CI62" s="21">
        <v>0</v>
      </c>
      <c r="CJ62" s="21">
        <v>0</v>
      </c>
      <c r="CK62" s="124">
        <f>SUM(BX62:CJ62)</f>
        <v>0</v>
      </c>
      <c r="CL62" s="133"/>
      <c r="CM62" s="297">
        <v>0</v>
      </c>
      <c r="CN62" s="304" t="s">
        <v>9</v>
      </c>
      <c r="CO62" s="19" t="s">
        <v>24</v>
      </c>
      <c r="CP62" s="8">
        <v>0</v>
      </c>
      <c r="CQ62" s="33">
        <v>0</v>
      </c>
      <c r="CR62" s="4">
        <v>0</v>
      </c>
      <c r="CS62" s="5">
        <v>0</v>
      </c>
      <c r="CT62" s="6">
        <v>0</v>
      </c>
      <c r="CU62" s="84">
        <v>0</v>
      </c>
      <c r="CV62" s="7">
        <v>0</v>
      </c>
      <c r="CW62" s="34">
        <v>0</v>
      </c>
      <c r="CX62" s="9">
        <v>0</v>
      </c>
      <c r="CY62" s="10">
        <v>0</v>
      </c>
      <c r="CZ62" s="86">
        <v>0</v>
      </c>
      <c r="DA62" s="21">
        <v>0</v>
      </c>
      <c r="DB62" s="21">
        <v>0</v>
      </c>
      <c r="DC62" s="24">
        <f>SUM(CP62:DB62)</f>
        <v>0</v>
      </c>
      <c r="DD62" s="107"/>
      <c r="DE62" s="297">
        <v>0</v>
      </c>
      <c r="DF62" s="304" t="s">
        <v>9</v>
      </c>
      <c r="DG62" s="19" t="s">
        <v>24</v>
      </c>
      <c r="DH62" s="168">
        <v>0</v>
      </c>
      <c r="DI62" s="169">
        <v>0</v>
      </c>
      <c r="DJ62" s="170">
        <v>0</v>
      </c>
      <c r="DK62" s="170">
        <v>0</v>
      </c>
      <c r="DL62" s="170">
        <v>0</v>
      </c>
      <c r="DM62" s="171">
        <v>0</v>
      </c>
      <c r="DN62" s="169">
        <v>0</v>
      </c>
      <c r="DO62" s="170">
        <v>0</v>
      </c>
      <c r="DP62" s="169">
        <v>0</v>
      </c>
      <c r="DQ62" s="170">
        <v>0</v>
      </c>
      <c r="DR62" s="172">
        <v>0</v>
      </c>
      <c r="DS62" s="173">
        <v>0</v>
      </c>
      <c r="DT62" s="173">
        <v>0</v>
      </c>
      <c r="DU62" s="211">
        <v>0</v>
      </c>
      <c r="DV62" s="107"/>
      <c r="DW62" s="297">
        <v>0</v>
      </c>
      <c r="DX62" s="304" t="s">
        <v>9</v>
      </c>
      <c r="DY62" s="19" t="s">
        <v>24</v>
      </c>
      <c r="DZ62" s="233">
        <v>0</v>
      </c>
      <c r="EA62" s="234">
        <v>0</v>
      </c>
      <c r="EB62" s="261">
        <v>0</v>
      </c>
      <c r="EC62" s="262">
        <v>0</v>
      </c>
      <c r="ED62" s="263">
        <v>0</v>
      </c>
      <c r="EE62" s="264">
        <v>0</v>
      </c>
      <c r="EF62" s="265">
        <v>0</v>
      </c>
      <c r="EG62" s="239">
        <v>0</v>
      </c>
      <c r="EH62" s="240">
        <v>0</v>
      </c>
      <c r="EI62" s="241">
        <v>0</v>
      </c>
      <c r="EJ62" s="242">
        <v>0</v>
      </c>
      <c r="EK62" s="243">
        <v>0</v>
      </c>
      <c r="EL62" s="243">
        <v>0</v>
      </c>
      <c r="EM62" s="223">
        <f t="shared" ref="EM62:EM63" si="282">SUM(DZ62:EL62)</f>
        <v>0</v>
      </c>
      <c r="EN62" s="107"/>
      <c r="EO62" s="297">
        <v>0</v>
      </c>
      <c r="EP62" s="304" t="s">
        <v>9</v>
      </c>
      <c r="EQ62" s="19" t="s">
        <v>24</v>
      </c>
      <c r="ER62" s="8">
        <v>0</v>
      </c>
      <c r="ES62" s="33">
        <v>0</v>
      </c>
      <c r="ET62" s="4">
        <v>0</v>
      </c>
      <c r="EU62" s="5">
        <v>0</v>
      </c>
      <c r="EV62" s="6">
        <v>0</v>
      </c>
      <c r="EW62" s="84">
        <v>0</v>
      </c>
      <c r="EX62" s="7">
        <v>0</v>
      </c>
      <c r="EY62" s="34">
        <v>0</v>
      </c>
      <c r="EZ62" s="9">
        <v>0</v>
      </c>
      <c r="FA62" s="10">
        <v>0</v>
      </c>
      <c r="FB62" s="86">
        <v>0</v>
      </c>
      <c r="FC62" s="21">
        <v>0</v>
      </c>
      <c r="FD62" s="21">
        <v>0</v>
      </c>
      <c r="FE62" s="24">
        <f>SUM(ER62:FD62)</f>
        <v>0</v>
      </c>
      <c r="FF62" s="107"/>
      <c r="FG62" s="297">
        <v>0</v>
      </c>
      <c r="FH62" s="304" t="s">
        <v>9</v>
      </c>
      <c r="FI62" s="19" t="s">
        <v>24</v>
      </c>
      <c r="FJ62" s="8">
        <v>0</v>
      </c>
      <c r="FK62" s="33">
        <v>0</v>
      </c>
      <c r="FL62" s="4">
        <v>0</v>
      </c>
      <c r="FM62" s="5">
        <v>0</v>
      </c>
      <c r="FN62" s="6">
        <v>0</v>
      </c>
      <c r="FO62" s="84">
        <v>0</v>
      </c>
      <c r="FP62" s="7">
        <v>0</v>
      </c>
      <c r="FQ62" s="34">
        <v>0</v>
      </c>
      <c r="FR62" s="9">
        <v>0</v>
      </c>
      <c r="FS62" s="10">
        <v>0</v>
      </c>
      <c r="FT62" s="86">
        <v>0</v>
      </c>
      <c r="FU62" s="21">
        <v>0</v>
      </c>
      <c r="FV62" s="21">
        <v>0</v>
      </c>
      <c r="FW62" s="24">
        <f>SUM(FJ62:FV62)</f>
        <v>0</v>
      </c>
      <c r="FX62" s="107"/>
      <c r="FY62" s="297">
        <v>0</v>
      </c>
      <c r="FZ62" s="304" t="s">
        <v>9</v>
      </c>
      <c r="GA62" s="19" t="s">
        <v>24</v>
      </c>
      <c r="GB62" s="8">
        <v>0</v>
      </c>
      <c r="GC62" s="33">
        <v>0</v>
      </c>
      <c r="GD62" s="4">
        <v>0</v>
      </c>
      <c r="GE62" s="5">
        <v>0</v>
      </c>
      <c r="GF62" s="6">
        <v>0</v>
      </c>
      <c r="GG62" s="84">
        <v>0</v>
      </c>
      <c r="GH62" s="7">
        <v>0</v>
      </c>
      <c r="GI62" s="34">
        <v>0</v>
      </c>
      <c r="GJ62" s="9">
        <v>0</v>
      </c>
      <c r="GK62" s="10">
        <v>0</v>
      </c>
      <c r="GL62" s="86">
        <v>0</v>
      </c>
      <c r="GM62" s="21">
        <v>0</v>
      </c>
      <c r="GN62" s="21">
        <v>0</v>
      </c>
      <c r="GO62" s="24">
        <f>SUM(GB62:GN62)</f>
        <v>0</v>
      </c>
      <c r="GP62" s="107"/>
      <c r="GQ62" s="297">
        <v>0</v>
      </c>
      <c r="GR62" s="304" t="s">
        <v>9</v>
      </c>
      <c r="GS62" s="19" t="s">
        <v>24</v>
      </c>
      <c r="GT62" s="8">
        <v>0</v>
      </c>
      <c r="GU62" s="33">
        <v>0</v>
      </c>
      <c r="GV62" s="4">
        <v>0</v>
      </c>
      <c r="GW62" s="5">
        <v>0</v>
      </c>
      <c r="GX62" s="6">
        <v>0</v>
      </c>
      <c r="GY62" s="84">
        <v>0</v>
      </c>
      <c r="GZ62" s="7">
        <v>0</v>
      </c>
      <c r="HA62" s="34">
        <v>0</v>
      </c>
      <c r="HB62" s="9">
        <v>0</v>
      </c>
      <c r="HC62" s="10">
        <v>0</v>
      </c>
      <c r="HD62" s="86">
        <v>0</v>
      </c>
      <c r="HE62" s="21">
        <v>0</v>
      </c>
      <c r="HF62" s="21">
        <v>0</v>
      </c>
      <c r="HG62" s="24">
        <f>SUM(GT62:HF62)</f>
        <v>0</v>
      </c>
      <c r="HH62" s="107"/>
      <c r="HI62" s="297">
        <f>GQ62</f>
        <v>0</v>
      </c>
      <c r="HJ62" s="304" t="s">
        <v>9</v>
      </c>
      <c r="HK62" s="19" t="s">
        <v>24</v>
      </c>
      <c r="HL62" s="8">
        <f t="shared" ref="HL62:HL63" si="283">SUM(D62+V62+AN62+BF62+BX62+CP62+DH62+DZ62+ER62+FJ62+GB62+GT62)</f>
        <v>0</v>
      </c>
      <c r="HM62" s="9">
        <f t="shared" ref="HM62:HM63" si="284">SUM(E62+W62+AO62+BG62+BY62+CQ62+DI62+EA62+ES62+FK62+GC62+GU62)</f>
        <v>0</v>
      </c>
      <c r="HN62" s="34">
        <f t="shared" ref="HN62:HN63" si="285">SUM(F62+X62+AP62+BH62+BZ62+CR62+DJ62+EB62+ET62+FL62+GD62+GV62)</f>
        <v>0</v>
      </c>
      <c r="HO62" s="35">
        <f t="shared" ref="HO62:HO63" si="286">SUM(G62+Y62+AQ62+BI62+CA62+CS62+DK62+EC62+EU62+FM62+GE62+GW62)</f>
        <v>0</v>
      </c>
      <c r="HP62" s="35">
        <f t="shared" ref="HP62:HP63" si="287">SUM(H62+Z62+AR62+BJ62+CB62+CT62+DL62+ED62+EV62+FN62+GF62+GX62)</f>
        <v>0</v>
      </c>
      <c r="HQ62" s="46">
        <f t="shared" ref="HQ62:HQ63" si="288">SUM(I62+AA62+AS62+BK62+CC62+CU62+DM62+EE62+EW62+FO62+GG62+GY62)</f>
        <v>0</v>
      </c>
      <c r="HR62" s="9">
        <f t="shared" ref="HR62:HR63" si="289">SUM(J62+AB62+AT62+BL62+CD62+CV62+DN62+EF62+EX62+FP62+GH62+GZ62)</f>
        <v>0</v>
      </c>
      <c r="HS62" s="34">
        <f t="shared" ref="HS62:HS63" si="290">SUM(K62+AC62+AU62+BM62+CE62+CW62+DO62+EG62+EY62+FQ62+GI62+HA62)</f>
        <v>0</v>
      </c>
      <c r="HT62" s="9">
        <f t="shared" ref="HT62:HT63" si="291">SUM(L62+AD62+AV62+BN62+CF62+CX62+DP62+EH62+EZ62+FR62+GJ62+HB62)</f>
        <v>0</v>
      </c>
      <c r="HU62" s="34">
        <f t="shared" ref="HU62:HU63" si="292">SUM(M62+AE62+AW62+BO62+CG62+CY62+DQ62+EI62+FA62+FS62+GK62+HC62)</f>
        <v>0</v>
      </c>
      <c r="HV62" s="47">
        <f t="shared" ref="HV62:HV63" si="293">SUM(N62+AF62+AX62+BP62+CH62+CZ62+DR62+EJ62+FB62+FT62+GL62+HD62)</f>
        <v>0</v>
      </c>
      <c r="HW62" s="44">
        <f t="shared" ref="HW62:HW63" si="294">SUM(O62+AG62+AY62+BQ62+CI62+DA62+DS62+EK62+FC62+FU62+GM62+HE62)</f>
        <v>0</v>
      </c>
      <c r="HX62" s="44">
        <f t="shared" ref="HX62:HX63" si="295">SUM(P62+AH62+AZ62+BR62+CJ62+DB62+DT62+EL62+FD62+FV62+GN62+HF62)</f>
        <v>0</v>
      </c>
      <c r="HY62" s="38">
        <f>SUM(HL62:HX62)</f>
        <v>0</v>
      </c>
      <c r="HZ62" s="28"/>
    </row>
    <row r="63" spans="1:234" s="11" customFormat="1" ht="20.100000000000001" customHeight="1" thickBot="1" x14ac:dyDescent="0.25">
      <c r="A63" s="298"/>
      <c r="B63" s="305"/>
      <c r="C63" s="20" t="s">
        <v>25</v>
      </c>
      <c r="D63" s="12">
        <v>0</v>
      </c>
      <c r="E63" s="18">
        <v>0</v>
      </c>
      <c r="F63" s="12">
        <v>0</v>
      </c>
      <c r="G63" s="13">
        <v>0</v>
      </c>
      <c r="H63" s="15">
        <v>0</v>
      </c>
      <c r="I63" s="15">
        <v>0</v>
      </c>
      <c r="J63" s="16">
        <v>0</v>
      </c>
      <c r="K63" s="17">
        <v>0</v>
      </c>
      <c r="L63" s="14">
        <v>0</v>
      </c>
      <c r="M63" s="17">
        <v>0</v>
      </c>
      <c r="N63" s="18">
        <v>0</v>
      </c>
      <c r="O63" s="22">
        <v>0</v>
      </c>
      <c r="P63" s="22">
        <v>0</v>
      </c>
      <c r="Q63" s="125">
        <f>SUM(D63:P63)</f>
        <v>0</v>
      </c>
      <c r="R63" s="133"/>
      <c r="S63" s="298"/>
      <c r="T63" s="305"/>
      <c r="U63" s="20" t="s">
        <v>25</v>
      </c>
      <c r="V63" s="12">
        <v>0</v>
      </c>
      <c r="W63" s="18">
        <v>0</v>
      </c>
      <c r="X63" s="12">
        <v>0</v>
      </c>
      <c r="Y63" s="13">
        <v>0</v>
      </c>
      <c r="Z63" s="15">
        <v>0</v>
      </c>
      <c r="AA63" s="15">
        <v>0</v>
      </c>
      <c r="AB63" s="16">
        <v>0</v>
      </c>
      <c r="AC63" s="17">
        <v>0</v>
      </c>
      <c r="AD63" s="14">
        <v>0</v>
      </c>
      <c r="AE63" s="17">
        <v>0</v>
      </c>
      <c r="AF63" s="18">
        <v>0</v>
      </c>
      <c r="AG63" s="22">
        <v>0</v>
      </c>
      <c r="AH63" s="22">
        <v>0</v>
      </c>
      <c r="AI63" s="125">
        <f>SUM(V63:AH63)</f>
        <v>0</v>
      </c>
      <c r="AJ63" s="133"/>
      <c r="AK63" s="298"/>
      <c r="AL63" s="305"/>
      <c r="AM63" s="20" t="s">
        <v>25</v>
      </c>
      <c r="AN63" s="12">
        <v>0</v>
      </c>
      <c r="AO63" s="18">
        <v>0</v>
      </c>
      <c r="AP63" s="12">
        <v>0</v>
      </c>
      <c r="AQ63" s="13">
        <v>0</v>
      </c>
      <c r="AR63" s="15">
        <v>0</v>
      </c>
      <c r="AS63" s="15">
        <v>0</v>
      </c>
      <c r="AT63" s="16">
        <v>0</v>
      </c>
      <c r="AU63" s="17">
        <v>0</v>
      </c>
      <c r="AV63" s="14">
        <v>0</v>
      </c>
      <c r="AW63" s="17">
        <v>0</v>
      </c>
      <c r="AX63" s="18">
        <v>0</v>
      </c>
      <c r="AY63" s="22">
        <v>0</v>
      </c>
      <c r="AZ63" s="22">
        <v>0</v>
      </c>
      <c r="BA63" s="125">
        <f>SUM(AN63:AZ63)</f>
        <v>0</v>
      </c>
      <c r="BB63" s="133"/>
      <c r="BC63" s="298"/>
      <c r="BD63" s="305"/>
      <c r="BE63" s="20" t="s">
        <v>25</v>
      </c>
      <c r="BF63" s="12">
        <v>0</v>
      </c>
      <c r="BG63" s="18">
        <v>0</v>
      </c>
      <c r="BH63" s="12">
        <v>0</v>
      </c>
      <c r="BI63" s="13">
        <v>0</v>
      </c>
      <c r="BJ63" s="15">
        <v>0</v>
      </c>
      <c r="BK63" s="15">
        <v>0</v>
      </c>
      <c r="BL63" s="16">
        <v>0</v>
      </c>
      <c r="BM63" s="17">
        <v>0</v>
      </c>
      <c r="BN63" s="14">
        <v>0</v>
      </c>
      <c r="BO63" s="17">
        <v>0</v>
      </c>
      <c r="BP63" s="18">
        <v>0</v>
      </c>
      <c r="BQ63" s="22">
        <v>0</v>
      </c>
      <c r="BR63" s="22">
        <v>0</v>
      </c>
      <c r="BS63" s="125">
        <f>SUM(BF63:BR63)</f>
        <v>0</v>
      </c>
      <c r="BT63" s="133"/>
      <c r="BU63" s="298"/>
      <c r="BV63" s="305"/>
      <c r="BW63" s="20" t="s">
        <v>25</v>
      </c>
      <c r="BX63" s="12">
        <v>0</v>
      </c>
      <c r="BY63" s="18">
        <v>0</v>
      </c>
      <c r="BZ63" s="12">
        <v>0</v>
      </c>
      <c r="CA63" s="13">
        <v>0</v>
      </c>
      <c r="CB63" s="15">
        <v>0</v>
      </c>
      <c r="CC63" s="15">
        <v>0</v>
      </c>
      <c r="CD63" s="16">
        <v>0</v>
      </c>
      <c r="CE63" s="17">
        <v>0</v>
      </c>
      <c r="CF63" s="14">
        <v>0</v>
      </c>
      <c r="CG63" s="17">
        <v>0</v>
      </c>
      <c r="CH63" s="18">
        <v>0</v>
      </c>
      <c r="CI63" s="22">
        <v>0</v>
      </c>
      <c r="CJ63" s="22">
        <v>0</v>
      </c>
      <c r="CK63" s="125">
        <f>SUM(BX63:CJ63)</f>
        <v>0</v>
      </c>
      <c r="CL63" s="133"/>
      <c r="CM63" s="298"/>
      <c r="CN63" s="305"/>
      <c r="CO63" s="20" t="s">
        <v>25</v>
      </c>
      <c r="CP63" s="12">
        <v>0</v>
      </c>
      <c r="CQ63" s="18">
        <v>0</v>
      </c>
      <c r="CR63" s="12">
        <v>0</v>
      </c>
      <c r="CS63" s="13">
        <v>0</v>
      </c>
      <c r="CT63" s="15">
        <v>0</v>
      </c>
      <c r="CU63" s="15">
        <v>0</v>
      </c>
      <c r="CV63" s="16">
        <v>0</v>
      </c>
      <c r="CW63" s="17">
        <v>0</v>
      </c>
      <c r="CX63" s="14">
        <v>0</v>
      </c>
      <c r="CY63" s="17">
        <v>0</v>
      </c>
      <c r="CZ63" s="18">
        <v>0</v>
      </c>
      <c r="DA63" s="22">
        <v>0</v>
      </c>
      <c r="DB63" s="22">
        <v>0</v>
      </c>
      <c r="DC63" s="25">
        <f>SUM(CP63:DB63)</f>
        <v>0</v>
      </c>
      <c r="DD63" s="107"/>
      <c r="DE63" s="298"/>
      <c r="DF63" s="305"/>
      <c r="DG63" s="20" t="s">
        <v>25</v>
      </c>
      <c r="DH63" s="163">
        <v>0</v>
      </c>
      <c r="DI63" s="164">
        <v>0</v>
      </c>
      <c r="DJ63" s="165">
        <v>0</v>
      </c>
      <c r="DK63" s="165">
        <v>0</v>
      </c>
      <c r="DL63" s="165">
        <v>0</v>
      </c>
      <c r="DM63" s="165">
        <v>0</v>
      </c>
      <c r="DN63" s="164">
        <v>0</v>
      </c>
      <c r="DO63" s="165">
        <v>0</v>
      </c>
      <c r="DP63" s="164">
        <v>0</v>
      </c>
      <c r="DQ63" s="165">
        <v>0</v>
      </c>
      <c r="DR63" s="164">
        <v>0</v>
      </c>
      <c r="DS63" s="166">
        <v>0</v>
      </c>
      <c r="DT63" s="166">
        <v>0</v>
      </c>
      <c r="DU63" s="167">
        <v>0</v>
      </c>
      <c r="DV63" s="107"/>
      <c r="DW63" s="298"/>
      <c r="DX63" s="305"/>
      <c r="DY63" s="20" t="s">
        <v>25</v>
      </c>
      <c r="DZ63" s="244">
        <v>0</v>
      </c>
      <c r="EA63" s="245">
        <v>0</v>
      </c>
      <c r="EB63" s="244">
        <v>0</v>
      </c>
      <c r="EC63" s="246">
        <v>0</v>
      </c>
      <c r="ED63" s="247">
        <v>0</v>
      </c>
      <c r="EE63" s="247">
        <v>0</v>
      </c>
      <c r="EF63" s="248">
        <v>0</v>
      </c>
      <c r="EG63" s="249">
        <v>0</v>
      </c>
      <c r="EH63" s="250">
        <v>0</v>
      </c>
      <c r="EI63" s="249">
        <v>0</v>
      </c>
      <c r="EJ63" s="245">
        <v>0</v>
      </c>
      <c r="EK63" s="251">
        <v>0</v>
      </c>
      <c r="EL63" s="251">
        <v>0</v>
      </c>
      <c r="EM63" s="228">
        <f t="shared" si="282"/>
        <v>0</v>
      </c>
      <c r="EN63" s="107"/>
      <c r="EO63" s="298"/>
      <c r="EP63" s="305"/>
      <c r="EQ63" s="20" t="s">
        <v>25</v>
      </c>
      <c r="ER63" s="12">
        <v>0</v>
      </c>
      <c r="ES63" s="18">
        <v>0</v>
      </c>
      <c r="ET63" s="12">
        <v>0</v>
      </c>
      <c r="EU63" s="13">
        <v>0</v>
      </c>
      <c r="EV63" s="15">
        <v>0</v>
      </c>
      <c r="EW63" s="15">
        <v>0</v>
      </c>
      <c r="EX63" s="16">
        <v>0</v>
      </c>
      <c r="EY63" s="17">
        <v>0</v>
      </c>
      <c r="EZ63" s="14">
        <v>0</v>
      </c>
      <c r="FA63" s="17">
        <v>0</v>
      </c>
      <c r="FB63" s="18">
        <v>0</v>
      </c>
      <c r="FC63" s="22">
        <v>0</v>
      </c>
      <c r="FD63" s="22">
        <v>0</v>
      </c>
      <c r="FE63" s="25">
        <f>SUM(ER63:FD63)</f>
        <v>0</v>
      </c>
      <c r="FF63" s="107"/>
      <c r="FG63" s="298"/>
      <c r="FH63" s="305"/>
      <c r="FI63" s="20" t="s">
        <v>25</v>
      </c>
      <c r="FJ63" s="12">
        <v>0</v>
      </c>
      <c r="FK63" s="18">
        <v>0</v>
      </c>
      <c r="FL63" s="12">
        <v>0</v>
      </c>
      <c r="FM63" s="13">
        <v>0</v>
      </c>
      <c r="FN63" s="15">
        <v>0</v>
      </c>
      <c r="FO63" s="15">
        <v>0</v>
      </c>
      <c r="FP63" s="16">
        <v>0</v>
      </c>
      <c r="FQ63" s="17">
        <v>0</v>
      </c>
      <c r="FR63" s="14">
        <v>0</v>
      </c>
      <c r="FS63" s="17">
        <v>0</v>
      </c>
      <c r="FT63" s="18">
        <v>0</v>
      </c>
      <c r="FU63" s="22">
        <v>0</v>
      </c>
      <c r="FV63" s="22">
        <v>0</v>
      </c>
      <c r="FW63" s="25">
        <f>SUM(FJ63:FV63)</f>
        <v>0</v>
      </c>
      <c r="FX63" s="107"/>
      <c r="FY63" s="298"/>
      <c r="FZ63" s="305"/>
      <c r="GA63" s="20" t="s">
        <v>25</v>
      </c>
      <c r="GB63" s="12">
        <v>0</v>
      </c>
      <c r="GC63" s="18">
        <v>0</v>
      </c>
      <c r="GD63" s="12">
        <v>0</v>
      </c>
      <c r="GE63" s="13">
        <v>0</v>
      </c>
      <c r="GF63" s="15">
        <v>0</v>
      </c>
      <c r="GG63" s="15">
        <v>0</v>
      </c>
      <c r="GH63" s="16">
        <v>0</v>
      </c>
      <c r="GI63" s="17">
        <v>0</v>
      </c>
      <c r="GJ63" s="14">
        <v>0</v>
      </c>
      <c r="GK63" s="17">
        <v>0</v>
      </c>
      <c r="GL63" s="18">
        <v>0</v>
      </c>
      <c r="GM63" s="22">
        <v>0</v>
      </c>
      <c r="GN63" s="22">
        <v>0</v>
      </c>
      <c r="GO63" s="25">
        <f>SUM(GB63:GN63)</f>
        <v>0</v>
      </c>
      <c r="GP63" s="107"/>
      <c r="GQ63" s="298"/>
      <c r="GR63" s="305"/>
      <c r="GS63" s="20" t="s">
        <v>25</v>
      </c>
      <c r="GT63" s="12">
        <v>0</v>
      </c>
      <c r="GU63" s="18">
        <v>0</v>
      </c>
      <c r="GV63" s="12">
        <v>0</v>
      </c>
      <c r="GW63" s="13">
        <v>0</v>
      </c>
      <c r="GX63" s="15">
        <v>0</v>
      </c>
      <c r="GY63" s="15">
        <v>0</v>
      </c>
      <c r="GZ63" s="16">
        <v>0</v>
      </c>
      <c r="HA63" s="17">
        <v>0</v>
      </c>
      <c r="HB63" s="14">
        <v>0</v>
      </c>
      <c r="HC63" s="17">
        <v>0</v>
      </c>
      <c r="HD63" s="18">
        <v>0</v>
      </c>
      <c r="HE63" s="22">
        <v>0</v>
      </c>
      <c r="HF63" s="22">
        <v>0</v>
      </c>
      <c r="HG63" s="25">
        <f>SUM(GT63:HF63)</f>
        <v>0</v>
      </c>
      <c r="HH63" s="107"/>
      <c r="HI63" s="298"/>
      <c r="HJ63" s="305"/>
      <c r="HK63" s="20" t="s">
        <v>25</v>
      </c>
      <c r="HL63" s="12">
        <f t="shared" si="283"/>
        <v>0</v>
      </c>
      <c r="HM63" s="14">
        <f t="shared" si="284"/>
        <v>0</v>
      </c>
      <c r="HN63" s="17">
        <f t="shared" si="285"/>
        <v>0</v>
      </c>
      <c r="HO63" s="13">
        <f t="shared" si="286"/>
        <v>0</v>
      </c>
      <c r="HP63" s="13">
        <f t="shared" si="287"/>
        <v>0</v>
      </c>
      <c r="HQ63" s="13">
        <f t="shared" si="288"/>
        <v>0</v>
      </c>
      <c r="HR63" s="14">
        <f t="shared" si="289"/>
        <v>0</v>
      </c>
      <c r="HS63" s="17">
        <f t="shared" si="290"/>
        <v>0</v>
      </c>
      <c r="HT63" s="14">
        <f t="shared" si="291"/>
        <v>0</v>
      </c>
      <c r="HU63" s="17">
        <f t="shared" si="292"/>
        <v>0</v>
      </c>
      <c r="HV63" s="14">
        <f t="shared" si="293"/>
        <v>0</v>
      </c>
      <c r="HW63" s="45">
        <f t="shared" si="294"/>
        <v>0</v>
      </c>
      <c r="HX63" s="45">
        <f t="shared" si="295"/>
        <v>0</v>
      </c>
      <c r="HY63" s="39">
        <f>SUM(HL63:HX63)</f>
        <v>0</v>
      </c>
      <c r="HZ63" s="28"/>
    </row>
    <row r="64" spans="1:234" s="11" customFormat="1" ht="20.100000000000001" customHeight="1" thickTop="1" thickBot="1" x14ac:dyDescent="0.25">
      <c r="A64" s="298"/>
      <c r="B64" s="295" t="s">
        <v>26</v>
      </c>
      <c r="C64" s="296"/>
      <c r="D64" s="306">
        <f>SUM(D62:E63)</f>
        <v>0</v>
      </c>
      <c r="E64" s="307"/>
      <c r="F64" s="306">
        <f>SUM(F62:J63)</f>
        <v>0</v>
      </c>
      <c r="G64" s="368"/>
      <c r="H64" s="368"/>
      <c r="I64" s="368"/>
      <c r="J64" s="307"/>
      <c r="K64" s="306">
        <f>SUM(K62:L63)</f>
        <v>0</v>
      </c>
      <c r="L64" s="307"/>
      <c r="M64" s="306">
        <f>SUM(M62:N63)</f>
        <v>0</v>
      </c>
      <c r="N64" s="307"/>
      <c r="O64" s="94">
        <f>SUM(O62:O63)</f>
        <v>0</v>
      </c>
      <c r="P64" s="94">
        <f>SUM(P62:P63)</f>
        <v>0</v>
      </c>
      <c r="Q64" s="126">
        <f>SUM(Q62:Q63)</f>
        <v>0</v>
      </c>
      <c r="R64" s="133"/>
      <c r="S64" s="298"/>
      <c r="T64" s="295" t="s">
        <v>26</v>
      </c>
      <c r="U64" s="296"/>
      <c r="V64" s="306">
        <f>SUM(V62:W63)</f>
        <v>0</v>
      </c>
      <c r="W64" s="307"/>
      <c r="X64" s="306">
        <f>SUM(X62:AB63)</f>
        <v>0</v>
      </c>
      <c r="Y64" s="368"/>
      <c r="Z64" s="368"/>
      <c r="AA64" s="368"/>
      <c r="AB64" s="307"/>
      <c r="AC64" s="306">
        <f>SUM(AC62:AD63)</f>
        <v>0</v>
      </c>
      <c r="AD64" s="307"/>
      <c r="AE64" s="306">
        <f>SUM(AE62:AF63)</f>
        <v>0</v>
      </c>
      <c r="AF64" s="307"/>
      <c r="AG64" s="94">
        <f>SUM(AG62:AG63)</f>
        <v>0</v>
      </c>
      <c r="AH64" s="94">
        <f>SUM(AH62:AH63)</f>
        <v>0</v>
      </c>
      <c r="AI64" s="126">
        <f>SUM(AI62:AI63)</f>
        <v>0</v>
      </c>
      <c r="AJ64" s="133"/>
      <c r="AK64" s="298"/>
      <c r="AL64" s="295" t="s">
        <v>26</v>
      </c>
      <c r="AM64" s="296"/>
      <c r="AN64" s="306">
        <f>SUM(AN62:AO63)</f>
        <v>0</v>
      </c>
      <c r="AO64" s="307"/>
      <c r="AP64" s="306">
        <f>SUM(AP62:AT63)</f>
        <v>0</v>
      </c>
      <c r="AQ64" s="368"/>
      <c r="AR64" s="368"/>
      <c r="AS64" s="368"/>
      <c r="AT64" s="307"/>
      <c r="AU64" s="306">
        <f>SUM(AU62:AV63)</f>
        <v>0</v>
      </c>
      <c r="AV64" s="307"/>
      <c r="AW64" s="306">
        <f>SUM(AW62:AX63)</f>
        <v>0</v>
      </c>
      <c r="AX64" s="307"/>
      <c r="AY64" s="94">
        <f>SUM(AY62:AY63)</f>
        <v>0</v>
      </c>
      <c r="AZ64" s="94">
        <f>SUM(AZ62:AZ63)</f>
        <v>0</v>
      </c>
      <c r="BA64" s="126">
        <f>SUM(BA62:BA63)</f>
        <v>0</v>
      </c>
      <c r="BB64" s="133"/>
      <c r="BC64" s="298"/>
      <c r="BD64" s="295" t="s">
        <v>26</v>
      </c>
      <c r="BE64" s="296"/>
      <c r="BF64" s="306">
        <f>SUM(BF62:BG63)</f>
        <v>0</v>
      </c>
      <c r="BG64" s="307"/>
      <c r="BH64" s="306">
        <f>SUM(BH62:BL63)</f>
        <v>0</v>
      </c>
      <c r="BI64" s="368"/>
      <c r="BJ64" s="368"/>
      <c r="BK64" s="368"/>
      <c r="BL64" s="307"/>
      <c r="BM64" s="306">
        <f>SUM(BM62:BN63)</f>
        <v>0</v>
      </c>
      <c r="BN64" s="307"/>
      <c r="BO64" s="306">
        <f>SUM(BO62:BP63)</f>
        <v>0</v>
      </c>
      <c r="BP64" s="307"/>
      <c r="BQ64" s="94">
        <f>SUM(BQ62:BQ63)</f>
        <v>0</v>
      </c>
      <c r="BR64" s="94">
        <f>SUM(BR62:BR63)</f>
        <v>0</v>
      </c>
      <c r="BS64" s="126">
        <f>SUM(BS62:BS63)</f>
        <v>0</v>
      </c>
      <c r="BT64" s="133"/>
      <c r="BU64" s="298"/>
      <c r="BV64" s="295" t="s">
        <v>26</v>
      </c>
      <c r="BW64" s="296"/>
      <c r="BX64" s="306">
        <f>SUM(BX62:BY63)</f>
        <v>0</v>
      </c>
      <c r="BY64" s="307"/>
      <c r="BZ64" s="306">
        <f>SUM(BZ62:CD63)</f>
        <v>0</v>
      </c>
      <c r="CA64" s="368"/>
      <c r="CB64" s="368"/>
      <c r="CC64" s="368"/>
      <c r="CD64" s="307"/>
      <c r="CE64" s="306">
        <f>SUM(CE62:CF63)</f>
        <v>0</v>
      </c>
      <c r="CF64" s="307"/>
      <c r="CG64" s="306">
        <f>SUM(CG62:CH63)</f>
        <v>0</v>
      </c>
      <c r="CH64" s="307"/>
      <c r="CI64" s="94">
        <f>SUM(CI62:CI63)</f>
        <v>0</v>
      </c>
      <c r="CJ64" s="94">
        <f>SUM(CJ62:CJ63)</f>
        <v>0</v>
      </c>
      <c r="CK64" s="126">
        <f>SUM(CK62:CK63)</f>
        <v>0</v>
      </c>
      <c r="CL64" s="133"/>
      <c r="CM64" s="298"/>
      <c r="CN64" s="295" t="s">
        <v>26</v>
      </c>
      <c r="CO64" s="296"/>
      <c r="CP64" s="306">
        <f>SUM(CP62:CQ63)</f>
        <v>0</v>
      </c>
      <c r="CQ64" s="307"/>
      <c r="CR64" s="306">
        <f>SUM(CR62:CV63)</f>
        <v>0</v>
      </c>
      <c r="CS64" s="368"/>
      <c r="CT64" s="368"/>
      <c r="CU64" s="368"/>
      <c r="CV64" s="307"/>
      <c r="CW64" s="306">
        <f>SUM(CW62:CX63)</f>
        <v>0</v>
      </c>
      <c r="CX64" s="307"/>
      <c r="CY64" s="306">
        <f>SUM(CY62:CZ63)</f>
        <v>0</v>
      </c>
      <c r="CZ64" s="307"/>
      <c r="DA64" s="94">
        <f>SUM(DA62:DA63)</f>
        <v>0</v>
      </c>
      <c r="DB64" s="94">
        <f>SUM(DB62:DB63)</f>
        <v>0</v>
      </c>
      <c r="DC64" s="26">
        <f>SUM(DC62:DC63)</f>
        <v>0</v>
      </c>
      <c r="DD64" s="107"/>
      <c r="DE64" s="298"/>
      <c r="DF64" s="295" t="s">
        <v>26</v>
      </c>
      <c r="DG64" s="296"/>
      <c r="DH64" s="375">
        <v>0</v>
      </c>
      <c r="DI64" s="377"/>
      <c r="DJ64" s="375">
        <v>0</v>
      </c>
      <c r="DK64" s="376"/>
      <c r="DL64" s="376"/>
      <c r="DM64" s="376"/>
      <c r="DN64" s="377"/>
      <c r="DO64" s="375">
        <v>0</v>
      </c>
      <c r="DP64" s="377"/>
      <c r="DQ64" s="375">
        <v>0</v>
      </c>
      <c r="DR64" s="377"/>
      <c r="DS64" s="167">
        <v>0</v>
      </c>
      <c r="DT64" s="167">
        <v>0</v>
      </c>
      <c r="DU64" s="210">
        <v>0</v>
      </c>
      <c r="DV64" s="107"/>
      <c r="DW64" s="298"/>
      <c r="DX64" s="295" t="s">
        <v>26</v>
      </c>
      <c r="DY64" s="296"/>
      <c r="DZ64" s="359">
        <f>SUM(DZ62:EA63)</f>
        <v>0</v>
      </c>
      <c r="EA64" s="361"/>
      <c r="EB64" s="359">
        <f>SUM(EB62:EF63)</f>
        <v>0</v>
      </c>
      <c r="EC64" s="360"/>
      <c r="ED64" s="360"/>
      <c r="EE64" s="360"/>
      <c r="EF64" s="361"/>
      <c r="EG64" s="359">
        <f>SUM(EG62:EH63)</f>
        <v>0</v>
      </c>
      <c r="EH64" s="361"/>
      <c r="EI64" s="359">
        <f>SUM(EI62:EJ63)</f>
        <v>0</v>
      </c>
      <c r="EJ64" s="361"/>
      <c r="EK64" s="229">
        <f t="shared" ref="EK64:EM64" si="296">SUM(EK62:EK63)</f>
        <v>0</v>
      </c>
      <c r="EL64" s="229">
        <f t="shared" si="296"/>
        <v>0</v>
      </c>
      <c r="EM64" s="230">
        <f t="shared" si="296"/>
        <v>0</v>
      </c>
      <c r="EN64" s="107"/>
      <c r="EO64" s="298"/>
      <c r="EP64" s="295" t="s">
        <v>26</v>
      </c>
      <c r="EQ64" s="296"/>
      <c r="ER64" s="306">
        <f>SUM(ER62:ES63)</f>
        <v>0</v>
      </c>
      <c r="ES64" s="307"/>
      <c r="ET64" s="306">
        <f>SUM(ET62:EX63)</f>
        <v>0</v>
      </c>
      <c r="EU64" s="368"/>
      <c r="EV64" s="368"/>
      <c r="EW64" s="368"/>
      <c r="EX64" s="307"/>
      <c r="EY64" s="306">
        <f>SUM(EY62:EZ63)</f>
        <v>0</v>
      </c>
      <c r="EZ64" s="307"/>
      <c r="FA64" s="306">
        <f>SUM(FA62:FB63)</f>
        <v>0</v>
      </c>
      <c r="FB64" s="307"/>
      <c r="FC64" s="94">
        <f>SUM(FC62:FC63)</f>
        <v>0</v>
      </c>
      <c r="FD64" s="94">
        <f>SUM(FD62:FD63)</f>
        <v>0</v>
      </c>
      <c r="FE64" s="26">
        <f>SUM(FE62:FE63)</f>
        <v>0</v>
      </c>
      <c r="FF64" s="107"/>
      <c r="FG64" s="298"/>
      <c r="FH64" s="295" t="s">
        <v>26</v>
      </c>
      <c r="FI64" s="296"/>
      <c r="FJ64" s="306">
        <f>SUM(FJ62:FK63)</f>
        <v>0</v>
      </c>
      <c r="FK64" s="307"/>
      <c r="FL64" s="306">
        <f>SUM(FL62:FP63)</f>
        <v>0</v>
      </c>
      <c r="FM64" s="368"/>
      <c r="FN64" s="368"/>
      <c r="FO64" s="368"/>
      <c r="FP64" s="307"/>
      <c r="FQ64" s="306">
        <f>SUM(FQ62:FR63)</f>
        <v>0</v>
      </c>
      <c r="FR64" s="307"/>
      <c r="FS64" s="306">
        <f>SUM(FS62:FT63)</f>
        <v>0</v>
      </c>
      <c r="FT64" s="307"/>
      <c r="FU64" s="94">
        <f>SUM(FU62:FU63)</f>
        <v>0</v>
      </c>
      <c r="FV64" s="94">
        <f>SUM(FV62:FV63)</f>
        <v>0</v>
      </c>
      <c r="FW64" s="26">
        <f>SUM(FW62:FW63)</f>
        <v>0</v>
      </c>
      <c r="FX64" s="107"/>
      <c r="FY64" s="298"/>
      <c r="FZ64" s="295" t="s">
        <v>26</v>
      </c>
      <c r="GA64" s="296"/>
      <c r="GB64" s="306">
        <f>SUM(GB62:GC63)</f>
        <v>0</v>
      </c>
      <c r="GC64" s="307"/>
      <c r="GD64" s="306">
        <f>SUM(GD62:GH63)</f>
        <v>0</v>
      </c>
      <c r="GE64" s="368"/>
      <c r="GF64" s="368"/>
      <c r="GG64" s="368"/>
      <c r="GH64" s="307"/>
      <c r="GI64" s="306">
        <f>SUM(GI62:GJ63)</f>
        <v>0</v>
      </c>
      <c r="GJ64" s="307"/>
      <c r="GK64" s="306">
        <f>SUM(GK62:GL63)</f>
        <v>0</v>
      </c>
      <c r="GL64" s="307"/>
      <c r="GM64" s="94">
        <f>SUM(GM62:GM63)</f>
        <v>0</v>
      </c>
      <c r="GN64" s="94">
        <f>SUM(GN62:GN63)</f>
        <v>0</v>
      </c>
      <c r="GO64" s="26">
        <f>SUM(GO62:GO63)</f>
        <v>0</v>
      </c>
      <c r="GP64" s="107"/>
      <c r="GQ64" s="298"/>
      <c r="GR64" s="295" t="s">
        <v>26</v>
      </c>
      <c r="GS64" s="296"/>
      <c r="GT64" s="306">
        <f>SUM(GT62:GU63)</f>
        <v>0</v>
      </c>
      <c r="GU64" s="307"/>
      <c r="GV64" s="306">
        <f>SUM(GV62:GZ63)</f>
        <v>0</v>
      </c>
      <c r="GW64" s="368"/>
      <c r="GX64" s="368"/>
      <c r="GY64" s="368"/>
      <c r="GZ64" s="307"/>
      <c r="HA64" s="306">
        <f>SUM(HA62:HB63)</f>
        <v>0</v>
      </c>
      <c r="HB64" s="307"/>
      <c r="HC64" s="306">
        <f>SUM(HC62:HD63)</f>
        <v>0</v>
      </c>
      <c r="HD64" s="307"/>
      <c r="HE64" s="94">
        <f>SUM(HE62:HE63)</f>
        <v>0</v>
      </c>
      <c r="HF64" s="94">
        <f>SUM(HF62:HF63)</f>
        <v>0</v>
      </c>
      <c r="HG64" s="26">
        <f>SUM(HG62:HG63)</f>
        <v>0</v>
      </c>
      <c r="HH64" s="107"/>
      <c r="HI64" s="298"/>
      <c r="HJ64" s="295" t="s">
        <v>26</v>
      </c>
      <c r="HK64" s="313"/>
      <c r="HL64" s="306">
        <f>SUM(HL62:HM63)</f>
        <v>0</v>
      </c>
      <c r="HM64" s="307"/>
      <c r="HN64" s="306">
        <f>SUM(HN62:HR63)</f>
        <v>0</v>
      </c>
      <c r="HO64" s="368"/>
      <c r="HP64" s="368"/>
      <c r="HQ64" s="368"/>
      <c r="HR64" s="307"/>
      <c r="HS64" s="306">
        <f>SUM(HS62:HT63)</f>
        <v>0</v>
      </c>
      <c r="HT64" s="307"/>
      <c r="HU64" s="306">
        <f>SUM(HU62:HV63)</f>
        <v>0</v>
      </c>
      <c r="HV64" s="307"/>
      <c r="HW64" s="43">
        <f>SUM(HW62:HW63)</f>
        <v>0</v>
      </c>
      <c r="HX64" s="43">
        <f>SUM(HX62:HX63)</f>
        <v>0</v>
      </c>
      <c r="HY64" s="26">
        <f>SUM(HY62:HY63)</f>
        <v>0</v>
      </c>
      <c r="HZ64" s="28"/>
    </row>
    <row r="65" spans="1:234" s="11" customFormat="1" ht="20.100000000000001" customHeight="1" thickBot="1" x14ac:dyDescent="0.25">
      <c r="A65" s="298"/>
      <c r="B65" s="311" t="s">
        <v>27</v>
      </c>
      <c r="C65" s="19" t="s">
        <v>24</v>
      </c>
      <c r="D65" s="8">
        <v>0</v>
      </c>
      <c r="E65" s="33">
        <v>0</v>
      </c>
      <c r="F65" s="8">
        <v>0</v>
      </c>
      <c r="G65" s="35">
        <v>0</v>
      </c>
      <c r="H65" s="36">
        <v>0</v>
      </c>
      <c r="I65" s="85">
        <v>0</v>
      </c>
      <c r="J65" s="37">
        <v>0</v>
      </c>
      <c r="K65" s="34">
        <v>0</v>
      </c>
      <c r="L65" s="9">
        <v>0</v>
      </c>
      <c r="M65" s="10">
        <v>0</v>
      </c>
      <c r="N65" s="86">
        <v>0</v>
      </c>
      <c r="O65" s="21">
        <v>0</v>
      </c>
      <c r="P65" s="21">
        <v>0</v>
      </c>
      <c r="Q65" s="124">
        <f>SUM(D65:P65)</f>
        <v>0</v>
      </c>
      <c r="R65" s="133"/>
      <c r="S65" s="298"/>
      <c r="T65" s="311" t="s">
        <v>27</v>
      </c>
      <c r="U65" s="19" t="s">
        <v>24</v>
      </c>
      <c r="V65" s="8">
        <v>0</v>
      </c>
      <c r="W65" s="33">
        <v>0</v>
      </c>
      <c r="X65" s="8">
        <v>0</v>
      </c>
      <c r="Y65" s="35">
        <v>0</v>
      </c>
      <c r="Z65" s="36">
        <v>0</v>
      </c>
      <c r="AA65" s="85">
        <v>0</v>
      </c>
      <c r="AB65" s="37">
        <v>0</v>
      </c>
      <c r="AC65" s="34">
        <v>0</v>
      </c>
      <c r="AD65" s="9">
        <v>0</v>
      </c>
      <c r="AE65" s="10">
        <v>0</v>
      </c>
      <c r="AF65" s="86">
        <v>0</v>
      </c>
      <c r="AG65" s="21">
        <v>0</v>
      </c>
      <c r="AH65" s="21">
        <v>0</v>
      </c>
      <c r="AI65" s="124">
        <f>SUM(V65:AH65)</f>
        <v>0</v>
      </c>
      <c r="AJ65" s="133"/>
      <c r="AK65" s="298"/>
      <c r="AL65" s="311" t="s">
        <v>27</v>
      </c>
      <c r="AM65" s="19" t="s">
        <v>24</v>
      </c>
      <c r="AN65" s="8">
        <v>0</v>
      </c>
      <c r="AO65" s="33">
        <v>0</v>
      </c>
      <c r="AP65" s="8">
        <v>0</v>
      </c>
      <c r="AQ65" s="35">
        <v>0</v>
      </c>
      <c r="AR65" s="36">
        <v>0</v>
      </c>
      <c r="AS65" s="85">
        <v>0</v>
      </c>
      <c r="AT65" s="37">
        <v>0</v>
      </c>
      <c r="AU65" s="34">
        <v>0</v>
      </c>
      <c r="AV65" s="9">
        <v>0</v>
      </c>
      <c r="AW65" s="10">
        <v>0</v>
      </c>
      <c r="AX65" s="86">
        <v>0</v>
      </c>
      <c r="AY65" s="21">
        <v>0</v>
      </c>
      <c r="AZ65" s="21">
        <v>0</v>
      </c>
      <c r="BA65" s="124">
        <f>SUM(AN65:AZ65)</f>
        <v>0</v>
      </c>
      <c r="BB65" s="133"/>
      <c r="BC65" s="298"/>
      <c r="BD65" s="311" t="s">
        <v>27</v>
      </c>
      <c r="BE65" s="19" t="s">
        <v>24</v>
      </c>
      <c r="BF65" s="8">
        <v>0</v>
      </c>
      <c r="BG65" s="33">
        <v>0</v>
      </c>
      <c r="BH65" s="8">
        <v>0</v>
      </c>
      <c r="BI65" s="35">
        <v>0</v>
      </c>
      <c r="BJ65" s="36">
        <v>0</v>
      </c>
      <c r="BK65" s="85">
        <v>0</v>
      </c>
      <c r="BL65" s="37">
        <v>0</v>
      </c>
      <c r="BM65" s="34">
        <v>0</v>
      </c>
      <c r="BN65" s="9">
        <v>0</v>
      </c>
      <c r="BO65" s="10">
        <v>0</v>
      </c>
      <c r="BP65" s="86">
        <v>0</v>
      </c>
      <c r="BQ65" s="21">
        <v>0</v>
      </c>
      <c r="BR65" s="21">
        <v>0</v>
      </c>
      <c r="BS65" s="124">
        <f>SUM(BF65:BR65)</f>
        <v>0</v>
      </c>
      <c r="BT65" s="133"/>
      <c r="BU65" s="298"/>
      <c r="BV65" s="311" t="s">
        <v>27</v>
      </c>
      <c r="BW65" s="19" t="s">
        <v>24</v>
      </c>
      <c r="BX65" s="8">
        <v>0</v>
      </c>
      <c r="BY65" s="33">
        <v>0</v>
      </c>
      <c r="BZ65" s="8">
        <v>0</v>
      </c>
      <c r="CA65" s="35">
        <v>0</v>
      </c>
      <c r="CB65" s="36">
        <v>0</v>
      </c>
      <c r="CC65" s="85">
        <v>0</v>
      </c>
      <c r="CD65" s="37">
        <v>0</v>
      </c>
      <c r="CE65" s="34">
        <v>0</v>
      </c>
      <c r="CF65" s="9">
        <v>0</v>
      </c>
      <c r="CG65" s="10">
        <v>0</v>
      </c>
      <c r="CH65" s="86">
        <v>0</v>
      </c>
      <c r="CI65" s="21">
        <v>0</v>
      </c>
      <c r="CJ65" s="21">
        <v>0</v>
      </c>
      <c r="CK65" s="124">
        <f>SUM(BX65:CJ65)</f>
        <v>0</v>
      </c>
      <c r="CL65" s="133"/>
      <c r="CM65" s="298"/>
      <c r="CN65" s="311" t="s">
        <v>27</v>
      </c>
      <c r="CO65" s="19" t="s">
        <v>24</v>
      </c>
      <c r="CP65" s="8">
        <v>0</v>
      </c>
      <c r="CQ65" s="33">
        <v>0</v>
      </c>
      <c r="CR65" s="8">
        <v>0</v>
      </c>
      <c r="CS65" s="35">
        <v>0</v>
      </c>
      <c r="CT65" s="36">
        <v>0</v>
      </c>
      <c r="CU65" s="85">
        <v>0</v>
      </c>
      <c r="CV65" s="37">
        <v>0</v>
      </c>
      <c r="CW65" s="34">
        <v>0</v>
      </c>
      <c r="CX65" s="9">
        <v>0</v>
      </c>
      <c r="CY65" s="10">
        <v>0</v>
      </c>
      <c r="CZ65" s="86">
        <v>0</v>
      </c>
      <c r="DA65" s="21">
        <v>0</v>
      </c>
      <c r="DB65" s="21">
        <v>0</v>
      </c>
      <c r="DC65" s="24">
        <f>SUM(CP65:DB65)</f>
        <v>0</v>
      </c>
      <c r="DD65" s="107"/>
      <c r="DE65" s="298"/>
      <c r="DF65" s="311" t="s">
        <v>27</v>
      </c>
      <c r="DG65" s="19" t="s">
        <v>24</v>
      </c>
      <c r="DH65" s="168">
        <v>0</v>
      </c>
      <c r="DI65" s="169">
        <v>0</v>
      </c>
      <c r="DJ65" s="170">
        <v>0</v>
      </c>
      <c r="DK65" s="170">
        <v>0</v>
      </c>
      <c r="DL65" s="170">
        <v>0</v>
      </c>
      <c r="DM65" s="171">
        <v>0</v>
      </c>
      <c r="DN65" s="169">
        <v>0</v>
      </c>
      <c r="DO65" s="170">
        <v>0</v>
      </c>
      <c r="DP65" s="169">
        <v>0</v>
      </c>
      <c r="DQ65" s="170">
        <v>0</v>
      </c>
      <c r="DR65" s="172">
        <v>0</v>
      </c>
      <c r="DS65" s="173">
        <v>0</v>
      </c>
      <c r="DT65" s="173">
        <v>0</v>
      </c>
      <c r="DU65" s="211">
        <v>0</v>
      </c>
      <c r="DV65" s="107"/>
      <c r="DW65" s="298"/>
      <c r="DX65" s="311" t="s">
        <v>27</v>
      </c>
      <c r="DY65" s="19" t="s">
        <v>24</v>
      </c>
      <c r="DZ65" s="233">
        <v>0</v>
      </c>
      <c r="EA65" s="234">
        <v>0</v>
      </c>
      <c r="EB65" s="233">
        <v>0</v>
      </c>
      <c r="EC65" s="235">
        <v>0</v>
      </c>
      <c r="ED65" s="236">
        <v>0</v>
      </c>
      <c r="EE65" s="237">
        <v>0</v>
      </c>
      <c r="EF65" s="238">
        <v>0</v>
      </c>
      <c r="EG65" s="239">
        <v>0</v>
      </c>
      <c r="EH65" s="240">
        <v>0</v>
      </c>
      <c r="EI65" s="241">
        <v>0</v>
      </c>
      <c r="EJ65" s="242">
        <v>0</v>
      </c>
      <c r="EK65" s="243">
        <v>0</v>
      </c>
      <c r="EL65" s="243">
        <v>0</v>
      </c>
      <c r="EM65" s="223">
        <f t="shared" ref="EM65:EM66" si="297">SUM(DZ65:EL65)</f>
        <v>0</v>
      </c>
      <c r="EN65" s="107"/>
      <c r="EO65" s="298"/>
      <c r="EP65" s="311" t="s">
        <v>27</v>
      </c>
      <c r="EQ65" s="19" t="s">
        <v>24</v>
      </c>
      <c r="ER65" s="8">
        <v>0</v>
      </c>
      <c r="ES65" s="33">
        <v>0</v>
      </c>
      <c r="ET65" s="8">
        <v>0</v>
      </c>
      <c r="EU65" s="35">
        <v>0</v>
      </c>
      <c r="EV65" s="36">
        <v>0</v>
      </c>
      <c r="EW65" s="85">
        <v>0</v>
      </c>
      <c r="EX65" s="37">
        <v>0</v>
      </c>
      <c r="EY65" s="34">
        <v>0</v>
      </c>
      <c r="EZ65" s="9">
        <v>0</v>
      </c>
      <c r="FA65" s="10">
        <v>0</v>
      </c>
      <c r="FB65" s="86">
        <v>0</v>
      </c>
      <c r="FC65" s="21">
        <v>0</v>
      </c>
      <c r="FD65" s="21">
        <v>0</v>
      </c>
      <c r="FE65" s="24">
        <f>SUM(ER65:FD65)</f>
        <v>0</v>
      </c>
      <c r="FF65" s="107"/>
      <c r="FG65" s="298"/>
      <c r="FH65" s="311" t="s">
        <v>27</v>
      </c>
      <c r="FI65" s="19" t="s">
        <v>24</v>
      </c>
      <c r="FJ65" s="8">
        <v>0</v>
      </c>
      <c r="FK65" s="33">
        <v>0</v>
      </c>
      <c r="FL65" s="8">
        <v>0</v>
      </c>
      <c r="FM65" s="35">
        <v>0</v>
      </c>
      <c r="FN65" s="36">
        <v>0</v>
      </c>
      <c r="FO65" s="85">
        <v>0</v>
      </c>
      <c r="FP65" s="37">
        <v>0</v>
      </c>
      <c r="FQ65" s="34">
        <v>0</v>
      </c>
      <c r="FR65" s="9">
        <v>0</v>
      </c>
      <c r="FS65" s="10">
        <v>0</v>
      </c>
      <c r="FT65" s="86">
        <v>0</v>
      </c>
      <c r="FU65" s="21">
        <v>0</v>
      </c>
      <c r="FV65" s="21">
        <v>0</v>
      </c>
      <c r="FW65" s="24">
        <f>SUM(FJ65:FV65)</f>
        <v>0</v>
      </c>
      <c r="FX65" s="107"/>
      <c r="FY65" s="298"/>
      <c r="FZ65" s="311" t="s">
        <v>27</v>
      </c>
      <c r="GA65" s="19" t="s">
        <v>24</v>
      </c>
      <c r="GB65" s="8">
        <v>0</v>
      </c>
      <c r="GC65" s="33">
        <v>0</v>
      </c>
      <c r="GD65" s="8">
        <v>0</v>
      </c>
      <c r="GE65" s="35">
        <v>0</v>
      </c>
      <c r="GF65" s="36">
        <v>0</v>
      </c>
      <c r="GG65" s="85">
        <v>0</v>
      </c>
      <c r="GH65" s="37">
        <v>0</v>
      </c>
      <c r="GI65" s="34">
        <v>0</v>
      </c>
      <c r="GJ65" s="9">
        <v>0</v>
      </c>
      <c r="GK65" s="10">
        <v>0</v>
      </c>
      <c r="GL65" s="86">
        <v>0</v>
      </c>
      <c r="GM65" s="21">
        <v>0</v>
      </c>
      <c r="GN65" s="21">
        <v>0</v>
      </c>
      <c r="GO65" s="24">
        <f>SUM(GB65:GN65)</f>
        <v>0</v>
      </c>
      <c r="GP65" s="107"/>
      <c r="GQ65" s="298"/>
      <c r="GR65" s="311" t="s">
        <v>27</v>
      </c>
      <c r="GS65" s="19" t="s">
        <v>24</v>
      </c>
      <c r="GT65" s="8">
        <v>0</v>
      </c>
      <c r="GU65" s="33">
        <v>0</v>
      </c>
      <c r="GV65" s="8">
        <v>0</v>
      </c>
      <c r="GW65" s="35">
        <v>0</v>
      </c>
      <c r="GX65" s="36">
        <v>0</v>
      </c>
      <c r="GY65" s="85">
        <v>0</v>
      </c>
      <c r="GZ65" s="37">
        <v>0</v>
      </c>
      <c r="HA65" s="34">
        <v>0</v>
      </c>
      <c r="HB65" s="9">
        <v>0</v>
      </c>
      <c r="HC65" s="10">
        <v>0</v>
      </c>
      <c r="HD65" s="86">
        <v>0</v>
      </c>
      <c r="HE65" s="21">
        <v>0</v>
      </c>
      <c r="HF65" s="21">
        <v>0</v>
      </c>
      <c r="HG65" s="24">
        <f>SUM(GT65:HF65)</f>
        <v>0</v>
      </c>
      <c r="HH65" s="107"/>
      <c r="HI65" s="298"/>
      <c r="HJ65" s="355" t="s">
        <v>27</v>
      </c>
      <c r="HK65" s="19" t="s">
        <v>24</v>
      </c>
      <c r="HL65" s="8">
        <f t="shared" ref="HL65:HL66" si="298">SUM(D65+V65+AN65+BF65+BX65+CP65+DH65+DZ65+ER65+FJ65+GB65+GT65)</f>
        <v>0</v>
      </c>
      <c r="HM65" s="9">
        <f t="shared" ref="HM65:HM66" si="299">SUM(E65+W65+AO65+BG65+BY65+CQ65+DI65+EA65+ES65+FK65+GC65+GU65)</f>
        <v>0</v>
      </c>
      <c r="HN65" s="34">
        <f t="shared" ref="HN65:HN66" si="300">SUM(F65+X65+AP65+BH65+BZ65+CR65+DJ65+EB65+ET65+FL65+GD65+GV65)</f>
        <v>0</v>
      </c>
      <c r="HO65" s="35">
        <f t="shared" ref="HO65:HO66" si="301">SUM(G65+Y65+AQ65+BI65+CA65+CS65+DK65+EC65+EU65+FM65+GE65+GW65)</f>
        <v>0</v>
      </c>
      <c r="HP65" s="35">
        <f t="shared" ref="HP65:HP66" si="302">SUM(H65+Z65+AR65+BJ65+CB65+CT65+DL65+ED65+EV65+FN65+GF65+GX65)</f>
        <v>0</v>
      </c>
      <c r="HQ65" s="46">
        <f t="shared" ref="HQ65:HQ66" si="303">SUM(I65+AA65+AS65+BK65+CC65+CU65+DM65+EE65+EW65+FO65+GG65+GY65)</f>
        <v>0</v>
      </c>
      <c r="HR65" s="9">
        <f t="shared" ref="HR65:HR66" si="304">SUM(J65+AB65+AT65+BL65+CD65+CV65+DN65+EF65+EX65+FP65+GH65+GZ65)</f>
        <v>0</v>
      </c>
      <c r="HS65" s="34">
        <f t="shared" ref="HS65:HS66" si="305">SUM(K65+AC65+AU65+BM65+CE65+CW65+DO65+EG65+EY65+FQ65+GI65+HA65)</f>
        <v>0</v>
      </c>
      <c r="HT65" s="9">
        <f t="shared" ref="HT65:HT66" si="306">SUM(L65+AD65+AV65+BN65+CF65+CX65+DP65+EH65+EZ65+FR65+GJ65+HB65)</f>
        <v>0</v>
      </c>
      <c r="HU65" s="34">
        <f t="shared" ref="HU65:HU66" si="307">SUM(M65+AE65+AW65+BO65+CG65+CY65+DQ65+EI65+FA65+FS65+GK65+HC65)</f>
        <v>0</v>
      </c>
      <c r="HV65" s="47">
        <f t="shared" ref="HV65:HV66" si="308">SUM(N65+AF65+AX65+BP65+CH65+CZ65+DR65+EJ65+FB65+FT65+GL65+HD65)</f>
        <v>0</v>
      </c>
      <c r="HW65" s="44">
        <f t="shared" ref="HW65:HW66" si="309">SUM(O65+AG65+AY65+BQ65+CI65+DA65+DS65+EK65+FC65+FU65+GM65+HE65)</f>
        <v>0</v>
      </c>
      <c r="HX65" s="44">
        <f t="shared" ref="HX65:HX66" si="310">SUM(P65+AH65+AZ65+BR65+CJ65+DB65+DT65+EL65+FD65+FV65+GN65+HF65)</f>
        <v>0</v>
      </c>
      <c r="HY65" s="24">
        <f>SUM(HL65:HX65)</f>
        <v>0</v>
      </c>
      <c r="HZ65" s="28"/>
    </row>
    <row r="66" spans="1:234" s="11" customFormat="1" ht="20.100000000000001" customHeight="1" thickBot="1" x14ac:dyDescent="0.25">
      <c r="A66" s="298"/>
      <c r="B66" s="312"/>
      <c r="C66" s="20" t="s">
        <v>25</v>
      </c>
      <c r="D66" s="12">
        <v>0</v>
      </c>
      <c r="E66" s="18">
        <v>0</v>
      </c>
      <c r="F66" s="12">
        <v>0</v>
      </c>
      <c r="G66" s="13">
        <v>0</v>
      </c>
      <c r="H66" s="15">
        <v>0</v>
      </c>
      <c r="I66" s="15">
        <v>0</v>
      </c>
      <c r="J66" s="16">
        <v>0</v>
      </c>
      <c r="K66" s="17">
        <v>0</v>
      </c>
      <c r="L66" s="14">
        <v>0</v>
      </c>
      <c r="M66" s="17">
        <v>0</v>
      </c>
      <c r="N66" s="18">
        <v>0</v>
      </c>
      <c r="O66" s="22">
        <v>0</v>
      </c>
      <c r="P66" s="22">
        <v>0</v>
      </c>
      <c r="Q66" s="125">
        <f>SUM(D66:P66)</f>
        <v>0</v>
      </c>
      <c r="R66" s="133"/>
      <c r="S66" s="298"/>
      <c r="T66" s="312"/>
      <c r="U66" s="20" t="s">
        <v>25</v>
      </c>
      <c r="V66" s="12">
        <v>0</v>
      </c>
      <c r="W66" s="18">
        <v>0</v>
      </c>
      <c r="X66" s="12">
        <v>0</v>
      </c>
      <c r="Y66" s="13">
        <v>0</v>
      </c>
      <c r="Z66" s="15">
        <v>0</v>
      </c>
      <c r="AA66" s="15">
        <v>0</v>
      </c>
      <c r="AB66" s="16">
        <v>0</v>
      </c>
      <c r="AC66" s="17">
        <v>0</v>
      </c>
      <c r="AD66" s="14">
        <v>0</v>
      </c>
      <c r="AE66" s="17">
        <v>0</v>
      </c>
      <c r="AF66" s="18">
        <v>0</v>
      </c>
      <c r="AG66" s="22">
        <v>0</v>
      </c>
      <c r="AH66" s="22">
        <v>0</v>
      </c>
      <c r="AI66" s="125">
        <f>SUM(V66:AH66)</f>
        <v>0</v>
      </c>
      <c r="AJ66" s="133"/>
      <c r="AK66" s="298"/>
      <c r="AL66" s="312"/>
      <c r="AM66" s="20" t="s">
        <v>25</v>
      </c>
      <c r="AN66" s="12">
        <v>0</v>
      </c>
      <c r="AO66" s="18">
        <v>0</v>
      </c>
      <c r="AP66" s="12">
        <v>0</v>
      </c>
      <c r="AQ66" s="13">
        <v>0</v>
      </c>
      <c r="AR66" s="15">
        <v>0</v>
      </c>
      <c r="AS66" s="15">
        <v>0</v>
      </c>
      <c r="AT66" s="16">
        <v>0</v>
      </c>
      <c r="AU66" s="17">
        <v>0</v>
      </c>
      <c r="AV66" s="14">
        <v>0</v>
      </c>
      <c r="AW66" s="17">
        <v>0</v>
      </c>
      <c r="AX66" s="18">
        <v>0</v>
      </c>
      <c r="AY66" s="22">
        <v>0</v>
      </c>
      <c r="AZ66" s="22">
        <v>0</v>
      </c>
      <c r="BA66" s="125">
        <f>SUM(AN66:AZ66)</f>
        <v>0</v>
      </c>
      <c r="BB66" s="133"/>
      <c r="BC66" s="298"/>
      <c r="BD66" s="312"/>
      <c r="BE66" s="20" t="s">
        <v>25</v>
      </c>
      <c r="BF66" s="12">
        <v>0</v>
      </c>
      <c r="BG66" s="18">
        <v>0</v>
      </c>
      <c r="BH66" s="12">
        <v>0</v>
      </c>
      <c r="BI66" s="13">
        <v>0</v>
      </c>
      <c r="BJ66" s="15">
        <v>0</v>
      </c>
      <c r="BK66" s="15">
        <v>0</v>
      </c>
      <c r="BL66" s="16">
        <v>0</v>
      </c>
      <c r="BM66" s="17">
        <v>0</v>
      </c>
      <c r="BN66" s="14">
        <v>0</v>
      </c>
      <c r="BO66" s="17">
        <v>0</v>
      </c>
      <c r="BP66" s="18">
        <v>0</v>
      </c>
      <c r="BQ66" s="22">
        <v>0</v>
      </c>
      <c r="BR66" s="22">
        <v>0</v>
      </c>
      <c r="BS66" s="125">
        <f>SUM(BF66:BR66)</f>
        <v>0</v>
      </c>
      <c r="BT66" s="133"/>
      <c r="BU66" s="298"/>
      <c r="BV66" s="312"/>
      <c r="BW66" s="20" t="s">
        <v>25</v>
      </c>
      <c r="BX66" s="12">
        <v>0</v>
      </c>
      <c r="BY66" s="18">
        <v>0</v>
      </c>
      <c r="BZ66" s="12">
        <v>0</v>
      </c>
      <c r="CA66" s="13">
        <v>0</v>
      </c>
      <c r="CB66" s="15">
        <v>0</v>
      </c>
      <c r="CC66" s="15">
        <v>0</v>
      </c>
      <c r="CD66" s="16">
        <v>0</v>
      </c>
      <c r="CE66" s="17">
        <v>0</v>
      </c>
      <c r="CF66" s="14">
        <v>0</v>
      </c>
      <c r="CG66" s="17">
        <v>0</v>
      </c>
      <c r="CH66" s="18">
        <v>0</v>
      </c>
      <c r="CI66" s="22">
        <v>0</v>
      </c>
      <c r="CJ66" s="22">
        <v>0</v>
      </c>
      <c r="CK66" s="125">
        <f>SUM(BX66:CJ66)</f>
        <v>0</v>
      </c>
      <c r="CL66" s="133"/>
      <c r="CM66" s="298"/>
      <c r="CN66" s="312"/>
      <c r="CO66" s="20" t="s">
        <v>25</v>
      </c>
      <c r="CP66" s="12">
        <v>0</v>
      </c>
      <c r="CQ66" s="18">
        <v>0</v>
      </c>
      <c r="CR66" s="12">
        <v>0</v>
      </c>
      <c r="CS66" s="13">
        <v>0</v>
      </c>
      <c r="CT66" s="15">
        <v>0</v>
      </c>
      <c r="CU66" s="15">
        <v>0</v>
      </c>
      <c r="CV66" s="16">
        <v>0</v>
      </c>
      <c r="CW66" s="17">
        <v>0</v>
      </c>
      <c r="CX66" s="14">
        <v>0</v>
      </c>
      <c r="CY66" s="17">
        <v>0</v>
      </c>
      <c r="CZ66" s="18">
        <v>0</v>
      </c>
      <c r="DA66" s="22">
        <v>0</v>
      </c>
      <c r="DB66" s="22">
        <v>0</v>
      </c>
      <c r="DC66" s="25">
        <f>SUM(CP66:DB66)</f>
        <v>0</v>
      </c>
      <c r="DD66" s="107"/>
      <c r="DE66" s="298"/>
      <c r="DF66" s="312"/>
      <c r="DG66" s="20" t="s">
        <v>25</v>
      </c>
      <c r="DH66" s="12">
        <v>0</v>
      </c>
      <c r="DI66" s="18">
        <v>0</v>
      </c>
      <c r="DJ66" s="12">
        <v>0</v>
      </c>
      <c r="DK66" s="13">
        <v>0</v>
      </c>
      <c r="DL66" s="15">
        <v>0</v>
      </c>
      <c r="DM66" s="15">
        <v>0</v>
      </c>
      <c r="DN66" s="16">
        <v>0</v>
      </c>
      <c r="DO66" s="17">
        <v>0</v>
      </c>
      <c r="DP66" s="14">
        <v>0</v>
      </c>
      <c r="DQ66" s="17">
        <v>0</v>
      </c>
      <c r="DR66" s="18">
        <v>0</v>
      </c>
      <c r="DS66" s="22">
        <v>0</v>
      </c>
      <c r="DT66" s="22">
        <v>0</v>
      </c>
      <c r="DU66" s="25">
        <f>SUM(DH66:DT66)</f>
        <v>0</v>
      </c>
      <c r="DV66" s="107"/>
      <c r="DW66" s="298"/>
      <c r="DX66" s="312"/>
      <c r="DY66" s="20" t="s">
        <v>25</v>
      </c>
      <c r="DZ66" s="244">
        <v>0</v>
      </c>
      <c r="EA66" s="245">
        <v>0</v>
      </c>
      <c r="EB66" s="244">
        <v>0</v>
      </c>
      <c r="EC66" s="246">
        <v>0</v>
      </c>
      <c r="ED66" s="247">
        <v>0</v>
      </c>
      <c r="EE66" s="247">
        <v>0</v>
      </c>
      <c r="EF66" s="248">
        <v>0</v>
      </c>
      <c r="EG66" s="249">
        <v>0</v>
      </c>
      <c r="EH66" s="250">
        <v>0</v>
      </c>
      <c r="EI66" s="249">
        <v>0</v>
      </c>
      <c r="EJ66" s="245">
        <v>0</v>
      </c>
      <c r="EK66" s="251">
        <v>0</v>
      </c>
      <c r="EL66" s="251">
        <v>0</v>
      </c>
      <c r="EM66" s="228">
        <f t="shared" si="297"/>
        <v>0</v>
      </c>
      <c r="EN66" s="107"/>
      <c r="EO66" s="298"/>
      <c r="EP66" s="312"/>
      <c r="EQ66" s="20" t="s">
        <v>25</v>
      </c>
      <c r="ER66" s="12">
        <v>0</v>
      </c>
      <c r="ES66" s="18">
        <v>0</v>
      </c>
      <c r="ET66" s="12">
        <v>0</v>
      </c>
      <c r="EU66" s="13">
        <v>0</v>
      </c>
      <c r="EV66" s="15">
        <v>0</v>
      </c>
      <c r="EW66" s="15">
        <v>0</v>
      </c>
      <c r="EX66" s="16">
        <v>0</v>
      </c>
      <c r="EY66" s="17">
        <v>0</v>
      </c>
      <c r="EZ66" s="14">
        <v>0</v>
      </c>
      <c r="FA66" s="17">
        <v>0</v>
      </c>
      <c r="FB66" s="18">
        <v>0</v>
      </c>
      <c r="FC66" s="22">
        <v>0</v>
      </c>
      <c r="FD66" s="22">
        <v>0</v>
      </c>
      <c r="FE66" s="25">
        <f>SUM(ER66:FD66)</f>
        <v>0</v>
      </c>
      <c r="FF66" s="107"/>
      <c r="FG66" s="298"/>
      <c r="FH66" s="312"/>
      <c r="FI66" s="20" t="s">
        <v>25</v>
      </c>
      <c r="FJ66" s="12">
        <v>0</v>
      </c>
      <c r="FK66" s="18">
        <v>0</v>
      </c>
      <c r="FL66" s="12">
        <v>0</v>
      </c>
      <c r="FM66" s="13">
        <v>0</v>
      </c>
      <c r="FN66" s="15">
        <v>0</v>
      </c>
      <c r="FO66" s="15">
        <v>0</v>
      </c>
      <c r="FP66" s="16">
        <v>0</v>
      </c>
      <c r="FQ66" s="17">
        <v>0</v>
      </c>
      <c r="FR66" s="14">
        <v>0</v>
      </c>
      <c r="FS66" s="17">
        <v>0</v>
      </c>
      <c r="FT66" s="18">
        <v>0</v>
      </c>
      <c r="FU66" s="22">
        <v>0</v>
      </c>
      <c r="FV66" s="22">
        <v>0</v>
      </c>
      <c r="FW66" s="25">
        <f>SUM(FJ66:FV66)</f>
        <v>0</v>
      </c>
      <c r="FX66" s="107"/>
      <c r="FY66" s="298"/>
      <c r="FZ66" s="312"/>
      <c r="GA66" s="20" t="s">
        <v>25</v>
      </c>
      <c r="GB66" s="12">
        <v>0</v>
      </c>
      <c r="GC66" s="18">
        <v>0</v>
      </c>
      <c r="GD66" s="12">
        <v>0</v>
      </c>
      <c r="GE66" s="13">
        <v>0</v>
      </c>
      <c r="GF66" s="15">
        <v>0</v>
      </c>
      <c r="GG66" s="15">
        <v>0</v>
      </c>
      <c r="GH66" s="16">
        <v>0</v>
      </c>
      <c r="GI66" s="17">
        <v>0</v>
      </c>
      <c r="GJ66" s="14">
        <v>0</v>
      </c>
      <c r="GK66" s="17">
        <v>0</v>
      </c>
      <c r="GL66" s="18">
        <v>0</v>
      </c>
      <c r="GM66" s="22">
        <v>0</v>
      </c>
      <c r="GN66" s="22">
        <v>0</v>
      </c>
      <c r="GO66" s="25">
        <f>SUM(GB66:GN66)</f>
        <v>0</v>
      </c>
      <c r="GP66" s="107"/>
      <c r="GQ66" s="298"/>
      <c r="GR66" s="312"/>
      <c r="GS66" s="20" t="s">
        <v>25</v>
      </c>
      <c r="GT66" s="12">
        <v>0</v>
      </c>
      <c r="GU66" s="18">
        <v>0</v>
      </c>
      <c r="GV66" s="12">
        <v>0</v>
      </c>
      <c r="GW66" s="13">
        <v>0</v>
      </c>
      <c r="GX66" s="15">
        <v>0</v>
      </c>
      <c r="GY66" s="15">
        <v>0</v>
      </c>
      <c r="GZ66" s="16">
        <v>0</v>
      </c>
      <c r="HA66" s="17">
        <v>0</v>
      </c>
      <c r="HB66" s="14">
        <v>0</v>
      </c>
      <c r="HC66" s="17">
        <v>0</v>
      </c>
      <c r="HD66" s="18">
        <v>0</v>
      </c>
      <c r="HE66" s="22">
        <v>0</v>
      </c>
      <c r="HF66" s="22">
        <v>0</v>
      </c>
      <c r="HG66" s="25">
        <f>SUM(GT66:HF66)</f>
        <v>0</v>
      </c>
      <c r="HH66" s="107"/>
      <c r="HI66" s="298"/>
      <c r="HJ66" s="356"/>
      <c r="HK66" s="20" t="s">
        <v>25</v>
      </c>
      <c r="HL66" s="12">
        <f t="shared" si="298"/>
        <v>0</v>
      </c>
      <c r="HM66" s="14">
        <f t="shared" si="299"/>
        <v>0</v>
      </c>
      <c r="HN66" s="17">
        <f t="shared" si="300"/>
        <v>0</v>
      </c>
      <c r="HO66" s="13">
        <f t="shared" si="301"/>
        <v>0</v>
      </c>
      <c r="HP66" s="13">
        <f t="shared" si="302"/>
        <v>0</v>
      </c>
      <c r="HQ66" s="13">
        <f t="shared" si="303"/>
        <v>0</v>
      </c>
      <c r="HR66" s="14">
        <f t="shared" si="304"/>
        <v>0</v>
      </c>
      <c r="HS66" s="17">
        <f t="shared" si="305"/>
        <v>0</v>
      </c>
      <c r="HT66" s="14">
        <f t="shared" si="306"/>
        <v>0</v>
      </c>
      <c r="HU66" s="17">
        <f t="shared" si="307"/>
        <v>0</v>
      </c>
      <c r="HV66" s="14">
        <f t="shared" si="308"/>
        <v>0</v>
      </c>
      <c r="HW66" s="45">
        <f t="shared" si="309"/>
        <v>0</v>
      </c>
      <c r="HX66" s="45">
        <f t="shared" si="310"/>
        <v>0</v>
      </c>
      <c r="HY66" s="25">
        <f>SUM(HL66:HX66)</f>
        <v>0</v>
      </c>
      <c r="HZ66" s="28"/>
    </row>
    <row r="67" spans="1:234" s="11" customFormat="1" ht="20.100000000000001" customHeight="1" thickBot="1" x14ac:dyDescent="0.25">
      <c r="A67" s="299"/>
      <c r="B67" s="326" t="s">
        <v>34</v>
      </c>
      <c r="C67" s="327"/>
      <c r="D67" s="306">
        <f>SUM(D65:E66)</f>
        <v>0</v>
      </c>
      <c r="E67" s="307"/>
      <c r="F67" s="306">
        <f>SUM(F65:J66)</f>
        <v>0</v>
      </c>
      <c r="G67" s="368"/>
      <c r="H67" s="368"/>
      <c r="I67" s="368"/>
      <c r="J67" s="307"/>
      <c r="K67" s="306">
        <f>SUM(K65:L66)</f>
        <v>0</v>
      </c>
      <c r="L67" s="307"/>
      <c r="M67" s="306">
        <f>SUM(M65:N66)</f>
        <v>0</v>
      </c>
      <c r="N67" s="307"/>
      <c r="O67" s="94">
        <f>SUM(O65:O66)</f>
        <v>0</v>
      </c>
      <c r="P67" s="94">
        <f>SUM(P65:P66)</f>
        <v>0</v>
      </c>
      <c r="Q67" s="126">
        <f>SUM(Q65:Q66)</f>
        <v>0</v>
      </c>
      <c r="R67" s="133"/>
      <c r="S67" s="299"/>
      <c r="T67" s="326" t="s">
        <v>34</v>
      </c>
      <c r="U67" s="327"/>
      <c r="V67" s="306">
        <f>SUM(V65:W66)</f>
        <v>0</v>
      </c>
      <c r="W67" s="307"/>
      <c r="X67" s="306">
        <f>SUM(X65:AB66)</f>
        <v>0</v>
      </c>
      <c r="Y67" s="368"/>
      <c r="Z67" s="368"/>
      <c r="AA67" s="368"/>
      <c r="AB67" s="307"/>
      <c r="AC67" s="306">
        <f>SUM(AC65:AD66)</f>
        <v>0</v>
      </c>
      <c r="AD67" s="307"/>
      <c r="AE67" s="306">
        <f>SUM(AE65:AF66)</f>
        <v>0</v>
      </c>
      <c r="AF67" s="307"/>
      <c r="AG67" s="94">
        <f>SUM(AG65:AG66)</f>
        <v>0</v>
      </c>
      <c r="AH67" s="94">
        <f>SUM(AH65:AH66)</f>
        <v>0</v>
      </c>
      <c r="AI67" s="126">
        <f>SUM(AI65:AI66)</f>
        <v>0</v>
      </c>
      <c r="AJ67" s="133"/>
      <c r="AK67" s="299"/>
      <c r="AL67" s="326" t="s">
        <v>34</v>
      </c>
      <c r="AM67" s="327"/>
      <c r="AN67" s="306">
        <f>SUM(AN65:AO66)</f>
        <v>0</v>
      </c>
      <c r="AO67" s="307"/>
      <c r="AP67" s="306">
        <f>SUM(AP65:AT66)</f>
        <v>0</v>
      </c>
      <c r="AQ67" s="368"/>
      <c r="AR67" s="368"/>
      <c r="AS67" s="368"/>
      <c r="AT67" s="307"/>
      <c r="AU67" s="306">
        <f>SUM(AU65:AV66)</f>
        <v>0</v>
      </c>
      <c r="AV67" s="307"/>
      <c r="AW67" s="306">
        <f>SUM(AW65:AX66)</f>
        <v>0</v>
      </c>
      <c r="AX67" s="307"/>
      <c r="AY67" s="94">
        <f>SUM(AY65:AY66)</f>
        <v>0</v>
      </c>
      <c r="AZ67" s="94">
        <f>SUM(AZ65:AZ66)</f>
        <v>0</v>
      </c>
      <c r="BA67" s="126">
        <f>SUM(BA65:BA66)</f>
        <v>0</v>
      </c>
      <c r="BB67" s="133"/>
      <c r="BC67" s="299"/>
      <c r="BD67" s="326" t="s">
        <v>34</v>
      </c>
      <c r="BE67" s="327"/>
      <c r="BF67" s="306">
        <f>SUM(BF65:BG66)</f>
        <v>0</v>
      </c>
      <c r="BG67" s="307"/>
      <c r="BH67" s="306">
        <f>SUM(BH65:BL66)</f>
        <v>0</v>
      </c>
      <c r="BI67" s="368"/>
      <c r="BJ67" s="368"/>
      <c r="BK67" s="368"/>
      <c r="BL67" s="307"/>
      <c r="BM67" s="306">
        <f>SUM(BM65:BN66)</f>
        <v>0</v>
      </c>
      <c r="BN67" s="307"/>
      <c r="BO67" s="306">
        <f>SUM(BO65:BP66)</f>
        <v>0</v>
      </c>
      <c r="BP67" s="307"/>
      <c r="BQ67" s="94">
        <f>SUM(BQ65:BQ66)</f>
        <v>0</v>
      </c>
      <c r="BR67" s="94">
        <f>SUM(BR65:BR66)</f>
        <v>0</v>
      </c>
      <c r="BS67" s="126">
        <f>SUM(BS65:BS66)</f>
        <v>0</v>
      </c>
      <c r="BT67" s="133"/>
      <c r="BU67" s="299"/>
      <c r="BV67" s="326" t="s">
        <v>34</v>
      </c>
      <c r="BW67" s="327"/>
      <c r="BX67" s="306">
        <f>SUM(BX65:BY66)</f>
        <v>0</v>
      </c>
      <c r="BY67" s="307"/>
      <c r="BZ67" s="306">
        <f>SUM(BZ65:CD66)</f>
        <v>0</v>
      </c>
      <c r="CA67" s="368"/>
      <c r="CB67" s="368"/>
      <c r="CC67" s="368"/>
      <c r="CD67" s="307"/>
      <c r="CE67" s="306">
        <f>SUM(CE65:CF66)</f>
        <v>0</v>
      </c>
      <c r="CF67" s="307"/>
      <c r="CG67" s="306">
        <f>SUM(CG65:CH66)</f>
        <v>0</v>
      </c>
      <c r="CH67" s="307"/>
      <c r="CI67" s="94">
        <f>SUM(CI65:CI66)</f>
        <v>0</v>
      </c>
      <c r="CJ67" s="94">
        <f>SUM(CJ65:CJ66)</f>
        <v>0</v>
      </c>
      <c r="CK67" s="126">
        <f>SUM(CK65:CK66)</f>
        <v>0</v>
      </c>
      <c r="CL67" s="133"/>
      <c r="CM67" s="299"/>
      <c r="CN67" s="326" t="s">
        <v>34</v>
      </c>
      <c r="CO67" s="327"/>
      <c r="CP67" s="306">
        <f>SUM(CP65:CQ66)</f>
        <v>0</v>
      </c>
      <c r="CQ67" s="307"/>
      <c r="CR67" s="306">
        <f>SUM(CR65:CV66)</f>
        <v>0</v>
      </c>
      <c r="CS67" s="368"/>
      <c r="CT67" s="368"/>
      <c r="CU67" s="368"/>
      <c r="CV67" s="307"/>
      <c r="CW67" s="306">
        <f>SUM(CW65:CX66)</f>
        <v>0</v>
      </c>
      <c r="CX67" s="307"/>
      <c r="CY67" s="306">
        <f>SUM(CY65:CZ66)</f>
        <v>0</v>
      </c>
      <c r="CZ67" s="307"/>
      <c r="DA67" s="94">
        <f>SUM(DA65:DA66)</f>
        <v>0</v>
      </c>
      <c r="DB67" s="94">
        <f>SUM(DB65:DB66)</f>
        <v>0</v>
      </c>
      <c r="DC67" s="26">
        <f>SUM(DC65:DC66)</f>
        <v>0</v>
      </c>
      <c r="DD67" s="107"/>
      <c r="DE67" s="299"/>
      <c r="DF67" s="326" t="s">
        <v>34</v>
      </c>
      <c r="DG67" s="327"/>
      <c r="DH67" s="306">
        <f>SUM(DH65:DI66)</f>
        <v>0</v>
      </c>
      <c r="DI67" s="307"/>
      <c r="DJ67" s="306">
        <f>SUM(DJ65:DN66)</f>
        <v>0</v>
      </c>
      <c r="DK67" s="368"/>
      <c r="DL67" s="368"/>
      <c r="DM67" s="368"/>
      <c r="DN67" s="307"/>
      <c r="DO67" s="306">
        <f>SUM(DO65:DP66)</f>
        <v>0</v>
      </c>
      <c r="DP67" s="307"/>
      <c r="DQ67" s="306">
        <f>SUM(DQ65:DR66)</f>
        <v>0</v>
      </c>
      <c r="DR67" s="307"/>
      <c r="DS67" s="94">
        <f>SUM(DS65:DS66)</f>
        <v>0</v>
      </c>
      <c r="DT67" s="94">
        <f>SUM(DT65:DT66)</f>
        <v>0</v>
      </c>
      <c r="DU67" s="26">
        <f>SUM(DU65:DU66)</f>
        <v>0</v>
      </c>
      <c r="DV67" s="107"/>
      <c r="DW67" s="299"/>
      <c r="DX67" s="326" t="s">
        <v>34</v>
      </c>
      <c r="DY67" s="327"/>
      <c r="DZ67" s="359">
        <f>SUM(DZ65:EA66)</f>
        <v>0</v>
      </c>
      <c r="EA67" s="361"/>
      <c r="EB67" s="359">
        <f>SUM(EB65:EF66)</f>
        <v>0</v>
      </c>
      <c r="EC67" s="360"/>
      <c r="ED67" s="360"/>
      <c r="EE67" s="360"/>
      <c r="EF67" s="361"/>
      <c r="EG67" s="359">
        <f>SUM(EG65:EH66)</f>
        <v>0</v>
      </c>
      <c r="EH67" s="361"/>
      <c r="EI67" s="359">
        <f>SUM(EI65:EJ66)</f>
        <v>0</v>
      </c>
      <c r="EJ67" s="361"/>
      <c r="EK67" s="229">
        <f t="shared" ref="EK67:EM67" si="311">SUM(EK65:EK66)</f>
        <v>0</v>
      </c>
      <c r="EL67" s="229">
        <f t="shared" si="311"/>
        <v>0</v>
      </c>
      <c r="EM67" s="230">
        <f t="shared" si="311"/>
        <v>0</v>
      </c>
      <c r="EN67" s="107"/>
      <c r="EO67" s="299"/>
      <c r="EP67" s="326" t="s">
        <v>34</v>
      </c>
      <c r="EQ67" s="327"/>
      <c r="ER67" s="306">
        <f>SUM(ER65:ES66)</f>
        <v>0</v>
      </c>
      <c r="ES67" s="307"/>
      <c r="ET67" s="306">
        <f>SUM(ET65:EX66)</f>
        <v>0</v>
      </c>
      <c r="EU67" s="368"/>
      <c r="EV67" s="368"/>
      <c r="EW67" s="368"/>
      <c r="EX67" s="307"/>
      <c r="EY67" s="306">
        <f>SUM(EY65:EZ66)</f>
        <v>0</v>
      </c>
      <c r="EZ67" s="307"/>
      <c r="FA67" s="306">
        <f>SUM(FA65:FB66)</f>
        <v>0</v>
      </c>
      <c r="FB67" s="307"/>
      <c r="FC67" s="94">
        <f>SUM(FC65:FC66)</f>
        <v>0</v>
      </c>
      <c r="FD67" s="94">
        <f>SUM(FD65:FD66)</f>
        <v>0</v>
      </c>
      <c r="FE67" s="26">
        <f>SUM(FE65:FE66)</f>
        <v>0</v>
      </c>
      <c r="FF67" s="107"/>
      <c r="FG67" s="299"/>
      <c r="FH67" s="326" t="s">
        <v>34</v>
      </c>
      <c r="FI67" s="327"/>
      <c r="FJ67" s="306">
        <f>SUM(FJ65:FK66)</f>
        <v>0</v>
      </c>
      <c r="FK67" s="307"/>
      <c r="FL67" s="306">
        <f>SUM(FL65:FP66)</f>
        <v>0</v>
      </c>
      <c r="FM67" s="368"/>
      <c r="FN67" s="368"/>
      <c r="FO67" s="368"/>
      <c r="FP67" s="307"/>
      <c r="FQ67" s="306">
        <f>SUM(FQ65:FR66)</f>
        <v>0</v>
      </c>
      <c r="FR67" s="307"/>
      <c r="FS67" s="306">
        <f>SUM(FS65:FT66)</f>
        <v>0</v>
      </c>
      <c r="FT67" s="307"/>
      <c r="FU67" s="94">
        <f>SUM(FU65:FU66)</f>
        <v>0</v>
      </c>
      <c r="FV67" s="94">
        <f>SUM(FV65:FV66)</f>
        <v>0</v>
      </c>
      <c r="FW67" s="26">
        <f>SUM(FW65:FW66)</f>
        <v>0</v>
      </c>
      <c r="FX67" s="107"/>
      <c r="FY67" s="299"/>
      <c r="FZ67" s="326" t="s">
        <v>34</v>
      </c>
      <c r="GA67" s="327"/>
      <c r="GB67" s="306">
        <f>SUM(GB65:GC66)</f>
        <v>0</v>
      </c>
      <c r="GC67" s="307"/>
      <c r="GD67" s="306">
        <f>SUM(GD65:GH66)</f>
        <v>0</v>
      </c>
      <c r="GE67" s="368"/>
      <c r="GF67" s="368"/>
      <c r="GG67" s="368"/>
      <c r="GH67" s="307"/>
      <c r="GI67" s="306">
        <f>SUM(GI65:GJ66)</f>
        <v>0</v>
      </c>
      <c r="GJ67" s="307"/>
      <c r="GK67" s="306">
        <f>SUM(GK65:GL66)</f>
        <v>0</v>
      </c>
      <c r="GL67" s="307"/>
      <c r="GM67" s="94">
        <f>SUM(GM65:GM66)</f>
        <v>0</v>
      </c>
      <c r="GN67" s="94">
        <f>SUM(GN65:GN66)</f>
        <v>0</v>
      </c>
      <c r="GO67" s="26">
        <f>SUM(GO65:GO66)</f>
        <v>0</v>
      </c>
      <c r="GP67" s="107"/>
      <c r="GQ67" s="299"/>
      <c r="GR67" s="326" t="s">
        <v>34</v>
      </c>
      <c r="GS67" s="327"/>
      <c r="GT67" s="306">
        <f>SUM(GT65:GU66)</f>
        <v>0</v>
      </c>
      <c r="GU67" s="307"/>
      <c r="GV67" s="306">
        <f>SUM(GV65:GZ66)</f>
        <v>0</v>
      </c>
      <c r="GW67" s="368"/>
      <c r="GX67" s="368"/>
      <c r="GY67" s="368"/>
      <c r="GZ67" s="307"/>
      <c r="HA67" s="306">
        <f>SUM(HA65:HB66)</f>
        <v>0</v>
      </c>
      <c r="HB67" s="307"/>
      <c r="HC67" s="306">
        <f>SUM(HC65:HD66)</f>
        <v>0</v>
      </c>
      <c r="HD67" s="307"/>
      <c r="HE67" s="94">
        <f>SUM(HE65:HE66)</f>
        <v>0</v>
      </c>
      <c r="HF67" s="94">
        <f>SUM(HF65:HF66)</f>
        <v>0</v>
      </c>
      <c r="HG67" s="26">
        <f>SUM(HG65:HG66)</f>
        <v>0</v>
      </c>
      <c r="HH67" s="107"/>
      <c r="HI67" s="299"/>
      <c r="HJ67" s="295" t="s">
        <v>28</v>
      </c>
      <c r="HK67" s="313"/>
      <c r="HL67" s="306">
        <f>SUM(HL65:HM66)</f>
        <v>0</v>
      </c>
      <c r="HM67" s="307"/>
      <c r="HN67" s="306">
        <f>SUM(HN65:HR66)</f>
        <v>0</v>
      </c>
      <c r="HO67" s="368"/>
      <c r="HP67" s="368"/>
      <c r="HQ67" s="368"/>
      <c r="HR67" s="307"/>
      <c r="HS67" s="306">
        <f>SUM(HS65:HT66)</f>
        <v>0</v>
      </c>
      <c r="HT67" s="307"/>
      <c r="HU67" s="306">
        <f>SUM(HU65:HV66)</f>
        <v>0</v>
      </c>
      <c r="HV67" s="307"/>
      <c r="HW67" s="43">
        <f>SUM(HW65:HW66)</f>
        <v>0</v>
      </c>
      <c r="HX67" s="43">
        <f>SUM(HX65:HX66)</f>
        <v>0</v>
      </c>
      <c r="HY67" s="26">
        <f>SUM(HY65:HY66)</f>
        <v>0</v>
      </c>
      <c r="HZ67" s="28"/>
    </row>
    <row r="68" spans="1:234" s="11" customFormat="1" ht="20.100000000000001" customHeight="1" thickBot="1" x14ac:dyDescent="0.25">
      <c r="A68" s="41"/>
      <c r="B68" s="353" t="s">
        <v>29</v>
      </c>
      <c r="C68" s="357"/>
      <c r="D68" s="308">
        <f>SUM(D64+D67)</f>
        <v>0</v>
      </c>
      <c r="E68" s="310"/>
      <c r="F68" s="308">
        <f>SUM(F64+F67)</f>
        <v>0</v>
      </c>
      <c r="G68" s="309"/>
      <c r="H68" s="309"/>
      <c r="I68" s="309"/>
      <c r="J68" s="310"/>
      <c r="K68" s="308">
        <f>SUM(K64+K67)</f>
        <v>0</v>
      </c>
      <c r="L68" s="310"/>
      <c r="M68" s="308">
        <f>SUM(M64+M67)</f>
        <v>0</v>
      </c>
      <c r="N68" s="310"/>
      <c r="O68" s="23">
        <f>SUM(O64+O67)</f>
        <v>0</v>
      </c>
      <c r="P68" s="23">
        <f>SUM(P64+P67)</f>
        <v>0</v>
      </c>
      <c r="Q68" s="127">
        <f>SUM(Q64+Q67)</f>
        <v>0</v>
      </c>
      <c r="R68" s="133"/>
      <c r="S68" s="41"/>
      <c r="T68" s="353" t="s">
        <v>29</v>
      </c>
      <c r="U68" s="357"/>
      <c r="V68" s="308">
        <f>SUM(V64+V67)</f>
        <v>0</v>
      </c>
      <c r="W68" s="310"/>
      <c r="X68" s="308">
        <f>SUM(X64+X67)</f>
        <v>0</v>
      </c>
      <c r="Y68" s="309"/>
      <c r="Z68" s="309"/>
      <c r="AA68" s="309"/>
      <c r="AB68" s="310"/>
      <c r="AC68" s="308">
        <f>SUM(AC64+AC67)</f>
        <v>0</v>
      </c>
      <c r="AD68" s="310"/>
      <c r="AE68" s="308">
        <f>SUM(AE64+AE67)</f>
        <v>0</v>
      </c>
      <c r="AF68" s="310"/>
      <c r="AG68" s="23">
        <f>SUM(AG64+AG67)</f>
        <v>0</v>
      </c>
      <c r="AH68" s="23">
        <f>SUM(AH64+AH67)</f>
        <v>0</v>
      </c>
      <c r="AI68" s="127">
        <f>SUM(AI64+AI67)</f>
        <v>0</v>
      </c>
      <c r="AJ68" s="133"/>
      <c r="AK68" s="41"/>
      <c r="AL68" s="353" t="s">
        <v>29</v>
      </c>
      <c r="AM68" s="357"/>
      <c r="AN68" s="308">
        <f>SUM(AN64+AN67)</f>
        <v>0</v>
      </c>
      <c r="AO68" s="310"/>
      <c r="AP68" s="308">
        <f>SUM(AP64+AP67)</f>
        <v>0</v>
      </c>
      <c r="AQ68" s="309"/>
      <c r="AR68" s="309"/>
      <c r="AS68" s="309"/>
      <c r="AT68" s="310"/>
      <c r="AU68" s="308">
        <f>SUM(AU64+AU67)</f>
        <v>0</v>
      </c>
      <c r="AV68" s="310"/>
      <c r="AW68" s="308">
        <f>SUM(AW64+AW67)</f>
        <v>0</v>
      </c>
      <c r="AX68" s="310"/>
      <c r="AY68" s="23">
        <f>SUM(AY64+AY67)</f>
        <v>0</v>
      </c>
      <c r="AZ68" s="23">
        <f>SUM(AZ64+AZ67)</f>
        <v>0</v>
      </c>
      <c r="BA68" s="127">
        <f>SUM(BA64+BA67)</f>
        <v>0</v>
      </c>
      <c r="BB68" s="133"/>
      <c r="BC68" s="41"/>
      <c r="BD68" s="353" t="s">
        <v>29</v>
      </c>
      <c r="BE68" s="357"/>
      <c r="BF68" s="308">
        <f>SUM(BF64+BF67)</f>
        <v>0</v>
      </c>
      <c r="BG68" s="310"/>
      <c r="BH68" s="308">
        <f>SUM(BH64+BH67)</f>
        <v>0</v>
      </c>
      <c r="BI68" s="309"/>
      <c r="BJ68" s="309"/>
      <c r="BK68" s="309"/>
      <c r="BL68" s="310"/>
      <c r="BM68" s="308">
        <f>SUM(BM64+BM67)</f>
        <v>0</v>
      </c>
      <c r="BN68" s="310"/>
      <c r="BO68" s="308">
        <f>SUM(BO64+BO67)</f>
        <v>0</v>
      </c>
      <c r="BP68" s="310"/>
      <c r="BQ68" s="23">
        <f>SUM(BQ64+BQ67)</f>
        <v>0</v>
      </c>
      <c r="BR68" s="23">
        <f>SUM(BR64+BR67)</f>
        <v>0</v>
      </c>
      <c r="BS68" s="127">
        <f>SUM(BS64+BS67)</f>
        <v>0</v>
      </c>
      <c r="BT68" s="133"/>
      <c r="BU68" s="41"/>
      <c r="BV68" s="353" t="s">
        <v>29</v>
      </c>
      <c r="BW68" s="357"/>
      <c r="BX68" s="308">
        <f>SUM(BX64+BX67)</f>
        <v>0</v>
      </c>
      <c r="BY68" s="310"/>
      <c r="BZ68" s="308">
        <f>SUM(BZ64+BZ67)</f>
        <v>0</v>
      </c>
      <c r="CA68" s="309"/>
      <c r="CB68" s="309"/>
      <c r="CC68" s="309"/>
      <c r="CD68" s="310"/>
      <c r="CE68" s="308">
        <f>SUM(CE64+CE67)</f>
        <v>0</v>
      </c>
      <c r="CF68" s="310"/>
      <c r="CG68" s="308">
        <f>SUM(CG64+CG67)</f>
        <v>0</v>
      </c>
      <c r="CH68" s="310"/>
      <c r="CI68" s="23">
        <f>SUM(CI64+CI67)</f>
        <v>0</v>
      </c>
      <c r="CJ68" s="23">
        <f>SUM(CJ64+CJ67)</f>
        <v>0</v>
      </c>
      <c r="CK68" s="127">
        <f>SUM(CK64+CK67)</f>
        <v>0</v>
      </c>
      <c r="CL68" s="133"/>
      <c r="CM68" s="41"/>
      <c r="CN68" s="353" t="s">
        <v>29</v>
      </c>
      <c r="CO68" s="357"/>
      <c r="CP68" s="308">
        <f>SUM(CP64+CP67)</f>
        <v>0</v>
      </c>
      <c r="CQ68" s="310"/>
      <c r="CR68" s="308">
        <f>SUM(CR64+CR67)</f>
        <v>0</v>
      </c>
      <c r="CS68" s="309"/>
      <c r="CT68" s="309"/>
      <c r="CU68" s="309"/>
      <c r="CV68" s="310"/>
      <c r="CW68" s="308">
        <f>SUM(CW64+CW67)</f>
        <v>0</v>
      </c>
      <c r="CX68" s="310"/>
      <c r="CY68" s="308">
        <f>SUM(CY64+CY67)</f>
        <v>0</v>
      </c>
      <c r="CZ68" s="310"/>
      <c r="DA68" s="23">
        <f>SUM(DA64+DA67)</f>
        <v>0</v>
      </c>
      <c r="DB68" s="23">
        <f>SUM(DB64+DB67)</f>
        <v>0</v>
      </c>
      <c r="DC68" s="27">
        <f>SUM(DC64+DC67)</f>
        <v>0</v>
      </c>
      <c r="DD68" s="107"/>
      <c r="DE68" s="41"/>
      <c r="DF68" s="353" t="s">
        <v>29</v>
      </c>
      <c r="DG68" s="357"/>
      <c r="DH68" s="308">
        <f>SUM(DH64+DH67)</f>
        <v>0</v>
      </c>
      <c r="DI68" s="310"/>
      <c r="DJ68" s="308">
        <f>SUM(DJ64+DJ67)</f>
        <v>0</v>
      </c>
      <c r="DK68" s="309"/>
      <c r="DL68" s="309"/>
      <c r="DM68" s="309"/>
      <c r="DN68" s="310"/>
      <c r="DO68" s="308">
        <f>SUM(DO64+DO67)</f>
        <v>0</v>
      </c>
      <c r="DP68" s="310"/>
      <c r="DQ68" s="308">
        <f>SUM(DQ64+DQ67)</f>
        <v>0</v>
      </c>
      <c r="DR68" s="310"/>
      <c r="DS68" s="23">
        <f>SUM(DS64+DS67)</f>
        <v>0</v>
      </c>
      <c r="DT68" s="23">
        <f>SUM(DT64+DT67)</f>
        <v>0</v>
      </c>
      <c r="DU68" s="27">
        <f>SUM(DU64+DU67)</f>
        <v>0</v>
      </c>
      <c r="DV68" s="107"/>
      <c r="DW68" s="41"/>
      <c r="DX68" s="353" t="s">
        <v>29</v>
      </c>
      <c r="DY68" s="357"/>
      <c r="DZ68" s="363">
        <f>SUM(DZ64+DZ67)</f>
        <v>0</v>
      </c>
      <c r="EA68" s="361"/>
      <c r="EB68" s="363">
        <f>SUM(EB64+EB67)</f>
        <v>0</v>
      </c>
      <c r="EC68" s="360"/>
      <c r="ED68" s="360"/>
      <c r="EE68" s="360"/>
      <c r="EF68" s="361"/>
      <c r="EG68" s="363">
        <f>SUM(EG64+EG67)</f>
        <v>0</v>
      </c>
      <c r="EH68" s="361"/>
      <c r="EI68" s="363">
        <f>SUM(EI64+EI67)</f>
        <v>0</v>
      </c>
      <c r="EJ68" s="361"/>
      <c r="EK68" s="231">
        <f t="shared" ref="EK68:EM68" si="312">SUM(EK64+EK67)</f>
        <v>0</v>
      </c>
      <c r="EL68" s="231">
        <f t="shared" si="312"/>
        <v>0</v>
      </c>
      <c r="EM68" s="232">
        <f t="shared" si="312"/>
        <v>0</v>
      </c>
      <c r="EN68" s="107"/>
      <c r="EO68" s="41"/>
      <c r="EP68" s="353" t="s">
        <v>29</v>
      </c>
      <c r="EQ68" s="357"/>
      <c r="ER68" s="308">
        <f>SUM(ER64+ER67)</f>
        <v>0</v>
      </c>
      <c r="ES68" s="310"/>
      <c r="ET68" s="308">
        <f>SUM(ET64+ET67)</f>
        <v>0</v>
      </c>
      <c r="EU68" s="309"/>
      <c r="EV68" s="309"/>
      <c r="EW68" s="309"/>
      <c r="EX68" s="310"/>
      <c r="EY68" s="308">
        <f>SUM(EY64+EY67)</f>
        <v>0</v>
      </c>
      <c r="EZ68" s="310"/>
      <c r="FA68" s="308">
        <f>SUM(FA64+FA67)</f>
        <v>0</v>
      </c>
      <c r="FB68" s="310"/>
      <c r="FC68" s="23">
        <f>SUM(FC64+FC67)</f>
        <v>0</v>
      </c>
      <c r="FD68" s="23">
        <f>SUM(FD64+FD67)</f>
        <v>0</v>
      </c>
      <c r="FE68" s="27">
        <f>SUM(FE64+FE67)</f>
        <v>0</v>
      </c>
      <c r="FF68" s="107"/>
      <c r="FG68" s="41"/>
      <c r="FH68" s="353" t="s">
        <v>29</v>
      </c>
      <c r="FI68" s="357"/>
      <c r="FJ68" s="308">
        <f>SUM(FJ64+FJ67)</f>
        <v>0</v>
      </c>
      <c r="FK68" s="310"/>
      <c r="FL68" s="308">
        <f>SUM(FL64+FL67)</f>
        <v>0</v>
      </c>
      <c r="FM68" s="309"/>
      <c r="FN68" s="309"/>
      <c r="FO68" s="309"/>
      <c r="FP68" s="310"/>
      <c r="FQ68" s="308">
        <f>SUM(FQ64+FQ67)</f>
        <v>0</v>
      </c>
      <c r="FR68" s="310"/>
      <c r="FS68" s="308">
        <f>SUM(FS64+FS67)</f>
        <v>0</v>
      </c>
      <c r="FT68" s="310"/>
      <c r="FU68" s="23">
        <f>SUM(FU64+FU67)</f>
        <v>0</v>
      </c>
      <c r="FV68" s="23">
        <f>SUM(FV64+FV67)</f>
        <v>0</v>
      </c>
      <c r="FW68" s="27">
        <f>SUM(FW64+FW67)</f>
        <v>0</v>
      </c>
      <c r="FX68" s="107"/>
      <c r="FY68" s="41"/>
      <c r="FZ68" s="353" t="s">
        <v>29</v>
      </c>
      <c r="GA68" s="357"/>
      <c r="GB68" s="308">
        <f>SUM(GB64+GB67)</f>
        <v>0</v>
      </c>
      <c r="GC68" s="310"/>
      <c r="GD68" s="308">
        <f>SUM(GD64+GD67)</f>
        <v>0</v>
      </c>
      <c r="GE68" s="309"/>
      <c r="GF68" s="309"/>
      <c r="GG68" s="309"/>
      <c r="GH68" s="310"/>
      <c r="GI68" s="308">
        <f>SUM(GI64+GI67)</f>
        <v>0</v>
      </c>
      <c r="GJ68" s="310"/>
      <c r="GK68" s="308">
        <f>SUM(GK64+GK67)</f>
        <v>0</v>
      </c>
      <c r="GL68" s="310"/>
      <c r="GM68" s="23">
        <f>SUM(GM64+GM67)</f>
        <v>0</v>
      </c>
      <c r="GN68" s="23">
        <f>SUM(GN64+GN67)</f>
        <v>0</v>
      </c>
      <c r="GO68" s="27">
        <f>SUM(GO64+GO67)</f>
        <v>0</v>
      </c>
      <c r="GP68" s="107"/>
      <c r="GQ68" s="41"/>
      <c r="GR68" s="353" t="s">
        <v>29</v>
      </c>
      <c r="GS68" s="357"/>
      <c r="GT68" s="308">
        <f>SUM(GT64+GT67)</f>
        <v>0</v>
      </c>
      <c r="GU68" s="310"/>
      <c r="GV68" s="308">
        <f>SUM(GV64+GV67)</f>
        <v>0</v>
      </c>
      <c r="GW68" s="309"/>
      <c r="GX68" s="309"/>
      <c r="GY68" s="309"/>
      <c r="GZ68" s="310"/>
      <c r="HA68" s="308">
        <f>SUM(HA64+HA67)</f>
        <v>0</v>
      </c>
      <c r="HB68" s="310"/>
      <c r="HC68" s="308">
        <f>SUM(HC64+HC67)</f>
        <v>0</v>
      </c>
      <c r="HD68" s="310"/>
      <c r="HE68" s="23">
        <f>SUM(HE64+HE67)</f>
        <v>0</v>
      </c>
      <c r="HF68" s="23">
        <f>SUM(HF64+HF67)</f>
        <v>0</v>
      </c>
      <c r="HG68" s="27">
        <f>SUM(HG64+HG67)</f>
        <v>0</v>
      </c>
      <c r="HH68" s="107"/>
      <c r="HI68" s="41"/>
      <c r="HJ68" s="353" t="s">
        <v>29</v>
      </c>
      <c r="HK68" s="354"/>
      <c r="HL68" s="308">
        <f>SUM(HL64+HL67)</f>
        <v>0</v>
      </c>
      <c r="HM68" s="310"/>
      <c r="HN68" s="308">
        <f>SUM(HN64+HN67)</f>
        <v>0</v>
      </c>
      <c r="HO68" s="309"/>
      <c r="HP68" s="309"/>
      <c r="HQ68" s="309"/>
      <c r="HR68" s="310"/>
      <c r="HS68" s="308">
        <f>SUM(HS64+HS67)</f>
        <v>0</v>
      </c>
      <c r="HT68" s="310"/>
      <c r="HU68" s="308">
        <f>SUM(HU64+HU67)</f>
        <v>0</v>
      </c>
      <c r="HV68" s="310"/>
      <c r="HW68" s="23">
        <f>SUM(HW64+HW67)</f>
        <v>0</v>
      </c>
      <c r="HX68" s="23">
        <f>SUM(HX64+HX67)</f>
        <v>0</v>
      </c>
      <c r="HY68" s="27">
        <f>SUM(HY64+HY67)</f>
        <v>0</v>
      </c>
      <c r="HZ68" s="28"/>
    </row>
    <row r="69" spans="1:234" s="11" customFormat="1" ht="20.100000000000001" customHeight="1" x14ac:dyDescent="0.2">
      <c r="A69" s="297">
        <v>0</v>
      </c>
      <c r="B69" s="304" t="s">
        <v>9</v>
      </c>
      <c r="C69" s="19" t="s">
        <v>24</v>
      </c>
      <c r="D69" s="8">
        <v>0</v>
      </c>
      <c r="E69" s="33">
        <v>0</v>
      </c>
      <c r="F69" s="4">
        <v>0</v>
      </c>
      <c r="G69" s="5">
        <v>0</v>
      </c>
      <c r="H69" s="6">
        <v>0</v>
      </c>
      <c r="I69" s="84">
        <v>0</v>
      </c>
      <c r="J69" s="7">
        <v>0</v>
      </c>
      <c r="K69" s="34">
        <v>0</v>
      </c>
      <c r="L69" s="9">
        <v>0</v>
      </c>
      <c r="M69" s="10">
        <v>0</v>
      </c>
      <c r="N69" s="86">
        <v>0</v>
      </c>
      <c r="O69" s="21">
        <v>0</v>
      </c>
      <c r="P69" s="21">
        <v>0</v>
      </c>
      <c r="Q69" s="124">
        <f>SUM(D69:P69)</f>
        <v>0</v>
      </c>
      <c r="R69" s="133"/>
      <c r="S69" s="297">
        <v>0</v>
      </c>
      <c r="T69" s="304" t="s">
        <v>9</v>
      </c>
      <c r="U69" s="19" t="s">
        <v>24</v>
      </c>
      <c r="V69" s="8">
        <v>0</v>
      </c>
      <c r="W69" s="33">
        <v>0</v>
      </c>
      <c r="X69" s="4">
        <v>0</v>
      </c>
      <c r="Y69" s="5">
        <v>0</v>
      </c>
      <c r="Z69" s="6">
        <v>0</v>
      </c>
      <c r="AA69" s="84">
        <v>0</v>
      </c>
      <c r="AB69" s="7">
        <v>0</v>
      </c>
      <c r="AC69" s="34">
        <v>0</v>
      </c>
      <c r="AD69" s="9">
        <v>0</v>
      </c>
      <c r="AE69" s="10">
        <v>0</v>
      </c>
      <c r="AF69" s="86">
        <v>0</v>
      </c>
      <c r="AG69" s="21">
        <v>0</v>
      </c>
      <c r="AH69" s="21">
        <v>0</v>
      </c>
      <c r="AI69" s="124">
        <f>SUM(V69:AH69)</f>
        <v>0</v>
      </c>
      <c r="AJ69" s="133"/>
      <c r="AK69" s="297">
        <v>0</v>
      </c>
      <c r="AL69" s="304" t="s">
        <v>9</v>
      </c>
      <c r="AM69" s="19" t="s">
        <v>24</v>
      </c>
      <c r="AN69" s="8">
        <v>0</v>
      </c>
      <c r="AO69" s="33">
        <v>0</v>
      </c>
      <c r="AP69" s="4">
        <v>0</v>
      </c>
      <c r="AQ69" s="5">
        <v>0</v>
      </c>
      <c r="AR69" s="6">
        <v>0</v>
      </c>
      <c r="AS69" s="84">
        <v>0</v>
      </c>
      <c r="AT69" s="7">
        <v>0</v>
      </c>
      <c r="AU69" s="34">
        <v>0</v>
      </c>
      <c r="AV69" s="9">
        <v>0</v>
      </c>
      <c r="AW69" s="10">
        <v>0</v>
      </c>
      <c r="AX69" s="86">
        <v>0</v>
      </c>
      <c r="AY69" s="21">
        <v>0</v>
      </c>
      <c r="AZ69" s="21">
        <v>0</v>
      </c>
      <c r="BA69" s="124">
        <f>SUM(AN69:AZ69)</f>
        <v>0</v>
      </c>
      <c r="BB69" s="133"/>
      <c r="BC69" s="297">
        <v>0</v>
      </c>
      <c r="BD69" s="304" t="s">
        <v>9</v>
      </c>
      <c r="BE69" s="19" t="s">
        <v>24</v>
      </c>
      <c r="BF69" s="8">
        <v>0</v>
      </c>
      <c r="BG69" s="33">
        <v>0</v>
      </c>
      <c r="BH69" s="4">
        <v>0</v>
      </c>
      <c r="BI69" s="5">
        <v>0</v>
      </c>
      <c r="BJ69" s="6">
        <v>0</v>
      </c>
      <c r="BK69" s="84">
        <v>0</v>
      </c>
      <c r="BL69" s="7">
        <v>0</v>
      </c>
      <c r="BM69" s="34">
        <v>0</v>
      </c>
      <c r="BN69" s="9">
        <v>0</v>
      </c>
      <c r="BO69" s="10">
        <v>0</v>
      </c>
      <c r="BP69" s="86">
        <v>0</v>
      </c>
      <c r="BQ69" s="21">
        <v>0</v>
      </c>
      <c r="BR69" s="21">
        <v>0</v>
      </c>
      <c r="BS69" s="124">
        <f>SUM(BF69:BR69)</f>
        <v>0</v>
      </c>
      <c r="BT69" s="133"/>
      <c r="BU69" s="297">
        <v>0</v>
      </c>
      <c r="BV69" s="304" t="s">
        <v>9</v>
      </c>
      <c r="BW69" s="19" t="s">
        <v>24</v>
      </c>
      <c r="BX69" s="8">
        <v>0</v>
      </c>
      <c r="BY69" s="33">
        <v>0</v>
      </c>
      <c r="BZ69" s="4">
        <v>0</v>
      </c>
      <c r="CA69" s="5">
        <v>0</v>
      </c>
      <c r="CB69" s="6">
        <v>0</v>
      </c>
      <c r="CC69" s="84">
        <v>0</v>
      </c>
      <c r="CD69" s="7">
        <v>0</v>
      </c>
      <c r="CE69" s="34">
        <v>0</v>
      </c>
      <c r="CF69" s="9">
        <v>0</v>
      </c>
      <c r="CG69" s="10">
        <v>0</v>
      </c>
      <c r="CH69" s="86">
        <v>0</v>
      </c>
      <c r="CI69" s="21">
        <v>0</v>
      </c>
      <c r="CJ69" s="21">
        <v>0</v>
      </c>
      <c r="CK69" s="124">
        <f>SUM(BX69:CJ69)</f>
        <v>0</v>
      </c>
      <c r="CL69" s="133"/>
      <c r="CM69" s="297">
        <v>0</v>
      </c>
      <c r="CN69" s="304" t="s">
        <v>9</v>
      </c>
      <c r="CO69" s="19" t="s">
        <v>24</v>
      </c>
      <c r="CP69" s="8">
        <v>0</v>
      </c>
      <c r="CQ69" s="33">
        <v>0</v>
      </c>
      <c r="CR69" s="4">
        <v>0</v>
      </c>
      <c r="CS69" s="5">
        <v>0</v>
      </c>
      <c r="CT69" s="6">
        <v>0</v>
      </c>
      <c r="CU69" s="84">
        <v>0</v>
      </c>
      <c r="CV69" s="7">
        <v>0</v>
      </c>
      <c r="CW69" s="34">
        <v>0</v>
      </c>
      <c r="CX69" s="9">
        <v>0</v>
      </c>
      <c r="CY69" s="10">
        <v>0</v>
      </c>
      <c r="CZ69" s="86">
        <v>0</v>
      </c>
      <c r="DA69" s="21">
        <v>0</v>
      </c>
      <c r="DB69" s="21">
        <v>0</v>
      </c>
      <c r="DC69" s="24">
        <f>SUM(CP69:DB69)</f>
        <v>0</v>
      </c>
      <c r="DD69" s="107"/>
      <c r="DE69" s="297">
        <v>0</v>
      </c>
      <c r="DF69" s="304" t="s">
        <v>9</v>
      </c>
      <c r="DG69" s="19" t="s">
        <v>24</v>
      </c>
      <c r="DH69" s="8">
        <v>0</v>
      </c>
      <c r="DI69" s="33">
        <v>0</v>
      </c>
      <c r="DJ69" s="4">
        <v>0</v>
      </c>
      <c r="DK69" s="5">
        <v>0</v>
      </c>
      <c r="DL69" s="6">
        <v>0</v>
      </c>
      <c r="DM69" s="84">
        <v>0</v>
      </c>
      <c r="DN69" s="7">
        <v>0</v>
      </c>
      <c r="DO69" s="34">
        <v>0</v>
      </c>
      <c r="DP69" s="9">
        <v>0</v>
      </c>
      <c r="DQ69" s="10">
        <v>0</v>
      </c>
      <c r="DR69" s="86">
        <v>0</v>
      </c>
      <c r="DS69" s="21">
        <v>0</v>
      </c>
      <c r="DT69" s="21">
        <v>0</v>
      </c>
      <c r="DU69" s="24">
        <f>SUM(DH69:DT69)</f>
        <v>0</v>
      </c>
      <c r="DV69" s="107"/>
      <c r="DW69" s="297">
        <v>0</v>
      </c>
      <c r="DX69" s="304" t="s">
        <v>9</v>
      </c>
      <c r="DY69" s="19" t="s">
        <v>24</v>
      </c>
      <c r="DZ69" s="233">
        <v>0</v>
      </c>
      <c r="EA69" s="234">
        <v>0</v>
      </c>
      <c r="EB69" s="261">
        <v>0</v>
      </c>
      <c r="EC69" s="262">
        <v>0</v>
      </c>
      <c r="ED69" s="263">
        <v>0</v>
      </c>
      <c r="EE69" s="264">
        <v>0</v>
      </c>
      <c r="EF69" s="265">
        <v>0</v>
      </c>
      <c r="EG69" s="239">
        <v>0</v>
      </c>
      <c r="EH69" s="240">
        <v>0</v>
      </c>
      <c r="EI69" s="241">
        <v>0</v>
      </c>
      <c r="EJ69" s="242">
        <v>0</v>
      </c>
      <c r="EK69" s="243">
        <v>0</v>
      </c>
      <c r="EL69" s="243">
        <v>0</v>
      </c>
      <c r="EM69" s="223">
        <f t="shared" ref="EM69:EM70" si="313">SUM(DZ69:EL69)</f>
        <v>0</v>
      </c>
      <c r="EN69" s="107"/>
      <c r="EO69" s="297">
        <v>0</v>
      </c>
      <c r="EP69" s="304" t="s">
        <v>9</v>
      </c>
      <c r="EQ69" s="19" t="s">
        <v>24</v>
      </c>
      <c r="ER69" s="8">
        <v>0</v>
      </c>
      <c r="ES69" s="33">
        <v>0</v>
      </c>
      <c r="ET69" s="4">
        <v>0</v>
      </c>
      <c r="EU69" s="5">
        <v>0</v>
      </c>
      <c r="EV69" s="6">
        <v>0</v>
      </c>
      <c r="EW69" s="84">
        <v>0</v>
      </c>
      <c r="EX69" s="7">
        <v>0</v>
      </c>
      <c r="EY69" s="34">
        <v>0</v>
      </c>
      <c r="EZ69" s="9">
        <v>0</v>
      </c>
      <c r="FA69" s="10">
        <v>0</v>
      </c>
      <c r="FB69" s="86">
        <v>0</v>
      </c>
      <c r="FC69" s="21">
        <v>0</v>
      </c>
      <c r="FD69" s="21">
        <v>0</v>
      </c>
      <c r="FE69" s="24">
        <f>SUM(ER69:FD69)</f>
        <v>0</v>
      </c>
      <c r="FF69" s="107"/>
      <c r="FG69" s="297">
        <v>0</v>
      </c>
      <c r="FH69" s="304" t="s">
        <v>9</v>
      </c>
      <c r="FI69" s="19" t="s">
        <v>24</v>
      </c>
      <c r="FJ69" s="8">
        <v>0</v>
      </c>
      <c r="FK69" s="33">
        <v>0</v>
      </c>
      <c r="FL69" s="4">
        <v>0</v>
      </c>
      <c r="FM69" s="5">
        <v>0</v>
      </c>
      <c r="FN69" s="6">
        <v>0</v>
      </c>
      <c r="FO69" s="84">
        <v>0</v>
      </c>
      <c r="FP69" s="7">
        <v>0</v>
      </c>
      <c r="FQ69" s="34">
        <v>0</v>
      </c>
      <c r="FR69" s="9">
        <v>0</v>
      </c>
      <c r="FS69" s="10">
        <v>0</v>
      </c>
      <c r="FT69" s="86">
        <v>0</v>
      </c>
      <c r="FU69" s="21">
        <v>0</v>
      </c>
      <c r="FV69" s="21">
        <v>0</v>
      </c>
      <c r="FW69" s="24">
        <f>SUM(FJ69:FV69)</f>
        <v>0</v>
      </c>
      <c r="FX69" s="107"/>
      <c r="FY69" s="297">
        <v>0</v>
      </c>
      <c r="FZ69" s="304" t="s">
        <v>9</v>
      </c>
      <c r="GA69" s="19" t="s">
        <v>24</v>
      </c>
      <c r="GB69" s="8">
        <v>0</v>
      </c>
      <c r="GC69" s="33">
        <v>0</v>
      </c>
      <c r="GD69" s="4">
        <v>0</v>
      </c>
      <c r="GE69" s="5">
        <v>0</v>
      </c>
      <c r="GF69" s="6">
        <v>0</v>
      </c>
      <c r="GG69" s="84">
        <v>0</v>
      </c>
      <c r="GH69" s="7">
        <v>0</v>
      </c>
      <c r="GI69" s="34">
        <v>0</v>
      </c>
      <c r="GJ69" s="9">
        <v>0</v>
      </c>
      <c r="GK69" s="10">
        <v>0</v>
      </c>
      <c r="GL69" s="86">
        <v>0</v>
      </c>
      <c r="GM69" s="21">
        <v>0</v>
      </c>
      <c r="GN69" s="21">
        <v>0</v>
      </c>
      <c r="GO69" s="24">
        <f>SUM(GB69:GN69)</f>
        <v>0</v>
      </c>
      <c r="GP69" s="107"/>
      <c r="GQ69" s="297">
        <v>0</v>
      </c>
      <c r="GR69" s="304" t="s">
        <v>9</v>
      </c>
      <c r="GS69" s="19" t="s">
        <v>24</v>
      </c>
      <c r="GT69" s="8">
        <v>0</v>
      </c>
      <c r="GU69" s="33">
        <v>0</v>
      </c>
      <c r="GV69" s="4">
        <v>0</v>
      </c>
      <c r="GW69" s="5">
        <v>0</v>
      </c>
      <c r="GX69" s="6">
        <v>0</v>
      </c>
      <c r="GY69" s="84">
        <v>0</v>
      </c>
      <c r="GZ69" s="7">
        <v>0</v>
      </c>
      <c r="HA69" s="34">
        <v>0</v>
      </c>
      <c r="HB69" s="9">
        <v>0</v>
      </c>
      <c r="HC69" s="10">
        <v>0</v>
      </c>
      <c r="HD69" s="86">
        <v>0</v>
      </c>
      <c r="HE69" s="21">
        <v>0</v>
      </c>
      <c r="HF69" s="21">
        <v>0</v>
      </c>
      <c r="HG69" s="24">
        <f>SUM(GT69:HF69)</f>
        <v>0</v>
      </c>
      <c r="HH69" s="107"/>
      <c r="HI69" s="297">
        <f>GQ69</f>
        <v>0</v>
      </c>
      <c r="HJ69" s="304" t="s">
        <v>9</v>
      </c>
      <c r="HK69" s="19" t="s">
        <v>24</v>
      </c>
      <c r="HL69" s="8">
        <f t="shared" ref="HL69:HL70" si="314">SUM(D69+V69+AN69+BF69+BX69+CP69+DH69+DZ69+ER69+FJ69+GB69+GT69)</f>
        <v>0</v>
      </c>
      <c r="HM69" s="9">
        <f t="shared" ref="HM69:HM70" si="315">SUM(E69+W69+AO69+BG69+BY69+CQ69+DI69+EA69+ES69+FK69+GC69+GU69)</f>
        <v>0</v>
      </c>
      <c r="HN69" s="34">
        <f t="shared" ref="HN69:HN70" si="316">SUM(F69+X69+AP69+BH69+BZ69+CR69+DJ69+EB69+ET69+FL69+GD69+GV69)</f>
        <v>0</v>
      </c>
      <c r="HO69" s="35">
        <f t="shared" ref="HO69:HO70" si="317">SUM(G69+Y69+AQ69+BI69+CA69+CS69+DK69+EC69+EU69+FM69+GE69+GW69)</f>
        <v>0</v>
      </c>
      <c r="HP69" s="35">
        <f t="shared" ref="HP69:HP70" si="318">SUM(H69+Z69+AR69+BJ69+CB69+CT69+DL69+ED69+EV69+FN69+GF69+GX69)</f>
        <v>0</v>
      </c>
      <c r="HQ69" s="46">
        <f t="shared" ref="HQ69:HQ70" si="319">SUM(I69+AA69+AS69+BK69+CC69+CU69+DM69+EE69+EW69+FO69+GG69+GY69)</f>
        <v>0</v>
      </c>
      <c r="HR69" s="9">
        <f t="shared" ref="HR69:HR70" si="320">SUM(J69+AB69+AT69+BL69+CD69+CV69+DN69+EF69+EX69+FP69+GH69+GZ69)</f>
        <v>0</v>
      </c>
      <c r="HS69" s="34">
        <f t="shared" ref="HS69:HS70" si="321">SUM(K69+AC69+AU69+BM69+CE69+CW69+DO69+EG69+EY69+FQ69+GI69+HA69)</f>
        <v>0</v>
      </c>
      <c r="HT69" s="9">
        <f t="shared" ref="HT69:HT70" si="322">SUM(L69+AD69+AV69+BN69+CF69+CX69+DP69+EH69+EZ69+FR69+GJ69+HB69)</f>
        <v>0</v>
      </c>
      <c r="HU69" s="34">
        <f t="shared" ref="HU69:HU70" si="323">SUM(M69+AE69+AW69+BO69+CG69+CY69+DQ69+EI69+FA69+FS69+GK69+HC69)</f>
        <v>0</v>
      </c>
      <c r="HV69" s="47">
        <f t="shared" ref="HV69:HV70" si="324">SUM(N69+AF69+AX69+BP69+CH69+CZ69+DR69+EJ69+FB69+FT69+GL69+HD69)</f>
        <v>0</v>
      </c>
      <c r="HW69" s="44">
        <f t="shared" ref="HW69:HW70" si="325">SUM(O69+AG69+AY69+BQ69+CI69+DA69+DS69+EK69+FC69+FU69+GM69+HE69)</f>
        <v>0</v>
      </c>
      <c r="HX69" s="44">
        <f t="shared" ref="HX69:HX70" si="326">SUM(P69+AH69+AZ69+BR69+CJ69+DB69+DT69+EL69+FD69+FV69+GN69+HF69)</f>
        <v>0</v>
      </c>
      <c r="HY69" s="38">
        <f>SUM(HL69:HX69)</f>
        <v>0</v>
      </c>
      <c r="HZ69" s="28"/>
    </row>
    <row r="70" spans="1:234" s="11" customFormat="1" ht="20.100000000000001" customHeight="1" thickBot="1" x14ac:dyDescent="0.25">
      <c r="A70" s="298"/>
      <c r="B70" s="305"/>
      <c r="C70" s="20" t="s">
        <v>25</v>
      </c>
      <c r="D70" s="12">
        <v>0</v>
      </c>
      <c r="E70" s="18">
        <v>0</v>
      </c>
      <c r="F70" s="12">
        <v>0</v>
      </c>
      <c r="G70" s="13">
        <v>0</v>
      </c>
      <c r="H70" s="15">
        <v>0</v>
      </c>
      <c r="I70" s="15">
        <v>0</v>
      </c>
      <c r="J70" s="16">
        <v>0</v>
      </c>
      <c r="K70" s="17">
        <v>0</v>
      </c>
      <c r="L70" s="14">
        <v>0</v>
      </c>
      <c r="M70" s="17">
        <v>0</v>
      </c>
      <c r="N70" s="18">
        <v>0</v>
      </c>
      <c r="O70" s="22">
        <v>0</v>
      </c>
      <c r="P70" s="22">
        <v>0</v>
      </c>
      <c r="Q70" s="125">
        <f>SUM(D70:P70)</f>
        <v>0</v>
      </c>
      <c r="R70" s="133"/>
      <c r="S70" s="298"/>
      <c r="T70" s="305"/>
      <c r="U70" s="20" t="s">
        <v>25</v>
      </c>
      <c r="V70" s="12">
        <v>0</v>
      </c>
      <c r="W70" s="18">
        <v>0</v>
      </c>
      <c r="X70" s="12">
        <v>0</v>
      </c>
      <c r="Y70" s="13">
        <v>0</v>
      </c>
      <c r="Z70" s="15">
        <v>0</v>
      </c>
      <c r="AA70" s="15">
        <v>0</v>
      </c>
      <c r="AB70" s="16">
        <v>0</v>
      </c>
      <c r="AC70" s="17">
        <v>0</v>
      </c>
      <c r="AD70" s="14">
        <v>0</v>
      </c>
      <c r="AE70" s="17">
        <v>0</v>
      </c>
      <c r="AF70" s="18">
        <v>0</v>
      </c>
      <c r="AG70" s="22">
        <v>0</v>
      </c>
      <c r="AH70" s="22">
        <v>0</v>
      </c>
      <c r="AI70" s="125">
        <f>SUM(V70:AH70)</f>
        <v>0</v>
      </c>
      <c r="AJ70" s="133"/>
      <c r="AK70" s="298"/>
      <c r="AL70" s="305"/>
      <c r="AM70" s="20" t="s">
        <v>25</v>
      </c>
      <c r="AN70" s="12">
        <v>0</v>
      </c>
      <c r="AO70" s="18">
        <v>0</v>
      </c>
      <c r="AP70" s="12">
        <v>0</v>
      </c>
      <c r="AQ70" s="13">
        <v>0</v>
      </c>
      <c r="AR70" s="15">
        <v>0</v>
      </c>
      <c r="AS70" s="15">
        <v>0</v>
      </c>
      <c r="AT70" s="16">
        <v>0</v>
      </c>
      <c r="AU70" s="17">
        <v>0</v>
      </c>
      <c r="AV70" s="14">
        <v>0</v>
      </c>
      <c r="AW70" s="17">
        <v>0</v>
      </c>
      <c r="AX70" s="18">
        <v>0</v>
      </c>
      <c r="AY70" s="22">
        <v>0</v>
      </c>
      <c r="AZ70" s="22">
        <v>0</v>
      </c>
      <c r="BA70" s="125">
        <f>SUM(AN70:AZ70)</f>
        <v>0</v>
      </c>
      <c r="BB70" s="133"/>
      <c r="BC70" s="298"/>
      <c r="BD70" s="305"/>
      <c r="BE70" s="20" t="s">
        <v>25</v>
      </c>
      <c r="BF70" s="12">
        <v>0</v>
      </c>
      <c r="BG70" s="18">
        <v>0</v>
      </c>
      <c r="BH70" s="12">
        <v>0</v>
      </c>
      <c r="BI70" s="13">
        <v>0</v>
      </c>
      <c r="BJ70" s="15">
        <v>0</v>
      </c>
      <c r="BK70" s="15">
        <v>0</v>
      </c>
      <c r="BL70" s="16">
        <v>0</v>
      </c>
      <c r="BM70" s="17">
        <v>0</v>
      </c>
      <c r="BN70" s="14">
        <v>0</v>
      </c>
      <c r="BO70" s="17">
        <v>0</v>
      </c>
      <c r="BP70" s="18">
        <v>0</v>
      </c>
      <c r="BQ70" s="22">
        <v>0</v>
      </c>
      <c r="BR70" s="22">
        <v>0</v>
      </c>
      <c r="BS70" s="125">
        <f>SUM(BF70:BR70)</f>
        <v>0</v>
      </c>
      <c r="BT70" s="133"/>
      <c r="BU70" s="298"/>
      <c r="BV70" s="305"/>
      <c r="BW70" s="20" t="s">
        <v>25</v>
      </c>
      <c r="BX70" s="12">
        <v>0</v>
      </c>
      <c r="BY70" s="18">
        <v>0</v>
      </c>
      <c r="BZ70" s="12">
        <v>0</v>
      </c>
      <c r="CA70" s="13">
        <v>0</v>
      </c>
      <c r="CB70" s="15">
        <v>0</v>
      </c>
      <c r="CC70" s="15">
        <v>0</v>
      </c>
      <c r="CD70" s="16">
        <v>0</v>
      </c>
      <c r="CE70" s="17">
        <v>0</v>
      </c>
      <c r="CF70" s="14">
        <v>0</v>
      </c>
      <c r="CG70" s="17">
        <v>0</v>
      </c>
      <c r="CH70" s="18">
        <v>0</v>
      </c>
      <c r="CI70" s="22">
        <v>0</v>
      </c>
      <c r="CJ70" s="22">
        <v>0</v>
      </c>
      <c r="CK70" s="125">
        <f>SUM(BX70:CJ70)</f>
        <v>0</v>
      </c>
      <c r="CL70" s="133"/>
      <c r="CM70" s="298"/>
      <c r="CN70" s="305"/>
      <c r="CO70" s="20" t="s">
        <v>25</v>
      </c>
      <c r="CP70" s="12">
        <v>0</v>
      </c>
      <c r="CQ70" s="18">
        <v>0</v>
      </c>
      <c r="CR70" s="12">
        <v>0</v>
      </c>
      <c r="CS70" s="13">
        <v>0</v>
      </c>
      <c r="CT70" s="15">
        <v>0</v>
      </c>
      <c r="CU70" s="15">
        <v>0</v>
      </c>
      <c r="CV70" s="16">
        <v>0</v>
      </c>
      <c r="CW70" s="17">
        <v>0</v>
      </c>
      <c r="CX70" s="14">
        <v>0</v>
      </c>
      <c r="CY70" s="17">
        <v>0</v>
      </c>
      <c r="CZ70" s="18">
        <v>0</v>
      </c>
      <c r="DA70" s="22">
        <v>0</v>
      </c>
      <c r="DB70" s="22">
        <v>0</v>
      </c>
      <c r="DC70" s="25">
        <f>SUM(CP70:DB70)</f>
        <v>0</v>
      </c>
      <c r="DD70" s="107"/>
      <c r="DE70" s="298"/>
      <c r="DF70" s="305"/>
      <c r="DG70" s="20" t="s">
        <v>25</v>
      </c>
      <c r="DH70" s="12">
        <v>0</v>
      </c>
      <c r="DI70" s="18">
        <v>0</v>
      </c>
      <c r="DJ70" s="12">
        <v>0</v>
      </c>
      <c r="DK70" s="13">
        <v>0</v>
      </c>
      <c r="DL70" s="15">
        <v>0</v>
      </c>
      <c r="DM70" s="15">
        <v>0</v>
      </c>
      <c r="DN70" s="16">
        <v>0</v>
      </c>
      <c r="DO70" s="17">
        <v>0</v>
      </c>
      <c r="DP70" s="14">
        <v>0</v>
      </c>
      <c r="DQ70" s="17">
        <v>0</v>
      </c>
      <c r="DR70" s="18">
        <v>0</v>
      </c>
      <c r="DS70" s="22">
        <v>0</v>
      </c>
      <c r="DT70" s="22">
        <v>0</v>
      </c>
      <c r="DU70" s="25">
        <f>SUM(DH70:DT70)</f>
        <v>0</v>
      </c>
      <c r="DV70" s="107"/>
      <c r="DW70" s="298"/>
      <c r="DX70" s="305"/>
      <c r="DY70" s="20" t="s">
        <v>25</v>
      </c>
      <c r="DZ70" s="244">
        <v>0</v>
      </c>
      <c r="EA70" s="245">
        <v>0</v>
      </c>
      <c r="EB70" s="244">
        <v>0</v>
      </c>
      <c r="EC70" s="246">
        <v>0</v>
      </c>
      <c r="ED70" s="247">
        <v>0</v>
      </c>
      <c r="EE70" s="247">
        <v>0</v>
      </c>
      <c r="EF70" s="248">
        <v>0</v>
      </c>
      <c r="EG70" s="249">
        <v>0</v>
      </c>
      <c r="EH70" s="250">
        <v>0</v>
      </c>
      <c r="EI70" s="249">
        <v>0</v>
      </c>
      <c r="EJ70" s="245">
        <v>0</v>
      </c>
      <c r="EK70" s="251">
        <v>0</v>
      </c>
      <c r="EL70" s="251">
        <v>0</v>
      </c>
      <c r="EM70" s="228">
        <f t="shared" si="313"/>
        <v>0</v>
      </c>
      <c r="EN70" s="107"/>
      <c r="EO70" s="298"/>
      <c r="EP70" s="305"/>
      <c r="EQ70" s="20" t="s">
        <v>25</v>
      </c>
      <c r="ER70" s="12">
        <v>0</v>
      </c>
      <c r="ES70" s="18">
        <v>0</v>
      </c>
      <c r="ET70" s="12">
        <v>0</v>
      </c>
      <c r="EU70" s="13">
        <v>0</v>
      </c>
      <c r="EV70" s="15">
        <v>0</v>
      </c>
      <c r="EW70" s="15">
        <v>0</v>
      </c>
      <c r="EX70" s="16">
        <v>0</v>
      </c>
      <c r="EY70" s="17">
        <v>0</v>
      </c>
      <c r="EZ70" s="14">
        <v>0</v>
      </c>
      <c r="FA70" s="17">
        <v>0</v>
      </c>
      <c r="FB70" s="18">
        <v>0</v>
      </c>
      <c r="FC70" s="22">
        <v>0</v>
      </c>
      <c r="FD70" s="22">
        <v>0</v>
      </c>
      <c r="FE70" s="25">
        <f>SUM(ER70:FD70)</f>
        <v>0</v>
      </c>
      <c r="FF70" s="107"/>
      <c r="FG70" s="298"/>
      <c r="FH70" s="305"/>
      <c r="FI70" s="20" t="s">
        <v>25</v>
      </c>
      <c r="FJ70" s="12">
        <v>0</v>
      </c>
      <c r="FK70" s="18">
        <v>0</v>
      </c>
      <c r="FL70" s="12">
        <v>0</v>
      </c>
      <c r="FM70" s="13">
        <v>0</v>
      </c>
      <c r="FN70" s="15">
        <v>0</v>
      </c>
      <c r="FO70" s="15">
        <v>0</v>
      </c>
      <c r="FP70" s="16">
        <v>0</v>
      </c>
      <c r="FQ70" s="17">
        <v>0</v>
      </c>
      <c r="FR70" s="14">
        <v>0</v>
      </c>
      <c r="FS70" s="17">
        <v>0</v>
      </c>
      <c r="FT70" s="18">
        <v>0</v>
      </c>
      <c r="FU70" s="22">
        <v>0</v>
      </c>
      <c r="FV70" s="22">
        <v>0</v>
      </c>
      <c r="FW70" s="25">
        <f>SUM(FJ70:FV70)</f>
        <v>0</v>
      </c>
      <c r="FX70" s="107"/>
      <c r="FY70" s="298"/>
      <c r="FZ70" s="305"/>
      <c r="GA70" s="20" t="s">
        <v>25</v>
      </c>
      <c r="GB70" s="12">
        <v>0</v>
      </c>
      <c r="GC70" s="18">
        <v>0</v>
      </c>
      <c r="GD70" s="12">
        <v>0</v>
      </c>
      <c r="GE70" s="13">
        <v>0</v>
      </c>
      <c r="GF70" s="15">
        <v>0</v>
      </c>
      <c r="GG70" s="15">
        <v>0</v>
      </c>
      <c r="GH70" s="16">
        <v>0</v>
      </c>
      <c r="GI70" s="17">
        <v>0</v>
      </c>
      <c r="GJ70" s="14">
        <v>0</v>
      </c>
      <c r="GK70" s="17">
        <v>0</v>
      </c>
      <c r="GL70" s="18">
        <v>0</v>
      </c>
      <c r="GM70" s="22">
        <v>0</v>
      </c>
      <c r="GN70" s="22">
        <v>0</v>
      </c>
      <c r="GO70" s="25">
        <f>SUM(GB70:GN70)</f>
        <v>0</v>
      </c>
      <c r="GP70" s="107"/>
      <c r="GQ70" s="298"/>
      <c r="GR70" s="305"/>
      <c r="GS70" s="20" t="s">
        <v>25</v>
      </c>
      <c r="GT70" s="12">
        <v>0</v>
      </c>
      <c r="GU70" s="18">
        <v>0</v>
      </c>
      <c r="GV70" s="12">
        <v>0</v>
      </c>
      <c r="GW70" s="13">
        <v>0</v>
      </c>
      <c r="GX70" s="15">
        <v>0</v>
      </c>
      <c r="GY70" s="15">
        <v>0</v>
      </c>
      <c r="GZ70" s="16">
        <v>0</v>
      </c>
      <c r="HA70" s="17">
        <v>0</v>
      </c>
      <c r="HB70" s="14">
        <v>0</v>
      </c>
      <c r="HC70" s="17">
        <v>0</v>
      </c>
      <c r="HD70" s="18">
        <v>0</v>
      </c>
      <c r="HE70" s="22">
        <v>0</v>
      </c>
      <c r="HF70" s="22">
        <v>0</v>
      </c>
      <c r="HG70" s="25">
        <f>SUM(GT70:HF70)</f>
        <v>0</v>
      </c>
      <c r="HH70" s="107"/>
      <c r="HI70" s="298"/>
      <c r="HJ70" s="305"/>
      <c r="HK70" s="20" t="s">
        <v>25</v>
      </c>
      <c r="HL70" s="12">
        <f t="shared" si="314"/>
        <v>0</v>
      </c>
      <c r="HM70" s="14">
        <f t="shared" si="315"/>
        <v>0</v>
      </c>
      <c r="HN70" s="17">
        <f t="shared" si="316"/>
        <v>0</v>
      </c>
      <c r="HO70" s="13">
        <f t="shared" si="317"/>
        <v>0</v>
      </c>
      <c r="HP70" s="13">
        <f t="shared" si="318"/>
        <v>0</v>
      </c>
      <c r="HQ70" s="13">
        <f t="shared" si="319"/>
        <v>0</v>
      </c>
      <c r="HR70" s="14">
        <f t="shared" si="320"/>
        <v>0</v>
      </c>
      <c r="HS70" s="17">
        <f t="shared" si="321"/>
        <v>0</v>
      </c>
      <c r="HT70" s="14">
        <f t="shared" si="322"/>
        <v>0</v>
      </c>
      <c r="HU70" s="17">
        <f t="shared" si="323"/>
        <v>0</v>
      </c>
      <c r="HV70" s="14">
        <f t="shared" si="324"/>
        <v>0</v>
      </c>
      <c r="HW70" s="45">
        <f t="shared" si="325"/>
        <v>0</v>
      </c>
      <c r="HX70" s="45">
        <f t="shared" si="326"/>
        <v>0</v>
      </c>
      <c r="HY70" s="39">
        <f>SUM(HL70:HX70)</f>
        <v>0</v>
      </c>
      <c r="HZ70" s="28"/>
    </row>
    <row r="71" spans="1:234" s="11" customFormat="1" ht="20.100000000000001" customHeight="1" thickBot="1" x14ac:dyDescent="0.25">
      <c r="A71" s="298"/>
      <c r="B71" s="295" t="s">
        <v>26</v>
      </c>
      <c r="C71" s="296"/>
      <c r="D71" s="306">
        <f>SUM(D69:E70)</f>
        <v>0</v>
      </c>
      <c r="E71" s="307"/>
      <c r="F71" s="306">
        <f>SUM(F69:J70)</f>
        <v>0</v>
      </c>
      <c r="G71" s="368"/>
      <c r="H71" s="368"/>
      <c r="I71" s="368"/>
      <c r="J71" s="307"/>
      <c r="K71" s="306">
        <f>SUM(K69:L70)</f>
        <v>0</v>
      </c>
      <c r="L71" s="307"/>
      <c r="M71" s="306">
        <f>SUM(M69:N70)</f>
        <v>0</v>
      </c>
      <c r="N71" s="307"/>
      <c r="O71" s="94">
        <f>SUM(O69:O70)</f>
        <v>0</v>
      </c>
      <c r="P71" s="94">
        <f>SUM(P69:P70)</f>
        <v>0</v>
      </c>
      <c r="Q71" s="126">
        <f>SUM(Q69:Q70)</f>
        <v>0</v>
      </c>
      <c r="R71" s="133"/>
      <c r="S71" s="298"/>
      <c r="T71" s="295" t="s">
        <v>26</v>
      </c>
      <c r="U71" s="296"/>
      <c r="V71" s="306">
        <f>SUM(V69:W70)</f>
        <v>0</v>
      </c>
      <c r="W71" s="307"/>
      <c r="X71" s="306">
        <f>SUM(X69:AB70)</f>
        <v>0</v>
      </c>
      <c r="Y71" s="368"/>
      <c r="Z71" s="368"/>
      <c r="AA71" s="368"/>
      <c r="AB71" s="307"/>
      <c r="AC71" s="306">
        <f>SUM(AC69:AD70)</f>
        <v>0</v>
      </c>
      <c r="AD71" s="307"/>
      <c r="AE71" s="306">
        <f>SUM(AE69:AF70)</f>
        <v>0</v>
      </c>
      <c r="AF71" s="307"/>
      <c r="AG71" s="94">
        <f>SUM(AG69:AG70)</f>
        <v>0</v>
      </c>
      <c r="AH71" s="94">
        <f>SUM(AH69:AH70)</f>
        <v>0</v>
      </c>
      <c r="AI71" s="126">
        <f>SUM(AI69:AI70)</f>
        <v>0</v>
      </c>
      <c r="AJ71" s="133"/>
      <c r="AK71" s="298"/>
      <c r="AL71" s="295" t="s">
        <v>26</v>
      </c>
      <c r="AM71" s="296"/>
      <c r="AN71" s="306">
        <f>SUM(AN69:AO70)</f>
        <v>0</v>
      </c>
      <c r="AO71" s="307"/>
      <c r="AP71" s="306">
        <f>SUM(AP69:AT70)</f>
        <v>0</v>
      </c>
      <c r="AQ71" s="368"/>
      <c r="AR71" s="368"/>
      <c r="AS71" s="368"/>
      <c r="AT71" s="307"/>
      <c r="AU71" s="306">
        <f>SUM(AU69:AV70)</f>
        <v>0</v>
      </c>
      <c r="AV71" s="307"/>
      <c r="AW71" s="306">
        <f>SUM(AW69:AX70)</f>
        <v>0</v>
      </c>
      <c r="AX71" s="307"/>
      <c r="AY71" s="94">
        <f>SUM(AY69:AY70)</f>
        <v>0</v>
      </c>
      <c r="AZ71" s="94">
        <f>SUM(AZ69:AZ70)</f>
        <v>0</v>
      </c>
      <c r="BA71" s="126">
        <f>SUM(BA69:BA70)</f>
        <v>0</v>
      </c>
      <c r="BB71" s="133"/>
      <c r="BC71" s="298"/>
      <c r="BD71" s="295" t="s">
        <v>26</v>
      </c>
      <c r="BE71" s="296"/>
      <c r="BF71" s="306">
        <f>SUM(BF69:BG70)</f>
        <v>0</v>
      </c>
      <c r="BG71" s="307"/>
      <c r="BH71" s="306">
        <f>SUM(BH69:BL70)</f>
        <v>0</v>
      </c>
      <c r="BI71" s="368"/>
      <c r="BJ71" s="368"/>
      <c r="BK71" s="368"/>
      <c r="BL71" s="307"/>
      <c r="BM71" s="306">
        <f>SUM(BM69:BN70)</f>
        <v>0</v>
      </c>
      <c r="BN71" s="307"/>
      <c r="BO71" s="306">
        <f>SUM(BO69:BP70)</f>
        <v>0</v>
      </c>
      <c r="BP71" s="307"/>
      <c r="BQ71" s="94">
        <f>SUM(BQ69:BQ70)</f>
        <v>0</v>
      </c>
      <c r="BR71" s="94">
        <f>SUM(BR69:BR70)</f>
        <v>0</v>
      </c>
      <c r="BS71" s="126">
        <f>SUM(BS69:BS70)</f>
        <v>0</v>
      </c>
      <c r="BT71" s="133"/>
      <c r="BU71" s="298"/>
      <c r="BV71" s="295" t="s">
        <v>26</v>
      </c>
      <c r="BW71" s="296"/>
      <c r="BX71" s="306">
        <f>SUM(BX69:BY70)</f>
        <v>0</v>
      </c>
      <c r="BY71" s="307"/>
      <c r="BZ71" s="306">
        <f>SUM(BZ69:CD70)</f>
        <v>0</v>
      </c>
      <c r="CA71" s="368"/>
      <c r="CB71" s="368"/>
      <c r="CC71" s="368"/>
      <c r="CD71" s="307"/>
      <c r="CE71" s="306">
        <f>SUM(CE69:CF70)</f>
        <v>0</v>
      </c>
      <c r="CF71" s="307"/>
      <c r="CG71" s="306">
        <f>SUM(CG69:CH70)</f>
        <v>0</v>
      </c>
      <c r="CH71" s="307"/>
      <c r="CI71" s="94">
        <f>SUM(CI69:CI70)</f>
        <v>0</v>
      </c>
      <c r="CJ71" s="94">
        <f>SUM(CJ69:CJ70)</f>
        <v>0</v>
      </c>
      <c r="CK71" s="126">
        <f>SUM(CK69:CK70)</f>
        <v>0</v>
      </c>
      <c r="CL71" s="133"/>
      <c r="CM71" s="298"/>
      <c r="CN71" s="295" t="s">
        <v>26</v>
      </c>
      <c r="CO71" s="296"/>
      <c r="CP71" s="306">
        <f>SUM(CP69:CQ70)</f>
        <v>0</v>
      </c>
      <c r="CQ71" s="307"/>
      <c r="CR71" s="306">
        <f>SUM(CR69:CV70)</f>
        <v>0</v>
      </c>
      <c r="CS71" s="368"/>
      <c r="CT71" s="368"/>
      <c r="CU71" s="368"/>
      <c r="CV71" s="307"/>
      <c r="CW71" s="306">
        <f>SUM(CW69:CX70)</f>
        <v>0</v>
      </c>
      <c r="CX71" s="307"/>
      <c r="CY71" s="306">
        <f>SUM(CY69:CZ70)</f>
        <v>0</v>
      </c>
      <c r="CZ71" s="307"/>
      <c r="DA71" s="94">
        <f>SUM(DA69:DA70)</f>
        <v>0</v>
      </c>
      <c r="DB71" s="94">
        <f>SUM(DB69:DB70)</f>
        <v>0</v>
      </c>
      <c r="DC71" s="26">
        <f>SUM(DC69:DC70)</f>
        <v>0</v>
      </c>
      <c r="DD71" s="107"/>
      <c r="DE71" s="298"/>
      <c r="DF71" s="295" t="s">
        <v>26</v>
      </c>
      <c r="DG71" s="296"/>
      <c r="DH71" s="306">
        <f>SUM(DH69:DI70)</f>
        <v>0</v>
      </c>
      <c r="DI71" s="307"/>
      <c r="DJ71" s="306">
        <f>SUM(DJ69:DN70)</f>
        <v>0</v>
      </c>
      <c r="DK71" s="368"/>
      <c r="DL71" s="368"/>
      <c r="DM71" s="368"/>
      <c r="DN71" s="307"/>
      <c r="DO71" s="306">
        <f>SUM(DO69:DP70)</f>
        <v>0</v>
      </c>
      <c r="DP71" s="307"/>
      <c r="DQ71" s="306">
        <f>SUM(DQ69:DR70)</f>
        <v>0</v>
      </c>
      <c r="DR71" s="307"/>
      <c r="DS71" s="94">
        <f>SUM(DS69:DS70)</f>
        <v>0</v>
      </c>
      <c r="DT71" s="94">
        <f>SUM(DT69:DT70)</f>
        <v>0</v>
      </c>
      <c r="DU71" s="26">
        <f>SUM(DU69:DU70)</f>
        <v>0</v>
      </c>
      <c r="DV71" s="107"/>
      <c r="DW71" s="298"/>
      <c r="DX71" s="295" t="s">
        <v>26</v>
      </c>
      <c r="DY71" s="296"/>
      <c r="DZ71" s="359">
        <f>SUM(DZ69:EA70)</f>
        <v>0</v>
      </c>
      <c r="EA71" s="361"/>
      <c r="EB71" s="359">
        <f>SUM(EB69:EF70)</f>
        <v>0</v>
      </c>
      <c r="EC71" s="360"/>
      <c r="ED71" s="360"/>
      <c r="EE71" s="360"/>
      <c r="EF71" s="361"/>
      <c r="EG71" s="359">
        <f>SUM(EG69:EH70)</f>
        <v>0</v>
      </c>
      <c r="EH71" s="361"/>
      <c r="EI71" s="359">
        <f>SUM(EI69:EJ70)</f>
        <v>0</v>
      </c>
      <c r="EJ71" s="361"/>
      <c r="EK71" s="229">
        <f t="shared" ref="EK71:EM71" si="327">SUM(EK69:EK70)</f>
        <v>0</v>
      </c>
      <c r="EL71" s="229">
        <f t="shared" si="327"/>
        <v>0</v>
      </c>
      <c r="EM71" s="230">
        <f t="shared" si="327"/>
        <v>0</v>
      </c>
      <c r="EN71" s="107"/>
      <c r="EO71" s="298"/>
      <c r="EP71" s="295" t="s">
        <v>26</v>
      </c>
      <c r="EQ71" s="296"/>
      <c r="ER71" s="306">
        <f>SUM(ER69:ES70)</f>
        <v>0</v>
      </c>
      <c r="ES71" s="307"/>
      <c r="ET71" s="306">
        <f>SUM(ET69:EX70)</f>
        <v>0</v>
      </c>
      <c r="EU71" s="368"/>
      <c r="EV71" s="368"/>
      <c r="EW71" s="368"/>
      <c r="EX71" s="307"/>
      <c r="EY71" s="306">
        <f>SUM(EY69:EZ70)</f>
        <v>0</v>
      </c>
      <c r="EZ71" s="307"/>
      <c r="FA71" s="306">
        <f>SUM(FA69:FB70)</f>
        <v>0</v>
      </c>
      <c r="FB71" s="307"/>
      <c r="FC71" s="94">
        <f>SUM(FC69:FC70)</f>
        <v>0</v>
      </c>
      <c r="FD71" s="94">
        <f>SUM(FD69:FD70)</f>
        <v>0</v>
      </c>
      <c r="FE71" s="26">
        <f>SUM(FE69:FE70)</f>
        <v>0</v>
      </c>
      <c r="FF71" s="107"/>
      <c r="FG71" s="298"/>
      <c r="FH71" s="295" t="s">
        <v>26</v>
      </c>
      <c r="FI71" s="296"/>
      <c r="FJ71" s="306">
        <f>SUM(FJ69:FK70)</f>
        <v>0</v>
      </c>
      <c r="FK71" s="307"/>
      <c r="FL71" s="306">
        <f>SUM(FL69:FP70)</f>
        <v>0</v>
      </c>
      <c r="FM71" s="368"/>
      <c r="FN71" s="368"/>
      <c r="FO71" s="368"/>
      <c r="FP71" s="307"/>
      <c r="FQ71" s="306">
        <f>SUM(FQ69:FR70)</f>
        <v>0</v>
      </c>
      <c r="FR71" s="307"/>
      <c r="FS71" s="306">
        <f>SUM(FS69:FT70)</f>
        <v>0</v>
      </c>
      <c r="FT71" s="307"/>
      <c r="FU71" s="94">
        <f>SUM(FU69:FU70)</f>
        <v>0</v>
      </c>
      <c r="FV71" s="94">
        <f>SUM(FV69:FV70)</f>
        <v>0</v>
      </c>
      <c r="FW71" s="26">
        <f>SUM(FW69:FW70)</f>
        <v>0</v>
      </c>
      <c r="FX71" s="107"/>
      <c r="FY71" s="298"/>
      <c r="FZ71" s="295" t="s">
        <v>26</v>
      </c>
      <c r="GA71" s="296"/>
      <c r="GB71" s="306">
        <f>SUM(GB69:GC70)</f>
        <v>0</v>
      </c>
      <c r="GC71" s="307"/>
      <c r="GD71" s="306">
        <f>SUM(GD69:GH70)</f>
        <v>0</v>
      </c>
      <c r="GE71" s="368"/>
      <c r="GF71" s="368"/>
      <c r="GG71" s="368"/>
      <c r="GH71" s="307"/>
      <c r="GI71" s="306">
        <f>SUM(GI69:GJ70)</f>
        <v>0</v>
      </c>
      <c r="GJ71" s="307"/>
      <c r="GK71" s="306">
        <f>SUM(GK69:GL70)</f>
        <v>0</v>
      </c>
      <c r="GL71" s="307"/>
      <c r="GM71" s="94">
        <f>SUM(GM69:GM70)</f>
        <v>0</v>
      </c>
      <c r="GN71" s="94">
        <f>SUM(GN69:GN70)</f>
        <v>0</v>
      </c>
      <c r="GO71" s="26">
        <f>SUM(GO69:GO70)</f>
        <v>0</v>
      </c>
      <c r="GP71" s="107"/>
      <c r="GQ71" s="298"/>
      <c r="GR71" s="295" t="s">
        <v>26</v>
      </c>
      <c r="GS71" s="296"/>
      <c r="GT71" s="306">
        <f>SUM(GT69:GU70)</f>
        <v>0</v>
      </c>
      <c r="GU71" s="307"/>
      <c r="GV71" s="306">
        <f>SUM(GV69:GZ70)</f>
        <v>0</v>
      </c>
      <c r="GW71" s="368"/>
      <c r="GX71" s="368"/>
      <c r="GY71" s="368"/>
      <c r="GZ71" s="307"/>
      <c r="HA71" s="306">
        <f>SUM(HA69:HB70)</f>
        <v>0</v>
      </c>
      <c r="HB71" s="307"/>
      <c r="HC71" s="306">
        <f>SUM(HC69:HD70)</f>
        <v>0</v>
      </c>
      <c r="HD71" s="307"/>
      <c r="HE71" s="94">
        <f>SUM(HE69:HE70)</f>
        <v>0</v>
      </c>
      <c r="HF71" s="94">
        <f>SUM(HF69:HF70)</f>
        <v>0</v>
      </c>
      <c r="HG71" s="26">
        <f>SUM(HG69:HG70)</f>
        <v>0</v>
      </c>
      <c r="HH71" s="107"/>
      <c r="HI71" s="298"/>
      <c r="HJ71" s="295" t="s">
        <v>26</v>
      </c>
      <c r="HK71" s="313"/>
      <c r="HL71" s="306">
        <f>SUM(HL69:HM70)</f>
        <v>0</v>
      </c>
      <c r="HM71" s="307"/>
      <c r="HN71" s="306">
        <f>SUM(HN69:HR70)</f>
        <v>0</v>
      </c>
      <c r="HO71" s="368"/>
      <c r="HP71" s="368"/>
      <c r="HQ71" s="368"/>
      <c r="HR71" s="307"/>
      <c r="HS71" s="306">
        <f>SUM(HS69:HT70)</f>
        <v>0</v>
      </c>
      <c r="HT71" s="307"/>
      <c r="HU71" s="306">
        <f>SUM(HU69:HV70)</f>
        <v>0</v>
      </c>
      <c r="HV71" s="307"/>
      <c r="HW71" s="43">
        <f>SUM(HW69:HW70)</f>
        <v>0</v>
      </c>
      <c r="HX71" s="43">
        <f>SUM(HX69:HX70)</f>
        <v>0</v>
      </c>
      <c r="HY71" s="26">
        <f>SUM(HY69:HY70)</f>
        <v>0</v>
      </c>
      <c r="HZ71" s="28"/>
    </row>
    <row r="72" spans="1:234" s="11" customFormat="1" ht="20.100000000000001" customHeight="1" x14ac:dyDescent="0.2">
      <c r="A72" s="298"/>
      <c r="B72" s="311" t="s">
        <v>27</v>
      </c>
      <c r="C72" s="19" t="s">
        <v>24</v>
      </c>
      <c r="D72" s="8">
        <v>0</v>
      </c>
      <c r="E72" s="33">
        <v>0</v>
      </c>
      <c r="F72" s="8">
        <v>0</v>
      </c>
      <c r="G72" s="35">
        <v>0</v>
      </c>
      <c r="H72" s="36">
        <v>0</v>
      </c>
      <c r="I72" s="85">
        <v>0</v>
      </c>
      <c r="J72" s="37">
        <v>0</v>
      </c>
      <c r="K72" s="34">
        <v>0</v>
      </c>
      <c r="L72" s="9">
        <v>0</v>
      </c>
      <c r="M72" s="10">
        <v>0</v>
      </c>
      <c r="N72" s="86">
        <v>0</v>
      </c>
      <c r="O72" s="21">
        <v>0</v>
      </c>
      <c r="P72" s="21">
        <v>0</v>
      </c>
      <c r="Q72" s="124">
        <f>SUM(D72:P72)</f>
        <v>0</v>
      </c>
      <c r="R72" s="133"/>
      <c r="S72" s="298"/>
      <c r="T72" s="311" t="s">
        <v>27</v>
      </c>
      <c r="U72" s="19" t="s">
        <v>24</v>
      </c>
      <c r="V72" s="8">
        <v>0</v>
      </c>
      <c r="W72" s="33">
        <v>0</v>
      </c>
      <c r="X72" s="8">
        <v>0</v>
      </c>
      <c r="Y72" s="35">
        <v>0</v>
      </c>
      <c r="Z72" s="36">
        <v>0</v>
      </c>
      <c r="AA72" s="85">
        <v>0</v>
      </c>
      <c r="AB72" s="37">
        <v>0</v>
      </c>
      <c r="AC72" s="34">
        <v>0</v>
      </c>
      <c r="AD72" s="9">
        <v>0</v>
      </c>
      <c r="AE72" s="10">
        <v>0</v>
      </c>
      <c r="AF72" s="86">
        <v>0</v>
      </c>
      <c r="AG72" s="21">
        <v>0</v>
      </c>
      <c r="AH72" s="21">
        <v>0</v>
      </c>
      <c r="AI72" s="124">
        <f>SUM(V72:AH72)</f>
        <v>0</v>
      </c>
      <c r="AJ72" s="133"/>
      <c r="AK72" s="298"/>
      <c r="AL72" s="311" t="s">
        <v>27</v>
      </c>
      <c r="AM72" s="19" t="s">
        <v>24</v>
      </c>
      <c r="AN72" s="8">
        <v>0</v>
      </c>
      <c r="AO72" s="33">
        <v>0</v>
      </c>
      <c r="AP72" s="8">
        <v>0</v>
      </c>
      <c r="AQ72" s="35">
        <v>0</v>
      </c>
      <c r="AR72" s="36">
        <v>0</v>
      </c>
      <c r="AS72" s="85">
        <v>0</v>
      </c>
      <c r="AT72" s="37">
        <v>0</v>
      </c>
      <c r="AU72" s="34">
        <v>0</v>
      </c>
      <c r="AV72" s="9">
        <v>0</v>
      </c>
      <c r="AW72" s="10">
        <v>0</v>
      </c>
      <c r="AX72" s="86">
        <v>0</v>
      </c>
      <c r="AY72" s="21">
        <v>0</v>
      </c>
      <c r="AZ72" s="21">
        <v>0</v>
      </c>
      <c r="BA72" s="124">
        <f>SUM(AN72:AZ72)</f>
        <v>0</v>
      </c>
      <c r="BB72" s="133"/>
      <c r="BC72" s="298"/>
      <c r="BD72" s="311" t="s">
        <v>27</v>
      </c>
      <c r="BE72" s="19" t="s">
        <v>24</v>
      </c>
      <c r="BF72" s="8">
        <v>0</v>
      </c>
      <c r="BG72" s="33">
        <v>0</v>
      </c>
      <c r="BH72" s="8">
        <v>0</v>
      </c>
      <c r="BI72" s="35">
        <v>0</v>
      </c>
      <c r="BJ72" s="36">
        <v>0</v>
      </c>
      <c r="BK72" s="85">
        <v>0</v>
      </c>
      <c r="BL72" s="37">
        <v>0</v>
      </c>
      <c r="BM72" s="34">
        <v>0</v>
      </c>
      <c r="BN72" s="9">
        <v>0</v>
      </c>
      <c r="BO72" s="10">
        <v>0</v>
      </c>
      <c r="BP72" s="86">
        <v>0</v>
      </c>
      <c r="BQ72" s="21">
        <v>0</v>
      </c>
      <c r="BR72" s="21">
        <v>0</v>
      </c>
      <c r="BS72" s="124">
        <f>SUM(BF72:BR72)</f>
        <v>0</v>
      </c>
      <c r="BT72" s="133"/>
      <c r="BU72" s="298"/>
      <c r="BV72" s="311" t="s">
        <v>27</v>
      </c>
      <c r="BW72" s="19" t="s">
        <v>24</v>
      </c>
      <c r="BX72" s="8">
        <v>0</v>
      </c>
      <c r="BY72" s="33">
        <v>0</v>
      </c>
      <c r="BZ72" s="8">
        <v>0</v>
      </c>
      <c r="CA72" s="35">
        <v>0</v>
      </c>
      <c r="CB72" s="36">
        <v>0</v>
      </c>
      <c r="CC72" s="85">
        <v>0</v>
      </c>
      <c r="CD72" s="37">
        <v>0</v>
      </c>
      <c r="CE72" s="34">
        <v>0</v>
      </c>
      <c r="CF72" s="9">
        <v>0</v>
      </c>
      <c r="CG72" s="10">
        <v>0</v>
      </c>
      <c r="CH72" s="86">
        <v>0</v>
      </c>
      <c r="CI72" s="21">
        <v>0</v>
      </c>
      <c r="CJ72" s="21">
        <v>0</v>
      </c>
      <c r="CK72" s="124">
        <f>SUM(BX72:CJ72)</f>
        <v>0</v>
      </c>
      <c r="CL72" s="133"/>
      <c r="CM72" s="298"/>
      <c r="CN72" s="311" t="s">
        <v>27</v>
      </c>
      <c r="CO72" s="19" t="s">
        <v>24</v>
      </c>
      <c r="CP72" s="8">
        <v>0</v>
      </c>
      <c r="CQ72" s="33">
        <v>0</v>
      </c>
      <c r="CR72" s="8">
        <v>0</v>
      </c>
      <c r="CS72" s="35">
        <v>0</v>
      </c>
      <c r="CT72" s="36">
        <v>0</v>
      </c>
      <c r="CU72" s="85">
        <v>0</v>
      </c>
      <c r="CV72" s="37">
        <v>0</v>
      </c>
      <c r="CW72" s="34">
        <v>0</v>
      </c>
      <c r="CX72" s="9">
        <v>0</v>
      </c>
      <c r="CY72" s="10">
        <v>0</v>
      </c>
      <c r="CZ72" s="86">
        <v>0</v>
      </c>
      <c r="DA72" s="21">
        <v>0</v>
      </c>
      <c r="DB72" s="21">
        <v>0</v>
      </c>
      <c r="DC72" s="24">
        <f>SUM(CP72:DB72)</f>
        <v>0</v>
      </c>
      <c r="DD72" s="107"/>
      <c r="DE72" s="298"/>
      <c r="DF72" s="311" t="s">
        <v>27</v>
      </c>
      <c r="DG72" s="19" t="s">
        <v>24</v>
      </c>
      <c r="DH72" s="8">
        <v>0</v>
      </c>
      <c r="DI72" s="33">
        <v>0</v>
      </c>
      <c r="DJ72" s="8">
        <v>0</v>
      </c>
      <c r="DK72" s="35">
        <v>0</v>
      </c>
      <c r="DL72" s="36">
        <v>0</v>
      </c>
      <c r="DM72" s="85">
        <v>0</v>
      </c>
      <c r="DN72" s="37">
        <v>0</v>
      </c>
      <c r="DO72" s="34">
        <v>0</v>
      </c>
      <c r="DP72" s="9">
        <v>0</v>
      </c>
      <c r="DQ72" s="10">
        <v>0</v>
      </c>
      <c r="DR72" s="86">
        <v>0</v>
      </c>
      <c r="DS72" s="21">
        <v>0</v>
      </c>
      <c r="DT72" s="21">
        <v>0</v>
      </c>
      <c r="DU72" s="24">
        <f>SUM(DH72:DT72)</f>
        <v>0</v>
      </c>
      <c r="DV72" s="107"/>
      <c r="DW72" s="298"/>
      <c r="DX72" s="311" t="s">
        <v>27</v>
      </c>
      <c r="DY72" s="19" t="s">
        <v>24</v>
      </c>
      <c r="DZ72" s="233">
        <v>0</v>
      </c>
      <c r="EA72" s="234">
        <v>0</v>
      </c>
      <c r="EB72" s="233">
        <v>0</v>
      </c>
      <c r="EC72" s="235">
        <v>0</v>
      </c>
      <c r="ED72" s="236">
        <v>0</v>
      </c>
      <c r="EE72" s="237">
        <v>0</v>
      </c>
      <c r="EF72" s="238">
        <v>0</v>
      </c>
      <c r="EG72" s="239">
        <v>0</v>
      </c>
      <c r="EH72" s="240">
        <v>0</v>
      </c>
      <c r="EI72" s="241">
        <v>0</v>
      </c>
      <c r="EJ72" s="242">
        <v>0</v>
      </c>
      <c r="EK72" s="243">
        <v>0</v>
      </c>
      <c r="EL72" s="243">
        <v>0</v>
      </c>
      <c r="EM72" s="223">
        <f t="shared" ref="EM72:EM73" si="328">SUM(DZ72:EL72)</f>
        <v>0</v>
      </c>
      <c r="EN72" s="107"/>
      <c r="EO72" s="298"/>
      <c r="EP72" s="311" t="s">
        <v>27</v>
      </c>
      <c r="EQ72" s="19" t="s">
        <v>24</v>
      </c>
      <c r="ER72" s="8">
        <v>0</v>
      </c>
      <c r="ES72" s="33">
        <v>0</v>
      </c>
      <c r="ET72" s="8">
        <v>0</v>
      </c>
      <c r="EU72" s="35">
        <v>0</v>
      </c>
      <c r="EV72" s="36">
        <v>0</v>
      </c>
      <c r="EW72" s="85">
        <v>0</v>
      </c>
      <c r="EX72" s="37">
        <v>0</v>
      </c>
      <c r="EY72" s="34">
        <v>0</v>
      </c>
      <c r="EZ72" s="9">
        <v>0</v>
      </c>
      <c r="FA72" s="10">
        <v>0</v>
      </c>
      <c r="FB72" s="86">
        <v>0</v>
      </c>
      <c r="FC72" s="21">
        <v>0</v>
      </c>
      <c r="FD72" s="21">
        <v>0</v>
      </c>
      <c r="FE72" s="24">
        <f>SUM(ER72:FD72)</f>
        <v>0</v>
      </c>
      <c r="FF72" s="107"/>
      <c r="FG72" s="298"/>
      <c r="FH72" s="311" t="s">
        <v>27</v>
      </c>
      <c r="FI72" s="19" t="s">
        <v>24</v>
      </c>
      <c r="FJ72" s="8">
        <v>0</v>
      </c>
      <c r="FK72" s="33">
        <v>0</v>
      </c>
      <c r="FL72" s="8">
        <v>0</v>
      </c>
      <c r="FM72" s="35">
        <v>0</v>
      </c>
      <c r="FN72" s="36">
        <v>0</v>
      </c>
      <c r="FO72" s="85">
        <v>0</v>
      </c>
      <c r="FP72" s="37">
        <v>0</v>
      </c>
      <c r="FQ72" s="34">
        <v>0</v>
      </c>
      <c r="FR72" s="9">
        <v>0</v>
      </c>
      <c r="FS72" s="10">
        <v>0</v>
      </c>
      <c r="FT72" s="86">
        <v>0</v>
      </c>
      <c r="FU72" s="21">
        <v>0</v>
      </c>
      <c r="FV72" s="21">
        <v>0</v>
      </c>
      <c r="FW72" s="24">
        <f>SUM(FJ72:FV72)</f>
        <v>0</v>
      </c>
      <c r="FX72" s="107"/>
      <c r="FY72" s="298"/>
      <c r="FZ72" s="311" t="s">
        <v>27</v>
      </c>
      <c r="GA72" s="19" t="s">
        <v>24</v>
      </c>
      <c r="GB72" s="8">
        <v>0</v>
      </c>
      <c r="GC72" s="33">
        <v>0</v>
      </c>
      <c r="GD72" s="8">
        <v>0</v>
      </c>
      <c r="GE72" s="35">
        <v>0</v>
      </c>
      <c r="GF72" s="36">
        <v>0</v>
      </c>
      <c r="GG72" s="85">
        <v>0</v>
      </c>
      <c r="GH72" s="37">
        <v>0</v>
      </c>
      <c r="GI72" s="34">
        <v>0</v>
      </c>
      <c r="GJ72" s="9">
        <v>0</v>
      </c>
      <c r="GK72" s="10">
        <v>0</v>
      </c>
      <c r="GL72" s="86">
        <v>0</v>
      </c>
      <c r="GM72" s="21">
        <v>0</v>
      </c>
      <c r="GN72" s="21">
        <v>0</v>
      </c>
      <c r="GO72" s="24">
        <f>SUM(GB72:GN72)</f>
        <v>0</v>
      </c>
      <c r="GP72" s="107"/>
      <c r="GQ72" s="298"/>
      <c r="GR72" s="311" t="s">
        <v>27</v>
      </c>
      <c r="GS72" s="19" t="s">
        <v>24</v>
      </c>
      <c r="GT72" s="8">
        <v>0</v>
      </c>
      <c r="GU72" s="33">
        <v>0</v>
      </c>
      <c r="GV72" s="8">
        <v>0</v>
      </c>
      <c r="GW72" s="35">
        <v>0</v>
      </c>
      <c r="GX72" s="36">
        <v>0</v>
      </c>
      <c r="GY72" s="85">
        <v>0</v>
      </c>
      <c r="GZ72" s="37">
        <v>0</v>
      </c>
      <c r="HA72" s="34">
        <v>0</v>
      </c>
      <c r="HB72" s="9">
        <v>0</v>
      </c>
      <c r="HC72" s="10">
        <v>0</v>
      </c>
      <c r="HD72" s="86">
        <v>0</v>
      </c>
      <c r="HE72" s="21">
        <v>0</v>
      </c>
      <c r="HF72" s="21">
        <v>0</v>
      </c>
      <c r="HG72" s="24">
        <f>SUM(GT72:HF72)</f>
        <v>0</v>
      </c>
      <c r="HH72" s="107"/>
      <c r="HI72" s="298"/>
      <c r="HJ72" s="355" t="s">
        <v>27</v>
      </c>
      <c r="HK72" s="19" t="s">
        <v>24</v>
      </c>
      <c r="HL72" s="8">
        <f t="shared" ref="HL72:HL73" si="329">SUM(D72+V72+AN72+BF72+BX72+CP72+DH72+DZ72+ER72+FJ72+GB72+GT72)</f>
        <v>0</v>
      </c>
      <c r="HM72" s="9">
        <f t="shared" ref="HM72:HM73" si="330">SUM(E72+W72+AO72+BG72+BY72+CQ72+DI72+EA72+ES72+FK72+GC72+GU72)</f>
        <v>0</v>
      </c>
      <c r="HN72" s="34">
        <f t="shared" ref="HN72:HN73" si="331">SUM(F72+X72+AP72+BH72+BZ72+CR72+DJ72+EB72+ET72+FL72+GD72+GV72)</f>
        <v>0</v>
      </c>
      <c r="HO72" s="35">
        <f t="shared" ref="HO72:HO73" si="332">SUM(G72+Y72+AQ72+BI72+CA72+CS72+DK72+EC72+EU72+FM72+GE72+GW72)</f>
        <v>0</v>
      </c>
      <c r="HP72" s="35">
        <f t="shared" ref="HP72:HP73" si="333">SUM(H72+Z72+AR72+BJ72+CB72+CT72+DL72+ED72+EV72+FN72+GF72+GX72)</f>
        <v>0</v>
      </c>
      <c r="HQ72" s="46">
        <f t="shared" ref="HQ72:HQ73" si="334">SUM(I72+AA72+AS72+BK72+CC72+CU72+DM72+EE72+EW72+FO72+GG72+GY72)</f>
        <v>0</v>
      </c>
      <c r="HR72" s="9">
        <f t="shared" ref="HR72:HR73" si="335">SUM(J72+AB72+AT72+BL72+CD72+CV72+DN72+EF72+EX72+FP72+GH72+GZ72)</f>
        <v>0</v>
      </c>
      <c r="HS72" s="34">
        <f t="shared" ref="HS72:HS73" si="336">SUM(K72+AC72+AU72+BM72+CE72+CW72+DO72+EG72+EY72+FQ72+GI72+HA72)</f>
        <v>0</v>
      </c>
      <c r="HT72" s="9">
        <f t="shared" ref="HT72:HT73" si="337">SUM(L72+AD72+AV72+BN72+CF72+CX72+DP72+EH72+EZ72+FR72+GJ72+HB72)</f>
        <v>0</v>
      </c>
      <c r="HU72" s="34">
        <f t="shared" ref="HU72:HU73" si="338">SUM(M72+AE72+AW72+BO72+CG72+CY72+DQ72+EI72+FA72+FS72+GK72+HC72)</f>
        <v>0</v>
      </c>
      <c r="HV72" s="47">
        <f t="shared" ref="HV72:HV73" si="339">SUM(N72+AF72+AX72+BP72+CH72+CZ72+DR72+EJ72+FB72+FT72+GL72+HD72)</f>
        <v>0</v>
      </c>
      <c r="HW72" s="44">
        <f t="shared" ref="HW72:HW73" si="340">SUM(O72+AG72+AY72+BQ72+CI72+DA72+DS72+EK72+FC72+FU72+GM72+HE72)</f>
        <v>0</v>
      </c>
      <c r="HX72" s="44">
        <f t="shared" ref="HX72:HX73" si="341">SUM(P72+AH72+AZ72+BR72+CJ72+DB72+DT72+EL72+FD72+FV72+GN72+HF72)</f>
        <v>0</v>
      </c>
      <c r="HY72" s="24">
        <f>SUM(HL72:HX72)</f>
        <v>0</v>
      </c>
      <c r="HZ72" s="28"/>
    </row>
    <row r="73" spans="1:234" s="11" customFormat="1" ht="20.100000000000001" customHeight="1" thickBot="1" x14ac:dyDescent="0.25">
      <c r="A73" s="298"/>
      <c r="B73" s="312"/>
      <c r="C73" s="20" t="s">
        <v>25</v>
      </c>
      <c r="D73" s="12">
        <v>0</v>
      </c>
      <c r="E73" s="18">
        <v>0</v>
      </c>
      <c r="F73" s="12">
        <v>0</v>
      </c>
      <c r="G73" s="13">
        <v>0</v>
      </c>
      <c r="H73" s="15">
        <v>0</v>
      </c>
      <c r="I73" s="15">
        <v>0</v>
      </c>
      <c r="J73" s="16">
        <v>0</v>
      </c>
      <c r="K73" s="17">
        <v>0</v>
      </c>
      <c r="L73" s="14">
        <v>0</v>
      </c>
      <c r="M73" s="17">
        <v>0</v>
      </c>
      <c r="N73" s="18">
        <v>0</v>
      </c>
      <c r="O73" s="22">
        <v>0</v>
      </c>
      <c r="P73" s="22">
        <v>0</v>
      </c>
      <c r="Q73" s="125">
        <f>SUM(D73:P73)</f>
        <v>0</v>
      </c>
      <c r="R73" s="133"/>
      <c r="S73" s="298"/>
      <c r="T73" s="312"/>
      <c r="U73" s="20" t="s">
        <v>25</v>
      </c>
      <c r="V73" s="12">
        <v>0</v>
      </c>
      <c r="W73" s="18">
        <v>0</v>
      </c>
      <c r="X73" s="12">
        <v>0</v>
      </c>
      <c r="Y73" s="13">
        <v>0</v>
      </c>
      <c r="Z73" s="15">
        <v>0</v>
      </c>
      <c r="AA73" s="15">
        <v>0</v>
      </c>
      <c r="AB73" s="16">
        <v>0</v>
      </c>
      <c r="AC73" s="17">
        <v>0</v>
      </c>
      <c r="AD73" s="14">
        <v>0</v>
      </c>
      <c r="AE73" s="17">
        <v>0</v>
      </c>
      <c r="AF73" s="18">
        <v>0</v>
      </c>
      <c r="AG73" s="22">
        <v>0</v>
      </c>
      <c r="AH73" s="22">
        <v>0</v>
      </c>
      <c r="AI73" s="125">
        <f>SUM(V73:AH73)</f>
        <v>0</v>
      </c>
      <c r="AJ73" s="133"/>
      <c r="AK73" s="298"/>
      <c r="AL73" s="312"/>
      <c r="AM73" s="20" t="s">
        <v>25</v>
      </c>
      <c r="AN73" s="12">
        <v>0</v>
      </c>
      <c r="AO73" s="18">
        <v>0</v>
      </c>
      <c r="AP73" s="12">
        <v>0</v>
      </c>
      <c r="AQ73" s="13">
        <v>0</v>
      </c>
      <c r="AR73" s="15">
        <v>0</v>
      </c>
      <c r="AS73" s="15">
        <v>0</v>
      </c>
      <c r="AT73" s="16">
        <v>0</v>
      </c>
      <c r="AU73" s="17">
        <v>0</v>
      </c>
      <c r="AV73" s="14">
        <v>0</v>
      </c>
      <c r="AW73" s="17">
        <v>0</v>
      </c>
      <c r="AX73" s="18">
        <v>0</v>
      </c>
      <c r="AY73" s="22">
        <v>0</v>
      </c>
      <c r="AZ73" s="22">
        <v>0</v>
      </c>
      <c r="BA73" s="125">
        <f>SUM(AN73:AZ73)</f>
        <v>0</v>
      </c>
      <c r="BB73" s="133"/>
      <c r="BC73" s="298"/>
      <c r="BD73" s="312"/>
      <c r="BE73" s="20" t="s">
        <v>25</v>
      </c>
      <c r="BF73" s="12">
        <v>0</v>
      </c>
      <c r="BG73" s="18">
        <v>0</v>
      </c>
      <c r="BH73" s="12">
        <v>0</v>
      </c>
      <c r="BI73" s="13">
        <v>0</v>
      </c>
      <c r="BJ73" s="15">
        <v>0</v>
      </c>
      <c r="BK73" s="15">
        <v>0</v>
      </c>
      <c r="BL73" s="16">
        <v>0</v>
      </c>
      <c r="BM73" s="17">
        <v>0</v>
      </c>
      <c r="BN73" s="14">
        <v>0</v>
      </c>
      <c r="BO73" s="17">
        <v>0</v>
      </c>
      <c r="BP73" s="18">
        <v>0</v>
      </c>
      <c r="BQ73" s="22">
        <v>0</v>
      </c>
      <c r="BR73" s="22">
        <v>0</v>
      </c>
      <c r="BS73" s="125">
        <f>SUM(BF73:BR73)</f>
        <v>0</v>
      </c>
      <c r="BT73" s="133"/>
      <c r="BU73" s="298"/>
      <c r="BV73" s="312"/>
      <c r="BW73" s="20" t="s">
        <v>25</v>
      </c>
      <c r="BX73" s="12">
        <v>0</v>
      </c>
      <c r="BY73" s="18">
        <v>0</v>
      </c>
      <c r="BZ73" s="12">
        <v>0</v>
      </c>
      <c r="CA73" s="13">
        <v>0</v>
      </c>
      <c r="CB73" s="15">
        <v>0</v>
      </c>
      <c r="CC73" s="15">
        <v>0</v>
      </c>
      <c r="CD73" s="16">
        <v>0</v>
      </c>
      <c r="CE73" s="17">
        <v>0</v>
      </c>
      <c r="CF73" s="14">
        <v>0</v>
      </c>
      <c r="CG73" s="17">
        <v>0</v>
      </c>
      <c r="CH73" s="18">
        <v>0</v>
      </c>
      <c r="CI73" s="22">
        <v>0</v>
      </c>
      <c r="CJ73" s="22">
        <v>0</v>
      </c>
      <c r="CK73" s="125">
        <f>SUM(BX73:CJ73)</f>
        <v>0</v>
      </c>
      <c r="CL73" s="133"/>
      <c r="CM73" s="298"/>
      <c r="CN73" s="312"/>
      <c r="CO73" s="20" t="s">
        <v>25</v>
      </c>
      <c r="CP73" s="12">
        <v>0</v>
      </c>
      <c r="CQ73" s="18">
        <v>0</v>
      </c>
      <c r="CR73" s="12">
        <v>0</v>
      </c>
      <c r="CS73" s="13">
        <v>0</v>
      </c>
      <c r="CT73" s="15">
        <v>0</v>
      </c>
      <c r="CU73" s="15">
        <v>0</v>
      </c>
      <c r="CV73" s="16">
        <v>0</v>
      </c>
      <c r="CW73" s="17">
        <v>0</v>
      </c>
      <c r="CX73" s="14">
        <v>0</v>
      </c>
      <c r="CY73" s="17">
        <v>0</v>
      </c>
      <c r="CZ73" s="18">
        <v>0</v>
      </c>
      <c r="DA73" s="22">
        <v>0</v>
      </c>
      <c r="DB73" s="22">
        <v>0</v>
      </c>
      <c r="DC73" s="25">
        <f>SUM(CP73:DB73)</f>
        <v>0</v>
      </c>
      <c r="DD73" s="107"/>
      <c r="DE73" s="298"/>
      <c r="DF73" s="312"/>
      <c r="DG73" s="20" t="s">
        <v>25</v>
      </c>
      <c r="DH73" s="12">
        <v>0</v>
      </c>
      <c r="DI73" s="18">
        <v>0</v>
      </c>
      <c r="DJ73" s="12">
        <v>0</v>
      </c>
      <c r="DK73" s="13">
        <v>0</v>
      </c>
      <c r="DL73" s="15">
        <v>0</v>
      </c>
      <c r="DM73" s="15">
        <v>0</v>
      </c>
      <c r="DN73" s="16">
        <v>0</v>
      </c>
      <c r="DO73" s="17">
        <v>0</v>
      </c>
      <c r="DP73" s="14">
        <v>0</v>
      </c>
      <c r="DQ73" s="17">
        <v>0</v>
      </c>
      <c r="DR73" s="18">
        <v>0</v>
      </c>
      <c r="DS73" s="22">
        <v>0</v>
      </c>
      <c r="DT73" s="22">
        <v>0</v>
      </c>
      <c r="DU73" s="25">
        <f>SUM(DH73:DT73)</f>
        <v>0</v>
      </c>
      <c r="DV73" s="107"/>
      <c r="DW73" s="298"/>
      <c r="DX73" s="312"/>
      <c r="DY73" s="20" t="s">
        <v>25</v>
      </c>
      <c r="DZ73" s="244">
        <v>0</v>
      </c>
      <c r="EA73" s="245">
        <v>0</v>
      </c>
      <c r="EB73" s="244">
        <v>0</v>
      </c>
      <c r="EC73" s="246">
        <v>0</v>
      </c>
      <c r="ED73" s="247">
        <v>0</v>
      </c>
      <c r="EE73" s="247">
        <v>0</v>
      </c>
      <c r="EF73" s="248">
        <v>0</v>
      </c>
      <c r="EG73" s="249">
        <v>0</v>
      </c>
      <c r="EH73" s="250">
        <v>0</v>
      </c>
      <c r="EI73" s="249">
        <v>0</v>
      </c>
      <c r="EJ73" s="245">
        <v>0</v>
      </c>
      <c r="EK73" s="251">
        <v>0</v>
      </c>
      <c r="EL73" s="251">
        <v>0</v>
      </c>
      <c r="EM73" s="228">
        <f t="shared" si="328"/>
        <v>0</v>
      </c>
      <c r="EN73" s="107"/>
      <c r="EO73" s="298"/>
      <c r="EP73" s="312"/>
      <c r="EQ73" s="20" t="s">
        <v>25</v>
      </c>
      <c r="ER73" s="12">
        <v>0</v>
      </c>
      <c r="ES73" s="18">
        <v>0</v>
      </c>
      <c r="ET73" s="12">
        <v>0</v>
      </c>
      <c r="EU73" s="13">
        <v>0</v>
      </c>
      <c r="EV73" s="15">
        <v>0</v>
      </c>
      <c r="EW73" s="15">
        <v>0</v>
      </c>
      <c r="EX73" s="16">
        <v>0</v>
      </c>
      <c r="EY73" s="17">
        <v>0</v>
      </c>
      <c r="EZ73" s="14">
        <v>0</v>
      </c>
      <c r="FA73" s="17">
        <v>0</v>
      </c>
      <c r="FB73" s="18">
        <v>0</v>
      </c>
      <c r="FC73" s="22">
        <v>0</v>
      </c>
      <c r="FD73" s="22">
        <v>0</v>
      </c>
      <c r="FE73" s="25">
        <f>SUM(ER73:FD73)</f>
        <v>0</v>
      </c>
      <c r="FF73" s="107"/>
      <c r="FG73" s="298"/>
      <c r="FH73" s="312"/>
      <c r="FI73" s="20" t="s">
        <v>25</v>
      </c>
      <c r="FJ73" s="12">
        <v>0</v>
      </c>
      <c r="FK73" s="18">
        <v>0</v>
      </c>
      <c r="FL73" s="12">
        <v>0</v>
      </c>
      <c r="FM73" s="13">
        <v>0</v>
      </c>
      <c r="FN73" s="15">
        <v>0</v>
      </c>
      <c r="FO73" s="15">
        <v>0</v>
      </c>
      <c r="FP73" s="16">
        <v>0</v>
      </c>
      <c r="FQ73" s="17">
        <v>0</v>
      </c>
      <c r="FR73" s="14">
        <v>0</v>
      </c>
      <c r="FS73" s="17">
        <v>0</v>
      </c>
      <c r="FT73" s="18">
        <v>0</v>
      </c>
      <c r="FU73" s="22">
        <v>0</v>
      </c>
      <c r="FV73" s="22">
        <v>0</v>
      </c>
      <c r="FW73" s="25">
        <f>SUM(FJ73:FV73)</f>
        <v>0</v>
      </c>
      <c r="FX73" s="107"/>
      <c r="FY73" s="298"/>
      <c r="FZ73" s="312"/>
      <c r="GA73" s="20" t="s">
        <v>25</v>
      </c>
      <c r="GB73" s="12">
        <v>0</v>
      </c>
      <c r="GC73" s="18">
        <v>0</v>
      </c>
      <c r="GD73" s="12">
        <v>0</v>
      </c>
      <c r="GE73" s="13">
        <v>0</v>
      </c>
      <c r="GF73" s="15">
        <v>0</v>
      </c>
      <c r="GG73" s="15">
        <v>0</v>
      </c>
      <c r="GH73" s="16">
        <v>0</v>
      </c>
      <c r="GI73" s="17">
        <v>0</v>
      </c>
      <c r="GJ73" s="14">
        <v>0</v>
      </c>
      <c r="GK73" s="17">
        <v>0</v>
      </c>
      <c r="GL73" s="18">
        <v>0</v>
      </c>
      <c r="GM73" s="22">
        <v>0</v>
      </c>
      <c r="GN73" s="22">
        <v>0</v>
      </c>
      <c r="GO73" s="25">
        <f>SUM(GB73:GN73)</f>
        <v>0</v>
      </c>
      <c r="GP73" s="107"/>
      <c r="GQ73" s="298"/>
      <c r="GR73" s="312"/>
      <c r="GS73" s="20" t="s">
        <v>25</v>
      </c>
      <c r="GT73" s="12">
        <v>0</v>
      </c>
      <c r="GU73" s="18">
        <v>0</v>
      </c>
      <c r="GV73" s="12">
        <v>0</v>
      </c>
      <c r="GW73" s="13">
        <v>0</v>
      </c>
      <c r="GX73" s="15">
        <v>0</v>
      </c>
      <c r="GY73" s="15">
        <v>0</v>
      </c>
      <c r="GZ73" s="16">
        <v>0</v>
      </c>
      <c r="HA73" s="17">
        <v>0</v>
      </c>
      <c r="HB73" s="14">
        <v>0</v>
      </c>
      <c r="HC73" s="17">
        <v>0</v>
      </c>
      <c r="HD73" s="18">
        <v>0</v>
      </c>
      <c r="HE73" s="22">
        <v>0</v>
      </c>
      <c r="HF73" s="22">
        <v>0</v>
      </c>
      <c r="HG73" s="25">
        <f>SUM(GT73:HF73)</f>
        <v>0</v>
      </c>
      <c r="HH73" s="107"/>
      <c r="HI73" s="298"/>
      <c r="HJ73" s="356"/>
      <c r="HK73" s="20" t="s">
        <v>25</v>
      </c>
      <c r="HL73" s="12">
        <f t="shared" si="329"/>
        <v>0</v>
      </c>
      <c r="HM73" s="14">
        <f t="shared" si="330"/>
        <v>0</v>
      </c>
      <c r="HN73" s="17">
        <f t="shared" si="331"/>
        <v>0</v>
      </c>
      <c r="HO73" s="13">
        <f t="shared" si="332"/>
        <v>0</v>
      </c>
      <c r="HP73" s="13">
        <f t="shared" si="333"/>
        <v>0</v>
      </c>
      <c r="HQ73" s="13">
        <f t="shared" si="334"/>
        <v>0</v>
      </c>
      <c r="HR73" s="14">
        <f t="shared" si="335"/>
        <v>0</v>
      </c>
      <c r="HS73" s="17">
        <f t="shared" si="336"/>
        <v>0</v>
      </c>
      <c r="HT73" s="14">
        <f t="shared" si="337"/>
        <v>0</v>
      </c>
      <c r="HU73" s="17">
        <f t="shared" si="338"/>
        <v>0</v>
      </c>
      <c r="HV73" s="14">
        <f t="shared" si="339"/>
        <v>0</v>
      </c>
      <c r="HW73" s="45">
        <f t="shared" si="340"/>
        <v>0</v>
      </c>
      <c r="HX73" s="45">
        <f t="shared" si="341"/>
        <v>0</v>
      </c>
      <c r="HY73" s="25">
        <f>SUM(HL73:HX73)</f>
        <v>0</v>
      </c>
      <c r="HZ73" s="28"/>
    </row>
    <row r="74" spans="1:234" s="11" customFormat="1" ht="20.100000000000001" customHeight="1" thickBot="1" x14ac:dyDescent="0.25">
      <c r="A74" s="299"/>
      <c r="B74" s="326" t="s">
        <v>34</v>
      </c>
      <c r="C74" s="327"/>
      <c r="D74" s="306">
        <f>SUM(D72:E73)</f>
        <v>0</v>
      </c>
      <c r="E74" s="307"/>
      <c r="F74" s="306">
        <f>SUM(F72:J73)</f>
        <v>0</v>
      </c>
      <c r="G74" s="368"/>
      <c r="H74" s="368"/>
      <c r="I74" s="368"/>
      <c r="J74" s="307"/>
      <c r="K74" s="306">
        <f>SUM(K72:L73)</f>
        <v>0</v>
      </c>
      <c r="L74" s="307"/>
      <c r="M74" s="306">
        <f>SUM(M72:N73)</f>
        <v>0</v>
      </c>
      <c r="N74" s="307"/>
      <c r="O74" s="94">
        <f>SUM(O72:O73)</f>
        <v>0</v>
      </c>
      <c r="P74" s="94">
        <f>SUM(P72:P73)</f>
        <v>0</v>
      </c>
      <c r="Q74" s="126">
        <f>SUM(Q72:Q73)</f>
        <v>0</v>
      </c>
      <c r="R74" s="133"/>
      <c r="S74" s="299"/>
      <c r="T74" s="326" t="s">
        <v>34</v>
      </c>
      <c r="U74" s="327"/>
      <c r="V74" s="306">
        <f>SUM(V72:W73)</f>
        <v>0</v>
      </c>
      <c r="W74" s="307"/>
      <c r="X74" s="306">
        <f>SUM(X72:AB73)</f>
        <v>0</v>
      </c>
      <c r="Y74" s="368"/>
      <c r="Z74" s="368"/>
      <c r="AA74" s="368"/>
      <c r="AB74" s="307"/>
      <c r="AC74" s="306">
        <f>SUM(AC72:AD73)</f>
        <v>0</v>
      </c>
      <c r="AD74" s="307"/>
      <c r="AE74" s="306">
        <f>SUM(AE72:AF73)</f>
        <v>0</v>
      </c>
      <c r="AF74" s="307"/>
      <c r="AG74" s="94">
        <f>SUM(AG72:AG73)</f>
        <v>0</v>
      </c>
      <c r="AH74" s="94">
        <f>SUM(AH72:AH73)</f>
        <v>0</v>
      </c>
      <c r="AI74" s="126">
        <f>SUM(AI72:AI73)</f>
        <v>0</v>
      </c>
      <c r="AJ74" s="133"/>
      <c r="AK74" s="299"/>
      <c r="AL74" s="326" t="s">
        <v>34</v>
      </c>
      <c r="AM74" s="327"/>
      <c r="AN74" s="306">
        <f>SUM(AN72:AO73)</f>
        <v>0</v>
      </c>
      <c r="AO74" s="307"/>
      <c r="AP74" s="306">
        <f>SUM(AP72:AT73)</f>
        <v>0</v>
      </c>
      <c r="AQ74" s="368"/>
      <c r="AR74" s="368"/>
      <c r="AS74" s="368"/>
      <c r="AT74" s="307"/>
      <c r="AU74" s="306">
        <f>SUM(AU72:AV73)</f>
        <v>0</v>
      </c>
      <c r="AV74" s="307"/>
      <c r="AW74" s="306">
        <f>SUM(AW72:AX73)</f>
        <v>0</v>
      </c>
      <c r="AX74" s="307"/>
      <c r="AY74" s="94">
        <f>SUM(AY72:AY73)</f>
        <v>0</v>
      </c>
      <c r="AZ74" s="94">
        <f>SUM(AZ72:AZ73)</f>
        <v>0</v>
      </c>
      <c r="BA74" s="126">
        <f>SUM(BA72:BA73)</f>
        <v>0</v>
      </c>
      <c r="BB74" s="133"/>
      <c r="BC74" s="299"/>
      <c r="BD74" s="326" t="s">
        <v>34</v>
      </c>
      <c r="BE74" s="327"/>
      <c r="BF74" s="306">
        <f>SUM(BF72:BG73)</f>
        <v>0</v>
      </c>
      <c r="BG74" s="307"/>
      <c r="BH74" s="306">
        <f>SUM(BH72:BL73)</f>
        <v>0</v>
      </c>
      <c r="BI74" s="368"/>
      <c r="BJ74" s="368"/>
      <c r="BK74" s="368"/>
      <c r="BL74" s="307"/>
      <c r="BM74" s="306">
        <f>SUM(BM72:BN73)</f>
        <v>0</v>
      </c>
      <c r="BN74" s="307"/>
      <c r="BO74" s="306">
        <f>SUM(BO72:BP73)</f>
        <v>0</v>
      </c>
      <c r="BP74" s="307"/>
      <c r="BQ74" s="94">
        <f>SUM(BQ72:BQ73)</f>
        <v>0</v>
      </c>
      <c r="BR74" s="94">
        <f>SUM(BR72:BR73)</f>
        <v>0</v>
      </c>
      <c r="BS74" s="126">
        <f>SUM(BS72:BS73)</f>
        <v>0</v>
      </c>
      <c r="BT74" s="133"/>
      <c r="BU74" s="299"/>
      <c r="BV74" s="326" t="s">
        <v>34</v>
      </c>
      <c r="BW74" s="327"/>
      <c r="BX74" s="306">
        <f>SUM(BX72:BY73)</f>
        <v>0</v>
      </c>
      <c r="BY74" s="307"/>
      <c r="BZ74" s="306">
        <f>SUM(BZ72:CD73)</f>
        <v>0</v>
      </c>
      <c r="CA74" s="368"/>
      <c r="CB74" s="368"/>
      <c r="CC74" s="368"/>
      <c r="CD74" s="307"/>
      <c r="CE74" s="306">
        <f>SUM(CE72:CF73)</f>
        <v>0</v>
      </c>
      <c r="CF74" s="307"/>
      <c r="CG74" s="306">
        <f>SUM(CG72:CH73)</f>
        <v>0</v>
      </c>
      <c r="CH74" s="307"/>
      <c r="CI74" s="94">
        <f>SUM(CI72:CI73)</f>
        <v>0</v>
      </c>
      <c r="CJ74" s="94">
        <f>SUM(CJ72:CJ73)</f>
        <v>0</v>
      </c>
      <c r="CK74" s="126">
        <f>SUM(CK72:CK73)</f>
        <v>0</v>
      </c>
      <c r="CL74" s="133"/>
      <c r="CM74" s="299"/>
      <c r="CN74" s="326" t="s">
        <v>34</v>
      </c>
      <c r="CO74" s="327"/>
      <c r="CP74" s="306">
        <f>SUM(CP72:CQ73)</f>
        <v>0</v>
      </c>
      <c r="CQ74" s="307"/>
      <c r="CR74" s="306">
        <f>SUM(CR72:CV73)</f>
        <v>0</v>
      </c>
      <c r="CS74" s="368"/>
      <c r="CT74" s="368"/>
      <c r="CU74" s="368"/>
      <c r="CV74" s="307"/>
      <c r="CW74" s="306">
        <f>SUM(CW72:CX73)</f>
        <v>0</v>
      </c>
      <c r="CX74" s="307"/>
      <c r="CY74" s="306">
        <f>SUM(CY72:CZ73)</f>
        <v>0</v>
      </c>
      <c r="CZ74" s="307"/>
      <c r="DA74" s="94">
        <f>SUM(DA72:DA73)</f>
        <v>0</v>
      </c>
      <c r="DB74" s="94">
        <f>SUM(DB72:DB73)</f>
        <v>0</v>
      </c>
      <c r="DC74" s="26">
        <f>SUM(DC72:DC73)</f>
        <v>0</v>
      </c>
      <c r="DD74" s="107"/>
      <c r="DE74" s="299"/>
      <c r="DF74" s="326" t="s">
        <v>34</v>
      </c>
      <c r="DG74" s="327"/>
      <c r="DH74" s="306">
        <f>SUM(DH72:DI73)</f>
        <v>0</v>
      </c>
      <c r="DI74" s="307"/>
      <c r="DJ74" s="306">
        <f>SUM(DJ72:DN73)</f>
        <v>0</v>
      </c>
      <c r="DK74" s="368"/>
      <c r="DL74" s="368"/>
      <c r="DM74" s="368"/>
      <c r="DN74" s="307"/>
      <c r="DO74" s="306">
        <f>SUM(DO72:DP73)</f>
        <v>0</v>
      </c>
      <c r="DP74" s="307"/>
      <c r="DQ74" s="306">
        <f>SUM(DQ72:DR73)</f>
        <v>0</v>
      </c>
      <c r="DR74" s="307"/>
      <c r="DS74" s="94">
        <f>SUM(DS72:DS73)</f>
        <v>0</v>
      </c>
      <c r="DT74" s="94">
        <f>SUM(DT72:DT73)</f>
        <v>0</v>
      </c>
      <c r="DU74" s="26">
        <f>SUM(DU72:DU73)</f>
        <v>0</v>
      </c>
      <c r="DV74" s="107"/>
      <c r="DW74" s="299"/>
      <c r="DX74" s="326" t="s">
        <v>34</v>
      </c>
      <c r="DY74" s="327"/>
      <c r="DZ74" s="359">
        <f>SUM(DZ72:EA73)</f>
        <v>0</v>
      </c>
      <c r="EA74" s="361"/>
      <c r="EB74" s="359">
        <f>SUM(EB72:EF73)</f>
        <v>0</v>
      </c>
      <c r="EC74" s="360"/>
      <c r="ED74" s="360"/>
      <c r="EE74" s="360"/>
      <c r="EF74" s="361"/>
      <c r="EG74" s="359">
        <f>SUM(EG72:EH73)</f>
        <v>0</v>
      </c>
      <c r="EH74" s="361"/>
      <c r="EI74" s="359">
        <f>SUM(EI72:EJ73)</f>
        <v>0</v>
      </c>
      <c r="EJ74" s="361"/>
      <c r="EK74" s="229">
        <f t="shared" ref="EK74:EM74" si="342">SUM(EK72:EK73)</f>
        <v>0</v>
      </c>
      <c r="EL74" s="229">
        <f t="shared" si="342"/>
        <v>0</v>
      </c>
      <c r="EM74" s="230">
        <f t="shared" si="342"/>
        <v>0</v>
      </c>
      <c r="EN74" s="107"/>
      <c r="EO74" s="299"/>
      <c r="EP74" s="326" t="s">
        <v>34</v>
      </c>
      <c r="EQ74" s="327"/>
      <c r="ER74" s="306">
        <f>SUM(ER72:ES73)</f>
        <v>0</v>
      </c>
      <c r="ES74" s="307"/>
      <c r="ET74" s="306">
        <f>SUM(ET72:EX73)</f>
        <v>0</v>
      </c>
      <c r="EU74" s="368"/>
      <c r="EV74" s="368"/>
      <c r="EW74" s="368"/>
      <c r="EX74" s="307"/>
      <c r="EY74" s="306">
        <f>SUM(EY72:EZ73)</f>
        <v>0</v>
      </c>
      <c r="EZ74" s="307"/>
      <c r="FA74" s="306">
        <f>SUM(FA72:FB73)</f>
        <v>0</v>
      </c>
      <c r="FB74" s="307"/>
      <c r="FC74" s="94">
        <f>SUM(FC72:FC73)</f>
        <v>0</v>
      </c>
      <c r="FD74" s="94">
        <f>SUM(FD72:FD73)</f>
        <v>0</v>
      </c>
      <c r="FE74" s="26">
        <f>SUM(FE72:FE73)</f>
        <v>0</v>
      </c>
      <c r="FF74" s="107"/>
      <c r="FG74" s="299"/>
      <c r="FH74" s="326" t="s">
        <v>34</v>
      </c>
      <c r="FI74" s="327"/>
      <c r="FJ74" s="306">
        <f>SUM(FJ72:FK73)</f>
        <v>0</v>
      </c>
      <c r="FK74" s="307"/>
      <c r="FL74" s="306">
        <f>SUM(FL72:FP73)</f>
        <v>0</v>
      </c>
      <c r="FM74" s="368"/>
      <c r="FN74" s="368"/>
      <c r="FO74" s="368"/>
      <c r="FP74" s="307"/>
      <c r="FQ74" s="306">
        <f>SUM(FQ72:FR73)</f>
        <v>0</v>
      </c>
      <c r="FR74" s="307"/>
      <c r="FS74" s="306">
        <f>SUM(FS72:FT73)</f>
        <v>0</v>
      </c>
      <c r="FT74" s="307"/>
      <c r="FU74" s="94">
        <f>SUM(FU72:FU73)</f>
        <v>0</v>
      </c>
      <c r="FV74" s="94">
        <f>SUM(FV72:FV73)</f>
        <v>0</v>
      </c>
      <c r="FW74" s="26">
        <f>SUM(FW72:FW73)</f>
        <v>0</v>
      </c>
      <c r="FX74" s="107"/>
      <c r="FY74" s="299"/>
      <c r="FZ74" s="326" t="s">
        <v>34</v>
      </c>
      <c r="GA74" s="327"/>
      <c r="GB74" s="306">
        <f>SUM(GB72:GC73)</f>
        <v>0</v>
      </c>
      <c r="GC74" s="307"/>
      <c r="GD74" s="306">
        <f>SUM(GD72:GH73)</f>
        <v>0</v>
      </c>
      <c r="GE74" s="368"/>
      <c r="GF74" s="368"/>
      <c r="GG74" s="368"/>
      <c r="GH74" s="307"/>
      <c r="GI74" s="306">
        <f>SUM(GI72:GJ73)</f>
        <v>0</v>
      </c>
      <c r="GJ74" s="307"/>
      <c r="GK74" s="306">
        <f>SUM(GK72:GL73)</f>
        <v>0</v>
      </c>
      <c r="GL74" s="307"/>
      <c r="GM74" s="94">
        <f>SUM(GM72:GM73)</f>
        <v>0</v>
      </c>
      <c r="GN74" s="94">
        <f>SUM(GN72:GN73)</f>
        <v>0</v>
      </c>
      <c r="GO74" s="26">
        <f>SUM(GO72:GO73)</f>
        <v>0</v>
      </c>
      <c r="GP74" s="107"/>
      <c r="GQ74" s="299"/>
      <c r="GR74" s="326" t="s">
        <v>34</v>
      </c>
      <c r="GS74" s="327"/>
      <c r="GT74" s="306">
        <f>SUM(GT72:GU73)</f>
        <v>0</v>
      </c>
      <c r="GU74" s="307"/>
      <c r="GV74" s="306">
        <f>SUM(GV72:GZ73)</f>
        <v>0</v>
      </c>
      <c r="GW74" s="368"/>
      <c r="GX74" s="368"/>
      <c r="GY74" s="368"/>
      <c r="GZ74" s="307"/>
      <c r="HA74" s="306">
        <f>SUM(HA72:HB73)</f>
        <v>0</v>
      </c>
      <c r="HB74" s="307"/>
      <c r="HC74" s="306">
        <f>SUM(HC72:HD73)</f>
        <v>0</v>
      </c>
      <c r="HD74" s="307"/>
      <c r="HE74" s="94">
        <f>SUM(HE72:HE73)</f>
        <v>0</v>
      </c>
      <c r="HF74" s="94">
        <f>SUM(HF72:HF73)</f>
        <v>0</v>
      </c>
      <c r="HG74" s="26">
        <f>SUM(HG72:HG73)</f>
        <v>0</v>
      </c>
      <c r="HH74" s="107"/>
      <c r="HI74" s="299"/>
      <c r="HJ74" s="295" t="s">
        <v>28</v>
      </c>
      <c r="HK74" s="313"/>
      <c r="HL74" s="306">
        <f>SUM(HL72:HM73)</f>
        <v>0</v>
      </c>
      <c r="HM74" s="307"/>
      <c r="HN74" s="306">
        <f>SUM(HN72:HR73)</f>
        <v>0</v>
      </c>
      <c r="HO74" s="368"/>
      <c r="HP74" s="368"/>
      <c r="HQ74" s="368"/>
      <c r="HR74" s="307"/>
      <c r="HS74" s="306">
        <f>SUM(HS72:HT73)</f>
        <v>0</v>
      </c>
      <c r="HT74" s="307"/>
      <c r="HU74" s="306">
        <f>SUM(HU72:HV73)</f>
        <v>0</v>
      </c>
      <c r="HV74" s="307"/>
      <c r="HW74" s="43">
        <f>SUM(HW72:HW73)</f>
        <v>0</v>
      </c>
      <c r="HX74" s="43">
        <f>SUM(HX72:HX73)</f>
        <v>0</v>
      </c>
      <c r="HY74" s="26">
        <f>SUM(HY72:HY73)</f>
        <v>0</v>
      </c>
      <c r="HZ74" s="28"/>
    </row>
    <row r="75" spans="1:234" s="11" customFormat="1" ht="20.100000000000001" customHeight="1" thickBot="1" x14ac:dyDescent="0.25">
      <c r="A75" s="41"/>
      <c r="B75" s="353" t="s">
        <v>29</v>
      </c>
      <c r="C75" s="357"/>
      <c r="D75" s="308">
        <f>SUM(D71+D74)</f>
        <v>0</v>
      </c>
      <c r="E75" s="310"/>
      <c r="F75" s="308">
        <f>SUM(F71+F74)</f>
        <v>0</v>
      </c>
      <c r="G75" s="309"/>
      <c r="H75" s="309"/>
      <c r="I75" s="309"/>
      <c r="J75" s="310"/>
      <c r="K75" s="308">
        <f>SUM(K71+K74)</f>
        <v>0</v>
      </c>
      <c r="L75" s="310"/>
      <c r="M75" s="308">
        <f>SUM(M71+M74)</f>
        <v>0</v>
      </c>
      <c r="N75" s="310"/>
      <c r="O75" s="23">
        <f>SUM(O71+O74)</f>
        <v>0</v>
      </c>
      <c r="P75" s="23">
        <f>SUM(P71+P74)</f>
        <v>0</v>
      </c>
      <c r="Q75" s="127">
        <f>SUM(Q71+Q74)</f>
        <v>0</v>
      </c>
      <c r="R75" s="133"/>
      <c r="S75" s="41"/>
      <c r="T75" s="353" t="s">
        <v>29</v>
      </c>
      <c r="U75" s="357"/>
      <c r="V75" s="308">
        <f>SUM(V71+V74)</f>
        <v>0</v>
      </c>
      <c r="W75" s="310"/>
      <c r="X75" s="308">
        <f>SUM(X71+X74)</f>
        <v>0</v>
      </c>
      <c r="Y75" s="309"/>
      <c r="Z75" s="309"/>
      <c r="AA75" s="309"/>
      <c r="AB75" s="310"/>
      <c r="AC75" s="308">
        <f>SUM(AC71+AC74)</f>
        <v>0</v>
      </c>
      <c r="AD75" s="310"/>
      <c r="AE75" s="308">
        <f>SUM(AE71+AE74)</f>
        <v>0</v>
      </c>
      <c r="AF75" s="310"/>
      <c r="AG75" s="23">
        <f>SUM(AG71+AG74)</f>
        <v>0</v>
      </c>
      <c r="AH75" s="23">
        <f>SUM(AH71+AH74)</f>
        <v>0</v>
      </c>
      <c r="AI75" s="127">
        <f>SUM(AI71+AI74)</f>
        <v>0</v>
      </c>
      <c r="AJ75" s="133"/>
      <c r="AK75" s="41"/>
      <c r="AL75" s="353" t="s">
        <v>29</v>
      </c>
      <c r="AM75" s="357"/>
      <c r="AN75" s="308">
        <f>SUM(AN71+AN74)</f>
        <v>0</v>
      </c>
      <c r="AO75" s="310"/>
      <c r="AP75" s="308">
        <f>SUM(AP71+AP74)</f>
        <v>0</v>
      </c>
      <c r="AQ75" s="309"/>
      <c r="AR75" s="309"/>
      <c r="AS75" s="309"/>
      <c r="AT75" s="310"/>
      <c r="AU75" s="308">
        <f>SUM(AU71+AU74)</f>
        <v>0</v>
      </c>
      <c r="AV75" s="310"/>
      <c r="AW75" s="308">
        <f>SUM(AW71+AW74)</f>
        <v>0</v>
      </c>
      <c r="AX75" s="310"/>
      <c r="AY75" s="23">
        <f>SUM(AY71+AY74)</f>
        <v>0</v>
      </c>
      <c r="AZ75" s="23">
        <f>SUM(AZ71+AZ74)</f>
        <v>0</v>
      </c>
      <c r="BA75" s="127">
        <f>SUM(BA71+BA74)</f>
        <v>0</v>
      </c>
      <c r="BB75" s="133"/>
      <c r="BC75" s="41"/>
      <c r="BD75" s="353" t="s">
        <v>29</v>
      </c>
      <c r="BE75" s="357"/>
      <c r="BF75" s="308">
        <f>SUM(BF71+BF74)</f>
        <v>0</v>
      </c>
      <c r="BG75" s="310"/>
      <c r="BH75" s="308">
        <f>SUM(BH71+BH74)</f>
        <v>0</v>
      </c>
      <c r="BI75" s="309"/>
      <c r="BJ75" s="309"/>
      <c r="BK75" s="309"/>
      <c r="BL75" s="310"/>
      <c r="BM75" s="308">
        <f>SUM(BM71+BM74)</f>
        <v>0</v>
      </c>
      <c r="BN75" s="310"/>
      <c r="BO75" s="308">
        <f>SUM(BO71+BO74)</f>
        <v>0</v>
      </c>
      <c r="BP75" s="310"/>
      <c r="BQ75" s="23">
        <f>SUM(BQ71+BQ74)</f>
        <v>0</v>
      </c>
      <c r="BR75" s="23">
        <f>SUM(BR71+BR74)</f>
        <v>0</v>
      </c>
      <c r="BS75" s="127">
        <f>SUM(BS71+BS74)</f>
        <v>0</v>
      </c>
      <c r="BT75" s="133"/>
      <c r="BU75" s="41"/>
      <c r="BV75" s="353" t="s">
        <v>29</v>
      </c>
      <c r="BW75" s="357"/>
      <c r="BX75" s="308">
        <f>SUM(BX71+BX74)</f>
        <v>0</v>
      </c>
      <c r="BY75" s="310"/>
      <c r="BZ75" s="308">
        <f>SUM(BZ71+BZ74)</f>
        <v>0</v>
      </c>
      <c r="CA75" s="309"/>
      <c r="CB75" s="309"/>
      <c r="CC75" s="309"/>
      <c r="CD75" s="310"/>
      <c r="CE75" s="308">
        <f>SUM(CE71+CE74)</f>
        <v>0</v>
      </c>
      <c r="CF75" s="310"/>
      <c r="CG75" s="308">
        <f>SUM(CG71+CG74)</f>
        <v>0</v>
      </c>
      <c r="CH75" s="310"/>
      <c r="CI75" s="23">
        <f>SUM(CI71+CI74)</f>
        <v>0</v>
      </c>
      <c r="CJ75" s="23">
        <f>SUM(CJ71+CJ74)</f>
        <v>0</v>
      </c>
      <c r="CK75" s="127">
        <f>SUM(CK71+CK74)</f>
        <v>0</v>
      </c>
      <c r="CL75" s="133"/>
      <c r="CM75" s="41"/>
      <c r="CN75" s="353" t="s">
        <v>29</v>
      </c>
      <c r="CO75" s="357"/>
      <c r="CP75" s="308">
        <f>SUM(CP71+CP74)</f>
        <v>0</v>
      </c>
      <c r="CQ75" s="310"/>
      <c r="CR75" s="308">
        <f>SUM(CR71+CR74)</f>
        <v>0</v>
      </c>
      <c r="CS75" s="309"/>
      <c r="CT75" s="309"/>
      <c r="CU75" s="309"/>
      <c r="CV75" s="310"/>
      <c r="CW75" s="308">
        <f>SUM(CW71+CW74)</f>
        <v>0</v>
      </c>
      <c r="CX75" s="310"/>
      <c r="CY75" s="308">
        <f>SUM(CY71+CY74)</f>
        <v>0</v>
      </c>
      <c r="CZ75" s="310"/>
      <c r="DA75" s="23">
        <f>SUM(DA71+DA74)</f>
        <v>0</v>
      </c>
      <c r="DB75" s="23">
        <f>SUM(DB71+DB74)</f>
        <v>0</v>
      </c>
      <c r="DC75" s="27">
        <f>SUM(DC71+DC74)</f>
        <v>0</v>
      </c>
      <c r="DD75" s="107"/>
      <c r="DE75" s="41"/>
      <c r="DF75" s="353" t="s">
        <v>29</v>
      </c>
      <c r="DG75" s="357"/>
      <c r="DH75" s="308">
        <f>SUM(DH71+DH74)</f>
        <v>0</v>
      </c>
      <c r="DI75" s="310"/>
      <c r="DJ75" s="308">
        <f>SUM(DJ71+DJ74)</f>
        <v>0</v>
      </c>
      <c r="DK75" s="309"/>
      <c r="DL75" s="309"/>
      <c r="DM75" s="309"/>
      <c r="DN75" s="310"/>
      <c r="DO75" s="308">
        <f>SUM(DO71+DO74)</f>
        <v>0</v>
      </c>
      <c r="DP75" s="310"/>
      <c r="DQ75" s="308">
        <f>SUM(DQ71+DQ74)</f>
        <v>0</v>
      </c>
      <c r="DR75" s="310"/>
      <c r="DS75" s="23">
        <f>SUM(DS71+DS74)</f>
        <v>0</v>
      </c>
      <c r="DT75" s="23">
        <f>SUM(DT71+DT74)</f>
        <v>0</v>
      </c>
      <c r="DU75" s="27">
        <f>SUM(DU71+DU74)</f>
        <v>0</v>
      </c>
      <c r="DV75" s="107"/>
      <c r="DW75" s="41"/>
      <c r="DX75" s="353" t="s">
        <v>29</v>
      </c>
      <c r="DY75" s="357"/>
      <c r="DZ75" s="363">
        <f>SUM(DZ71+DZ74)</f>
        <v>0</v>
      </c>
      <c r="EA75" s="361"/>
      <c r="EB75" s="363">
        <f>SUM(EB71+EB74)</f>
        <v>0</v>
      </c>
      <c r="EC75" s="360"/>
      <c r="ED75" s="360"/>
      <c r="EE75" s="360"/>
      <c r="EF75" s="361"/>
      <c r="EG75" s="363">
        <f>SUM(EG71+EG74)</f>
        <v>0</v>
      </c>
      <c r="EH75" s="361"/>
      <c r="EI75" s="363">
        <f>SUM(EI71+EI74)</f>
        <v>0</v>
      </c>
      <c r="EJ75" s="361"/>
      <c r="EK75" s="231">
        <f t="shared" ref="EK75:EM75" si="343">SUM(EK71+EK74)</f>
        <v>0</v>
      </c>
      <c r="EL75" s="231">
        <f t="shared" si="343"/>
        <v>0</v>
      </c>
      <c r="EM75" s="232">
        <f t="shared" si="343"/>
        <v>0</v>
      </c>
      <c r="EN75" s="107"/>
      <c r="EO75" s="41"/>
      <c r="EP75" s="353" t="s">
        <v>29</v>
      </c>
      <c r="EQ75" s="357"/>
      <c r="ER75" s="308">
        <f>SUM(ER71+ER74)</f>
        <v>0</v>
      </c>
      <c r="ES75" s="310"/>
      <c r="ET75" s="308">
        <f>SUM(ET71+ET74)</f>
        <v>0</v>
      </c>
      <c r="EU75" s="309"/>
      <c r="EV75" s="309"/>
      <c r="EW75" s="309"/>
      <c r="EX75" s="310"/>
      <c r="EY75" s="308">
        <f>SUM(EY71+EY74)</f>
        <v>0</v>
      </c>
      <c r="EZ75" s="310"/>
      <c r="FA75" s="308">
        <f>SUM(FA71+FA74)</f>
        <v>0</v>
      </c>
      <c r="FB75" s="310"/>
      <c r="FC75" s="23">
        <f>SUM(FC71+FC74)</f>
        <v>0</v>
      </c>
      <c r="FD75" s="23">
        <f>SUM(FD71+FD74)</f>
        <v>0</v>
      </c>
      <c r="FE75" s="27">
        <f>SUM(FE71+FE74)</f>
        <v>0</v>
      </c>
      <c r="FF75" s="107"/>
      <c r="FG75" s="41"/>
      <c r="FH75" s="353" t="s">
        <v>29</v>
      </c>
      <c r="FI75" s="357"/>
      <c r="FJ75" s="308">
        <f>SUM(FJ71+FJ74)</f>
        <v>0</v>
      </c>
      <c r="FK75" s="310"/>
      <c r="FL75" s="308">
        <f>SUM(FL71+FL74)</f>
        <v>0</v>
      </c>
      <c r="FM75" s="309"/>
      <c r="FN75" s="309"/>
      <c r="FO75" s="309"/>
      <c r="FP75" s="310"/>
      <c r="FQ75" s="308">
        <f>SUM(FQ71+FQ74)</f>
        <v>0</v>
      </c>
      <c r="FR75" s="310"/>
      <c r="FS75" s="308">
        <f>SUM(FS71+FS74)</f>
        <v>0</v>
      </c>
      <c r="FT75" s="310"/>
      <c r="FU75" s="23">
        <f>SUM(FU71+FU74)</f>
        <v>0</v>
      </c>
      <c r="FV75" s="23">
        <f>SUM(FV71+FV74)</f>
        <v>0</v>
      </c>
      <c r="FW75" s="27">
        <f>SUM(FW71+FW74)</f>
        <v>0</v>
      </c>
      <c r="FX75" s="107"/>
      <c r="FY75" s="41"/>
      <c r="FZ75" s="353" t="s">
        <v>29</v>
      </c>
      <c r="GA75" s="357"/>
      <c r="GB75" s="308">
        <f>SUM(GB71+GB74)</f>
        <v>0</v>
      </c>
      <c r="GC75" s="310"/>
      <c r="GD75" s="308">
        <f>SUM(GD71+GD74)</f>
        <v>0</v>
      </c>
      <c r="GE75" s="309"/>
      <c r="GF75" s="309"/>
      <c r="GG75" s="309"/>
      <c r="GH75" s="310"/>
      <c r="GI75" s="308">
        <f>SUM(GI71+GI74)</f>
        <v>0</v>
      </c>
      <c r="GJ75" s="310"/>
      <c r="GK75" s="308">
        <f>SUM(GK71+GK74)</f>
        <v>0</v>
      </c>
      <c r="GL75" s="310"/>
      <c r="GM75" s="23">
        <f>SUM(GM71+GM74)</f>
        <v>0</v>
      </c>
      <c r="GN75" s="23">
        <f>SUM(GN71+GN74)</f>
        <v>0</v>
      </c>
      <c r="GO75" s="27">
        <f>SUM(GO71+GO74)</f>
        <v>0</v>
      </c>
      <c r="GP75" s="107"/>
      <c r="GQ75" s="41"/>
      <c r="GR75" s="353" t="s">
        <v>29</v>
      </c>
      <c r="GS75" s="357"/>
      <c r="GT75" s="308">
        <f>SUM(GT71+GT74)</f>
        <v>0</v>
      </c>
      <c r="GU75" s="310"/>
      <c r="GV75" s="308">
        <f>SUM(GV71+GV74)</f>
        <v>0</v>
      </c>
      <c r="GW75" s="309"/>
      <c r="GX75" s="309"/>
      <c r="GY75" s="309"/>
      <c r="GZ75" s="310"/>
      <c r="HA75" s="308">
        <f>SUM(HA71+HA74)</f>
        <v>0</v>
      </c>
      <c r="HB75" s="310"/>
      <c r="HC75" s="308">
        <f>SUM(HC71+HC74)</f>
        <v>0</v>
      </c>
      <c r="HD75" s="310"/>
      <c r="HE75" s="23">
        <f>SUM(HE71+HE74)</f>
        <v>0</v>
      </c>
      <c r="HF75" s="23">
        <f>SUM(HF71+HF74)</f>
        <v>0</v>
      </c>
      <c r="HG75" s="27">
        <f>SUM(HG71+HG74)</f>
        <v>0</v>
      </c>
      <c r="HH75" s="107"/>
      <c r="HI75" s="41"/>
      <c r="HJ75" s="353" t="s">
        <v>29</v>
      </c>
      <c r="HK75" s="354"/>
      <c r="HL75" s="308">
        <f>SUM(HL71+HL74)</f>
        <v>0</v>
      </c>
      <c r="HM75" s="310"/>
      <c r="HN75" s="308">
        <f>SUM(HN71+HN74)</f>
        <v>0</v>
      </c>
      <c r="HO75" s="309"/>
      <c r="HP75" s="309"/>
      <c r="HQ75" s="309"/>
      <c r="HR75" s="310"/>
      <c r="HS75" s="308">
        <f>SUM(HS71+HS74)</f>
        <v>0</v>
      </c>
      <c r="HT75" s="310"/>
      <c r="HU75" s="308">
        <f>SUM(HU71+HU74)</f>
        <v>0</v>
      </c>
      <c r="HV75" s="310"/>
      <c r="HW75" s="23">
        <f>SUM(HW71+HW74)</f>
        <v>0</v>
      </c>
      <c r="HX75" s="23">
        <f>SUM(HX71+HX74)</f>
        <v>0</v>
      </c>
      <c r="HY75" s="27">
        <f>SUM(HY71+HY74)</f>
        <v>0</v>
      </c>
      <c r="HZ75" s="28"/>
    </row>
    <row r="76" spans="1:234" s="11" customFormat="1" ht="20.100000000000001" customHeight="1" x14ac:dyDescent="0.2">
      <c r="A76" s="297">
        <v>0</v>
      </c>
      <c r="B76" s="304" t="s">
        <v>9</v>
      </c>
      <c r="C76" s="19" t="s">
        <v>24</v>
      </c>
      <c r="D76" s="8">
        <v>0</v>
      </c>
      <c r="E76" s="33">
        <v>0</v>
      </c>
      <c r="F76" s="4">
        <v>0</v>
      </c>
      <c r="G76" s="5">
        <v>0</v>
      </c>
      <c r="H76" s="6">
        <v>0</v>
      </c>
      <c r="I76" s="84">
        <v>0</v>
      </c>
      <c r="J76" s="7">
        <v>0</v>
      </c>
      <c r="K76" s="34">
        <v>0</v>
      </c>
      <c r="L76" s="9">
        <v>0</v>
      </c>
      <c r="M76" s="10">
        <v>0</v>
      </c>
      <c r="N76" s="86">
        <v>0</v>
      </c>
      <c r="O76" s="21">
        <v>0</v>
      </c>
      <c r="P76" s="21">
        <v>0</v>
      </c>
      <c r="Q76" s="124">
        <f>SUM(D76:P76)</f>
        <v>0</v>
      </c>
      <c r="R76" s="133"/>
      <c r="S76" s="297">
        <v>0</v>
      </c>
      <c r="T76" s="304" t="s">
        <v>9</v>
      </c>
      <c r="U76" s="19" t="s">
        <v>24</v>
      </c>
      <c r="V76" s="8">
        <v>0</v>
      </c>
      <c r="W76" s="33">
        <v>0</v>
      </c>
      <c r="X76" s="4">
        <v>0</v>
      </c>
      <c r="Y76" s="5">
        <v>0</v>
      </c>
      <c r="Z76" s="6">
        <v>0</v>
      </c>
      <c r="AA76" s="84">
        <v>0</v>
      </c>
      <c r="AB76" s="7">
        <v>0</v>
      </c>
      <c r="AC76" s="34">
        <v>0</v>
      </c>
      <c r="AD76" s="9">
        <v>0</v>
      </c>
      <c r="AE76" s="10">
        <v>0</v>
      </c>
      <c r="AF76" s="86">
        <v>0</v>
      </c>
      <c r="AG76" s="21">
        <v>0</v>
      </c>
      <c r="AH76" s="21">
        <v>0</v>
      </c>
      <c r="AI76" s="124">
        <f>SUM(V76:AH76)</f>
        <v>0</v>
      </c>
      <c r="AJ76" s="133"/>
      <c r="AK76" s="297">
        <v>0</v>
      </c>
      <c r="AL76" s="304" t="s">
        <v>9</v>
      </c>
      <c r="AM76" s="19" t="s">
        <v>24</v>
      </c>
      <c r="AN76" s="8">
        <v>0</v>
      </c>
      <c r="AO76" s="33">
        <v>0</v>
      </c>
      <c r="AP76" s="4">
        <v>0</v>
      </c>
      <c r="AQ76" s="5">
        <v>0</v>
      </c>
      <c r="AR76" s="6">
        <v>0</v>
      </c>
      <c r="AS76" s="84">
        <v>0</v>
      </c>
      <c r="AT76" s="7">
        <v>0</v>
      </c>
      <c r="AU76" s="34">
        <v>0</v>
      </c>
      <c r="AV76" s="9">
        <v>0</v>
      </c>
      <c r="AW76" s="10">
        <v>0</v>
      </c>
      <c r="AX76" s="86">
        <v>0</v>
      </c>
      <c r="AY76" s="21">
        <v>0</v>
      </c>
      <c r="AZ76" s="21">
        <v>0</v>
      </c>
      <c r="BA76" s="124">
        <f>SUM(AN76:AZ76)</f>
        <v>0</v>
      </c>
      <c r="BB76" s="133"/>
      <c r="BC76" s="297">
        <v>0</v>
      </c>
      <c r="BD76" s="304" t="s">
        <v>9</v>
      </c>
      <c r="BE76" s="19" t="s">
        <v>24</v>
      </c>
      <c r="BF76" s="8">
        <v>0</v>
      </c>
      <c r="BG76" s="33">
        <v>0</v>
      </c>
      <c r="BH76" s="4">
        <v>0</v>
      </c>
      <c r="BI76" s="5">
        <v>0</v>
      </c>
      <c r="BJ76" s="6">
        <v>0</v>
      </c>
      <c r="BK76" s="84">
        <v>0</v>
      </c>
      <c r="BL76" s="7">
        <v>0</v>
      </c>
      <c r="BM76" s="34">
        <v>0</v>
      </c>
      <c r="BN76" s="9">
        <v>0</v>
      </c>
      <c r="BO76" s="10">
        <v>0</v>
      </c>
      <c r="BP76" s="86">
        <v>0</v>
      </c>
      <c r="BQ76" s="21">
        <v>0</v>
      </c>
      <c r="BR76" s="21">
        <v>0</v>
      </c>
      <c r="BS76" s="124">
        <f>SUM(BF76:BR76)</f>
        <v>0</v>
      </c>
      <c r="BT76" s="133"/>
      <c r="BU76" s="297">
        <v>0</v>
      </c>
      <c r="BV76" s="304" t="s">
        <v>9</v>
      </c>
      <c r="BW76" s="19" t="s">
        <v>24</v>
      </c>
      <c r="BX76" s="8">
        <v>0</v>
      </c>
      <c r="BY76" s="33">
        <v>0</v>
      </c>
      <c r="BZ76" s="4">
        <v>0</v>
      </c>
      <c r="CA76" s="5">
        <v>0</v>
      </c>
      <c r="CB76" s="6">
        <v>0</v>
      </c>
      <c r="CC76" s="84">
        <v>0</v>
      </c>
      <c r="CD76" s="7">
        <v>0</v>
      </c>
      <c r="CE76" s="34">
        <v>0</v>
      </c>
      <c r="CF76" s="9">
        <v>0</v>
      </c>
      <c r="CG76" s="10">
        <v>0</v>
      </c>
      <c r="CH76" s="86">
        <v>0</v>
      </c>
      <c r="CI76" s="21">
        <v>0</v>
      </c>
      <c r="CJ76" s="21">
        <v>0</v>
      </c>
      <c r="CK76" s="124">
        <f>SUM(BX76:CJ76)</f>
        <v>0</v>
      </c>
      <c r="CL76" s="133"/>
      <c r="CM76" s="297">
        <v>0</v>
      </c>
      <c r="CN76" s="304" t="s">
        <v>9</v>
      </c>
      <c r="CO76" s="19" t="s">
        <v>24</v>
      </c>
      <c r="CP76" s="8">
        <v>0</v>
      </c>
      <c r="CQ76" s="33">
        <v>0</v>
      </c>
      <c r="CR76" s="4">
        <v>0</v>
      </c>
      <c r="CS76" s="5">
        <v>0</v>
      </c>
      <c r="CT76" s="6">
        <v>0</v>
      </c>
      <c r="CU76" s="84">
        <v>0</v>
      </c>
      <c r="CV76" s="7">
        <v>0</v>
      </c>
      <c r="CW76" s="34">
        <v>0</v>
      </c>
      <c r="CX76" s="9">
        <v>0</v>
      </c>
      <c r="CY76" s="10">
        <v>0</v>
      </c>
      <c r="CZ76" s="86">
        <v>0</v>
      </c>
      <c r="DA76" s="21">
        <v>0</v>
      </c>
      <c r="DB76" s="21">
        <v>0</v>
      </c>
      <c r="DC76" s="24">
        <f>SUM(CP76:DB76)</f>
        <v>0</v>
      </c>
      <c r="DD76" s="107"/>
      <c r="DE76" s="297">
        <v>0</v>
      </c>
      <c r="DF76" s="304" t="s">
        <v>9</v>
      </c>
      <c r="DG76" s="19" t="s">
        <v>24</v>
      </c>
      <c r="DH76" s="8">
        <v>0</v>
      </c>
      <c r="DI76" s="33">
        <v>0</v>
      </c>
      <c r="DJ76" s="4">
        <v>0</v>
      </c>
      <c r="DK76" s="5">
        <v>0</v>
      </c>
      <c r="DL76" s="6">
        <v>0</v>
      </c>
      <c r="DM76" s="84">
        <v>0</v>
      </c>
      <c r="DN76" s="7">
        <v>0</v>
      </c>
      <c r="DO76" s="34">
        <v>0</v>
      </c>
      <c r="DP76" s="9">
        <v>0</v>
      </c>
      <c r="DQ76" s="10">
        <v>0</v>
      </c>
      <c r="DR76" s="86">
        <v>0</v>
      </c>
      <c r="DS76" s="21">
        <v>0</v>
      </c>
      <c r="DT76" s="21">
        <v>0</v>
      </c>
      <c r="DU76" s="24">
        <f>SUM(DH76:DT76)</f>
        <v>0</v>
      </c>
      <c r="DV76" s="107"/>
      <c r="DW76" s="297">
        <v>0</v>
      </c>
      <c r="DX76" s="304" t="s">
        <v>9</v>
      </c>
      <c r="DY76" s="19" t="s">
        <v>24</v>
      </c>
      <c r="DZ76" s="233">
        <v>0</v>
      </c>
      <c r="EA76" s="234">
        <v>0</v>
      </c>
      <c r="EB76" s="261">
        <v>0</v>
      </c>
      <c r="EC76" s="262">
        <v>0</v>
      </c>
      <c r="ED76" s="263">
        <v>0</v>
      </c>
      <c r="EE76" s="264">
        <v>0</v>
      </c>
      <c r="EF76" s="265">
        <v>0</v>
      </c>
      <c r="EG76" s="239">
        <v>0</v>
      </c>
      <c r="EH76" s="240">
        <v>0</v>
      </c>
      <c r="EI76" s="241">
        <v>0</v>
      </c>
      <c r="EJ76" s="242">
        <v>0</v>
      </c>
      <c r="EK76" s="243">
        <v>0</v>
      </c>
      <c r="EL76" s="243">
        <v>0</v>
      </c>
      <c r="EM76" s="223">
        <f t="shared" ref="EM76:EM77" si="344">SUM(DZ76:EL76)</f>
        <v>0</v>
      </c>
      <c r="EN76" s="107"/>
      <c r="EO76" s="297">
        <v>0</v>
      </c>
      <c r="EP76" s="304" t="s">
        <v>9</v>
      </c>
      <c r="EQ76" s="19" t="s">
        <v>24</v>
      </c>
      <c r="ER76" s="8">
        <v>0</v>
      </c>
      <c r="ES76" s="33">
        <v>0</v>
      </c>
      <c r="ET76" s="4">
        <v>0</v>
      </c>
      <c r="EU76" s="5">
        <v>0</v>
      </c>
      <c r="EV76" s="6">
        <v>0</v>
      </c>
      <c r="EW76" s="84">
        <v>0</v>
      </c>
      <c r="EX76" s="7">
        <v>0</v>
      </c>
      <c r="EY76" s="34">
        <v>0</v>
      </c>
      <c r="EZ76" s="9">
        <v>0</v>
      </c>
      <c r="FA76" s="10">
        <v>0</v>
      </c>
      <c r="FB76" s="86">
        <v>0</v>
      </c>
      <c r="FC76" s="21">
        <v>0</v>
      </c>
      <c r="FD76" s="21">
        <v>0</v>
      </c>
      <c r="FE76" s="24">
        <f>SUM(ER76:FD76)</f>
        <v>0</v>
      </c>
      <c r="FF76" s="107"/>
      <c r="FG76" s="297">
        <v>0</v>
      </c>
      <c r="FH76" s="304" t="s">
        <v>9</v>
      </c>
      <c r="FI76" s="19" t="s">
        <v>24</v>
      </c>
      <c r="FJ76" s="8">
        <v>0</v>
      </c>
      <c r="FK76" s="33">
        <v>0</v>
      </c>
      <c r="FL76" s="4">
        <v>0</v>
      </c>
      <c r="FM76" s="5">
        <v>0</v>
      </c>
      <c r="FN76" s="6">
        <v>0</v>
      </c>
      <c r="FO76" s="84">
        <v>0</v>
      </c>
      <c r="FP76" s="7">
        <v>0</v>
      </c>
      <c r="FQ76" s="34">
        <v>0</v>
      </c>
      <c r="FR76" s="9">
        <v>0</v>
      </c>
      <c r="FS76" s="10">
        <v>0</v>
      </c>
      <c r="FT76" s="86">
        <v>0</v>
      </c>
      <c r="FU76" s="21">
        <v>0</v>
      </c>
      <c r="FV76" s="21">
        <v>0</v>
      </c>
      <c r="FW76" s="24">
        <f>SUM(FJ76:FV76)</f>
        <v>0</v>
      </c>
      <c r="FX76" s="107"/>
      <c r="FY76" s="297">
        <v>0</v>
      </c>
      <c r="FZ76" s="304" t="s">
        <v>9</v>
      </c>
      <c r="GA76" s="19" t="s">
        <v>24</v>
      </c>
      <c r="GB76" s="8">
        <v>0</v>
      </c>
      <c r="GC76" s="33">
        <v>0</v>
      </c>
      <c r="GD76" s="4">
        <v>0</v>
      </c>
      <c r="GE76" s="5">
        <v>0</v>
      </c>
      <c r="GF76" s="6">
        <v>0</v>
      </c>
      <c r="GG76" s="84">
        <v>0</v>
      </c>
      <c r="GH76" s="7">
        <v>0</v>
      </c>
      <c r="GI76" s="34">
        <v>0</v>
      </c>
      <c r="GJ76" s="9">
        <v>0</v>
      </c>
      <c r="GK76" s="10">
        <v>0</v>
      </c>
      <c r="GL76" s="86">
        <v>0</v>
      </c>
      <c r="GM76" s="21">
        <v>0</v>
      </c>
      <c r="GN76" s="21">
        <v>0</v>
      </c>
      <c r="GO76" s="24">
        <f>SUM(GB76:GN76)</f>
        <v>0</v>
      </c>
      <c r="GP76" s="107"/>
      <c r="GQ76" s="297">
        <v>0</v>
      </c>
      <c r="GR76" s="304" t="s">
        <v>9</v>
      </c>
      <c r="GS76" s="19" t="s">
        <v>24</v>
      </c>
      <c r="GT76" s="8">
        <v>0</v>
      </c>
      <c r="GU76" s="33">
        <v>0</v>
      </c>
      <c r="GV76" s="4">
        <v>0</v>
      </c>
      <c r="GW76" s="5">
        <v>0</v>
      </c>
      <c r="GX76" s="6">
        <v>0</v>
      </c>
      <c r="GY76" s="84">
        <v>0</v>
      </c>
      <c r="GZ76" s="7">
        <v>0</v>
      </c>
      <c r="HA76" s="34">
        <v>0</v>
      </c>
      <c r="HB76" s="9">
        <v>0</v>
      </c>
      <c r="HC76" s="10">
        <v>0</v>
      </c>
      <c r="HD76" s="86">
        <v>0</v>
      </c>
      <c r="HE76" s="21">
        <v>0</v>
      </c>
      <c r="HF76" s="21">
        <v>0</v>
      </c>
      <c r="HG76" s="24">
        <f>SUM(GT76:HF76)</f>
        <v>0</v>
      </c>
      <c r="HH76" s="107"/>
      <c r="HI76" s="297">
        <f>GQ76</f>
        <v>0</v>
      </c>
      <c r="HJ76" s="304" t="s">
        <v>9</v>
      </c>
      <c r="HK76" s="19" t="s">
        <v>24</v>
      </c>
      <c r="HL76" s="8">
        <f t="shared" ref="HL76:HL77" si="345">SUM(D76+V76+AN76+BF76+BX76+CP76+DH76+DZ76+ER76+FJ76+GB76+GT76)</f>
        <v>0</v>
      </c>
      <c r="HM76" s="9">
        <f t="shared" ref="HM76:HM77" si="346">SUM(E76+W76+AO76+BG76+BY76+CQ76+DI76+EA76+ES76+FK76+GC76+GU76)</f>
        <v>0</v>
      </c>
      <c r="HN76" s="34">
        <f t="shared" ref="HN76:HN77" si="347">SUM(F76+X76+AP76+BH76+BZ76+CR76+DJ76+EB76+ET76+FL76+GD76+GV76)</f>
        <v>0</v>
      </c>
      <c r="HO76" s="35">
        <f t="shared" ref="HO76:HO77" si="348">SUM(G76+Y76+AQ76+BI76+CA76+CS76+DK76+EC76+EU76+FM76+GE76+GW76)</f>
        <v>0</v>
      </c>
      <c r="HP76" s="35">
        <f t="shared" ref="HP76:HP77" si="349">SUM(H76+Z76+AR76+BJ76+CB76+CT76+DL76+ED76+EV76+FN76+GF76+GX76)</f>
        <v>0</v>
      </c>
      <c r="HQ76" s="46">
        <f t="shared" ref="HQ76:HQ77" si="350">SUM(I76+AA76+AS76+BK76+CC76+CU76+DM76+EE76+EW76+FO76+GG76+GY76)</f>
        <v>0</v>
      </c>
      <c r="HR76" s="9">
        <f t="shared" ref="HR76:HR77" si="351">SUM(J76+AB76+AT76+BL76+CD76+CV76+DN76+EF76+EX76+FP76+GH76+GZ76)</f>
        <v>0</v>
      </c>
      <c r="HS76" s="34">
        <f t="shared" ref="HS76:HS77" si="352">SUM(K76+AC76+AU76+BM76+CE76+CW76+DO76+EG76+EY76+FQ76+GI76+HA76)</f>
        <v>0</v>
      </c>
      <c r="HT76" s="9">
        <f t="shared" ref="HT76:HT77" si="353">SUM(L76+AD76+AV76+BN76+CF76+CX76+DP76+EH76+EZ76+FR76+GJ76+HB76)</f>
        <v>0</v>
      </c>
      <c r="HU76" s="34">
        <f t="shared" ref="HU76:HU77" si="354">SUM(M76+AE76+AW76+BO76+CG76+CY76+DQ76+EI76+FA76+FS76+GK76+HC76)</f>
        <v>0</v>
      </c>
      <c r="HV76" s="47">
        <f t="shared" ref="HV76:HV77" si="355">SUM(N76+AF76+AX76+BP76+CH76+CZ76+DR76+EJ76+FB76+FT76+GL76+HD76)</f>
        <v>0</v>
      </c>
      <c r="HW76" s="44">
        <f t="shared" ref="HW76:HW77" si="356">SUM(O76+AG76+AY76+BQ76+CI76+DA76+DS76+EK76+FC76+FU76+GM76+HE76)</f>
        <v>0</v>
      </c>
      <c r="HX76" s="44">
        <f t="shared" ref="HX76:HX77" si="357">SUM(P76+AH76+AZ76+BR76+CJ76+DB76+DT76+EL76+FD76+FV76+GN76+HF76)</f>
        <v>0</v>
      </c>
      <c r="HY76" s="38">
        <f>SUM(HL76:HX76)</f>
        <v>0</v>
      </c>
      <c r="HZ76" s="28"/>
    </row>
    <row r="77" spans="1:234" s="11" customFormat="1" ht="20.100000000000001" customHeight="1" thickBot="1" x14ac:dyDescent="0.25">
      <c r="A77" s="298"/>
      <c r="B77" s="305"/>
      <c r="C77" s="20" t="s">
        <v>25</v>
      </c>
      <c r="D77" s="12">
        <v>0</v>
      </c>
      <c r="E77" s="18">
        <v>0</v>
      </c>
      <c r="F77" s="12">
        <v>0</v>
      </c>
      <c r="G77" s="13">
        <v>0</v>
      </c>
      <c r="H77" s="15">
        <v>0</v>
      </c>
      <c r="I77" s="15">
        <v>0</v>
      </c>
      <c r="J77" s="16">
        <v>0</v>
      </c>
      <c r="K77" s="17">
        <v>0</v>
      </c>
      <c r="L77" s="14">
        <v>0</v>
      </c>
      <c r="M77" s="17">
        <v>0</v>
      </c>
      <c r="N77" s="18">
        <v>0</v>
      </c>
      <c r="O77" s="22">
        <v>0</v>
      </c>
      <c r="P77" s="22">
        <v>0</v>
      </c>
      <c r="Q77" s="125">
        <f>SUM(D77:P77)</f>
        <v>0</v>
      </c>
      <c r="R77" s="133"/>
      <c r="S77" s="298"/>
      <c r="T77" s="305"/>
      <c r="U77" s="20" t="s">
        <v>25</v>
      </c>
      <c r="V77" s="12">
        <v>0</v>
      </c>
      <c r="W77" s="18">
        <v>0</v>
      </c>
      <c r="X77" s="12">
        <v>0</v>
      </c>
      <c r="Y77" s="13">
        <v>0</v>
      </c>
      <c r="Z77" s="15">
        <v>0</v>
      </c>
      <c r="AA77" s="15">
        <v>0</v>
      </c>
      <c r="AB77" s="16">
        <v>0</v>
      </c>
      <c r="AC77" s="17">
        <v>0</v>
      </c>
      <c r="AD77" s="14">
        <v>0</v>
      </c>
      <c r="AE77" s="17">
        <v>0</v>
      </c>
      <c r="AF77" s="18">
        <v>0</v>
      </c>
      <c r="AG77" s="22">
        <v>0</v>
      </c>
      <c r="AH77" s="22">
        <v>0</v>
      </c>
      <c r="AI77" s="125">
        <f>SUM(V77:AH77)</f>
        <v>0</v>
      </c>
      <c r="AJ77" s="133"/>
      <c r="AK77" s="298"/>
      <c r="AL77" s="305"/>
      <c r="AM77" s="20" t="s">
        <v>25</v>
      </c>
      <c r="AN77" s="12">
        <v>0</v>
      </c>
      <c r="AO77" s="18">
        <v>0</v>
      </c>
      <c r="AP77" s="12">
        <v>0</v>
      </c>
      <c r="AQ77" s="13">
        <v>0</v>
      </c>
      <c r="AR77" s="15">
        <v>0</v>
      </c>
      <c r="AS77" s="15">
        <v>0</v>
      </c>
      <c r="AT77" s="16">
        <v>0</v>
      </c>
      <c r="AU77" s="17">
        <v>0</v>
      </c>
      <c r="AV77" s="14">
        <v>0</v>
      </c>
      <c r="AW77" s="17">
        <v>0</v>
      </c>
      <c r="AX77" s="18">
        <v>0</v>
      </c>
      <c r="AY77" s="22">
        <v>0</v>
      </c>
      <c r="AZ77" s="22">
        <v>0</v>
      </c>
      <c r="BA77" s="125">
        <f>SUM(AN77:AZ77)</f>
        <v>0</v>
      </c>
      <c r="BB77" s="133"/>
      <c r="BC77" s="298"/>
      <c r="BD77" s="305"/>
      <c r="BE77" s="20" t="s">
        <v>25</v>
      </c>
      <c r="BF77" s="12">
        <v>0</v>
      </c>
      <c r="BG77" s="18">
        <v>0</v>
      </c>
      <c r="BH77" s="12">
        <v>0</v>
      </c>
      <c r="BI77" s="13">
        <v>0</v>
      </c>
      <c r="BJ77" s="15">
        <v>0</v>
      </c>
      <c r="BK77" s="15">
        <v>0</v>
      </c>
      <c r="BL77" s="16">
        <v>0</v>
      </c>
      <c r="BM77" s="17">
        <v>0</v>
      </c>
      <c r="BN77" s="14">
        <v>0</v>
      </c>
      <c r="BO77" s="17">
        <v>0</v>
      </c>
      <c r="BP77" s="18">
        <v>0</v>
      </c>
      <c r="BQ77" s="22">
        <v>0</v>
      </c>
      <c r="BR77" s="22">
        <v>0</v>
      </c>
      <c r="BS77" s="125">
        <f>SUM(BF77:BR77)</f>
        <v>0</v>
      </c>
      <c r="BT77" s="133"/>
      <c r="BU77" s="298"/>
      <c r="BV77" s="305"/>
      <c r="BW77" s="20" t="s">
        <v>25</v>
      </c>
      <c r="BX77" s="12">
        <v>0</v>
      </c>
      <c r="BY77" s="18">
        <v>0</v>
      </c>
      <c r="BZ77" s="12">
        <v>0</v>
      </c>
      <c r="CA77" s="13">
        <v>0</v>
      </c>
      <c r="CB77" s="15">
        <v>0</v>
      </c>
      <c r="CC77" s="15">
        <v>0</v>
      </c>
      <c r="CD77" s="16">
        <v>0</v>
      </c>
      <c r="CE77" s="17">
        <v>0</v>
      </c>
      <c r="CF77" s="14">
        <v>0</v>
      </c>
      <c r="CG77" s="17">
        <v>0</v>
      </c>
      <c r="CH77" s="18">
        <v>0</v>
      </c>
      <c r="CI77" s="22">
        <v>0</v>
      </c>
      <c r="CJ77" s="22">
        <v>0</v>
      </c>
      <c r="CK77" s="125">
        <f>SUM(BX77:CJ77)</f>
        <v>0</v>
      </c>
      <c r="CL77" s="133"/>
      <c r="CM77" s="298"/>
      <c r="CN77" s="305"/>
      <c r="CO77" s="20" t="s">
        <v>25</v>
      </c>
      <c r="CP77" s="12">
        <v>0</v>
      </c>
      <c r="CQ77" s="18">
        <v>0</v>
      </c>
      <c r="CR77" s="12">
        <v>0</v>
      </c>
      <c r="CS77" s="13">
        <v>0</v>
      </c>
      <c r="CT77" s="15">
        <v>0</v>
      </c>
      <c r="CU77" s="15">
        <v>0</v>
      </c>
      <c r="CV77" s="16">
        <v>0</v>
      </c>
      <c r="CW77" s="17">
        <v>0</v>
      </c>
      <c r="CX77" s="14">
        <v>0</v>
      </c>
      <c r="CY77" s="17">
        <v>0</v>
      </c>
      <c r="CZ77" s="18">
        <v>0</v>
      </c>
      <c r="DA77" s="22">
        <v>0</v>
      </c>
      <c r="DB77" s="22">
        <v>0</v>
      </c>
      <c r="DC77" s="25">
        <f>SUM(CP77:DB77)</f>
        <v>0</v>
      </c>
      <c r="DD77" s="107"/>
      <c r="DE77" s="298"/>
      <c r="DF77" s="305"/>
      <c r="DG77" s="20" t="s">
        <v>25</v>
      </c>
      <c r="DH77" s="12">
        <v>0</v>
      </c>
      <c r="DI77" s="18">
        <v>0</v>
      </c>
      <c r="DJ77" s="12">
        <v>0</v>
      </c>
      <c r="DK77" s="13">
        <v>0</v>
      </c>
      <c r="DL77" s="15">
        <v>0</v>
      </c>
      <c r="DM77" s="15">
        <v>0</v>
      </c>
      <c r="DN77" s="16">
        <v>0</v>
      </c>
      <c r="DO77" s="17">
        <v>0</v>
      </c>
      <c r="DP77" s="14">
        <v>0</v>
      </c>
      <c r="DQ77" s="17">
        <v>0</v>
      </c>
      <c r="DR77" s="18">
        <v>0</v>
      </c>
      <c r="DS77" s="22">
        <v>0</v>
      </c>
      <c r="DT77" s="22">
        <v>0</v>
      </c>
      <c r="DU77" s="25">
        <f>SUM(DH77:DT77)</f>
        <v>0</v>
      </c>
      <c r="DV77" s="107"/>
      <c r="DW77" s="298"/>
      <c r="DX77" s="305"/>
      <c r="DY77" s="20" t="s">
        <v>25</v>
      </c>
      <c r="DZ77" s="244">
        <v>0</v>
      </c>
      <c r="EA77" s="245">
        <v>0</v>
      </c>
      <c r="EB77" s="244">
        <v>0</v>
      </c>
      <c r="EC77" s="246">
        <v>0</v>
      </c>
      <c r="ED77" s="247">
        <v>0</v>
      </c>
      <c r="EE77" s="247">
        <v>0</v>
      </c>
      <c r="EF77" s="248">
        <v>0</v>
      </c>
      <c r="EG77" s="249">
        <v>0</v>
      </c>
      <c r="EH77" s="250">
        <v>0</v>
      </c>
      <c r="EI77" s="249">
        <v>0</v>
      </c>
      <c r="EJ77" s="245">
        <v>0</v>
      </c>
      <c r="EK77" s="251">
        <v>0</v>
      </c>
      <c r="EL77" s="251">
        <v>0</v>
      </c>
      <c r="EM77" s="228">
        <f t="shared" si="344"/>
        <v>0</v>
      </c>
      <c r="EN77" s="107"/>
      <c r="EO77" s="298"/>
      <c r="EP77" s="305"/>
      <c r="EQ77" s="20" t="s">
        <v>25</v>
      </c>
      <c r="ER77" s="12">
        <v>0</v>
      </c>
      <c r="ES77" s="18">
        <v>0</v>
      </c>
      <c r="ET77" s="12">
        <v>0</v>
      </c>
      <c r="EU77" s="13">
        <v>0</v>
      </c>
      <c r="EV77" s="15">
        <v>0</v>
      </c>
      <c r="EW77" s="15">
        <v>0</v>
      </c>
      <c r="EX77" s="16">
        <v>0</v>
      </c>
      <c r="EY77" s="17">
        <v>0</v>
      </c>
      <c r="EZ77" s="14">
        <v>0</v>
      </c>
      <c r="FA77" s="17">
        <v>0</v>
      </c>
      <c r="FB77" s="18">
        <v>0</v>
      </c>
      <c r="FC77" s="22">
        <v>0</v>
      </c>
      <c r="FD77" s="22">
        <v>0</v>
      </c>
      <c r="FE77" s="25">
        <f>SUM(ER77:FD77)</f>
        <v>0</v>
      </c>
      <c r="FF77" s="107"/>
      <c r="FG77" s="298"/>
      <c r="FH77" s="305"/>
      <c r="FI77" s="20" t="s">
        <v>25</v>
      </c>
      <c r="FJ77" s="12">
        <v>0</v>
      </c>
      <c r="FK77" s="18">
        <v>0</v>
      </c>
      <c r="FL77" s="12">
        <v>0</v>
      </c>
      <c r="FM77" s="13">
        <v>0</v>
      </c>
      <c r="FN77" s="15">
        <v>0</v>
      </c>
      <c r="FO77" s="15">
        <v>0</v>
      </c>
      <c r="FP77" s="16">
        <v>0</v>
      </c>
      <c r="FQ77" s="17">
        <v>0</v>
      </c>
      <c r="FR77" s="14">
        <v>0</v>
      </c>
      <c r="FS77" s="17">
        <v>0</v>
      </c>
      <c r="FT77" s="18">
        <v>0</v>
      </c>
      <c r="FU77" s="22">
        <v>0</v>
      </c>
      <c r="FV77" s="22">
        <v>0</v>
      </c>
      <c r="FW77" s="25">
        <f>SUM(FJ77:FV77)</f>
        <v>0</v>
      </c>
      <c r="FX77" s="107"/>
      <c r="FY77" s="298"/>
      <c r="FZ77" s="305"/>
      <c r="GA77" s="20" t="s">
        <v>25</v>
      </c>
      <c r="GB77" s="12">
        <v>0</v>
      </c>
      <c r="GC77" s="18">
        <v>0</v>
      </c>
      <c r="GD77" s="12">
        <v>0</v>
      </c>
      <c r="GE77" s="13">
        <v>0</v>
      </c>
      <c r="GF77" s="15">
        <v>0</v>
      </c>
      <c r="GG77" s="15">
        <v>0</v>
      </c>
      <c r="GH77" s="16">
        <v>0</v>
      </c>
      <c r="GI77" s="17">
        <v>0</v>
      </c>
      <c r="GJ77" s="14">
        <v>0</v>
      </c>
      <c r="GK77" s="17">
        <v>0</v>
      </c>
      <c r="GL77" s="18">
        <v>0</v>
      </c>
      <c r="GM77" s="22">
        <v>0</v>
      </c>
      <c r="GN77" s="22">
        <v>0</v>
      </c>
      <c r="GO77" s="25">
        <f>SUM(GB77:GN77)</f>
        <v>0</v>
      </c>
      <c r="GP77" s="107"/>
      <c r="GQ77" s="298"/>
      <c r="GR77" s="305"/>
      <c r="GS77" s="20" t="s">
        <v>25</v>
      </c>
      <c r="GT77" s="12">
        <v>0</v>
      </c>
      <c r="GU77" s="18">
        <v>0</v>
      </c>
      <c r="GV77" s="12">
        <v>0</v>
      </c>
      <c r="GW77" s="13">
        <v>0</v>
      </c>
      <c r="GX77" s="15">
        <v>0</v>
      </c>
      <c r="GY77" s="15">
        <v>0</v>
      </c>
      <c r="GZ77" s="16">
        <v>0</v>
      </c>
      <c r="HA77" s="17">
        <v>0</v>
      </c>
      <c r="HB77" s="14">
        <v>0</v>
      </c>
      <c r="HC77" s="17">
        <v>0</v>
      </c>
      <c r="HD77" s="18">
        <v>0</v>
      </c>
      <c r="HE77" s="22">
        <v>0</v>
      </c>
      <c r="HF77" s="22">
        <v>0</v>
      </c>
      <c r="HG77" s="25">
        <f>SUM(GT77:HF77)</f>
        <v>0</v>
      </c>
      <c r="HH77" s="107"/>
      <c r="HI77" s="298"/>
      <c r="HJ77" s="305"/>
      <c r="HK77" s="20" t="s">
        <v>25</v>
      </c>
      <c r="HL77" s="12">
        <f t="shared" si="345"/>
        <v>0</v>
      </c>
      <c r="HM77" s="14">
        <f t="shared" si="346"/>
        <v>0</v>
      </c>
      <c r="HN77" s="17">
        <f t="shared" si="347"/>
        <v>0</v>
      </c>
      <c r="HO77" s="13">
        <f t="shared" si="348"/>
        <v>0</v>
      </c>
      <c r="HP77" s="13">
        <f t="shared" si="349"/>
        <v>0</v>
      </c>
      <c r="HQ77" s="13">
        <f t="shared" si="350"/>
        <v>0</v>
      </c>
      <c r="HR77" s="14">
        <f t="shared" si="351"/>
        <v>0</v>
      </c>
      <c r="HS77" s="17">
        <f t="shared" si="352"/>
        <v>0</v>
      </c>
      <c r="HT77" s="14">
        <f t="shared" si="353"/>
        <v>0</v>
      </c>
      <c r="HU77" s="17">
        <f t="shared" si="354"/>
        <v>0</v>
      </c>
      <c r="HV77" s="14">
        <f t="shared" si="355"/>
        <v>0</v>
      </c>
      <c r="HW77" s="45">
        <f t="shared" si="356"/>
        <v>0</v>
      </c>
      <c r="HX77" s="45">
        <f t="shared" si="357"/>
        <v>0</v>
      </c>
      <c r="HY77" s="39">
        <f>SUM(HL77:HX77)</f>
        <v>0</v>
      </c>
      <c r="HZ77" s="28"/>
    </row>
    <row r="78" spans="1:234" s="11" customFormat="1" ht="20.100000000000001" customHeight="1" thickBot="1" x14ac:dyDescent="0.25">
      <c r="A78" s="298"/>
      <c r="B78" s="295" t="s">
        <v>26</v>
      </c>
      <c r="C78" s="296"/>
      <c r="D78" s="306">
        <f>SUM(D76:E77)</f>
        <v>0</v>
      </c>
      <c r="E78" s="307"/>
      <c r="F78" s="306">
        <f>SUM(F76:J77)</f>
        <v>0</v>
      </c>
      <c r="G78" s="368"/>
      <c r="H78" s="368"/>
      <c r="I78" s="368"/>
      <c r="J78" s="307"/>
      <c r="K78" s="306">
        <f>SUM(K76:L77)</f>
        <v>0</v>
      </c>
      <c r="L78" s="307"/>
      <c r="M78" s="306">
        <f>SUM(M76:N77)</f>
        <v>0</v>
      </c>
      <c r="N78" s="307"/>
      <c r="O78" s="94">
        <f>SUM(O76:O77)</f>
        <v>0</v>
      </c>
      <c r="P78" s="94">
        <f>SUM(P76:P77)</f>
        <v>0</v>
      </c>
      <c r="Q78" s="126">
        <f>SUM(Q76:Q77)</f>
        <v>0</v>
      </c>
      <c r="R78" s="133"/>
      <c r="S78" s="298"/>
      <c r="T78" s="295" t="s">
        <v>26</v>
      </c>
      <c r="U78" s="296"/>
      <c r="V78" s="306">
        <f>SUM(V76:W77)</f>
        <v>0</v>
      </c>
      <c r="W78" s="307"/>
      <c r="X78" s="306">
        <f>SUM(X76:AB77)</f>
        <v>0</v>
      </c>
      <c r="Y78" s="368"/>
      <c r="Z78" s="368"/>
      <c r="AA78" s="368"/>
      <c r="AB78" s="307"/>
      <c r="AC78" s="306">
        <f>SUM(AC76:AD77)</f>
        <v>0</v>
      </c>
      <c r="AD78" s="307"/>
      <c r="AE78" s="306">
        <f>SUM(AE76:AF77)</f>
        <v>0</v>
      </c>
      <c r="AF78" s="307"/>
      <c r="AG78" s="94">
        <f>SUM(AG76:AG77)</f>
        <v>0</v>
      </c>
      <c r="AH78" s="94">
        <f>SUM(AH76:AH77)</f>
        <v>0</v>
      </c>
      <c r="AI78" s="126">
        <f>SUM(AI76:AI77)</f>
        <v>0</v>
      </c>
      <c r="AJ78" s="133"/>
      <c r="AK78" s="298"/>
      <c r="AL78" s="295" t="s">
        <v>26</v>
      </c>
      <c r="AM78" s="296"/>
      <c r="AN78" s="306">
        <f>SUM(AN76:AO77)</f>
        <v>0</v>
      </c>
      <c r="AO78" s="307"/>
      <c r="AP78" s="306">
        <f>SUM(AP76:AT77)</f>
        <v>0</v>
      </c>
      <c r="AQ78" s="368"/>
      <c r="AR78" s="368"/>
      <c r="AS78" s="368"/>
      <c r="AT78" s="307"/>
      <c r="AU78" s="306">
        <f>SUM(AU76:AV77)</f>
        <v>0</v>
      </c>
      <c r="AV78" s="307"/>
      <c r="AW78" s="306">
        <f>SUM(AW76:AX77)</f>
        <v>0</v>
      </c>
      <c r="AX78" s="307"/>
      <c r="AY78" s="94">
        <f>SUM(AY76:AY77)</f>
        <v>0</v>
      </c>
      <c r="AZ78" s="94">
        <f>SUM(AZ76:AZ77)</f>
        <v>0</v>
      </c>
      <c r="BA78" s="126">
        <f>SUM(BA76:BA77)</f>
        <v>0</v>
      </c>
      <c r="BB78" s="133"/>
      <c r="BC78" s="298"/>
      <c r="BD78" s="295" t="s">
        <v>26</v>
      </c>
      <c r="BE78" s="296"/>
      <c r="BF78" s="306">
        <f>SUM(BF76:BG77)</f>
        <v>0</v>
      </c>
      <c r="BG78" s="307"/>
      <c r="BH78" s="306">
        <f>SUM(BH76:BL77)</f>
        <v>0</v>
      </c>
      <c r="BI78" s="368"/>
      <c r="BJ78" s="368"/>
      <c r="BK78" s="368"/>
      <c r="BL78" s="307"/>
      <c r="BM78" s="306">
        <f>SUM(BM76:BN77)</f>
        <v>0</v>
      </c>
      <c r="BN78" s="307"/>
      <c r="BO78" s="306">
        <f>SUM(BO76:BP77)</f>
        <v>0</v>
      </c>
      <c r="BP78" s="307"/>
      <c r="BQ78" s="94">
        <f>SUM(BQ76:BQ77)</f>
        <v>0</v>
      </c>
      <c r="BR78" s="94">
        <f>SUM(BR76:BR77)</f>
        <v>0</v>
      </c>
      <c r="BS78" s="126">
        <f>SUM(BS76:BS77)</f>
        <v>0</v>
      </c>
      <c r="BT78" s="133"/>
      <c r="BU78" s="298"/>
      <c r="BV78" s="295" t="s">
        <v>26</v>
      </c>
      <c r="BW78" s="296"/>
      <c r="BX78" s="306">
        <f>SUM(BX76:BY77)</f>
        <v>0</v>
      </c>
      <c r="BY78" s="307"/>
      <c r="BZ78" s="306">
        <f>SUM(BZ76:CD77)</f>
        <v>0</v>
      </c>
      <c r="CA78" s="368"/>
      <c r="CB78" s="368"/>
      <c r="CC78" s="368"/>
      <c r="CD78" s="307"/>
      <c r="CE78" s="306">
        <f>SUM(CE76:CF77)</f>
        <v>0</v>
      </c>
      <c r="CF78" s="307"/>
      <c r="CG78" s="306">
        <f>SUM(CG76:CH77)</f>
        <v>0</v>
      </c>
      <c r="CH78" s="307"/>
      <c r="CI78" s="94">
        <f>SUM(CI76:CI77)</f>
        <v>0</v>
      </c>
      <c r="CJ78" s="94">
        <f>SUM(CJ76:CJ77)</f>
        <v>0</v>
      </c>
      <c r="CK78" s="126">
        <f>SUM(CK76:CK77)</f>
        <v>0</v>
      </c>
      <c r="CL78" s="133"/>
      <c r="CM78" s="298"/>
      <c r="CN78" s="295" t="s">
        <v>26</v>
      </c>
      <c r="CO78" s="296"/>
      <c r="CP78" s="306">
        <f>SUM(CP76:CQ77)</f>
        <v>0</v>
      </c>
      <c r="CQ78" s="307"/>
      <c r="CR78" s="306">
        <f>SUM(CR76:CV77)</f>
        <v>0</v>
      </c>
      <c r="CS78" s="368"/>
      <c r="CT78" s="368"/>
      <c r="CU78" s="368"/>
      <c r="CV78" s="307"/>
      <c r="CW78" s="306">
        <f>SUM(CW76:CX77)</f>
        <v>0</v>
      </c>
      <c r="CX78" s="307"/>
      <c r="CY78" s="306">
        <f>SUM(CY76:CZ77)</f>
        <v>0</v>
      </c>
      <c r="CZ78" s="307"/>
      <c r="DA78" s="94">
        <f>SUM(DA76:DA77)</f>
        <v>0</v>
      </c>
      <c r="DB78" s="94">
        <f>SUM(DB76:DB77)</f>
        <v>0</v>
      </c>
      <c r="DC78" s="26">
        <f>SUM(DC76:DC77)</f>
        <v>0</v>
      </c>
      <c r="DD78" s="107"/>
      <c r="DE78" s="298"/>
      <c r="DF78" s="295" t="s">
        <v>26</v>
      </c>
      <c r="DG78" s="296"/>
      <c r="DH78" s="306">
        <f>SUM(DH76:DI77)</f>
        <v>0</v>
      </c>
      <c r="DI78" s="307"/>
      <c r="DJ78" s="306">
        <f>SUM(DJ76:DN77)</f>
        <v>0</v>
      </c>
      <c r="DK78" s="368"/>
      <c r="DL78" s="368"/>
      <c r="DM78" s="368"/>
      <c r="DN78" s="307"/>
      <c r="DO78" s="306">
        <f>SUM(DO76:DP77)</f>
        <v>0</v>
      </c>
      <c r="DP78" s="307"/>
      <c r="DQ78" s="306">
        <f>SUM(DQ76:DR77)</f>
        <v>0</v>
      </c>
      <c r="DR78" s="307"/>
      <c r="DS78" s="94">
        <f>SUM(DS76:DS77)</f>
        <v>0</v>
      </c>
      <c r="DT78" s="94">
        <f>SUM(DT76:DT77)</f>
        <v>0</v>
      </c>
      <c r="DU78" s="26">
        <f>SUM(DU76:DU77)</f>
        <v>0</v>
      </c>
      <c r="DV78" s="107"/>
      <c r="DW78" s="298"/>
      <c r="DX78" s="295" t="s">
        <v>26</v>
      </c>
      <c r="DY78" s="296"/>
      <c r="DZ78" s="359">
        <f>SUM(DZ76:EA77)</f>
        <v>0</v>
      </c>
      <c r="EA78" s="361"/>
      <c r="EB78" s="359">
        <f>SUM(EB76:EF77)</f>
        <v>0</v>
      </c>
      <c r="EC78" s="360"/>
      <c r="ED78" s="360"/>
      <c r="EE78" s="360"/>
      <c r="EF78" s="361"/>
      <c r="EG78" s="359">
        <f>SUM(EG76:EH77)</f>
        <v>0</v>
      </c>
      <c r="EH78" s="361"/>
      <c r="EI78" s="359">
        <f>SUM(EI76:EJ77)</f>
        <v>0</v>
      </c>
      <c r="EJ78" s="361"/>
      <c r="EK78" s="229">
        <f t="shared" ref="EK78:EM78" si="358">SUM(EK76:EK77)</f>
        <v>0</v>
      </c>
      <c r="EL78" s="229">
        <f t="shared" si="358"/>
        <v>0</v>
      </c>
      <c r="EM78" s="230">
        <f t="shared" si="358"/>
        <v>0</v>
      </c>
      <c r="EN78" s="107"/>
      <c r="EO78" s="298"/>
      <c r="EP78" s="295" t="s">
        <v>26</v>
      </c>
      <c r="EQ78" s="296"/>
      <c r="ER78" s="306">
        <f>SUM(ER76:ES77)</f>
        <v>0</v>
      </c>
      <c r="ES78" s="307"/>
      <c r="ET78" s="306">
        <f>SUM(ET76:EX77)</f>
        <v>0</v>
      </c>
      <c r="EU78" s="368"/>
      <c r="EV78" s="368"/>
      <c r="EW78" s="368"/>
      <c r="EX78" s="307"/>
      <c r="EY78" s="306">
        <f>SUM(EY76:EZ77)</f>
        <v>0</v>
      </c>
      <c r="EZ78" s="307"/>
      <c r="FA78" s="306">
        <f>SUM(FA76:FB77)</f>
        <v>0</v>
      </c>
      <c r="FB78" s="307"/>
      <c r="FC78" s="94">
        <f>SUM(FC76:FC77)</f>
        <v>0</v>
      </c>
      <c r="FD78" s="94">
        <f>SUM(FD76:FD77)</f>
        <v>0</v>
      </c>
      <c r="FE78" s="26">
        <f>SUM(FE76:FE77)</f>
        <v>0</v>
      </c>
      <c r="FF78" s="107"/>
      <c r="FG78" s="298"/>
      <c r="FH78" s="295" t="s">
        <v>26</v>
      </c>
      <c r="FI78" s="296"/>
      <c r="FJ78" s="306">
        <f>SUM(FJ76:FK77)</f>
        <v>0</v>
      </c>
      <c r="FK78" s="307"/>
      <c r="FL78" s="306">
        <f>SUM(FL76:FP77)</f>
        <v>0</v>
      </c>
      <c r="FM78" s="368"/>
      <c r="FN78" s="368"/>
      <c r="FO78" s="368"/>
      <c r="FP78" s="307"/>
      <c r="FQ78" s="306">
        <f>SUM(FQ76:FR77)</f>
        <v>0</v>
      </c>
      <c r="FR78" s="307"/>
      <c r="FS78" s="306">
        <f>SUM(FS76:FT77)</f>
        <v>0</v>
      </c>
      <c r="FT78" s="307"/>
      <c r="FU78" s="94">
        <f>SUM(FU76:FU77)</f>
        <v>0</v>
      </c>
      <c r="FV78" s="94">
        <f>SUM(FV76:FV77)</f>
        <v>0</v>
      </c>
      <c r="FW78" s="26">
        <f>SUM(FW76:FW77)</f>
        <v>0</v>
      </c>
      <c r="FX78" s="107"/>
      <c r="FY78" s="298"/>
      <c r="FZ78" s="295" t="s">
        <v>26</v>
      </c>
      <c r="GA78" s="296"/>
      <c r="GB78" s="306">
        <f>SUM(GB76:GC77)</f>
        <v>0</v>
      </c>
      <c r="GC78" s="307"/>
      <c r="GD78" s="306">
        <f>SUM(GD76:GH77)</f>
        <v>0</v>
      </c>
      <c r="GE78" s="368"/>
      <c r="GF78" s="368"/>
      <c r="GG78" s="368"/>
      <c r="GH78" s="307"/>
      <c r="GI78" s="306">
        <f>SUM(GI76:GJ77)</f>
        <v>0</v>
      </c>
      <c r="GJ78" s="307"/>
      <c r="GK78" s="306">
        <f>SUM(GK76:GL77)</f>
        <v>0</v>
      </c>
      <c r="GL78" s="307"/>
      <c r="GM78" s="94">
        <f>SUM(GM76:GM77)</f>
        <v>0</v>
      </c>
      <c r="GN78" s="94">
        <f>SUM(GN76:GN77)</f>
        <v>0</v>
      </c>
      <c r="GO78" s="26">
        <f>SUM(GO76:GO77)</f>
        <v>0</v>
      </c>
      <c r="GP78" s="107"/>
      <c r="GQ78" s="298"/>
      <c r="GR78" s="295" t="s">
        <v>26</v>
      </c>
      <c r="GS78" s="296"/>
      <c r="GT78" s="306">
        <f>SUM(GT76:GU77)</f>
        <v>0</v>
      </c>
      <c r="GU78" s="307"/>
      <c r="GV78" s="306">
        <f>SUM(GV76:GZ77)</f>
        <v>0</v>
      </c>
      <c r="GW78" s="368"/>
      <c r="GX78" s="368"/>
      <c r="GY78" s="368"/>
      <c r="GZ78" s="307"/>
      <c r="HA78" s="306">
        <f>SUM(HA76:HB77)</f>
        <v>0</v>
      </c>
      <c r="HB78" s="307"/>
      <c r="HC78" s="306">
        <f>SUM(HC76:HD77)</f>
        <v>0</v>
      </c>
      <c r="HD78" s="307"/>
      <c r="HE78" s="94">
        <f>SUM(HE76:HE77)</f>
        <v>0</v>
      </c>
      <c r="HF78" s="94">
        <f>SUM(HF76:HF77)</f>
        <v>0</v>
      </c>
      <c r="HG78" s="26">
        <f>SUM(HG76:HG77)</f>
        <v>0</v>
      </c>
      <c r="HH78" s="107"/>
      <c r="HI78" s="298"/>
      <c r="HJ78" s="295" t="s">
        <v>26</v>
      </c>
      <c r="HK78" s="313"/>
      <c r="HL78" s="306">
        <f>SUM(HL76:HM77)</f>
        <v>0</v>
      </c>
      <c r="HM78" s="307"/>
      <c r="HN78" s="306">
        <f>SUM(HN76:HR77)</f>
        <v>0</v>
      </c>
      <c r="HO78" s="368"/>
      <c r="HP78" s="368"/>
      <c r="HQ78" s="368"/>
      <c r="HR78" s="307"/>
      <c r="HS78" s="306">
        <f>SUM(HS76:HT77)</f>
        <v>0</v>
      </c>
      <c r="HT78" s="307"/>
      <c r="HU78" s="306">
        <f>SUM(HU76:HV77)</f>
        <v>0</v>
      </c>
      <c r="HV78" s="307"/>
      <c r="HW78" s="43">
        <f>SUM(HW76:HW77)</f>
        <v>0</v>
      </c>
      <c r="HX78" s="43">
        <f>SUM(HX76:HX77)</f>
        <v>0</v>
      </c>
      <c r="HY78" s="26">
        <f>SUM(HY76:HY77)</f>
        <v>0</v>
      </c>
      <c r="HZ78" s="28"/>
    </row>
    <row r="79" spans="1:234" s="11" customFormat="1" ht="20.100000000000001" customHeight="1" x14ac:dyDescent="0.2">
      <c r="A79" s="298"/>
      <c r="B79" s="311" t="s">
        <v>27</v>
      </c>
      <c r="C79" s="19" t="s">
        <v>24</v>
      </c>
      <c r="D79" s="8">
        <v>0</v>
      </c>
      <c r="E79" s="33">
        <v>0</v>
      </c>
      <c r="F79" s="8">
        <v>0</v>
      </c>
      <c r="G79" s="35">
        <v>0</v>
      </c>
      <c r="H79" s="36">
        <v>0</v>
      </c>
      <c r="I79" s="85">
        <v>0</v>
      </c>
      <c r="J79" s="37">
        <v>0</v>
      </c>
      <c r="K79" s="34">
        <v>0</v>
      </c>
      <c r="L79" s="9">
        <v>0</v>
      </c>
      <c r="M79" s="10">
        <v>0</v>
      </c>
      <c r="N79" s="86">
        <v>0</v>
      </c>
      <c r="O79" s="21">
        <v>0</v>
      </c>
      <c r="P79" s="21">
        <v>0</v>
      </c>
      <c r="Q79" s="124">
        <f>SUM(D79:P79)</f>
        <v>0</v>
      </c>
      <c r="R79" s="133"/>
      <c r="S79" s="298"/>
      <c r="T79" s="311" t="s">
        <v>27</v>
      </c>
      <c r="U79" s="19" t="s">
        <v>24</v>
      </c>
      <c r="V79" s="8">
        <v>0</v>
      </c>
      <c r="W79" s="33">
        <v>0</v>
      </c>
      <c r="X79" s="8">
        <v>0</v>
      </c>
      <c r="Y79" s="35">
        <v>0</v>
      </c>
      <c r="Z79" s="36">
        <v>0</v>
      </c>
      <c r="AA79" s="85">
        <v>0</v>
      </c>
      <c r="AB79" s="37">
        <v>0</v>
      </c>
      <c r="AC79" s="34">
        <v>0</v>
      </c>
      <c r="AD79" s="9">
        <v>0</v>
      </c>
      <c r="AE79" s="10">
        <v>0</v>
      </c>
      <c r="AF79" s="86">
        <v>0</v>
      </c>
      <c r="AG79" s="21">
        <v>0</v>
      </c>
      <c r="AH79" s="21">
        <v>0</v>
      </c>
      <c r="AI79" s="124">
        <f>SUM(V79:AH79)</f>
        <v>0</v>
      </c>
      <c r="AJ79" s="133"/>
      <c r="AK79" s="298"/>
      <c r="AL79" s="311" t="s">
        <v>27</v>
      </c>
      <c r="AM79" s="19" t="s">
        <v>24</v>
      </c>
      <c r="AN79" s="8">
        <v>0</v>
      </c>
      <c r="AO79" s="33">
        <v>0</v>
      </c>
      <c r="AP79" s="8">
        <v>0</v>
      </c>
      <c r="AQ79" s="35">
        <v>0</v>
      </c>
      <c r="AR79" s="36">
        <v>0</v>
      </c>
      <c r="AS79" s="85">
        <v>0</v>
      </c>
      <c r="AT79" s="37">
        <v>0</v>
      </c>
      <c r="AU79" s="34">
        <v>0</v>
      </c>
      <c r="AV79" s="9">
        <v>0</v>
      </c>
      <c r="AW79" s="10">
        <v>0</v>
      </c>
      <c r="AX79" s="86">
        <v>0</v>
      </c>
      <c r="AY79" s="21">
        <v>0</v>
      </c>
      <c r="AZ79" s="21">
        <v>0</v>
      </c>
      <c r="BA79" s="124">
        <f>SUM(AN79:AZ79)</f>
        <v>0</v>
      </c>
      <c r="BB79" s="133"/>
      <c r="BC79" s="298"/>
      <c r="BD79" s="311" t="s">
        <v>27</v>
      </c>
      <c r="BE79" s="19" t="s">
        <v>24</v>
      </c>
      <c r="BF79" s="8">
        <v>0</v>
      </c>
      <c r="BG79" s="33">
        <v>0</v>
      </c>
      <c r="BH79" s="8">
        <v>0</v>
      </c>
      <c r="BI79" s="35">
        <v>0</v>
      </c>
      <c r="BJ79" s="36">
        <v>0</v>
      </c>
      <c r="BK79" s="85">
        <v>0</v>
      </c>
      <c r="BL79" s="37">
        <v>0</v>
      </c>
      <c r="BM79" s="34">
        <v>0</v>
      </c>
      <c r="BN79" s="9">
        <v>0</v>
      </c>
      <c r="BO79" s="10">
        <v>0</v>
      </c>
      <c r="BP79" s="86">
        <v>0</v>
      </c>
      <c r="BQ79" s="21">
        <v>0</v>
      </c>
      <c r="BR79" s="21">
        <v>0</v>
      </c>
      <c r="BS79" s="124">
        <f>SUM(BF79:BR79)</f>
        <v>0</v>
      </c>
      <c r="BT79" s="133"/>
      <c r="BU79" s="298"/>
      <c r="BV79" s="311" t="s">
        <v>27</v>
      </c>
      <c r="BW79" s="19" t="s">
        <v>24</v>
      </c>
      <c r="BX79" s="8">
        <v>0</v>
      </c>
      <c r="BY79" s="33">
        <v>0</v>
      </c>
      <c r="BZ79" s="8">
        <v>0</v>
      </c>
      <c r="CA79" s="35">
        <v>0</v>
      </c>
      <c r="CB79" s="36">
        <v>0</v>
      </c>
      <c r="CC79" s="85">
        <v>0</v>
      </c>
      <c r="CD79" s="37">
        <v>0</v>
      </c>
      <c r="CE79" s="34">
        <v>0</v>
      </c>
      <c r="CF79" s="9">
        <v>0</v>
      </c>
      <c r="CG79" s="10">
        <v>0</v>
      </c>
      <c r="CH79" s="86">
        <v>0</v>
      </c>
      <c r="CI79" s="21">
        <v>0</v>
      </c>
      <c r="CJ79" s="21">
        <v>0</v>
      </c>
      <c r="CK79" s="124">
        <f>SUM(BX79:CJ79)</f>
        <v>0</v>
      </c>
      <c r="CL79" s="133"/>
      <c r="CM79" s="298"/>
      <c r="CN79" s="311" t="s">
        <v>27</v>
      </c>
      <c r="CO79" s="19" t="s">
        <v>24</v>
      </c>
      <c r="CP79" s="8">
        <v>0</v>
      </c>
      <c r="CQ79" s="33">
        <v>0</v>
      </c>
      <c r="CR79" s="8">
        <v>0</v>
      </c>
      <c r="CS79" s="35">
        <v>0</v>
      </c>
      <c r="CT79" s="36">
        <v>0</v>
      </c>
      <c r="CU79" s="85">
        <v>0</v>
      </c>
      <c r="CV79" s="37">
        <v>0</v>
      </c>
      <c r="CW79" s="34">
        <v>0</v>
      </c>
      <c r="CX79" s="9">
        <v>0</v>
      </c>
      <c r="CY79" s="10">
        <v>0</v>
      </c>
      <c r="CZ79" s="86">
        <v>0</v>
      </c>
      <c r="DA79" s="21">
        <v>0</v>
      </c>
      <c r="DB79" s="21">
        <v>0</v>
      </c>
      <c r="DC79" s="24">
        <f>SUM(CP79:DB79)</f>
        <v>0</v>
      </c>
      <c r="DD79" s="107"/>
      <c r="DE79" s="298"/>
      <c r="DF79" s="311" t="s">
        <v>27</v>
      </c>
      <c r="DG79" s="19" t="s">
        <v>24</v>
      </c>
      <c r="DH79" s="8">
        <v>0</v>
      </c>
      <c r="DI79" s="33">
        <v>0</v>
      </c>
      <c r="DJ79" s="8">
        <v>0</v>
      </c>
      <c r="DK79" s="35">
        <v>0</v>
      </c>
      <c r="DL79" s="36">
        <v>0</v>
      </c>
      <c r="DM79" s="85">
        <v>0</v>
      </c>
      <c r="DN79" s="37">
        <v>0</v>
      </c>
      <c r="DO79" s="34">
        <v>0</v>
      </c>
      <c r="DP79" s="9">
        <v>0</v>
      </c>
      <c r="DQ79" s="10">
        <v>0</v>
      </c>
      <c r="DR79" s="86">
        <v>0</v>
      </c>
      <c r="DS79" s="21">
        <v>0</v>
      </c>
      <c r="DT79" s="21">
        <v>0</v>
      </c>
      <c r="DU79" s="24">
        <f>SUM(DH79:DT79)</f>
        <v>0</v>
      </c>
      <c r="DV79" s="107"/>
      <c r="DW79" s="298"/>
      <c r="DX79" s="311" t="s">
        <v>27</v>
      </c>
      <c r="DY79" s="19" t="s">
        <v>24</v>
      </c>
      <c r="DZ79" s="233">
        <v>0</v>
      </c>
      <c r="EA79" s="234">
        <v>0</v>
      </c>
      <c r="EB79" s="233">
        <v>0</v>
      </c>
      <c r="EC79" s="235">
        <v>0</v>
      </c>
      <c r="ED79" s="236">
        <v>0</v>
      </c>
      <c r="EE79" s="237">
        <v>0</v>
      </c>
      <c r="EF79" s="238">
        <v>0</v>
      </c>
      <c r="EG79" s="239">
        <v>0</v>
      </c>
      <c r="EH79" s="240">
        <v>0</v>
      </c>
      <c r="EI79" s="241">
        <v>0</v>
      </c>
      <c r="EJ79" s="242">
        <v>0</v>
      </c>
      <c r="EK79" s="243">
        <v>0</v>
      </c>
      <c r="EL79" s="243">
        <v>0</v>
      </c>
      <c r="EM79" s="223">
        <f t="shared" ref="EM79:EM80" si="359">SUM(DZ79:EL79)</f>
        <v>0</v>
      </c>
      <c r="EN79" s="107"/>
      <c r="EO79" s="298"/>
      <c r="EP79" s="311" t="s">
        <v>27</v>
      </c>
      <c r="EQ79" s="19" t="s">
        <v>24</v>
      </c>
      <c r="ER79" s="8">
        <v>0</v>
      </c>
      <c r="ES79" s="33">
        <v>0</v>
      </c>
      <c r="ET79" s="8">
        <v>0</v>
      </c>
      <c r="EU79" s="35">
        <v>0</v>
      </c>
      <c r="EV79" s="36">
        <v>0</v>
      </c>
      <c r="EW79" s="85">
        <v>0</v>
      </c>
      <c r="EX79" s="37">
        <v>0</v>
      </c>
      <c r="EY79" s="34">
        <v>0</v>
      </c>
      <c r="EZ79" s="9">
        <v>0</v>
      </c>
      <c r="FA79" s="10">
        <v>0</v>
      </c>
      <c r="FB79" s="86">
        <v>0</v>
      </c>
      <c r="FC79" s="21">
        <v>0</v>
      </c>
      <c r="FD79" s="21">
        <v>0</v>
      </c>
      <c r="FE79" s="24">
        <f>SUM(ER79:FD79)</f>
        <v>0</v>
      </c>
      <c r="FF79" s="107"/>
      <c r="FG79" s="298"/>
      <c r="FH79" s="311" t="s">
        <v>27</v>
      </c>
      <c r="FI79" s="19" t="s">
        <v>24</v>
      </c>
      <c r="FJ79" s="8">
        <v>0</v>
      </c>
      <c r="FK79" s="33">
        <v>0</v>
      </c>
      <c r="FL79" s="8">
        <v>0</v>
      </c>
      <c r="FM79" s="35">
        <v>0</v>
      </c>
      <c r="FN79" s="36">
        <v>0</v>
      </c>
      <c r="FO79" s="85">
        <v>0</v>
      </c>
      <c r="FP79" s="37">
        <v>0</v>
      </c>
      <c r="FQ79" s="34">
        <v>0</v>
      </c>
      <c r="FR79" s="9">
        <v>0</v>
      </c>
      <c r="FS79" s="10">
        <v>0</v>
      </c>
      <c r="FT79" s="86">
        <v>0</v>
      </c>
      <c r="FU79" s="21">
        <v>0</v>
      </c>
      <c r="FV79" s="21">
        <v>0</v>
      </c>
      <c r="FW79" s="24">
        <f>SUM(FJ79:FV79)</f>
        <v>0</v>
      </c>
      <c r="FX79" s="107"/>
      <c r="FY79" s="298"/>
      <c r="FZ79" s="311" t="s">
        <v>27</v>
      </c>
      <c r="GA79" s="19" t="s">
        <v>24</v>
      </c>
      <c r="GB79" s="8">
        <v>0</v>
      </c>
      <c r="GC79" s="33">
        <v>0</v>
      </c>
      <c r="GD79" s="8">
        <v>0</v>
      </c>
      <c r="GE79" s="35">
        <v>0</v>
      </c>
      <c r="GF79" s="36">
        <v>0</v>
      </c>
      <c r="GG79" s="85">
        <v>0</v>
      </c>
      <c r="GH79" s="37">
        <v>0</v>
      </c>
      <c r="GI79" s="34">
        <v>0</v>
      </c>
      <c r="GJ79" s="9">
        <v>0</v>
      </c>
      <c r="GK79" s="10">
        <v>0</v>
      </c>
      <c r="GL79" s="86">
        <v>0</v>
      </c>
      <c r="GM79" s="21">
        <v>0</v>
      </c>
      <c r="GN79" s="21">
        <v>0</v>
      </c>
      <c r="GO79" s="24">
        <f>SUM(GB79:GN79)</f>
        <v>0</v>
      </c>
      <c r="GP79" s="107"/>
      <c r="GQ79" s="298"/>
      <c r="GR79" s="311" t="s">
        <v>27</v>
      </c>
      <c r="GS79" s="19" t="s">
        <v>24</v>
      </c>
      <c r="GT79" s="8">
        <v>0</v>
      </c>
      <c r="GU79" s="33">
        <v>0</v>
      </c>
      <c r="GV79" s="8">
        <v>0</v>
      </c>
      <c r="GW79" s="35">
        <v>0</v>
      </c>
      <c r="GX79" s="36">
        <v>0</v>
      </c>
      <c r="GY79" s="85">
        <v>0</v>
      </c>
      <c r="GZ79" s="37">
        <v>0</v>
      </c>
      <c r="HA79" s="34">
        <v>0</v>
      </c>
      <c r="HB79" s="9">
        <v>0</v>
      </c>
      <c r="HC79" s="10">
        <v>0</v>
      </c>
      <c r="HD79" s="86">
        <v>0</v>
      </c>
      <c r="HE79" s="21">
        <v>0</v>
      </c>
      <c r="HF79" s="21">
        <v>0</v>
      </c>
      <c r="HG79" s="24">
        <f>SUM(GT79:HF79)</f>
        <v>0</v>
      </c>
      <c r="HH79" s="107"/>
      <c r="HI79" s="298"/>
      <c r="HJ79" s="355" t="s">
        <v>27</v>
      </c>
      <c r="HK79" s="19" t="s">
        <v>24</v>
      </c>
      <c r="HL79" s="8">
        <f t="shared" ref="HL79:HL80" si="360">SUM(D79+V79+AN79+BF79+BX79+CP79+DH79+DZ79+ER79+FJ79+GB79+GT79)</f>
        <v>0</v>
      </c>
      <c r="HM79" s="9">
        <f t="shared" ref="HM79:HM80" si="361">SUM(E79+W79+AO79+BG79+BY79+CQ79+DI79+EA79+ES79+FK79+GC79+GU79)</f>
        <v>0</v>
      </c>
      <c r="HN79" s="34">
        <f t="shared" ref="HN79:HN80" si="362">SUM(F79+X79+AP79+BH79+BZ79+CR79+DJ79+EB79+ET79+FL79+GD79+GV79)</f>
        <v>0</v>
      </c>
      <c r="HO79" s="35">
        <f t="shared" ref="HO79:HO80" si="363">SUM(G79+Y79+AQ79+BI79+CA79+CS79+DK79+EC79+EU79+FM79+GE79+GW79)</f>
        <v>0</v>
      </c>
      <c r="HP79" s="35">
        <f t="shared" ref="HP79:HP80" si="364">SUM(H79+Z79+AR79+BJ79+CB79+CT79+DL79+ED79+EV79+FN79+GF79+GX79)</f>
        <v>0</v>
      </c>
      <c r="HQ79" s="46">
        <f t="shared" ref="HQ79:HQ80" si="365">SUM(I79+AA79+AS79+BK79+CC79+CU79+DM79+EE79+EW79+FO79+GG79+GY79)</f>
        <v>0</v>
      </c>
      <c r="HR79" s="9">
        <f t="shared" ref="HR79:HR80" si="366">SUM(J79+AB79+AT79+BL79+CD79+CV79+DN79+EF79+EX79+FP79+GH79+GZ79)</f>
        <v>0</v>
      </c>
      <c r="HS79" s="34">
        <f t="shared" ref="HS79:HS80" si="367">SUM(K79+AC79+AU79+BM79+CE79+CW79+DO79+EG79+EY79+FQ79+GI79+HA79)</f>
        <v>0</v>
      </c>
      <c r="HT79" s="9">
        <f t="shared" ref="HT79:HT80" si="368">SUM(L79+AD79+AV79+BN79+CF79+CX79+DP79+EH79+EZ79+FR79+GJ79+HB79)</f>
        <v>0</v>
      </c>
      <c r="HU79" s="34">
        <f t="shared" ref="HU79:HU80" si="369">SUM(M79+AE79+AW79+BO79+CG79+CY79+DQ79+EI79+FA79+FS79+GK79+HC79)</f>
        <v>0</v>
      </c>
      <c r="HV79" s="47">
        <f t="shared" ref="HV79:HV80" si="370">SUM(N79+AF79+AX79+BP79+CH79+CZ79+DR79+EJ79+FB79+FT79+GL79+HD79)</f>
        <v>0</v>
      </c>
      <c r="HW79" s="44">
        <f t="shared" ref="HW79:HW80" si="371">SUM(O79+AG79+AY79+BQ79+CI79+DA79+DS79+EK79+FC79+FU79+GM79+HE79)</f>
        <v>0</v>
      </c>
      <c r="HX79" s="44">
        <f t="shared" ref="HX79:HX80" si="372">SUM(P79+AH79+AZ79+BR79+CJ79+DB79+DT79+EL79+FD79+FV79+GN79+HF79)</f>
        <v>0</v>
      </c>
      <c r="HY79" s="24">
        <f>SUM(HL79:HX79)</f>
        <v>0</v>
      </c>
      <c r="HZ79" s="28"/>
    </row>
    <row r="80" spans="1:234" s="11" customFormat="1" ht="20.100000000000001" customHeight="1" thickBot="1" x14ac:dyDescent="0.25">
      <c r="A80" s="298"/>
      <c r="B80" s="312"/>
      <c r="C80" s="20" t="s">
        <v>25</v>
      </c>
      <c r="D80" s="12">
        <v>0</v>
      </c>
      <c r="E80" s="18">
        <v>0</v>
      </c>
      <c r="F80" s="12">
        <v>0</v>
      </c>
      <c r="G80" s="13">
        <v>0</v>
      </c>
      <c r="H80" s="15">
        <v>0</v>
      </c>
      <c r="I80" s="15">
        <v>0</v>
      </c>
      <c r="J80" s="16">
        <v>0</v>
      </c>
      <c r="K80" s="17">
        <v>0</v>
      </c>
      <c r="L80" s="14">
        <v>0</v>
      </c>
      <c r="M80" s="17">
        <v>0</v>
      </c>
      <c r="N80" s="18">
        <v>0</v>
      </c>
      <c r="O80" s="22">
        <v>0</v>
      </c>
      <c r="P80" s="22">
        <v>0</v>
      </c>
      <c r="Q80" s="125">
        <f>SUM(D80:P80)</f>
        <v>0</v>
      </c>
      <c r="R80" s="133"/>
      <c r="S80" s="298"/>
      <c r="T80" s="312"/>
      <c r="U80" s="20" t="s">
        <v>25</v>
      </c>
      <c r="V80" s="12">
        <v>0</v>
      </c>
      <c r="W80" s="18">
        <v>0</v>
      </c>
      <c r="X80" s="12">
        <v>0</v>
      </c>
      <c r="Y80" s="13">
        <v>0</v>
      </c>
      <c r="Z80" s="15">
        <v>0</v>
      </c>
      <c r="AA80" s="15">
        <v>0</v>
      </c>
      <c r="AB80" s="16">
        <v>0</v>
      </c>
      <c r="AC80" s="17">
        <v>0</v>
      </c>
      <c r="AD80" s="14">
        <v>0</v>
      </c>
      <c r="AE80" s="17">
        <v>0</v>
      </c>
      <c r="AF80" s="18">
        <v>0</v>
      </c>
      <c r="AG80" s="22">
        <v>0</v>
      </c>
      <c r="AH80" s="22">
        <v>0</v>
      </c>
      <c r="AI80" s="125">
        <f>SUM(V80:AH80)</f>
        <v>0</v>
      </c>
      <c r="AJ80" s="133"/>
      <c r="AK80" s="298"/>
      <c r="AL80" s="312"/>
      <c r="AM80" s="20" t="s">
        <v>25</v>
      </c>
      <c r="AN80" s="12">
        <v>0</v>
      </c>
      <c r="AO80" s="18">
        <v>0</v>
      </c>
      <c r="AP80" s="12">
        <v>0</v>
      </c>
      <c r="AQ80" s="13">
        <v>0</v>
      </c>
      <c r="AR80" s="15">
        <v>0</v>
      </c>
      <c r="AS80" s="15">
        <v>0</v>
      </c>
      <c r="AT80" s="16">
        <v>0</v>
      </c>
      <c r="AU80" s="17">
        <v>0</v>
      </c>
      <c r="AV80" s="14">
        <v>0</v>
      </c>
      <c r="AW80" s="17">
        <v>0</v>
      </c>
      <c r="AX80" s="18">
        <v>0</v>
      </c>
      <c r="AY80" s="22">
        <v>0</v>
      </c>
      <c r="AZ80" s="22">
        <v>0</v>
      </c>
      <c r="BA80" s="125">
        <f>SUM(AN80:AZ80)</f>
        <v>0</v>
      </c>
      <c r="BB80" s="133"/>
      <c r="BC80" s="298"/>
      <c r="BD80" s="312"/>
      <c r="BE80" s="20" t="s">
        <v>25</v>
      </c>
      <c r="BF80" s="12">
        <v>0</v>
      </c>
      <c r="BG80" s="18">
        <v>0</v>
      </c>
      <c r="BH80" s="12">
        <v>0</v>
      </c>
      <c r="BI80" s="13">
        <v>0</v>
      </c>
      <c r="BJ80" s="15">
        <v>0</v>
      </c>
      <c r="BK80" s="15">
        <v>0</v>
      </c>
      <c r="BL80" s="16">
        <v>0</v>
      </c>
      <c r="BM80" s="17">
        <v>0</v>
      </c>
      <c r="BN80" s="14">
        <v>0</v>
      </c>
      <c r="BO80" s="17">
        <v>0</v>
      </c>
      <c r="BP80" s="18">
        <v>0</v>
      </c>
      <c r="BQ80" s="22">
        <v>0</v>
      </c>
      <c r="BR80" s="22">
        <v>0</v>
      </c>
      <c r="BS80" s="125">
        <f>SUM(BF80:BR80)</f>
        <v>0</v>
      </c>
      <c r="BT80" s="133"/>
      <c r="BU80" s="298"/>
      <c r="BV80" s="312"/>
      <c r="BW80" s="20" t="s">
        <v>25</v>
      </c>
      <c r="BX80" s="12">
        <v>0</v>
      </c>
      <c r="BY80" s="18">
        <v>0</v>
      </c>
      <c r="BZ80" s="12">
        <v>0</v>
      </c>
      <c r="CA80" s="13">
        <v>0</v>
      </c>
      <c r="CB80" s="15">
        <v>0</v>
      </c>
      <c r="CC80" s="15">
        <v>0</v>
      </c>
      <c r="CD80" s="16">
        <v>0</v>
      </c>
      <c r="CE80" s="17">
        <v>0</v>
      </c>
      <c r="CF80" s="14">
        <v>0</v>
      </c>
      <c r="CG80" s="17">
        <v>0</v>
      </c>
      <c r="CH80" s="18">
        <v>0</v>
      </c>
      <c r="CI80" s="22">
        <v>0</v>
      </c>
      <c r="CJ80" s="22">
        <v>0</v>
      </c>
      <c r="CK80" s="125">
        <f>SUM(BX80:CJ80)</f>
        <v>0</v>
      </c>
      <c r="CL80" s="133"/>
      <c r="CM80" s="298"/>
      <c r="CN80" s="312"/>
      <c r="CO80" s="20" t="s">
        <v>25</v>
      </c>
      <c r="CP80" s="12">
        <v>0</v>
      </c>
      <c r="CQ80" s="18">
        <v>0</v>
      </c>
      <c r="CR80" s="12">
        <v>0</v>
      </c>
      <c r="CS80" s="13">
        <v>0</v>
      </c>
      <c r="CT80" s="15">
        <v>0</v>
      </c>
      <c r="CU80" s="15">
        <v>0</v>
      </c>
      <c r="CV80" s="16">
        <v>0</v>
      </c>
      <c r="CW80" s="17">
        <v>0</v>
      </c>
      <c r="CX80" s="14">
        <v>0</v>
      </c>
      <c r="CY80" s="17">
        <v>0</v>
      </c>
      <c r="CZ80" s="18">
        <v>0</v>
      </c>
      <c r="DA80" s="22">
        <v>0</v>
      </c>
      <c r="DB80" s="22">
        <v>0</v>
      </c>
      <c r="DC80" s="25">
        <f>SUM(CP80:DB80)</f>
        <v>0</v>
      </c>
      <c r="DD80" s="107"/>
      <c r="DE80" s="298"/>
      <c r="DF80" s="312"/>
      <c r="DG80" s="20" t="s">
        <v>25</v>
      </c>
      <c r="DH80" s="12">
        <v>0</v>
      </c>
      <c r="DI80" s="18">
        <v>0</v>
      </c>
      <c r="DJ80" s="12">
        <v>0</v>
      </c>
      <c r="DK80" s="13">
        <v>0</v>
      </c>
      <c r="DL80" s="15">
        <v>0</v>
      </c>
      <c r="DM80" s="15">
        <v>0</v>
      </c>
      <c r="DN80" s="16">
        <v>0</v>
      </c>
      <c r="DO80" s="17">
        <v>0</v>
      </c>
      <c r="DP80" s="14">
        <v>0</v>
      </c>
      <c r="DQ80" s="17">
        <v>0</v>
      </c>
      <c r="DR80" s="18">
        <v>0</v>
      </c>
      <c r="DS80" s="22">
        <v>0</v>
      </c>
      <c r="DT80" s="22">
        <v>0</v>
      </c>
      <c r="DU80" s="25">
        <f>SUM(DH80:DT80)</f>
        <v>0</v>
      </c>
      <c r="DV80" s="107"/>
      <c r="DW80" s="298"/>
      <c r="DX80" s="312"/>
      <c r="DY80" s="20" t="s">
        <v>25</v>
      </c>
      <c r="DZ80" s="244">
        <v>0</v>
      </c>
      <c r="EA80" s="245">
        <v>0</v>
      </c>
      <c r="EB80" s="244">
        <v>0</v>
      </c>
      <c r="EC80" s="246">
        <v>0</v>
      </c>
      <c r="ED80" s="247">
        <v>0</v>
      </c>
      <c r="EE80" s="247">
        <v>0</v>
      </c>
      <c r="EF80" s="248">
        <v>0</v>
      </c>
      <c r="EG80" s="249">
        <v>0</v>
      </c>
      <c r="EH80" s="250">
        <v>0</v>
      </c>
      <c r="EI80" s="249">
        <v>0</v>
      </c>
      <c r="EJ80" s="245">
        <v>0</v>
      </c>
      <c r="EK80" s="251">
        <v>0</v>
      </c>
      <c r="EL80" s="251">
        <v>0</v>
      </c>
      <c r="EM80" s="228">
        <f t="shared" si="359"/>
        <v>0</v>
      </c>
      <c r="EN80" s="107"/>
      <c r="EO80" s="298"/>
      <c r="EP80" s="312"/>
      <c r="EQ80" s="20" t="s">
        <v>25</v>
      </c>
      <c r="ER80" s="12">
        <v>0</v>
      </c>
      <c r="ES80" s="18">
        <v>0</v>
      </c>
      <c r="ET80" s="12">
        <v>0</v>
      </c>
      <c r="EU80" s="13">
        <v>0</v>
      </c>
      <c r="EV80" s="15">
        <v>0</v>
      </c>
      <c r="EW80" s="15">
        <v>0</v>
      </c>
      <c r="EX80" s="16">
        <v>0</v>
      </c>
      <c r="EY80" s="17">
        <v>0</v>
      </c>
      <c r="EZ80" s="14">
        <v>0</v>
      </c>
      <c r="FA80" s="17">
        <v>0</v>
      </c>
      <c r="FB80" s="18">
        <v>0</v>
      </c>
      <c r="FC80" s="22">
        <v>0</v>
      </c>
      <c r="FD80" s="22">
        <v>0</v>
      </c>
      <c r="FE80" s="25">
        <f>SUM(ER80:FD80)</f>
        <v>0</v>
      </c>
      <c r="FF80" s="107"/>
      <c r="FG80" s="298"/>
      <c r="FH80" s="312"/>
      <c r="FI80" s="20" t="s">
        <v>25</v>
      </c>
      <c r="FJ80" s="12">
        <v>0</v>
      </c>
      <c r="FK80" s="18">
        <v>0</v>
      </c>
      <c r="FL80" s="12">
        <v>0</v>
      </c>
      <c r="FM80" s="13">
        <v>0</v>
      </c>
      <c r="FN80" s="15">
        <v>0</v>
      </c>
      <c r="FO80" s="15">
        <v>0</v>
      </c>
      <c r="FP80" s="16">
        <v>0</v>
      </c>
      <c r="FQ80" s="17">
        <v>0</v>
      </c>
      <c r="FR80" s="14">
        <v>0</v>
      </c>
      <c r="FS80" s="17">
        <v>0</v>
      </c>
      <c r="FT80" s="18">
        <v>0</v>
      </c>
      <c r="FU80" s="22">
        <v>0</v>
      </c>
      <c r="FV80" s="22">
        <v>0</v>
      </c>
      <c r="FW80" s="25">
        <f>SUM(FJ80:FV80)</f>
        <v>0</v>
      </c>
      <c r="FX80" s="107"/>
      <c r="FY80" s="298"/>
      <c r="FZ80" s="312"/>
      <c r="GA80" s="20" t="s">
        <v>25</v>
      </c>
      <c r="GB80" s="12">
        <v>0</v>
      </c>
      <c r="GC80" s="18">
        <v>0</v>
      </c>
      <c r="GD80" s="12">
        <v>0</v>
      </c>
      <c r="GE80" s="13">
        <v>0</v>
      </c>
      <c r="GF80" s="15">
        <v>0</v>
      </c>
      <c r="GG80" s="15">
        <v>0</v>
      </c>
      <c r="GH80" s="16">
        <v>0</v>
      </c>
      <c r="GI80" s="17">
        <v>0</v>
      </c>
      <c r="GJ80" s="14">
        <v>0</v>
      </c>
      <c r="GK80" s="17">
        <v>0</v>
      </c>
      <c r="GL80" s="18">
        <v>0</v>
      </c>
      <c r="GM80" s="22">
        <v>0</v>
      </c>
      <c r="GN80" s="22">
        <v>0</v>
      </c>
      <c r="GO80" s="25">
        <f>SUM(GB80:GN80)</f>
        <v>0</v>
      </c>
      <c r="GP80" s="107"/>
      <c r="GQ80" s="298"/>
      <c r="GR80" s="312"/>
      <c r="GS80" s="20" t="s">
        <v>25</v>
      </c>
      <c r="GT80" s="12">
        <v>0</v>
      </c>
      <c r="GU80" s="18">
        <v>0</v>
      </c>
      <c r="GV80" s="12">
        <v>0</v>
      </c>
      <c r="GW80" s="13">
        <v>0</v>
      </c>
      <c r="GX80" s="15">
        <v>0</v>
      </c>
      <c r="GY80" s="15">
        <v>0</v>
      </c>
      <c r="GZ80" s="16">
        <v>0</v>
      </c>
      <c r="HA80" s="17">
        <v>0</v>
      </c>
      <c r="HB80" s="14">
        <v>0</v>
      </c>
      <c r="HC80" s="17">
        <v>0</v>
      </c>
      <c r="HD80" s="18">
        <v>0</v>
      </c>
      <c r="HE80" s="22">
        <v>0</v>
      </c>
      <c r="HF80" s="22">
        <v>0</v>
      </c>
      <c r="HG80" s="25">
        <f>SUM(GT80:HF80)</f>
        <v>0</v>
      </c>
      <c r="HH80" s="107"/>
      <c r="HI80" s="298"/>
      <c r="HJ80" s="356"/>
      <c r="HK80" s="20" t="s">
        <v>25</v>
      </c>
      <c r="HL80" s="12">
        <f t="shared" si="360"/>
        <v>0</v>
      </c>
      <c r="HM80" s="14">
        <f t="shared" si="361"/>
        <v>0</v>
      </c>
      <c r="HN80" s="17">
        <f t="shared" si="362"/>
        <v>0</v>
      </c>
      <c r="HO80" s="13">
        <f t="shared" si="363"/>
        <v>0</v>
      </c>
      <c r="HP80" s="13">
        <f t="shared" si="364"/>
        <v>0</v>
      </c>
      <c r="HQ80" s="13">
        <f t="shared" si="365"/>
        <v>0</v>
      </c>
      <c r="HR80" s="14">
        <f t="shared" si="366"/>
        <v>0</v>
      </c>
      <c r="HS80" s="17">
        <f t="shared" si="367"/>
        <v>0</v>
      </c>
      <c r="HT80" s="14">
        <f t="shared" si="368"/>
        <v>0</v>
      </c>
      <c r="HU80" s="17">
        <f t="shared" si="369"/>
        <v>0</v>
      </c>
      <c r="HV80" s="14">
        <f t="shared" si="370"/>
        <v>0</v>
      </c>
      <c r="HW80" s="45">
        <f t="shared" si="371"/>
        <v>0</v>
      </c>
      <c r="HX80" s="45">
        <f t="shared" si="372"/>
        <v>0</v>
      </c>
      <c r="HY80" s="25">
        <f>SUM(HL80:HX80)</f>
        <v>0</v>
      </c>
      <c r="HZ80" s="28"/>
    </row>
    <row r="81" spans="1:234" s="11" customFormat="1" ht="20.100000000000001" customHeight="1" thickBot="1" x14ac:dyDescent="0.25">
      <c r="A81" s="299"/>
      <c r="B81" s="326" t="s">
        <v>34</v>
      </c>
      <c r="C81" s="327"/>
      <c r="D81" s="306">
        <f>SUM(D79:E80)</f>
        <v>0</v>
      </c>
      <c r="E81" s="307"/>
      <c r="F81" s="306">
        <f>SUM(F79:J80)</f>
        <v>0</v>
      </c>
      <c r="G81" s="368"/>
      <c r="H81" s="368"/>
      <c r="I81" s="368"/>
      <c r="J81" s="307"/>
      <c r="K81" s="306">
        <f>SUM(K79:L80)</f>
        <v>0</v>
      </c>
      <c r="L81" s="307"/>
      <c r="M81" s="306">
        <f>SUM(M79:N80)</f>
        <v>0</v>
      </c>
      <c r="N81" s="307"/>
      <c r="O81" s="94">
        <f>SUM(O79:O80)</f>
        <v>0</v>
      </c>
      <c r="P81" s="94">
        <f>SUM(P79:P80)</f>
        <v>0</v>
      </c>
      <c r="Q81" s="126">
        <f>SUM(Q79:Q80)</f>
        <v>0</v>
      </c>
      <c r="R81" s="133"/>
      <c r="S81" s="299"/>
      <c r="T81" s="326" t="s">
        <v>34</v>
      </c>
      <c r="U81" s="327"/>
      <c r="V81" s="306">
        <f>SUM(V79:W80)</f>
        <v>0</v>
      </c>
      <c r="W81" s="307"/>
      <c r="X81" s="306">
        <f>SUM(X79:AB80)</f>
        <v>0</v>
      </c>
      <c r="Y81" s="368"/>
      <c r="Z81" s="368"/>
      <c r="AA81" s="368"/>
      <c r="AB81" s="307"/>
      <c r="AC81" s="306">
        <f>SUM(AC79:AD80)</f>
        <v>0</v>
      </c>
      <c r="AD81" s="307"/>
      <c r="AE81" s="306">
        <f>SUM(AE79:AF80)</f>
        <v>0</v>
      </c>
      <c r="AF81" s="307"/>
      <c r="AG81" s="94">
        <f>SUM(AG79:AG80)</f>
        <v>0</v>
      </c>
      <c r="AH81" s="94">
        <f>SUM(AH79:AH80)</f>
        <v>0</v>
      </c>
      <c r="AI81" s="126">
        <f>SUM(AI79:AI80)</f>
        <v>0</v>
      </c>
      <c r="AJ81" s="133"/>
      <c r="AK81" s="299"/>
      <c r="AL81" s="326" t="s">
        <v>34</v>
      </c>
      <c r="AM81" s="327"/>
      <c r="AN81" s="306">
        <f>SUM(AN79:AO80)</f>
        <v>0</v>
      </c>
      <c r="AO81" s="307"/>
      <c r="AP81" s="306">
        <f>SUM(AP79:AT80)</f>
        <v>0</v>
      </c>
      <c r="AQ81" s="368"/>
      <c r="AR81" s="368"/>
      <c r="AS81" s="368"/>
      <c r="AT81" s="307"/>
      <c r="AU81" s="306">
        <f>SUM(AU79:AV80)</f>
        <v>0</v>
      </c>
      <c r="AV81" s="307"/>
      <c r="AW81" s="306">
        <f>SUM(AW79:AX80)</f>
        <v>0</v>
      </c>
      <c r="AX81" s="307"/>
      <c r="AY81" s="94">
        <f>SUM(AY79:AY80)</f>
        <v>0</v>
      </c>
      <c r="AZ81" s="94">
        <f>SUM(AZ79:AZ80)</f>
        <v>0</v>
      </c>
      <c r="BA81" s="126">
        <f>SUM(BA79:BA80)</f>
        <v>0</v>
      </c>
      <c r="BB81" s="133"/>
      <c r="BC81" s="299"/>
      <c r="BD81" s="326" t="s">
        <v>34</v>
      </c>
      <c r="BE81" s="327"/>
      <c r="BF81" s="306">
        <f>SUM(BF79:BG80)</f>
        <v>0</v>
      </c>
      <c r="BG81" s="307"/>
      <c r="BH81" s="306">
        <f>SUM(BH79:BL80)</f>
        <v>0</v>
      </c>
      <c r="BI81" s="368"/>
      <c r="BJ81" s="368"/>
      <c r="BK81" s="368"/>
      <c r="BL81" s="307"/>
      <c r="BM81" s="306">
        <f>SUM(BM79:BN80)</f>
        <v>0</v>
      </c>
      <c r="BN81" s="307"/>
      <c r="BO81" s="306">
        <f>SUM(BO79:BP80)</f>
        <v>0</v>
      </c>
      <c r="BP81" s="307"/>
      <c r="BQ81" s="94">
        <f>SUM(BQ79:BQ80)</f>
        <v>0</v>
      </c>
      <c r="BR81" s="94">
        <f>SUM(BR79:BR80)</f>
        <v>0</v>
      </c>
      <c r="BS81" s="126">
        <f>SUM(BS79:BS80)</f>
        <v>0</v>
      </c>
      <c r="BT81" s="133"/>
      <c r="BU81" s="299"/>
      <c r="BV81" s="326" t="s">
        <v>34</v>
      </c>
      <c r="BW81" s="327"/>
      <c r="BX81" s="306">
        <f>SUM(BX79:BY80)</f>
        <v>0</v>
      </c>
      <c r="BY81" s="307"/>
      <c r="BZ81" s="306">
        <f>SUM(BZ79:CD80)</f>
        <v>0</v>
      </c>
      <c r="CA81" s="368"/>
      <c r="CB81" s="368"/>
      <c r="CC81" s="368"/>
      <c r="CD81" s="307"/>
      <c r="CE81" s="306">
        <f>SUM(CE79:CF80)</f>
        <v>0</v>
      </c>
      <c r="CF81" s="307"/>
      <c r="CG81" s="306">
        <f>SUM(CG79:CH80)</f>
        <v>0</v>
      </c>
      <c r="CH81" s="307"/>
      <c r="CI81" s="94">
        <f>SUM(CI79:CI80)</f>
        <v>0</v>
      </c>
      <c r="CJ81" s="94">
        <f>SUM(CJ79:CJ80)</f>
        <v>0</v>
      </c>
      <c r="CK81" s="126">
        <f>SUM(CK79:CK80)</f>
        <v>0</v>
      </c>
      <c r="CL81" s="133"/>
      <c r="CM81" s="299"/>
      <c r="CN81" s="326" t="s">
        <v>34</v>
      </c>
      <c r="CO81" s="327"/>
      <c r="CP81" s="306">
        <f>SUM(CP79:CQ80)</f>
        <v>0</v>
      </c>
      <c r="CQ81" s="307"/>
      <c r="CR81" s="306">
        <f>SUM(CR79:CV80)</f>
        <v>0</v>
      </c>
      <c r="CS81" s="368"/>
      <c r="CT81" s="368"/>
      <c r="CU81" s="368"/>
      <c r="CV81" s="307"/>
      <c r="CW81" s="306">
        <f>SUM(CW79:CX80)</f>
        <v>0</v>
      </c>
      <c r="CX81" s="307"/>
      <c r="CY81" s="306">
        <f>SUM(CY79:CZ80)</f>
        <v>0</v>
      </c>
      <c r="CZ81" s="307"/>
      <c r="DA81" s="94">
        <f>SUM(DA79:DA80)</f>
        <v>0</v>
      </c>
      <c r="DB81" s="94">
        <f>SUM(DB79:DB80)</f>
        <v>0</v>
      </c>
      <c r="DC81" s="26">
        <f>SUM(DC79:DC80)</f>
        <v>0</v>
      </c>
      <c r="DD81" s="107"/>
      <c r="DE81" s="299"/>
      <c r="DF81" s="326" t="s">
        <v>34</v>
      </c>
      <c r="DG81" s="327"/>
      <c r="DH81" s="306">
        <f>SUM(DH79:DI80)</f>
        <v>0</v>
      </c>
      <c r="DI81" s="307"/>
      <c r="DJ81" s="306">
        <f>SUM(DJ79:DN80)</f>
        <v>0</v>
      </c>
      <c r="DK81" s="368"/>
      <c r="DL81" s="368"/>
      <c r="DM81" s="368"/>
      <c r="DN81" s="307"/>
      <c r="DO81" s="306">
        <f>SUM(DO79:DP80)</f>
        <v>0</v>
      </c>
      <c r="DP81" s="307"/>
      <c r="DQ81" s="306">
        <f>SUM(DQ79:DR80)</f>
        <v>0</v>
      </c>
      <c r="DR81" s="307"/>
      <c r="DS81" s="94">
        <f>SUM(DS79:DS80)</f>
        <v>0</v>
      </c>
      <c r="DT81" s="94">
        <f>SUM(DT79:DT80)</f>
        <v>0</v>
      </c>
      <c r="DU81" s="26">
        <f>SUM(DU79:DU80)</f>
        <v>0</v>
      </c>
      <c r="DV81" s="107"/>
      <c r="DW81" s="299"/>
      <c r="DX81" s="326" t="s">
        <v>34</v>
      </c>
      <c r="DY81" s="327"/>
      <c r="DZ81" s="306">
        <f>SUM(DZ79:EA80)</f>
        <v>0</v>
      </c>
      <c r="EA81" s="307"/>
      <c r="EB81" s="306">
        <f>SUM(EB79:EF80)</f>
        <v>0</v>
      </c>
      <c r="EC81" s="368"/>
      <c r="ED81" s="368"/>
      <c r="EE81" s="368"/>
      <c r="EF81" s="307"/>
      <c r="EG81" s="306">
        <f>SUM(EG79:EH80)</f>
        <v>0</v>
      </c>
      <c r="EH81" s="307"/>
      <c r="EI81" s="306">
        <f>SUM(EI79:EJ80)</f>
        <v>0</v>
      </c>
      <c r="EJ81" s="307"/>
      <c r="EK81" s="94">
        <f>SUM(EK79:EK80)</f>
        <v>0</v>
      </c>
      <c r="EL81" s="94">
        <f>SUM(EL79:EL80)</f>
        <v>0</v>
      </c>
      <c r="EM81" s="26">
        <f>SUM(EM79:EM80)</f>
        <v>0</v>
      </c>
      <c r="EN81" s="107"/>
      <c r="EO81" s="299"/>
      <c r="EP81" s="326" t="s">
        <v>34</v>
      </c>
      <c r="EQ81" s="327"/>
      <c r="ER81" s="306">
        <f>SUM(ER79:ES80)</f>
        <v>0</v>
      </c>
      <c r="ES81" s="307"/>
      <c r="ET81" s="306">
        <f>SUM(ET79:EX80)</f>
        <v>0</v>
      </c>
      <c r="EU81" s="368"/>
      <c r="EV81" s="368"/>
      <c r="EW81" s="368"/>
      <c r="EX81" s="307"/>
      <c r="EY81" s="306">
        <f>SUM(EY79:EZ80)</f>
        <v>0</v>
      </c>
      <c r="EZ81" s="307"/>
      <c r="FA81" s="306">
        <f>SUM(FA79:FB80)</f>
        <v>0</v>
      </c>
      <c r="FB81" s="307"/>
      <c r="FC81" s="94">
        <f>SUM(FC79:FC80)</f>
        <v>0</v>
      </c>
      <c r="FD81" s="94">
        <f>SUM(FD79:FD80)</f>
        <v>0</v>
      </c>
      <c r="FE81" s="26">
        <f>SUM(FE79:FE80)</f>
        <v>0</v>
      </c>
      <c r="FF81" s="107"/>
      <c r="FG81" s="299"/>
      <c r="FH81" s="326" t="s">
        <v>34</v>
      </c>
      <c r="FI81" s="327"/>
      <c r="FJ81" s="306">
        <f>SUM(FJ79:FK80)</f>
        <v>0</v>
      </c>
      <c r="FK81" s="307"/>
      <c r="FL81" s="306">
        <f>SUM(FL79:FP80)</f>
        <v>0</v>
      </c>
      <c r="FM81" s="368"/>
      <c r="FN81" s="368"/>
      <c r="FO81" s="368"/>
      <c r="FP81" s="307"/>
      <c r="FQ81" s="306">
        <f>SUM(FQ79:FR80)</f>
        <v>0</v>
      </c>
      <c r="FR81" s="307"/>
      <c r="FS81" s="306">
        <f>SUM(FS79:FT80)</f>
        <v>0</v>
      </c>
      <c r="FT81" s="307"/>
      <c r="FU81" s="94">
        <f>SUM(FU79:FU80)</f>
        <v>0</v>
      </c>
      <c r="FV81" s="94">
        <f>SUM(FV79:FV80)</f>
        <v>0</v>
      </c>
      <c r="FW81" s="26">
        <f>SUM(FW79:FW80)</f>
        <v>0</v>
      </c>
      <c r="FX81" s="107"/>
      <c r="FY81" s="299"/>
      <c r="FZ81" s="326" t="s">
        <v>34</v>
      </c>
      <c r="GA81" s="327"/>
      <c r="GB81" s="306">
        <f>SUM(GB79:GC80)</f>
        <v>0</v>
      </c>
      <c r="GC81" s="307"/>
      <c r="GD81" s="306">
        <f>SUM(GD79:GH80)</f>
        <v>0</v>
      </c>
      <c r="GE81" s="368"/>
      <c r="GF81" s="368"/>
      <c r="GG81" s="368"/>
      <c r="GH81" s="307"/>
      <c r="GI81" s="306">
        <f>SUM(GI79:GJ80)</f>
        <v>0</v>
      </c>
      <c r="GJ81" s="307"/>
      <c r="GK81" s="306">
        <f>SUM(GK79:GL80)</f>
        <v>0</v>
      </c>
      <c r="GL81" s="307"/>
      <c r="GM81" s="94">
        <f>SUM(GM79:GM80)</f>
        <v>0</v>
      </c>
      <c r="GN81" s="94">
        <f>SUM(GN79:GN80)</f>
        <v>0</v>
      </c>
      <c r="GO81" s="26">
        <f>SUM(GO79:GO80)</f>
        <v>0</v>
      </c>
      <c r="GP81" s="107"/>
      <c r="GQ81" s="299"/>
      <c r="GR81" s="326" t="s">
        <v>34</v>
      </c>
      <c r="GS81" s="327"/>
      <c r="GT81" s="306">
        <f>SUM(GT79:GU80)</f>
        <v>0</v>
      </c>
      <c r="GU81" s="307"/>
      <c r="GV81" s="306">
        <f>SUM(GV79:GZ80)</f>
        <v>0</v>
      </c>
      <c r="GW81" s="368"/>
      <c r="GX81" s="368"/>
      <c r="GY81" s="368"/>
      <c r="GZ81" s="307"/>
      <c r="HA81" s="306">
        <f>SUM(HA79:HB80)</f>
        <v>0</v>
      </c>
      <c r="HB81" s="307"/>
      <c r="HC81" s="306">
        <f>SUM(HC79:HD80)</f>
        <v>0</v>
      </c>
      <c r="HD81" s="307"/>
      <c r="HE81" s="94">
        <f>SUM(HE79:HE80)</f>
        <v>0</v>
      </c>
      <c r="HF81" s="94">
        <f>SUM(HF79:HF80)</f>
        <v>0</v>
      </c>
      <c r="HG81" s="26">
        <f>SUM(HG79:HG80)</f>
        <v>0</v>
      </c>
      <c r="HH81" s="107"/>
      <c r="HI81" s="299"/>
      <c r="HJ81" s="295" t="s">
        <v>28</v>
      </c>
      <c r="HK81" s="313"/>
      <c r="HL81" s="306">
        <f>SUM(HL79:HM80)</f>
        <v>0</v>
      </c>
      <c r="HM81" s="307"/>
      <c r="HN81" s="306">
        <f>SUM(HN79:HR80)</f>
        <v>0</v>
      </c>
      <c r="HO81" s="368"/>
      <c r="HP81" s="368"/>
      <c r="HQ81" s="368"/>
      <c r="HR81" s="307"/>
      <c r="HS81" s="306">
        <f>SUM(HS79:HT80)</f>
        <v>0</v>
      </c>
      <c r="HT81" s="307"/>
      <c r="HU81" s="306">
        <f>SUM(HU79:HV80)</f>
        <v>0</v>
      </c>
      <c r="HV81" s="307"/>
      <c r="HW81" s="43">
        <f>SUM(HW79:HW80)</f>
        <v>0</v>
      </c>
      <c r="HX81" s="43">
        <f>SUM(HX79:HX80)</f>
        <v>0</v>
      </c>
      <c r="HY81" s="26">
        <f>SUM(HY79:HY80)</f>
        <v>0</v>
      </c>
      <c r="HZ81" s="28"/>
    </row>
    <row r="82" spans="1:234" s="11" customFormat="1" ht="20.100000000000001" customHeight="1" thickBot="1" x14ac:dyDescent="0.25">
      <c r="A82" s="41"/>
      <c r="B82" s="353" t="s">
        <v>29</v>
      </c>
      <c r="C82" s="357"/>
      <c r="D82" s="308">
        <f>SUM(D78+D81)</f>
        <v>0</v>
      </c>
      <c r="E82" s="310"/>
      <c r="F82" s="308">
        <f>SUM(F78+F81)</f>
        <v>0</v>
      </c>
      <c r="G82" s="309"/>
      <c r="H82" s="309"/>
      <c r="I82" s="309"/>
      <c r="J82" s="310"/>
      <c r="K82" s="308">
        <f>SUM(K78+K81)</f>
        <v>0</v>
      </c>
      <c r="L82" s="310"/>
      <c r="M82" s="308">
        <f>SUM(M78+M81)</f>
        <v>0</v>
      </c>
      <c r="N82" s="310"/>
      <c r="O82" s="23">
        <f>SUM(O78+O81)</f>
        <v>0</v>
      </c>
      <c r="P82" s="23">
        <f>SUM(P78+P81)</f>
        <v>0</v>
      </c>
      <c r="Q82" s="127">
        <f>SUM(Q78+Q81)</f>
        <v>0</v>
      </c>
      <c r="R82" s="133"/>
      <c r="S82" s="41"/>
      <c r="T82" s="353" t="s">
        <v>29</v>
      </c>
      <c r="U82" s="357"/>
      <c r="V82" s="308">
        <f>SUM(V78+V81)</f>
        <v>0</v>
      </c>
      <c r="W82" s="310"/>
      <c r="X82" s="308">
        <f>SUM(X78+X81)</f>
        <v>0</v>
      </c>
      <c r="Y82" s="309"/>
      <c r="Z82" s="309"/>
      <c r="AA82" s="309"/>
      <c r="AB82" s="310"/>
      <c r="AC82" s="308">
        <f>SUM(AC78+AC81)</f>
        <v>0</v>
      </c>
      <c r="AD82" s="310"/>
      <c r="AE82" s="308">
        <f>SUM(AE78+AE81)</f>
        <v>0</v>
      </c>
      <c r="AF82" s="310"/>
      <c r="AG82" s="23">
        <f>SUM(AG78+AG81)</f>
        <v>0</v>
      </c>
      <c r="AH82" s="23">
        <f>SUM(AH78+AH81)</f>
        <v>0</v>
      </c>
      <c r="AI82" s="127">
        <f>SUM(AI78+AI81)</f>
        <v>0</v>
      </c>
      <c r="AJ82" s="133"/>
      <c r="AK82" s="41"/>
      <c r="AL82" s="353" t="s">
        <v>29</v>
      </c>
      <c r="AM82" s="357"/>
      <c r="AN82" s="308">
        <f>SUM(AN78+AN81)</f>
        <v>0</v>
      </c>
      <c r="AO82" s="310"/>
      <c r="AP82" s="308">
        <f>SUM(AP78+AP81)</f>
        <v>0</v>
      </c>
      <c r="AQ82" s="309"/>
      <c r="AR82" s="309"/>
      <c r="AS82" s="309"/>
      <c r="AT82" s="310"/>
      <c r="AU82" s="308">
        <f>SUM(AU78+AU81)</f>
        <v>0</v>
      </c>
      <c r="AV82" s="310"/>
      <c r="AW82" s="308">
        <f>SUM(AW78+AW81)</f>
        <v>0</v>
      </c>
      <c r="AX82" s="310"/>
      <c r="AY82" s="23">
        <f>SUM(AY78+AY81)</f>
        <v>0</v>
      </c>
      <c r="AZ82" s="23">
        <f>SUM(AZ78+AZ81)</f>
        <v>0</v>
      </c>
      <c r="BA82" s="127">
        <f>SUM(BA78+BA81)</f>
        <v>0</v>
      </c>
      <c r="BB82" s="133"/>
      <c r="BC82" s="41"/>
      <c r="BD82" s="353" t="s">
        <v>29</v>
      </c>
      <c r="BE82" s="357"/>
      <c r="BF82" s="308">
        <f>SUM(BF78+BF81)</f>
        <v>0</v>
      </c>
      <c r="BG82" s="310"/>
      <c r="BH82" s="308">
        <f>SUM(BH78+BH81)</f>
        <v>0</v>
      </c>
      <c r="BI82" s="309"/>
      <c r="BJ82" s="309"/>
      <c r="BK82" s="309"/>
      <c r="BL82" s="310"/>
      <c r="BM82" s="308">
        <f>SUM(BM78+BM81)</f>
        <v>0</v>
      </c>
      <c r="BN82" s="310"/>
      <c r="BO82" s="308">
        <f>SUM(BO78+BO81)</f>
        <v>0</v>
      </c>
      <c r="BP82" s="310"/>
      <c r="BQ82" s="23">
        <f>SUM(BQ78+BQ81)</f>
        <v>0</v>
      </c>
      <c r="BR82" s="23">
        <f>SUM(BR78+BR81)</f>
        <v>0</v>
      </c>
      <c r="BS82" s="127">
        <f>SUM(BS78+BS81)</f>
        <v>0</v>
      </c>
      <c r="BT82" s="133"/>
      <c r="BU82" s="41"/>
      <c r="BV82" s="353" t="s">
        <v>29</v>
      </c>
      <c r="BW82" s="357"/>
      <c r="BX82" s="308">
        <f>SUM(BX78+BX81)</f>
        <v>0</v>
      </c>
      <c r="BY82" s="310"/>
      <c r="BZ82" s="308">
        <f>SUM(BZ78+BZ81)</f>
        <v>0</v>
      </c>
      <c r="CA82" s="309"/>
      <c r="CB82" s="309"/>
      <c r="CC82" s="309"/>
      <c r="CD82" s="310"/>
      <c r="CE82" s="308">
        <f>SUM(CE78+CE81)</f>
        <v>0</v>
      </c>
      <c r="CF82" s="310"/>
      <c r="CG82" s="308">
        <f>SUM(CG78+CG81)</f>
        <v>0</v>
      </c>
      <c r="CH82" s="310"/>
      <c r="CI82" s="23">
        <f>SUM(CI78+CI81)</f>
        <v>0</v>
      </c>
      <c r="CJ82" s="23">
        <f>SUM(CJ78+CJ81)</f>
        <v>0</v>
      </c>
      <c r="CK82" s="127">
        <f>SUM(CK78+CK81)</f>
        <v>0</v>
      </c>
      <c r="CL82" s="133"/>
      <c r="CM82" s="41"/>
      <c r="CN82" s="353" t="s">
        <v>29</v>
      </c>
      <c r="CO82" s="357"/>
      <c r="CP82" s="308">
        <f>SUM(CP78+CP81)</f>
        <v>0</v>
      </c>
      <c r="CQ82" s="310"/>
      <c r="CR82" s="308">
        <f>SUM(CR78+CR81)</f>
        <v>0</v>
      </c>
      <c r="CS82" s="309"/>
      <c r="CT82" s="309"/>
      <c r="CU82" s="309"/>
      <c r="CV82" s="310"/>
      <c r="CW82" s="308">
        <f>SUM(CW78+CW81)</f>
        <v>0</v>
      </c>
      <c r="CX82" s="310"/>
      <c r="CY82" s="308">
        <f>SUM(CY78+CY81)</f>
        <v>0</v>
      </c>
      <c r="CZ82" s="310"/>
      <c r="DA82" s="23">
        <f>SUM(DA78+DA81)</f>
        <v>0</v>
      </c>
      <c r="DB82" s="23">
        <f>SUM(DB78+DB81)</f>
        <v>0</v>
      </c>
      <c r="DC82" s="27">
        <f>SUM(DC78+DC81)</f>
        <v>0</v>
      </c>
      <c r="DD82" s="107"/>
      <c r="DE82" s="41"/>
      <c r="DF82" s="353" t="s">
        <v>29</v>
      </c>
      <c r="DG82" s="357"/>
      <c r="DH82" s="308">
        <f>SUM(DH78+DH81)</f>
        <v>0</v>
      </c>
      <c r="DI82" s="310"/>
      <c r="DJ82" s="308">
        <f>SUM(DJ78+DJ81)</f>
        <v>0</v>
      </c>
      <c r="DK82" s="309"/>
      <c r="DL82" s="309"/>
      <c r="DM82" s="309"/>
      <c r="DN82" s="310"/>
      <c r="DO82" s="308">
        <f>SUM(DO78+DO81)</f>
        <v>0</v>
      </c>
      <c r="DP82" s="310"/>
      <c r="DQ82" s="308">
        <f>SUM(DQ78+DQ81)</f>
        <v>0</v>
      </c>
      <c r="DR82" s="310"/>
      <c r="DS82" s="23">
        <f>SUM(DS78+DS81)</f>
        <v>0</v>
      </c>
      <c r="DT82" s="23">
        <f>SUM(DT78+DT81)</f>
        <v>0</v>
      </c>
      <c r="DU82" s="27">
        <f>SUM(DU78+DU81)</f>
        <v>0</v>
      </c>
      <c r="DV82" s="107"/>
      <c r="DW82" s="41"/>
      <c r="DX82" s="353" t="s">
        <v>29</v>
      </c>
      <c r="DY82" s="357"/>
      <c r="DZ82" s="308">
        <f>SUM(DZ78+DZ81)</f>
        <v>0</v>
      </c>
      <c r="EA82" s="310"/>
      <c r="EB82" s="308">
        <f>SUM(EB78+EB81)</f>
        <v>0</v>
      </c>
      <c r="EC82" s="309"/>
      <c r="ED82" s="309"/>
      <c r="EE82" s="309"/>
      <c r="EF82" s="310"/>
      <c r="EG82" s="308">
        <f>SUM(EG78+EG81)</f>
        <v>0</v>
      </c>
      <c r="EH82" s="310"/>
      <c r="EI82" s="308">
        <f>SUM(EI78+EI81)</f>
        <v>0</v>
      </c>
      <c r="EJ82" s="310"/>
      <c r="EK82" s="23">
        <f>SUM(EK78+EK81)</f>
        <v>0</v>
      </c>
      <c r="EL82" s="23">
        <f>SUM(EL78+EL81)</f>
        <v>0</v>
      </c>
      <c r="EM82" s="27">
        <f>SUM(EM78+EM81)</f>
        <v>0</v>
      </c>
      <c r="EN82" s="107"/>
      <c r="EO82" s="41"/>
      <c r="EP82" s="353" t="s">
        <v>29</v>
      </c>
      <c r="EQ82" s="357"/>
      <c r="ER82" s="308">
        <f>SUM(ER78+ER81)</f>
        <v>0</v>
      </c>
      <c r="ES82" s="310"/>
      <c r="ET82" s="308">
        <f>SUM(ET78+ET81)</f>
        <v>0</v>
      </c>
      <c r="EU82" s="309"/>
      <c r="EV82" s="309"/>
      <c r="EW82" s="309"/>
      <c r="EX82" s="310"/>
      <c r="EY82" s="308">
        <f>SUM(EY78+EY81)</f>
        <v>0</v>
      </c>
      <c r="EZ82" s="310"/>
      <c r="FA82" s="308">
        <f>SUM(FA78+FA81)</f>
        <v>0</v>
      </c>
      <c r="FB82" s="310"/>
      <c r="FC82" s="23">
        <f>SUM(FC78+FC81)</f>
        <v>0</v>
      </c>
      <c r="FD82" s="23">
        <f>SUM(FD78+FD81)</f>
        <v>0</v>
      </c>
      <c r="FE82" s="27">
        <f>SUM(FE78+FE81)</f>
        <v>0</v>
      </c>
      <c r="FF82" s="107"/>
      <c r="FG82" s="41"/>
      <c r="FH82" s="353" t="s">
        <v>29</v>
      </c>
      <c r="FI82" s="357"/>
      <c r="FJ82" s="308">
        <f>SUM(FJ78+FJ81)</f>
        <v>0</v>
      </c>
      <c r="FK82" s="310"/>
      <c r="FL82" s="308">
        <f>SUM(FL78+FL81)</f>
        <v>0</v>
      </c>
      <c r="FM82" s="309"/>
      <c r="FN82" s="309"/>
      <c r="FO82" s="309"/>
      <c r="FP82" s="310"/>
      <c r="FQ82" s="308">
        <f>SUM(FQ78+FQ81)</f>
        <v>0</v>
      </c>
      <c r="FR82" s="310"/>
      <c r="FS82" s="308">
        <f>SUM(FS78+FS81)</f>
        <v>0</v>
      </c>
      <c r="FT82" s="310"/>
      <c r="FU82" s="23">
        <f>SUM(FU78+FU81)</f>
        <v>0</v>
      </c>
      <c r="FV82" s="23">
        <f>SUM(FV78+FV81)</f>
        <v>0</v>
      </c>
      <c r="FW82" s="27">
        <f>SUM(FW78+FW81)</f>
        <v>0</v>
      </c>
      <c r="FX82" s="107"/>
      <c r="FY82" s="41"/>
      <c r="FZ82" s="353" t="s">
        <v>29</v>
      </c>
      <c r="GA82" s="357"/>
      <c r="GB82" s="308">
        <f>SUM(GB78+GB81)</f>
        <v>0</v>
      </c>
      <c r="GC82" s="310"/>
      <c r="GD82" s="308">
        <f>SUM(GD78+GD81)</f>
        <v>0</v>
      </c>
      <c r="GE82" s="309"/>
      <c r="GF82" s="309"/>
      <c r="GG82" s="309"/>
      <c r="GH82" s="310"/>
      <c r="GI82" s="308">
        <f>SUM(GI78+GI81)</f>
        <v>0</v>
      </c>
      <c r="GJ82" s="310"/>
      <c r="GK82" s="308">
        <f>SUM(GK78+GK81)</f>
        <v>0</v>
      </c>
      <c r="GL82" s="310"/>
      <c r="GM82" s="23">
        <f>SUM(GM78+GM81)</f>
        <v>0</v>
      </c>
      <c r="GN82" s="23">
        <f>SUM(GN78+GN81)</f>
        <v>0</v>
      </c>
      <c r="GO82" s="27">
        <f>SUM(GO78+GO81)</f>
        <v>0</v>
      </c>
      <c r="GP82" s="107"/>
      <c r="GQ82" s="41"/>
      <c r="GR82" s="353" t="s">
        <v>29</v>
      </c>
      <c r="GS82" s="357"/>
      <c r="GT82" s="308">
        <f>SUM(GT78+GT81)</f>
        <v>0</v>
      </c>
      <c r="GU82" s="310"/>
      <c r="GV82" s="308">
        <f>SUM(GV78+GV81)</f>
        <v>0</v>
      </c>
      <c r="GW82" s="309"/>
      <c r="GX82" s="309"/>
      <c r="GY82" s="309"/>
      <c r="GZ82" s="310"/>
      <c r="HA82" s="308">
        <f>SUM(HA78+HA81)</f>
        <v>0</v>
      </c>
      <c r="HB82" s="310"/>
      <c r="HC82" s="308">
        <f>SUM(HC78+HC81)</f>
        <v>0</v>
      </c>
      <c r="HD82" s="310"/>
      <c r="HE82" s="23">
        <f>SUM(HE78+HE81)</f>
        <v>0</v>
      </c>
      <c r="HF82" s="23">
        <f>SUM(HF78+HF81)</f>
        <v>0</v>
      </c>
      <c r="HG82" s="27">
        <f>SUM(HG78+HG81)</f>
        <v>0</v>
      </c>
      <c r="HH82" s="107"/>
      <c r="HI82" s="41"/>
      <c r="HJ82" s="353" t="s">
        <v>29</v>
      </c>
      <c r="HK82" s="354"/>
      <c r="HL82" s="308">
        <f>SUM(HL78+HL81)</f>
        <v>0</v>
      </c>
      <c r="HM82" s="310"/>
      <c r="HN82" s="308">
        <f>SUM(HN78+HN81)</f>
        <v>0</v>
      </c>
      <c r="HO82" s="309"/>
      <c r="HP82" s="309"/>
      <c r="HQ82" s="309"/>
      <c r="HR82" s="310"/>
      <c r="HS82" s="308">
        <f>SUM(HS78+HS81)</f>
        <v>0</v>
      </c>
      <c r="HT82" s="310"/>
      <c r="HU82" s="308">
        <f>SUM(HU78+HU81)</f>
        <v>0</v>
      </c>
      <c r="HV82" s="310"/>
      <c r="HW82" s="23">
        <f>SUM(HW78+HW81)</f>
        <v>0</v>
      </c>
      <c r="HX82" s="23">
        <f>SUM(HX78+HX81)</f>
        <v>0</v>
      </c>
      <c r="HY82" s="27">
        <f>SUM(HY78+HY81)</f>
        <v>0</v>
      </c>
      <c r="HZ82" s="28"/>
    </row>
    <row r="83" spans="1:234" s="11" customFormat="1" ht="20.100000000000001" customHeight="1" x14ac:dyDescent="0.2">
      <c r="A83" s="297">
        <v>0</v>
      </c>
      <c r="B83" s="304" t="s">
        <v>9</v>
      </c>
      <c r="C83" s="19" t="s">
        <v>24</v>
      </c>
      <c r="D83" s="8">
        <v>0</v>
      </c>
      <c r="E83" s="33">
        <v>0</v>
      </c>
      <c r="F83" s="4">
        <v>0</v>
      </c>
      <c r="G83" s="5">
        <v>0</v>
      </c>
      <c r="H83" s="6">
        <v>0</v>
      </c>
      <c r="I83" s="84">
        <v>0</v>
      </c>
      <c r="J83" s="7">
        <v>0</v>
      </c>
      <c r="K83" s="34">
        <v>0</v>
      </c>
      <c r="L83" s="9">
        <v>0</v>
      </c>
      <c r="M83" s="10">
        <v>0</v>
      </c>
      <c r="N83" s="86">
        <v>0</v>
      </c>
      <c r="O83" s="21">
        <v>0</v>
      </c>
      <c r="P83" s="21">
        <v>0</v>
      </c>
      <c r="Q83" s="124">
        <f>SUM(D83:P83)</f>
        <v>0</v>
      </c>
      <c r="R83" s="133"/>
      <c r="S83" s="297">
        <v>0</v>
      </c>
      <c r="T83" s="304" t="s">
        <v>9</v>
      </c>
      <c r="U83" s="19" t="s">
        <v>24</v>
      </c>
      <c r="V83" s="8">
        <v>0</v>
      </c>
      <c r="W83" s="33">
        <v>0</v>
      </c>
      <c r="X83" s="4">
        <v>0</v>
      </c>
      <c r="Y83" s="5">
        <v>0</v>
      </c>
      <c r="Z83" s="6">
        <v>0</v>
      </c>
      <c r="AA83" s="84">
        <v>0</v>
      </c>
      <c r="AB83" s="7">
        <v>0</v>
      </c>
      <c r="AC83" s="34">
        <v>0</v>
      </c>
      <c r="AD83" s="9">
        <v>0</v>
      </c>
      <c r="AE83" s="10">
        <v>0</v>
      </c>
      <c r="AF83" s="86">
        <v>0</v>
      </c>
      <c r="AG83" s="21">
        <v>0</v>
      </c>
      <c r="AH83" s="21">
        <v>0</v>
      </c>
      <c r="AI83" s="124">
        <f>SUM(V83:AH83)</f>
        <v>0</v>
      </c>
      <c r="AJ83" s="133"/>
      <c r="AK83" s="297">
        <v>0</v>
      </c>
      <c r="AL83" s="304" t="s">
        <v>9</v>
      </c>
      <c r="AM83" s="19" t="s">
        <v>24</v>
      </c>
      <c r="AN83" s="8">
        <v>0</v>
      </c>
      <c r="AO83" s="33">
        <v>0</v>
      </c>
      <c r="AP83" s="4">
        <v>0</v>
      </c>
      <c r="AQ83" s="5">
        <v>0</v>
      </c>
      <c r="AR83" s="6">
        <v>0</v>
      </c>
      <c r="AS83" s="84">
        <v>0</v>
      </c>
      <c r="AT83" s="7">
        <v>0</v>
      </c>
      <c r="AU83" s="34">
        <v>0</v>
      </c>
      <c r="AV83" s="9">
        <v>0</v>
      </c>
      <c r="AW83" s="10">
        <v>0</v>
      </c>
      <c r="AX83" s="86">
        <v>0</v>
      </c>
      <c r="AY83" s="21">
        <v>0</v>
      </c>
      <c r="AZ83" s="21">
        <v>0</v>
      </c>
      <c r="BA83" s="124">
        <f>SUM(AN83:AZ83)</f>
        <v>0</v>
      </c>
      <c r="BB83" s="133"/>
      <c r="BC83" s="297">
        <v>0</v>
      </c>
      <c r="BD83" s="304" t="s">
        <v>9</v>
      </c>
      <c r="BE83" s="19" t="s">
        <v>24</v>
      </c>
      <c r="BF83" s="8">
        <v>0</v>
      </c>
      <c r="BG83" s="33">
        <v>0</v>
      </c>
      <c r="BH83" s="4">
        <v>0</v>
      </c>
      <c r="BI83" s="5">
        <v>0</v>
      </c>
      <c r="BJ83" s="6">
        <v>0</v>
      </c>
      <c r="BK83" s="84">
        <v>0</v>
      </c>
      <c r="BL83" s="7">
        <v>0</v>
      </c>
      <c r="BM83" s="34">
        <v>0</v>
      </c>
      <c r="BN83" s="9">
        <v>0</v>
      </c>
      <c r="BO83" s="10">
        <v>0</v>
      </c>
      <c r="BP83" s="86">
        <v>0</v>
      </c>
      <c r="BQ83" s="21">
        <v>0</v>
      </c>
      <c r="BR83" s="21">
        <v>0</v>
      </c>
      <c r="BS83" s="124">
        <f>SUM(BF83:BR83)</f>
        <v>0</v>
      </c>
      <c r="BT83" s="133"/>
      <c r="BU83" s="297">
        <v>0</v>
      </c>
      <c r="BV83" s="304" t="s">
        <v>9</v>
      </c>
      <c r="BW83" s="19" t="s">
        <v>24</v>
      </c>
      <c r="BX83" s="8">
        <v>0</v>
      </c>
      <c r="BY83" s="33">
        <v>0</v>
      </c>
      <c r="BZ83" s="4">
        <v>0</v>
      </c>
      <c r="CA83" s="5">
        <v>0</v>
      </c>
      <c r="CB83" s="6">
        <v>0</v>
      </c>
      <c r="CC83" s="84">
        <v>0</v>
      </c>
      <c r="CD83" s="7">
        <v>0</v>
      </c>
      <c r="CE83" s="34">
        <v>0</v>
      </c>
      <c r="CF83" s="9">
        <v>0</v>
      </c>
      <c r="CG83" s="10">
        <v>0</v>
      </c>
      <c r="CH83" s="86">
        <v>0</v>
      </c>
      <c r="CI83" s="21">
        <v>0</v>
      </c>
      <c r="CJ83" s="21">
        <v>0</v>
      </c>
      <c r="CK83" s="124">
        <f>SUM(BX83:CJ83)</f>
        <v>0</v>
      </c>
      <c r="CL83" s="133"/>
      <c r="CM83" s="297">
        <v>0</v>
      </c>
      <c r="CN83" s="304" t="s">
        <v>9</v>
      </c>
      <c r="CO83" s="19" t="s">
        <v>24</v>
      </c>
      <c r="CP83" s="8">
        <v>0</v>
      </c>
      <c r="CQ83" s="33">
        <v>0</v>
      </c>
      <c r="CR83" s="4">
        <v>0</v>
      </c>
      <c r="CS83" s="5">
        <v>0</v>
      </c>
      <c r="CT83" s="6">
        <v>0</v>
      </c>
      <c r="CU83" s="84">
        <v>0</v>
      </c>
      <c r="CV83" s="7">
        <v>0</v>
      </c>
      <c r="CW83" s="34">
        <v>0</v>
      </c>
      <c r="CX83" s="9">
        <v>0</v>
      </c>
      <c r="CY83" s="10">
        <v>0</v>
      </c>
      <c r="CZ83" s="86">
        <v>0</v>
      </c>
      <c r="DA83" s="21">
        <v>0</v>
      </c>
      <c r="DB83" s="21">
        <v>0</v>
      </c>
      <c r="DC83" s="24">
        <f>SUM(CP83:DB83)</f>
        <v>0</v>
      </c>
      <c r="DD83" s="107"/>
      <c r="DE83" s="297">
        <v>0</v>
      </c>
      <c r="DF83" s="304" t="s">
        <v>9</v>
      </c>
      <c r="DG83" s="19" t="s">
        <v>24</v>
      </c>
      <c r="DH83" s="8">
        <v>0</v>
      </c>
      <c r="DI83" s="33">
        <v>0</v>
      </c>
      <c r="DJ83" s="4">
        <v>0</v>
      </c>
      <c r="DK83" s="5">
        <v>0</v>
      </c>
      <c r="DL83" s="6">
        <v>0</v>
      </c>
      <c r="DM83" s="84">
        <v>0</v>
      </c>
      <c r="DN83" s="7">
        <v>0</v>
      </c>
      <c r="DO83" s="34">
        <v>0</v>
      </c>
      <c r="DP83" s="9">
        <v>0</v>
      </c>
      <c r="DQ83" s="10">
        <v>0</v>
      </c>
      <c r="DR83" s="86">
        <v>0</v>
      </c>
      <c r="DS83" s="21">
        <v>0</v>
      </c>
      <c r="DT83" s="21">
        <v>0</v>
      </c>
      <c r="DU83" s="24">
        <f>SUM(DH83:DT83)</f>
        <v>0</v>
      </c>
      <c r="DV83" s="107"/>
      <c r="DW83" s="297">
        <v>0</v>
      </c>
      <c r="DX83" s="304" t="s">
        <v>9</v>
      </c>
      <c r="DY83" s="19" t="s">
        <v>24</v>
      </c>
      <c r="DZ83" s="8">
        <v>0</v>
      </c>
      <c r="EA83" s="33">
        <v>0</v>
      </c>
      <c r="EB83" s="4">
        <v>0</v>
      </c>
      <c r="EC83" s="5">
        <v>0</v>
      </c>
      <c r="ED83" s="6">
        <v>0</v>
      </c>
      <c r="EE83" s="84">
        <v>0</v>
      </c>
      <c r="EF83" s="7">
        <v>0</v>
      </c>
      <c r="EG83" s="34">
        <v>0</v>
      </c>
      <c r="EH83" s="9">
        <v>0</v>
      </c>
      <c r="EI83" s="10">
        <v>0</v>
      </c>
      <c r="EJ83" s="86">
        <v>0</v>
      </c>
      <c r="EK83" s="21">
        <v>0</v>
      </c>
      <c r="EL83" s="21">
        <v>0</v>
      </c>
      <c r="EM83" s="24">
        <f>SUM(DZ83:EL83)</f>
        <v>0</v>
      </c>
      <c r="EN83" s="107"/>
      <c r="EO83" s="297">
        <v>0</v>
      </c>
      <c r="EP83" s="304" t="s">
        <v>9</v>
      </c>
      <c r="EQ83" s="19" t="s">
        <v>24</v>
      </c>
      <c r="ER83" s="8">
        <v>0</v>
      </c>
      <c r="ES83" s="33">
        <v>0</v>
      </c>
      <c r="ET83" s="4">
        <v>0</v>
      </c>
      <c r="EU83" s="5">
        <v>0</v>
      </c>
      <c r="EV83" s="6">
        <v>0</v>
      </c>
      <c r="EW83" s="84">
        <v>0</v>
      </c>
      <c r="EX83" s="7">
        <v>0</v>
      </c>
      <c r="EY83" s="34">
        <v>0</v>
      </c>
      <c r="EZ83" s="9">
        <v>0</v>
      </c>
      <c r="FA83" s="10">
        <v>0</v>
      </c>
      <c r="FB83" s="86">
        <v>0</v>
      </c>
      <c r="FC83" s="21">
        <v>0</v>
      </c>
      <c r="FD83" s="21">
        <v>0</v>
      </c>
      <c r="FE83" s="24">
        <f>SUM(ER83:FD83)</f>
        <v>0</v>
      </c>
      <c r="FF83" s="107"/>
      <c r="FG83" s="297">
        <v>0</v>
      </c>
      <c r="FH83" s="304" t="s">
        <v>9</v>
      </c>
      <c r="FI83" s="19" t="s">
        <v>24</v>
      </c>
      <c r="FJ83" s="8">
        <v>0</v>
      </c>
      <c r="FK83" s="33">
        <v>0</v>
      </c>
      <c r="FL83" s="4">
        <v>0</v>
      </c>
      <c r="FM83" s="5">
        <v>0</v>
      </c>
      <c r="FN83" s="6">
        <v>0</v>
      </c>
      <c r="FO83" s="84">
        <v>0</v>
      </c>
      <c r="FP83" s="7">
        <v>0</v>
      </c>
      <c r="FQ83" s="34">
        <v>0</v>
      </c>
      <c r="FR83" s="9">
        <v>0</v>
      </c>
      <c r="FS83" s="10">
        <v>0</v>
      </c>
      <c r="FT83" s="86">
        <v>0</v>
      </c>
      <c r="FU83" s="21">
        <v>0</v>
      </c>
      <c r="FV83" s="21">
        <v>0</v>
      </c>
      <c r="FW83" s="24">
        <f>SUM(FJ83:FV83)</f>
        <v>0</v>
      </c>
      <c r="FX83" s="107"/>
      <c r="FY83" s="297">
        <v>0</v>
      </c>
      <c r="FZ83" s="304" t="s">
        <v>9</v>
      </c>
      <c r="GA83" s="19" t="s">
        <v>24</v>
      </c>
      <c r="GB83" s="8">
        <v>0</v>
      </c>
      <c r="GC83" s="33">
        <v>0</v>
      </c>
      <c r="GD83" s="4">
        <v>0</v>
      </c>
      <c r="GE83" s="5">
        <v>0</v>
      </c>
      <c r="GF83" s="6">
        <v>0</v>
      </c>
      <c r="GG83" s="84">
        <v>0</v>
      </c>
      <c r="GH83" s="7">
        <v>0</v>
      </c>
      <c r="GI83" s="34">
        <v>0</v>
      </c>
      <c r="GJ83" s="9">
        <v>0</v>
      </c>
      <c r="GK83" s="10">
        <v>0</v>
      </c>
      <c r="GL83" s="86">
        <v>0</v>
      </c>
      <c r="GM83" s="21">
        <v>0</v>
      </c>
      <c r="GN83" s="21">
        <v>0</v>
      </c>
      <c r="GO83" s="24">
        <f>SUM(GB83:GN83)</f>
        <v>0</v>
      </c>
      <c r="GP83" s="107"/>
      <c r="GQ83" s="297">
        <v>0</v>
      </c>
      <c r="GR83" s="304" t="s">
        <v>9</v>
      </c>
      <c r="GS83" s="19" t="s">
        <v>24</v>
      </c>
      <c r="GT83" s="8">
        <v>0</v>
      </c>
      <c r="GU83" s="33">
        <v>0</v>
      </c>
      <c r="GV83" s="4">
        <v>0</v>
      </c>
      <c r="GW83" s="5">
        <v>0</v>
      </c>
      <c r="GX83" s="6">
        <v>0</v>
      </c>
      <c r="GY83" s="84">
        <v>0</v>
      </c>
      <c r="GZ83" s="7">
        <v>0</v>
      </c>
      <c r="HA83" s="34">
        <v>0</v>
      </c>
      <c r="HB83" s="9">
        <v>0</v>
      </c>
      <c r="HC83" s="10">
        <v>0</v>
      </c>
      <c r="HD83" s="86">
        <v>0</v>
      </c>
      <c r="HE83" s="21">
        <v>0</v>
      </c>
      <c r="HF83" s="21">
        <v>0</v>
      </c>
      <c r="HG83" s="24">
        <f>SUM(GT83:HF83)</f>
        <v>0</v>
      </c>
      <c r="HH83" s="107"/>
      <c r="HI83" s="297">
        <f>GQ83</f>
        <v>0</v>
      </c>
      <c r="HJ83" s="304" t="s">
        <v>9</v>
      </c>
      <c r="HK83" s="19" t="s">
        <v>24</v>
      </c>
      <c r="HL83" s="8">
        <f t="shared" ref="HL83:HL84" si="373">SUM(D83+V83+AN83+BF83+BX83+CP83+DH83+DZ83+ER83+FJ83+GB83+GT83)</f>
        <v>0</v>
      </c>
      <c r="HM83" s="9">
        <f t="shared" ref="HM83:HM84" si="374">SUM(E83+W83+AO83+BG83+BY83+CQ83+DI83+EA83+ES83+FK83+GC83+GU83)</f>
        <v>0</v>
      </c>
      <c r="HN83" s="34">
        <f t="shared" ref="HN83:HN84" si="375">SUM(F83+X83+AP83+BH83+BZ83+CR83+DJ83+EB83+ET83+FL83+GD83+GV83)</f>
        <v>0</v>
      </c>
      <c r="HO83" s="35">
        <f t="shared" ref="HO83:HO84" si="376">SUM(G83+Y83+AQ83+BI83+CA83+CS83+DK83+EC83+EU83+FM83+GE83+GW83)</f>
        <v>0</v>
      </c>
      <c r="HP83" s="35">
        <f t="shared" ref="HP83:HP84" si="377">SUM(H83+Z83+AR83+BJ83+CB83+CT83+DL83+ED83+EV83+FN83+GF83+GX83)</f>
        <v>0</v>
      </c>
      <c r="HQ83" s="46">
        <f t="shared" ref="HQ83:HQ84" si="378">SUM(I83+AA83+AS83+BK83+CC83+CU83+DM83+EE83+EW83+FO83+GG83+GY83)</f>
        <v>0</v>
      </c>
      <c r="HR83" s="9">
        <f t="shared" ref="HR83:HR84" si="379">SUM(J83+AB83+AT83+BL83+CD83+CV83+DN83+EF83+EX83+FP83+GH83+GZ83)</f>
        <v>0</v>
      </c>
      <c r="HS83" s="34">
        <f t="shared" ref="HS83:HS84" si="380">SUM(K83+AC83+AU83+BM83+CE83+CW83+DO83+EG83+EY83+FQ83+GI83+HA83)</f>
        <v>0</v>
      </c>
      <c r="HT83" s="9">
        <f t="shared" ref="HT83:HT84" si="381">SUM(L83+AD83+AV83+BN83+CF83+CX83+DP83+EH83+EZ83+FR83+GJ83+HB83)</f>
        <v>0</v>
      </c>
      <c r="HU83" s="34">
        <f t="shared" ref="HU83:HU84" si="382">SUM(M83+AE83+AW83+BO83+CG83+CY83+DQ83+EI83+FA83+FS83+GK83+HC83)</f>
        <v>0</v>
      </c>
      <c r="HV83" s="47">
        <f t="shared" ref="HV83:HV84" si="383">SUM(N83+AF83+AX83+BP83+CH83+CZ83+DR83+EJ83+FB83+FT83+GL83+HD83)</f>
        <v>0</v>
      </c>
      <c r="HW83" s="44">
        <f t="shared" ref="HW83:HW84" si="384">SUM(O83+AG83+AY83+BQ83+CI83+DA83+DS83+EK83+FC83+FU83+GM83+HE83)</f>
        <v>0</v>
      </c>
      <c r="HX83" s="44">
        <f t="shared" ref="HX83:HX84" si="385">SUM(P83+AH83+AZ83+BR83+CJ83+DB83+DT83+EL83+FD83+FV83+GN83+HF83)</f>
        <v>0</v>
      </c>
      <c r="HY83" s="38">
        <f>SUM(HL83:HX83)</f>
        <v>0</v>
      </c>
      <c r="HZ83" s="28"/>
    </row>
    <row r="84" spans="1:234" s="11" customFormat="1" ht="20.100000000000001" customHeight="1" thickBot="1" x14ac:dyDescent="0.25">
      <c r="A84" s="298"/>
      <c r="B84" s="305"/>
      <c r="C84" s="20" t="s">
        <v>25</v>
      </c>
      <c r="D84" s="12">
        <v>0</v>
      </c>
      <c r="E84" s="18">
        <v>0</v>
      </c>
      <c r="F84" s="12">
        <v>0</v>
      </c>
      <c r="G84" s="13">
        <v>0</v>
      </c>
      <c r="H84" s="15">
        <v>0</v>
      </c>
      <c r="I84" s="15">
        <v>0</v>
      </c>
      <c r="J84" s="16">
        <v>0</v>
      </c>
      <c r="K84" s="17">
        <v>0</v>
      </c>
      <c r="L84" s="14">
        <v>0</v>
      </c>
      <c r="M84" s="17">
        <v>0</v>
      </c>
      <c r="N84" s="18">
        <v>0</v>
      </c>
      <c r="O84" s="22">
        <v>0</v>
      </c>
      <c r="P84" s="22">
        <v>0</v>
      </c>
      <c r="Q84" s="125">
        <f>SUM(D84:P84)</f>
        <v>0</v>
      </c>
      <c r="R84" s="133"/>
      <c r="S84" s="298"/>
      <c r="T84" s="305"/>
      <c r="U84" s="20" t="s">
        <v>25</v>
      </c>
      <c r="V84" s="12">
        <v>0</v>
      </c>
      <c r="W84" s="18">
        <v>0</v>
      </c>
      <c r="X84" s="12">
        <v>0</v>
      </c>
      <c r="Y84" s="13">
        <v>0</v>
      </c>
      <c r="Z84" s="15">
        <v>0</v>
      </c>
      <c r="AA84" s="15">
        <v>0</v>
      </c>
      <c r="AB84" s="16">
        <v>0</v>
      </c>
      <c r="AC84" s="17">
        <v>0</v>
      </c>
      <c r="AD84" s="14">
        <v>0</v>
      </c>
      <c r="AE84" s="17">
        <v>0</v>
      </c>
      <c r="AF84" s="18">
        <v>0</v>
      </c>
      <c r="AG84" s="22">
        <v>0</v>
      </c>
      <c r="AH84" s="22">
        <v>0</v>
      </c>
      <c r="AI84" s="125">
        <f>SUM(V84:AH84)</f>
        <v>0</v>
      </c>
      <c r="AJ84" s="133"/>
      <c r="AK84" s="298"/>
      <c r="AL84" s="305"/>
      <c r="AM84" s="20" t="s">
        <v>25</v>
      </c>
      <c r="AN84" s="12">
        <v>0</v>
      </c>
      <c r="AO84" s="18">
        <v>0</v>
      </c>
      <c r="AP84" s="12">
        <v>0</v>
      </c>
      <c r="AQ84" s="13">
        <v>0</v>
      </c>
      <c r="AR84" s="15">
        <v>0</v>
      </c>
      <c r="AS84" s="15">
        <v>0</v>
      </c>
      <c r="AT84" s="16">
        <v>0</v>
      </c>
      <c r="AU84" s="17">
        <v>0</v>
      </c>
      <c r="AV84" s="14">
        <v>0</v>
      </c>
      <c r="AW84" s="17">
        <v>0</v>
      </c>
      <c r="AX84" s="18">
        <v>0</v>
      </c>
      <c r="AY84" s="22">
        <v>0</v>
      </c>
      <c r="AZ84" s="22">
        <v>0</v>
      </c>
      <c r="BA84" s="125">
        <f>SUM(AN84:AZ84)</f>
        <v>0</v>
      </c>
      <c r="BB84" s="133"/>
      <c r="BC84" s="298"/>
      <c r="BD84" s="305"/>
      <c r="BE84" s="20" t="s">
        <v>25</v>
      </c>
      <c r="BF84" s="12">
        <v>0</v>
      </c>
      <c r="BG84" s="18">
        <v>0</v>
      </c>
      <c r="BH84" s="12">
        <v>0</v>
      </c>
      <c r="BI84" s="13">
        <v>0</v>
      </c>
      <c r="BJ84" s="15">
        <v>0</v>
      </c>
      <c r="BK84" s="15">
        <v>0</v>
      </c>
      <c r="BL84" s="16">
        <v>0</v>
      </c>
      <c r="BM84" s="17">
        <v>0</v>
      </c>
      <c r="BN84" s="14">
        <v>0</v>
      </c>
      <c r="BO84" s="17">
        <v>0</v>
      </c>
      <c r="BP84" s="18">
        <v>0</v>
      </c>
      <c r="BQ84" s="22">
        <v>0</v>
      </c>
      <c r="BR84" s="22">
        <v>0</v>
      </c>
      <c r="BS84" s="125">
        <f>SUM(BF84:BR84)</f>
        <v>0</v>
      </c>
      <c r="BT84" s="133"/>
      <c r="BU84" s="298"/>
      <c r="BV84" s="305"/>
      <c r="BW84" s="20" t="s">
        <v>25</v>
      </c>
      <c r="BX84" s="12">
        <v>0</v>
      </c>
      <c r="BY84" s="18">
        <v>0</v>
      </c>
      <c r="BZ84" s="12">
        <v>0</v>
      </c>
      <c r="CA84" s="13">
        <v>0</v>
      </c>
      <c r="CB84" s="15">
        <v>0</v>
      </c>
      <c r="CC84" s="15">
        <v>0</v>
      </c>
      <c r="CD84" s="16">
        <v>0</v>
      </c>
      <c r="CE84" s="17">
        <v>0</v>
      </c>
      <c r="CF84" s="14">
        <v>0</v>
      </c>
      <c r="CG84" s="17">
        <v>0</v>
      </c>
      <c r="CH84" s="18">
        <v>0</v>
      </c>
      <c r="CI84" s="22">
        <v>0</v>
      </c>
      <c r="CJ84" s="22">
        <v>0</v>
      </c>
      <c r="CK84" s="125">
        <f>SUM(BX84:CJ84)</f>
        <v>0</v>
      </c>
      <c r="CL84" s="133"/>
      <c r="CM84" s="298"/>
      <c r="CN84" s="305"/>
      <c r="CO84" s="20" t="s">
        <v>25</v>
      </c>
      <c r="CP84" s="12">
        <v>0</v>
      </c>
      <c r="CQ84" s="18">
        <v>0</v>
      </c>
      <c r="CR84" s="12">
        <v>0</v>
      </c>
      <c r="CS84" s="13">
        <v>0</v>
      </c>
      <c r="CT84" s="15">
        <v>0</v>
      </c>
      <c r="CU84" s="15">
        <v>0</v>
      </c>
      <c r="CV84" s="16">
        <v>0</v>
      </c>
      <c r="CW84" s="17">
        <v>0</v>
      </c>
      <c r="CX84" s="14">
        <v>0</v>
      </c>
      <c r="CY84" s="17">
        <v>0</v>
      </c>
      <c r="CZ84" s="18">
        <v>0</v>
      </c>
      <c r="DA84" s="22">
        <v>0</v>
      </c>
      <c r="DB84" s="22">
        <v>0</v>
      </c>
      <c r="DC84" s="25">
        <f>SUM(CP84:DB84)</f>
        <v>0</v>
      </c>
      <c r="DD84" s="107"/>
      <c r="DE84" s="298"/>
      <c r="DF84" s="305"/>
      <c r="DG84" s="20" t="s">
        <v>25</v>
      </c>
      <c r="DH84" s="12">
        <v>0</v>
      </c>
      <c r="DI84" s="18">
        <v>0</v>
      </c>
      <c r="DJ84" s="12">
        <v>0</v>
      </c>
      <c r="DK84" s="13">
        <v>0</v>
      </c>
      <c r="DL84" s="15">
        <v>0</v>
      </c>
      <c r="DM84" s="15">
        <v>0</v>
      </c>
      <c r="DN84" s="16">
        <v>0</v>
      </c>
      <c r="DO84" s="17">
        <v>0</v>
      </c>
      <c r="DP84" s="14">
        <v>0</v>
      </c>
      <c r="DQ84" s="17">
        <v>0</v>
      </c>
      <c r="DR84" s="18">
        <v>0</v>
      </c>
      <c r="DS84" s="22">
        <v>0</v>
      </c>
      <c r="DT84" s="22">
        <v>0</v>
      </c>
      <c r="DU84" s="25">
        <f>SUM(DH84:DT84)</f>
        <v>0</v>
      </c>
      <c r="DV84" s="107"/>
      <c r="DW84" s="298"/>
      <c r="DX84" s="305"/>
      <c r="DY84" s="20" t="s">
        <v>25</v>
      </c>
      <c r="DZ84" s="12">
        <v>0</v>
      </c>
      <c r="EA84" s="18">
        <v>0</v>
      </c>
      <c r="EB84" s="12">
        <v>0</v>
      </c>
      <c r="EC84" s="13">
        <v>0</v>
      </c>
      <c r="ED84" s="15">
        <v>0</v>
      </c>
      <c r="EE84" s="15">
        <v>0</v>
      </c>
      <c r="EF84" s="16">
        <v>0</v>
      </c>
      <c r="EG84" s="17">
        <v>0</v>
      </c>
      <c r="EH84" s="14">
        <v>0</v>
      </c>
      <c r="EI84" s="17">
        <v>0</v>
      </c>
      <c r="EJ84" s="18">
        <v>0</v>
      </c>
      <c r="EK84" s="22">
        <v>0</v>
      </c>
      <c r="EL84" s="22">
        <v>0</v>
      </c>
      <c r="EM84" s="25">
        <f>SUM(DZ84:EL84)</f>
        <v>0</v>
      </c>
      <c r="EN84" s="107"/>
      <c r="EO84" s="298"/>
      <c r="EP84" s="305"/>
      <c r="EQ84" s="20" t="s">
        <v>25</v>
      </c>
      <c r="ER84" s="12">
        <v>0</v>
      </c>
      <c r="ES84" s="18">
        <v>0</v>
      </c>
      <c r="ET84" s="12">
        <v>0</v>
      </c>
      <c r="EU84" s="13">
        <v>0</v>
      </c>
      <c r="EV84" s="15">
        <v>0</v>
      </c>
      <c r="EW84" s="15">
        <v>0</v>
      </c>
      <c r="EX84" s="16">
        <v>0</v>
      </c>
      <c r="EY84" s="17">
        <v>0</v>
      </c>
      <c r="EZ84" s="14">
        <v>0</v>
      </c>
      <c r="FA84" s="17">
        <v>0</v>
      </c>
      <c r="FB84" s="18">
        <v>0</v>
      </c>
      <c r="FC84" s="22">
        <v>0</v>
      </c>
      <c r="FD84" s="22">
        <v>0</v>
      </c>
      <c r="FE84" s="25">
        <f>SUM(ER84:FD84)</f>
        <v>0</v>
      </c>
      <c r="FF84" s="107"/>
      <c r="FG84" s="298"/>
      <c r="FH84" s="305"/>
      <c r="FI84" s="20" t="s">
        <v>25</v>
      </c>
      <c r="FJ84" s="12">
        <v>0</v>
      </c>
      <c r="FK84" s="18">
        <v>0</v>
      </c>
      <c r="FL84" s="12">
        <v>0</v>
      </c>
      <c r="FM84" s="13">
        <v>0</v>
      </c>
      <c r="FN84" s="15">
        <v>0</v>
      </c>
      <c r="FO84" s="15">
        <v>0</v>
      </c>
      <c r="FP84" s="16">
        <v>0</v>
      </c>
      <c r="FQ84" s="17">
        <v>0</v>
      </c>
      <c r="FR84" s="14">
        <v>0</v>
      </c>
      <c r="FS84" s="17">
        <v>0</v>
      </c>
      <c r="FT84" s="18">
        <v>0</v>
      </c>
      <c r="FU84" s="22">
        <v>0</v>
      </c>
      <c r="FV84" s="22">
        <v>0</v>
      </c>
      <c r="FW84" s="25">
        <f>SUM(FJ84:FV84)</f>
        <v>0</v>
      </c>
      <c r="FX84" s="107"/>
      <c r="FY84" s="298"/>
      <c r="FZ84" s="305"/>
      <c r="GA84" s="20" t="s">
        <v>25</v>
      </c>
      <c r="GB84" s="12">
        <v>0</v>
      </c>
      <c r="GC84" s="18">
        <v>0</v>
      </c>
      <c r="GD84" s="12">
        <v>0</v>
      </c>
      <c r="GE84" s="13">
        <v>0</v>
      </c>
      <c r="GF84" s="15">
        <v>0</v>
      </c>
      <c r="GG84" s="15">
        <v>0</v>
      </c>
      <c r="GH84" s="16">
        <v>0</v>
      </c>
      <c r="GI84" s="17">
        <v>0</v>
      </c>
      <c r="GJ84" s="14">
        <v>0</v>
      </c>
      <c r="GK84" s="17">
        <v>0</v>
      </c>
      <c r="GL84" s="18">
        <v>0</v>
      </c>
      <c r="GM84" s="22">
        <v>0</v>
      </c>
      <c r="GN84" s="22">
        <v>0</v>
      </c>
      <c r="GO84" s="25">
        <f>SUM(GB84:GN84)</f>
        <v>0</v>
      </c>
      <c r="GP84" s="107"/>
      <c r="GQ84" s="298"/>
      <c r="GR84" s="305"/>
      <c r="GS84" s="20" t="s">
        <v>25</v>
      </c>
      <c r="GT84" s="12">
        <v>0</v>
      </c>
      <c r="GU84" s="18">
        <v>0</v>
      </c>
      <c r="GV84" s="12">
        <v>0</v>
      </c>
      <c r="GW84" s="13">
        <v>0</v>
      </c>
      <c r="GX84" s="15">
        <v>0</v>
      </c>
      <c r="GY84" s="15">
        <v>0</v>
      </c>
      <c r="GZ84" s="16">
        <v>0</v>
      </c>
      <c r="HA84" s="17">
        <v>0</v>
      </c>
      <c r="HB84" s="14">
        <v>0</v>
      </c>
      <c r="HC84" s="17">
        <v>0</v>
      </c>
      <c r="HD84" s="18">
        <v>0</v>
      </c>
      <c r="HE84" s="22">
        <v>0</v>
      </c>
      <c r="HF84" s="22">
        <v>0</v>
      </c>
      <c r="HG84" s="25">
        <f>SUM(GT84:HF84)</f>
        <v>0</v>
      </c>
      <c r="HH84" s="107"/>
      <c r="HI84" s="298"/>
      <c r="HJ84" s="305"/>
      <c r="HK84" s="20" t="s">
        <v>25</v>
      </c>
      <c r="HL84" s="12">
        <f t="shared" si="373"/>
        <v>0</v>
      </c>
      <c r="HM84" s="14">
        <f t="shared" si="374"/>
        <v>0</v>
      </c>
      <c r="HN84" s="17">
        <f t="shared" si="375"/>
        <v>0</v>
      </c>
      <c r="HO84" s="13">
        <f t="shared" si="376"/>
        <v>0</v>
      </c>
      <c r="HP84" s="13">
        <f t="shared" si="377"/>
        <v>0</v>
      </c>
      <c r="HQ84" s="13">
        <f t="shared" si="378"/>
        <v>0</v>
      </c>
      <c r="HR84" s="14">
        <f t="shared" si="379"/>
        <v>0</v>
      </c>
      <c r="HS84" s="17">
        <f t="shared" si="380"/>
        <v>0</v>
      </c>
      <c r="HT84" s="14">
        <f t="shared" si="381"/>
        <v>0</v>
      </c>
      <c r="HU84" s="17">
        <f t="shared" si="382"/>
        <v>0</v>
      </c>
      <c r="HV84" s="14">
        <f t="shared" si="383"/>
        <v>0</v>
      </c>
      <c r="HW84" s="45">
        <f t="shared" si="384"/>
        <v>0</v>
      </c>
      <c r="HX84" s="45">
        <f t="shared" si="385"/>
        <v>0</v>
      </c>
      <c r="HY84" s="39">
        <f>SUM(HL84:HX84)</f>
        <v>0</v>
      </c>
      <c r="HZ84" s="28"/>
    </row>
    <row r="85" spans="1:234" s="11" customFormat="1" ht="20.100000000000001" customHeight="1" thickBot="1" x14ac:dyDescent="0.25">
      <c r="A85" s="298"/>
      <c r="B85" s="295" t="s">
        <v>26</v>
      </c>
      <c r="C85" s="296"/>
      <c r="D85" s="306">
        <f>SUM(D83:E84)</f>
        <v>0</v>
      </c>
      <c r="E85" s="307"/>
      <c r="F85" s="306">
        <f>SUM(F83:J84)</f>
        <v>0</v>
      </c>
      <c r="G85" s="368"/>
      <c r="H85" s="368"/>
      <c r="I85" s="368"/>
      <c r="J85" s="307"/>
      <c r="K85" s="306">
        <f>SUM(K83:L84)</f>
        <v>0</v>
      </c>
      <c r="L85" s="307"/>
      <c r="M85" s="306">
        <f>SUM(M83:N84)</f>
        <v>0</v>
      </c>
      <c r="N85" s="307"/>
      <c r="O85" s="94">
        <f>SUM(O83:O84)</f>
        <v>0</v>
      </c>
      <c r="P85" s="94">
        <f>SUM(P83:P84)</f>
        <v>0</v>
      </c>
      <c r="Q85" s="126">
        <f>SUM(Q83:Q84)</f>
        <v>0</v>
      </c>
      <c r="R85" s="133"/>
      <c r="S85" s="298"/>
      <c r="T85" s="295" t="s">
        <v>26</v>
      </c>
      <c r="U85" s="296"/>
      <c r="V85" s="306">
        <f>SUM(V83:W84)</f>
        <v>0</v>
      </c>
      <c r="W85" s="307"/>
      <c r="X85" s="306">
        <f>SUM(X83:AB84)</f>
        <v>0</v>
      </c>
      <c r="Y85" s="368"/>
      <c r="Z85" s="368"/>
      <c r="AA85" s="368"/>
      <c r="AB85" s="307"/>
      <c r="AC85" s="306">
        <f>SUM(AC83:AD84)</f>
        <v>0</v>
      </c>
      <c r="AD85" s="307"/>
      <c r="AE85" s="306">
        <f>SUM(AE83:AF84)</f>
        <v>0</v>
      </c>
      <c r="AF85" s="307"/>
      <c r="AG85" s="94">
        <f>SUM(AG83:AG84)</f>
        <v>0</v>
      </c>
      <c r="AH85" s="94">
        <f>SUM(AH83:AH84)</f>
        <v>0</v>
      </c>
      <c r="AI85" s="126">
        <f>SUM(AI83:AI84)</f>
        <v>0</v>
      </c>
      <c r="AJ85" s="133"/>
      <c r="AK85" s="298"/>
      <c r="AL85" s="295" t="s">
        <v>26</v>
      </c>
      <c r="AM85" s="296"/>
      <c r="AN85" s="306">
        <f>SUM(AN83:AO84)</f>
        <v>0</v>
      </c>
      <c r="AO85" s="307"/>
      <c r="AP85" s="306">
        <f>SUM(AP83:AT84)</f>
        <v>0</v>
      </c>
      <c r="AQ85" s="368"/>
      <c r="AR85" s="368"/>
      <c r="AS85" s="368"/>
      <c r="AT85" s="307"/>
      <c r="AU85" s="306">
        <f>SUM(AU83:AV84)</f>
        <v>0</v>
      </c>
      <c r="AV85" s="307"/>
      <c r="AW85" s="306">
        <f>SUM(AW83:AX84)</f>
        <v>0</v>
      </c>
      <c r="AX85" s="307"/>
      <c r="AY85" s="94">
        <f>SUM(AY83:AY84)</f>
        <v>0</v>
      </c>
      <c r="AZ85" s="94">
        <f>SUM(AZ83:AZ84)</f>
        <v>0</v>
      </c>
      <c r="BA85" s="126">
        <f>SUM(BA83:BA84)</f>
        <v>0</v>
      </c>
      <c r="BB85" s="133"/>
      <c r="BC85" s="298"/>
      <c r="BD85" s="295" t="s">
        <v>26</v>
      </c>
      <c r="BE85" s="296"/>
      <c r="BF85" s="306">
        <f>SUM(BF83:BG84)</f>
        <v>0</v>
      </c>
      <c r="BG85" s="307"/>
      <c r="BH85" s="306">
        <f>SUM(BH83:BL84)</f>
        <v>0</v>
      </c>
      <c r="BI85" s="368"/>
      <c r="BJ85" s="368"/>
      <c r="BK85" s="368"/>
      <c r="BL85" s="307"/>
      <c r="BM85" s="306">
        <f>SUM(BM83:BN84)</f>
        <v>0</v>
      </c>
      <c r="BN85" s="307"/>
      <c r="BO85" s="306">
        <f>SUM(BO83:BP84)</f>
        <v>0</v>
      </c>
      <c r="BP85" s="307"/>
      <c r="BQ85" s="94">
        <f>SUM(BQ83:BQ84)</f>
        <v>0</v>
      </c>
      <c r="BR85" s="94">
        <f>SUM(BR83:BR84)</f>
        <v>0</v>
      </c>
      <c r="BS85" s="126">
        <f>SUM(BS83:BS84)</f>
        <v>0</v>
      </c>
      <c r="BT85" s="133"/>
      <c r="BU85" s="298"/>
      <c r="BV85" s="295" t="s">
        <v>26</v>
      </c>
      <c r="BW85" s="296"/>
      <c r="BX85" s="306">
        <f>SUM(BX83:BY84)</f>
        <v>0</v>
      </c>
      <c r="BY85" s="307"/>
      <c r="BZ85" s="306">
        <f>SUM(BZ83:CD84)</f>
        <v>0</v>
      </c>
      <c r="CA85" s="368"/>
      <c r="CB85" s="368"/>
      <c r="CC85" s="368"/>
      <c r="CD85" s="307"/>
      <c r="CE85" s="306">
        <f>SUM(CE83:CF84)</f>
        <v>0</v>
      </c>
      <c r="CF85" s="307"/>
      <c r="CG85" s="306">
        <f>SUM(CG83:CH84)</f>
        <v>0</v>
      </c>
      <c r="CH85" s="307"/>
      <c r="CI85" s="94">
        <f>SUM(CI83:CI84)</f>
        <v>0</v>
      </c>
      <c r="CJ85" s="94">
        <f>SUM(CJ83:CJ84)</f>
        <v>0</v>
      </c>
      <c r="CK85" s="126">
        <f>SUM(CK83:CK84)</f>
        <v>0</v>
      </c>
      <c r="CL85" s="133"/>
      <c r="CM85" s="298"/>
      <c r="CN85" s="295" t="s">
        <v>26</v>
      </c>
      <c r="CO85" s="296"/>
      <c r="CP85" s="306">
        <f>SUM(CP83:CQ84)</f>
        <v>0</v>
      </c>
      <c r="CQ85" s="307"/>
      <c r="CR85" s="306">
        <f>SUM(CR83:CV84)</f>
        <v>0</v>
      </c>
      <c r="CS85" s="368"/>
      <c r="CT85" s="368"/>
      <c r="CU85" s="368"/>
      <c r="CV85" s="307"/>
      <c r="CW85" s="306">
        <f>SUM(CW83:CX84)</f>
        <v>0</v>
      </c>
      <c r="CX85" s="307"/>
      <c r="CY85" s="306">
        <f>SUM(CY83:CZ84)</f>
        <v>0</v>
      </c>
      <c r="CZ85" s="307"/>
      <c r="DA85" s="94">
        <f>SUM(DA83:DA84)</f>
        <v>0</v>
      </c>
      <c r="DB85" s="94">
        <f>SUM(DB83:DB84)</f>
        <v>0</v>
      </c>
      <c r="DC85" s="26">
        <f>SUM(DC83:DC84)</f>
        <v>0</v>
      </c>
      <c r="DD85" s="107"/>
      <c r="DE85" s="298"/>
      <c r="DF85" s="295" t="s">
        <v>26</v>
      </c>
      <c r="DG85" s="296"/>
      <c r="DH85" s="306">
        <f>SUM(DH83:DI84)</f>
        <v>0</v>
      </c>
      <c r="DI85" s="307"/>
      <c r="DJ85" s="306">
        <f>SUM(DJ83:DN84)</f>
        <v>0</v>
      </c>
      <c r="DK85" s="368"/>
      <c r="DL85" s="368"/>
      <c r="DM85" s="368"/>
      <c r="DN85" s="307"/>
      <c r="DO85" s="306">
        <f>SUM(DO83:DP84)</f>
        <v>0</v>
      </c>
      <c r="DP85" s="307"/>
      <c r="DQ85" s="306">
        <f>SUM(DQ83:DR84)</f>
        <v>0</v>
      </c>
      <c r="DR85" s="307"/>
      <c r="DS85" s="94">
        <f>SUM(DS83:DS84)</f>
        <v>0</v>
      </c>
      <c r="DT85" s="94">
        <f>SUM(DT83:DT84)</f>
        <v>0</v>
      </c>
      <c r="DU85" s="26">
        <f>SUM(DU83:DU84)</f>
        <v>0</v>
      </c>
      <c r="DV85" s="107"/>
      <c r="DW85" s="298"/>
      <c r="DX85" s="295" t="s">
        <v>26</v>
      </c>
      <c r="DY85" s="296"/>
      <c r="DZ85" s="306">
        <f>SUM(DZ83:EA84)</f>
        <v>0</v>
      </c>
      <c r="EA85" s="307"/>
      <c r="EB85" s="306">
        <f>SUM(EB83:EF84)</f>
        <v>0</v>
      </c>
      <c r="EC85" s="368"/>
      <c r="ED85" s="368"/>
      <c r="EE85" s="368"/>
      <c r="EF85" s="307"/>
      <c r="EG85" s="306">
        <f>SUM(EG83:EH84)</f>
        <v>0</v>
      </c>
      <c r="EH85" s="307"/>
      <c r="EI85" s="306">
        <f>SUM(EI83:EJ84)</f>
        <v>0</v>
      </c>
      <c r="EJ85" s="307"/>
      <c r="EK85" s="94">
        <f>SUM(EK83:EK84)</f>
        <v>0</v>
      </c>
      <c r="EL85" s="94">
        <f>SUM(EL83:EL84)</f>
        <v>0</v>
      </c>
      <c r="EM85" s="26">
        <f>SUM(EM83:EM84)</f>
        <v>0</v>
      </c>
      <c r="EN85" s="107"/>
      <c r="EO85" s="298"/>
      <c r="EP85" s="295" t="s">
        <v>26</v>
      </c>
      <c r="EQ85" s="296"/>
      <c r="ER85" s="306">
        <f>SUM(ER83:ES84)</f>
        <v>0</v>
      </c>
      <c r="ES85" s="307"/>
      <c r="ET85" s="306">
        <f>SUM(ET83:EX84)</f>
        <v>0</v>
      </c>
      <c r="EU85" s="368"/>
      <c r="EV85" s="368"/>
      <c r="EW85" s="368"/>
      <c r="EX85" s="307"/>
      <c r="EY85" s="306">
        <f>SUM(EY83:EZ84)</f>
        <v>0</v>
      </c>
      <c r="EZ85" s="307"/>
      <c r="FA85" s="306">
        <f>SUM(FA83:FB84)</f>
        <v>0</v>
      </c>
      <c r="FB85" s="307"/>
      <c r="FC85" s="94">
        <f>SUM(FC83:FC84)</f>
        <v>0</v>
      </c>
      <c r="FD85" s="94">
        <f>SUM(FD83:FD84)</f>
        <v>0</v>
      </c>
      <c r="FE85" s="26">
        <f>SUM(FE83:FE84)</f>
        <v>0</v>
      </c>
      <c r="FF85" s="107"/>
      <c r="FG85" s="298"/>
      <c r="FH85" s="295" t="s">
        <v>26</v>
      </c>
      <c r="FI85" s="296"/>
      <c r="FJ85" s="306">
        <f>SUM(FJ83:FK84)</f>
        <v>0</v>
      </c>
      <c r="FK85" s="307"/>
      <c r="FL85" s="306">
        <f>SUM(FL83:FP84)</f>
        <v>0</v>
      </c>
      <c r="FM85" s="368"/>
      <c r="FN85" s="368"/>
      <c r="FO85" s="368"/>
      <c r="FP85" s="307"/>
      <c r="FQ85" s="306">
        <f>SUM(FQ83:FR84)</f>
        <v>0</v>
      </c>
      <c r="FR85" s="307"/>
      <c r="FS85" s="306">
        <f>SUM(FS83:FT84)</f>
        <v>0</v>
      </c>
      <c r="FT85" s="307"/>
      <c r="FU85" s="94">
        <f>SUM(FU83:FU84)</f>
        <v>0</v>
      </c>
      <c r="FV85" s="94">
        <f>SUM(FV83:FV84)</f>
        <v>0</v>
      </c>
      <c r="FW85" s="26">
        <f>SUM(FW83:FW84)</f>
        <v>0</v>
      </c>
      <c r="FX85" s="107"/>
      <c r="FY85" s="298"/>
      <c r="FZ85" s="295" t="s">
        <v>26</v>
      </c>
      <c r="GA85" s="296"/>
      <c r="GB85" s="306">
        <f>SUM(GB83:GC84)</f>
        <v>0</v>
      </c>
      <c r="GC85" s="307"/>
      <c r="GD85" s="306">
        <f>SUM(GD83:GH84)</f>
        <v>0</v>
      </c>
      <c r="GE85" s="368"/>
      <c r="GF85" s="368"/>
      <c r="GG85" s="368"/>
      <c r="GH85" s="307"/>
      <c r="GI85" s="306">
        <f>SUM(GI83:GJ84)</f>
        <v>0</v>
      </c>
      <c r="GJ85" s="307"/>
      <c r="GK85" s="306">
        <f>SUM(GK83:GL84)</f>
        <v>0</v>
      </c>
      <c r="GL85" s="307"/>
      <c r="GM85" s="94">
        <f>SUM(GM83:GM84)</f>
        <v>0</v>
      </c>
      <c r="GN85" s="94">
        <f>SUM(GN83:GN84)</f>
        <v>0</v>
      </c>
      <c r="GO85" s="26">
        <f>SUM(GO83:GO84)</f>
        <v>0</v>
      </c>
      <c r="GP85" s="107"/>
      <c r="GQ85" s="298"/>
      <c r="GR85" s="295" t="s">
        <v>26</v>
      </c>
      <c r="GS85" s="296"/>
      <c r="GT85" s="306">
        <f>SUM(GT83:GU84)</f>
        <v>0</v>
      </c>
      <c r="GU85" s="307"/>
      <c r="GV85" s="306">
        <f>SUM(GV83:GZ84)</f>
        <v>0</v>
      </c>
      <c r="GW85" s="368"/>
      <c r="GX85" s="368"/>
      <c r="GY85" s="368"/>
      <c r="GZ85" s="307"/>
      <c r="HA85" s="306">
        <f>SUM(HA83:HB84)</f>
        <v>0</v>
      </c>
      <c r="HB85" s="307"/>
      <c r="HC85" s="306">
        <f>SUM(HC83:HD84)</f>
        <v>0</v>
      </c>
      <c r="HD85" s="307"/>
      <c r="HE85" s="94">
        <f>SUM(HE83:HE84)</f>
        <v>0</v>
      </c>
      <c r="HF85" s="94">
        <f>SUM(HF83:HF84)</f>
        <v>0</v>
      </c>
      <c r="HG85" s="26">
        <f>SUM(HG83:HG84)</f>
        <v>0</v>
      </c>
      <c r="HH85" s="107"/>
      <c r="HI85" s="298"/>
      <c r="HJ85" s="295" t="s">
        <v>26</v>
      </c>
      <c r="HK85" s="313"/>
      <c r="HL85" s="306">
        <f>SUM(HL83:HM84)</f>
        <v>0</v>
      </c>
      <c r="HM85" s="307"/>
      <c r="HN85" s="306">
        <f>SUM(HN83:HR84)</f>
        <v>0</v>
      </c>
      <c r="HO85" s="368"/>
      <c r="HP85" s="368"/>
      <c r="HQ85" s="368"/>
      <c r="HR85" s="307"/>
      <c r="HS85" s="306">
        <f>SUM(HS83:HT84)</f>
        <v>0</v>
      </c>
      <c r="HT85" s="307"/>
      <c r="HU85" s="306">
        <f>SUM(HU83:HV84)</f>
        <v>0</v>
      </c>
      <c r="HV85" s="307"/>
      <c r="HW85" s="43">
        <f>SUM(HW83:HW84)</f>
        <v>0</v>
      </c>
      <c r="HX85" s="43">
        <f>SUM(HX83:HX84)</f>
        <v>0</v>
      </c>
      <c r="HY85" s="26">
        <f>SUM(HY83:HY84)</f>
        <v>0</v>
      </c>
      <c r="HZ85" s="28"/>
    </row>
    <row r="86" spans="1:234" s="11" customFormat="1" ht="20.100000000000001" customHeight="1" x14ac:dyDescent="0.2">
      <c r="A86" s="298"/>
      <c r="B86" s="311" t="s">
        <v>27</v>
      </c>
      <c r="C86" s="19" t="s">
        <v>24</v>
      </c>
      <c r="D86" s="8">
        <v>0</v>
      </c>
      <c r="E86" s="33">
        <v>0</v>
      </c>
      <c r="F86" s="8">
        <v>0</v>
      </c>
      <c r="G86" s="35">
        <v>0</v>
      </c>
      <c r="H86" s="36">
        <v>0</v>
      </c>
      <c r="I86" s="85">
        <v>0</v>
      </c>
      <c r="J86" s="37">
        <v>0</v>
      </c>
      <c r="K86" s="34">
        <v>0</v>
      </c>
      <c r="L86" s="9">
        <v>0</v>
      </c>
      <c r="M86" s="10">
        <v>0</v>
      </c>
      <c r="N86" s="86">
        <v>0</v>
      </c>
      <c r="O86" s="21">
        <v>0</v>
      </c>
      <c r="P86" s="21">
        <v>0</v>
      </c>
      <c r="Q86" s="124">
        <f>SUM(D86:P86)</f>
        <v>0</v>
      </c>
      <c r="R86" s="133"/>
      <c r="S86" s="298"/>
      <c r="T86" s="311" t="s">
        <v>27</v>
      </c>
      <c r="U86" s="19" t="s">
        <v>24</v>
      </c>
      <c r="V86" s="8">
        <v>0</v>
      </c>
      <c r="W86" s="33">
        <v>0</v>
      </c>
      <c r="X86" s="8">
        <v>0</v>
      </c>
      <c r="Y86" s="35">
        <v>0</v>
      </c>
      <c r="Z86" s="36">
        <v>0</v>
      </c>
      <c r="AA86" s="85">
        <v>0</v>
      </c>
      <c r="AB86" s="37">
        <v>0</v>
      </c>
      <c r="AC86" s="34">
        <v>0</v>
      </c>
      <c r="AD86" s="9">
        <v>0</v>
      </c>
      <c r="AE86" s="10">
        <v>0</v>
      </c>
      <c r="AF86" s="86">
        <v>0</v>
      </c>
      <c r="AG86" s="21">
        <v>0</v>
      </c>
      <c r="AH86" s="21">
        <v>0</v>
      </c>
      <c r="AI86" s="124">
        <f>SUM(V86:AH86)</f>
        <v>0</v>
      </c>
      <c r="AJ86" s="133"/>
      <c r="AK86" s="298"/>
      <c r="AL86" s="311" t="s">
        <v>27</v>
      </c>
      <c r="AM86" s="19" t="s">
        <v>24</v>
      </c>
      <c r="AN86" s="8">
        <v>0</v>
      </c>
      <c r="AO86" s="33">
        <v>0</v>
      </c>
      <c r="AP86" s="8">
        <v>0</v>
      </c>
      <c r="AQ86" s="35">
        <v>0</v>
      </c>
      <c r="AR86" s="36">
        <v>0</v>
      </c>
      <c r="AS86" s="85">
        <v>0</v>
      </c>
      <c r="AT86" s="37">
        <v>0</v>
      </c>
      <c r="AU86" s="34">
        <v>0</v>
      </c>
      <c r="AV86" s="9">
        <v>0</v>
      </c>
      <c r="AW86" s="10">
        <v>0</v>
      </c>
      <c r="AX86" s="86">
        <v>0</v>
      </c>
      <c r="AY86" s="21">
        <v>0</v>
      </c>
      <c r="AZ86" s="21">
        <v>0</v>
      </c>
      <c r="BA86" s="124">
        <f>SUM(AN86:AZ86)</f>
        <v>0</v>
      </c>
      <c r="BB86" s="133"/>
      <c r="BC86" s="298"/>
      <c r="BD86" s="311" t="s">
        <v>27</v>
      </c>
      <c r="BE86" s="19" t="s">
        <v>24</v>
      </c>
      <c r="BF86" s="8">
        <v>0</v>
      </c>
      <c r="BG86" s="33">
        <v>0</v>
      </c>
      <c r="BH86" s="8">
        <v>0</v>
      </c>
      <c r="BI86" s="35">
        <v>0</v>
      </c>
      <c r="BJ86" s="36">
        <v>0</v>
      </c>
      <c r="BK86" s="85">
        <v>0</v>
      </c>
      <c r="BL86" s="37">
        <v>0</v>
      </c>
      <c r="BM86" s="34">
        <v>0</v>
      </c>
      <c r="BN86" s="9">
        <v>0</v>
      </c>
      <c r="BO86" s="10">
        <v>0</v>
      </c>
      <c r="BP86" s="86">
        <v>0</v>
      </c>
      <c r="BQ86" s="21">
        <v>0</v>
      </c>
      <c r="BR86" s="21">
        <v>0</v>
      </c>
      <c r="BS86" s="124">
        <f>SUM(BF86:BR86)</f>
        <v>0</v>
      </c>
      <c r="BT86" s="133"/>
      <c r="BU86" s="298"/>
      <c r="BV86" s="311" t="s">
        <v>27</v>
      </c>
      <c r="BW86" s="19" t="s">
        <v>24</v>
      </c>
      <c r="BX86" s="8">
        <v>0</v>
      </c>
      <c r="BY86" s="33">
        <v>0</v>
      </c>
      <c r="BZ86" s="8">
        <v>0</v>
      </c>
      <c r="CA86" s="35">
        <v>0</v>
      </c>
      <c r="CB86" s="36">
        <v>0</v>
      </c>
      <c r="CC86" s="85">
        <v>0</v>
      </c>
      <c r="CD86" s="37">
        <v>0</v>
      </c>
      <c r="CE86" s="34">
        <v>0</v>
      </c>
      <c r="CF86" s="9">
        <v>0</v>
      </c>
      <c r="CG86" s="10">
        <v>0</v>
      </c>
      <c r="CH86" s="86">
        <v>0</v>
      </c>
      <c r="CI86" s="21">
        <v>0</v>
      </c>
      <c r="CJ86" s="21">
        <v>0</v>
      </c>
      <c r="CK86" s="124">
        <f>SUM(BX86:CJ86)</f>
        <v>0</v>
      </c>
      <c r="CL86" s="133"/>
      <c r="CM86" s="298"/>
      <c r="CN86" s="311" t="s">
        <v>27</v>
      </c>
      <c r="CO86" s="19" t="s">
        <v>24</v>
      </c>
      <c r="CP86" s="8">
        <v>0</v>
      </c>
      <c r="CQ86" s="33">
        <v>0</v>
      </c>
      <c r="CR86" s="8">
        <v>0</v>
      </c>
      <c r="CS86" s="35">
        <v>0</v>
      </c>
      <c r="CT86" s="36">
        <v>0</v>
      </c>
      <c r="CU86" s="85">
        <v>0</v>
      </c>
      <c r="CV86" s="37">
        <v>0</v>
      </c>
      <c r="CW86" s="34">
        <v>0</v>
      </c>
      <c r="CX86" s="9">
        <v>0</v>
      </c>
      <c r="CY86" s="10">
        <v>0</v>
      </c>
      <c r="CZ86" s="86">
        <v>0</v>
      </c>
      <c r="DA86" s="21">
        <v>0</v>
      </c>
      <c r="DB86" s="21">
        <v>0</v>
      </c>
      <c r="DC86" s="24">
        <f>SUM(CP86:DB86)</f>
        <v>0</v>
      </c>
      <c r="DD86" s="107"/>
      <c r="DE86" s="298"/>
      <c r="DF86" s="311" t="s">
        <v>27</v>
      </c>
      <c r="DG86" s="19" t="s">
        <v>24</v>
      </c>
      <c r="DH86" s="8">
        <v>0</v>
      </c>
      <c r="DI86" s="33">
        <v>0</v>
      </c>
      <c r="DJ86" s="8">
        <v>0</v>
      </c>
      <c r="DK86" s="35">
        <v>0</v>
      </c>
      <c r="DL86" s="36">
        <v>0</v>
      </c>
      <c r="DM86" s="85">
        <v>0</v>
      </c>
      <c r="DN86" s="37">
        <v>0</v>
      </c>
      <c r="DO86" s="34">
        <v>0</v>
      </c>
      <c r="DP86" s="9">
        <v>0</v>
      </c>
      <c r="DQ86" s="10">
        <v>0</v>
      </c>
      <c r="DR86" s="86">
        <v>0</v>
      </c>
      <c r="DS86" s="21">
        <v>0</v>
      </c>
      <c r="DT86" s="21">
        <v>0</v>
      </c>
      <c r="DU86" s="24">
        <f>SUM(DH86:DT86)</f>
        <v>0</v>
      </c>
      <c r="DV86" s="107"/>
      <c r="DW86" s="298"/>
      <c r="DX86" s="311" t="s">
        <v>27</v>
      </c>
      <c r="DY86" s="19" t="s">
        <v>24</v>
      </c>
      <c r="DZ86" s="8">
        <v>0</v>
      </c>
      <c r="EA86" s="33">
        <v>0</v>
      </c>
      <c r="EB86" s="8">
        <v>0</v>
      </c>
      <c r="EC86" s="35">
        <v>0</v>
      </c>
      <c r="ED86" s="36">
        <v>0</v>
      </c>
      <c r="EE86" s="85">
        <v>0</v>
      </c>
      <c r="EF86" s="37">
        <v>0</v>
      </c>
      <c r="EG86" s="34">
        <v>0</v>
      </c>
      <c r="EH86" s="9">
        <v>0</v>
      </c>
      <c r="EI86" s="10">
        <v>0</v>
      </c>
      <c r="EJ86" s="86">
        <v>0</v>
      </c>
      <c r="EK86" s="21">
        <v>0</v>
      </c>
      <c r="EL86" s="21">
        <v>0</v>
      </c>
      <c r="EM86" s="24">
        <f>SUM(DZ86:EL86)</f>
        <v>0</v>
      </c>
      <c r="EN86" s="107"/>
      <c r="EO86" s="298"/>
      <c r="EP86" s="311" t="s">
        <v>27</v>
      </c>
      <c r="EQ86" s="19" t="s">
        <v>24</v>
      </c>
      <c r="ER86" s="8">
        <v>0</v>
      </c>
      <c r="ES86" s="33">
        <v>0</v>
      </c>
      <c r="ET86" s="8">
        <v>0</v>
      </c>
      <c r="EU86" s="35">
        <v>0</v>
      </c>
      <c r="EV86" s="36">
        <v>0</v>
      </c>
      <c r="EW86" s="85">
        <v>0</v>
      </c>
      <c r="EX86" s="37">
        <v>0</v>
      </c>
      <c r="EY86" s="34">
        <v>0</v>
      </c>
      <c r="EZ86" s="9">
        <v>0</v>
      </c>
      <c r="FA86" s="10">
        <v>0</v>
      </c>
      <c r="FB86" s="86">
        <v>0</v>
      </c>
      <c r="FC86" s="21">
        <v>0</v>
      </c>
      <c r="FD86" s="21">
        <v>0</v>
      </c>
      <c r="FE86" s="24">
        <f>SUM(ER86:FD86)</f>
        <v>0</v>
      </c>
      <c r="FF86" s="107"/>
      <c r="FG86" s="298"/>
      <c r="FH86" s="311" t="s">
        <v>27</v>
      </c>
      <c r="FI86" s="19" t="s">
        <v>24</v>
      </c>
      <c r="FJ86" s="8">
        <v>0</v>
      </c>
      <c r="FK86" s="33">
        <v>0</v>
      </c>
      <c r="FL86" s="8">
        <v>0</v>
      </c>
      <c r="FM86" s="35">
        <v>0</v>
      </c>
      <c r="FN86" s="36">
        <v>0</v>
      </c>
      <c r="FO86" s="85">
        <v>0</v>
      </c>
      <c r="FP86" s="37">
        <v>0</v>
      </c>
      <c r="FQ86" s="34">
        <v>0</v>
      </c>
      <c r="FR86" s="9">
        <v>0</v>
      </c>
      <c r="FS86" s="10">
        <v>0</v>
      </c>
      <c r="FT86" s="86">
        <v>0</v>
      </c>
      <c r="FU86" s="21">
        <v>0</v>
      </c>
      <c r="FV86" s="21">
        <v>0</v>
      </c>
      <c r="FW86" s="24">
        <f>SUM(FJ86:FV86)</f>
        <v>0</v>
      </c>
      <c r="FX86" s="107"/>
      <c r="FY86" s="298"/>
      <c r="FZ86" s="311" t="s">
        <v>27</v>
      </c>
      <c r="GA86" s="19" t="s">
        <v>24</v>
      </c>
      <c r="GB86" s="8">
        <v>0</v>
      </c>
      <c r="GC86" s="33">
        <v>0</v>
      </c>
      <c r="GD86" s="8">
        <v>0</v>
      </c>
      <c r="GE86" s="35">
        <v>0</v>
      </c>
      <c r="GF86" s="36">
        <v>0</v>
      </c>
      <c r="GG86" s="85">
        <v>0</v>
      </c>
      <c r="GH86" s="37">
        <v>0</v>
      </c>
      <c r="GI86" s="34">
        <v>0</v>
      </c>
      <c r="GJ86" s="9">
        <v>0</v>
      </c>
      <c r="GK86" s="10">
        <v>0</v>
      </c>
      <c r="GL86" s="86">
        <v>0</v>
      </c>
      <c r="GM86" s="21">
        <v>0</v>
      </c>
      <c r="GN86" s="21">
        <v>0</v>
      </c>
      <c r="GO86" s="24">
        <f>SUM(GB86:GN86)</f>
        <v>0</v>
      </c>
      <c r="GP86" s="107"/>
      <c r="GQ86" s="298"/>
      <c r="GR86" s="311" t="s">
        <v>27</v>
      </c>
      <c r="GS86" s="19" t="s">
        <v>24</v>
      </c>
      <c r="GT86" s="8">
        <v>0</v>
      </c>
      <c r="GU86" s="33">
        <v>0</v>
      </c>
      <c r="GV86" s="8">
        <v>0</v>
      </c>
      <c r="GW86" s="35">
        <v>0</v>
      </c>
      <c r="GX86" s="36">
        <v>0</v>
      </c>
      <c r="GY86" s="85">
        <v>0</v>
      </c>
      <c r="GZ86" s="37">
        <v>0</v>
      </c>
      <c r="HA86" s="34">
        <v>0</v>
      </c>
      <c r="HB86" s="9">
        <v>0</v>
      </c>
      <c r="HC86" s="10">
        <v>0</v>
      </c>
      <c r="HD86" s="86">
        <v>0</v>
      </c>
      <c r="HE86" s="21">
        <v>0</v>
      </c>
      <c r="HF86" s="21">
        <v>0</v>
      </c>
      <c r="HG86" s="24">
        <f>SUM(GT86:HF86)</f>
        <v>0</v>
      </c>
      <c r="HH86" s="107"/>
      <c r="HI86" s="298"/>
      <c r="HJ86" s="355" t="s">
        <v>27</v>
      </c>
      <c r="HK86" s="19" t="s">
        <v>24</v>
      </c>
      <c r="HL86" s="8">
        <f t="shared" ref="HL86:HL87" si="386">SUM(D86+V86+AN86+BF86+BX86+CP86+DH86+DZ86+ER86+FJ86+GB86+GT86)</f>
        <v>0</v>
      </c>
      <c r="HM86" s="9">
        <f t="shared" ref="HM86:HM87" si="387">SUM(E86+W86+AO86+BG86+BY86+CQ86+DI86+EA86+ES86+FK86+GC86+GU86)</f>
        <v>0</v>
      </c>
      <c r="HN86" s="34">
        <f t="shared" ref="HN86:HN87" si="388">SUM(F86+X86+AP86+BH86+BZ86+CR86+DJ86+EB86+ET86+FL86+GD86+GV86)</f>
        <v>0</v>
      </c>
      <c r="HO86" s="35">
        <f t="shared" ref="HO86:HO87" si="389">SUM(G86+Y86+AQ86+BI86+CA86+CS86+DK86+EC86+EU86+FM86+GE86+GW86)</f>
        <v>0</v>
      </c>
      <c r="HP86" s="35">
        <f t="shared" ref="HP86:HP87" si="390">SUM(H86+Z86+AR86+BJ86+CB86+CT86+DL86+ED86+EV86+FN86+GF86+GX86)</f>
        <v>0</v>
      </c>
      <c r="HQ86" s="46">
        <f t="shared" ref="HQ86:HQ87" si="391">SUM(I86+AA86+AS86+BK86+CC86+CU86+DM86+EE86+EW86+FO86+GG86+GY86)</f>
        <v>0</v>
      </c>
      <c r="HR86" s="9">
        <f t="shared" ref="HR86:HR87" si="392">SUM(J86+AB86+AT86+BL86+CD86+CV86+DN86+EF86+EX86+FP86+GH86+GZ86)</f>
        <v>0</v>
      </c>
      <c r="HS86" s="34">
        <f t="shared" ref="HS86:HS87" si="393">SUM(K86+AC86+AU86+BM86+CE86+CW86+DO86+EG86+EY86+FQ86+GI86+HA86)</f>
        <v>0</v>
      </c>
      <c r="HT86" s="9">
        <f t="shared" ref="HT86:HT87" si="394">SUM(L86+AD86+AV86+BN86+CF86+CX86+DP86+EH86+EZ86+FR86+GJ86+HB86)</f>
        <v>0</v>
      </c>
      <c r="HU86" s="34">
        <f t="shared" ref="HU86:HU87" si="395">SUM(M86+AE86+AW86+BO86+CG86+CY86+DQ86+EI86+FA86+FS86+GK86+HC86)</f>
        <v>0</v>
      </c>
      <c r="HV86" s="47">
        <f t="shared" ref="HV86:HV87" si="396">SUM(N86+AF86+AX86+BP86+CH86+CZ86+DR86+EJ86+FB86+FT86+GL86+HD86)</f>
        <v>0</v>
      </c>
      <c r="HW86" s="44">
        <f t="shared" ref="HW86:HW87" si="397">SUM(O86+AG86+AY86+BQ86+CI86+DA86+DS86+EK86+FC86+FU86+GM86+HE86)</f>
        <v>0</v>
      </c>
      <c r="HX86" s="44">
        <f t="shared" ref="HX86:HX87" si="398">SUM(P86+AH86+AZ86+BR86+CJ86+DB86+DT86+EL86+FD86+FV86+GN86+HF86)</f>
        <v>0</v>
      </c>
      <c r="HY86" s="24">
        <f>SUM(HL86:HX86)</f>
        <v>0</v>
      </c>
      <c r="HZ86" s="28"/>
    </row>
    <row r="87" spans="1:234" s="11" customFormat="1" ht="20.100000000000001" customHeight="1" thickBot="1" x14ac:dyDescent="0.25">
      <c r="A87" s="298"/>
      <c r="B87" s="312"/>
      <c r="C87" s="20" t="s">
        <v>25</v>
      </c>
      <c r="D87" s="12">
        <v>0</v>
      </c>
      <c r="E87" s="18">
        <v>0</v>
      </c>
      <c r="F87" s="12">
        <v>0</v>
      </c>
      <c r="G87" s="13">
        <v>0</v>
      </c>
      <c r="H87" s="15">
        <v>0</v>
      </c>
      <c r="I87" s="15">
        <v>0</v>
      </c>
      <c r="J87" s="16">
        <v>0</v>
      </c>
      <c r="K87" s="17">
        <v>0</v>
      </c>
      <c r="L87" s="14">
        <v>0</v>
      </c>
      <c r="M87" s="17">
        <v>0</v>
      </c>
      <c r="N87" s="18">
        <v>0</v>
      </c>
      <c r="O87" s="22">
        <v>0</v>
      </c>
      <c r="P87" s="22">
        <v>0</v>
      </c>
      <c r="Q87" s="125">
        <f>SUM(D87:P87)</f>
        <v>0</v>
      </c>
      <c r="R87" s="133"/>
      <c r="S87" s="298"/>
      <c r="T87" s="312"/>
      <c r="U87" s="20" t="s">
        <v>25</v>
      </c>
      <c r="V87" s="12">
        <v>0</v>
      </c>
      <c r="W87" s="18">
        <v>0</v>
      </c>
      <c r="X87" s="12">
        <v>0</v>
      </c>
      <c r="Y87" s="13">
        <v>0</v>
      </c>
      <c r="Z87" s="15">
        <v>0</v>
      </c>
      <c r="AA87" s="15">
        <v>0</v>
      </c>
      <c r="AB87" s="16">
        <v>0</v>
      </c>
      <c r="AC87" s="17">
        <v>0</v>
      </c>
      <c r="AD87" s="14">
        <v>0</v>
      </c>
      <c r="AE87" s="17">
        <v>0</v>
      </c>
      <c r="AF87" s="18">
        <v>0</v>
      </c>
      <c r="AG87" s="22">
        <v>0</v>
      </c>
      <c r="AH87" s="22">
        <v>0</v>
      </c>
      <c r="AI87" s="125">
        <f>SUM(V87:AH87)</f>
        <v>0</v>
      </c>
      <c r="AJ87" s="133"/>
      <c r="AK87" s="298"/>
      <c r="AL87" s="312"/>
      <c r="AM87" s="20" t="s">
        <v>25</v>
      </c>
      <c r="AN87" s="12">
        <v>0</v>
      </c>
      <c r="AO87" s="18">
        <v>0</v>
      </c>
      <c r="AP87" s="12">
        <v>0</v>
      </c>
      <c r="AQ87" s="13">
        <v>0</v>
      </c>
      <c r="AR87" s="15">
        <v>0</v>
      </c>
      <c r="AS87" s="15">
        <v>0</v>
      </c>
      <c r="AT87" s="16">
        <v>0</v>
      </c>
      <c r="AU87" s="17">
        <v>0</v>
      </c>
      <c r="AV87" s="14">
        <v>0</v>
      </c>
      <c r="AW87" s="17">
        <v>0</v>
      </c>
      <c r="AX87" s="18">
        <v>0</v>
      </c>
      <c r="AY87" s="22">
        <v>0</v>
      </c>
      <c r="AZ87" s="22">
        <v>0</v>
      </c>
      <c r="BA87" s="125">
        <f>SUM(AN87:AZ87)</f>
        <v>0</v>
      </c>
      <c r="BB87" s="133"/>
      <c r="BC87" s="298"/>
      <c r="BD87" s="312"/>
      <c r="BE87" s="20" t="s">
        <v>25</v>
      </c>
      <c r="BF87" s="12">
        <v>0</v>
      </c>
      <c r="BG87" s="18">
        <v>0</v>
      </c>
      <c r="BH87" s="12">
        <v>0</v>
      </c>
      <c r="BI87" s="13">
        <v>0</v>
      </c>
      <c r="BJ87" s="15">
        <v>0</v>
      </c>
      <c r="BK87" s="15">
        <v>0</v>
      </c>
      <c r="BL87" s="16">
        <v>0</v>
      </c>
      <c r="BM87" s="17">
        <v>0</v>
      </c>
      <c r="BN87" s="14">
        <v>0</v>
      </c>
      <c r="BO87" s="17">
        <v>0</v>
      </c>
      <c r="BP87" s="18">
        <v>0</v>
      </c>
      <c r="BQ87" s="22">
        <v>0</v>
      </c>
      <c r="BR87" s="22">
        <v>0</v>
      </c>
      <c r="BS87" s="125">
        <f>SUM(BF87:BR87)</f>
        <v>0</v>
      </c>
      <c r="BT87" s="133"/>
      <c r="BU87" s="298"/>
      <c r="BV87" s="312"/>
      <c r="BW87" s="20" t="s">
        <v>25</v>
      </c>
      <c r="BX87" s="12">
        <v>0</v>
      </c>
      <c r="BY87" s="18">
        <v>0</v>
      </c>
      <c r="BZ87" s="12">
        <v>0</v>
      </c>
      <c r="CA87" s="13">
        <v>0</v>
      </c>
      <c r="CB87" s="15">
        <v>0</v>
      </c>
      <c r="CC87" s="15">
        <v>0</v>
      </c>
      <c r="CD87" s="16">
        <v>0</v>
      </c>
      <c r="CE87" s="17">
        <v>0</v>
      </c>
      <c r="CF87" s="14">
        <v>0</v>
      </c>
      <c r="CG87" s="17">
        <v>0</v>
      </c>
      <c r="CH87" s="18">
        <v>0</v>
      </c>
      <c r="CI87" s="22">
        <v>0</v>
      </c>
      <c r="CJ87" s="22">
        <v>0</v>
      </c>
      <c r="CK87" s="125">
        <f>SUM(BX87:CJ87)</f>
        <v>0</v>
      </c>
      <c r="CL87" s="133"/>
      <c r="CM87" s="298"/>
      <c r="CN87" s="312"/>
      <c r="CO87" s="20" t="s">
        <v>25</v>
      </c>
      <c r="CP87" s="12">
        <v>0</v>
      </c>
      <c r="CQ87" s="18">
        <v>0</v>
      </c>
      <c r="CR87" s="12">
        <v>0</v>
      </c>
      <c r="CS87" s="13">
        <v>0</v>
      </c>
      <c r="CT87" s="15">
        <v>0</v>
      </c>
      <c r="CU87" s="15">
        <v>0</v>
      </c>
      <c r="CV87" s="16">
        <v>0</v>
      </c>
      <c r="CW87" s="17">
        <v>0</v>
      </c>
      <c r="CX87" s="14">
        <v>0</v>
      </c>
      <c r="CY87" s="17">
        <v>0</v>
      </c>
      <c r="CZ87" s="18">
        <v>0</v>
      </c>
      <c r="DA87" s="22">
        <v>0</v>
      </c>
      <c r="DB87" s="22">
        <v>0</v>
      </c>
      <c r="DC87" s="25">
        <f>SUM(CP87:DB87)</f>
        <v>0</v>
      </c>
      <c r="DD87" s="107"/>
      <c r="DE87" s="298"/>
      <c r="DF87" s="312"/>
      <c r="DG87" s="20" t="s">
        <v>25</v>
      </c>
      <c r="DH87" s="12">
        <v>0</v>
      </c>
      <c r="DI87" s="18">
        <v>0</v>
      </c>
      <c r="DJ87" s="12">
        <v>0</v>
      </c>
      <c r="DK87" s="13">
        <v>0</v>
      </c>
      <c r="DL87" s="15">
        <v>0</v>
      </c>
      <c r="DM87" s="15">
        <v>0</v>
      </c>
      <c r="DN87" s="16">
        <v>0</v>
      </c>
      <c r="DO87" s="17">
        <v>0</v>
      </c>
      <c r="DP87" s="14">
        <v>0</v>
      </c>
      <c r="DQ87" s="17">
        <v>0</v>
      </c>
      <c r="DR87" s="18">
        <v>0</v>
      </c>
      <c r="DS87" s="22">
        <v>0</v>
      </c>
      <c r="DT87" s="22">
        <v>0</v>
      </c>
      <c r="DU87" s="25">
        <f>SUM(DH87:DT87)</f>
        <v>0</v>
      </c>
      <c r="DV87" s="107"/>
      <c r="DW87" s="298"/>
      <c r="DX87" s="312"/>
      <c r="DY87" s="20" t="s">
        <v>25</v>
      </c>
      <c r="DZ87" s="12">
        <v>0</v>
      </c>
      <c r="EA87" s="18">
        <v>0</v>
      </c>
      <c r="EB87" s="12">
        <v>0</v>
      </c>
      <c r="EC87" s="13">
        <v>0</v>
      </c>
      <c r="ED87" s="15">
        <v>0</v>
      </c>
      <c r="EE87" s="15">
        <v>0</v>
      </c>
      <c r="EF87" s="16">
        <v>0</v>
      </c>
      <c r="EG87" s="17">
        <v>0</v>
      </c>
      <c r="EH87" s="14">
        <v>0</v>
      </c>
      <c r="EI87" s="17">
        <v>0</v>
      </c>
      <c r="EJ87" s="18">
        <v>0</v>
      </c>
      <c r="EK87" s="22">
        <v>0</v>
      </c>
      <c r="EL87" s="22">
        <v>0</v>
      </c>
      <c r="EM87" s="25">
        <f>SUM(DZ87:EL87)</f>
        <v>0</v>
      </c>
      <c r="EN87" s="107"/>
      <c r="EO87" s="298"/>
      <c r="EP87" s="312"/>
      <c r="EQ87" s="20" t="s">
        <v>25</v>
      </c>
      <c r="ER87" s="12">
        <v>0</v>
      </c>
      <c r="ES87" s="18">
        <v>0</v>
      </c>
      <c r="ET87" s="12">
        <v>0</v>
      </c>
      <c r="EU87" s="13">
        <v>0</v>
      </c>
      <c r="EV87" s="15">
        <v>0</v>
      </c>
      <c r="EW87" s="15">
        <v>0</v>
      </c>
      <c r="EX87" s="16">
        <v>0</v>
      </c>
      <c r="EY87" s="17">
        <v>0</v>
      </c>
      <c r="EZ87" s="14">
        <v>0</v>
      </c>
      <c r="FA87" s="17">
        <v>0</v>
      </c>
      <c r="FB87" s="18">
        <v>0</v>
      </c>
      <c r="FC87" s="22">
        <v>0</v>
      </c>
      <c r="FD87" s="22">
        <v>0</v>
      </c>
      <c r="FE87" s="25">
        <f>SUM(ER87:FD87)</f>
        <v>0</v>
      </c>
      <c r="FF87" s="107"/>
      <c r="FG87" s="298"/>
      <c r="FH87" s="312"/>
      <c r="FI87" s="20" t="s">
        <v>25</v>
      </c>
      <c r="FJ87" s="12">
        <v>0</v>
      </c>
      <c r="FK87" s="18">
        <v>0</v>
      </c>
      <c r="FL87" s="12">
        <v>0</v>
      </c>
      <c r="FM87" s="13">
        <v>0</v>
      </c>
      <c r="FN87" s="15">
        <v>0</v>
      </c>
      <c r="FO87" s="15">
        <v>0</v>
      </c>
      <c r="FP87" s="16">
        <v>0</v>
      </c>
      <c r="FQ87" s="17">
        <v>0</v>
      </c>
      <c r="FR87" s="14">
        <v>0</v>
      </c>
      <c r="FS87" s="17">
        <v>0</v>
      </c>
      <c r="FT87" s="18">
        <v>0</v>
      </c>
      <c r="FU87" s="22">
        <v>0</v>
      </c>
      <c r="FV87" s="22">
        <v>0</v>
      </c>
      <c r="FW87" s="25">
        <f>SUM(FJ87:FV87)</f>
        <v>0</v>
      </c>
      <c r="FX87" s="107"/>
      <c r="FY87" s="298"/>
      <c r="FZ87" s="312"/>
      <c r="GA87" s="20" t="s">
        <v>25</v>
      </c>
      <c r="GB87" s="12">
        <v>0</v>
      </c>
      <c r="GC87" s="18">
        <v>0</v>
      </c>
      <c r="GD87" s="12">
        <v>0</v>
      </c>
      <c r="GE87" s="13">
        <v>0</v>
      </c>
      <c r="GF87" s="15">
        <v>0</v>
      </c>
      <c r="GG87" s="15">
        <v>0</v>
      </c>
      <c r="GH87" s="16">
        <v>0</v>
      </c>
      <c r="GI87" s="17">
        <v>0</v>
      </c>
      <c r="GJ87" s="14">
        <v>0</v>
      </c>
      <c r="GK87" s="17">
        <v>0</v>
      </c>
      <c r="GL87" s="18">
        <v>0</v>
      </c>
      <c r="GM87" s="22">
        <v>0</v>
      </c>
      <c r="GN87" s="22">
        <v>0</v>
      </c>
      <c r="GO87" s="25">
        <f>SUM(GB87:GN87)</f>
        <v>0</v>
      </c>
      <c r="GP87" s="107"/>
      <c r="GQ87" s="298"/>
      <c r="GR87" s="312"/>
      <c r="GS87" s="20" t="s">
        <v>25</v>
      </c>
      <c r="GT87" s="12">
        <v>0</v>
      </c>
      <c r="GU87" s="18">
        <v>0</v>
      </c>
      <c r="GV87" s="12">
        <v>0</v>
      </c>
      <c r="GW87" s="13">
        <v>0</v>
      </c>
      <c r="GX87" s="15">
        <v>0</v>
      </c>
      <c r="GY87" s="15">
        <v>0</v>
      </c>
      <c r="GZ87" s="16">
        <v>0</v>
      </c>
      <c r="HA87" s="17">
        <v>0</v>
      </c>
      <c r="HB87" s="14">
        <v>0</v>
      </c>
      <c r="HC87" s="17">
        <v>0</v>
      </c>
      <c r="HD87" s="18">
        <v>0</v>
      </c>
      <c r="HE87" s="22">
        <v>0</v>
      </c>
      <c r="HF87" s="22">
        <v>0</v>
      </c>
      <c r="HG87" s="25">
        <f>SUM(GT87:HF87)</f>
        <v>0</v>
      </c>
      <c r="HH87" s="107"/>
      <c r="HI87" s="298"/>
      <c r="HJ87" s="356"/>
      <c r="HK87" s="20" t="s">
        <v>25</v>
      </c>
      <c r="HL87" s="12">
        <f t="shared" si="386"/>
        <v>0</v>
      </c>
      <c r="HM87" s="14">
        <f t="shared" si="387"/>
        <v>0</v>
      </c>
      <c r="HN87" s="17">
        <f t="shared" si="388"/>
        <v>0</v>
      </c>
      <c r="HO87" s="13">
        <f t="shared" si="389"/>
        <v>0</v>
      </c>
      <c r="HP87" s="13">
        <f t="shared" si="390"/>
        <v>0</v>
      </c>
      <c r="HQ87" s="13">
        <f t="shared" si="391"/>
        <v>0</v>
      </c>
      <c r="HR87" s="14">
        <f t="shared" si="392"/>
        <v>0</v>
      </c>
      <c r="HS87" s="17">
        <f t="shared" si="393"/>
        <v>0</v>
      </c>
      <c r="HT87" s="14">
        <f t="shared" si="394"/>
        <v>0</v>
      </c>
      <c r="HU87" s="17">
        <f t="shared" si="395"/>
        <v>0</v>
      </c>
      <c r="HV87" s="14">
        <f t="shared" si="396"/>
        <v>0</v>
      </c>
      <c r="HW87" s="45">
        <f t="shared" si="397"/>
        <v>0</v>
      </c>
      <c r="HX87" s="45">
        <f t="shared" si="398"/>
        <v>0</v>
      </c>
      <c r="HY87" s="25">
        <f>SUM(HL87:HX87)</f>
        <v>0</v>
      </c>
      <c r="HZ87" s="28"/>
    </row>
    <row r="88" spans="1:234" s="11" customFormat="1" ht="20.100000000000001" customHeight="1" thickBot="1" x14ac:dyDescent="0.25">
      <c r="A88" s="299"/>
      <c r="B88" s="326" t="s">
        <v>34</v>
      </c>
      <c r="C88" s="327"/>
      <c r="D88" s="306">
        <f>SUM(D86:E87)</f>
        <v>0</v>
      </c>
      <c r="E88" s="307"/>
      <c r="F88" s="306">
        <f>SUM(F86:J87)</f>
        <v>0</v>
      </c>
      <c r="G88" s="368"/>
      <c r="H88" s="368"/>
      <c r="I88" s="368"/>
      <c r="J88" s="307"/>
      <c r="K88" s="306">
        <f>SUM(K86:L87)</f>
        <v>0</v>
      </c>
      <c r="L88" s="307"/>
      <c r="M88" s="306">
        <f>SUM(M86:N87)</f>
        <v>0</v>
      </c>
      <c r="N88" s="307"/>
      <c r="O88" s="94">
        <f>SUM(O86:O87)</f>
        <v>0</v>
      </c>
      <c r="P88" s="94">
        <f>SUM(P86:P87)</f>
        <v>0</v>
      </c>
      <c r="Q88" s="126">
        <f>SUM(Q86:Q87)</f>
        <v>0</v>
      </c>
      <c r="R88" s="133"/>
      <c r="S88" s="299"/>
      <c r="T88" s="326" t="s">
        <v>34</v>
      </c>
      <c r="U88" s="327"/>
      <c r="V88" s="306">
        <f>SUM(V86:W87)</f>
        <v>0</v>
      </c>
      <c r="W88" s="307"/>
      <c r="X88" s="306">
        <f>SUM(X86:AB87)</f>
        <v>0</v>
      </c>
      <c r="Y88" s="368"/>
      <c r="Z88" s="368"/>
      <c r="AA88" s="368"/>
      <c r="AB88" s="307"/>
      <c r="AC88" s="306">
        <f>SUM(AC86:AD87)</f>
        <v>0</v>
      </c>
      <c r="AD88" s="307"/>
      <c r="AE88" s="306">
        <f>SUM(AE86:AF87)</f>
        <v>0</v>
      </c>
      <c r="AF88" s="307"/>
      <c r="AG88" s="94">
        <f>SUM(AG86:AG87)</f>
        <v>0</v>
      </c>
      <c r="AH88" s="94">
        <f>SUM(AH86:AH87)</f>
        <v>0</v>
      </c>
      <c r="AI88" s="126">
        <f>SUM(AI86:AI87)</f>
        <v>0</v>
      </c>
      <c r="AJ88" s="133"/>
      <c r="AK88" s="299"/>
      <c r="AL88" s="326" t="s">
        <v>34</v>
      </c>
      <c r="AM88" s="327"/>
      <c r="AN88" s="306">
        <f>SUM(AN86:AO87)</f>
        <v>0</v>
      </c>
      <c r="AO88" s="307"/>
      <c r="AP88" s="306">
        <f>SUM(AP86:AT87)</f>
        <v>0</v>
      </c>
      <c r="AQ88" s="368"/>
      <c r="AR88" s="368"/>
      <c r="AS88" s="368"/>
      <c r="AT88" s="307"/>
      <c r="AU88" s="306">
        <f>SUM(AU86:AV87)</f>
        <v>0</v>
      </c>
      <c r="AV88" s="307"/>
      <c r="AW88" s="306">
        <f>SUM(AW86:AX87)</f>
        <v>0</v>
      </c>
      <c r="AX88" s="307"/>
      <c r="AY88" s="94">
        <f>SUM(AY86:AY87)</f>
        <v>0</v>
      </c>
      <c r="AZ88" s="94">
        <f>SUM(AZ86:AZ87)</f>
        <v>0</v>
      </c>
      <c r="BA88" s="126">
        <f>SUM(BA86:BA87)</f>
        <v>0</v>
      </c>
      <c r="BB88" s="133"/>
      <c r="BC88" s="299"/>
      <c r="BD88" s="326" t="s">
        <v>34</v>
      </c>
      <c r="BE88" s="327"/>
      <c r="BF88" s="306">
        <f>SUM(BF86:BG87)</f>
        <v>0</v>
      </c>
      <c r="BG88" s="307"/>
      <c r="BH88" s="306">
        <f>SUM(BH86:BL87)</f>
        <v>0</v>
      </c>
      <c r="BI88" s="368"/>
      <c r="BJ88" s="368"/>
      <c r="BK88" s="368"/>
      <c r="BL88" s="307"/>
      <c r="BM88" s="306">
        <f>SUM(BM86:BN87)</f>
        <v>0</v>
      </c>
      <c r="BN88" s="307"/>
      <c r="BO88" s="306">
        <f>SUM(BO86:BP87)</f>
        <v>0</v>
      </c>
      <c r="BP88" s="307"/>
      <c r="BQ88" s="94">
        <f>SUM(BQ86:BQ87)</f>
        <v>0</v>
      </c>
      <c r="BR88" s="94">
        <f>SUM(BR86:BR87)</f>
        <v>0</v>
      </c>
      <c r="BS88" s="126">
        <f>SUM(BS86:BS87)</f>
        <v>0</v>
      </c>
      <c r="BT88" s="133"/>
      <c r="BU88" s="299"/>
      <c r="BV88" s="326" t="s">
        <v>34</v>
      </c>
      <c r="BW88" s="327"/>
      <c r="BX88" s="306">
        <f>SUM(BX86:BY87)</f>
        <v>0</v>
      </c>
      <c r="BY88" s="307"/>
      <c r="BZ88" s="306">
        <f>SUM(BZ86:CD87)</f>
        <v>0</v>
      </c>
      <c r="CA88" s="368"/>
      <c r="CB88" s="368"/>
      <c r="CC88" s="368"/>
      <c r="CD88" s="307"/>
      <c r="CE88" s="306">
        <f>SUM(CE86:CF87)</f>
        <v>0</v>
      </c>
      <c r="CF88" s="307"/>
      <c r="CG88" s="306">
        <f>SUM(CG86:CH87)</f>
        <v>0</v>
      </c>
      <c r="CH88" s="307"/>
      <c r="CI88" s="94">
        <f>SUM(CI86:CI87)</f>
        <v>0</v>
      </c>
      <c r="CJ88" s="94">
        <f>SUM(CJ86:CJ87)</f>
        <v>0</v>
      </c>
      <c r="CK88" s="126">
        <f>SUM(CK86:CK87)</f>
        <v>0</v>
      </c>
      <c r="CL88" s="133"/>
      <c r="CM88" s="299"/>
      <c r="CN88" s="326" t="s">
        <v>34</v>
      </c>
      <c r="CO88" s="327"/>
      <c r="CP88" s="306">
        <f>SUM(CP86:CQ87)</f>
        <v>0</v>
      </c>
      <c r="CQ88" s="307"/>
      <c r="CR88" s="306">
        <f>SUM(CR86:CV87)</f>
        <v>0</v>
      </c>
      <c r="CS88" s="368"/>
      <c r="CT88" s="368"/>
      <c r="CU88" s="368"/>
      <c r="CV88" s="307"/>
      <c r="CW88" s="306">
        <f>SUM(CW86:CX87)</f>
        <v>0</v>
      </c>
      <c r="CX88" s="307"/>
      <c r="CY88" s="306">
        <f>SUM(CY86:CZ87)</f>
        <v>0</v>
      </c>
      <c r="CZ88" s="307"/>
      <c r="DA88" s="94">
        <f>SUM(DA86:DA87)</f>
        <v>0</v>
      </c>
      <c r="DB88" s="94">
        <f>SUM(DB86:DB87)</f>
        <v>0</v>
      </c>
      <c r="DC88" s="26">
        <f>SUM(DC86:DC87)</f>
        <v>0</v>
      </c>
      <c r="DD88" s="107"/>
      <c r="DE88" s="299"/>
      <c r="DF88" s="326" t="s">
        <v>34</v>
      </c>
      <c r="DG88" s="327"/>
      <c r="DH88" s="306">
        <f>SUM(DH86:DI87)</f>
        <v>0</v>
      </c>
      <c r="DI88" s="307"/>
      <c r="DJ88" s="306">
        <f>SUM(DJ86:DN87)</f>
        <v>0</v>
      </c>
      <c r="DK88" s="368"/>
      <c r="DL88" s="368"/>
      <c r="DM88" s="368"/>
      <c r="DN88" s="307"/>
      <c r="DO88" s="306">
        <f>SUM(DO86:DP87)</f>
        <v>0</v>
      </c>
      <c r="DP88" s="307"/>
      <c r="DQ88" s="306">
        <f>SUM(DQ86:DR87)</f>
        <v>0</v>
      </c>
      <c r="DR88" s="307"/>
      <c r="DS88" s="94">
        <f>SUM(DS86:DS87)</f>
        <v>0</v>
      </c>
      <c r="DT88" s="94">
        <f>SUM(DT86:DT87)</f>
        <v>0</v>
      </c>
      <c r="DU88" s="26">
        <f>SUM(DU86:DU87)</f>
        <v>0</v>
      </c>
      <c r="DV88" s="107"/>
      <c r="DW88" s="299"/>
      <c r="DX88" s="326" t="s">
        <v>34</v>
      </c>
      <c r="DY88" s="327"/>
      <c r="DZ88" s="306">
        <f>SUM(DZ86:EA87)</f>
        <v>0</v>
      </c>
      <c r="EA88" s="307"/>
      <c r="EB88" s="306">
        <f>SUM(EB86:EF87)</f>
        <v>0</v>
      </c>
      <c r="EC88" s="368"/>
      <c r="ED88" s="368"/>
      <c r="EE88" s="368"/>
      <c r="EF88" s="307"/>
      <c r="EG88" s="306">
        <f>SUM(EG86:EH87)</f>
        <v>0</v>
      </c>
      <c r="EH88" s="307"/>
      <c r="EI88" s="306">
        <f>SUM(EI86:EJ87)</f>
        <v>0</v>
      </c>
      <c r="EJ88" s="307"/>
      <c r="EK88" s="94">
        <f>SUM(EK86:EK87)</f>
        <v>0</v>
      </c>
      <c r="EL88" s="94">
        <f>SUM(EL86:EL87)</f>
        <v>0</v>
      </c>
      <c r="EM88" s="26">
        <f>SUM(EM86:EM87)</f>
        <v>0</v>
      </c>
      <c r="EN88" s="107"/>
      <c r="EO88" s="299"/>
      <c r="EP88" s="326" t="s">
        <v>34</v>
      </c>
      <c r="EQ88" s="327"/>
      <c r="ER88" s="306">
        <f>SUM(ER86:ES87)</f>
        <v>0</v>
      </c>
      <c r="ES88" s="307"/>
      <c r="ET88" s="306">
        <f>SUM(ET86:EX87)</f>
        <v>0</v>
      </c>
      <c r="EU88" s="368"/>
      <c r="EV88" s="368"/>
      <c r="EW88" s="368"/>
      <c r="EX88" s="307"/>
      <c r="EY88" s="306">
        <f>SUM(EY86:EZ87)</f>
        <v>0</v>
      </c>
      <c r="EZ88" s="307"/>
      <c r="FA88" s="306">
        <f>SUM(FA86:FB87)</f>
        <v>0</v>
      </c>
      <c r="FB88" s="307"/>
      <c r="FC88" s="94">
        <f>SUM(FC86:FC87)</f>
        <v>0</v>
      </c>
      <c r="FD88" s="94">
        <f>SUM(FD86:FD87)</f>
        <v>0</v>
      </c>
      <c r="FE88" s="26">
        <f>SUM(FE86:FE87)</f>
        <v>0</v>
      </c>
      <c r="FF88" s="107"/>
      <c r="FG88" s="299"/>
      <c r="FH88" s="326" t="s">
        <v>34</v>
      </c>
      <c r="FI88" s="327"/>
      <c r="FJ88" s="306">
        <f>SUM(FJ86:FK87)</f>
        <v>0</v>
      </c>
      <c r="FK88" s="307"/>
      <c r="FL88" s="306">
        <f>SUM(FL86:FP87)</f>
        <v>0</v>
      </c>
      <c r="FM88" s="368"/>
      <c r="FN88" s="368"/>
      <c r="FO88" s="368"/>
      <c r="FP88" s="307"/>
      <c r="FQ88" s="306">
        <f>SUM(FQ86:FR87)</f>
        <v>0</v>
      </c>
      <c r="FR88" s="307"/>
      <c r="FS88" s="306">
        <f>SUM(FS86:FT87)</f>
        <v>0</v>
      </c>
      <c r="FT88" s="307"/>
      <c r="FU88" s="94">
        <f>SUM(FU86:FU87)</f>
        <v>0</v>
      </c>
      <c r="FV88" s="94">
        <f>SUM(FV86:FV87)</f>
        <v>0</v>
      </c>
      <c r="FW88" s="26">
        <f>SUM(FW86:FW87)</f>
        <v>0</v>
      </c>
      <c r="FX88" s="107"/>
      <c r="FY88" s="299"/>
      <c r="FZ88" s="326" t="s">
        <v>34</v>
      </c>
      <c r="GA88" s="327"/>
      <c r="GB88" s="306">
        <f>SUM(GB86:GC87)</f>
        <v>0</v>
      </c>
      <c r="GC88" s="307"/>
      <c r="GD88" s="306">
        <f>SUM(GD86:GH87)</f>
        <v>0</v>
      </c>
      <c r="GE88" s="368"/>
      <c r="GF88" s="368"/>
      <c r="GG88" s="368"/>
      <c r="GH88" s="307"/>
      <c r="GI88" s="306">
        <f>SUM(GI86:GJ87)</f>
        <v>0</v>
      </c>
      <c r="GJ88" s="307"/>
      <c r="GK88" s="306">
        <f>SUM(GK86:GL87)</f>
        <v>0</v>
      </c>
      <c r="GL88" s="307"/>
      <c r="GM88" s="94">
        <f>SUM(GM86:GM87)</f>
        <v>0</v>
      </c>
      <c r="GN88" s="94">
        <f>SUM(GN86:GN87)</f>
        <v>0</v>
      </c>
      <c r="GO88" s="26">
        <f>SUM(GO86:GO87)</f>
        <v>0</v>
      </c>
      <c r="GP88" s="107"/>
      <c r="GQ88" s="299"/>
      <c r="GR88" s="326" t="s">
        <v>34</v>
      </c>
      <c r="GS88" s="327"/>
      <c r="GT88" s="306">
        <f>SUM(GT86:GU87)</f>
        <v>0</v>
      </c>
      <c r="GU88" s="307"/>
      <c r="GV88" s="306">
        <f>SUM(GV86:GZ87)</f>
        <v>0</v>
      </c>
      <c r="GW88" s="368"/>
      <c r="GX88" s="368"/>
      <c r="GY88" s="368"/>
      <c r="GZ88" s="307"/>
      <c r="HA88" s="306">
        <f>SUM(HA86:HB87)</f>
        <v>0</v>
      </c>
      <c r="HB88" s="307"/>
      <c r="HC88" s="306">
        <f>SUM(HC86:HD87)</f>
        <v>0</v>
      </c>
      <c r="HD88" s="307"/>
      <c r="HE88" s="94">
        <f>SUM(HE86:HE87)</f>
        <v>0</v>
      </c>
      <c r="HF88" s="94">
        <f>SUM(HF86:HF87)</f>
        <v>0</v>
      </c>
      <c r="HG88" s="26">
        <f>SUM(HG86:HG87)</f>
        <v>0</v>
      </c>
      <c r="HH88" s="107"/>
      <c r="HI88" s="299"/>
      <c r="HJ88" s="295" t="s">
        <v>28</v>
      </c>
      <c r="HK88" s="313"/>
      <c r="HL88" s="306">
        <f>SUM(HL86:HM87)</f>
        <v>0</v>
      </c>
      <c r="HM88" s="307"/>
      <c r="HN88" s="306">
        <f>SUM(HN86:HR87)</f>
        <v>0</v>
      </c>
      <c r="HO88" s="368"/>
      <c r="HP88" s="368"/>
      <c r="HQ88" s="368"/>
      <c r="HR88" s="307"/>
      <c r="HS88" s="306">
        <f>SUM(HS86:HT87)</f>
        <v>0</v>
      </c>
      <c r="HT88" s="307"/>
      <c r="HU88" s="306">
        <f>SUM(HU86:HV87)</f>
        <v>0</v>
      </c>
      <c r="HV88" s="307"/>
      <c r="HW88" s="43">
        <f>SUM(HW86:HW87)</f>
        <v>0</v>
      </c>
      <c r="HX88" s="43">
        <f>SUM(HX86:HX87)</f>
        <v>0</v>
      </c>
      <c r="HY88" s="26">
        <f>SUM(HY86:HY87)</f>
        <v>0</v>
      </c>
      <c r="HZ88" s="28"/>
    </row>
    <row r="89" spans="1:234" s="11" customFormat="1" ht="20.100000000000001" customHeight="1" thickBot="1" x14ac:dyDescent="0.25">
      <c r="A89" s="41"/>
      <c r="B89" s="353" t="s">
        <v>29</v>
      </c>
      <c r="C89" s="357"/>
      <c r="D89" s="308">
        <f>SUM(D85+D88)</f>
        <v>0</v>
      </c>
      <c r="E89" s="310"/>
      <c r="F89" s="308">
        <f>SUM(F85+F88)</f>
        <v>0</v>
      </c>
      <c r="G89" s="309"/>
      <c r="H89" s="309"/>
      <c r="I89" s="309"/>
      <c r="J89" s="310"/>
      <c r="K89" s="308">
        <f>SUM(K85+K88)</f>
        <v>0</v>
      </c>
      <c r="L89" s="310"/>
      <c r="M89" s="308">
        <f>SUM(M85+M88)</f>
        <v>0</v>
      </c>
      <c r="N89" s="310"/>
      <c r="O89" s="23">
        <f>SUM(O85+O88)</f>
        <v>0</v>
      </c>
      <c r="P89" s="23">
        <f>SUM(P85+P88)</f>
        <v>0</v>
      </c>
      <c r="Q89" s="127">
        <f>SUM(Q85+Q88)</f>
        <v>0</v>
      </c>
      <c r="R89" s="133"/>
      <c r="S89" s="41"/>
      <c r="T89" s="353" t="s">
        <v>29</v>
      </c>
      <c r="U89" s="357"/>
      <c r="V89" s="308">
        <f>SUM(V85+V88)</f>
        <v>0</v>
      </c>
      <c r="W89" s="310"/>
      <c r="X89" s="308">
        <f>SUM(X85+X88)</f>
        <v>0</v>
      </c>
      <c r="Y89" s="309"/>
      <c r="Z89" s="309"/>
      <c r="AA89" s="309"/>
      <c r="AB89" s="310"/>
      <c r="AC89" s="308">
        <f>SUM(AC85+AC88)</f>
        <v>0</v>
      </c>
      <c r="AD89" s="310"/>
      <c r="AE89" s="308">
        <f>SUM(AE85+AE88)</f>
        <v>0</v>
      </c>
      <c r="AF89" s="310"/>
      <c r="AG89" s="23">
        <f>SUM(AG85+AG88)</f>
        <v>0</v>
      </c>
      <c r="AH89" s="23">
        <f>SUM(AH85+AH88)</f>
        <v>0</v>
      </c>
      <c r="AI89" s="127">
        <f>SUM(AI85+AI88)</f>
        <v>0</v>
      </c>
      <c r="AJ89" s="133"/>
      <c r="AK89" s="41"/>
      <c r="AL89" s="353" t="s">
        <v>29</v>
      </c>
      <c r="AM89" s="357"/>
      <c r="AN89" s="308">
        <f>SUM(AN85+AN88)</f>
        <v>0</v>
      </c>
      <c r="AO89" s="310"/>
      <c r="AP89" s="308">
        <f>SUM(AP85+AP88)</f>
        <v>0</v>
      </c>
      <c r="AQ89" s="309"/>
      <c r="AR89" s="309"/>
      <c r="AS89" s="309"/>
      <c r="AT89" s="310"/>
      <c r="AU89" s="308">
        <f>SUM(AU85+AU88)</f>
        <v>0</v>
      </c>
      <c r="AV89" s="310"/>
      <c r="AW89" s="308">
        <f>SUM(AW85+AW88)</f>
        <v>0</v>
      </c>
      <c r="AX89" s="310"/>
      <c r="AY89" s="23">
        <f>SUM(AY85+AY88)</f>
        <v>0</v>
      </c>
      <c r="AZ89" s="23">
        <f>SUM(AZ85+AZ88)</f>
        <v>0</v>
      </c>
      <c r="BA89" s="127">
        <f>SUM(BA85+BA88)</f>
        <v>0</v>
      </c>
      <c r="BB89" s="133"/>
      <c r="BC89" s="41"/>
      <c r="BD89" s="353" t="s">
        <v>29</v>
      </c>
      <c r="BE89" s="357"/>
      <c r="BF89" s="308">
        <f>SUM(BF85+BF88)</f>
        <v>0</v>
      </c>
      <c r="BG89" s="310"/>
      <c r="BH89" s="308">
        <f>SUM(BH85+BH88)</f>
        <v>0</v>
      </c>
      <c r="BI89" s="309"/>
      <c r="BJ89" s="309"/>
      <c r="BK89" s="309"/>
      <c r="BL89" s="310"/>
      <c r="BM89" s="308">
        <f>SUM(BM85+BM88)</f>
        <v>0</v>
      </c>
      <c r="BN89" s="310"/>
      <c r="BO89" s="308">
        <f>SUM(BO85+BO88)</f>
        <v>0</v>
      </c>
      <c r="BP89" s="310"/>
      <c r="BQ89" s="23">
        <f>SUM(BQ85+BQ88)</f>
        <v>0</v>
      </c>
      <c r="BR89" s="23">
        <f>SUM(BR85+BR88)</f>
        <v>0</v>
      </c>
      <c r="BS89" s="127">
        <f>SUM(BS85+BS88)</f>
        <v>0</v>
      </c>
      <c r="BT89" s="133"/>
      <c r="BU89" s="41"/>
      <c r="BV89" s="353" t="s">
        <v>29</v>
      </c>
      <c r="BW89" s="357"/>
      <c r="BX89" s="308">
        <f>SUM(BX85+BX88)</f>
        <v>0</v>
      </c>
      <c r="BY89" s="310"/>
      <c r="BZ89" s="308">
        <f>SUM(BZ85+BZ88)</f>
        <v>0</v>
      </c>
      <c r="CA89" s="309"/>
      <c r="CB89" s="309"/>
      <c r="CC89" s="309"/>
      <c r="CD89" s="310"/>
      <c r="CE89" s="308">
        <f>SUM(CE85+CE88)</f>
        <v>0</v>
      </c>
      <c r="CF89" s="310"/>
      <c r="CG89" s="308">
        <f>SUM(CG85+CG88)</f>
        <v>0</v>
      </c>
      <c r="CH89" s="310"/>
      <c r="CI89" s="23">
        <f>SUM(CI85+CI88)</f>
        <v>0</v>
      </c>
      <c r="CJ89" s="23">
        <f>SUM(CJ85+CJ88)</f>
        <v>0</v>
      </c>
      <c r="CK89" s="127">
        <f>SUM(CK85+CK88)</f>
        <v>0</v>
      </c>
      <c r="CL89" s="133"/>
      <c r="CM89" s="150"/>
      <c r="CN89" s="353" t="s">
        <v>29</v>
      </c>
      <c r="CO89" s="357"/>
      <c r="CP89" s="308">
        <f>SUM(CP85+CP88)</f>
        <v>0</v>
      </c>
      <c r="CQ89" s="310"/>
      <c r="CR89" s="308">
        <f>SUM(CR85+CR88)</f>
        <v>0</v>
      </c>
      <c r="CS89" s="309"/>
      <c r="CT89" s="309"/>
      <c r="CU89" s="309"/>
      <c r="CV89" s="310"/>
      <c r="CW89" s="308">
        <f>SUM(CW85+CW88)</f>
        <v>0</v>
      </c>
      <c r="CX89" s="310"/>
      <c r="CY89" s="308">
        <f>SUM(CY85+CY88)</f>
        <v>0</v>
      </c>
      <c r="CZ89" s="310"/>
      <c r="DA89" s="23">
        <f>SUM(DA85+DA88)</f>
        <v>0</v>
      </c>
      <c r="DB89" s="23">
        <f>SUM(DB85+DB88)</f>
        <v>0</v>
      </c>
      <c r="DC89" s="27">
        <f>SUM(DC85+DC88)</f>
        <v>0</v>
      </c>
      <c r="DD89" s="107"/>
      <c r="DE89" s="41"/>
      <c r="DF89" s="353" t="s">
        <v>29</v>
      </c>
      <c r="DG89" s="357"/>
      <c r="DH89" s="308">
        <f>SUM(DH85+DH88)</f>
        <v>0</v>
      </c>
      <c r="DI89" s="310"/>
      <c r="DJ89" s="308">
        <f>SUM(DJ85+DJ88)</f>
        <v>0</v>
      </c>
      <c r="DK89" s="309"/>
      <c r="DL89" s="309"/>
      <c r="DM89" s="309"/>
      <c r="DN89" s="310"/>
      <c r="DO89" s="308">
        <f>SUM(DO85+DO88)</f>
        <v>0</v>
      </c>
      <c r="DP89" s="310"/>
      <c r="DQ89" s="308">
        <f>SUM(DQ85+DQ88)</f>
        <v>0</v>
      </c>
      <c r="DR89" s="310"/>
      <c r="DS89" s="23">
        <f>SUM(DS85+DS88)</f>
        <v>0</v>
      </c>
      <c r="DT89" s="23">
        <f>SUM(DT85+DT88)</f>
        <v>0</v>
      </c>
      <c r="DU89" s="27">
        <f>SUM(DU85+DU88)</f>
        <v>0</v>
      </c>
      <c r="DV89" s="107"/>
      <c r="DW89" s="41"/>
      <c r="DX89" s="353" t="s">
        <v>29</v>
      </c>
      <c r="DY89" s="357"/>
      <c r="DZ89" s="308">
        <f>SUM(DZ85+DZ88)</f>
        <v>0</v>
      </c>
      <c r="EA89" s="310"/>
      <c r="EB89" s="308">
        <f>SUM(EB85+EB88)</f>
        <v>0</v>
      </c>
      <c r="EC89" s="309"/>
      <c r="ED89" s="309"/>
      <c r="EE89" s="309"/>
      <c r="EF89" s="310"/>
      <c r="EG89" s="308">
        <f>SUM(EG85+EG88)</f>
        <v>0</v>
      </c>
      <c r="EH89" s="310"/>
      <c r="EI89" s="308">
        <f>SUM(EI85+EI88)</f>
        <v>0</v>
      </c>
      <c r="EJ89" s="310"/>
      <c r="EK89" s="23">
        <f>SUM(EK85+EK88)</f>
        <v>0</v>
      </c>
      <c r="EL89" s="23">
        <f>SUM(EL85+EL88)</f>
        <v>0</v>
      </c>
      <c r="EM89" s="27">
        <f>SUM(EM85+EM88)</f>
        <v>0</v>
      </c>
      <c r="EN89" s="107"/>
      <c r="EO89" s="41"/>
      <c r="EP89" s="353" t="s">
        <v>29</v>
      </c>
      <c r="EQ89" s="357"/>
      <c r="ER89" s="308">
        <f>SUM(ER85+ER88)</f>
        <v>0</v>
      </c>
      <c r="ES89" s="310"/>
      <c r="ET89" s="308">
        <f>SUM(ET85+ET88)</f>
        <v>0</v>
      </c>
      <c r="EU89" s="309"/>
      <c r="EV89" s="309"/>
      <c r="EW89" s="309"/>
      <c r="EX89" s="310"/>
      <c r="EY89" s="308">
        <f>SUM(EY85+EY88)</f>
        <v>0</v>
      </c>
      <c r="EZ89" s="310"/>
      <c r="FA89" s="308">
        <f>SUM(FA85+FA88)</f>
        <v>0</v>
      </c>
      <c r="FB89" s="310"/>
      <c r="FC89" s="23">
        <f>SUM(FC85+FC88)</f>
        <v>0</v>
      </c>
      <c r="FD89" s="23">
        <f>SUM(FD85+FD88)</f>
        <v>0</v>
      </c>
      <c r="FE89" s="27">
        <f>SUM(FE85+FE88)</f>
        <v>0</v>
      </c>
      <c r="FF89" s="107"/>
      <c r="FG89" s="41"/>
      <c r="FH89" s="353" t="s">
        <v>29</v>
      </c>
      <c r="FI89" s="357"/>
      <c r="FJ89" s="308">
        <f>SUM(FJ85+FJ88)</f>
        <v>0</v>
      </c>
      <c r="FK89" s="310"/>
      <c r="FL89" s="308">
        <f>SUM(FL85+FL88)</f>
        <v>0</v>
      </c>
      <c r="FM89" s="309"/>
      <c r="FN89" s="309"/>
      <c r="FO89" s="309"/>
      <c r="FP89" s="310"/>
      <c r="FQ89" s="308">
        <f>SUM(FQ85+FQ88)</f>
        <v>0</v>
      </c>
      <c r="FR89" s="310"/>
      <c r="FS89" s="308">
        <f>SUM(FS85+FS88)</f>
        <v>0</v>
      </c>
      <c r="FT89" s="310"/>
      <c r="FU89" s="23">
        <f>SUM(FU85+FU88)</f>
        <v>0</v>
      </c>
      <c r="FV89" s="23">
        <f>SUM(FV85+FV88)</f>
        <v>0</v>
      </c>
      <c r="FW89" s="27">
        <f>SUM(FW85+FW88)</f>
        <v>0</v>
      </c>
      <c r="FX89" s="107"/>
      <c r="FY89" s="41"/>
      <c r="FZ89" s="353" t="s">
        <v>29</v>
      </c>
      <c r="GA89" s="357"/>
      <c r="GB89" s="308">
        <f>SUM(GB85+GB88)</f>
        <v>0</v>
      </c>
      <c r="GC89" s="310"/>
      <c r="GD89" s="308">
        <f>SUM(GD85+GD88)</f>
        <v>0</v>
      </c>
      <c r="GE89" s="309"/>
      <c r="GF89" s="309"/>
      <c r="GG89" s="309"/>
      <c r="GH89" s="310"/>
      <c r="GI89" s="308">
        <f>SUM(GI85+GI88)</f>
        <v>0</v>
      </c>
      <c r="GJ89" s="310"/>
      <c r="GK89" s="308">
        <f>SUM(GK85+GK88)</f>
        <v>0</v>
      </c>
      <c r="GL89" s="310"/>
      <c r="GM89" s="23">
        <f>SUM(GM85+GM88)</f>
        <v>0</v>
      </c>
      <c r="GN89" s="23">
        <f>SUM(GN85+GN88)</f>
        <v>0</v>
      </c>
      <c r="GO89" s="27">
        <f>SUM(GO85+GO88)</f>
        <v>0</v>
      </c>
      <c r="GP89" s="107"/>
      <c r="GQ89" s="41"/>
      <c r="GR89" s="353" t="s">
        <v>29</v>
      </c>
      <c r="GS89" s="357"/>
      <c r="GT89" s="308">
        <f>SUM(GT85+GT88)</f>
        <v>0</v>
      </c>
      <c r="GU89" s="310"/>
      <c r="GV89" s="308">
        <f>SUM(GV85+GV88)</f>
        <v>0</v>
      </c>
      <c r="GW89" s="309"/>
      <c r="GX89" s="309"/>
      <c r="GY89" s="309"/>
      <c r="GZ89" s="310"/>
      <c r="HA89" s="308">
        <f>SUM(HA85+HA88)</f>
        <v>0</v>
      </c>
      <c r="HB89" s="310"/>
      <c r="HC89" s="308">
        <f>SUM(HC85+HC88)</f>
        <v>0</v>
      </c>
      <c r="HD89" s="310"/>
      <c r="HE89" s="23">
        <f>SUM(HE85+HE88)</f>
        <v>0</v>
      </c>
      <c r="HF89" s="23">
        <f>SUM(HF85+HF88)</f>
        <v>0</v>
      </c>
      <c r="HG89" s="27">
        <f>SUM(HG85+HG88)</f>
        <v>0</v>
      </c>
      <c r="HH89" s="107"/>
      <c r="HI89" s="41"/>
      <c r="HJ89" s="353" t="s">
        <v>29</v>
      </c>
      <c r="HK89" s="354"/>
      <c r="HL89" s="308">
        <f>SUM(HL85+HL88)</f>
        <v>0</v>
      </c>
      <c r="HM89" s="310"/>
      <c r="HN89" s="308">
        <f>SUM(HN85+HN88)</f>
        <v>0</v>
      </c>
      <c r="HO89" s="309"/>
      <c r="HP89" s="309"/>
      <c r="HQ89" s="309"/>
      <c r="HR89" s="310"/>
      <c r="HS89" s="308">
        <f>SUM(HS85+HS88)</f>
        <v>0</v>
      </c>
      <c r="HT89" s="310"/>
      <c r="HU89" s="308">
        <f>SUM(HU85+HU88)</f>
        <v>0</v>
      </c>
      <c r="HV89" s="310"/>
      <c r="HW89" s="23">
        <f>SUM(HW85+HW88)</f>
        <v>0</v>
      </c>
      <c r="HX89" s="23">
        <f>SUM(HX85+HX88)</f>
        <v>0</v>
      </c>
      <c r="HY89" s="27">
        <f>SUM(HY85+HY88)</f>
        <v>0</v>
      </c>
      <c r="HZ89" s="28"/>
    </row>
    <row r="90" spans="1:234" s="142" customFormat="1" ht="20.100000000000001" customHeight="1" thickBot="1" x14ac:dyDescent="0.25">
      <c r="A90" s="136"/>
      <c r="B90" s="137"/>
      <c r="C90" s="137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9"/>
      <c r="R90" s="140"/>
      <c r="S90" s="136"/>
      <c r="T90" s="137"/>
      <c r="U90" s="137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9"/>
      <c r="AJ90" s="140"/>
      <c r="AK90" s="136"/>
      <c r="AL90" s="137"/>
      <c r="AM90" s="137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9"/>
      <c r="BB90" s="140"/>
      <c r="BC90" s="136"/>
      <c r="BD90" s="137"/>
      <c r="BE90" s="137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9"/>
      <c r="BT90" s="140"/>
      <c r="BU90" s="136"/>
      <c r="BV90" s="137"/>
      <c r="BW90" s="137"/>
      <c r="BX90" s="138"/>
      <c r="BY90" s="138"/>
      <c r="BZ90" s="138"/>
      <c r="CA90" s="138"/>
      <c r="CB90" s="138"/>
      <c r="CC90" s="138"/>
      <c r="CD90" s="138"/>
      <c r="CE90" s="138"/>
      <c r="CF90" s="138"/>
      <c r="CG90" s="138"/>
      <c r="CH90" s="138"/>
      <c r="CI90" s="138"/>
      <c r="CJ90" s="138"/>
      <c r="CK90" s="139"/>
      <c r="CL90" s="140"/>
      <c r="CM90" s="136"/>
      <c r="CN90" s="137"/>
      <c r="CO90" s="137"/>
      <c r="CP90" s="138"/>
      <c r="CQ90" s="138"/>
      <c r="CR90" s="138"/>
      <c r="CS90" s="138"/>
      <c r="CT90" s="138"/>
      <c r="CU90" s="138"/>
      <c r="CV90" s="138"/>
      <c r="CW90" s="138"/>
      <c r="CX90" s="138"/>
      <c r="CY90" s="138"/>
      <c r="CZ90" s="138"/>
      <c r="DA90" s="138"/>
      <c r="DB90" s="138"/>
      <c r="DC90" s="151"/>
      <c r="DE90" s="136"/>
      <c r="DF90" s="137"/>
      <c r="DG90" s="137"/>
      <c r="DH90" s="138"/>
      <c r="DI90" s="138"/>
      <c r="DJ90" s="138"/>
      <c r="DK90" s="138"/>
      <c r="DL90" s="138"/>
      <c r="DM90" s="138"/>
      <c r="DN90" s="138"/>
      <c r="DO90" s="138"/>
      <c r="DP90" s="138"/>
      <c r="DQ90" s="138"/>
      <c r="DR90" s="138"/>
      <c r="DS90" s="138"/>
      <c r="DT90" s="138"/>
      <c r="DU90" s="151"/>
      <c r="DW90" s="136"/>
      <c r="DX90" s="137"/>
      <c r="DY90" s="137"/>
      <c r="DZ90" s="138"/>
      <c r="EA90" s="138"/>
      <c r="EB90" s="138"/>
      <c r="EC90" s="138"/>
      <c r="ED90" s="138"/>
      <c r="EE90" s="138"/>
      <c r="EF90" s="138"/>
      <c r="EG90" s="138"/>
      <c r="EH90" s="138"/>
      <c r="EI90" s="138"/>
      <c r="EJ90" s="138"/>
      <c r="EK90" s="138"/>
      <c r="EL90" s="138"/>
      <c r="EM90" s="151"/>
      <c r="EO90" s="136"/>
      <c r="EP90" s="137"/>
      <c r="EQ90" s="137"/>
      <c r="ER90" s="138"/>
      <c r="ES90" s="138"/>
      <c r="ET90" s="138"/>
      <c r="EU90" s="138"/>
      <c r="EV90" s="138"/>
      <c r="EW90" s="138"/>
      <c r="EX90" s="138"/>
      <c r="EY90" s="138"/>
      <c r="EZ90" s="138"/>
      <c r="FA90" s="138"/>
      <c r="FB90" s="138"/>
      <c r="FC90" s="138"/>
      <c r="FD90" s="138"/>
      <c r="FE90" s="151"/>
      <c r="FG90" s="136"/>
      <c r="FH90" s="137"/>
      <c r="FI90" s="137"/>
      <c r="FJ90" s="138"/>
      <c r="FK90" s="138"/>
      <c r="FL90" s="138"/>
      <c r="FM90" s="138"/>
      <c r="FN90" s="138"/>
      <c r="FO90" s="138"/>
      <c r="FP90" s="138"/>
      <c r="FQ90" s="138"/>
      <c r="FR90" s="138"/>
      <c r="FS90" s="138"/>
      <c r="FT90" s="138"/>
      <c r="FU90" s="138"/>
      <c r="FV90" s="138"/>
      <c r="FW90" s="151"/>
      <c r="FY90" s="136"/>
      <c r="FZ90" s="137"/>
      <c r="GA90" s="137"/>
      <c r="GB90" s="138"/>
      <c r="GC90" s="138"/>
      <c r="GD90" s="138"/>
      <c r="GE90" s="138"/>
      <c r="GF90" s="138"/>
      <c r="GG90" s="138"/>
      <c r="GH90" s="138"/>
      <c r="GI90" s="138"/>
      <c r="GJ90" s="138"/>
      <c r="GK90" s="138"/>
      <c r="GL90" s="138"/>
      <c r="GM90" s="138"/>
      <c r="GN90" s="138"/>
      <c r="GO90" s="151"/>
      <c r="GQ90" s="136"/>
      <c r="GR90" s="137"/>
      <c r="GS90" s="137"/>
      <c r="GT90" s="138"/>
      <c r="GU90" s="138"/>
      <c r="GV90" s="138"/>
      <c r="GW90" s="138"/>
      <c r="GX90" s="138"/>
      <c r="GY90" s="138"/>
      <c r="GZ90" s="138"/>
      <c r="HA90" s="138"/>
      <c r="HB90" s="138"/>
      <c r="HC90" s="138"/>
      <c r="HD90" s="138"/>
      <c r="HE90" s="138"/>
      <c r="HF90" s="138"/>
      <c r="HG90" s="151"/>
      <c r="HI90" s="141"/>
      <c r="HJ90" s="137"/>
      <c r="HK90" s="137"/>
      <c r="HL90" s="138"/>
      <c r="HM90" s="138"/>
      <c r="HN90" s="138"/>
      <c r="HO90" s="138"/>
      <c r="HP90" s="138"/>
      <c r="HQ90" s="138"/>
      <c r="HR90" s="138"/>
      <c r="HS90" s="138"/>
      <c r="HT90" s="138"/>
      <c r="HU90" s="138"/>
      <c r="HV90" s="138"/>
      <c r="HW90" s="138"/>
      <c r="HX90" s="138"/>
      <c r="HY90" s="139"/>
    </row>
    <row r="91" spans="1:234" s="11" customFormat="1" ht="20.100000000000001" customHeight="1" thickBot="1" x14ac:dyDescent="0.3">
      <c r="A91" s="293" t="s">
        <v>44</v>
      </c>
      <c r="B91" s="294"/>
      <c r="C91" s="29" t="s">
        <v>30</v>
      </c>
      <c r="D91" s="29"/>
      <c r="E91" s="1"/>
      <c r="F91" s="1"/>
      <c r="G91" s="1"/>
      <c r="H91" s="1"/>
      <c r="I91" s="1"/>
      <c r="J91" s="30" t="s">
        <v>0</v>
      </c>
      <c r="K91" s="31">
        <f>SUM(K1)</f>
        <v>1</v>
      </c>
      <c r="L91" s="30" t="s">
        <v>10</v>
      </c>
      <c r="M91" s="341">
        <f>SUM(M1)</f>
        <v>1447</v>
      </c>
      <c r="N91" s="341"/>
      <c r="R91" s="133"/>
      <c r="S91" s="293" t="s">
        <v>44</v>
      </c>
      <c r="T91" s="294"/>
      <c r="U91" s="29" t="s">
        <v>30</v>
      </c>
      <c r="V91" s="29"/>
      <c r="W91" s="1"/>
      <c r="X91" s="1"/>
      <c r="Y91" s="1"/>
      <c r="Z91" s="1"/>
      <c r="AA91" s="1"/>
      <c r="AB91" s="30" t="s">
        <v>0</v>
      </c>
      <c r="AC91" s="31">
        <f>SUM(AC1)</f>
        <v>2</v>
      </c>
      <c r="AD91" s="30" t="s">
        <v>10</v>
      </c>
      <c r="AE91" s="341">
        <f>SUM(AE1)</f>
        <v>1447</v>
      </c>
      <c r="AF91" s="341"/>
      <c r="AJ91" s="133"/>
      <c r="AK91" s="293" t="s">
        <v>44</v>
      </c>
      <c r="AL91" s="294"/>
      <c r="AM91" s="29" t="s">
        <v>30</v>
      </c>
      <c r="AN91" s="29"/>
      <c r="AO91" s="1"/>
      <c r="AP91" s="1"/>
      <c r="AQ91" s="1"/>
      <c r="AR91" s="1"/>
      <c r="AS91" s="1"/>
      <c r="AT91" s="30" t="s">
        <v>0</v>
      </c>
      <c r="AU91" s="31">
        <f>SUM(AU1)</f>
        <v>3</v>
      </c>
      <c r="AV91" s="30" t="s">
        <v>10</v>
      </c>
      <c r="AW91" s="341">
        <f>SUM(AW1)</f>
        <v>1447</v>
      </c>
      <c r="AX91" s="341"/>
      <c r="BB91" s="133"/>
      <c r="BC91" s="293" t="s">
        <v>44</v>
      </c>
      <c r="BD91" s="294"/>
      <c r="BE91" s="29" t="s">
        <v>30</v>
      </c>
      <c r="BF91" s="29"/>
      <c r="BG91" s="1"/>
      <c r="BH91" s="1"/>
      <c r="BI91" s="1"/>
      <c r="BJ91" s="1"/>
      <c r="BK91" s="1"/>
      <c r="BL91" s="30" t="s">
        <v>0</v>
      </c>
      <c r="BM91" s="31">
        <f>SUM(BM1)</f>
        <v>4</v>
      </c>
      <c r="BN91" s="30" t="s">
        <v>10</v>
      </c>
      <c r="BO91" s="341">
        <f>SUM(BO1)</f>
        <v>1447</v>
      </c>
      <c r="BP91" s="341"/>
      <c r="BT91" s="133"/>
      <c r="BU91" s="293" t="s">
        <v>44</v>
      </c>
      <c r="BV91" s="294"/>
      <c r="BW91" s="29" t="s">
        <v>30</v>
      </c>
      <c r="BX91" s="29"/>
      <c r="BY91" s="1"/>
      <c r="BZ91" s="1"/>
      <c r="CA91" s="1"/>
      <c r="CB91" s="1"/>
      <c r="CC91" s="1"/>
      <c r="CD91" s="30" t="s">
        <v>0</v>
      </c>
      <c r="CE91" s="31">
        <f>SUM(CE1)</f>
        <v>5</v>
      </c>
      <c r="CF91" s="30" t="s">
        <v>10</v>
      </c>
      <c r="CG91" s="341">
        <f>SUM(CG1)</f>
        <v>1447</v>
      </c>
      <c r="CH91" s="341"/>
      <c r="CL91" s="133"/>
      <c r="CM91" s="293" t="s">
        <v>44</v>
      </c>
      <c r="CN91" s="294"/>
      <c r="CO91" s="29" t="s">
        <v>30</v>
      </c>
      <c r="CP91" s="29"/>
      <c r="CQ91" s="1"/>
      <c r="CR91" s="1"/>
      <c r="CS91" s="1"/>
      <c r="CT91" s="1"/>
      <c r="CU91" s="1"/>
      <c r="CV91" s="30" t="s">
        <v>0</v>
      </c>
      <c r="CW91" s="31">
        <f>SUM(CW1)</f>
        <v>6</v>
      </c>
      <c r="CX91" s="30" t="s">
        <v>10</v>
      </c>
      <c r="CY91" s="341">
        <f>SUM(CY1)</f>
        <v>1447</v>
      </c>
      <c r="CZ91" s="341"/>
      <c r="DC91" s="152"/>
      <c r="DD91" s="107"/>
      <c r="DE91" s="293" t="s">
        <v>44</v>
      </c>
      <c r="DF91" s="294"/>
      <c r="DG91" s="29" t="s">
        <v>30</v>
      </c>
      <c r="DH91" s="29"/>
      <c r="DI91" s="1"/>
      <c r="DJ91" s="1"/>
      <c r="DK91" s="1"/>
      <c r="DL91" s="1"/>
      <c r="DM91" s="1"/>
      <c r="DN91" s="30" t="s">
        <v>0</v>
      </c>
      <c r="DO91" s="31">
        <f>SUM(DO1)</f>
        <v>7</v>
      </c>
      <c r="DP91" s="30" t="s">
        <v>10</v>
      </c>
      <c r="DQ91" s="341">
        <f>SUM(DQ1)</f>
        <v>1447</v>
      </c>
      <c r="DR91" s="341"/>
      <c r="DU91" s="152"/>
      <c r="DV91" s="107"/>
      <c r="DW91" s="293" t="s">
        <v>44</v>
      </c>
      <c r="DX91" s="294"/>
      <c r="DY91" s="29" t="s">
        <v>30</v>
      </c>
      <c r="DZ91" s="29"/>
      <c r="EA91" s="1"/>
      <c r="EB91" s="1"/>
      <c r="EC91" s="1"/>
      <c r="ED91" s="1"/>
      <c r="EE91" s="1"/>
      <c r="EF91" s="30" t="s">
        <v>0</v>
      </c>
      <c r="EG91" s="31">
        <f>SUM(EG1)</f>
        <v>8</v>
      </c>
      <c r="EH91" s="30" t="s">
        <v>10</v>
      </c>
      <c r="EI91" s="341">
        <f>SUM(EI1)</f>
        <v>1447</v>
      </c>
      <c r="EJ91" s="341"/>
      <c r="EM91" s="152"/>
      <c r="EN91" s="107"/>
      <c r="EO91" s="293" t="s">
        <v>44</v>
      </c>
      <c r="EP91" s="294"/>
      <c r="EQ91" s="29" t="s">
        <v>30</v>
      </c>
      <c r="ER91" s="29"/>
      <c r="ES91" s="1"/>
      <c r="ET91" s="1"/>
      <c r="EU91" s="1"/>
      <c r="EV91" s="1"/>
      <c r="EW91" s="1"/>
      <c r="EX91" s="30" t="s">
        <v>0</v>
      </c>
      <c r="EY91" s="31">
        <f>SUM(EY1)</f>
        <v>9</v>
      </c>
      <c r="EZ91" s="30" t="s">
        <v>10</v>
      </c>
      <c r="FA91" s="341">
        <f>SUM(FA1)</f>
        <v>1447</v>
      </c>
      <c r="FB91" s="341"/>
      <c r="FE91" s="152"/>
      <c r="FF91" s="107"/>
      <c r="FG91" s="293" t="s">
        <v>44</v>
      </c>
      <c r="FH91" s="294"/>
      <c r="FI91" s="29" t="s">
        <v>30</v>
      </c>
      <c r="FJ91" s="29"/>
      <c r="FK91" s="1"/>
      <c r="FL91" s="1"/>
      <c r="FM91" s="1"/>
      <c r="FN91" s="1"/>
      <c r="FO91" s="1"/>
      <c r="FP91" s="30" t="s">
        <v>0</v>
      </c>
      <c r="FQ91" s="31">
        <f>SUM(FQ1)</f>
        <v>10</v>
      </c>
      <c r="FR91" s="30" t="s">
        <v>10</v>
      </c>
      <c r="FS91" s="341">
        <f>SUM(FS1)</f>
        <v>1447</v>
      </c>
      <c r="FT91" s="341"/>
      <c r="FW91" s="152"/>
      <c r="FX91" s="107"/>
      <c r="FY91" s="293" t="s">
        <v>44</v>
      </c>
      <c r="FZ91" s="294"/>
      <c r="GA91" s="29" t="s">
        <v>30</v>
      </c>
      <c r="GB91" s="29"/>
      <c r="GC91" s="1"/>
      <c r="GD91" s="1"/>
      <c r="GE91" s="1"/>
      <c r="GF91" s="1"/>
      <c r="GG91" s="1"/>
      <c r="GH91" s="30" t="s">
        <v>0</v>
      </c>
      <c r="GI91" s="31">
        <f>SUM(GI1)</f>
        <v>11</v>
      </c>
      <c r="GJ91" s="30" t="s">
        <v>10</v>
      </c>
      <c r="GK91" s="341">
        <f>SUM(GK1)</f>
        <v>1447</v>
      </c>
      <c r="GL91" s="341"/>
      <c r="GO91" s="152"/>
      <c r="GP91" s="107"/>
      <c r="GQ91" s="293" t="s">
        <v>44</v>
      </c>
      <c r="GR91" s="294"/>
      <c r="GS91" s="29" t="s">
        <v>30</v>
      </c>
      <c r="GT91" s="29"/>
      <c r="GU91" s="1"/>
      <c r="GV91" s="1"/>
      <c r="GW91" s="1"/>
      <c r="GX91" s="1"/>
      <c r="GY91" s="1"/>
      <c r="GZ91" s="30" t="s">
        <v>0</v>
      </c>
      <c r="HA91" s="31">
        <f>SUM(HA1)</f>
        <v>12</v>
      </c>
      <c r="HB91" s="30" t="s">
        <v>10</v>
      </c>
      <c r="HC91" s="341">
        <f>SUM(HC1)</f>
        <v>1447</v>
      </c>
      <c r="HD91" s="341"/>
      <c r="HG91" s="152"/>
      <c r="HH91" s="107"/>
      <c r="HI91" s="40"/>
      <c r="HJ91" s="29" t="s">
        <v>30</v>
      </c>
      <c r="HK91" s="29"/>
      <c r="HL91" s="1"/>
      <c r="HM91" s="1"/>
      <c r="HN91" s="1"/>
      <c r="HO91" s="1"/>
      <c r="HP91" s="1"/>
      <c r="HQ91" s="1"/>
      <c r="HR91" s="30"/>
      <c r="HS91" s="31"/>
      <c r="HT91" s="30" t="s">
        <v>10</v>
      </c>
      <c r="HU91" s="403">
        <f>SUM(HC91)</f>
        <v>1447</v>
      </c>
      <c r="HV91" s="403"/>
      <c r="HW91" s="88" t="s">
        <v>33</v>
      </c>
      <c r="HZ91" s="28"/>
    </row>
    <row r="92" spans="1:234" s="1" customFormat="1" ht="20.100000000000001" customHeight="1" thickBot="1" x14ac:dyDescent="0.25">
      <c r="A92" s="109"/>
      <c r="B92" s="326" t="s">
        <v>11</v>
      </c>
      <c r="C92" s="327"/>
      <c r="D92" s="334" t="s">
        <v>1</v>
      </c>
      <c r="E92" s="335"/>
      <c r="F92" s="335"/>
      <c r="G92" s="335"/>
      <c r="H92" s="335"/>
      <c r="I92" s="335"/>
      <c r="J92" s="335"/>
      <c r="K92" s="335"/>
      <c r="L92" s="336"/>
      <c r="M92" s="326" t="s">
        <v>2</v>
      </c>
      <c r="N92" s="332"/>
      <c r="O92" s="326" t="s">
        <v>3</v>
      </c>
      <c r="P92" s="326" t="s">
        <v>4</v>
      </c>
      <c r="Q92" s="326" t="s">
        <v>5</v>
      </c>
      <c r="R92" s="132"/>
      <c r="S92" s="109"/>
      <c r="T92" s="326" t="s">
        <v>11</v>
      </c>
      <c r="U92" s="327"/>
      <c r="V92" s="334" t="s">
        <v>1</v>
      </c>
      <c r="W92" s="335"/>
      <c r="X92" s="335"/>
      <c r="Y92" s="335"/>
      <c r="Z92" s="335"/>
      <c r="AA92" s="335"/>
      <c r="AB92" s="335"/>
      <c r="AC92" s="335"/>
      <c r="AD92" s="336"/>
      <c r="AE92" s="326" t="s">
        <v>2</v>
      </c>
      <c r="AF92" s="332"/>
      <c r="AG92" s="326" t="s">
        <v>3</v>
      </c>
      <c r="AH92" s="326" t="s">
        <v>4</v>
      </c>
      <c r="AI92" s="326" t="s">
        <v>5</v>
      </c>
      <c r="AJ92" s="132"/>
      <c r="AK92" s="109"/>
      <c r="AL92" s="326" t="s">
        <v>11</v>
      </c>
      <c r="AM92" s="327"/>
      <c r="AN92" s="334" t="s">
        <v>1</v>
      </c>
      <c r="AO92" s="335"/>
      <c r="AP92" s="335"/>
      <c r="AQ92" s="335"/>
      <c r="AR92" s="335"/>
      <c r="AS92" s="335"/>
      <c r="AT92" s="335"/>
      <c r="AU92" s="335"/>
      <c r="AV92" s="336"/>
      <c r="AW92" s="326" t="s">
        <v>2</v>
      </c>
      <c r="AX92" s="332"/>
      <c r="AY92" s="326" t="s">
        <v>3</v>
      </c>
      <c r="AZ92" s="326" t="s">
        <v>4</v>
      </c>
      <c r="BA92" s="326" t="s">
        <v>5</v>
      </c>
      <c r="BB92" s="132"/>
      <c r="BC92" s="109"/>
      <c r="BD92" s="326" t="s">
        <v>11</v>
      </c>
      <c r="BE92" s="327"/>
      <c r="BF92" s="334" t="s">
        <v>1</v>
      </c>
      <c r="BG92" s="335"/>
      <c r="BH92" s="335"/>
      <c r="BI92" s="335"/>
      <c r="BJ92" s="335"/>
      <c r="BK92" s="335"/>
      <c r="BL92" s="335"/>
      <c r="BM92" s="335"/>
      <c r="BN92" s="336"/>
      <c r="BO92" s="326" t="s">
        <v>2</v>
      </c>
      <c r="BP92" s="332"/>
      <c r="BQ92" s="326" t="s">
        <v>3</v>
      </c>
      <c r="BR92" s="326" t="s">
        <v>4</v>
      </c>
      <c r="BS92" s="326" t="s">
        <v>5</v>
      </c>
      <c r="BT92" s="132"/>
      <c r="BU92" s="109"/>
      <c r="BV92" s="326" t="s">
        <v>11</v>
      </c>
      <c r="BW92" s="327"/>
      <c r="BX92" s="334" t="s">
        <v>1</v>
      </c>
      <c r="BY92" s="335"/>
      <c r="BZ92" s="335"/>
      <c r="CA92" s="335"/>
      <c r="CB92" s="335"/>
      <c r="CC92" s="335"/>
      <c r="CD92" s="335"/>
      <c r="CE92" s="335"/>
      <c r="CF92" s="336"/>
      <c r="CG92" s="326" t="s">
        <v>2</v>
      </c>
      <c r="CH92" s="332"/>
      <c r="CI92" s="326" t="s">
        <v>3</v>
      </c>
      <c r="CJ92" s="326" t="s">
        <v>4</v>
      </c>
      <c r="CK92" s="326" t="s">
        <v>5</v>
      </c>
      <c r="CL92" s="132"/>
      <c r="CM92" s="109"/>
      <c r="CN92" s="326" t="s">
        <v>11</v>
      </c>
      <c r="CO92" s="327"/>
      <c r="CP92" s="334" t="s">
        <v>1</v>
      </c>
      <c r="CQ92" s="335"/>
      <c r="CR92" s="335"/>
      <c r="CS92" s="335"/>
      <c r="CT92" s="335"/>
      <c r="CU92" s="335"/>
      <c r="CV92" s="335"/>
      <c r="CW92" s="335"/>
      <c r="CX92" s="336"/>
      <c r="CY92" s="326" t="s">
        <v>2</v>
      </c>
      <c r="CZ92" s="332"/>
      <c r="DA92" s="326" t="s">
        <v>3</v>
      </c>
      <c r="DB92" s="326" t="s">
        <v>4</v>
      </c>
      <c r="DC92" s="304" t="s">
        <v>5</v>
      </c>
      <c r="DD92" s="108"/>
      <c r="DE92" s="109"/>
      <c r="DF92" s="326" t="s">
        <v>11</v>
      </c>
      <c r="DG92" s="327"/>
      <c r="DH92" s="334" t="s">
        <v>1</v>
      </c>
      <c r="DI92" s="335"/>
      <c r="DJ92" s="335"/>
      <c r="DK92" s="335"/>
      <c r="DL92" s="335"/>
      <c r="DM92" s="335"/>
      <c r="DN92" s="335"/>
      <c r="DO92" s="335"/>
      <c r="DP92" s="336"/>
      <c r="DQ92" s="326" t="s">
        <v>2</v>
      </c>
      <c r="DR92" s="332"/>
      <c r="DS92" s="326" t="s">
        <v>3</v>
      </c>
      <c r="DT92" s="326" t="s">
        <v>4</v>
      </c>
      <c r="DU92" s="304" t="s">
        <v>5</v>
      </c>
      <c r="DV92" s="108"/>
      <c r="DW92" s="109"/>
      <c r="DX92" s="326" t="s">
        <v>11</v>
      </c>
      <c r="DY92" s="327"/>
      <c r="DZ92" s="334" t="s">
        <v>1</v>
      </c>
      <c r="EA92" s="335"/>
      <c r="EB92" s="335"/>
      <c r="EC92" s="335"/>
      <c r="ED92" s="335"/>
      <c r="EE92" s="335"/>
      <c r="EF92" s="335"/>
      <c r="EG92" s="335"/>
      <c r="EH92" s="336"/>
      <c r="EI92" s="326" t="s">
        <v>2</v>
      </c>
      <c r="EJ92" s="332"/>
      <c r="EK92" s="326" t="s">
        <v>3</v>
      </c>
      <c r="EL92" s="326" t="s">
        <v>4</v>
      </c>
      <c r="EM92" s="304" t="s">
        <v>5</v>
      </c>
      <c r="EN92" s="108"/>
      <c r="EO92" s="109"/>
      <c r="EP92" s="326" t="s">
        <v>11</v>
      </c>
      <c r="EQ92" s="327"/>
      <c r="ER92" s="334" t="s">
        <v>1</v>
      </c>
      <c r="ES92" s="335"/>
      <c r="ET92" s="335"/>
      <c r="EU92" s="335"/>
      <c r="EV92" s="335"/>
      <c r="EW92" s="335"/>
      <c r="EX92" s="335"/>
      <c r="EY92" s="335"/>
      <c r="EZ92" s="336"/>
      <c r="FA92" s="326" t="s">
        <v>2</v>
      </c>
      <c r="FB92" s="332"/>
      <c r="FC92" s="326" t="s">
        <v>3</v>
      </c>
      <c r="FD92" s="326" t="s">
        <v>4</v>
      </c>
      <c r="FE92" s="304" t="s">
        <v>5</v>
      </c>
      <c r="FF92" s="108"/>
      <c r="FG92" s="109"/>
      <c r="FH92" s="326" t="s">
        <v>11</v>
      </c>
      <c r="FI92" s="327"/>
      <c r="FJ92" s="334" t="s">
        <v>1</v>
      </c>
      <c r="FK92" s="335"/>
      <c r="FL92" s="335"/>
      <c r="FM92" s="335"/>
      <c r="FN92" s="335"/>
      <c r="FO92" s="335"/>
      <c r="FP92" s="335"/>
      <c r="FQ92" s="335"/>
      <c r="FR92" s="336"/>
      <c r="FS92" s="326" t="s">
        <v>2</v>
      </c>
      <c r="FT92" s="332"/>
      <c r="FU92" s="326" t="s">
        <v>3</v>
      </c>
      <c r="FV92" s="326" t="s">
        <v>4</v>
      </c>
      <c r="FW92" s="304" t="s">
        <v>5</v>
      </c>
      <c r="FX92" s="108"/>
      <c r="FY92" s="109"/>
      <c r="FZ92" s="326" t="s">
        <v>11</v>
      </c>
      <c r="GA92" s="327"/>
      <c r="GB92" s="334" t="s">
        <v>1</v>
      </c>
      <c r="GC92" s="335"/>
      <c r="GD92" s="335"/>
      <c r="GE92" s="335"/>
      <c r="GF92" s="335"/>
      <c r="GG92" s="335"/>
      <c r="GH92" s="335"/>
      <c r="GI92" s="335"/>
      <c r="GJ92" s="336"/>
      <c r="GK92" s="326" t="s">
        <v>2</v>
      </c>
      <c r="GL92" s="332"/>
      <c r="GM92" s="326" t="s">
        <v>3</v>
      </c>
      <c r="GN92" s="326" t="s">
        <v>4</v>
      </c>
      <c r="GO92" s="304" t="s">
        <v>5</v>
      </c>
      <c r="GP92" s="108"/>
      <c r="GQ92" s="109"/>
      <c r="GR92" s="326" t="s">
        <v>11</v>
      </c>
      <c r="GS92" s="327"/>
      <c r="GT92" s="334" t="s">
        <v>1</v>
      </c>
      <c r="GU92" s="335"/>
      <c r="GV92" s="335"/>
      <c r="GW92" s="335"/>
      <c r="GX92" s="335"/>
      <c r="GY92" s="335"/>
      <c r="GZ92" s="335"/>
      <c r="HA92" s="335"/>
      <c r="HB92" s="336"/>
      <c r="HC92" s="326" t="s">
        <v>2</v>
      </c>
      <c r="HD92" s="332"/>
      <c r="HE92" s="326" t="s">
        <v>3</v>
      </c>
      <c r="HF92" s="326" t="s">
        <v>4</v>
      </c>
      <c r="HG92" s="304" t="s">
        <v>5</v>
      </c>
      <c r="HH92" s="108"/>
      <c r="HI92" s="350" t="s">
        <v>31</v>
      </c>
      <c r="HJ92" s="326" t="s">
        <v>11</v>
      </c>
      <c r="HK92" s="332"/>
      <c r="HL92" s="334" t="s">
        <v>1</v>
      </c>
      <c r="HM92" s="335"/>
      <c r="HN92" s="335"/>
      <c r="HO92" s="335"/>
      <c r="HP92" s="335"/>
      <c r="HQ92" s="335"/>
      <c r="HR92" s="335"/>
      <c r="HS92" s="335"/>
      <c r="HT92" s="336"/>
      <c r="HU92" s="326" t="s">
        <v>2</v>
      </c>
      <c r="HV92" s="332"/>
      <c r="HW92" s="304" t="s">
        <v>3</v>
      </c>
      <c r="HX92" s="304" t="s">
        <v>4</v>
      </c>
      <c r="HY92" s="304" t="s">
        <v>5</v>
      </c>
      <c r="HZ92" s="32"/>
    </row>
    <row r="93" spans="1:234" s="1" customFormat="1" ht="20.100000000000001" customHeight="1" thickBot="1" x14ac:dyDescent="0.25">
      <c r="A93" s="90"/>
      <c r="B93" s="328"/>
      <c r="C93" s="329"/>
      <c r="D93" s="295" t="s">
        <v>6</v>
      </c>
      <c r="E93" s="313"/>
      <c r="F93" s="326" t="s">
        <v>7</v>
      </c>
      <c r="G93" s="327"/>
      <c r="H93" s="327"/>
      <c r="I93" s="327"/>
      <c r="J93" s="332"/>
      <c r="K93" s="347" t="s">
        <v>8</v>
      </c>
      <c r="L93" s="348"/>
      <c r="M93" s="330"/>
      <c r="N93" s="333"/>
      <c r="O93" s="328"/>
      <c r="P93" s="328"/>
      <c r="Q93" s="328"/>
      <c r="R93" s="132"/>
      <c r="S93" s="90"/>
      <c r="T93" s="328"/>
      <c r="U93" s="329"/>
      <c r="V93" s="295" t="s">
        <v>6</v>
      </c>
      <c r="W93" s="313"/>
      <c r="X93" s="326" t="s">
        <v>7</v>
      </c>
      <c r="Y93" s="327"/>
      <c r="Z93" s="327"/>
      <c r="AA93" s="327"/>
      <c r="AB93" s="332"/>
      <c r="AC93" s="347" t="s">
        <v>8</v>
      </c>
      <c r="AD93" s="348"/>
      <c r="AE93" s="330"/>
      <c r="AF93" s="333"/>
      <c r="AG93" s="328"/>
      <c r="AH93" s="328"/>
      <c r="AI93" s="328"/>
      <c r="AJ93" s="132"/>
      <c r="AK93" s="90"/>
      <c r="AL93" s="328"/>
      <c r="AM93" s="329"/>
      <c r="AN93" s="295" t="s">
        <v>6</v>
      </c>
      <c r="AO93" s="313"/>
      <c r="AP93" s="326" t="s">
        <v>7</v>
      </c>
      <c r="AQ93" s="327"/>
      <c r="AR93" s="327"/>
      <c r="AS93" s="327"/>
      <c r="AT93" s="332"/>
      <c r="AU93" s="347" t="s">
        <v>8</v>
      </c>
      <c r="AV93" s="348"/>
      <c r="AW93" s="330"/>
      <c r="AX93" s="333"/>
      <c r="AY93" s="328"/>
      <c r="AZ93" s="328"/>
      <c r="BA93" s="328"/>
      <c r="BB93" s="132"/>
      <c r="BC93" s="90"/>
      <c r="BD93" s="328"/>
      <c r="BE93" s="329"/>
      <c r="BF93" s="295" t="s">
        <v>6</v>
      </c>
      <c r="BG93" s="313"/>
      <c r="BH93" s="326" t="s">
        <v>7</v>
      </c>
      <c r="BI93" s="327"/>
      <c r="BJ93" s="327"/>
      <c r="BK93" s="327"/>
      <c r="BL93" s="332"/>
      <c r="BM93" s="347" t="s">
        <v>8</v>
      </c>
      <c r="BN93" s="348"/>
      <c r="BO93" s="330"/>
      <c r="BP93" s="333"/>
      <c r="BQ93" s="328"/>
      <c r="BR93" s="328"/>
      <c r="BS93" s="328"/>
      <c r="BT93" s="132"/>
      <c r="BU93" s="90"/>
      <c r="BV93" s="328"/>
      <c r="BW93" s="329"/>
      <c r="BX93" s="295" t="s">
        <v>6</v>
      </c>
      <c r="BY93" s="313"/>
      <c r="BZ93" s="326" t="s">
        <v>7</v>
      </c>
      <c r="CA93" s="327"/>
      <c r="CB93" s="327"/>
      <c r="CC93" s="327"/>
      <c r="CD93" s="332"/>
      <c r="CE93" s="347" t="s">
        <v>8</v>
      </c>
      <c r="CF93" s="348"/>
      <c r="CG93" s="330"/>
      <c r="CH93" s="333"/>
      <c r="CI93" s="328"/>
      <c r="CJ93" s="328"/>
      <c r="CK93" s="328"/>
      <c r="CL93" s="132"/>
      <c r="CM93" s="90"/>
      <c r="CN93" s="328"/>
      <c r="CO93" s="329"/>
      <c r="CP93" s="295" t="s">
        <v>6</v>
      </c>
      <c r="CQ93" s="313"/>
      <c r="CR93" s="326" t="s">
        <v>7</v>
      </c>
      <c r="CS93" s="327"/>
      <c r="CT93" s="327"/>
      <c r="CU93" s="327"/>
      <c r="CV93" s="332"/>
      <c r="CW93" s="347" t="s">
        <v>8</v>
      </c>
      <c r="CX93" s="348"/>
      <c r="CY93" s="330"/>
      <c r="CZ93" s="333"/>
      <c r="DA93" s="328"/>
      <c r="DB93" s="328"/>
      <c r="DC93" s="349"/>
      <c r="DD93" s="108"/>
      <c r="DE93" s="90"/>
      <c r="DF93" s="328"/>
      <c r="DG93" s="329"/>
      <c r="DH93" s="295" t="s">
        <v>6</v>
      </c>
      <c r="DI93" s="313"/>
      <c r="DJ93" s="326" t="s">
        <v>7</v>
      </c>
      <c r="DK93" s="327"/>
      <c r="DL93" s="327"/>
      <c r="DM93" s="327"/>
      <c r="DN93" s="332"/>
      <c r="DO93" s="347" t="s">
        <v>8</v>
      </c>
      <c r="DP93" s="348"/>
      <c r="DQ93" s="330"/>
      <c r="DR93" s="333"/>
      <c r="DS93" s="328"/>
      <c r="DT93" s="328"/>
      <c r="DU93" s="349"/>
      <c r="DV93" s="108"/>
      <c r="DW93" s="90"/>
      <c r="DX93" s="328"/>
      <c r="DY93" s="329"/>
      <c r="DZ93" s="295" t="s">
        <v>6</v>
      </c>
      <c r="EA93" s="313"/>
      <c r="EB93" s="326" t="s">
        <v>7</v>
      </c>
      <c r="EC93" s="327"/>
      <c r="ED93" s="327"/>
      <c r="EE93" s="327"/>
      <c r="EF93" s="332"/>
      <c r="EG93" s="347" t="s">
        <v>8</v>
      </c>
      <c r="EH93" s="348"/>
      <c r="EI93" s="330"/>
      <c r="EJ93" s="333"/>
      <c r="EK93" s="328"/>
      <c r="EL93" s="328"/>
      <c r="EM93" s="349"/>
      <c r="EN93" s="108"/>
      <c r="EO93" s="90"/>
      <c r="EP93" s="328"/>
      <c r="EQ93" s="329"/>
      <c r="ER93" s="295" t="s">
        <v>6</v>
      </c>
      <c r="ES93" s="313"/>
      <c r="ET93" s="326" t="s">
        <v>7</v>
      </c>
      <c r="EU93" s="327"/>
      <c r="EV93" s="327"/>
      <c r="EW93" s="327"/>
      <c r="EX93" s="332"/>
      <c r="EY93" s="347" t="s">
        <v>8</v>
      </c>
      <c r="EZ93" s="348"/>
      <c r="FA93" s="330"/>
      <c r="FB93" s="333"/>
      <c r="FC93" s="328"/>
      <c r="FD93" s="328"/>
      <c r="FE93" s="349"/>
      <c r="FF93" s="108"/>
      <c r="FG93" s="90"/>
      <c r="FH93" s="328"/>
      <c r="FI93" s="329"/>
      <c r="FJ93" s="295" t="s">
        <v>6</v>
      </c>
      <c r="FK93" s="313"/>
      <c r="FL93" s="326" t="s">
        <v>7</v>
      </c>
      <c r="FM93" s="327"/>
      <c r="FN93" s="327"/>
      <c r="FO93" s="327"/>
      <c r="FP93" s="332"/>
      <c r="FQ93" s="347" t="s">
        <v>8</v>
      </c>
      <c r="FR93" s="348"/>
      <c r="FS93" s="330"/>
      <c r="FT93" s="333"/>
      <c r="FU93" s="328"/>
      <c r="FV93" s="328"/>
      <c r="FW93" s="349"/>
      <c r="FX93" s="108"/>
      <c r="FY93" s="90"/>
      <c r="FZ93" s="328"/>
      <c r="GA93" s="329"/>
      <c r="GB93" s="295" t="s">
        <v>6</v>
      </c>
      <c r="GC93" s="313"/>
      <c r="GD93" s="326" t="s">
        <v>7</v>
      </c>
      <c r="GE93" s="327"/>
      <c r="GF93" s="327"/>
      <c r="GG93" s="327"/>
      <c r="GH93" s="332"/>
      <c r="GI93" s="347" t="s">
        <v>8</v>
      </c>
      <c r="GJ93" s="348"/>
      <c r="GK93" s="330"/>
      <c r="GL93" s="333"/>
      <c r="GM93" s="328"/>
      <c r="GN93" s="328"/>
      <c r="GO93" s="349"/>
      <c r="GP93" s="108"/>
      <c r="GQ93" s="90"/>
      <c r="GR93" s="328"/>
      <c r="GS93" s="329"/>
      <c r="GT93" s="295" t="s">
        <v>6</v>
      </c>
      <c r="GU93" s="313"/>
      <c r="GV93" s="326" t="s">
        <v>7</v>
      </c>
      <c r="GW93" s="327"/>
      <c r="GX93" s="327"/>
      <c r="GY93" s="327"/>
      <c r="GZ93" s="332"/>
      <c r="HA93" s="347" t="s">
        <v>8</v>
      </c>
      <c r="HB93" s="348"/>
      <c r="HC93" s="330"/>
      <c r="HD93" s="333"/>
      <c r="HE93" s="328"/>
      <c r="HF93" s="328"/>
      <c r="HG93" s="349"/>
      <c r="HH93" s="108"/>
      <c r="HI93" s="351"/>
      <c r="HJ93" s="328"/>
      <c r="HK93" s="402"/>
      <c r="HL93" s="295" t="s">
        <v>6</v>
      </c>
      <c r="HM93" s="313"/>
      <c r="HN93" s="295" t="s">
        <v>7</v>
      </c>
      <c r="HO93" s="296"/>
      <c r="HP93" s="296"/>
      <c r="HQ93" s="296"/>
      <c r="HR93" s="313"/>
      <c r="HS93" s="295" t="s">
        <v>8</v>
      </c>
      <c r="HT93" s="313"/>
      <c r="HU93" s="330"/>
      <c r="HV93" s="333"/>
      <c r="HW93" s="349"/>
      <c r="HX93" s="349"/>
      <c r="HY93" s="349"/>
      <c r="HZ93" s="32"/>
    </row>
    <row r="94" spans="1:234" s="1" customFormat="1" ht="20.100000000000001" customHeight="1" thickBot="1" x14ac:dyDescent="0.25">
      <c r="A94" s="90"/>
      <c r="B94" s="330"/>
      <c r="C94" s="331"/>
      <c r="D94" s="321" t="s">
        <v>12</v>
      </c>
      <c r="E94" s="337" t="s">
        <v>13</v>
      </c>
      <c r="F94" s="321" t="s">
        <v>15</v>
      </c>
      <c r="G94" s="317" t="s">
        <v>14</v>
      </c>
      <c r="H94" s="317" t="s">
        <v>16</v>
      </c>
      <c r="I94" s="317" t="s">
        <v>17</v>
      </c>
      <c r="J94" s="323" t="s">
        <v>18</v>
      </c>
      <c r="K94" s="345" t="s">
        <v>19</v>
      </c>
      <c r="L94" s="337" t="s">
        <v>18</v>
      </c>
      <c r="M94" s="343" t="s">
        <v>20</v>
      </c>
      <c r="N94" s="319" t="s">
        <v>21</v>
      </c>
      <c r="O94" s="328"/>
      <c r="P94" s="328"/>
      <c r="Q94" s="328"/>
      <c r="R94" s="132"/>
      <c r="S94" s="90"/>
      <c r="T94" s="330"/>
      <c r="U94" s="331"/>
      <c r="V94" s="321" t="s">
        <v>12</v>
      </c>
      <c r="W94" s="337" t="s">
        <v>13</v>
      </c>
      <c r="X94" s="321" t="s">
        <v>15</v>
      </c>
      <c r="Y94" s="317" t="s">
        <v>14</v>
      </c>
      <c r="Z94" s="317" t="s">
        <v>16</v>
      </c>
      <c r="AA94" s="317" t="s">
        <v>17</v>
      </c>
      <c r="AB94" s="323" t="s">
        <v>18</v>
      </c>
      <c r="AC94" s="345" t="s">
        <v>19</v>
      </c>
      <c r="AD94" s="337" t="s">
        <v>18</v>
      </c>
      <c r="AE94" s="343" t="s">
        <v>20</v>
      </c>
      <c r="AF94" s="319" t="s">
        <v>21</v>
      </c>
      <c r="AG94" s="328"/>
      <c r="AH94" s="328"/>
      <c r="AI94" s="328"/>
      <c r="AJ94" s="132"/>
      <c r="AK94" s="90"/>
      <c r="AL94" s="330"/>
      <c r="AM94" s="331"/>
      <c r="AN94" s="321" t="s">
        <v>12</v>
      </c>
      <c r="AO94" s="337" t="s">
        <v>13</v>
      </c>
      <c r="AP94" s="321" t="s">
        <v>15</v>
      </c>
      <c r="AQ94" s="317" t="s">
        <v>14</v>
      </c>
      <c r="AR94" s="317" t="s">
        <v>16</v>
      </c>
      <c r="AS94" s="317" t="s">
        <v>17</v>
      </c>
      <c r="AT94" s="323" t="s">
        <v>18</v>
      </c>
      <c r="AU94" s="345" t="s">
        <v>19</v>
      </c>
      <c r="AV94" s="337" t="s">
        <v>18</v>
      </c>
      <c r="AW94" s="343" t="s">
        <v>20</v>
      </c>
      <c r="AX94" s="319" t="s">
        <v>21</v>
      </c>
      <c r="AY94" s="328"/>
      <c r="AZ94" s="328"/>
      <c r="BA94" s="328"/>
      <c r="BB94" s="132"/>
      <c r="BC94" s="90"/>
      <c r="BD94" s="330"/>
      <c r="BE94" s="331"/>
      <c r="BF94" s="321" t="s">
        <v>12</v>
      </c>
      <c r="BG94" s="337" t="s">
        <v>13</v>
      </c>
      <c r="BH94" s="321" t="s">
        <v>15</v>
      </c>
      <c r="BI94" s="317" t="s">
        <v>14</v>
      </c>
      <c r="BJ94" s="317" t="s">
        <v>16</v>
      </c>
      <c r="BK94" s="317" t="s">
        <v>17</v>
      </c>
      <c r="BL94" s="323" t="s">
        <v>18</v>
      </c>
      <c r="BM94" s="345" t="s">
        <v>19</v>
      </c>
      <c r="BN94" s="337" t="s">
        <v>18</v>
      </c>
      <c r="BO94" s="343" t="s">
        <v>20</v>
      </c>
      <c r="BP94" s="319" t="s">
        <v>21</v>
      </c>
      <c r="BQ94" s="328"/>
      <c r="BR94" s="328"/>
      <c r="BS94" s="328"/>
      <c r="BT94" s="132"/>
      <c r="BU94" s="90"/>
      <c r="BV94" s="330"/>
      <c r="BW94" s="331"/>
      <c r="BX94" s="321" t="s">
        <v>12</v>
      </c>
      <c r="BY94" s="337" t="s">
        <v>13</v>
      </c>
      <c r="BZ94" s="321" t="s">
        <v>15</v>
      </c>
      <c r="CA94" s="317" t="s">
        <v>14</v>
      </c>
      <c r="CB94" s="317" t="s">
        <v>16</v>
      </c>
      <c r="CC94" s="317" t="s">
        <v>17</v>
      </c>
      <c r="CD94" s="323" t="s">
        <v>18</v>
      </c>
      <c r="CE94" s="345" t="s">
        <v>19</v>
      </c>
      <c r="CF94" s="337" t="s">
        <v>18</v>
      </c>
      <c r="CG94" s="343" t="s">
        <v>20</v>
      </c>
      <c r="CH94" s="319" t="s">
        <v>21</v>
      </c>
      <c r="CI94" s="328"/>
      <c r="CJ94" s="328"/>
      <c r="CK94" s="328"/>
      <c r="CL94" s="132"/>
      <c r="CM94" s="90"/>
      <c r="CN94" s="330"/>
      <c r="CO94" s="331"/>
      <c r="CP94" s="321" t="s">
        <v>12</v>
      </c>
      <c r="CQ94" s="337" t="s">
        <v>13</v>
      </c>
      <c r="CR94" s="321" t="s">
        <v>15</v>
      </c>
      <c r="CS94" s="317" t="s">
        <v>14</v>
      </c>
      <c r="CT94" s="317" t="s">
        <v>16</v>
      </c>
      <c r="CU94" s="317" t="s">
        <v>17</v>
      </c>
      <c r="CV94" s="323" t="s">
        <v>18</v>
      </c>
      <c r="CW94" s="345" t="s">
        <v>19</v>
      </c>
      <c r="CX94" s="337" t="s">
        <v>18</v>
      </c>
      <c r="CY94" s="343" t="s">
        <v>20</v>
      </c>
      <c r="CZ94" s="319" t="s">
        <v>21</v>
      </c>
      <c r="DA94" s="328"/>
      <c r="DB94" s="328"/>
      <c r="DC94" s="349"/>
      <c r="DD94" s="108"/>
      <c r="DE94" s="90"/>
      <c r="DF94" s="330"/>
      <c r="DG94" s="331"/>
      <c r="DH94" s="321" t="s">
        <v>12</v>
      </c>
      <c r="DI94" s="337" t="s">
        <v>13</v>
      </c>
      <c r="DJ94" s="321" t="s">
        <v>15</v>
      </c>
      <c r="DK94" s="317" t="s">
        <v>14</v>
      </c>
      <c r="DL94" s="317" t="s">
        <v>16</v>
      </c>
      <c r="DM94" s="317" t="s">
        <v>17</v>
      </c>
      <c r="DN94" s="323" t="s">
        <v>18</v>
      </c>
      <c r="DO94" s="345" t="s">
        <v>19</v>
      </c>
      <c r="DP94" s="337" t="s">
        <v>18</v>
      </c>
      <c r="DQ94" s="343" t="s">
        <v>20</v>
      </c>
      <c r="DR94" s="319" t="s">
        <v>21</v>
      </c>
      <c r="DS94" s="328"/>
      <c r="DT94" s="328"/>
      <c r="DU94" s="349"/>
      <c r="DV94" s="108"/>
      <c r="DW94" s="90"/>
      <c r="DX94" s="330"/>
      <c r="DY94" s="331"/>
      <c r="DZ94" s="321" t="s">
        <v>12</v>
      </c>
      <c r="EA94" s="337" t="s">
        <v>13</v>
      </c>
      <c r="EB94" s="321" t="s">
        <v>15</v>
      </c>
      <c r="EC94" s="317" t="s">
        <v>14</v>
      </c>
      <c r="ED94" s="317" t="s">
        <v>16</v>
      </c>
      <c r="EE94" s="317" t="s">
        <v>17</v>
      </c>
      <c r="EF94" s="323" t="s">
        <v>18</v>
      </c>
      <c r="EG94" s="345" t="s">
        <v>19</v>
      </c>
      <c r="EH94" s="337" t="s">
        <v>18</v>
      </c>
      <c r="EI94" s="343" t="s">
        <v>20</v>
      </c>
      <c r="EJ94" s="319" t="s">
        <v>21</v>
      </c>
      <c r="EK94" s="328"/>
      <c r="EL94" s="328"/>
      <c r="EM94" s="349"/>
      <c r="EN94" s="108"/>
      <c r="EO94" s="90"/>
      <c r="EP94" s="330"/>
      <c r="EQ94" s="331"/>
      <c r="ER94" s="321" t="s">
        <v>12</v>
      </c>
      <c r="ES94" s="337" t="s">
        <v>13</v>
      </c>
      <c r="ET94" s="321" t="s">
        <v>15</v>
      </c>
      <c r="EU94" s="317" t="s">
        <v>14</v>
      </c>
      <c r="EV94" s="317" t="s">
        <v>16</v>
      </c>
      <c r="EW94" s="317" t="s">
        <v>17</v>
      </c>
      <c r="EX94" s="323" t="s">
        <v>18</v>
      </c>
      <c r="EY94" s="345" t="s">
        <v>19</v>
      </c>
      <c r="EZ94" s="337" t="s">
        <v>18</v>
      </c>
      <c r="FA94" s="343" t="s">
        <v>20</v>
      </c>
      <c r="FB94" s="319" t="s">
        <v>21</v>
      </c>
      <c r="FC94" s="328"/>
      <c r="FD94" s="328"/>
      <c r="FE94" s="349"/>
      <c r="FF94" s="108"/>
      <c r="FG94" s="90"/>
      <c r="FH94" s="330"/>
      <c r="FI94" s="331"/>
      <c r="FJ94" s="321" t="s">
        <v>12</v>
      </c>
      <c r="FK94" s="337" t="s">
        <v>13</v>
      </c>
      <c r="FL94" s="321" t="s">
        <v>15</v>
      </c>
      <c r="FM94" s="317" t="s">
        <v>14</v>
      </c>
      <c r="FN94" s="317" t="s">
        <v>16</v>
      </c>
      <c r="FO94" s="317" t="s">
        <v>17</v>
      </c>
      <c r="FP94" s="323" t="s">
        <v>18</v>
      </c>
      <c r="FQ94" s="345" t="s">
        <v>19</v>
      </c>
      <c r="FR94" s="337" t="s">
        <v>18</v>
      </c>
      <c r="FS94" s="343" t="s">
        <v>20</v>
      </c>
      <c r="FT94" s="319" t="s">
        <v>21</v>
      </c>
      <c r="FU94" s="328"/>
      <c r="FV94" s="328"/>
      <c r="FW94" s="349"/>
      <c r="FX94" s="108"/>
      <c r="FY94" s="90"/>
      <c r="FZ94" s="330"/>
      <c r="GA94" s="331"/>
      <c r="GB94" s="321" t="s">
        <v>12</v>
      </c>
      <c r="GC94" s="337" t="s">
        <v>13</v>
      </c>
      <c r="GD94" s="321" t="s">
        <v>15</v>
      </c>
      <c r="GE94" s="317" t="s">
        <v>14</v>
      </c>
      <c r="GF94" s="317" t="s">
        <v>16</v>
      </c>
      <c r="GG94" s="317" t="s">
        <v>17</v>
      </c>
      <c r="GH94" s="323" t="s">
        <v>18</v>
      </c>
      <c r="GI94" s="345" t="s">
        <v>19</v>
      </c>
      <c r="GJ94" s="337" t="s">
        <v>18</v>
      </c>
      <c r="GK94" s="343" t="s">
        <v>20</v>
      </c>
      <c r="GL94" s="319" t="s">
        <v>21</v>
      </c>
      <c r="GM94" s="328"/>
      <c r="GN94" s="328"/>
      <c r="GO94" s="349"/>
      <c r="GP94" s="108"/>
      <c r="GQ94" s="90"/>
      <c r="GR94" s="330"/>
      <c r="GS94" s="331"/>
      <c r="GT94" s="321" t="s">
        <v>12</v>
      </c>
      <c r="GU94" s="337" t="s">
        <v>13</v>
      </c>
      <c r="GV94" s="321" t="s">
        <v>15</v>
      </c>
      <c r="GW94" s="317" t="s">
        <v>14</v>
      </c>
      <c r="GX94" s="317" t="s">
        <v>16</v>
      </c>
      <c r="GY94" s="317" t="s">
        <v>17</v>
      </c>
      <c r="GZ94" s="323" t="s">
        <v>18</v>
      </c>
      <c r="HA94" s="345" t="s">
        <v>19</v>
      </c>
      <c r="HB94" s="337" t="s">
        <v>18</v>
      </c>
      <c r="HC94" s="343" t="s">
        <v>20</v>
      </c>
      <c r="HD94" s="319" t="s">
        <v>21</v>
      </c>
      <c r="HE94" s="328"/>
      <c r="HF94" s="328"/>
      <c r="HG94" s="349"/>
      <c r="HH94" s="108"/>
      <c r="HI94" s="351"/>
      <c r="HJ94" s="330"/>
      <c r="HK94" s="333"/>
      <c r="HL94" s="343" t="s">
        <v>12</v>
      </c>
      <c r="HM94" s="319" t="s">
        <v>13</v>
      </c>
      <c r="HN94" s="343" t="s">
        <v>15</v>
      </c>
      <c r="HO94" s="400" t="s">
        <v>14</v>
      </c>
      <c r="HP94" s="400" t="s">
        <v>16</v>
      </c>
      <c r="HQ94" s="400" t="s">
        <v>17</v>
      </c>
      <c r="HR94" s="319" t="s">
        <v>18</v>
      </c>
      <c r="HS94" s="343" t="s">
        <v>19</v>
      </c>
      <c r="HT94" s="319" t="s">
        <v>18</v>
      </c>
      <c r="HU94" s="343" t="s">
        <v>20</v>
      </c>
      <c r="HV94" s="319" t="s">
        <v>21</v>
      </c>
      <c r="HW94" s="349"/>
      <c r="HX94" s="349"/>
      <c r="HY94" s="349"/>
      <c r="HZ94" s="32"/>
    </row>
    <row r="95" spans="1:234" s="1" customFormat="1" ht="66.75" customHeight="1" thickBot="1" x14ac:dyDescent="0.25">
      <c r="A95" s="110"/>
      <c r="B95" s="3" t="s">
        <v>22</v>
      </c>
      <c r="C95" s="2" t="s">
        <v>23</v>
      </c>
      <c r="D95" s="342"/>
      <c r="E95" s="338"/>
      <c r="F95" s="322"/>
      <c r="G95" s="339"/>
      <c r="H95" s="318"/>
      <c r="I95" s="339"/>
      <c r="J95" s="324"/>
      <c r="K95" s="346"/>
      <c r="L95" s="338"/>
      <c r="M95" s="344"/>
      <c r="N95" s="320"/>
      <c r="O95" s="328"/>
      <c r="P95" s="328"/>
      <c r="Q95" s="330"/>
      <c r="R95" s="132"/>
      <c r="S95" s="110"/>
      <c r="T95" s="3" t="s">
        <v>22</v>
      </c>
      <c r="U95" s="2" t="s">
        <v>23</v>
      </c>
      <c r="V95" s="342"/>
      <c r="W95" s="338"/>
      <c r="X95" s="322"/>
      <c r="Y95" s="339"/>
      <c r="Z95" s="318"/>
      <c r="AA95" s="339"/>
      <c r="AB95" s="324"/>
      <c r="AC95" s="346"/>
      <c r="AD95" s="338"/>
      <c r="AE95" s="344"/>
      <c r="AF95" s="320"/>
      <c r="AG95" s="328"/>
      <c r="AH95" s="328"/>
      <c r="AI95" s="330"/>
      <c r="AJ95" s="132"/>
      <c r="AK95" s="110"/>
      <c r="AL95" s="3" t="s">
        <v>22</v>
      </c>
      <c r="AM95" s="2" t="s">
        <v>23</v>
      </c>
      <c r="AN95" s="342"/>
      <c r="AO95" s="338"/>
      <c r="AP95" s="322"/>
      <c r="AQ95" s="339"/>
      <c r="AR95" s="318"/>
      <c r="AS95" s="339"/>
      <c r="AT95" s="324"/>
      <c r="AU95" s="346"/>
      <c r="AV95" s="338"/>
      <c r="AW95" s="344"/>
      <c r="AX95" s="320"/>
      <c r="AY95" s="328"/>
      <c r="AZ95" s="328"/>
      <c r="BA95" s="330"/>
      <c r="BB95" s="132"/>
      <c r="BC95" s="110"/>
      <c r="BD95" s="3" t="s">
        <v>22</v>
      </c>
      <c r="BE95" s="2" t="s">
        <v>23</v>
      </c>
      <c r="BF95" s="342"/>
      <c r="BG95" s="338"/>
      <c r="BH95" s="322"/>
      <c r="BI95" s="339"/>
      <c r="BJ95" s="318"/>
      <c r="BK95" s="339"/>
      <c r="BL95" s="324"/>
      <c r="BM95" s="346"/>
      <c r="BN95" s="338"/>
      <c r="BO95" s="344"/>
      <c r="BP95" s="320"/>
      <c r="BQ95" s="328"/>
      <c r="BR95" s="328"/>
      <c r="BS95" s="330"/>
      <c r="BT95" s="132"/>
      <c r="BU95" s="110"/>
      <c r="BV95" s="3" t="s">
        <v>22</v>
      </c>
      <c r="BW95" s="2" t="s">
        <v>23</v>
      </c>
      <c r="BX95" s="342"/>
      <c r="BY95" s="338"/>
      <c r="BZ95" s="322"/>
      <c r="CA95" s="339"/>
      <c r="CB95" s="318"/>
      <c r="CC95" s="339"/>
      <c r="CD95" s="324"/>
      <c r="CE95" s="346"/>
      <c r="CF95" s="338"/>
      <c r="CG95" s="344"/>
      <c r="CH95" s="320"/>
      <c r="CI95" s="328"/>
      <c r="CJ95" s="328"/>
      <c r="CK95" s="330"/>
      <c r="CL95" s="132"/>
      <c r="CM95" s="110"/>
      <c r="CN95" s="3" t="s">
        <v>22</v>
      </c>
      <c r="CO95" s="2" t="s">
        <v>23</v>
      </c>
      <c r="CP95" s="342"/>
      <c r="CQ95" s="338"/>
      <c r="CR95" s="322"/>
      <c r="CS95" s="339"/>
      <c r="CT95" s="318"/>
      <c r="CU95" s="339"/>
      <c r="CV95" s="324"/>
      <c r="CW95" s="346"/>
      <c r="CX95" s="338"/>
      <c r="CY95" s="344"/>
      <c r="CZ95" s="320"/>
      <c r="DA95" s="328"/>
      <c r="DB95" s="328"/>
      <c r="DC95" s="305"/>
      <c r="DD95" s="108"/>
      <c r="DE95" s="110"/>
      <c r="DF95" s="3" t="s">
        <v>22</v>
      </c>
      <c r="DG95" s="2" t="s">
        <v>23</v>
      </c>
      <c r="DH95" s="342"/>
      <c r="DI95" s="338"/>
      <c r="DJ95" s="322"/>
      <c r="DK95" s="339"/>
      <c r="DL95" s="318"/>
      <c r="DM95" s="339"/>
      <c r="DN95" s="324"/>
      <c r="DO95" s="346"/>
      <c r="DP95" s="338"/>
      <c r="DQ95" s="344"/>
      <c r="DR95" s="320"/>
      <c r="DS95" s="328"/>
      <c r="DT95" s="328"/>
      <c r="DU95" s="305"/>
      <c r="DV95" s="108"/>
      <c r="DW95" s="110"/>
      <c r="DX95" s="3" t="s">
        <v>22</v>
      </c>
      <c r="DY95" s="2" t="s">
        <v>23</v>
      </c>
      <c r="DZ95" s="342"/>
      <c r="EA95" s="338"/>
      <c r="EB95" s="322"/>
      <c r="EC95" s="339"/>
      <c r="ED95" s="318"/>
      <c r="EE95" s="339"/>
      <c r="EF95" s="324"/>
      <c r="EG95" s="346"/>
      <c r="EH95" s="338"/>
      <c r="EI95" s="344"/>
      <c r="EJ95" s="320"/>
      <c r="EK95" s="328"/>
      <c r="EL95" s="328"/>
      <c r="EM95" s="305"/>
      <c r="EN95" s="108"/>
      <c r="EO95" s="110"/>
      <c r="EP95" s="3" t="s">
        <v>22</v>
      </c>
      <c r="EQ95" s="2" t="s">
        <v>23</v>
      </c>
      <c r="ER95" s="342"/>
      <c r="ES95" s="338"/>
      <c r="ET95" s="322"/>
      <c r="EU95" s="339"/>
      <c r="EV95" s="318"/>
      <c r="EW95" s="339"/>
      <c r="EX95" s="324"/>
      <c r="EY95" s="346"/>
      <c r="EZ95" s="338"/>
      <c r="FA95" s="344"/>
      <c r="FB95" s="320"/>
      <c r="FC95" s="328"/>
      <c r="FD95" s="328"/>
      <c r="FE95" s="305"/>
      <c r="FF95" s="108"/>
      <c r="FG95" s="110"/>
      <c r="FH95" s="3" t="s">
        <v>22</v>
      </c>
      <c r="FI95" s="2" t="s">
        <v>23</v>
      </c>
      <c r="FJ95" s="342"/>
      <c r="FK95" s="338"/>
      <c r="FL95" s="322"/>
      <c r="FM95" s="339"/>
      <c r="FN95" s="318"/>
      <c r="FO95" s="339"/>
      <c r="FP95" s="324"/>
      <c r="FQ95" s="346"/>
      <c r="FR95" s="338"/>
      <c r="FS95" s="344"/>
      <c r="FT95" s="320"/>
      <c r="FU95" s="328"/>
      <c r="FV95" s="328"/>
      <c r="FW95" s="305"/>
      <c r="FX95" s="108"/>
      <c r="FY95" s="110"/>
      <c r="FZ95" s="3" t="s">
        <v>22</v>
      </c>
      <c r="GA95" s="2" t="s">
        <v>23</v>
      </c>
      <c r="GB95" s="342"/>
      <c r="GC95" s="338"/>
      <c r="GD95" s="322"/>
      <c r="GE95" s="339"/>
      <c r="GF95" s="318"/>
      <c r="GG95" s="339"/>
      <c r="GH95" s="324"/>
      <c r="GI95" s="346"/>
      <c r="GJ95" s="338"/>
      <c r="GK95" s="344"/>
      <c r="GL95" s="320"/>
      <c r="GM95" s="328"/>
      <c r="GN95" s="328"/>
      <c r="GO95" s="305"/>
      <c r="GP95" s="108"/>
      <c r="GQ95" s="110"/>
      <c r="GR95" s="3" t="s">
        <v>22</v>
      </c>
      <c r="GS95" s="2" t="s">
        <v>23</v>
      </c>
      <c r="GT95" s="342"/>
      <c r="GU95" s="338"/>
      <c r="GV95" s="322"/>
      <c r="GW95" s="339"/>
      <c r="GX95" s="318"/>
      <c r="GY95" s="339"/>
      <c r="GZ95" s="324"/>
      <c r="HA95" s="346"/>
      <c r="HB95" s="338"/>
      <c r="HC95" s="344"/>
      <c r="HD95" s="320"/>
      <c r="HE95" s="328"/>
      <c r="HF95" s="328"/>
      <c r="HG95" s="305"/>
      <c r="HH95" s="108"/>
      <c r="HI95" s="352"/>
      <c r="HJ95" s="3" t="s">
        <v>22</v>
      </c>
      <c r="HK95" s="2" t="s">
        <v>23</v>
      </c>
      <c r="HL95" s="344"/>
      <c r="HM95" s="320"/>
      <c r="HN95" s="344"/>
      <c r="HO95" s="401"/>
      <c r="HP95" s="401"/>
      <c r="HQ95" s="401"/>
      <c r="HR95" s="320"/>
      <c r="HS95" s="344"/>
      <c r="HT95" s="320"/>
      <c r="HU95" s="344"/>
      <c r="HV95" s="320"/>
      <c r="HW95" s="349"/>
      <c r="HX95" s="349"/>
      <c r="HY95" s="305"/>
      <c r="HZ95" s="32"/>
    </row>
    <row r="96" spans="1:234" s="11" customFormat="1" ht="20.100000000000001" customHeight="1" thickBot="1" x14ac:dyDescent="0.25">
      <c r="A96" s="297" t="s">
        <v>45</v>
      </c>
      <c r="B96" s="304" t="s">
        <v>9</v>
      </c>
      <c r="C96" s="19" t="s">
        <v>24</v>
      </c>
      <c r="D96" s="8">
        <f>SUM(D6+D13+D20+D27+D34+D41+D48+D55+D62+D69+D76+D83)</f>
        <v>1917</v>
      </c>
      <c r="E96" s="8">
        <f t="shared" ref="E96:P97" si="399">SUM(E6+E13+E20+E27+E34+E41+E48+E55+E62+E69+E76+E83)</f>
        <v>13</v>
      </c>
      <c r="F96" s="8">
        <f t="shared" si="399"/>
        <v>47</v>
      </c>
      <c r="G96" s="8">
        <f t="shared" si="399"/>
        <v>441</v>
      </c>
      <c r="H96" s="8">
        <f t="shared" si="399"/>
        <v>66</v>
      </c>
      <c r="I96" s="8">
        <f t="shared" si="399"/>
        <v>0</v>
      </c>
      <c r="J96" s="8">
        <f t="shared" si="399"/>
        <v>864</v>
      </c>
      <c r="K96" s="8">
        <f t="shared" si="399"/>
        <v>1023</v>
      </c>
      <c r="L96" s="8">
        <f t="shared" si="399"/>
        <v>1483</v>
      </c>
      <c r="M96" s="8">
        <f t="shared" si="399"/>
        <v>696</v>
      </c>
      <c r="N96" s="8">
        <f t="shared" si="399"/>
        <v>0</v>
      </c>
      <c r="O96" s="8">
        <f t="shared" si="399"/>
        <v>130</v>
      </c>
      <c r="P96" s="8">
        <f t="shared" si="399"/>
        <v>0</v>
      </c>
      <c r="Q96" s="129">
        <f>SUM(D96:P96)</f>
        <v>6680</v>
      </c>
      <c r="R96" s="133"/>
      <c r="S96" s="297" t="s">
        <v>45</v>
      </c>
      <c r="T96" s="304" t="s">
        <v>9</v>
      </c>
      <c r="U96" s="19" t="s">
        <v>24</v>
      </c>
      <c r="V96" s="8">
        <f>SUM(V6+V13+V20+V27+V34+V41+V48+V55+V62+V69+V76+V83)</f>
        <v>915</v>
      </c>
      <c r="W96" s="8">
        <f t="shared" ref="W96:AH96" si="400">SUM(W6+W13+W20+W27+W34+W41+W48+W55+W62+W69+W76+W83)</f>
        <v>5</v>
      </c>
      <c r="X96" s="8">
        <f t="shared" si="400"/>
        <v>11</v>
      </c>
      <c r="Y96" s="8">
        <f t="shared" si="400"/>
        <v>367</v>
      </c>
      <c r="Z96" s="8">
        <f t="shared" si="400"/>
        <v>88</v>
      </c>
      <c r="AA96" s="8">
        <f t="shared" si="400"/>
        <v>0</v>
      </c>
      <c r="AB96" s="8">
        <f t="shared" si="400"/>
        <v>1193</v>
      </c>
      <c r="AC96" s="8">
        <f t="shared" si="400"/>
        <v>1028</v>
      </c>
      <c r="AD96" s="8">
        <f t="shared" si="400"/>
        <v>1414</v>
      </c>
      <c r="AE96" s="8">
        <f t="shared" si="400"/>
        <v>481</v>
      </c>
      <c r="AF96" s="8">
        <f t="shared" si="400"/>
        <v>0</v>
      </c>
      <c r="AG96" s="8">
        <f t="shared" si="400"/>
        <v>140</v>
      </c>
      <c r="AH96" s="8">
        <f t="shared" si="400"/>
        <v>0</v>
      </c>
      <c r="AI96" s="129">
        <f>SUM(V96:AH96)</f>
        <v>5642</v>
      </c>
      <c r="AJ96" s="133"/>
      <c r="AK96" s="297" t="s">
        <v>45</v>
      </c>
      <c r="AL96" s="304" t="s">
        <v>9</v>
      </c>
      <c r="AM96" s="19" t="s">
        <v>24</v>
      </c>
      <c r="AN96" s="8">
        <f>SUM(AN6+AN13+AN20+AN27+AN34+AN41+AN48+AN55+AN62+AN69+AN76+AN83)</f>
        <v>947</v>
      </c>
      <c r="AO96" s="8">
        <f t="shared" ref="AO96:AZ96" si="401">SUM(AO6+AO13+AO20+AO27+AO34+AO41+AO48+AO55+AO62+AO69+AO76+AO83)</f>
        <v>29</v>
      </c>
      <c r="AP96" s="8">
        <f t="shared" si="401"/>
        <v>78</v>
      </c>
      <c r="AQ96" s="8">
        <f t="shared" si="401"/>
        <v>336</v>
      </c>
      <c r="AR96" s="8">
        <f t="shared" si="401"/>
        <v>73</v>
      </c>
      <c r="AS96" s="8">
        <f t="shared" si="401"/>
        <v>0</v>
      </c>
      <c r="AT96" s="8">
        <f t="shared" si="401"/>
        <v>1010</v>
      </c>
      <c r="AU96" s="8">
        <f t="shared" si="401"/>
        <v>1088</v>
      </c>
      <c r="AV96" s="8">
        <f t="shared" si="401"/>
        <v>1273</v>
      </c>
      <c r="AW96" s="8">
        <f t="shared" si="401"/>
        <v>465</v>
      </c>
      <c r="AX96" s="8">
        <f t="shared" si="401"/>
        <v>0</v>
      </c>
      <c r="AY96" s="8">
        <f t="shared" si="401"/>
        <v>124</v>
      </c>
      <c r="AZ96" s="8">
        <f t="shared" si="401"/>
        <v>2</v>
      </c>
      <c r="BA96" s="129">
        <f>SUM(AN96:AZ96)</f>
        <v>5425</v>
      </c>
      <c r="BB96" s="133"/>
      <c r="BC96" s="297" t="s">
        <v>45</v>
      </c>
      <c r="BD96" s="304" t="s">
        <v>9</v>
      </c>
      <c r="BE96" s="19" t="s">
        <v>24</v>
      </c>
      <c r="BF96" s="8">
        <f>SUM(BF6+BF13+BF20+BF27+BF34+BF41+BF48+BF55+BF62+BF69+BF76+BF83)</f>
        <v>795</v>
      </c>
      <c r="BG96" s="8">
        <f t="shared" ref="BG96:BR96" si="402">SUM(BG6+BG13+BG20+BG27+BG34+BG41+BG48+BG55+BG62+BG69+BG76+BG83)</f>
        <v>7</v>
      </c>
      <c r="BH96" s="8">
        <f t="shared" si="402"/>
        <v>17</v>
      </c>
      <c r="BI96" s="8">
        <f t="shared" si="402"/>
        <v>181</v>
      </c>
      <c r="BJ96" s="8">
        <f t="shared" si="402"/>
        <v>266</v>
      </c>
      <c r="BK96" s="8">
        <f t="shared" si="402"/>
        <v>0</v>
      </c>
      <c r="BL96" s="8">
        <f t="shared" si="402"/>
        <v>572</v>
      </c>
      <c r="BM96" s="8">
        <f t="shared" si="402"/>
        <v>987</v>
      </c>
      <c r="BN96" s="8">
        <f t="shared" si="402"/>
        <v>1119</v>
      </c>
      <c r="BO96" s="8">
        <f t="shared" si="402"/>
        <v>325</v>
      </c>
      <c r="BP96" s="8">
        <f t="shared" si="402"/>
        <v>0</v>
      </c>
      <c r="BQ96" s="8">
        <f t="shared" si="402"/>
        <v>97</v>
      </c>
      <c r="BR96" s="8">
        <f t="shared" si="402"/>
        <v>0</v>
      </c>
      <c r="BS96" s="129">
        <f>SUM(BF96:BR96)</f>
        <v>4366</v>
      </c>
      <c r="BT96" s="133"/>
      <c r="BU96" s="297" t="s">
        <v>45</v>
      </c>
      <c r="BV96" s="304" t="s">
        <v>9</v>
      </c>
      <c r="BW96" s="19" t="s">
        <v>24</v>
      </c>
      <c r="BX96" s="8">
        <f>SUM(BX6+BX13+BX20+BX27+BX34+BX41+BX48+BX55+BX62+BX69+BX76+BX83)</f>
        <v>1452</v>
      </c>
      <c r="BY96" s="8">
        <f t="shared" ref="BY96:CJ96" si="403">SUM(BY6+BY13+BY20+BY27+BY34+BY41+BY48+BY55+BY62+BY69+BY76+BY83)</f>
        <v>25</v>
      </c>
      <c r="BZ96" s="8">
        <f t="shared" si="403"/>
        <v>100</v>
      </c>
      <c r="CA96" s="8">
        <f t="shared" si="403"/>
        <v>318</v>
      </c>
      <c r="CB96" s="8">
        <f t="shared" si="403"/>
        <v>163</v>
      </c>
      <c r="CC96" s="8">
        <f t="shared" si="403"/>
        <v>0</v>
      </c>
      <c r="CD96" s="8">
        <f t="shared" si="403"/>
        <v>982</v>
      </c>
      <c r="CE96" s="8">
        <f t="shared" si="403"/>
        <v>2033</v>
      </c>
      <c r="CF96" s="8">
        <f t="shared" si="403"/>
        <v>1010</v>
      </c>
      <c r="CG96" s="8">
        <f t="shared" si="403"/>
        <v>560</v>
      </c>
      <c r="CH96" s="8">
        <f t="shared" si="403"/>
        <v>0</v>
      </c>
      <c r="CI96" s="8">
        <f t="shared" si="403"/>
        <v>93</v>
      </c>
      <c r="CJ96" s="8">
        <f t="shared" si="403"/>
        <v>0</v>
      </c>
      <c r="CK96" s="129">
        <f>SUM(BX96:CJ96)</f>
        <v>6736</v>
      </c>
      <c r="CL96" s="133"/>
      <c r="CM96" s="297" t="s">
        <v>45</v>
      </c>
      <c r="CN96" s="304" t="s">
        <v>9</v>
      </c>
      <c r="CO96" s="19" t="s">
        <v>24</v>
      </c>
      <c r="CP96" s="8">
        <f>SUM(CP6+CP13+CP20+CP27+CP34+CP41+CP48+CP55+CP62+CP69+CP76+CP83)</f>
        <v>1828</v>
      </c>
      <c r="CQ96" s="8">
        <f t="shared" ref="CQ96:DB96" si="404">SUM(CQ6+CQ13+CQ20+CQ27+CQ34+CQ41+CQ48+CQ55+CQ62+CQ69+CQ76+CQ83)</f>
        <v>11</v>
      </c>
      <c r="CR96" s="8">
        <f t="shared" si="404"/>
        <v>69</v>
      </c>
      <c r="CS96" s="8">
        <f t="shared" si="404"/>
        <v>318</v>
      </c>
      <c r="CT96" s="8">
        <f t="shared" si="404"/>
        <v>182</v>
      </c>
      <c r="CU96" s="8">
        <f t="shared" si="404"/>
        <v>0</v>
      </c>
      <c r="CV96" s="8">
        <f t="shared" si="404"/>
        <v>2420</v>
      </c>
      <c r="CW96" s="8">
        <f t="shared" si="404"/>
        <v>2426</v>
      </c>
      <c r="CX96" s="8">
        <f t="shared" si="404"/>
        <v>1009</v>
      </c>
      <c r="CY96" s="8">
        <f t="shared" si="404"/>
        <v>843</v>
      </c>
      <c r="CZ96" s="8">
        <f t="shared" si="404"/>
        <v>0</v>
      </c>
      <c r="DA96" s="8">
        <f t="shared" si="404"/>
        <v>269</v>
      </c>
      <c r="DB96" s="8">
        <f t="shared" si="404"/>
        <v>2</v>
      </c>
      <c r="DC96" s="38">
        <f>SUM(CP96:DB96)</f>
        <v>9377</v>
      </c>
      <c r="DD96" s="107"/>
      <c r="DE96" s="297" t="s">
        <v>45</v>
      </c>
      <c r="DF96" s="304" t="s">
        <v>9</v>
      </c>
      <c r="DG96" s="19" t="s">
        <v>24</v>
      </c>
      <c r="DH96" s="8">
        <f>SUM(DH6+DH13+DH20+DH27+DH34+DH41+DH48+DH55+DH62+DH69+DH76+DH83)</f>
        <v>1520</v>
      </c>
      <c r="DI96" s="8">
        <f t="shared" ref="DI96:DT96" si="405">SUM(DI6+DI13+DI20+DI27+DI34+DI41+DI48+DI55+DI62+DI69+DI76+DI83)</f>
        <v>13</v>
      </c>
      <c r="DJ96" s="8">
        <f t="shared" si="405"/>
        <v>30</v>
      </c>
      <c r="DK96" s="8">
        <f t="shared" si="405"/>
        <v>432</v>
      </c>
      <c r="DL96" s="8">
        <f t="shared" si="405"/>
        <v>109</v>
      </c>
      <c r="DM96" s="8">
        <f t="shared" si="405"/>
        <v>0</v>
      </c>
      <c r="DN96" s="8">
        <f t="shared" si="405"/>
        <v>1224</v>
      </c>
      <c r="DO96" s="8">
        <f t="shared" si="405"/>
        <v>1264</v>
      </c>
      <c r="DP96" s="8">
        <f t="shared" si="405"/>
        <v>1533</v>
      </c>
      <c r="DQ96" s="8">
        <f t="shared" si="405"/>
        <v>521</v>
      </c>
      <c r="DR96" s="8">
        <f t="shared" si="405"/>
        <v>0</v>
      </c>
      <c r="DS96" s="8">
        <f t="shared" si="405"/>
        <v>145</v>
      </c>
      <c r="DT96" s="8">
        <f t="shared" si="405"/>
        <v>0</v>
      </c>
      <c r="DU96" s="38">
        <f>SUM(DH96:DT96)</f>
        <v>6791</v>
      </c>
      <c r="DV96" s="107"/>
      <c r="DW96" s="297" t="s">
        <v>45</v>
      </c>
      <c r="DX96" s="304" t="s">
        <v>9</v>
      </c>
      <c r="DY96" s="19" t="s">
        <v>24</v>
      </c>
      <c r="DZ96" s="8">
        <f>SUM(DZ6+DZ13+DZ20+DZ27+DZ34+DZ41+DZ48+DZ55+DZ62+DZ69+DZ76+DZ83)</f>
        <v>1784</v>
      </c>
      <c r="EA96" s="8">
        <f t="shared" ref="EA96:EL96" si="406">SUM(EA6+EA13+EA20+EA27+EA34+EA41+EA48+EA55+EA62+EA69+EA76+EA83)</f>
        <v>7</v>
      </c>
      <c r="EB96" s="8">
        <f t="shared" si="406"/>
        <v>69</v>
      </c>
      <c r="EC96" s="8">
        <f t="shared" si="406"/>
        <v>317</v>
      </c>
      <c r="ED96" s="8">
        <f t="shared" si="406"/>
        <v>182</v>
      </c>
      <c r="EE96" s="8">
        <f t="shared" si="406"/>
        <v>0</v>
      </c>
      <c r="EF96" s="8">
        <f t="shared" si="406"/>
        <v>2225</v>
      </c>
      <c r="EG96" s="8">
        <f t="shared" si="406"/>
        <v>2455</v>
      </c>
      <c r="EH96" s="8">
        <f t="shared" si="406"/>
        <v>923</v>
      </c>
      <c r="EI96" s="8">
        <f t="shared" si="406"/>
        <v>878</v>
      </c>
      <c r="EJ96" s="8">
        <f t="shared" si="406"/>
        <v>0</v>
      </c>
      <c r="EK96" s="8">
        <f t="shared" si="406"/>
        <v>262</v>
      </c>
      <c r="EL96" s="8">
        <f t="shared" si="406"/>
        <v>2</v>
      </c>
      <c r="EM96" s="38">
        <f>SUM(DZ96:EL96)</f>
        <v>9104</v>
      </c>
      <c r="EN96" s="107"/>
      <c r="EO96" s="297" t="s">
        <v>45</v>
      </c>
      <c r="EP96" s="304" t="s">
        <v>9</v>
      </c>
      <c r="EQ96" s="19" t="s">
        <v>24</v>
      </c>
      <c r="ER96" s="8">
        <f>SUM(ER6+ER13+ER20+ER27+ER34+ER41+ER48+ER55+ER62+ER69+ER76+ER83)</f>
        <v>720</v>
      </c>
      <c r="ES96" s="8">
        <f t="shared" ref="ES96:FD96" si="407">SUM(ES6+ES13+ES20+ES27+ES34+ES41+ES48+ES55+ES62+ES69+ES76+ES83)</f>
        <v>16</v>
      </c>
      <c r="ET96" s="8">
        <f t="shared" si="407"/>
        <v>52</v>
      </c>
      <c r="EU96" s="8">
        <f t="shared" si="407"/>
        <v>487</v>
      </c>
      <c r="EV96" s="8">
        <f t="shared" si="407"/>
        <v>100</v>
      </c>
      <c r="EW96" s="8">
        <f t="shared" si="407"/>
        <v>0</v>
      </c>
      <c r="EX96" s="8">
        <f t="shared" si="407"/>
        <v>587</v>
      </c>
      <c r="EY96" s="8">
        <f t="shared" si="407"/>
        <v>1211</v>
      </c>
      <c r="EZ96" s="8">
        <f t="shared" si="407"/>
        <v>494</v>
      </c>
      <c r="FA96" s="8">
        <f t="shared" si="407"/>
        <v>324</v>
      </c>
      <c r="FB96" s="8">
        <f t="shared" si="407"/>
        <v>0</v>
      </c>
      <c r="FC96" s="8">
        <f t="shared" si="407"/>
        <v>95</v>
      </c>
      <c r="FD96" s="8">
        <f t="shared" si="407"/>
        <v>0</v>
      </c>
      <c r="FE96" s="38">
        <f>SUM(ER96:FD96)</f>
        <v>4086</v>
      </c>
      <c r="FF96" s="107"/>
      <c r="FG96" s="297" t="s">
        <v>45</v>
      </c>
      <c r="FH96" s="304" t="s">
        <v>9</v>
      </c>
      <c r="FI96" s="19" t="s">
        <v>24</v>
      </c>
      <c r="FJ96" s="8">
        <f>SUM(FJ6+FJ13+FJ20+FJ27+FJ34+FJ41+FJ48+FJ55+FJ62+FJ69+FJ76+FJ83)</f>
        <v>1521</v>
      </c>
      <c r="FK96" s="8">
        <f t="shared" ref="FK96:FV96" si="408">SUM(FK6+FK13+FK20+FK27+FK34+FK41+FK48+FK55+FK62+FK69+FK76+FK83)</f>
        <v>19</v>
      </c>
      <c r="FL96" s="8">
        <f t="shared" si="408"/>
        <v>53</v>
      </c>
      <c r="FM96" s="8">
        <f t="shared" si="408"/>
        <v>438</v>
      </c>
      <c r="FN96" s="8">
        <f t="shared" si="408"/>
        <v>54</v>
      </c>
      <c r="FO96" s="8">
        <f t="shared" si="408"/>
        <v>0</v>
      </c>
      <c r="FP96" s="8">
        <f t="shared" si="408"/>
        <v>731</v>
      </c>
      <c r="FQ96" s="8">
        <f t="shared" si="408"/>
        <v>1341</v>
      </c>
      <c r="FR96" s="8">
        <f t="shared" si="408"/>
        <v>888</v>
      </c>
      <c r="FS96" s="8">
        <f t="shared" si="408"/>
        <v>488</v>
      </c>
      <c r="FT96" s="8">
        <f t="shared" si="408"/>
        <v>0</v>
      </c>
      <c r="FU96" s="8">
        <f t="shared" si="408"/>
        <v>147</v>
      </c>
      <c r="FV96" s="8">
        <f t="shared" si="408"/>
        <v>0</v>
      </c>
      <c r="FW96" s="38">
        <f>SUM(FJ96:FV96)</f>
        <v>5680</v>
      </c>
      <c r="FX96" s="107"/>
      <c r="FY96" s="297" t="s">
        <v>45</v>
      </c>
      <c r="FZ96" s="304" t="s">
        <v>9</v>
      </c>
      <c r="GA96" s="19" t="s">
        <v>24</v>
      </c>
      <c r="GB96" s="8">
        <f>SUM(GB6+GB13+GB20+GB27+GB34+GB41+GB48+GB55+GB62+GB69+GB76+GB83)</f>
        <v>0</v>
      </c>
      <c r="GC96" s="8">
        <f t="shared" ref="GC96:GN96" si="409">SUM(GC6+GC13+GC20+GC27+GC34+GC41+GC48+GC55+GC62+GC69+GC76+GC83)</f>
        <v>0</v>
      </c>
      <c r="GD96" s="8">
        <f t="shared" si="409"/>
        <v>0</v>
      </c>
      <c r="GE96" s="8">
        <f t="shared" si="409"/>
        <v>0</v>
      </c>
      <c r="GF96" s="8">
        <f t="shared" si="409"/>
        <v>0</v>
      </c>
      <c r="GG96" s="8">
        <f t="shared" si="409"/>
        <v>0</v>
      </c>
      <c r="GH96" s="8">
        <f t="shared" si="409"/>
        <v>0</v>
      </c>
      <c r="GI96" s="8">
        <f t="shared" si="409"/>
        <v>0</v>
      </c>
      <c r="GJ96" s="8">
        <f t="shared" si="409"/>
        <v>0</v>
      </c>
      <c r="GK96" s="8">
        <f t="shared" si="409"/>
        <v>0</v>
      </c>
      <c r="GL96" s="8">
        <f t="shared" si="409"/>
        <v>0</v>
      </c>
      <c r="GM96" s="8">
        <f t="shared" si="409"/>
        <v>0</v>
      </c>
      <c r="GN96" s="8">
        <f t="shared" si="409"/>
        <v>0</v>
      </c>
      <c r="GO96" s="38">
        <f>SUM(GB96:GN96)</f>
        <v>0</v>
      </c>
      <c r="GP96" s="107"/>
      <c r="GQ96" s="297" t="s">
        <v>45</v>
      </c>
      <c r="GR96" s="304" t="s">
        <v>9</v>
      </c>
      <c r="GS96" s="19" t="s">
        <v>24</v>
      </c>
      <c r="GT96" s="8">
        <f>SUM(GT6+GT13+GT20+GT27+GT34+GT41+GT48+GT55+GT62+GT69+GT76+GT83)</f>
        <v>0</v>
      </c>
      <c r="GU96" s="8">
        <f t="shared" ref="GU96:HF96" si="410">SUM(GU6+GU13+GU20+GU27+GU34+GU41+GU48+GU55+GU62+GU69+GU76+GU83)</f>
        <v>0</v>
      </c>
      <c r="GV96" s="8">
        <f t="shared" si="410"/>
        <v>0</v>
      </c>
      <c r="GW96" s="8">
        <f t="shared" si="410"/>
        <v>0</v>
      </c>
      <c r="GX96" s="8">
        <f t="shared" si="410"/>
        <v>0</v>
      </c>
      <c r="GY96" s="8">
        <f t="shared" si="410"/>
        <v>0</v>
      </c>
      <c r="GZ96" s="8">
        <f t="shared" si="410"/>
        <v>0</v>
      </c>
      <c r="HA96" s="8">
        <f t="shared" si="410"/>
        <v>0</v>
      </c>
      <c r="HB96" s="8">
        <f t="shared" si="410"/>
        <v>0</v>
      </c>
      <c r="HC96" s="8">
        <f t="shared" si="410"/>
        <v>0</v>
      </c>
      <c r="HD96" s="8">
        <f t="shared" si="410"/>
        <v>0</v>
      </c>
      <c r="HE96" s="8">
        <f t="shared" si="410"/>
        <v>0</v>
      </c>
      <c r="HF96" s="8">
        <f t="shared" si="410"/>
        <v>0</v>
      </c>
      <c r="HG96" s="38">
        <f>SUM(GT96:HF96)</f>
        <v>0</v>
      </c>
      <c r="HH96" s="107"/>
      <c r="HI96" s="297" t="str">
        <f>(GQ96)</f>
        <v>إجمالي مراكز مستشفى شرق جدة</v>
      </c>
      <c r="HJ96" s="304" t="s">
        <v>9</v>
      </c>
      <c r="HK96" s="19" t="s">
        <v>24</v>
      </c>
      <c r="HL96" s="8">
        <f>SUM(HL6+HL13+HL20+HL27+HL34+HL41+HL48+HL55+HL62+HL69+HL76+HL83)</f>
        <v>13399</v>
      </c>
      <c r="HM96" s="8">
        <f t="shared" ref="HM96:HX97" si="411">SUM(HM6+HM13+HM20+HM27+HM34+HM41+HM48+HM55+HM62+HM69+HM76+HM83)</f>
        <v>145</v>
      </c>
      <c r="HN96" s="8">
        <f t="shared" si="411"/>
        <v>526</v>
      </c>
      <c r="HO96" s="8">
        <f t="shared" si="411"/>
        <v>3635</v>
      </c>
      <c r="HP96" s="8">
        <f t="shared" si="411"/>
        <v>1283</v>
      </c>
      <c r="HQ96" s="8">
        <f t="shared" si="411"/>
        <v>0</v>
      </c>
      <c r="HR96" s="8">
        <f t="shared" si="411"/>
        <v>11808</v>
      </c>
      <c r="HS96" s="8">
        <f t="shared" si="411"/>
        <v>14856</v>
      </c>
      <c r="HT96" s="8">
        <f t="shared" si="411"/>
        <v>11146</v>
      </c>
      <c r="HU96" s="8">
        <f t="shared" si="411"/>
        <v>5581</v>
      </c>
      <c r="HV96" s="8">
        <f t="shared" si="411"/>
        <v>0</v>
      </c>
      <c r="HW96" s="8">
        <f t="shared" si="411"/>
        <v>1502</v>
      </c>
      <c r="HX96" s="8">
        <f t="shared" si="411"/>
        <v>6</v>
      </c>
      <c r="HY96" s="38">
        <f>SUM(HL96:HX96)</f>
        <v>63887</v>
      </c>
      <c r="HZ96" s="28"/>
    </row>
    <row r="97" spans="1:234" s="11" customFormat="1" ht="20.100000000000001" customHeight="1" thickBot="1" x14ac:dyDescent="0.25">
      <c r="A97" s="298"/>
      <c r="B97" s="305"/>
      <c r="C97" s="20" t="s">
        <v>25</v>
      </c>
      <c r="D97" s="8">
        <f>SUM(D7+D14+D21+D28+D35+D42+D49+D56+D63+D70+D77+D84)</f>
        <v>2260</v>
      </c>
      <c r="E97" s="8">
        <f t="shared" si="399"/>
        <v>21</v>
      </c>
      <c r="F97" s="8">
        <f t="shared" si="399"/>
        <v>204</v>
      </c>
      <c r="G97" s="8">
        <f t="shared" si="399"/>
        <v>487</v>
      </c>
      <c r="H97" s="8">
        <f t="shared" si="399"/>
        <v>141</v>
      </c>
      <c r="I97" s="8">
        <f t="shared" si="399"/>
        <v>0</v>
      </c>
      <c r="J97" s="8">
        <f t="shared" si="399"/>
        <v>1021</v>
      </c>
      <c r="K97" s="8">
        <f t="shared" si="399"/>
        <v>1115</v>
      </c>
      <c r="L97" s="8">
        <f t="shared" si="399"/>
        <v>3005</v>
      </c>
      <c r="M97" s="8">
        <f t="shared" si="399"/>
        <v>1011</v>
      </c>
      <c r="N97" s="8">
        <f t="shared" si="399"/>
        <v>160</v>
      </c>
      <c r="O97" s="8">
        <f t="shared" si="399"/>
        <v>114</v>
      </c>
      <c r="P97" s="8">
        <f t="shared" si="399"/>
        <v>0</v>
      </c>
      <c r="Q97" s="130">
        <f>SUM(D97:P97)</f>
        <v>9539</v>
      </c>
      <c r="R97" s="133"/>
      <c r="S97" s="298"/>
      <c r="T97" s="305"/>
      <c r="U97" s="20" t="s">
        <v>25</v>
      </c>
      <c r="V97" s="8">
        <f>SUM(V7+V14+V21+V28+V35+V42+V49+V56+V63+V70+V77+V84)</f>
        <v>1125</v>
      </c>
      <c r="W97" s="8">
        <f t="shared" ref="W97:AH97" si="412">SUM(W7+W14+W21+W28+W35+W42+W49+W56+W63+W70+W77+W84)</f>
        <v>17</v>
      </c>
      <c r="X97" s="8">
        <f t="shared" si="412"/>
        <v>62</v>
      </c>
      <c r="Y97" s="8">
        <f t="shared" si="412"/>
        <v>365</v>
      </c>
      <c r="Z97" s="8">
        <f t="shared" si="412"/>
        <v>307</v>
      </c>
      <c r="AA97" s="8">
        <f t="shared" si="412"/>
        <v>0</v>
      </c>
      <c r="AB97" s="8">
        <f t="shared" si="412"/>
        <v>321</v>
      </c>
      <c r="AC97" s="8">
        <f t="shared" si="412"/>
        <v>1160</v>
      </c>
      <c r="AD97" s="8">
        <f t="shared" si="412"/>
        <v>2427</v>
      </c>
      <c r="AE97" s="8">
        <f t="shared" si="412"/>
        <v>549</v>
      </c>
      <c r="AF97" s="8">
        <f t="shared" si="412"/>
        <v>169</v>
      </c>
      <c r="AG97" s="8">
        <f t="shared" si="412"/>
        <v>142</v>
      </c>
      <c r="AH97" s="8">
        <f t="shared" si="412"/>
        <v>0</v>
      </c>
      <c r="AI97" s="130">
        <f>SUM(V97:AH97)</f>
        <v>6644</v>
      </c>
      <c r="AJ97" s="133"/>
      <c r="AK97" s="298"/>
      <c r="AL97" s="305"/>
      <c r="AM97" s="20" t="s">
        <v>25</v>
      </c>
      <c r="AN97" s="8">
        <f>SUM(AN7+AN14+AN21+AN28+AN35+AN42+AN49+AN56+AN63+AN70+AN77+AN84)</f>
        <v>1473</v>
      </c>
      <c r="AO97" s="8">
        <f t="shared" ref="AO97:AZ97" si="413">SUM(AO7+AO14+AO21+AO28+AO35+AO42+AO49+AO56+AO63+AO70+AO77+AO84)</f>
        <v>35</v>
      </c>
      <c r="AP97" s="8">
        <f t="shared" si="413"/>
        <v>243</v>
      </c>
      <c r="AQ97" s="8">
        <f t="shared" si="413"/>
        <v>367</v>
      </c>
      <c r="AR97" s="8">
        <f t="shared" si="413"/>
        <v>212</v>
      </c>
      <c r="AS97" s="8">
        <f t="shared" si="413"/>
        <v>26</v>
      </c>
      <c r="AT97" s="8">
        <f t="shared" si="413"/>
        <v>1761</v>
      </c>
      <c r="AU97" s="8">
        <f t="shared" si="413"/>
        <v>1292</v>
      </c>
      <c r="AV97" s="8">
        <f t="shared" si="413"/>
        <v>1054</v>
      </c>
      <c r="AW97" s="8">
        <f t="shared" si="413"/>
        <v>855</v>
      </c>
      <c r="AX97" s="8">
        <f t="shared" si="413"/>
        <v>138</v>
      </c>
      <c r="AY97" s="8">
        <f t="shared" si="413"/>
        <v>148</v>
      </c>
      <c r="AZ97" s="8">
        <f t="shared" si="413"/>
        <v>5</v>
      </c>
      <c r="BA97" s="130">
        <f>SUM(AN97:AZ97)</f>
        <v>7609</v>
      </c>
      <c r="BB97" s="133"/>
      <c r="BC97" s="298"/>
      <c r="BD97" s="305"/>
      <c r="BE97" s="20" t="s">
        <v>25</v>
      </c>
      <c r="BF97" s="8">
        <f>SUM(BF7+BF14+BF21+BF28+BF35+BF42+BF49+BF56+BF63+BF70+BF77+BF84)</f>
        <v>1097</v>
      </c>
      <c r="BG97" s="8">
        <f t="shared" ref="BG97:BR97" si="414">SUM(BG7+BG14+BG21+BG28+BG35+BG42+BG49+BG56+BG63+BG70+BG77+BG84)</f>
        <v>13</v>
      </c>
      <c r="BH97" s="8">
        <f t="shared" si="414"/>
        <v>96</v>
      </c>
      <c r="BI97" s="8">
        <f t="shared" si="414"/>
        <v>212</v>
      </c>
      <c r="BJ97" s="8">
        <f t="shared" si="414"/>
        <v>459</v>
      </c>
      <c r="BK97" s="8">
        <f t="shared" si="414"/>
        <v>2</v>
      </c>
      <c r="BL97" s="8">
        <f t="shared" si="414"/>
        <v>717</v>
      </c>
      <c r="BM97" s="8">
        <f t="shared" si="414"/>
        <v>1207</v>
      </c>
      <c r="BN97" s="8">
        <f t="shared" si="414"/>
        <v>1542</v>
      </c>
      <c r="BO97" s="8">
        <f t="shared" si="414"/>
        <v>365</v>
      </c>
      <c r="BP97" s="8">
        <f t="shared" si="414"/>
        <v>132</v>
      </c>
      <c r="BQ97" s="8">
        <f t="shared" si="414"/>
        <v>159</v>
      </c>
      <c r="BR97" s="8">
        <f t="shared" si="414"/>
        <v>0</v>
      </c>
      <c r="BS97" s="130">
        <f>SUM(BF97:BR97)</f>
        <v>6001</v>
      </c>
      <c r="BT97" s="133"/>
      <c r="BU97" s="298"/>
      <c r="BV97" s="305"/>
      <c r="BW97" s="20" t="s">
        <v>25</v>
      </c>
      <c r="BX97" s="8">
        <f>SUM(BX7+BX14+BX21+BX28+BX35+BX42+BX49+BX56+BX63+BX70+BX77+BX84)</f>
        <v>1467</v>
      </c>
      <c r="BY97" s="8">
        <f t="shared" ref="BY97:CJ97" si="415">SUM(BY7+BY14+BY21+BY28+BY35+BY42+BY49+BY56+BY63+BY70+BY77+BY84)</f>
        <v>24</v>
      </c>
      <c r="BZ97" s="8">
        <f t="shared" si="415"/>
        <v>309</v>
      </c>
      <c r="CA97" s="8">
        <f t="shared" si="415"/>
        <v>427</v>
      </c>
      <c r="CB97" s="8">
        <f t="shared" si="415"/>
        <v>274</v>
      </c>
      <c r="CC97" s="8">
        <f t="shared" si="415"/>
        <v>63</v>
      </c>
      <c r="CD97" s="8">
        <f t="shared" si="415"/>
        <v>1133</v>
      </c>
      <c r="CE97" s="8">
        <f t="shared" si="415"/>
        <v>2208</v>
      </c>
      <c r="CF97" s="8">
        <f t="shared" si="415"/>
        <v>1374</v>
      </c>
      <c r="CG97" s="8">
        <f t="shared" si="415"/>
        <v>901</v>
      </c>
      <c r="CH97" s="8">
        <f t="shared" si="415"/>
        <v>275</v>
      </c>
      <c r="CI97" s="8">
        <f t="shared" si="415"/>
        <v>78</v>
      </c>
      <c r="CJ97" s="8">
        <f t="shared" si="415"/>
        <v>0</v>
      </c>
      <c r="CK97" s="130">
        <f>SUM(BX97:CJ97)</f>
        <v>8533</v>
      </c>
      <c r="CL97" s="133"/>
      <c r="CM97" s="298"/>
      <c r="CN97" s="305"/>
      <c r="CO97" s="20" t="s">
        <v>25</v>
      </c>
      <c r="CP97" s="8">
        <f>SUM(CP7+CP14+CP21+CP28+CP35+CP42+CP49+CP56+CP63+CP70+CP77+CP84)</f>
        <v>2621</v>
      </c>
      <c r="CQ97" s="8">
        <f t="shared" ref="CQ97:DB97" si="416">SUM(CQ7+CQ14+CQ21+CQ28+CQ35+CQ42+CQ49+CQ56+CQ63+CQ70+CQ77+CQ84)</f>
        <v>21</v>
      </c>
      <c r="CR97" s="8">
        <f t="shared" si="416"/>
        <v>205</v>
      </c>
      <c r="CS97" s="8">
        <f t="shared" si="416"/>
        <v>408</v>
      </c>
      <c r="CT97" s="8">
        <f t="shared" si="416"/>
        <v>340</v>
      </c>
      <c r="CU97" s="8">
        <f t="shared" si="416"/>
        <v>72</v>
      </c>
      <c r="CV97" s="8">
        <f t="shared" si="416"/>
        <v>4070</v>
      </c>
      <c r="CW97" s="8">
        <f t="shared" si="416"/>
        <v>2646</v>
      </c>
      <c r="CX97" s="8">
        <f t="shared" si="416"/>
        <v>1308</v>
      </c>
      <c r="CY97" s="8">
        <f t="shared" si="416"/>
        <v>1024</v>
      </c>
      <c r="CZ97" s="8">
        <f t="shared" si="416"/>
        <v>383</v>
      </c>
      <c r="DA97" s="8">
        <f t="shared" si="416"/>
        <v>198</v>
      </c>
      <c r="DB97" s="8">
        <f t="shared" si="416"/>
        <v>5</v>
      </c>
      <c r="DC97" s="39">
        <f>SUM(CP97:DB97)</f>
        <v>13301</v>
      </c>
      <c r="DD97" s="107"/>
      <c r="DE97" s="298"/>
      <c r="DF97" s="305"/>
      <c r="DG97" s="20" t="s">
        <v>25</v>
      </c>
      <c r="DH97" s="8">
        <f>SUM(DH7+DH14+DH21+DH28+DH35+DH42+DH49+DH56+DH63+DH70+DH77+DH84)</f>
        <v>2054</v>
      </c>
      <c r="DI97" s="8">
        <f t="shared" ref="DI97:DT97" si="417">SUM(DI7+DI14+DI21+DI28+DI35+DI42+DI49+DI56+DI63+DI70+DI77+DI84)</f>
        <v>20</v>
      </c>
      <c r="DJ97" s="8">
        <f t="shared" si="417"/>
        <v>68</v>
      </c>
      <c r="DK97" s="8">
        <f t="shared" si="417"/>
        <v>466</v>
      </c>
      <c r="DL97" s="8">
        <f t="shared" si="417"/>
        <v>321</v>
      </c>
      <c r="DM97" s="8">
        <f t="shared" si="417"/>
        <v>0</v>
      </c>
      <c r="DN97" s="8">
        <f t="shared" si="417"/>
        <v>317</v>
      </c>
      <c r="DO97" s="8">
        <f t="shared" si="417"/>
        <v>1565</v>
      </c>
      <c r="DP97" s="8">
        <f t="shared" si="417"/>
        <v>2722</v>
      </c>
      <c r="DQ97" s="8">
        <f t="shared" si="417"/>
        <v>656</v>
      </c>
      <c r="DR97" s="8">
        <f t="shared" si="417"/>
        <v>186</v>
      </c>
      <c r="DS97" s="8">
        <f t="shared" si="417"/>
        <v>157</v>
      </c>
      <c r="DT97" s="8">
        <f t="shared" si="417"/>
        <v>0</v>
      </c>
      <c r="DU97" s="39">
        <f>SUM(DH97:DT97)</f>
        <v>8532</v>
      </c>
      <c r="DV97" s="107"/>
      <c r="DW97" s="298"/>
      <c r="DX97" s="305"/>
      <c r="DY97" s="20" t="s">
        <v>25</v>
      </c>
      <c r="DZ97" s="8">
        <f>SUM(DZ7+DZ14+DZ21+DZ28+DZ35+DZ42+DZ49+DZ56+DZ63+DZ70+DZ77+DZ84)</f>
        <v>2526</v>
      </c>
      <c r="EA97" s="8">
        <f t="shared" ref="EA97:EL97" si="418">SUM(EA7+EA14+EA21+EA28+EA35+EA42+EA49+EA56+EA63+EA70+EA77+EA84)</f>
        <v>20</v>
      </c>
      <c r="EB97" s="8">
        <f t="shared" si="418"/>
        <v>205</v>
      </c>
      <c r="EC97" s="8">
        <f t="shared" si="418"/>
        <v>422</v>
      </c>
      <c r="ED97" s="8">
        <f t="shared" si="418"/>
        <v>340</v>
      </c>
      <c r="EE97" s="8">
        <f t="shared" si="418"/>
        <v>72</v>
      </c>
      <c r="EF97" s="8">
        <f t="shared" si="418"/>
        <v>3687</v>
      </c>
      <c r="EG97" s="8">
        <f t="shared" si="418"/>
        <v>2716</v>
      </c>
      <c r="EH97" s="8">
        <f t="shared" si="418"/>
        <v>1206</v>
      </c>
      <c r="EI97" s="8">
        <f t="shared" si="418"/>
        <v>1092</v>
      </c>
      <c r="EJ97" s="8">
        <f t="shared" si="418"/>
        <v>380</v>
      </c>
      <c r="EK97" s="8">
        <f t="shared" si="418"/>
        <v>198</v>
      </c>
      <c r="EL97" s="8">
        <f t="shared" si="418"/>
        <v>5</v>
      </c>
      <c r="EM97" s="39">
        <f>SUM(DZ97:EL97)</f>
        <v>12869</v>
      </c>
      <c r="EN97" s="107"/>
      <c r="EO97" s="298"/>
      <c r="EP97" s="305"/>
      <c r="EQ97" s="20" t="s">
        <v>25</v>
      </c>
      <c r="ER97" s="8">
        <f>SUM(ER7+ER14+ER21+ER28+ER35+ER42+ER49+ER56+ER63+ER70+ER77+ER84)</f>
        <v>881</v>
      </c>
      <c r="ES97" s="8">
        <f t="shared" ref="ES97:FD97" si="419">SUM(ES7+ES14+ES21+ES28+ES35+ES42+ES49+ES56+ES63+ES70+ES77+ES84)</f>
        <v>20</v>
      </c>
      <c r="ET97" s="8">
        <f t="shared" si="419"/>
        <v>261</v>
      </c>
      <c r="EU97" s="8">
        <f t="shared" si="419"/>
        <v>817</v>
      </c>
      <c r="EV97" s="8">
        <f t="shared" si="419"/>
        <v>301</v>
      </c>
      <c r="EW97" s="8">
        <f t="shared" si="419"/>
        <v>0</v>
      </c>
      <c r="EX97" s="8">
        <f t="shared" si="419"/>
        <v>777</v>
      </c>
      <c r="EY97" s="8">
        <f t="shared" si="419"/>
        <v>1325</v>
      </c>
      <c r="EZ97" s="8">
        <f t="shared" si="419"/>
        <v>586</v>
      </c>
      <c r="FA97" s="8">
        <f t="shared" si="419"/>
        <v>404</v>
      </c>
      <c r="FB97" s="8">
        <f t="shared" si="419"/>
        <v>291</v>
      </c>
      <c r="FC97" s="8">
        <f t="shared" si="419"/>
        <v>109</v>
      </c>
      <c r="FD97" s="8">
        <f t="shared" si="419"/>
        <v>0</v>
      </c>
      <c r="FE97" s="39">
        <f>SUM(ER97:FD97)</f>
        <v>5772</v>
      </c>
      <c r="FF97" s="107"/>
      <c r="FG97" s="298"/>
      <c r="FH97" s="305"/>
      <c r="FI97" s="20" t="s">
        <v>25</v>
      </c>
      <c r="FJ97" s="8">
        <f>SUM(FJ7+FJ14+FJ21+FJ28+FJ35+FJ42+FJ49+FJ56+FJ63+FJ70+FJ77+FJ84)</f>
        <v>1971</v>
      </c>
      <c r="FK97" s="8">
        <f t="shared" ref="FK97:FV97" si="420">SUM(FK7+FK14+FK21+FK28+FK35+FK42+FK49+FK56+FK63+FK70+FK77+FK84)</f>
        <v>27</v>
      </c>
      <c r="FL97" s="8">
        <f t="shared" si="420"/>
        <v>87</v>
      </c>
      <c r="FM97" s="8">
        <f t="shared" si="420"/>
        <v>472</v>
      </c>
      <c r="FN97" s="8">
        <f t="shared" si="420"/>
        <v>64</v>
      </c>
      <c r="FO97" s="8">
        <f t="shared" si="420"/>
        <v>0</v>
      </c>
      <c r="FP97" s="8">
        <f t="shared" si="420"/>
        <v>1026</v>
      </c>
      <c r="FQ97" s="8">
        <f t="shared" si="420"/>
        <v>1988</v>
      </c>
      <c r="FR97" s="8">
        <f t="shared" si="420"/>
        <v>1262</v>
      </c>
      <c r="FS97" s="8">
        <f t="shared" si="420"/>
        <v>655</v>
      </c>
      <c r="FT97" s="8">
        <f t="shared" si="420"/>
        <v>107</v>
      </c>
      <c r="FU97" s="8">
        <f t="shared" si="420"/>
        <v>120</v>
      </c>
      <c r="FV97" s="8">
        <f t="shared" si="420"/>
        <v>0</v>
      </c>
      <c r="FW97" s="39">
        <f>SUM(FJ97:FV97)</f>
        <v>7779</v>
      </c>
      <c r="FX97" s="107"/>
      <c r="FY97" s="298"/>
      <c r="FZ97" s="305"/>
      <c r="GA97" s="20" t="s">
        <v>25</v>
      </c>
      <c r="GB97" s="8">
        <f>SUM(GB7+GB14+GB21+GB28+GB35+GB42+GB49+GB56+GB63+GB70+GB77+GB84)</f>
        <v>0</v>
      </c>
      <c r="GC97" s="8">
        <f t="shared" ref="GC97:GN97" si="421">SUM(GC7+GC14+GC21+GC28+GC35+GC42+GC49+GC56+GC63+GC70+GC77+GC84)</f>
        <v>0</v>
      </c>
      <c r="GD97" s="8">
        <f t="shared" si="421"/>
        <v>0</v>
      </c>
      <c r="GE97" s="8">
        <f t="shared" si="421"/>
        <v>0</v>
      </c>
      <c r="GF97" s="8">
        <f t="shared" si="421"/>
        <v>0</v>
      </c>
      <c r="GG97" s="8">
        <f t="shared" si="421"/>
        <v>0</v>
      </c>
      <c r="GH97" s="8">
        <f t="shared" si="421"/>
        <v>0</v>
      </c>
      <c r="GI97" s="8">
        <f t="shared" si="421"/>
        <v>0</v>
      </c>
      <c r="GJ97" s="8">
        <f t="shared" si="421"/>
        <v>0</v>
      </c>
      <c r="GK97" s="8">
        <f t="shared" si="421"/>
        <v>0</v>
      </c>
      <c r="GL97" s="8">
        <f t="shared" si="421"/>
        <v>0</v>
      </c>
      <c r="GM97" s="8">
        <f t="shared" si="421"/>
        <v>0</v>
      </c>
      <c r="GN97" s="8">
        <f t="shared" si="421"/>
        <v>0</v>
      </c>
      <c r="GO97" s="39">
        <f>SUM(GB97:GN97)</f>
        <v>0</v>
      </c>
      <c r="GP97" s="107"/>
      <c r="GQ97" s="298"/>
      <c r="GR97" s="305"/>
      <c r="GS97" s="20" t="s">
        <v>25</v>
      </c>
      <c r="GT97" s="8">
        <f>SUM(GT7+GT14+GT21+GT28+GT35+GT42+GT49+GT56+GT63+GT70+GT77+GT84)</f>
        <v>0</v>
      </c>
      <c r="GU97" s="8">
        <f t="shared" ref="GU97:HF97" si="422">SUM(GU7+GU14+GU21+GU28+GU35+GU42+GU49+GU56+GU63+GU70+GU77+GU84)</f>
        <v>0</v>
      </c>
      <c r="GV97" s="8">
        <f t="shared" si="422"/>
        <v>0</v>
      </c>
      <c r="GW97" s="8">
        <f t="shared" si="422"/>
        <v>0</v>
      </c>
      <c r="GX97" s="8">
        <f t="shared" si="422"/>
        <v>0</v>
      </c>
      <c r="GY97" s="8">
        <f t="shared" si="422"/>
        <v>0</v>
      </c>
      <c r="GZ97" s="8">
        <f t="shared" si="422"/>
        <v>0</v>
      </c>
      <c r="HA97" s="8">
        <f t="shared" si="422"/>
        <v>0</v>
      </c>
      <c r="HB97" s="8">
        <f t="shared" si="422"/>
        <v>0</v>
      </c>
      <c r="HC97" s="8">
        <f t="shared" si="422"/>
        <v>0</v>
      </c>
      <c r="HD97" s="8">
        <f t="shared" si="422"/>
        <v>0</v>
      </c>
      <c r="HE97" s="8">
        <f t="shared" si="422"/>
        <v>0</v>
      </c>
      <c r="HF97" s="8">
        <f t="shared" si="422"/>
        <v>0</v>
      </c>
      <c r="HG97" s="39">
        <f>SUM(GT97:HF97)</f>
        <v>0</v>
      </c>
      <c r="HH97" s="107"/>
      <c r="HI97" s="298"/>
      <c r="HJ97" s="305"/>
      <c r="HK97" s="20" t="s">
        <v>25</v>
      </c>
      <c r="HL97" s="8">
        <f>SUM(HL7+HL14+HL21+HL28+HL35+HL42+HL49+HL56+HL63+HL70+HL77+HL84)</f>
        <v>17475</v>
      </c>
      <c r="HM97" s="8">
        <f t="shared" si="411"/>
        <v>218</v>
      </c>
      <c r="HN97" s="8">
        <f t="shared" si="411"/>
        <v>1740</v>
      </c>
      <c r="HO97" s="8">
        <f t="shared" si="411"/>
        <v>4443</v>
      </c>
      <c r="HP97" s="8">
        <f t="shared" si="411"/>
        <v>2759</v>
      </c>
      <c r="HQ97" s="8">
        <f t="shared" si="411"/>
        <v>235</v>
      </c>
      <c r="HR97" s="8">
        <f t="shared" si="411"/>
        <v>14830</v>
      </c>
      <c r="HS97" s="8">
        <f t="shared" si="411"/>
        <v>17222</v>
      </c>
      <c r="HT97" s="8">
        <f t="shared" si="411"/>
        <v>16486</v>
      </c>
      <c r="HU97" s="8">
        <f t="shared" si="411"/>
        <v>7512</v>
      </c>
      <c r="HV97" s="8">
        <f t="shared" si="411"/>
        <v>2221</v>
      </c>
      <c r="HW97" s="8">
        <f t="shared" si="411"/>
        <v>1423</v>
      </c>
      <c r="HX97" s="8">
        <f t="shared" si="411"/>
        <v>15</v>
      </c>
      <c r="HY97" s="39">
        <f>SUM(HL97:HX97)</f>
        <v>86579</v>
      </c>
      <c r="HZ97" s="28"/>
    </row>
    <row r="98" spans="1:234" s="11" customFormat="1" ht="20.100000000000001" customHeight="1" thickBot="1" x14ac:dyDescent="0.25">
      <c r="A98" s="298"/>
      <c r="B98" s="295" t="s">
        <v>26</v>
      </c>
      <c r="C98" s="296"/>
      <c r="D98" s="302">
        <f>SUM(D96:E97)</f>
        <v>4211</v>
      </c>
      <c r="E98" s="303"/>
      <c r="F98" s="302">
        <f>SUM(F96:J97)</f>
        <v>3271</v>
      </c>
      <c r="G98" s="316"/>
      <c r="H98" s="316"/>
      <c r="I98" s="316"/>
      <c r="J98" s="303"/>
      <c r="K98" s="302">
        <f>SUM(K96:L97)</f>
        <v>6626</v>
      </c>
      <c r="L98" s="303"/>
      <c r="M98" s="302">
        <f>SUM(M96:N97)</f>
        <v>1867</v>
      </c>
      <c r="N98" s="303"/>
      <c r="O98" s="111">
        <f>SUM(O96:O97)</f>
        <v>244</v>
      </c>
      <c r="P98" s="111">
        <f>SUM(P96:P97)</f>
        <v>0</v>
      </c>
      <c r="Q98" s="126">
        <f>SUM(Q96:Q97)</f>
        <v>16219</v>
      </c>
      <c r="R98" s="133"/>
      <c r="S98" s="298"/>
      <c r="T98" s="295" t="s">
        <v>26</v>
      </c>
      <c r="U98" s="296"/>
      <c r="V98" s="302">
        <f>SUM(V96:W97)</f>
        <v>2062</v>
      </c>
      <c r="W98" s="303"/>
      <c r="X98" s="302">
        <f>SUM(X96:AB97)</f>
        <v>2714</v>
      </c>
      <c r="Y98" s="316"/>
      <c r="Z98" s="316"/>
      <c r="AA98" s="316"/>
      <c r="AB98" s="303"/>
      <c r="AC98" s="302">
        <f>SUM(AC96:AD97)</f>
        <v>6029</v>
      </c>
      <c r="AD98" s="303"/>
      <c r="AE98" s="302">
        <f>SUM(AE96:AF97)</f>
        <v>1199</v>
      </c>
      <c r="AF98" s="303"/>
      <c r="AG98" s="111">
        <f>SUM(AG96:AG97)</f>
        <v>282</v>
      </c>
      <c r="AH98" s="111">
        <f>SUM(AH96:AH97)</f>
        <v>0</v>
      </c>
      <c r="AI98" s="126">
        <f>SUM(AI96:AI97)</f>
        <v>12286</v>
      </c>
      <c r="AJ98" s="133"/>
      <c r="AK98" s="298"/>
      <c r="AL98" s="295" t="s">
        <v>26</v>
      </c>
      <c r="AM98" s="296"/>
      <c r="AN98" s="302">
        <f>SUM(AN96:AO97)</f>
        <v>2484</v>
      </c>
      <c r="AO98" s="303"/>
      <c r="AP98" s="302">
        <f>SUM(AP96:AT97)</f>
        <v>4106</v>
      </c>
      <c r="AQ98" s="316"/>
      <c r="AR98" s="316"/>
      <c r="AS98" s="316"/>
      <c r="AT98" s="303"/>
      <c r="AU98" s="302">
        <f>SUM(AU96:AV97)</f>
        <v>4707</v>
      </c>
      <c r="AV98" s="303"/>
      <c r="AW98" s="302">
        <f>SUM(AW96:AX97)</f>
        <v>1458</v>
      </c>
      <c r="AX98" s="303"/>
      <c r="AY98" s="111">
        <f>SUM(AY96:AY97)</f>
        <v>272</v>
      </c>
      <c r="AZ98" s="111">
        <f>SUM(AZ96:AZ97)</f>
        <v>7</v>
      </c>
      <c r="BA98" s="126">
        <f>SUM(BA96:BA97)</f>
        <v>13034</v>
      </c>
      <c r="BB98" s="133"/>
      <c r="BC98" s="298"/>
      <c r="BD98" s="295" t="s">
        <v>26</v>
      </c>
      <c r="BE98" s="296"/>
      <c r="BF98" s="302">
        <f>SUM(BF96:BG97)</f>
        <v>1912</v>
      </c>
      <c r="BG98" s="303"/>
      <c r="BH98" s="302">
        <f>SUM(BH96:BL97)</f>
        <v>2522</v>
      </c>
      <c r="BI98" s="316"/>
      <c r="BJ98" s="316"/>
      <c r="BK98" s="316"/>
      <c r="BL98" s="303"/>
      <c r="BM98" s="302">
        <f>SUM(BM96:BN97)</f>
        <v>4855</v>
      </c>
      <c r="BN98" s="303"/>
      <c r="BO98" s="302">
        <f>SUM(BO96:BP97)</f>
        <v>822</v>
      </c>
      <c r="BP98" s="303"/>
      <c r="BQ98" s="111">
        <f>SUM(BQ96:BQ97)</f>
        <v>256</v>
      </c>
      <c r="BR98" s="111">
        <f>SUM(BR96:BR97)</f>
        <v>0</v>
      </c>
      <c r="BS98" s="126">
        <f>SUM(BS96:BS97)</f>
        <v>10367</v>
      </c>
      <c r="BT98" s="133"/>
      <c r="BU98" s="298"/>
      <c r="BV98" s="295" t="s">
        <v>26</v>
      </c>
      <c r="BW98" s="296"/>
      <c r="BX98" s="302">
        <f>SUM(BX96:BY97)</f>
        <v>2968</v>
      </c>
      <c r="BY98" s="303"/>
      <c r="BZ98" s="302">
        <f>SUM(BZ96:CD97)</f>
        <v>3769</v>
      </c>
      <c r="CA98" s="316"/>
      <c r="CB98" s="316"/>
      <c r="CC98" s="316"/>
      <c r="CD98" s="303"/>
      <c r="CE98" s="302">
        <f>SUM(CE96:CF97)</f>
        <v>6625</v>
      </c>
      <c r="CF98" s="303"/>
      <c r="CG98" s="302">
        <f>SUM(CG96:CH97)</f>
        <v>1736</v>
      </c>
      <c r="CH98" s="303"/>
      <c r="CI98" s="111">
        <f>SUM(CI96:CI97)</f>
        <v>171</v>
      </c>
      <c r="CJ98" s="111">
        <f>SUM(CJ96:CJ97)</f>
        <v>0</v>
      </c>
      <c r="CK98" s="126">
        <f>SUM(CK96:CK97)</f>
        <v>15269</v>
      </c>
      <c r="CL98" s="133"/>
      <c r="CM98" s="298"/>
      <c r="CN98" s="295" t="s">
        <v>26</v>
      </c>
      <c r="CO98" s="296"/>
      <c r="CP98" s="302">
        <f>SUM(CP96:CQ97)</f>
        <v>4481</v>
      </c>
      <c r="CQ98" s="303"/>
      <c r="CR98" s="302">
        <f>SUM(CR96:CV97)</f>
        <v>8084</v>
      </c>
      <c r="CS98" s="316"/>
      <c r="CT98" s="316"/>
      <c r="CU98" s="316"/>
      <c r="CV98" s="303"/>
      <c r="CW98" s="302">
        <f>SUM(CW96:CX97)</f>
        <v>7389</v>
      </c>
      <c r="CX98" s="303"/>
      <c r="CY98" s="302">
        <f>SUM(CY96:CZ97)</f>
        <v>2250</v>
      </c>
      <c r="CZ98" s="303"/>
      <c r="DA98" s="111">
        <f>SUM(DA96:DA97)</f>
        <v>467</v>
      </c>
      <c r="DB98" s="111">
        <f>SUM(DB96:DB97)</f>
        <v>7</v>
      </c>
      <c r="DC98" s="26">
        <f>SUM(DC96:DC97)</f>
        <v>22678</v>
      </c>
      <c r="DD98" s="107"/>
      <c r="DE98" s="298"/>
      <c r="DF98" s="295" t="s">
        <v>26</v>
      </c>
      <c r="DG98" s="296"/>
      <c r="DH98" s="302">
        <f>SUM(DH96:DI97)</f>
        <v>3607</v>
      </c>
      <c r="DI98" s="303"/>
      <c r="DJ98" s="302">
        <f>SUM(DJ96:DN97)</f>
        <v>2967</v>
      </c>
      <c r="DK98" s="316"/>
      <c r="DL98" s="316"/>
      <c r="DM98" s="316"/>
      <c r="DN98" s="303"/>
      <c r="DO98" s="302">
        <f>SUM(DO96:DP97)</f>
        <v>7084</v>
      </c>
      <c r="DP98" s="303"/>
      <c r="DQ98" s="302">
        <f>SUM(DQ96:DR97)</f>
        <v>1363</v>
      </c>
      <c r="DR98" s="303"/>
      <c r="DS98" s="111">
        <f>SUM(DS96:DS97)</f>
        <v>302</v>
      </c>
      <c r="DT98" s="111">
        <f>SUM(DT96:DT97)</f>
        <v>0</v>
      </c>
      <c r="DU98" s="26">
        <f>SUM(DU96:DU97)</f>
        <v>15323</v>
      </c>
      <c r="DV98" s="107"/>
      <c r="DW98" s="298"/>
      <c r="DX98" s="295" t="s">
        <v>26</v>
      </c>
      <c r="DY98" s="296"/>
      <c r="DZ98" s="302">
        <f>SUM(DZ96:EA97)</f>
        <v>4337</v>
      </c>
      <c r="EA98" s="303"/>
      <c r="EB98" s="302">
        <f>SUM(EB96:EF97)</f>
        <v>7519</v>
      </c>
      <c r="EC98" s="316"/>
      <c r="ED98" s="316"/>
      <c r="EE98" s="316"/>
      <c r="EF98" s="303"/>
      <c r="EG98" s="302">
        <f>SUM(EG96:EH97)</f>
        <v>7300</v>
      </c>
      <c r="EH98" s="303"/>
      <c r="EI98" s="302">
        <f>SUM(EI96:EJ97)</f>
        <v>2350</v>
      </c>
      <c r="EJ98" s="303"/>
      <c r="EK98" s="111">
        <f>SUM(EK96:EK97)</f>
        <v>460</v>
      </c>
      <c r="EL98" s="111">
        <f>SUM(EL96:EL97)</f>
        <v>7</v>
      </c>
      <c r="EM98" s="26">
        <f>SUM(EM96:EM97)</f>
        <v>21973</v>
      </c>
      <c r="EN98" s="107"/>
      <c r="EO98" s="298"/>
      <c r="EP98" s="295" t="s">
        <v>26</v>
      </c>
      <c r="EQ98" s="296"/>
      <c r="ER98" s="302">
        <f>SUM(ER96:ES97)</f>
        <v>1637</v>
      </c>
      <c r="ES98" s="303"/>
      <c r="ET98" s="302">
        <f>SUM(ET96:EX97)</f>
        <v>3382</v>
      </c>
      <c r="EU98" s="316"/>
      <c r="EV98" s="316"/>
      <c r="EW98" s="316"/>
      <c r="EX98" s="303"/>
      <c r="EY98" s="302">
        <f>SUM(EY96:EZ97)</f>
        <v>3616</v>
      </c>
      <c r="EZ98" s="303"/>
      <c r="FA98" s="302">
        <f>SUM(FA96:FB97)</f>
        <v>1019</v>
      </c>
      <c r="FB98" s="303"/>
      <c r="FC98" s="111">
        <f>SUM(FC96:FC97)</f>
        <v>204</v>
      </c>
      <c r="FD98" s="111">
        <f>SUM(FD96:FD97)</f>
        <v>0</v>
      </c>
      <c r="FE98" s="26">
        <f>SUM(FE96:FE97)</f>
        <v>9858</v>
      </c>
      <c r="FF98" s="107"/>
      <c r="FG98" s="298"/>
      <c r="FH98" s="295" t="s">
        <v>26</v>
      </c>
      <c r="FI98" s="296"/>
      <c r="FJ98" s="302">
        <f>SUM(FJ96:FK97)</f>
        <v>3538</v>
      </c>
      <c r="FK98" s="303"/>
      <c r="FL98" s="302">
        <f>SUM(FL96:FP97)</f>
        <v>2925</v>
      </c>
      <c r="FM98" s="316"/>
      <c r="FN98" s="316"/>
      <c r="FO98" s="316"/>
      <c r="FP98" s="303"/>
      <c r="FQ98" s="302">
        <f>SUM(FQ96:FR97)</f>
        <v>5479</v>
      </c>
      <c r="FR98" s="303"/>
      <c r="FS98" s="302">
        <f>SUM(FS96:FT97)</f>
        <v>1250</v>
      </c>
      <c r="FT98" s="303"/>
      <c r="FU98" s="111">
        <f>SUM(FU96:FU97)</f>
        <v>267</v>
      </c>
      <c r="FV98" s="111">
        <f>SUM(FV96:FV97)</f>
        <v>0</v>
      </c>
      <c r="FW98" s="26">
        <f>SUM(FW96:FW97)</f>
        <v>13459</v>
      </c>
      <c r="FX98" s="107"/>
      <c r="FY98" s="298"/>
      <c r="FZ98" s="295" t="s">
        <v>26</v>
      </c>
      <c r="GA98" s="296"/>
      <c r="GB98" s="302">
        <f>SUM(GB96:GC97)</f>
        <v>0</v>
      </c>
      <c r="GC98" s="303"/>
      <c r="GD98" s="302">
        <f>SUM(GD96:GH97)</f>
        <v>0</v>
      </c>
      <c r="GE98" s="316"/>
      <c r="GF98" s="316"/>
      <c r="GG98" s="316"/>
      <c r="GH98" s="303"/>
      <c r="GI98" s="302">
        <f>SUM(GI96:GJ97)</f>
        <v>0</v>
      </c>
      <c r="GJ98" s="303"/>
      <c r="GK98" s="302">
        <f>SUM(GK96:GL97)</f>
        <v>0</v>
      </c>
      <c r="GL98" s="303"/>
      <c r="GM98" s="111">
        <f>SUM(GM96:GM97)</f>
        <v>0</v>
      </c>
      <c r="GN98" s="111">
        <f>SUM(GN96:GN97)</f>
        <v>0</v>
      </c>
      <c r="GO98" s="26">
        <f>SUM(GO96:GO97)</f>
        <v>0</v>
      </c>
      <c r="GP98" s="107"/>
      <c r="GQ98" s="298"/>
      <c r="GR98" s="295" t="s">
        <v>26</v>
      </c>
      <c r="GS98" s="296"/>
      <c r="GT98" s="302">
        <f>SUM(GT96:GU97)</f>
        <v>0</v>
      </c>
      <c r="GU98" s="303"/>
      <c r="GV98" s="302">
        <f>SUM(GV96:GZ97)</f>
        <v>0</v>
      </c>
      <c r="GW98" s="316"/>
      <c r="GX98" s="316"/>
      <c r="GY98" s="316"/>
      <c r="GZ98" s="303"/>
      <c r="HA98" s="302">
        <f>SUM(HA96:HB97)</f>
        <v>0</v>
      </c>
      <c r="HB98" s="303"/>
      <c r="HC98" s="302">
        <f>SUM(HC96:HD97)</f>
        <v>0</v>
      </c>
      <c r="HD98" s="303"/>
      <c r="HE98" s="111">
        <f>SUM(HE96:HE97)</f>
        <v>0</v>
      </c>
      <c r="HF98" s="111">
        <f>SUM(HF96:HF97)</f>
        <v>0</v>
      </c>
      <c r="HG98" s="26">
        <f>SUM(HG96:HG97)</f>
        <v>0</v>
      </c>
      <c r="HH98" s="107"/>
      <c r="HI98" s="298"/>
      <c r="HJ98" s="295" t="s">
        <v>26</v>
      </c>
      <c r="HK98" s="313"/>
      <c r="HL98" s="302">
        <f>SUM(HL96:HM97)</f>
        <v>31237</v>
      </c>
      <c r="HM98" s="303"/>
      <c r="HN98" s="302">
        <f>SUM(HN96:HR97)</f>
        <v>41259</v>
      </c>
      <c r="HO98" s="316"/>
      <c r="HP98" s="316"/>
      <c r="HQ98" s="316"/>
      <c r="HR98" s="303"/>
      <c r="HS98" s="302">
        <f>SUM(HS96:HT97)</f>
        <v>59710</v>
      </c>
      <c r="HT98" s="303"/>
      <c r="HU98" s="302">
        <f>SUM(HU96:HV97)</f>
        <v>15314</v>
      </c>
      <c r="HV98" s="303"/>
      <c r="HW98" s="111">
        <f>SUM(HW96:HW97)</f>
        <v>2925</v>
      </c>
      <c r="HX98" s="111">
        <f>SUM(HX96:HX97)</f>
        <v>21</v>
      </c>
      <c r="HY98" s="26">
        <f>SUM(HY96:HY97)</f>
        <v>150466</v>
      </c>
      <c r="HZ98" s="28"/>
    </row>
    <row r="99" spans="1:234" s="11" customFormat="1" ht="20.100000000000001" customHeight="1" thickBot="1" x14ac:dyDescent="0.25">
      <c r="A99" s="298"/>
      <c r="B99" s="311" t="s">
        <v>27</v>
      </c>
      <c r="C99" s="19" t="s">
        <v>24</v>
      </c>
      <c r="D99" s="8">
        <f>SUM(D9+D16+D23+D30+D37+D44+D51+D58+D65+D72+D79+D86)</f>
        <v>196</v>
      </c>
      <c r="E99" s="8">
        <f t="shared" ref="E99:P100" si="423">SUM(E9+E16+E23+E30+E37+E44+E51+E58+E65+E72+E79+E86)</f>
        <v>2</v>
      </c>
      <c r="F99" s="8">
        <f t="shared" si="423"/>
        <v>10</v>
      </c>
      <c r="G99" s="8">
        <f t="shared" si="423"/>
        <v>1</v>
      </c>
      <c r="H99" s="8">
        <f t="shared" si="423"/>
        <v>6</v>
      </c>
      <c r="I99" s="8">
        <f t="shared" si="423"/>
        <v>0</v>
      </c>
      <c r="J99" s="8">
        <f t="shared" si="423"/>
        <v>36</v>
      </c>
      <c r="K99" s="8">
        <f t="shared" si="423"/>
        <v>142</v>
      </c>
      <c r="L99" s="8">
        <f t="shared" si="423"/>
        <v>258</v>
      </c>
      <c r="M99" s="8">
        <f t="shared" si="423"/>
        <v>160</v>
      </c>
      <c r="N99" s="8">
        <f t="shared" si="423"/>
        <v>0</v>
      </c>
      <c r="O99" s="8">
        <f t="shared" si="423"/>
        <v>35</v>
      </c>
      <c r="P99" s="8">
        <f t="shared" si="423"/>
        <v>0</v>
      </c>
      <c r="Q99" s="129">
        <f>SUM(D99:P99)</f>
        <v>846</v>
      </c>
      <c r="R99" s="133"/>
      <c r="S99" s="298"/>
      <c r="T99" s="311" t="s">
        <v>27</v>
      </c>
      <c r="U99" s="19" t="s">
        <v>24</v>
      </c>
      <c r="V99" s="8">
        <f>SUM(V9+V16+V23+V30+V37+V44+V51+V58+V65+V72+V79+V86)</f>
        <v>113</v>
      </c>
      <c r="W99" s="8">
        <f t="shared" ref="W99:AH99" si="424">SUM(W9+W16+W23+W30+W37+W44+W51+W58+W65+W72+W79+W86)</f>
        <v>0</v>
      </c>
      <c r="X99" s="8">
        <f t="shared" si="424"/>
        <v>2</v>
      </c>
      <c r="Y99" s="8">
        <f t="shared" si="424"/>
        <v>8</v>
      </c>
      <c r="Z99" s="8">
        <f t="shared" si="424"/>
        <v>15</v>
      </c>
      <c r="AA99" s="8">
        <f t="shared" si="424"/>
        <v>0</v>
      </c>
      <c r="AB99" s="8">
        <f t="shared" si="424"/>
        <v>109</v>
      </c>
      <c r="AC99" s="8">
        <f t="shared" si="424"/>
        <v>109</v>
      </c>
      <c r="AD99" s="8">
        <f t="shared" si="424"/>
        <v>123</v>
      </c>
      <c r="AE99" s="8">
        <f t="shared" si="424"/>
        <v>92</v>
      </c>
      <c r="AF99" s="8">
        <f t="shared" si="424"/>
        <v>0</v>
      </c>
      <c r="AG99" s="8">
        <f t="shared" si="424"/>
        <v>18</v>
      </c>
      <c r="AH99" s="8">
        <f t="shared" si="424"/>
        <v>0</v>
      </c>
      <c r="AI99" s="129">
        <f>SUM(V99:AH99)</f>
        <v>589</v>
      </c>
      <c r="AJ99" s="133"/>
      <c r="AK99" s="298"/>
      <c r="AL99" s="311" t="s">
        <v>27</v>
      </c>
      <c r="AM99" s="19" t="s">
        <v>24</v>
      </c>
      <c r="AN99" s="8">
        <f>SUM(AN9+AN16+AN23+AN30+AN37+AN44+AN51+AN58+AN65+AN72+AN79+AN86)</f>
        <v>292</v>
      </c>
      <c r="AO99" s="8">
        <f t="shared" ref="AO99:AZ99" si="425">SUM(AO9+AO16+AO23+AO30+AO37+AO44+AO51+AO58+AO65+AO72+AO79+AO86)</f>
        <v>11</v>
      </c>
      <c r="AP99" s="8">
        <f t="shared" si="425"/>
        <v>29</v>
      </c>
      <c r="AQ99" s="8">
        <f t="shared" si="425"/>
        <v>12</v>
      </c>
      <c r="AR99" s="8">
        <f t="shared" si="425"/>
        <v>30</v>
      </c>
      <c r="AS99" s="8">
        <f t="shared" si="425"/>
        <v>0</v>
      </c>
      <c r="AT99" s="8">
        <f t="shared" si="425"/>
        <v>360</v>
      </c>
      <c r="AU99" s="8">
        <f t="shared" si="425"/>
        <v>258</v>
      </c>
      <c r="AV99" s="8">
        <f t="shared" si="425"/>
        <v>304</v>
      </c>
      <c r="AW99" s="8">
        <f t="shared" si="425"/>
        <v>84</v>
      </c>
      <c r="AX99" s="8">
        <f t="shared" si="425"/>
        <v>0</v>
      </c>
      <c r="AY99" s="8">
        <f t="shared" si="425"/>
        <v>38</v>
      </c>
      <c r="AZ99" s="8">
        <f t="shared" si="425"/>
        <v>0</v>
      </c>
      <c r="BA99" s="129">
        <f>SUM(AN99:AZ99)</f>
        <v>1418</v>
      </c>
      <c r="BB99" s="133"/>
      <c r="BC99" s="298"/>
      <c r="BD99" s="311" t="s">
        <v>27</v>
      </c>
      <c r="BE99" s="19" t="s">
        <v>24</v>
      </c>
      <c r="BF99" s="8">
        <f>SUM(BF9+BF16+BF23+BF30+BF37+BF44+BF51+BF58+BF65+BF72+BF79+BF86)</f>
        <v>249</v>
      </c>
      <c r="BG99" s="8">
        <f t="shared" ref="BG99:BR99" si="426">SUM(BG9+BG16+BG23+BG30+BG37+BG44+BG51+BG58+BG65+BG72+BG79+BG86)</f>
        <v>1</v>
      </c>
      <c r="BH99" s="8">
        <f t="shared" si="426"/>
        <v>6</v>
      </c>
      <c r="BI99" s="8">
        <f t="shared" si="426"/>
        <v>6</v>
      </c>
      <c r="BJ99" s="8">
        <f t="shared" si="426"/>
        <v>71</v>
      </c>
      <c r="BK99" s="8">
        <f t="shared" si="426"/>
        <v>0</v>
      </c>
      <c r="BL99" s="8">
        <f t="shared" si="426"/>
        <v>136</v>
      </c>
      <c r="BM99" s="8">
        <f t="shared" si="426"/>
        <v>219</v>
      </c>
      <c r="BN99" s="8">
        <f t="shared" si="426"/>
        <v>147</v>
      </c>
      <c r="BO99" s="8">
        <f t="shared" si="426"/>
        <v>84</v>
      </c>
      <c r="BP99" s="8">
        <f t="shared" si="426"/>
        <v>0</v>
      </c>
      <c r="BQ99" s="8">
        <f t="shared" si="426"/>
        <v>36</v>
      </c>
      <c r="BR99" s="8">
        <f t="shared" si="426"/>
        <v>0</v>
      </c>
      <c r="BS99" s="129">
        <f>SUM(BF99:BR99)</f>
        <v>955</v>
      </c>
      <c r="BT99" s="133"/>
      <c r="BU99" s="298"/>
      <c r="BV99" s="311" t="s">
        <v>27</v>
      </c>
      <c r="BW99" s="19" t="s">
        <v>24</v>
      </c>
      <c r="BX99" s="8">
        <f>SUM(BX9+BX16+BX23+BX30+BX37+BX44+BX51+BX58+BX65+BX72+BX79+BX86)</f>
        <v>290</v>
      </c>
      <c r="BY99" s="8">
        <f t="shared" ref="BY99:CJ99" si="427">SUM(BY9+BY16+BY23+BY30+BY37+BY44+BY51+BY58+BY65+BY72+BY79+BY86)</f>
        <v>0</v>
      </c>
      <c r="BZ99" s="8">
        <f t="shared" si="427"/>
        <v>52</v>
      </c>
      <c r="CA99" s="8">
        <f t="shared" si="427"/>
        <v>89</v>
      </c>
      <c r="CB99" s="8">
        <f t="shared" si="427"/>
        <v>195</v>
      </c>
      <c r="CC99" s="8">
        <f t="shared" si="427"/>
        <v>0</v>
      </c>
      <c r="CD99" s="8">
        <f t="shared" si="427"/>
        <v>165</v>
      </c>
      <c r="CE99" s="8">
        <f t="shared" si="427"/>
        <v>317</v>
      </c>
      <c r="CF99" s="8">
        <f t="shared" si="427"/>
        <v>321</v>
      </c>
      <c r="CG99" s="8">
        <f t="shared" si="427"/>
        <v>214</v>
      </c>
      <c r="CH99" s="8">
        <f t="shared" si="427"/>
        <v>0</v>
      </c>
      <c r="CI99" s="8">
        <f t="shared" si="427"/>
        <v>21</v>
      </c>
      <c r="CJ99" s="8">
        <f t="shared" si="427"/>
        <v>0</v>
      </c>
      <c r="CK99" s="129">
        <f>SUM(BX99:CJ99)</f>
        <v>1664</v>
      </c>
      <c r="CL99" s="133"/>
      <c r="CM99" s="298"/>
      <c r="CN99" s="311" t="s">
        <v>27</v>
      </c>
      <c r="CO99" s="19" t="s">
        <v>24</v>
      </c>
      <c r="CP99" s="8">
        <f>SUM(CP9+CP16+CP23+CP30+CP37+CP44+CP51+CP58+CP65+CP72+CP79+CP86)</f>
        <v>120</v>
      </c>
      <c r="CQ99" s="8">
        <f t="shared" ref="CQ99:DB99" si="428">SUM(CQ9+CQ16+CQ23+CQ30+CQ37+CQ44+CQ51+CQ58+CQ65+CQ72+CQ79+CQ86)</f>
        <v>1</v>
      </c>
      <c r="CR99" s="8">
        <f t="shared" si="428"/>
        <v>78</v>
      </c>
      <c r="CS99" s="8">
        <f t="shared" si="428"/>
        <v>3</v>
      </c>
      <c r="CT99" s="8">
        <f t="shared" si="428"/>
        <v>10</v>
      </c>
      <c r="CU99" s="8">
        <f t="shared" si="428"/>
        <v>0</v>
      </c>
      <c r="CV99" s="8">
        <f t="shared" si="428"/>
        <v>235</v>
      </c>
      <c r="CW99" s="8">
        <f t="shared" si="428"/>
        <v>134</v>
      </c>
      <c r="CX99" s="8">
        <f t="shared" si="428"/>
        <v>85</v>
      </c>
      <c r="CY99" s="8">
        <f t="shared" si="428"/>
        <v>81</v>
      </c>
      <c r="CZ99" s="8">
        <f t="shared" si="428"/>
        <v>0</v>
      </c>
      <c r="DA99" s="8">
        <f t="shared" si="428"/>
        <v>43</v>
      </c>
      <c r="DB99" s="8">
        <f t="shared" si="428"/>
        <v>0</v>
      </c>
      <c r="DC99" s="38">
        <f>SUM(CP99:DB99)</f>
        <v>790</v>
      </c>
      <c r="DD99" s="107"/>
      <c r="DE99" s="298"/>
      <c r="DF99" s="311" t="s">
        <v>27</v>
      </c>
      <c r="DG99" s="19" t="s">
        <v>24</v>
      </c>
      <c r="DH99" s="8">
        <f>SUM(DH9+DH16+DH23+DH30+DH37+DH44+DH51+DH58+DH65+DH72+DH79+DH86)</f>
        <v>198</v>
      </c>
      <c r="DI99" s="8">
        <f t="shared" ref="DI99:DT99" si="429">SUM(DI9+DI16+DI23+DI30+DI37+DI44+DI51+DI58+DI65+DI72+DI79+DI86)</f>
        <v>0</v>
      </c>
      <c r="DJ99" s="8">
        <f t="shared" si="429"/>
        <v>6</v>
      </c>
      <c r="DK99" s="8">
        <f t="shared" si="429"/>
        <v>7</v>
      </c>
      <c r="DL99" s="8">
        <f t="shared" si="429"/>
        <v>15</v>
      </c>
      <c r="DM99" s="8">
        <f t="shared" si="429"/>
        <v>0</v>
      </c>
      <c r="DN99" s="8">
        <f t="shared" si="429"/>
        <v>113</v>
      </c>
      <c r="DO99" s="8">
        <f t="shared" si="429"/>
        <v>266</v>
      </c>
      <c r="DP99" s="8">
        <f t="shared" si="429"/>
        <v>147</v>
      </c>
      <c r="DQ99" s="8">
        <f t="shared" si="429"/>
        <v>133</v>
      </c>
      <c r="DR99" s="8">
        <f t="shared" si="429"/>
        <v>0</v>
      </c>
      <c r="DS99" s="8">
        <f t="shared" si="429"/>
        <v>35</v>
      </c>
      <c r="DT99" s="8">
        <f t="shared" si="429"/>
        <v>0</v>
      </c>
      <c r="DU99" s="38">
        <f>SUM(DH99:DT99)</f>
        <v>920</v>
      </c>
      <c r="DV99" s="107"/>
      <c r="DW99" s="298"/>
      <c r="DX99" s="311" t="s">
        <v>27</v>
      </c>
      <c r="DY99" s="19" t="s">
        <v>24</v>
      </c>
      <c r="DZ99" s="8">
        <f>SUM(DZ9+DZ16+DZ23+DZ30+DZ37+DZ44+DZ51+DZ58+DZ65+DZ72+DZ79+DZ86)</f>
        <v>133</v>
      </c>
      <c r="EA99" s="8">
        <f t="shared" ref="EA99:EL99" si="430">SUM(EA9+EA16+EA23+EA30+EA37+EA44+EA51+EA58+EA65+EA72+EA79+EA86)</f>
        <v>1</v>
      </c>
      <c r="EB99" s="8">
        <f t="shared" si="430"/>
        <v>78</v>
      </c>
      <c r="EC99" s="8">
        <f t="shared" si="430"/>
        <v>3</v>
      </c>
      <c r="ED99" s="8">
        <f t="shared" si="430"/>
        <v>10</v>
      </c>
      <c r="EE99" s="8">
        <f t="shared" si="430"/>
        <v>0</v>
      </c>
      <c r="EF99" s="8">
        <f t="shared" si="430"/>
        <v>223</v>
      </c>
      <c r="EG99" s="8">
        <f t="shared" si="430"/>
        <v>158</v>
      </c>
      <c r="EH99" s="8">
        <f t="shared" si="430"/>
        <v>81</v>
      </c>
      <c r="EI99" s="8">
        <f t="shared" si="430"/>
        <v>81</v>
      </c>
      <c r="EJ99" s="8">
        <f t="shared" si="430"/>
        <v>0</v>
      </c>
      <c r="EK99" s="8">
        <f t="shared" si="430"/>
        <v>43</v>
      </c>
      <c r="EL99" s="8">
        <f t="shared" si="430"/>
        <v>0</v>
      </c>
      <c r="EM99" s="38">
        <f>SUM(DZ99:EL99)</f>
        <v>811</v>
      </c>
      <c r="EN99" s="107"/>
      <c r="EO99" s="298"/>
      <c r="EP99" s="311" t="s">
        <v>27</v>
      </c>
      <c r="EQ99" s="19" t="s">
        <v>24</v>
      </c>
      <c r="ER99" s="8">
        <f>SUM(ER9+ER16+ER23+ER30+ER37+ER44+ER51+ER58+ER65+ER72+ER79+ER86)</f>
        <v>136</v>
      </c>
      <c r="ES99" s="8">
        <f t="shared" ref="ES99:FD99" si="431">SUM(ES9+ES16+ES23+ES30+ES37+ES44+ES51+ES58+ES65+ES72+ES79+ES86)</f>
        <v>2</v>
      </c>
      <c r="ET99" s="8">
        <f t="shared" si="431"/>
        <v>16</v>
      </c>
      <c r="EU99" s="8">
        <f t="shared" si="431"/>
        <v>98</v>
      </c>
      <c r="EV99" s="8">
        <f t="shared" si="431"/>
        <v>51</v>
      </c>
      <c r="EW99" s="8">
        <f t="shared" si="431"/>
        <v>0</v>
      </c>
      <c r="EX99" s="8">
        <f t="shared" si="431"/>
        <v>70</v>
      </c>
      <c r="EY99" s="8">
        <f t="shared" si="431"/>
        <v>223</v>
      </c>
      <c r="EZ99" s="8">
        <f t="shared" si="431"/>
        <v>295</v>
      </c>
      <c r="FA99" s="8">
        <f t="shared" si="431"/>
        <v>71</v>
      </c>
      <c r="FB99" s="8">
        <f t="shared" si="431"/>
        <v>0</v>
      </c>
      <c r="FC99" s="8">
        <f t="shared" si="431"/>
        <v>42</v>
      </c>
      <c r="FD99" s="8">
        <f t="shared" si="431"/>
        <v>0</v>
      </c>
      <c r="FE99" s="38">
        <f>SUM(ER99:FD99)</f>
        <v>1004</v>
      </c>
      <c r="FF99" s="107"/>
      <c r="FG99" s="298"/>
      <c r="FH99" s="311" t="s">
        <v>27</v>
      </c>
      <c r="FI99" s="19" t="s">
        <v>24</v>
      </c>
      <c r="FJ99" s="8">
        <f>SUM(FJ9+FJ16+FJ23+FJ30+FJ37+FJ44+FJ51+FJ58+FJ65+FJ72+FJ79+FJ86)</f>
        <v>178</v>
      </c>
      <c r="FK99" s="8">
        <f t="shared" ref="FK99:FV99" si="432">SUM(FK9+FK16+FK23+FK30+FK37+FK44+FK51+FK58+FK65+FK72+FK79+FK86)</f>
        <v>10</v>
      </c>
      <c r="FL99" s="8">
        <f t="shared" si="432"/>
        <v>14</v>
      </c>
      <c r="FM99" s="8">
        <f t="shared" si="432"/>
        <v>59</v>
      </c>
      <c r="FN99" s="8">
        <f t="shared" si="432"/>
        <v>13</v>
      </c>
      <c r="FO99" s="8">
        <f t="shared" si="432"/>
        <v>0</v>
      </c>
      <c r="FP99" s="8">
        <f t="shared" si="432"/>
        <v>37</v>
      </c>
      <c r="FQ99" s="8">
        <f t="shared" si="432"/>
        <v>245</v>
      </c>
      <c r="FR99" s="8">
        <f t="shared" si="432"/>
        <v>85</v>
      </c>
      <c r="FS99" s="8">
        <f t="shared" si="432"/>
        <v>76</v>
      </c>
      <c r="FT99" s="8">
        <f t="shared" si="432"/>
        <v>0</v>
      </c>
      <c r="FU99" s="8">
        <f t="shared" si="432"/>
        <v>33</v>
      </c>
      <c r="FV99" s="8">
        <f t="shared" si="432"/>
        <v>0</v>
      </c>
      <c r="FW99" s="38">
        <f>SUM(FJ99:FV99)</f>
        <v>750</v>
      </c>
      <c r="FX99" s="107"/>
      <c r="FY99" s="298"/>
      <c r="FZ99" s="311" t="s">
        <v>27</v>
      </c>
      <c r="GA99" s="19" t="s">
        <v>24</v>
      </c>
      <c r="GB99" s="8">
        <f>SUM(GB9+GB16+GB23+GB30+GB37+GB44+GB51+GB58+GB65+GB72+GB79+GB86)</f>
        <v>0</v>
      </c>
      <c r="GC99" s="8">
        <f t="shared" ref="GC99:GN99" si="433">SUM(GC9+GC16+GC23+GC30+GC37+GC44+GC51+GC58+GC65+GC72+GC79+GC86)</f>
        <v>0</v>
      </c>
      <c r="GD99" s="8">
        <f t="shared" si="433"/>
        <v>0</v>
      </c>
      <c r="GE99" s="8">
        <f t="shared" si="433"/>
        <v>0</v>
      </c>
      <c r="GF99" s="8">
        <f t="shared" si="433"/>
        <v>0</v>
      </c>
      <c r="GG99" s="8">
        <f t="shared" si="433"/>
        <v>0</v>
      </c>
      <c r="GH99" s="8">
        <f t="shared" si="433"/>
        <v>0</v>
      </c>
      <c r="GI99" s="8">
        <f t="shared" si="433"/>
        <v>0</v>
      </c>
      <c r="GJ99" s="8">
        <f t="shared" si="433"/>
        <v>0</v>
      </c>
      <c r="GK99" s="8">
        <f t="shared" si="433"/>
        <v>0</v>
      </c>
      <c r="GL99" s="8">
        <f t="shared" si="433"/>
        <v>0</v>
      </c>
      <c r="GM99" s="8">
        <f t="shared" si="433"/>
        <v>0</v>
      </c>
      <c r="GN99" s="8">
        <f t="shared" si="433"/>
        <v>0</v>
      </c>
      <c r="GO99" s="38">
        <f>SUM(GB99:GN99)</f>
        <v>0</v>
      </c>
      <c r="GP99" s="107"/>
      <c r="GQ99" s="298"/>
      <c r="GR99" s="311" t="s">
        <v>27</v>
      </c>
      <c r="GS99" s="19" t="s">
        <v>24</v>
      </c>
      <c r="GT99" s="8">
        <f>SUM(GT9+GT16+GT23+GT30+GT37+GT44+GT51+GT58+GT65+GT72+GT79+GT86)</f>
        <v>0</v>
      </c>
      <c r="GU99" s="8">
        <f t="shared" ref="GU99:HF99" si="434">SUM(GU9+GU16+GU23+GU30+GU37+GU44+GU51+GU58+GU65+GU72+GU79+GU86)</f>
        <v>0</v>
      </c>
      <c r="GV99" s="8">
        <f t="shared" si="434"/>
        <v>0</v>
      </c>
      <c r="GW99" s="8">
        <f t="shared" si="434"/>
        <v>0</v>
      </c>
      <c r="GX99" s="8">
        <f t="shared" si="434"/>
        <v>0</v>
      </c>
      <c r="GY99" s="8">
        <f t="shared" si="434"/>
        <v>0</v>
      </c>
      <c r="GZ99" s="8">
        <f t="shared" si="434"/>
        <v>0</v>
      </c>
      <c r="HA99" s="8">
        <f t="shared" si="434"/>
        <v>0</v>
      </c>
      <c r="HB99" s="8">
        <f t="shared" si="434"/>
        <v>0</v>
      </c>
      <c r="HC99" s="8">
        <f t="shared" si="434"/>
        <v>0</v>
      </c>
      <c r="HD99" s="8">
        <f t="shared" si="434"/>
        <v>0</v>
      </c>
      <c r="HE99" s="8">
        <f t="shared" si="434"/>
        <v>0</v>
      </c>
      <c r="HF99" s="8">
        <f t="shared" si="434"/>
        <v>0</v>
      </c>
      <c r="HG99" s="38">
        <f>SUM(GT99:HF99)</f>
        <v>0</v>
      </c>
      <c r="HH99" s="107"/>
      <c r="HI99" s="298"/>
      <c r="HJ99" s="355" t="s">
        <v>27</v>
      </c>
      <c r="HK99" s="19" t="s">
        <v>24</v>
      </c>
      <c r="HL99" s="8">
        <f>SUM(HL9+HL16+HL23+HL30+HL37+HL44+HL51+HL58+HL65+HL72+HL79+HL86)</f>
        <v>1905</v>
      </c>
      <c r="HM99" s="8">
        <f t="shared" ref="HM99:HX100" si="435">SUM(HM9+HM16+HM23+HM30+HM37+HM44+HM51+HM58+HM65+HM72+HM79+HM86)</f>
        <v>28</v>
      </c>
      <c r="HN99" s="8">
        <f t="shared" si="435"/>
        <v>291</v>
      </c>
      <c r="HO99" s="8">
        <f t="shared" si="435"/>
        <v>286</v>
      </c>
      <c r="HP99" s="8">
        <f t="shared" si="435"/>
        <v>416</v>
      </c>
      <c r="HQ99" s="8">
        <f t="shared" si="435"/>
        <v>0</v>
      </c>
      <c r="HR99" s="8">
        <f t="shared" si="435"/>
        <v>1484</v>
      </c>
      <c r="HS99" s="8">
        <f t="shared" si="435"/>
        <v>2071</v>
      </c>
      <c r="HT99" s="8">
        <f t="shared" si="435"/>
        <v>1846</v>
      </c>
      <c r="HU99" s="8">
        <f t="shared" si="435"/>
        <v>1076</v>
      </c>
      <c r="HV99" s="8">
        <f t="shared" si="435"/>
        <v>0</v>
      </c>
      <c r="HW99" s="8">
        <f t="shared" si="435"/>
        <v>344</v>
      </c>
      <c r="HX99" s="8">
        <f t="shared" si="435"/>
        <v>0</v>
      </c>
      <c r="HY99" s="38">
        <f>SUM(HL99:HX99)</f>
        <v>9747</v>
      </c>
      <c r="HZ99" s="28"/>
    </row>
    <row r="100" spans="1:234" s="11" customFormat="1" ht="20.100000000000001" customHeight="1" thickBot="1" x14ac:dyDescent="0.25">
      <c r="A100" s="298"/>
      <c r="B100" s="312"/>
      <c r="C100" s="20" t="s">
        <v>25</v>
      </c>
      <c r="D100" s="8">
        <f>SUM(D10+D17+D24+D31+D38+D45+D52+D59+D66+D73+D80+D87)</f>
        <v>387</v>
      </c>
      <c r="E100" s="8">
        <f t="shared" si="423"/>
        <v>2</v>
      </c>
      <c r="F100" s="8">
        <f t="shared" si="423"/>
        <v>25</v>
      </c>
      <c r="G100" s="8">
        <f t="shared" si="423"/>
        <v>32</v>
      </c>
      <c r="H100" s="8">
        <f t="shared" si="423"/>
        <v>12</v>
      </c>
      <c r="I100" s="8">
        <f t="shared" si="423"/>
        <v>0</v>
      </c>
      <c r="J100" s="8">
        <f t="shared" si="423"/>
        <v>67</v>
      </c>
      <c r="K100" s="8">
        <f t="shared" si="423"/>
        <v>103</v>
      </c>
      <c r="L100" s="8">
        <f t="shared" si="423"/>
        <v>383</v>
      </c>
      <c r="M100" s="8">
        <f t="shared" si="423"/>
        <v>279</v>
      </c>
      <c r="N100" s="8">
        <f t="shared" si="423"/>
        <v>23</v>
      </c>
      <c r="O100" s="8">
        <f t="shared" si="423"/>
        <v>54</v>
      </c>
      <c r="P100" s="8">
        <f t="shared" si="423"/>
        <v>0</v>
      </c>
      <c r="Q100" s="130">
        <f>SUM(D100:P100)</f>
        <v>1367</v>
      </c>
      <c r="R100" s="133"/>
      <c r="S100" s="298"/>
      <c r="T100" s="312"/>
      <c r="U100" s="20" t="s">
        <v>25</v>
      </c>
      <c r="V100" s="8" t="e">
        <f>SUM(V10+V17+V24+V31+V38+V45+V52+V59+V66+V73+V80+V87)</f>
        <v>#VALUE!</v>
      </c>
      <c r="W100" s="8">
        <f t="shared" ref="W100:AH100" si="436">SUM(W10+W17+W24+W31+W38+W45+W52+W59+W66+W73+W80+W87)</f>
        <v>0</v>
      </c>
      <c r="X100" s="8">
        <f t="shared" si="436"/>
        <v>4</v>
      </c>
      <c r="Y100" s="8">
        <f t="shared" si="436"/>
        <v>10</v>
      </c>
      <c r="Z100" s="8">
        <f t="shared" si="436"/>
        <v>25</v>
      </c>
      <c r="AA100" s="8">
        <f t="shared" si="436"/>
        <v>0</v>
      </c>
      <c r="AB100" s="8">
        <f t="shared" si="436"/>
        <v>85</v>
      </c>
      <c r="AC100" s="8">
        <f t="shared" si="436"/>
        <v>114</v>
      </c>
      <c r="AD100" s="8">
        <f t="shared" si="436"/>
        <v>156</v>
      </c>
      <c r="AE100" s="8">
        <f t="shared" si="436"/>
        <v>73</v>
      </c>
      <c r="AF100" s="8">
        <f t="shared" si="436"/>
        <v>14</v>
      </c>
      <c r="AG100" s="8">
        <f t="shared" si="436"/>
        <v>21</v>
      </c>
      <c r="AH100" s="8">
        <f t="shared" si="436"/>
        <v>0</v>
      </c>
      <c r="AI100" s="130" t="e">
        <f>SUM(V100:AH100)</f>
        <v>#VALUE!</v>
      </c>
      <c r="AJ100" s="133"/>
      <c r="AK100" s="298"/>
      <c r="AL100" s="312"/>
      <c r="AM100" s="20" t="s">
        <v>25</v>
      </c>
      <c r="AN100" s="8">
        <f>SUM(AN10+AN17+AN24+AN31+AN38+AN45+AN52+AN59+AN66+AN73+AN80+AN87)</f>
        <v>307</v>
      </c>
      <c r="AO100" s="8">
        <f t="shared" ref="AO100:AZ100" si="437">SUM(AO10+AO17+AO24+AO31+AO38+AO45+AO52+AO59+AO66+AO73+AO80+AO87)</f>
        <v>12</v>
      </c>
      <c r="AP100" s="8">
        <f t="shared" si="437"/>
        <v>124</v>
      </c>
      <c r="AQ100" s="8">
        <f t="shared" si="437"/>
        <v>39</v>
      </c>
      <c r="AR100" s="8">
        <f t="shared" si="437"/>
        <v>123</v>
      </c>
      <c r="AS100" s="8">
        <f t="shared" si="437"/>
        <v>0</v>
      </c>
      <c r="AT100" s="8">
        <f t="shared" si="437"/>
        <v>395</v>
      </c>
      <c r="AU100" s="8">
        <f t="shared" si="437"/>
        <v>355</v>
      </c>
      <c r="AV100" s="8">
        <f t="shared" si="437"/>
        <v>263</v>
      </c>
      <c r="AW100" s="8">
        <f t="shared" si="437"/>
        <v>159</v>
      </c>
      <c r="AX100" s="8">
        <f t="shared" si="437"/>
        <v>21</v>
      </c>
      <c r="AY100" s="8">
        <f t="shared" si="437"/>
        <v>55</v>
      </c>
      <c r="AZ100" s="8">
        <f t="shared" si="437"/>
        <v>1</v>
      </c>
      <c r="BA100" s="130">
        <f>SUM(AN100:AZ100)</f>
        <v>1854</v>
      </c>
      <c r="BB100" s="133"/>
      <c r="BC100" s="298"/>
      <c r="BD100" s="312"/>
      <c r="BE100" s="20" t="s">
        <v>25</v>
      </c>
      <c r="BF100" s="8">
        <f>SUM(BF10+BF17+BF24+BF31+BF38+BF45+BF52+BF59+BF66+BF73+BF80+BF87)</f>
        <v>235</v>
      </c>
      <c r="BG100" s="8">
        <f t="shared" ref="BG100:BR100" si="438">SUM(BG10+BG17+BG24+BG31+BG38+BG45+BG52+BG59+BG66+BG73+BG80+BG87)</f>
        <v>2</v>
      </c>
      <c r="BH100" s="8">
        <f t="shared" si="438"/>
        <v>71</v>
      </c>
      <c r="BI100" s="8">
        <f t="shared" si="438"/>
        <v>51</v>
      </c>
      <c r="BJ100" s="8">
        <f t="shared" si="438"/>
        <v>204</v>
      </c>
      <c r="BK100" s="8">
        <f t="shared" si="438"/>
        <v>0</v>
      </c>
      <c r="BL100" s="8">
        <f t="shared" si="438"/>
        <v>162</v>
      </c>
      <c r="BM100" s="8">
        <f t="shared" si="438"/>
        <v>222</v>
      </c>
      <c r="BN100" s="8">
        <f t="shared" si="438"/>
        <v>174</v>
      </c>
      <c r="BO100" s="8">
        <f t="shared" si="438"/>
        <v>154</v>
      </c>
      <c r="BP100" s="8">
        <f t="shared" si="438"/>
        <v>14</v>
      </c>
      <c r="BQ100" s="8">
        <f t="shared" si="438"/>
        <v>90</v>
      </c>
      <c r="BR100" s="8">
        <f t="shared" si="438"/>
        <v>0</v>
      </c>
      <c r="BS100" s="130">
        <f>SUM(BF100:BR100)</f>
        <v>1379</v>
      </c>
      <c r="BT100" s="133"/>
      <c r="BU100" s="298"/>
      <c r="BV100" s="312"/>
      <c r="BW100" s="20" t="s">
        <v>25</v>
      </c>
      <c r="BX100" s="8">
        <f>SUM(BX10+BX17+BX24+BX31+BX38+BX45+BX52+BX59+BX66+BX73+BX80+BX87)</f>
        <v>251</v>
      </c>
      <c r="BY100" s="8">
        <f t="shared" ref="BY100:CJ100" si="439">SUM(BY10+BY17+BY24+BY31+BY38+BY45+BY52+BY59+BY66+BY73+BY80+BY87)</f>
        <v>0</v>
      </c>
      <c r="BZ100" s="8">
        <f t="shared" si="439"/>
        <v>88</v>
      </c>
      <c r="CA100" s="8">
        <f t="shared" si="439"/>
        <v>82</v>
      </c>
      <c r="CB100" s="8">
        <f t="shared" si="439"/>
        <v>149</v>
      </c>
      <c r="CC100" s="8">
        <f t="shared" si="439"/>
        <v>0</v>
      </c>
      <c r="CD100" s="8">
        <f t="shared" si="439"/>
        <v>187</v>
      </c>
      <c r="CE100" s="8">
        <f t="shared" si="439"/>
        <v>501</v>
      </c>
      <c r="CF100" s="8">
        <f t="shared" si="439"/>
        <v>315</v>
      </c>
      <c r="CG100" s="8">
        <f t="shared" si="439"/>
        <v>38</v>
      </c>
      <c r="CH100" s="8">
        <f t="shared" si="439"/>
        <v>57</v>
      </c>
      <c r="CI100" s="8">
        <f t="shared" si="439"/>
        <v>17</v>
      </c>
      <c r="CJ100" s="8">
        <f t="shared" si="439"/>
        <v>0</v>
      </c>
      <c r="CK100" s="130">
        <f>SUM(BX100:CJ100)</f>
        <v>1685</v>
      </c>
      <c r="CL100" s="133"/>
      <c r="CM100" s="298"/>
      <c r="CN100" s="312"/>
      <c r="CO100" s="20" t="s">
        <v>25</v>
      </c>
      <c r="CP100" s="8">
        <f>SUM(CP10+CP17+CP24+CP31+CP38+CP45+CP52+CP59+CP66+CP73+CP80+CP87)</f>
        <v>156</v>
      </c>
      <c r="CQ100" s="8">
        <f t="shared" ref="CQ100:DB100" si="440">SUM(CQ10+CQ17+CQ24+CQ31+CQ38+CQ45+CQ52+CQ59+CQ66+CQ73+CQ80+CQ87)</f>
        <v>2</v>
      </c>
      <c r="CR100" s="8">
        <f t="shared" si="440"/>
        <v>23</v>
      </c>
      <c r="CS100" s="8">
        <f t="shared" si="440"/>
        <v>37</v>
      </c>
      <c r="CT100" s="8">
        <f t="shared" si="440"/>
        <v>58</v>
      </c>
      <c r="CU100" s="8">
        <f t="shared" si="440"/>
        <v>0</v>
      </c>
      <c r="CV100" s="8">
        <f t="shared" si="440"/>
        <v>328</v>
      </c>
      <c r="CW100" s="8">
        <f t="shared" si="440"/>
        <v>155</v>
      </c>
      <c r="CX100" s="8">
        <f t="shared" si="440"/>
        <v>100</v>
      </c>
      <c r="CY100" s="8">
        <f t="shared" si="440"/>
        <v>150</v>
      </c>
      <c r="CZ100" s="8">
        <f t="shared" si="440"/>
        <v>59</v>
      </c>
      <c r="DA100" s="8">
        <f t="shared" si="440"/>
        <v>59</v>
      </c>
      <c r="DB100" s="8">
        <f t="shared" si="440"/>
        <v>0</v>
      </c>
      <c r="DC100" s="39">
        <f>SUM(CP100:DB100)</f>
        <v>1127</v>
      </c>
      <c r="DD100" s="107"/>
      <c r="DE100" s="298"/>
      <c r="DF100" s="312"/>
      <c r="DG100" s="20" t="s">
        <v>25</v>
      </c>
      <c r="DH100" s="8">
        <f>SUM(DH10+DH17+DH24+DH31+DH38+DH45+DH52+DH59+DH66+DH73+DH80+DH87)</f>
        <v>211</v>
      </c>
      <c r="DI100" s="8">
        <f t="shared" ref="DI100:DT100" si="441">SUM(DI10+DI17+DI24+DI31+DI38+DI45+DI52+DI59+DI66+DI73+DI80+DI87)</f>
        <v>0</v>
      </c>
      <c r="DJ100" s="8">
        <f t="shared" si="441"/>
        <v>19</v>
      </c>
      <c r="DK100" s="8">
        <f t="shared" si="441"/>
        <v>13</v>
      </c>
      <c r="DL100" s="8">
        <f t="shared" si="441"/>
        <v>25</v>
      </c>
      <c r="DM100" s="8">
        <f t="shared" si="441"/>
        <v>0</v>
      </c>
      <c r="DN100" s="8">
        <f t="shared" si="441"/>
        <v>92</v>
      </c>
      <c r="DO100" s="8">
        <f t="shared" si="441"/>
        <v>221</v>
      </c>
      <c r="DP100" s="8">
        <f t="shared" si="441"/>
        <v>198</v>
      </c>
      <c r="DQ100" s="8">
        <f t="shared" si="441"/>
        <v>151</v>
      </c>
      <c r="DR100" s="8">
        <f t="shared" si="441"/>
        <v>30</v>
      </c>
      <c r="DS100" s="8">
        <f t="shared" si="441"/>
        <v>59</v>
      </c>
      <c r="DT100" s="8">
        <f t="shared" si="441"/>
        <v>0</v>
      </c>
      <c r="DU100" s="39">
        <f>SUM(DH100:DT100)</f>
        <v>1019</v>
      </c>
      <c r="DV100" s="107"/>
      <c r="DW100" s="298"/>
      <c r="DX100" s="312"/>
      <c r="DY100" s="20" t="s">
        <v>25</v>
      </c>
      <c r="DZ100" s="8">
        <f>SUM(DZ10+DZ17+DZ24+DZ31+DZ38+DZ45+DZ52+DZ59+DZ66+DZ73+DZ80+DZ87)</f>
        <v>162</v>
      </c>
      <c r="EA100" s="8">
        <f t="shared" ref="EA100:EL100" si="442">SUM(EA10+EA17+EA24+EA31+EA38+EA45+EA52+EA59+EA66+EA73+EA80+EA87)</f>
        <v>2</v>
      </c>
      <c r="EB100" s="8">
        <f t="shared" si="442"/>
        <v>23</v>
      </c>
      <c r="EC100" s="8">
        <f t="shared" si="442"/>
        <v>45</v>
      </c>
      <c r="ED100" s="8">
        <f t="shared" si="442"/>
        <v>58</v>
      </c>
      <c r="EE100" s="8">
        <f t="shared" si="442"/>
        <v>0</v>
      </c>
      <c r="EF100" s="8">
        <f t="shared" si="442"/>
        <v>321</v>
      </c>
      <c r="EG100" s="8">
        <f t="shared" si="442"/>
        <v>162</v>
      </c>
      <c r="EH100" s="8">
        <f t="shared" si="442"/>
        <v>97</v>
      </c>
      <c r="EI100" s="8">
        <f t="shared" si="442"/>
        <v>150</v>
      </c>
      <c r="EJ100" s="8">
        <f t="shared" si="442"/>
        <v>59</v>
      </c>
      <c r="EK100" s="8">
        <f t="shared" si="442"/>
        <v>59</v>
      </c>
      <c r="EL100" s="8">
        <f t="shared" si="442"/>
        <v>0</v>
      </c>
      <c r="EM100" s="39">
        <f>SUM(DZ100:EL100)</f>
        <v>1138</v>
      </c>
      <c r="EN100" s="107"/>
      <c r="EO100" s="298"/>
      <c r="EP100" s="312"/>
      <c r="EQ100" s="20" t="s">
        <v>25</v>
      </c>
      <c r="ER100" s="8">
        <f>SUM(ER10+ER17+ER24+ER31+ER38+ER45+ER52+ER59+ER66+ER73+ER80+ER87)</f>
        <v>170</v>
      </c>
      <c r="ES100" s="8">
        <f t="shared" ref="ES100:FD100" si="443">SUM(ES10+ES17+ES24+ES31+ES38+ES45+ES52+ES59+ES66+ES73+ES80+ES87)</f>
        <v>4</v>
      </c>
      <c r="ET100" s="8">
        <f t="shared" si="443"/>
        <v>59</v>
      </c>
      <c r="EU100" s="8">
        <f t="shared" si="443"/>
        <v>148</v>
      </c>
      <c r="EV100" s="8">
        <f t="shared" si="443"/>
        <v>101</v>
      </c>
      <c r="EW100" s="8">
        <f t="shared" si="443"/>
        <v>0</v>
      </c>
      <c r="EX100" s="8">
        <f t="shared" si="443"/>
        <v>123</v>
      </c>
      <c r="EY100" s="8">
        <f t="shared" si="443"/>
        <v>334</v>
      </c>
      <c r="EZ100" s="8">
        <f t="shared" si="443"/>
        <v>432</v>
      </c>
      <c r="FA100" s="8">
        <f t="shared" si="443"/>
        <v>127</v>
      </c>
      <c r="FB100" s="8">
        <f t="shared" si="443"/>
        <v>65</v>
      </c>
      <c r="FC100" s="8">
        <f t="shared" si="443"/>
        <v>56</v>
      </c>
      <c r="FD100" s="8">
        <f t="shared" si="443"/>
        <v>0</v>
      </c>
      <c r="FE100" s="39">
        <f>SUM(ER100:FD100)</f>
        <v>1619</v>
      </c>
      <c r="FF100" s="107"/>
      <c r="FG100" s="298"/>
      <c r="FH100" s="312"/>
      <c r="FI100" s="20" t="s">
        <v>25</v>
      </c>
      <c r="FJ100" s="8">
        <f>SUM(FJ10+FJ17+FJ24+FJ31+FJ38+FJ45+FJ52+FJ59+FJ66+FJ73+FJ80+FJ87)</f>
        <v>175</v>
      </c>
      <c r="FK100" s="8">
        <f t="shared" ref="FK100:FV100" si="444">SUM(FK10+FK17+FK24+FK31+FK38+FK45+FK52+FK59+FK66+FK73+FK80+FK87)</f>
        <v>20</v>
      </c>
      <c r="FL100" s="8">
        <f t="shared" si="444"/>
        <v>32</v>
      </c>
      <c r="FM100" s="8">
        <f t="shared" si="444"/>
        <v>88</v>
      </c>
      <c r="FN100" s="8">
        <f t="shared" si="444"/>
        <v>22</v>
      </c>
      <c r="FO100" s="8">
        <f t="shared" si="444"/>
        <v>0</v>
      </c>
      <c r="FP100" s="8">
        <f t="shared" si="444"/>
        <v>189</v>
      </c>
      <c r="FQ100" s="8">
        <f t="shared" si="444"/>
        <v>263</v>
      </c>
      <c r="FR100" s="8">
        <f t="shared" si="444"/>
        <v>100</v>
      </c>
      <c r="FS100" s="8">
        <f t="shared" si="444"/>
        <v>132</v>
      </c>
      <c r="FT100" s="8">
        <f t="shared" si="444"/>
        <v>40</v>
      </c>
      <c r="FU100" s="8">
        <f t="shared" si="444"/>
        <v>60</v>
      </c>
      <c r="FV100" s="8">
        <f t="shared" si="444"/>
        <v>0</v>
      </c>
      <c r="FW100" s="39">
        <f>SUM(FJ100:FV100)</f>
        <v>1121</v>
      </c>
      <c r="FX100" s="107"/>
      <c r="FY100" s="298"/>
      <c r="FZ100" s="312"/>
      <c r="GA100" s="20" t="s">
        <v>25</v>
      </c>
      <c r="GB100" s="8">
        <f>SUM(GB10+GB17+GB24+GB31+GB38+GB45+GB52+GB59+GB66+GB73+GB80+GB87)</f>
        <v>0</v>
      </c>
      <c r="GC100" s="8">
        <f t="shared" ref="GC100:GN100" si="445">SUM(GC10+GC17+GC24+GC31+GC38+GC45+GC52+GC59+GC66+GC73+GC80+GC87)</f>
        <v>0</v>
      </c>
      <c r="GD100" s="8">
        <f t="shared" si="445"/>
        <v>0</v>
      </c>
      <c r="GE100" s="8">
        <f t="shared" si="445"/>
        <v>0</v>
      </c>
      <c r="GF100" s="8">
        <f t="shared" si="445"/>
        <v>0</v>
      </c>
      <c r="GG100" s="8">
        <f t="shared" si="445"/>
        <v>0</v>
      </c>
      <c r="GH100" s="8">
        <f t="shared" si="445"/>
        <v>0</v>
      </c>
      <c r="GI100" s="8">
        <f t="shared" si="445"/>
        <v>0</v>
      </c>
      <c r="GJ100" s="8">
        <f t="shared" si="445"/>
        <v>0</v>
      </c>
      <c r="GK100" s="8">
        <f t="shared" si="445"/>
        <v>0</v>
      </c>
      <c r="GL100" s="8">
        <f t="shared" si="445"/>
        <v>0</v>
      </c>
      <c r="GM100" s="8">
        <f t="shared" si="445"/>
        <v>0</v>
      </c>
      <c r="GN100" s="8">
        <f t="shared" si="445"/>
        <v>0</v>
      </c>
      <c r="GO100" s="39">
        <f>SUM(GB100:GN100)</f>
        <v>0</v>
      </c>
      <c r="GP100" s="107"/>
      <c r="GQ100" s="298"/>
      <c r="GR100" s="312"/>
      <c r="GS100" s="20" t="s">
        <v>25</v>
      </c>
      <c r="GT100" s="8">
        <f>SUM(GT10+GT17+GT24+GT31+GT38+GT45+GT52+GT59+GT66+GT73+GT80+GT87)</f>
        <v>0</v>
      </c>
      <c r="GU100" s="8">
        <f t="shared" ref="GU100:HF100" si="446">SUM(GU10+GU17+GU24+GU31+GU38+GU45+GU52+GU59+GU66+GU73+GU80+GU87)</f>
        <v>0</v>
      </c>
      <c r="GV100" s="8">
        <f t="shared" si="446"/>
        <v>0</v>
      </c>
      <c r="GW100" s="8">
        <f t="shared" si="446"/>
        <v>0</v>
      </c>
      <c r="GX100" s="8">
        <f t="shared" si="446"/>
        <v>0</v>
      </c>
      <c r="GY100" s="8">
        <f t="shared" si="446"/>
        <v>0</v>
      </c>
      <c r="GZ100" s="8">
        <f t="shared" si="446"/>
        <v>0</v>
      </c>
      <c r="HA100" s="8">
        <f t="shared" si="446"/>
        <v>0</v>
      </c>
      <c r="HB100" s="8">
        <f t="shared" si="446"/>
        <v>0</v>
      </c>
      <c r="HC100" s="8">
        <f t="shared" si="446"/>
        <v>0</v>
      </c>
      <c r="HD100" s="8">
        <f t="shared" si="446"/>
        <v>0</v>
      </c>
      <c r="HE100" s="8">
        <f t="shared" si="446"/>
        <v>0</v>
      </c>
      <c r="HF100" s="8">
        <f t="shared" si="446"/>
        <v>0</v>
      </c>
      <c r="HG100" s="39">
        <f>SUM(GT100:HF100)</f>
        <v>0</v>
      </c>
      <c r="HH100" s="107"/>
      <c r="HI100" s="298"/>
      <c r="HJ100" s="356"/>
      <c r="HK100" s="20" t="s">
        <v>25</v>
      </c>
      <c r="HL100" s="8" t="e">
        <f>SUM(HL10+HL17+HL24+HL31+HL38+HL45+HL52+HL59+HL66+HL73+HL80+HL87)</f>
        <v>#VALUE!</v>
      </c>
      <c r="HM100" s="8">
        <f t="shared" si="435"/>
        <v>44</v>
      </c>
      <c r="HN100" s="8">
        <f t="shared" si="435"/>
        <v>468</v>
      </c>
      <c r="HO100" s="8">
        <f t="shared" si="435"/>
        <v>545</v>
      </c>
      <c r="HP100" s="8">
        <f t="shared" si="435"/>
        <v>777</v>
      </c>
      <c r="HQ100" s="8">
        <f t="shared" si="435"/>
        <v>0</v>
      </c>
      <c r="HR100" s="8">
        <f t="shared" si="435"/>
        <v>1949</v>
      </c>
      <c r="HS100" s="8">
        <f t="shared" si="435"/>
        <v>2430</v>
      </c>
      <c r="HT100" s="8">
        <f t="shared" si="435"/>
        <v>2218</v>
      </c>
      <c r="HU100" s="8">
        <f t="shared" si="435"/>
        <v>1413</v>
      </c>
      <c r="HV100" s="8">
        <f t="shared" si="435"/>
        <v>382</v>
      </c>
      <c r="HW100" s="8">
        <f t="shared" si="435"/>
        <v>530</v>
      </c>
      <c r="HX100" s="8">
        <f t="shared" si="435"/>
        <v>1</v>
      </c>
      <c r="HY100" s="39" t="e">
        <f>SUM(HL100:HX100)</f>
        <v>#VALUE!</v>
      </c>
      <c r="HZ100" s="28"/>
    </row>
    <row r="101" spans="1:234" s="11" customFormat="1" ht="20.100000000000001" customHeight="1" thickBot="1" x14ac:dyDescent="0.25">
      <c r="A101" s="299"/>
      <c r="B101" s="326" t="s">
        <v>34</v>
      </c>
      <c r="C101" s="327"/>
      <c r="D101" s="300">
        <f>SUM(D99:E100)</f>
        <v>587</v>
      </c>
      <c r="E101" s="301"/>
      <c r="F101" s="300">
        <f>SUM(F99:J100)</f>
        <v>189</v>
      </c>
      <c r="G101" s="325"/>
      <c r="H101" s="325"/>
      <c r="I101" s="325"/>
      <c r="J101" s="301"/>
      <c r="K101" s="300">
        <f>SUM(K99:L100)</f>
        <v>886</v>
      </c>
      <c r="L101" s="301"/>
      <c r="M101" s="300">
        <f>SUM(M99:N100)</f>
        <v>462</v>
      </c>
      <c r="N101" s="301"/>
      <c r="O101" s="43">
        <f>SUM(O99:O100)</f>
        <v>89</v>
      </c>
      <c r="P101" s="43">
        <f>SUM(P99:P100)</f>
        <v>0</v>
      </c>
      <c r="Q101" s="126">
        <f>SUM(Q99:Q100)</f>
        <v>2213</v>
      </c>
      <c r="R101" s="133"/>
      <c r="S101" s="299"/>
      <c r="T101" s="326" t="s">
        <v>34</v>
      </c>
      <c r="U101" s="327"/>
      <c r="V101" s="300" t="e">
        <f>SUM(V99:W100)</f>
        <v>#VALUE!</v>
      </c>
      <c r="W101" s="301"/>
      <c r="X101" s="300">
        <f>SUM(X99:AB100)</f>
        <v>258</v>
      </c>
      <c r="Y101" s="325"/>
      <c r="Z101" s="325"/>
      <c r="AA101" s="325"/>
      <c r="AB101" s="301"/>
      <c r="AC101" s="300">
        <f>SUM(AC99:AD100)</f>
        <v>502</v>
      </c>
      <c r="AD101" s="301"/>
      <c r="AE101" s="300">
        <f>SUM(AE99:AF100)</f>
        <v>179</v>
      </c>
      <c r="AF101" s="301"/>
      <c r="AG101" s="43">
        <f>SUM(AG99:AG100)</f>
        <v>39</v>
      </c>
      <c r="AH101" s="43">
        <f>SUM(AH99:AH100)</f>
        <v>0</v>
      </c>
      <c r="AI101" s="126" t="e">
        <f>SUM(AI99:AI100)</f>
        <v>#VALUE!</v>
      </c>
      <c r="AJ101" s="133"/>
      <c r="AK101" s="299"/>
      <c r="AL101" s="326" t="s">
        <v>34</v>
      </c>
      <c r="AM101" s="327"/>
      <c r="AN101" s="300">
        <f>SUM(AN99:AO100)</f>
        <v>622</v>
      </c>
      <c r="AO101" s="301"/>
      <c r="AP101" s="300">
        <f>SUM(AP99:AT100)</f>
        <v>1112</v>
      </c>
      <c r="AQ101" s="325"/>
      <c r="AR101" s="325"/>
      <c r="AS101" s="325"/>
      <c r="AT101" s="301"/>
      <c r="AU101" s="300">
        <f>SUM(AU99:AV100)</f>
        <v>1180</v>
      </c>
      <c r="AV101" s="301"/>
      <c r="AW101" s="300">
        <f>SUM(AW99:AX100)</f>
        <v>264</v>
      </c>
      <c r="AX101" s="301"/>
      <c r="AY101" s="43">
        <f>SUM(AY99:AY100)</f>
        <v>93</v>
      </c>
      <c r="AZ101" s="43">
        <f>SUM(AZ99:AZ100)</f>
        <v>1</v>
      </c>
      <c r="BA101" s="126">
        <f>SUM(BA99:BA100)</f>
        <v>3272</v>
      </c>
      <c r="BB101" s="133"/>
      <c r="BC101" s="299"/>
      <c r="BD101" s="326" t="s">
        <v>34</v>
      </c>
      <c r="BE101" s="327"/>
      <c r="BF101" s="300">
        <f>SUM(BF99:BG100)</f>
        <v>487</v>
      </c>
      <c r="BG101" s="301"/>
      <c r="BH101" s="300">
        <f>SUM(BH99:BL100)</f>
        <v>707</v>
      </c>
      <c r="BI101" s="325"/>
      <c r="BJ101" s="325"/>
      <c r="BK101" s="325"/>
      <c r="BL101" s="301"/>
      <c r="BM101" s="300">
        <f>SUM(BM99:BN100)</f>
        <v>762</v>
      </c>
      <c r="BN101" s="301"/>
      <c r="BO101" s="300">
        <f>SUM(BO99:BP100)</f>
        <v>252</v>
      </c>
      <c r="BP101" s="301"/>
      <c r="BQ101" s="43">
        <f>SUM(BQ99:BQ100)</f>
        <v>126</v>
      </c>
      <c r="BR101" s="43">
        <f>SUM(BR99:BR100)</f>
        <v>0</v>
      </c>
      <c r="BS101" s="126">
        <f>SUM(BS99:BS100)</f>
        <v>2334</v>
      </c>
      <c r="BT101" s="133"/>
      <c r="BU101" s="299"/>
      <c r="BV101" s="326" t="s">
        <v>34</v>
      </c>
      <c r="BW101" s="327"/>
      <c r="BX101" s="300">
        <f>SUM(BX99:BY100)</f>
        <v>541</v>
      </c>
      <c r="BY101" s="301"/>
      <c r="BZ101" s="300">
        <f>SUM(BZ99:CD100)</f>
        <v>1007</v>
      </c>
      <c r="CA101" s="325"/>
      <c r="CB101" s="325"/>
      <c r="CC101" s="325"/>
      <c r="CD101" s="301"/>
      <c r="CE101" s="300">
        <f>SUM(CE99:CF100)</f>
        <v>1454</v>
      </c>
      <c r="CF101" s="301"/>
      <c r="CG101" s="300">
        <f>SUM(CG99:CH100)</f>
        <v>309</v>
      </c>
      <c r="CH101" s="301"/>
      <c r="CI101" s="43">
        <f>SUM(CI99:CI100)</f>
        <v>38</v>
      </c>
      <c r="CJ101" s="43">
        <f>SUM(CJ99:CJ100)</f>
        <v>0</v>
      </c>
      <c r="CK101" s="126">
        <f>SUM(CK99:CK100)</f>
        <v>3349</v>
      </c>
      <c r="CL101" s="133"/>
      <c r="CM101" s="299"/>
      <c r="CN101" s="326" t="s">
        <v>34</v>
      </c>
      <c r="CO101" s="327"/>
      <c r="CP101" s="300">
        <f>SUM(CP99:CQ100)</f>
        <v>279</v>
      </c>
      <c r="CQ101" s="301"/>
      <c r="CR101" s="300">
        <f>SUM(CR99:CV100)</f>
        <v>772</v>
      </c>
      <c r="CS101" s="325"/>
      <c r="CT101" s="325"/>
      <c r="CU101" s="325"/>
      <c r="CV101" s="301"/>
      <c r="CW101" s="300">
        <f>SUM(CW99:CX100)</f>
        <v>474</v>
      </c>
      <c r="CX101" s="301"/>
      <c r="CY101" s="300">
        <f>SUM(CY99:CZ100)</f>
        <v>290</v>
      </c>
      <c r="CZ101" s="301"/>
      <c r="DA101" s="43">
        <f>SUM(DA99:DA100)</f>
        <v>102</v>
      </c>
      <c r="DB101" s="43">
        <f>SUM(DB99:DB100)</f>
        <v>0</v>
      </c>
      <c r="DC101" s="26">
        <f>SUM(DC99:DC100)</f>
        <v>1917</v>
      </c>
      <c r="DD101" s="107"/>
      <c r="DE101" s="299"/>
      <c r="DF101" s="326" t="s">
        <v>34</v>
      </c>
      <c r="DG101" s="327"/>
      <c r="DH101" s="300">
        <f>SUM(DH99:DI100)</f>
        <v>409</v>
      </c>
      <c r="DI101" s="301"/>
      <c r="DJ101" s="300">
        <f>SUM(DJ99:DN100)</f>
        <v>290</v>
      </c>
      <c r="DK101" s="325"/>
      <c r="DL101" s="325"/>
      <c r="DM101" s="325"/>
      <c r="DN101" s="301"/>
      <c r="DO101" s="300">
        <f>SUM(DO99:DP100)</f>
        <v>832</v>
      </c>
      <c r="DP101" s="301"/>
      <c r="DQ101" s="300">
        <f>SUM(DQ99:DR100)</f>
        <v>314</v>
      </c>
      <c r="DR101" s="301"/>
      <c r="DS101" s="43">
        <f>SUM(DS99:DS100)</f>
        <v>94</v>
      </c>
      <c r="DT101" s="43">
        <f>SUM(DT99:DT100)</f>
        <v>0</v>
      </c>
      <c r="DU101" s="26">
        <f>SUM(DU99:DU100)</f>
        <v>1939</v>
      </c>
      <c r="DV101" s="107"/>
      <c r="DW101" s="299"/>
      <c r="DX101" s="326" t="s">
        <v>34</v>
      </c>
      <c r="DY101" s="327"/>
      <c r="DZ101" s="300">
        <f>SUM(DZ99:EA100)</f>
        <v>298</v>
      </c>
      <c r="EA101" s="301"/>
      <c r="EB101" s="300">
        <f>SUM(EB99:EF100)</f>
        <v>761</v>
      </c>
      <c r="EC101" s="325"/>
      <c r="ED101" s="325"/>
      <c r="EE101" s="325"/>
      <c r="EF101" s="301"/>
      <c r="EG101" s="300">
        <f>SUM(EG99:EH100)</f>
        <v>498</v>
      </c>
      <c r="EH101" s="301"/>
      <c r="EI101" s="300">
        <f>SUM(EI99:EJ100)</f>
        <v>290</v>
      </c>
      <c r="EJ101" s="301"/>
      <c r="EK101" s="43">
        <f>SUM(EK99:EK100)</f>
        <v>102</v>
      </c>
      <c r="EL101" s="43">
        <f>SUM(EL99:EL100)</f>
        <v>0</v>
      </c>
      <c r="EM101" s="26">
        <f>SUM(EM99:EM100)</f>
        <v>1949</v>
      </c>
      <c r="EN101" s="107"/>
      <c r="EO101" s="299"/>
      <c r="EP101" s="326" t="s">
        <v>34</v>
      </c>
      <c r="EQ101" s="327"/>
      <c r="ER101" s="300">
        <f>SUM(ER99:ES100)</f>
        <v>312</v>
      </c>
      <c r="ES101" s="301"/>
      <c r="ET101" s="300">
        <f>SUM(ET99:EX100)</f>
        <v>666</v>
      </c>
      <c r="EU101" s="325"/>
      <c r="EV101" s="325"/>
      <c r="EW101" s="325"/>
      <c r="EX101" s="301"/>
      <c r="EY101" s="300">
        <f>SUM(EY99:EZ100)</f>
        <v>1284</v>
      </c>
      <c r="EZ101" s="301"/>
      <c r="FA101" s="300">
        <f>SUM(FA99:FB100)</f>
        <v>263</v>
      </c>
      <c r="FB101" s="301"/>
      <c r="FC101" s="43">
        <f>SUM(FC99:FC100)</f>
        <v>98</v>
      </c>
      <c r="FD101" s="43">
        <f>SUM(FD99:FD100)</f>
        <v>0</v>
      </c>
      <c r="FE101" s="26">
        <f>SUM(FE99:FE100)</f>
        <v>2623</v>
      </c>
      <c r="FF101" s="107"/>
      <c r="FG101" s="299"/>
      <c r="FH101" s="326" t="s">
        <v>34</v>
      </c>
      <c r="FI101" s="327"/>
      <c r="FJ101" s="300">
        <f>SUM(FJ99:FK100)</f>
        <v>383</v>
      </c>
      <c r="FK101" s="301"/>
      <c r="FL101" s="300">
        <f>SUM(FL99:FP100)</f>
        <v>454</v>
      </c>
      <c r="FM101" s="325"/>
      <c r="FN101" s="325"/>
      <c r="FO101" s="325"/>
      <c r="FP101" s="301"/>
      <c r="FQ101" s="300">
        <f>SUM(FQ99:FR100)</f>
        <v>693</v>
      </c>
      <c r="FR101" s="301"/>
      <c r="FS101" s="300">
        <f>SUM(FS99:FT100)</f>
        <v>248</v>
      </c>
      <c r="FT101" s="301"/>
      <c r="FU101" s="43">
        <f>SUM(FU99:FU100)</f>
        <v>93</v>
      </c>
      <c r="FV101" s="43">
        <f>SUM(FV99:FV100)</f>
        <v>0</v>
      </c>
      <c r="FW101" s="26">
        <f>SUM(FW99:FW100)</f>
        <v>1871</v>
      </c>
      <c r="FX101" s="107"/>
      <c r="FY101" s="299"/>
      <c r="FZ101" s="326" t="s">
        <v>34</v>
      </c>
      <c r="GA101" s="327"/>
      <c r="GB101" s="300">
        <f>SUM(GB99:GC100)</f>
        <v>0</v>
      </c>
      <c r="GC101" s="301"/>
      <c r="GD101" s="300">
        <f>SUM(GD99:GH100)</f>
        <v>0</v>
      </c>
      <c r="GE101" s="325"/>
      <c r="GF101" s="325"/>
      <c r="GG101" s="325"/>
      <c r="GH101" s="301"/>
      <c r="GI101" s="300">
        <f>SUM(GI99:GJ100)</f>
        <v>0</v>
      </c>
      <c r="GJ101" s="301"/>
      <c r="GK101" s="300">
        <f>SUM(GK99:GL100)</f>
        <v>0</v>
      </c>
      <c r="GL101" s="301"/>
      <c r="GM101" s="43">
        <f>SUM(GM99:GM100)</f>
        <v>0</v>
      </c>
      <c r="GN101" s="43">
        <f>SUM(GN99:GN100)</f>
        <v>0</v>
      </c>
      <c r="GO101" s="26">
        <f>SUM(GO99:GO100)</f>
        <v>0</v>
      </c>
      <c r="GP101" s="107"/>
      <c r="GQ101" s="299"/>
      <c r="GR101" s="326" t="s">
        <v>34</v>
      </c>
      <c r="GS101" s="327"/>
      <c r="GT101" s="300">
        <f>SUM(GT99:GU100)</f>
        <v>0</v>
      </c>
      <c r="GU101" s="301"/>
      <c r="GV101" s="300">
        <f>SUM(GV99:GZ100)</f>
        <v>0</v>
      </c>
      <c r="GW101" s="325"/>
      <c r="GX101" s="325"/>
      <c r="GY101" s="325"/>
      <c r="GZ101" s="301"/>
      <c r="HA101" s="300">
        <f>SUM(HA99:HB100)</f>
        <v>0</v>
      </c>
      <c r="HB101" s="301"/>
      <c r="HC101" s="300">
        <f>SUM(HC99:HD100)</f>
        <v>0</v>
      </c>
      <c r="HD101" s="301"/>
      <c r="HE101" s="43">
        <f>SUM(HE99:HE100)</f>
        <v>0</v>
      </c>
      <c r="HF101" s="43">
        <f>SUM(HF99:HF100)</f>
        <v>0</v>
      </c>
      <c r="HG101" s="26">
        <f>SUM(HG99:HG100)</f>
        <v>0</v>
      </c>
      <c r="HH101" s="107"/>
      <c r="HI101" s="299"/>
      <c r="HJ101" s="295" t="s">
        <v>34</v>
      </c>
      <c r="HK101" s="313"/>
      <c r="HL101" s="300" t="e">
        <f>SUM(HL99:HM100)</f>
        <v>#VALUE!</v>
      </c>
      <c r="HM101" s="301"/>
      <c r="HN101" s="300">
        <f>SUM(HN99:HR100)</f>
        <v>6216</v>
      </c>
      <c r="HO101" s="325"/>
      <c r="HP101" s="325"/>
      <c r="HQ101" s="325"/>
      <c r="HR101" s="301"/>
      <c r="HS101" s="300">
        <f>SUM(HS99:HT100)</f>
        <v>8565</v>
      </c>
      <c r="HT101" s="301"/>
      <c r="HU101" s="300">
        <f>SUM(HU99:HV100)</f>
        <v>2871</v>
      </c>
      <c r="HV101" s="301"/>
      <c r="HW101" s="43">
        <f>SUM(HW99:HW100)</f>
        <v>874</v>
      </c>
      <c r="HX101" s="43">
        <f>SUM(HX99:HX100)</f>
        <v>1</v>
      </c>
      <c r="HY101" s="26" t="e">
        <f>SUM(HY99:HY100)</f>
        <v>#VALUE!</v>
      </c>
      <c r="HZ101" s="28"/>
    </row>
    <row r="102" spans="1:234" s="11" customFormat="1" ht="20.100000000000001" customHeight="1" thickBot="1" x14ac:dyDescent="0.25">
      <c r="A102" s="90"/>
      <c r="B102" s="291" t="s">
        <v>29</v>
      </c>
      <c r="C102" s="292"/>
      <c r="D102" s="314">
        <f>SUM(D98+D101)</f>
        <v>4798</v>
      </c>
      <c r="E102" s="315"/>
      <c r="F102" s="314">
        <f>SUM(F98+F101)</f>
        <v>3460</v>
      </c>
      <c r="G102" s="340"/>
      <c r="H102" s="340"/>
      <c r="I102" s="340"/>
      <c r="J102" s="315"/>
      <c r="K102" s="314">
        <f>SUM(K98+K101)</f>
        <v>7512</v>
      </c>
      <c r="L102" s="315"/>
      <c r="M102" s="314">
        <f>SUM(M98+M101)</f>
        <v>2329</v>
      </c>
      <c r="N102" s="315"/>
      <c r="O102" s="105">
        <f>SUM(O98+O101)</f>
        <v>333</v>
      </c>
      <c r="P102" s="105">
        <f>SUM(P98+P101)</f>
        <v>0</v>
      </c>
      <c r="Q102" s="128">
        <f>SUM(Q98+Q101)</f>
        <v>18432</v>
      </c>
      <c r="R102" s="133"/>
      <c r="S102" s="90"/>
      <c r="T102" s="291" t="s">
        <v>29</v>
      </c>
      <c r="U102" s="292"/>
      <c r="V102" s="314" t="e">
        <f>SUM(V98+V101)</f>
        <v>#VALUE!</v>
      </c>
      <c r="W102" s="315"/>
      <c r="X102" s="314">
        <f>SUM(X98+X101)</f>
        <v>2972</v>
      </c>
      <c r="Y102" s="340"/>
      <c r="Z102" s="340"/>
      <c r="AA102" s="340"/>
      <c r="AB102" s="315"/>
      <c r="AC102" s="314">
        <f>SUM(AC98+AC101)</f>
        <v>6531</v>
      </c>
      <c r="AD102" s="315"/>
      <c r="AE102" s="314">
        <f>SUM(AE98+AE101)</f>
        <v>1378</v>
      </c>
      <c r="AF102" s="315"/>
      <c r="AG102" s="105">
        <f>SUM(AG98+AG101)</f>
        <v>321</v>
      </c>
      <c r="AH102" s="105">
        <f>SUM(AH98+AH101)</f>
        <v>0</v>
      </c>
      <c r="AI102" s="128" t="e">
        <f>SUM(AI98+AI101)</f>
        <v>#VALUE!</v>
      </c>
      <c r="AJ102" s="133"/>
      <c r="AK102" s="90"/>
      <c r="AL102" s="291" t="s">
        <v>29</v>
      </c>
      <c r="AM102" s="292"/>
      <c r="AN102" s="314">
        <f>SUM(AN98+AN101)</f>
        <v>3106</v>
      </c>
      <c r="AO102" s="315"/>
      <c r="AP102" s="314">
        <f>SUM(AP98+AP101)</f>
        <v>5218</v>
      </c>
      <c r="AQ102" s="340"/>
      <c r="AR102" s="340"/>
      <c r="AS102" s="340"/>
      <c r="AT102" s="315"/>
      <c r="AU102" s="314">
        <f>SUM(AU98+AU101)</f>
        <v>5887</v>
      </c>
      <c r="AV102" s="315"/>
      <c r="AW102" s="314">
        <f>SUM(AW98+AW101)</f>
        <v>1722</v>
      </c>
      <c r="AX102" s="315"/>
      <c r="AY102" s="105">
        <f>SUM(AY98+AY101)</f>
        <v>365</v>
      </c>
      <c r="AZ102" s="105">
        <f>SUM(AZ98+AZ101)</f>
        <v>8</v>
      </c>
      <c r="BA102" s="128">
        <f>SUM(BA98+BA101)</f>
        <v>16306</v>
      </c>
      <c r="BB102" s="133"/>
      <c r="BC102" s="90"/>
      <c r="BD102" s="291" t="s">
        <v>29</v>
      </c>
      <c r="BE102" s="292"/>
      <c r="BF102" s="314">
        <f>SUM(BF98+BF101)</f>
        <v>2399</v>
      </c>
      <c r="BG102" s="315"/>
      <c r="BH102" s="314">
        <f>SUM(BH98+BH101)</f>
        <v>3229</v>
      </c>
      <c r="BI102" s="340"/>
      <c r="BJ102" s="340"/>
      <c r="BK102" s="340"/>
      <c r="BL102" s="315"/>
      <c r="BM102" s="314">
        <f>SUM(BM98+BM101)</f>
        <v>5617</v>
      </c>
      <c r="BN102" s="315"/>
      <c r="BO102" s="314">
        <f>SUM(BO98+BO101)</f>
        <v>1074</v>
      </c>
      <c r="BP102" s="315"/>
      <c r="BQ102" s="105">
        <f>SUM(BQ98+BQ101)</f>
        <v>382</v>
      </c>
      <c r="BR102" s="105">
        <f>SUM(BR98+BR101)</f>
        <v>0</v>
      </c>
      <c r="BS102" s="128">
        <f>SUM(BS98+BS101)</f>
        <v>12701</v>
      </c>
      <c r="BT102" s="133"/>
      <c r="BU102" s="90"/>
      <c r="BV102" s="291" t="s">
        <v>29</v>
      </c>
      <c r="BW102" s="292"/>
      <c r="BX102" s="314">
        <f>SUM(BX98+BX101)</f>
        <v>3509</v>
      </c>
      <c r="BY102" s="315"/>
      <c r="BZ102" s="314">
        <f>SUM(BZ98+BZ101)</f>
        <v>4776</v>
      </c>
      <c r="CA102" s="340"/>
      <c r="CB102" s="340"/>
      <c r="CC102" s="340"/>
      <c r="CD102" s="315"/>
      <c r="CE102" s="314">
        <f>SUM(CE98+CE101)</f>
        <v>8079</v>
      </c>
      <c r="CF102" s="315"/>
      <c r="CG102" s="314">
        <f>SUM(CG98+CG101)</f>
        <v>2045</v>
      </c>
      <c r="CH102" s="315"/>
      <c r="CI102" s="105">
        <f>SUM(CI98+CI101)</f>
        <v>209</v>
      </c>
      <c r="CJ102" s="105">
        <f>SUM(CJ98+CJ101)</f>
        <v>0</v>
      </c>
      <c r="CK102" s="128">
        <f>SUM(CK98+CK101)</f>
        <v>18618</v>
      </c>
      <c r="CL102" s="133"/>
      <c r="CM102" s="110"/>
      <c r="CN102" s="353" t="s">
        <v>29</v>
      </c>
      <c r="CO102" s="357"/>
      <c r="CP102" s="308">
        <f>SUM(CP98+CP101)</f>
        <v>4760</v>
      </c>
      <c r="CQ102" s="310"/>
      <c r="CR102" s="308">
        <f>SUM(CR98+CR101)</f>
        <v>8856</v>
      </c>
      <c r="CS102" s="309"/>
      <c r="CT102" s="309"/>
      <c r="CU102" s="309"/>
      <c r="CV102" s="310"/>
      <c r="CW102" s="308">
        <f>SUM(CW98+CW101)</f>
        <v>7863</v>
      </c>
      <c r="CX102" s="310"/>
      <c r="CY102" s="308">
        <f>SUM(CY98+CY101)</f>
        <v>2540</v>
      </c>
      <c r="CZ102" s="310"/>
      <c r="DA102" s="23">
        <f>SUM(DA98+DA101)</f>
        <v>569</v>
      </c>
      <c r="DB102" s="23">
        <f>SUM(DB98+DB101)</f>
        <v>7</v>
      </c>
      <c r="DC102" s="27">
        <f>SUM(DC98+DC101)</f>
        <v>24595</v>
      </c>
      <c r="DD102" s="156"/>
      <c r="DE102" s="110"/>
      <c r="DF102" s="353" t="s">
        <v>29</v>
      </c>
      <c r="DG102" s="357"/>
      <c r="DH102" s="308">
        <f>SUM(DH98+DH101)</f>
        <v>4016</v>
      </c>
      <c r="DI102" s="310"/>
      <c r="DJ102" s="308">
        <f>SUM(DJ98+DJ101)</f>
        <v>3257</v>
      </c>
      <c r="DK102" s="309"/>
      <c r="DL102" s="309"/>
      <c r="DM102" s="309"/>
      <c r="DN102" s="310"/>
      <c r="DO102" s="308">
        <f>SUM(DO98+DO101)</f>
        <v>7916</v>
      </c>
      <c r="DP102" s="310"/>
      <c r="DQ102" s="308">
        <f>SUM(DQ98+DQ101)</f>
        <v>1677</v>
      </c>
      <c r="DR102" s="310"/>
      <c r="DS102" s="23">
        <f>SUM(DS98+DS101)</f>
        <v>396</v>
      </c>
      <c r="DT102" s="23">
        <f>SUM(DT98+DT101)</f>
        <v>0</v>
      </c>
      <c r="DU102" s="27">
        <f>SUM(DU98+DU101)</f>
        <v>17262</v>
      </c>
      <c r="DV102" s="156"/>
      <c r="DW102" s="110"/>
      <c r="DX102" s="353" t="s">
        <v>29</v>
      </c>
      <c r="DY102" s="357"/>
      <c r="DZ102" s="308">
        <f>SUM(DZ98+DZ101)</f>
        <v>4635</v>
      </c>
      <c r="EA102" s="310"/>
      <c r="EB102" s="308">
        <f>SUM(EB98+EB101)</f>
        <v>8280</v>
      </c>
      <c r="EC102" s="309"/>
      <c r="ED102" s="309"/>
      <c r="EE102" s="309"/>
      <c r="EF102" s="310"/>
      <c r="EG102" s="308">
        <f>SUM(EG98+EG101)</f>
        <v>7798</v>
      </c>
      <c r="EH102" s="310"/>
      <c r="EI102" s="308">
        <f>SUM(EI98+EI101)</f>
        <v>2640</v>
      </c>
      <c r="EJ102" s="310"/>
      <c r="EK102" s="23">
        <f>SUM(EK98+EK101)</f>
        <v>562</v>
      </c>
      <c r="EL102" s="23">
        <f>SUM(EL98+EL101)</f>
        <v>7</v>
      </c>
      <c r="EM102" s="27">
        <f>SUM(EM98+EM101)</f>
        <v>23922</v>
      </c>
      <c r="EN102" s="156"/>
      <c r="EO102" s="110"/>
      <c r="EP102" s="353" t="s">
        <v>29</v>
      </c>
      <c r="EQ102" s="357"/>
      <c r="ER102" s="308">
        <f>SUM(ER98+ER101)</f>
        <v>1949</v>
      </c>
      <c r="ES102" s="310"/>
      <c r="ET102" s="308">
        <f>SUM(ET98+ET101)</f>
        <v>4048</v>
      </c>
      <c r="EU102" s="309"/>
      <c r="EV102" s="309"/>
      <c r="EW102" s="309"/>
      <c r="EX102" s="310"/>
      <c r="EY102" s="308">
        <f>SUM(EY98+EY101)</f>
        <v>4900</v>
      </c>
      <c r="EZ102" s="310"/>
      <c r="FA102" s="308">
        <f>SUM(FA98+FA101)</f>
        <v>1282</v>
      </c>
      <c r="FB102" s="310"/>
      <c r="FC102" s="23">
        <f>SUM(FC98+FC101)</f>
        <v>302</v>
      </c>
      <c r="FD102" s="23">
        <f>SUM(FD98+FD101)</f>
        <v>0</v>
      </c>
      <c r="FE102" s="27">
        <f>SUM(FE98+FE101)</f>
        <v>12481</v>
      </c>
      <c r="FF102" s="156"/>
      <c r="FG102" s="110"/>
      <c r="FH102" s="353" t="s">
        <v>29</v>
      </c>
      <c r="FI102" s="357"/>
      <c r="FJ102" s="308">
        <f>SUM(FJ98+FJ101)</f>
        <v>3921</v>
      </c>
      <c r="FK102" s="310"/>
      <c r="FL102" s="308">
        <f>SUM(FL98+FL101)</f>
        <v>3379</v>
      </c>
      <c r="FM102" s="309"/>
      <c r="FN102" s="309"/>
      <c r="FO102" s="309"/>
      <c r="FP102" s="310"/>
      <c r="FQ102" s="308">
        <f>SUM(FQ98+FQ101)</f>
        <v>6172</v>
      </c>
      <c r="FR102" s="310"/>
      <c r="FS102" s="308">
        <f>SUM(FS98+FS101)</f>
        <v>1498</v>
      </c>
      <c r="FT102" s="310"/>
      <c r="FU102" s="23">
        <f>SUM(FU98+FU101)</f>
        <v>360</v>
      </c>
      <c r="FV102" s="23">
        <f>SUM(FV98+FV101)</f>
        <v>0</v>
      </c>
      <c r="FW102" s="27">
        <f>SUM(FW98+FW101)</f>
        <v>15330</v>
      </c>
      <c r="FX102" s="156"/>
      <c r="FY102" s="110"/>
      <c r="FZ102" s="353" t="s">
        <v>29</v>
      </c>
      <c r="GA102" s="357"/>
      <c r="GB102" s="308">
        <f>SUM(GB98+GB101)</f>
        <v>0</v>
      </c>
      <c r="GC102" s="310"/>
      <c r="GD102" s="308">
        <f>SUM(GD98+GD101)</f>
        <v>0</v>
      </c>
      <c r="GE102" s="309"/>
      <c r="GF102" s="309"/>
      <c r="GG102" s="309"/>
      <c r="GH102" s="310"/>
      <c r="GI102" s="308">
        <f>SUM(GI98+GI101)</f>
        <v>0</v>
      </c>
      <c r="GJ102" s="310"/>
      <c r="GK102" s="308">
        <f>SUM(GK98+GK101)</f>
        <v>0</v>
      </c>
      <c r="GL102" s="310"/>
      <c r="GM102" s="23">
        <f>SUM(GM98+GM101)</f>
        <v>0</v>
      </c>
      <c r="GN102" s="23">
        <f>SUM(GN98+GN101)</f>
        <v>0</v>
      </c>
      <c r="GO102" s="27">
        <f>SUM(GO98+GO101)</f>
        <v>0</v>
      </c>
      <c r="GP102" s="156"/>
      <c r="GQ102" s="110"/>
      <c r="GR102" s="353" t="s">
        <v>29</v>
      </c>
      <c r="GS102" s="357"/>
      <c r="GT102" s="308">
        <f>SUM(GT98+GT101)</f>
        <v>0</v>
      </c>
      <c r="GU102" s="310"/>
      <c r="GV102" s="308">
        <f>SUM(GV98+GV101)</f>
        <v>0</v>
      </c>
      <c r="GW102" s="309"/>
      <c r="GX102" s="309"/>
      <c r="GY102" s="309"/>
      <c r="GZ102" s="310"/>
      <c r="HA102" s="308">
        <f>SUM(HA98+HA101)</f>
        <v>0</v>
      </c>
      <c r="HB102" s="310"/>
      <c r="HC102" s="308">
        <f>SUM(HC98+HC101)</f>
        <v>0</v>
      </c>
      <c r="HD102" s="310"/>
      <c r="HE102" s="23">
        <f>SUM(HE98+HE101)</f>
        <v>0</v>
      </c>
      <c r="HF102" s="23">
        <f>SUM(HF98+HF101)</f>
        <v>0</v>
      </c>
      <c r="HG102" s="27">
        <f>SUM(HG98+HG101)</f>
        <v>0</v>
      </c>
      <c r="HH102" s="107"/>
      <c r="HI102" s="41"/>
      <c r="HJ102" s="353" t="s">
        <v>29</v>
      </c>
      <c r="HK102" s="354"/>
      <c r="HL102" s="308" t="e">
        <f>SUM(HL98+HL101)</f>
        <v>#VALUE!</v>
      </c>
      <c r="HM102" s="310"/>
      <c r="HN102" s="308">
        <f>SUM(HN98+HN101)</f>
        <v>47475</v>
      </c>
      <c r="HO102" s="309"/>
      <c r="HP102" s="309"/>
      <c r="HQ102" s="309"/>
      <c r="HR102" s="310"/>
      <c r="HS102" s="308">
        <f>SUM(HS98+HS101)</f>
        <v>68275</v>
      </c>
      <c r="HT102" s="310"/>
      <c r="HU102" s="308">
        <f>SUM(HU98+HU101)</f>
        <v>18185</v>
      </c>
      <c r="HV102" s="310"/>
      <c r="HW102" s="105">
        <f>SUM(HW98+HW101)</f>
        <v>3799</v>
      </c>
      <c r="HX102" s="105">
        <f>SUM(HX98+HX101)</f>
        <v>22</v>
      </c>
      <c r="HY102" s="106" t="e">
        <f>SUM(HY98+HY101)</f>
        <v>#VALUE!</v>
      </c>
      <c r="HZ102" s="28"/>
    </row>
    <row r="103" spans="1:234" s="122" customFormat="1" ht="27.75" customHeight="1" thickBot="1" x14ac:dyDescent="0.25">
      <c r="A103" s="143"/>
      <c r="B103" s="119"/>
      <c r="C103" s="119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1"/>
      <c r="R103" s="134"/>
      <c r="S103" s="143"/>
      <c r="T103" s="119"/>
      <c r="U103" s="119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1"/>
      <c r="AJ103" s="134"/>
      <c r="AK103" s="143"/>
      <c r="AL103" s="119"/>
      <c r="AM103" s="119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1"/>
      <c r="BB103" s="134"/>
      <c r="BC103" s="143"/>
      <c r="BD103" s="119"/>
      <c r="BE103" s="119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1"/>
      <c r="BT103" s="134"/>
      <c r="BU103" s="143"/>
      <c r="BV103" s="119"/>
      <c r="BW103" s="119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 s="120"/>
      <c r="CH103" s="120"/>
      <c r="CI103" s="120"/>
      <c r="CJ103" s="120"/>
      <c r="CK103" s="121"/>
      <c r="CL103" s="134"/>
      <c r="CM103" s="143"/>
      <c r="CN103" s="119"/>
      <c r="CO103" s="119"/>
      <c r="CP103" s="120"/>
      <c r="CQ103" s="120"/>
      <c r="CR103" s="120"/>
      <c r="CS103" s="120"/>
      <c r="CT103" s="120"/>
      <c r="CU103" s="120"/>
      <c r="CV103" s="120"/>
      <c r="CW103" s="120"/>
      <c r="CX103" s="120"/>
      <c r="CY103" s="120"/>
      <c r="CZ103" s="120"/>
      <c r="DA103" s="120"/>
      <c r="DB103" s="120"/>
      <c r="DC103" s="121"/>
      <c r="DE103" s="143"/>
      <c r="DF103" s="119"/>
      <c r="DG103" s="119"/>
      <c r="DH103" s="120"/>
      <c r="DI103" s="120"/>
      <c r="DJ103" s="120"/>
      <c r="DK103" s="120"/>
      <c r="DL103" s="120"/>
      <c r="DM103" s="120"/>
      <c r="DN103" s="120"/>
      <c r="DO103" s="120"/>
      <c r="DP103" s="120"/>
      <c r="DQ103" s="120"/>
      <c r="DR103" s="120"/>
      <c r="DS103" s="120"/>
      <c r="DT103" s="120"/>
      <c r="DU103" s="121"/>
      <c r="DW103" s="143"/>
      <c r="DX103" s="119"/>
      <c r="DY103" s="119"/>
      <c r="DZ103" s="120"/>
      <c r="EA103" s="120"/>
      <c r="EB103" s="120"/>
      <c r="EC103" s="120"/>
      <c r="ED103" s="120"/>
      <c r="EE103" s="120"/>
      <c r="EF103" s="120"/>
      <c r="EG103" s="120"/>
      <c r="EH103" s="120"/>
      <c r="EI103" s="120"/>
      <c r="EJ103" s="120"/>
      <c r="EK103" s="120"/>
      <c r="EL103" s="120"/>
      <c r="EM103" s="121"/>
      <c r="EO103" s="143"/>
      <c r="EP103" s="119"/>
      <c r="EQ103" s="119"/>
      <c r="ER103" s="120"/>
      <c r="ES103" s="120"/>
      <c r="ET103" s="120"/>
      <c r="EU103" s="120"/>
      <c r="EV103" s="120"/>
      <c r="EW103" s="120"/>
      <c r="EX103" s="120"/>
      <c r="EY103" s="120"/>
      <c r="EZ103" s="120"/>
      <c r="FA103" s="120"/>
      <c r="FB103" s="120"/>
      <c r="FC103" s="120"/>
      <c r="FD103" s="120"/>
      <c r="FE103" s="121"/>
      <c r="FG103" s="143"/>
      <c r="FH103" s="119"/>
      <c r="FI103" s="119"/>
      <c r="FJ103" s="120"/>
      <c r="FK103" s="120"/>
      <c r="FL103" s="120"/>
      <c r="FM103" s="120"/>
      <c r="FN103" s="120"/>
      <c r="FO103" s="120"/>
      <c r="FP103" s="120"/>
      <c r="FQ103" s="120"/>
      <c r="FR103" s="120"/>
      <c r="FS103" s="120"/>
      <c r="FT103" s="120"/>
      <c r="FU103" s="120"/>
      <c r="FV103" s="120"/>
      <c r="FW103" s="121"/>
      <c r="FY103" s="143"/>
      <c r="FZ103" s="119"/>
      <c r="GA103" s="119"/>
      <c r="GB103" s="120"/>
      <c r="GC103" s="120"/>
      <c r="GD103" s="120"/>
      <c r="GE103" s="120"/>
      <c r="GF103" s="120"/>
      <c r="GG103" s="120"/>
      <c r="GH103" s="120"/>
      <c r="GI103" s="120"/>
      <c r="GJ103" s="120"/>
      <c r="GK103" s="120"/>
      <c r="GL103" s="120"/>
      <c r="GM103" s="120"/>
      <c r="GN103" s="120"/>
      <c r="GO103" s="121"/>
      <c r="GQ103" s="143"/>
      <c r="GR103" s="119"/>
      <c r="GS103" s="119"/>
      <c r="GT103" s="120"/>
      <c r="GU103" s="120"/>
      <c r="GV103" s="120"/>
      <c r="GW103" s="120"/>
      <c r="GX103" s="120"/>
      <c r="GY103" s="120"/>
      <c r="GZ103" s="120"/>
      <c r="HA103" s="120"/>
      <c r="HB103" s="120"/>
      <c r="HC103" s="120"/>
      <c r="HD103" s="120"/>
      <c r="HE103" s="120"/>
      <c r="HF103" s="120"/>
      <c r="HG103" s="121"/>
      <c r="HI103" s="123"/>
      <c r="HJ103" s="119"/>
      <c r="HK103" s="119"/>
      <c r="HL103" s="120"/>
      <c r="HM103" s="120"/>
      <c r="HN103" s="120"/>
      <c r="HO103" s="120"/>
      <c r="HP103" s="120"/>
      <c r="HQ103" s="120"/>
      <c r="HR103" s="120"/>
      <c r="HS103" s="120"/>
      <c r="HT103" s="120"/>
      <c r="HU103" s="120"/>
      <c r="HV103" s="120"/>
      <c r="HW103" s="120"/>
      <c r="HX103" s="120"/>
      <c r="HY103" s="121"/>
    </row>
    <row r="148" spans="1:1" ht="20.100000000000001" customHeight="1" x14ac:dyDescent="0.25">
      <c r="A148" s="91"/>
    </row>
    <row r="161" spans="1:1" ht="20.100000000000001" customHeight="1" x14ac:dyDescent="0.25">
      <c r="A161" s="92"/>
    </row>
  </sheetData>
  <mergeCells count="3611">
    <mergeCell ref="HJ71:HK71"/>
    <mergeCell ref="GK40:GL40"/>
    <mergeCell ref="HS67:HT67"/>
    <mergeCell ref="HS64:HT64"/>
    <mergeCell ref="HN68:HR68"/>
    <mergeCell ref="HN75:HR75"/>
    <mergeCell ref="HN67:HR67"/>
    <mergeCell ref="HS54:HT54"/>
    <mergeCell ref="HS57:HT57"/>
    <mergeCell ref="HS47:HT47"/>
    <mergeCell ref="HJ36:HK36"/>
    <mergeCell ref="HJ37:HJ38"/>
    <mergeCell ref="HJ34:HJ35"/>
    <mergeCell ref="HA60:HB60"/>
    <mergeCell ref="GT60:GU60"/>
    <mergeCell ref="GT74:GU74"/>
    <mergeCell ref="HS68:HT68"/>
    <mergeCell ref="HA40:HB40"/>
    <mergeCell ref="HC46:HD46"/>
    <mergeCell ref="GV57:GZ57"/>
    <mergeCell ref="HL57:HM57"/>
    <mergeCell ref="HL67:HM67"/>
    <mergeCell ref="HS46:HT46"/>
    <mergeCell ref="HL60:HM60"/>
    <mergeCell ref="HL54:HM54"/>
    <mergeCell ref="HC68:HD68"/>
    <mergeCell ref="HL68:HM68"/>
    <mergeCell ref="GT40:GU40"/>
    <mergeCell ref="GV43:GZ43"/>
    <mergeCell ref="HL74:HM74"/>
    <mergeCell ref="HL64:HM64"/>
    <mergeCell ref="GT36:GU36"/>
    <mergeCell ref="GT67:GU67"/>
    <mergeCell ref="GT61:GU61"/>
    <mergeCell ref="HJ72:HJ73"/>
    <mergeCell ref="HC81:HD81"/>
    <mergeCell ref="GR41:GR42"/>
    <mergeCell ref="HC60:HD60"/>
    <mergeCell ref="GR57:GS57"/>
    <mergeCell ref="HA78:HB78"/>
    <mergeCell ref="GT26:GU26"/>
    <mergeCell ref="GQ27:GQ32"/>
    <mergeCell ref="GK60:GL60"/>
    <mergeCell ref="GK68:GL68"/>
    <mergeCell ref="GQ62:GQ67"/>
    <mergeCell ref="HJ33:HK33"/>
    <mergeCell ref="HJ32:HK32"/>
    <mergeCell ref="HA75:HB75"/>
    <mergeCell ref="HI34:HI39"/>
    <mergeCell ref="HC74:HD74"/>
    <mergeCell ref="GR76:GR77"/>
    <mergeCell ref="GR60:GS60"/>
    <mergeCell ref="GK26:GL26"/>
    <mergeCell ref="GR72:GR73"/>
    <mergeCell ref="HA46:HB46"/>
    <mergeCell ref="HJ69:HJ70"/>
    <mergeCell ref="HC71:HD71"/>
    <mergeCell ref="GV40:GZ40"/>
    <mergeCell ref="HJ30:HJ31"/>
    <mergeCell ref="GT71:GU71"/>
    <mergeCell ref="HA71:HB71"/>
    <mergeCell ref="GT29:GU29"/>
    <mergeCell ref="GV33:GZ33"/>
    <mergeCell ref="GR40:GS40"/>
    <mergeCell ref="GK43:GL43"/>
    <mergeCell ref="GR71:GS71"/>
    <mergeCell ref="HN54:HR54"/>
    <mergeCell ref="HC25:HD25"/>
    <mergeCell ref="HN26:HR26"/>
    <mergeCell ref="HS50:HT50"/>
    <mergeCell ref="HC53:HD53"/>
    <mergeCell ref="HU22:HV22"/>
    <mergeCell ref="HN33:HR33"/>
    <mergeCell ref="HN60:HR60"/>
    <mergeCell ref="GR27:GR28"/>
    <mergeCell ref="HA26:HB26"/>
    <mergeCell ref="GR25:GS25"/>
    <mergeCell ref="GI22:GJ22"/>
    <mergeCell ref="GR58:GR59"/>
    <mergeCell ref="HJ60:HK60"/>
    <mergeCell ref="HU32:HV32"/>
    <mergeCell ref="HU36:HV36"/>
    <mergeCell ref="HL33:HM33"/>
    <mergeCell ref="HU29:HV29"/>
    <mergeCell ref="GT25:GU25"/>
    <mergeCell ref="GT22:GU22"/>
    <mergeCell ref="HN57:HR57"/>
    <mergeCell ref="HS39:HT39"/>
    <mergeCell ref="HJ39:HK39"/>
    <mergeCell ref="HU39:HV39"/>
    <mergeCell ref="HS22:HT22"/>
    <mergeCell ref="HL53:HM53"/>
    <mergeCell ref="HU43:HV43"/>
    <mergeCell ref="HS43:HT43"/>
    <mergeCell ref="HL25:HM25"/>
    <mergeCell ref="GI25:GJ25"/>
    <mergeCell ref="HS53:HT53"/>
    <mergeCell ref="HS33:HT33"/>
    <mergeCell ref="HU33:HV33"/>
    <mergeCell ref="HL12:HM12"/>
    <mergeCell ref="GI29:GJ29"/>
    <mergeCell ref="HC19:HD19"/>
    <mergeCell ref="HC22:HD22"/>
    <mergeCell ref="HC29:HD29"/>
    <mergeCell ref="FZ36:GA36"/>
    <mergeCell ref="FZ34:FZ35"/>
    <mergeCell ref="HU54:HV54"/>
    <mergeCell ref="GT53:GU53"/>
    <mergeCell ref="HU40:HV40"/>
    <mergeCell ref="HU26:HV26"/>
    <mergeCell ref="GQ41:GQ46"/>
    <mergeCell ref="GR43:GS43"/>
    <mergeCell ref="HA54:HB54"/>
    <mergeCell ref="HL47:HM47"/>
    <mergeCell ref="HN46:HR46"/>
    <mergeCell ref="HA50:HB50"/>
    <mergeCell ref="GD33:GH33"/>
    <mergeCell ref="GD26:GH26"/>
    <mergeCell ref="GB26:GC26"/>
    <mergeCell ref="FZ26:GA26"/>
    <mergeCell ref="HC36:HD36"/>
    <mergeCell ref="GQ20:GQ25"/>
    <mergeCell ref="FZ23:FZ24"/>
    <mergeCell ref="HL36:HM36"/>
    <mergeCell ref="HC39:HD39"/>
    <mergeCell ref="HL22:HM22"/>
    <mergeCell ref="HL40:HM40"/>
    <mergeCell ref="HS36:HT36"/>
    <mergeCell ref="FZ27:FZ28"/>
    <mergeCell ref="GD32:GH32"/>
    <mergeCell ref="HU1:HV1"/>
    <mergeCell ref="HI2:HI5"/>
    <mergeCell ref="HL19:HM19"/>
    <mergeCell ref="HL15:HM15"/>
    <mergeCell ref="HU25:HV25"/>
    <mergeCell ref="GK1:GL1"/>
    <mergeCell ref="HC1:HD1"/>
    <mergeCell ref="HS8:HT8"/>
    <mergeCell ref="HS18:HT18"/>
    <mergeCell ref="HN11:HR11"/>
    <mergeCell ref="HJ12:HK12"/>
    <mergeCell ref="HL3:HM3"/>
    <mergeCell ref="HI20:HI25"/>
    <mergeCell ref="HA8:HB8"/>
    <mergeCell ref="GV8:GZ8"/>
    <mergeCell ref="HA12:HB12"/>
    <mergeCell ref="GI26:GJ26"/>
    <mergeCell ref="GT19:GU19"/>
    <mergeCell ref="HJ19:HK19"/>
    <mergeCell ref="GR18:GS18"/>
    <mergeCell ref="HJ27:HJ28"/>
    <mergeCell ref="HA32:HB32"/>
    <mergeCell ref="HS29:HT29"/>
    <mergeCell ref="HN22:HR22"/>
    <mergeCell ref="FZ22:GA22"/>
    <mergeCell ref="GR13:GR14"/>
    <mergeCell ref="HJ13:HJ14"/>
    <mergeCell ref="GB15:GC15"/>
    <mergeCell ref="HJ29:HK29"/>
    <mergeCell ref="HL2:HT2"/>
    <mergeCell ref="GD19:GH19"/>
    <mergeCell ref="GI4:GI5"/>
    <mergeCell ref="GZ4:GZ5"/>
    <mergeCell ref="HS19:HT19"/>
    <mergeCell ref="HJ6:HJ7"/>
    <mergeCell ref="HC8:HD8"/>
    <mergeCell ref="HS25:HT25"/>
    <mergeCell ref="HM4:HM5"/>
    <mergeCell ref="HL8:HM8"/>
    <mergeCell ref="HA25:HB25"/>
    <mergeCell ref="HS32:HT32"/>
    <mergeCell ref="GR20:GR21"/>
    <mergeCell ref="HJ23:HJ24"/>
    <mergeCell ref="GR16:GR17"/>
    <mergeCell ref="HJ20:HJ21"/>
    <mergeCell ref="GV25:GZ25"/>
    <mergeCell ref="GV29:GZ29"/>
    <mergeCell ref="GK25:GL25"/>
    <mergeCell ref="GB50:GC50"/>
    <mergeCell ref="GB40:GC40"/>
    <mergeCell ref="FS26:FT26"/>
    <mergeCell ref="FS33:FT33"/>
    <mergeCell ref="FQ47:FR47"/>
    <mergeCell ref="FQ54:FR54"/>
    <mergeCell ref="FZ61:GA61"/>
    <mergeCell ref="FY69:FY74"/>
    <mergeCell ref="FL85:FP85"/>
    <mergeCell ref="HA47:HB47"/>
    <mergeCell ref="GD29:GH29"/>
    <mergeCell ref="FS39:FT39"/>
    <mergeCell ref="HI76:HI81"/>
    <mergeCell ref="FZ67:GA67"/>
    <mergeCell ref="FS1:FT1"/>
    <mergeCell ref="HC32:HD32"/>
    <mergeCell ref="FM4:FM5"/>
    <mergeCell ref="FL12:FP12"/>
    <mergeCell ref="GI19:GJ19"/>
    <mergeCell ref="FR4:FR5"/>
    <mergeCell ref="FL4:FL5"/>
    <mergeCell ref="GI15:GJ15"/>
    <mergeCell ref="HI48:HI53"/>
    <mergeCell ref="GB33:GC33"/>
    <mergeCell ref="GK33:GL33"/>
    <mergeCell ref="GV78:GZ78"/>
    <mergeCell ref="HA57:HB57"/>
    <mergeCell ref="GV19:GZ19"/>
    <mergeCell ref="GD11:GH11"/>
    <mergeCell ref="GT15:GU15"/>
    <mergeCell ref="GK12:GL12"/>
    <mergeCell ref="GB11:GC11"/>
    <mergeCell ref="GK15:GL15"/>
    <mergeCell ref="GR30:GR31"/>
    <mergeCell ref="HA29:HB29"/>
    <mergeCell ref="GK29:GL29"/>
    <mergeCell ref="GR22:GS22"/>
    <mergeCell ref="FL8:FP8"/>
    <mergeCell ref="FQ8:FR8"/>
    <mergeCell ref="FL26:FP26"/>
    <mergeCell ref="FS25:FT25"/>
    <mergeCell ref="FQ25:FR25"/>
    <mergeCell ref="GK8:GL8"/>
    <mergeCell ref="FL15:FP15"/>
    <mergeCell ref="GB29:GC29"/>
    <mergeCell ref="HA22:HB22"/>
    <mergeCell ref="GD22:GH22"/>
    <mergeCell ref="FZ16:FZ17"/>
    <mergeCell ref="GV22:GZ22"/>
    <mergeCell ref="GB25:GC25"/>
    <mergeCell ref="GR9:GR10"/>
    <mergeCell ref="GR23:GR24"/>
    <mergeCell ref="GK22:GL22"/>
    <mergeCell ref="GB19:GC19"/>
    <mergeCell ref="GD25:GH25"/>
    <mergeCell ref="FS15:FT15"/>
    <mergeCell ref="FZ8:GA8"/>
    <mergeCell ref="GI11:GJ11"/>
    <mergeCell ref="FQ22:FR22"/>
    <mergeCell ref="HJ22:HK22"/>
    <mergeCell ref="GB22:GC22"/>
    <mergeCell ref="FS12:FT12"/>
    <mergeCell ref="HJ2:HK4"/>
    <mergeCell ref="HJ8:HK8"/>
    <mergeCell ref="HJ9:HJ10"/>
    <mergeCell ref="HJ11:HK11"/>
    <mergeCell ref="HJ25:HK25"/>
    <mergeCell ref="FS18:FT18"/>
    <mergeCell ref="FL22:FP22"/>
    <mergeCell ref="FZ18:GA18"/>
    <mergeCell ref="HC18:HD18"/>
    <mergeCell ref="FL68:FP68"/>
    <mergeCell ref="GB18:GC18"/>
    <mergeCell ref="FZ20:FZ21"/>
    <mergeCell ref="GK53:GL53"/>
    <mergeCell ref="FZ19:GA19"/>
    <mergeCell ref="GI60:GJ60"/>
    <mergeCell ref="FZ58:FZ59"/>
    <mergeCell ref="GD50:GH50"/>
    <mergeCell ref="GV68:GZ68"/>
    <mergeCell ref="GB67:GC67"/>
    <mergeCell ref="GR51:GR52"/>
    <mergeCell ref="GK50:GL50"/>
    <mergeCell ref="GV50:GZ50"/>
    <mergeCell ref="GI47:GJ47"/>
    <mergeCell ref="GT64:GU64"/>
    <mergeCell ref="GR64:GS64"/>
    <mergeCell ref="GR61:GS61"/>
    <mergeCell ref="HJ61:HK61"/>
    <mergeCell ref="HC64:HD64"/>
    <mergeCell ref="GR50:GS50"/>
    <mergeCell ref="GB71:GC71"/>
    <mergeCell ref="GQ13:GQ18"/>
    <mergeCell ref="FQ74:FR74"/>
    <mergeCell ref="HN19:HR19"/>
    <mergeCell ref="HC12:HD12"/>
    <mergeCell ref="GV12:GZ12"/>
    <mergeCell ref="GV32:GZ32"/>
    <mergeCell ref="HL18:HM18"/>
    <mergeCell ref="HJ16:HJ17"/>
    <mergeCell ref="HJ18:HK18"/>
    <mergeCell ref="HN15:HR15"/>
    <mergeCell ref="HJ26:HK26"/>
    <mergeCell ref="HA19:HB19"/>
    <mergeCell ref="FL29:FP29"/>
    <mergeCell ref="FQ32:FR32"/>
    <mergeCell ref="GI36:GJ36"/>
    <mergeCell ref="HJ48:HJ49"/>
    <mergeCell ref="HJ68:HK68"/>
    <mergeCell ref="HJ65:HJ66"/>
    <mergeCell ref="FL61:FP61"/>
    <mergeCell ref="FS64:FT64"/>
    <mergeCell ref="FS53:FT53"/>
    <mergeCell ref="HJ53:HK53"/>
    <mergeCell ref="GR65:GR66"/>
    <mergeCell ref="GT57:GU57"/>
    <mergeCell ref="GT50:GU50"/>
    <mergeCell ref="HC50:HD50"/>
    <mergeCell ref="FS68:FT68"/>
    <mergeCell ref="FQ61:FR61"/>
    <mergeCell ref="FL50:FP50"/>
    <mergeCell ref="GI71:GJ71"/>
    <mergeCell ref="FZ71:GA71"/>
    <mergeCell ref="FY13:FY18"/>
    <mergeCell ref="GD8:GH8"/>
    <mergeCell ref="FO4:FO5"/>
    <mergeCell ref="FZ13:FZ14"/>
    <mergeCell ref="FJ18:FK18"/>
    <mergeCell ref="FN4:FN5"/>
    <mergeCell ref="GR11:GS11"/>
    <mergeCell ref="FY27:FY32"/>
    <mergeCell ref="FL19:FP19"/>
    <mergeCell ref="FZ11:GA11"/>
    <mergeCell ref="GI8:GJ8"/>
    <mergeCell ref="FT4:FT5"/>
    <mergeCell ref="GE4:GE5"/>
    <mergeCell ref="FJ4:FJ5"/>
    <mergeCell ref="FJ22:FK22"/>
    <mergeCell ref="GD43:GH43"/>
    <mergeCell ref="FZ32:GA32"/>
    <mergeCell ref="FZ25:GA25"/>
    <mergeCell ref="FS36:FT36"/>
    <mergeCell ref="FJ32:FK32"/>
    <mergeCell ref="FL40:FP40"/>
    <mergeCell ref="FS22:FT22"/>
    <mergeCell ref="GF4:GF5"/>
    <mergeCell ref="FU2:FU5"/>
    <mergeCell ref="FS2:FT3"/>
    <mergeCell ref="FJ12:FK12"/>
    <mergeCell ref="GB12:GC12"/>
    <mergeCell ref="GK19:GL19"/>
    <mergeCell ref="GR19:GS19"/>
    <mergeCell ref="FZ37:FZ38"/>
    <mergeCell ref="FL36:FP36"/>
    <mergeCell ref="GR36:GS36"/>
    <mergeCell ref="FQ78:FR78"/>
    <mergeCell ref="FH46:FI46"/>
    <mergeCell ref="FQ71:FR71"/>
    <mergeCell ref="FJ67:FK67"/>
    <mergeCell ref="FL43:FP43"/>
    <mergeCell ref="FQ33:FR33"/>
    <mergeCell ref="FS67:FT67"/>
    <mergeCell ref="FS71:FT71"/>
    <mergeCell ref="FH54:FI54"/>
    <mergeCell ref="FH41:FH42"/>
    <mergeCell ref="FL67:FP67"/>
    <mergeCell ref="FH76:FH77"/>
    <mergeCell ref="FQ68:FR68"/>
    <mergeCell ref="FQ53:FR53"/>
    <mergeCell ref="FJ43:FK43"/>
    <mergeCell ref="FS32:FT32"/>
    <mergeCell ref="FS29:FT29"/>
    <mergeCell ref="FL33:FP33"/>
    <mergeCell ref="FJ29:FK29"/>
    <mergeCell ref="FQ29:FR29"/>
    <mergeCell ref="FJ71:FK71"/>
    <mergeCell ref="FS60:FT60"/>
    <mergeCell ref="FH68:FI68"/>
    <mergeCell ref="FL75:FP75"/>
    <mergeCell ref="FH50:FI50"/>
    <mergeCell ref="FH69:FH70"/>
    <mergeCell ref="FH71:FI71"/>
    <mergeCell ref="FH39:FI39"/>
    <mergeCell ref="FS40:FT40"/>
    <mergeCell ref="FQ46:FR46"/>
    <mergeCell ref="FL46:FP46"/>
    <mergeCell ref="FS47:FT47"/>
    <mergeCell ref="FY20:FY25"/>
    <mergeCell ref="FH65:FH66"/>
    <mergeCell ref="FQ60:FR60"/>
    <mergeCell ref="FQ50:FR50"/>
    <mergeCell ref="FL25:FP25"/>
    <mergeCell ref="FA26:FB26"/>
    <mergeCell ref="FH27:FH28"/>
    <mergeCell ref="FQ36:FR36"/>
    <mergeCell ref="FQ26:FR26"/>
    <mergeCell ref="FQ43:FR43"/>
    <mergeCell ref="FG69:FG74"/>
    <mergeCell ref="FS75:FT75"/>
    <mergeCell ref="FH57:FI57"/>
    <mergeCell ref="FZ65:FZ66"/>
    <mergeCell ref="FZ50:GA50"/>
    <mergeCell ref="FZ62:FZ63"/>
    <mergeCell ref="FZ64:GA64"/>
    <mergeCell ref="FS61:FT61"/>
    <mergeCell ref="FZ60:GA60"/>
    <mergeCell ref="FJ25:FK25"/>
    <mergeCell ref="FQ64:FR64"/>
    <mergeCell ref="FL60:FP60"/>
    <mergeCell ref="FZ72:FZ73"/>
    <mergeCell ref="FY48:FY53"/>
    <mergeCell ref="FZ41:FZ42"/>
    <mergeCell ref="FG48:FG53"/>
    <mergeCell ref="FH40:FI40"/>
    <mergeCell ref="FZ75:GA75"/>
    <mergeCell ref="FJ53:FK53"/>
    <mergeCell ref="FL39:FP39"/>
    <mergeCell ref="FJ68:FK68"/>
    <mergeCell ref="FH32:FI32"/>
    <mergeCell ref="FQ88:FR88"/>
    <mergeCell ref="FH85:FI85"/>
    <mergeCell ref="FJ82:FK82"/>
    <mergeCell ref="FA39:FB39"/>
    <mergeCell ref="FJ40:FK40"/>
    <mergeCell ref="FL47:FP47"/>
    <mergeCell ref="FJ50:FK50"/>
    <mergeCell ref="FQ67:FR67"/>
    <mergeCell ref="EY40:EZ40"/>
    <mergeCell ref="FA40:FB40"/>
    <mergeCell ref="EY54:EZ54"/>
    <mergeCell ref="FJ46:FK46"/>
    <mergeCell ref="FA82:FB82"/>
    <mergeCell ref="FQ57:FR57"/>
    <mergeCell ref="FL53:FP53"/>
    <mergeCell ref="FJ61:FK61"/>
    <mergeCell ref="ET50:EX50"/>
    <mergeCell ref="FH67:FI67"/>
    <mergeCell ref="FH58:FH59"/>
    <mergeCell ref="FH64:FI64"/>
    <mergeCell ref="FG62:FG67"/>
    <mergeCell ref="FJ78:FK78"/>
    <mergeCell ref="FL74:FP74"/>
    <mergeCell ref="FL64:FP64"/>
    <mergeCell ref="FH78:FI78"/>
    <mergeCell ref="EY82:EZ82"/>
    <mergeCell ref="EY75:EZ75"/>
    <mergeCell ref="FJ54:FK54"/>
    <mergeCell ref="FJ60:FK60"/>
    <mergeCell ref="FH53:FI53"/>
    <mergeCell ref="FH74:FI74"/>
    <mergeCell ref="FQ39:FR39"/>
    <mergeCell ref="FQ89:FR89"/>
    <mergeCell ref="FJ33:FK33"/>
    <mergeCell ref="FL71:FP71"/>
    <mergeCell ref="FQ82:FR82"/>
    <mergeCell ref="FJ81:FK81"/>
    <mergeCell ref="FJ75:FK75"/>
    <mergeCell ref="FL81:FP81"/>
    <mergeCell ref="FL54:FP54"/>
    <mergeCell ref="FL57:FP57"/>
    <mergeCell ref="FY34:FY39"/>
    <mergeCell ref="FZ51:FZ52"/>
    <mergeCell ref="FZ68:GA68"/>
    <mergeCell ref="FS43:FT43"/>
    <mergeCell ref="GQ83:GQ88"/>
    <mergeCell ref="GD75:GH75"/>
    <mergeCell ref="GI74:GJ74"/>
    <mergeCell ref="GK75:GL75"/>
    <mergeCell ref="GK71:GL71"/>
    <mergeCell ref="FQ81:FR81"/>
    <mergeCell ref="FS78:FT78"/>
    <mergeCell ref="GD78:GH78"/>
    <mergeCell ref="GD36:GH36"/>
    <mergeCell ref="FJ89:FK89"/>
    <mergeCell ref="GB36:GC36"/>
    <mergeCell ref="FL88:FP88"/>
    <mergeCell ref="FL89:FP89"/>
    <mergeCell ref="FJ47:FK47"/>
    <mergeCell ref="GB39:GC39"/>
    <mergeCell ref="GD60:GH60"/>
    <mergeCell ref="FL78:FP78"/>
    <mergeCell ref="FS54:FT54"/>
    <mergeCell ref="FS57:FT57"/>
    <mergeCell ref="FZ69:FZ70"/>
    <mergeCell ref="GD64:GH64"/>
    <mergeCell ref="GV64:GZ64"/>
    <mergeCell ref="GB68:GC68"/>
    <mergeCell ref="GR68:GS68"/>
    <mergeCell ref="GB64:GC64"/>
    <mergeCell ref="GR53:GS53"/>
    <mergeCell ref="HJ57:HK57"/>
    <mergeCell ref="HJ51:HJ52"/>
    <mergeCell ref="GR46:GS46"/>
    <mergeCell ref="GR62:GR63"/>
    <mergeCell ref="FY62:FY67"/>
    <mergeCell ref="GI67:GJ67"/>
    <mergeCell ref="FZ53:GA53"/>
    <mergeCell ref="HA53:HB53"/>
    <mergeCell ref="GV47:GZ47"/>
    <mergeCell ref="FZ55:FZ56"/>
    <mergeCell ref="GB54:GC54"/>
    <mergeCell ref="FZ54:GA54"/>
    <mergeCell ref="HC57:HD57"/>
    <mergeCell ref="HJ50:HK50"/>
    <mergeCell ref="HJ64:HK64"/>
    <mergeCell ref="GB57:GC57"/>
    <mergeCell ref="GD54:GH54"/>
    <mergeCell ref="GB61:GC61"/>
    <mergeCell ref="HI62:HI67"/>
    <mergeCell ref="FY41:FY46"/>
    <mergeCell ref="FZ40:GA40"/>
    <mergeCell ref="GI57:GJ57"/>
    <mergeCell ref="GK54:GL54"/>
    <mergeCell ref="GR54:GS54"/>
    <mergeCell ref="GK47:GL47"/>
    <mergeCell ref="GI43:GJ43"/>
    <mergeCell ref="FY55:FY60"/>
    <mergeCell ref="GD57:GH57"/>
    <mergeCell ref="GB53:GC53"/>
    <mergeCell ref="FZ48:FZ49"/>
    <mergeCell ref="GI53:GJ53"/>
    <mergeCell ref="GI40:GJ40"/>
    <mergeCell ref="FZ47:GA47"/>
    <mergeCell ref="GD61:GH61"/>
    <mergeCell ref="GD47:GH47"/>
    <mergeCell ref="FZ46:GA46"/>
    <mergeCell ref="GD53:GH53"/>
    <mergeCell ref="GV53:GZ53"/>
    <mergeCell ref="GD67:GH67"/>
    <mergeCell ref="FZ57:GA57"/>
    <mergeCell ref="GD40:GH40"/>
    <mergeCell ref="GR29:GS29"/>
    <mergeCell ref="GI50:GJ50"/>
    <mergeCell ref="HN40:HR40"/>
    <mergeCell ref="HN39:HR39"/>
    <mergeCell ref="GD39:GH39"/>
    <mergeCell ref="HI27:HI32"/>
    <mergeCell ref="FZ44:FZ45"/>
    <mergeCell ref="HN43:HR43"/>
    <mergeCell ref="HL43:HM43"/>
    <mergeCell ref="HL46:HM46"/>
    <mergeCell ref="HJ44:HJ45"/>
    <mergeCell ref="HN50:HR50"/>
    <mergeCell ref="HL32:HM32"/>
    <mergeCell ref="GT32:GU32"/>
    <mergeCell ref="HN61:HR61"/>
    <mergeCell ref="HJ46:HK46"/>
    <mergeCell ref="HA36:HB36"/>
    <mergeCell ref="HC54:HD54"/>
    <mergeCell ref="GV54:GZ54"/>
    <mergeCell ref="HC43:HD43"/>
    <mergeCell ref="GT46:GU46"/>
    <mergeCell ref="FZ29:GA29"/>
    <mergeCell ref="GV46:GZ46"/>
    <mergeCell ref="HC47:HD47"/>
    <mergeCell ref="HA61:HB61"/>
    <mergeCell ref="FZ43:GA43"/>
    <mergeCell ref="GB47:GC47"/>
    <mergeCell ref="GR48:GR49"/>
    <mergeCell ref="GR47:GS47"/>
    <mergeCell ref="GT47:GU47"/>
    <mergeCell ref="GT43:GU43"/>
    <mergeCell ref="HJ41:HJ42"/>
    <mergeCell ref="GI32:GJ32"/>
    <mergeCell ref="GB60:GC60"/>
    <mergeCell ref="GI64:GJ64"/>
    <mergeCell ref="GI61:GJ61"/>
    <mergeCell ref="HA67:HB67"/>
    <mergeCell ref="GK46:GL46"/>
    <mergeCell ref="HJ43:HK43"/>
    <mergeCell ref="GB46:GC46"/>
    <mergeCell ref="GI46:GJ46"/>
    <mergeCell ref="GD46:GH46"/>
    <mergeCell ref="GB43:GC43"/>
    <mergeCell ref="HL50:HM50"/>
    <mergeCell ref="GI39:GJ39"/>
    <mergeCell ref="HL61:HM61"/>
    <mergeCell ref="HN47:HR47"/>
    <mergeCell ref="HL26:HM26"/>
    <mergeCell ref="FZ39:GA39"/>
    <mergeCell ref="HN64:HR64"/>
    <mergeCell ref="GT39:GU39"/>
    <mergeCell ref="HA39:HB39"/>
    <mergeCell ref="HL39:HM39"/>
    <mergeCell ref="GV39:GZ39"/>
    <mergeCell ref="GR37:GR38"/>
    <mergeCell ref="HL29:HM29"/>
    <mergeCell ref="GR26:GS26"/>
    <mergeCell ref="FZ33:GA33"/>
    <mergeCell ref="GR39:GS39"/>
    <mergeCell ref="GK64:GL64"/>
    <mergeCell ref="GV61:GZ61"/>
    <mergeCell ref="GK61:GL61"/>
    <mergeCell ref="GI33:GJ33"/>
    <mergeCell ref="GT33:GU33"/>
    <mergeCell ref="HJ54:HK54"/>
    <mergeCell ref="GR32:GS32"/>
    <mergeCell ref="HA33:HB33"/>
    <mergeCell ref="GK32:GL32"/>
    <mergeCell ref="GR33:GS33"/>
    <mergeCell ref="HC33:HD33"/>
    <mergeCell ref="HN71:HR71"/>
    <mergeCell ref="HC61:HD61"/>
    <mergeCell ref="GR67:GS67"/>
    <mergeCell ref="GT68:GU68"/>
    <mergeCell ref="HS60:HT60"/>
    <mergeCell ref="HS40:HT40"/>
    <mergeCell ref="HI41:HI46"/>
    <mergeCell ref="HJ67:HK67"/>
    <mergeCell ref="GV36:GZ36"/>
    <mergeCell ref="HU61:HV61"/>
    <mergeCell ref="HS61:HT61"/>
    <mergeCell ref="HU57:HV57"/>
    <mergeCell ref="GK57:GL57"/>
    <mergeCell ref="GQ48:GQ53"/>
    <mergeCell ref="GT54:GU54"/>
    <mergeCell ref="HU71:HV71"/>
    <mergeCell ref="HU53:HV53"/>
    <mergeCell ref="HU67:HV67"/>
    <mergeCell ref="GK67:GL67"/>
    <mergeCell ref="GR44:GR45"/>
    <mergeCell ref="HU46:HV46"/>
    <mergeCell ref="HC67:HD67"/>
    <mergeCell ref="HJ58:HJ59"/>
    <mergeCell ref="HC40:HD40"/>
    <mergeCell ref="HJ55:HJ56"/>
    <mergeCell ref="HJ40:HK40"/>
    <mergeCell ref="HY2:HY5"/>
    <mergeCell ref="HN4:HN5"/>
    <mergeCell ref="HO4:HO5"/>
    <mergeCell ref="HP4:HP5"/>
    <mergeCell ref="HQ4:HQ5"/>
    <mergeCell ref="HR4:HR5"/>
    <mergeCell ref="HS4:HS5"/>
    <mergeCell ref="HW2:HW5"/>
    <mergeCell ref="HX2:HX5"/>
    <mergeCell ref="HT4:HT5"/>
    <mergeCell ref="FZ15:GA15"/>
    <mergeCell ref="GD18:GH18"/>
    <mergeCell ref="HA18:HB18"/>
    <mergeCell ref="GV3:GZ3"/>
    <mergeCell ref="GD3:GH3"/>
    <mergeCell ref="HA15:HB15"/>
    <mergeCell ref="GT18:GU18"/>
    <mergeCell ref="GT3:GU3"/>
    <mergeCell ref="GD4:GD5"/>
    <mergeCell ref="HC4:HC5"/>
    <mergeCell ref="HI6:HI11"/>
    <mergeCell ref="HN12:HR12"/>
    <mergeCell ref="HN18:HR18"/>
    <mergeCell ref="HS12:HT12"/>
    <mergeCell ref="GM2:GM5"/>
    <mergeCell ref="GR6:GR7"/>
    <mergeCell ref="HB4:HB5"/>
    <mergeCell ref="HU12:HV12"/>
    <mergeCell ref="HU15:HV15"/>
    <mergeCell ref="HA68:HB68"/>
    <mergeCell ref="GV71:GZ71"/>
    <mergeCell ref="GR69:GR70"/>
    <mergeCell ref="HA64:HB64"/>
    <mergeCell ref="GV67:GZ67"/>
    <mergeCell ref="HJ62:HJ63"/>
    <mergeCell ref="HU19:HV19"/>
    <mergeCell ref="GB32:GC32"/>
    <mergeCell ref="GR55:GR56"/>
    <mergeCell ref="GV26:GZ26"/>
    <mergeCell ref="HA43:HB43"/>
    <mergeCell ref="GV60:GZ60"/>
    <mergeCell ref="GK36:GL36"/>
    <mergeCell ref="GQ55:GQ60"/>
    <mergeCell ref="GK39:GL39"/>
    <mergeCell ref="GR34:GR35"/>
    <mergeCell ref="HN29:HR29"/>
    <mergeCell ref="HN53:HR53"/>
    <mergeCell ref="HN36:HR36"/>
    <mergeCell ref="HL71:HM71"/>
    <mergeCell ref="GD68:GH68"/>
    <mergeCell ref="GI68:GJ68"/>
    <mergeCell ref="HS26:HT26"/>
    <mergeCell ref="HC26:HD26"/>
    <mergeCell ref="GQ34:GQ39"/>
    <mergeCell ref="HU60:HV60"/>
    <mergeCell ref="GI54:GJ54"/>
    <mergeCell ref="HI55:HI60"/>
    <mergeCell ref="HU64:HV64"/>
    <mergeCell ref="HN32:HR32"/>
    <mergeCell ref="HJ47:HK47"/>
    <mergeCell ref="HI69:HI74"/>
    <mergeCell ref="HU18:HV18"/>
    <mergeCell ref="HL11:HM11"/>
    <mergeCell ref="FZ9:FZ10"/>
    <mergeCell ref="GV11:GZ11"/>
    <mergeCell ref="GV18:GZ18"/>
    <mergeCell ref="GX4:GX5"/>
    <mergeCell ref="FW2:FW5"/>
    <mergeCell ref="GR2:GS4"/>
    <mergeCell ref="HG2:HG5"/>
    <mergeCell ref="HF2:HF5"/>
    <mergeCell ref="HA3:HB3"/>
    <mergeCell ref="FZ30:FZ31"/>
    <mergeCell ref="FS50:FT50"/>
    <mergeCell ref="FS46:FT46"/>
    <mergeCell ref="FQ19:FR19"/>
    <mergeCell ref="FS19:FT19"/>
    <mergeCell ref="GR12:GS12"/>
    <mergeCell ref="GD12:GH12"/>
    <mergeCell ref="FV2:FV5"/>
    <mergeCell ref="FZ6:FZ7"/>
    <mergeCell ref="FS11:FT11"/>
    <mergeCell ref="GG4:GG5"/>
    <mergeCell ref="GD15:GH15"/>
    <mergeCell ref="HS11:HT11"/>
    <mergeCell ref="HA11:HB11"/>
    <mergeCell ref="GW4:GW5"/>
    <mergeCell ref="HV4:HV5"/>
    <mergeCell ref="HN8:HR8"/>
    <mergeCell ref="HN3:HR3"/>
    <mergeCell ref="HN25:HR25"/>
    <mergeCell ref="HU47:HV47"/>
    <mergeCell ref="HU50:HV50"/>
    <mergeCell ref="GV4:GV5"/>
    <mergeCell ref="GY4:GY5"/>
    <mergeCell ref="HU2:HV3"/>
    <mergeCell ref="HL4:HL5"/>
    <mergeCell ref="GV15:GZ15"/>
    <mergeCell ref="HU4:HU5"/>
    <mergeCell ref="HS3:HT3"/>
    <mergeCell ref="GB3:GC3"/>
    <mergeCell ref="HJ15:HK15"/>
    <mergeCell ref="FK4:FK5"/>
    <mergeCell ref="HD4:HD5"/>
    <mergeCell ref="HC11:HD11"/>
    <mergeCell ref="FQ15:FR15"/>
    <mergeCell ref="HS15:HT15"/>
    <mergeCell ref="GQ6:GQ11"/>
    <mergeCell ref="GK11:GL11"/>
    <mergeCell ref="FL11:FP11"/>
    <mergeCell ref="FQ11:FR11"/>
    <mergeCell ref="HC2:HD3"/>
    <mergeCell ref="FL3:FP3"/>
    <mergeCell ref="HE2:HE5"/>
    <mergeCell ref="HC15:HD15"/>
    <mergeCell ref="HI13:HI18"/>
    <mergeCell ref="HU11:HV11"/>
    <mergeCell ref="GI18:GJ18"/>
    <mergeCell ref="FJ3:FK3"/>
    <mergeCell ref="GT2:HB2"/>
    <mergeCell ref="FQ4:FQ5"/>
    <mergeCell ref="FQ12:FR12"/>
    <mergeCell ref="HU8:HV8"/>
    <mergeCell ref="GK18:GL18"/>
    <mergeCell ref="FQ3:FR3"/>
    <mergeCell ref="GN2:GN5"/>
    <mergeCell ref="GH4:GH5"/>
    <mergeCell ref="GJ4:GJ5"/>
    <mergeCell ref="GR8:GS8"/>
    <mergeCell ref="GB2:GJ2"/>
    <mergeCell ref="GT11:GU11"/>
    <mergeCell ref="HA4:HA5"/>
    <mergeCell ref="GQ2:GQ5"/>
    <mergeCell ref="GB4:GB5"/>
    <mergeCell ref="GL4:GL5"/>
    <mergeCell ref="GU4:GU5"/>
    <mergeCell ref="FY6:FY11"/>
    <mergeCell ref="FH11:FI11"/>
    <mergeCell ref="GR15:GS15"/>
    <mergeCell ref="GT12:GU12"/>
    <mergeCell ref="GI12:GJ12"/>
    <mergeCell ref="GI3:GJ3"/>
    <mergeCell ref="GK2:GL3"/>
    <mergeCell ref="GO2:GO5"/>
    <mergeCell ref="GB8:GC8"/>
    <mergeCell ref="FS8:FT8"/>
    <mergeCell ref="FZ2:GA4"/>
    <mergeCell ref="FS4:FS5"/>
    <mergeCell ref="GT8:GU8"/>
    <mergeCell ref="GC4:GC5"/>
    <mergeCell ref="GK4:GK5"/>
    <mergeCell ref="FZ12:GA12"/>
    <mergeCell ref="FJ11:FK11"/>
    <mergeCell ref="FJ8:FK8"/>
    <mergeCell ref="FJ15:FK15"/>
    <mergeCell ref="GT4:GT5"/>
    <mergeCell ref="FY2:FY5"/>
    <mergeCell ref="ER2:EZ2"/>
    <mergeCell ref="EI25:EJ25"/>
    <mergeCell ref="EK2:EK5"/>
    <mergeCell ref="EH4:EH5"/>
    <mergeCell ref="ER54:ES54"/>
    <mergeCell ref="EI53:EJ53"/>
    <mergeCell ref="EP51:EP52"/>
    <mergeCell ref="ET19:EX19"/>
    <mergeCell ref="ET22:EX22"/>
    <mergeCell ref="FA8:FB8"/>
    <mergeCell ref="FH25:FI25"/>
    <mergeCell ref="FH19:FI19"/>
    <mergeCell ref="FG6:FG11"/>
    <mergeCell ref="FH9:FH10"/>
    <mergeCell ref="FG2:FG5"/>
    <mergeCell ref="FB4:FB5"/>
    <mergeCell ref="FA22:FB22"/>
    <mergeCell ref="FH20:FH21"/>
    <mergeCell ref="FH30:FH31"/>
    <mergeCell ref="FG41:FG46"/>
    <mergeCell ref="FH36:FI36"/>
    <mergeCell ref="FH51:FH52"/>
    <mergeCell ref="FH34:FH35"/>
    <mergeCell ref="FG13:FG18"/>
    <mergeCell ref="FH12:FI12"/>
    <mergeCell ref="FH18:FI18"/>
    <mergeCell ref="ET4:ET5"/>
    <mergeCell ref="FH2:FI4"/>
    <mergeCell ref="FH43:FI43"/>
    <mergeCell ref="FG34:FG39"/>
    <mergeCell ref="ET43:EX43"/>
    <mergeCell ref="FH29:FI29"/>
    <mergeCell ref="FE2:FE5"/>
    <mergeCell ref="FH47:FI47"/>
    <mergeCell ref="FG20:FG25"/>
    <mergeCell ref="FH33:FI33"/>
    <mergeCell ref="FH37:FH38"/>
    <mergeCell ref="FH22:FI22"/>
    <mergeCell ref="FH23:FH24"/>
    <mergeCell ref="FJ2:FR2"/>
    <mergeCell ref="FH13:FH14"/>
    <mergeCell ref="FP4:FP5"/>
    <mergeCell ref="FH16:FH17"/>
    <mergeCell ref="FC2:FC5"/>
    <mergeCell ref="FL18:FP18"/>
    <mergeCell ref="FQ18:FR18"/>
    <mergeCell ref="FH6:FH7"/>
    <mergeCell ref="FH8:FI8"/>
    <mergeCell ref="FH15:FI15"/>
    <mergeCell ref="FD2:FD5"/>
    <mergeCell ref="FJ39:FK39"/>
    <mergeCell ref="FJ36:FK36"/>
    <mergeCell ref="FJ26:FK26"/>
    <mergeCell ref="FQ40:FR40"/>
    <mergeCell ref="FG27:FG32"/>
    <mergeCell ref="FL32:FP32"/>
    <mergeCell ref="FH26:FI26"/>
    <mergeCell ref="EY32:EZ32"/>
    <mergeCell ref="ET26:EX26"/>
    <mergeCell ref="ET29:EX29"/>
    <mergeCell ref="EY11:EZ11"/>
    <mergeCell ref="FJ19:FK19"/>
    <mergeCell ref="T62:T63"/>
    <mergeCell ref="AC57:AD57"/>
    <mergeCell ref="AK55:AK60"/>
    <mergeCell ref="AK48:AK53"/>
    <mergeCell ref="AE71:AF71"/>
    <mergeCell ref="AC88:AD88"/>
    <mergeCell ref="AE88:AF88"/>
    <mergeCell ref="ER85:ES85"/>
    <mergeCell ref="EB71:EF71"/>
    <mergeCell ref="EB82:EF82"/>
    <mergeCell ref="FH75:FI75"/>
    <mergeCell ref="EG67:EH67"/>
    <mergeCell ref="FH48:FH49"/>
    <mergeCell ref="EG54:EH54"/>
    <mergeCell ref="FJ57:FK57"/>
    <mergeCell ref="ET33:EX33"/>
    <mergeCell ref="ER53:ES53"/>
    <mergeCell ref="FJ88:FK88"/>
    <mergeCell ref="FJ74:FK74"/>
    <mergeCell ref="ET82:EX82"/>
    <mergeCell ref="FH79:FH80"/>
    <mergeCell ref="FJ64:FK64"/>
    <mergeCell ref="FH72:FH73"/>
    <mergeCell ref="EI67:EJ67"/>
    <mergeCell ref="EG74:EH74"/>
    <mergeCell ref="DX88:DY88"/>
    <mergeCell ref="DX86:DX87"/>
    <mergeCell ref="EG88:EH88"/>
    <mergeCell ref="DZ78:EA78"/>
    <mergeCell ref="EB78:EF78"/>
    <mergeCell ref="ER81:ES81"/>
    <mergeCell ref="EG78:EH78"/>
    <mergeCell ref="ER82:ES82"/>
    <mergeCell ref="EB74:EF74"/>
    <mergeCell ref="EI89:EJ89"/>
    <mergeCell ref="EI75:EJ75"/>
    <mergeCell ref="DZ82:EA82"/>
    <mergeCell ref="DZ71:EA71"/>
    <mergeCell ref="DZ85:EA85"/>
    <mergeCell ref="DX71:DY71"/>
    <mergeCell ref="EY47:EZ47"/>
    <mergeCell ref="FH44:FH45"/>
    <mergeCell ref="EO48:EO53"/>
    <mergeCell ref="EY53:EZ53"/>
    <mergeCell ref="EI57:EJ57"/>
    <mergeCell ref="EO62:EO67"/>
    <mergeCell ref="ET64:EX64"/>
    <mergeCell ref="EP67:EQ67"/>
    <mergeCell ref="EP69:EP70"/>
    <mergeCell ref="DX89:DY89"/>
    <mergeCell ref="EO96:EO101"/>
    <mergeCell ref="EO76:EO81"/>
    <mergeCell ref="B37:B38"/>
    <mergeCell ref="B68:C68"/>
    <mergeCell ref="T37:T38"/>
    <mergeCell ref="B53:C53"/>
    <mergeCell ref="D29:E29"/>
    <mergeCell ref="M36:N36"/>
    <mergeCell ref="T61:U61"/>
    <mergeCell ref="M46:N46"/>
    <mergeCell ref="B55:B56"/>
    <mergeCell ref="D68:E68"/>
    <mergeCell ref="T40:U40"/>
    <mergeCell ref="T43:U43"/>
    <mergeCell ref="B39:C39"/>
    <mergeCell ref="CP101:CQ101"/>
    <mergeCell ref="CE93:CF93"/>
    <mergeCell ref="CJ92:CJ95"/>
    <mergeCell ref="CK92:CK95"/>
    <mergeCell ref="B75:C75"/>
    <mergeCell ref="D71:E71"/>
    <mergeCell ref="D60:E60"/>
    <mergeCell ref="B60:C60"/>
    <mergeCell ref="M57:N57"/>
    <mergeCell ref="S41:S46"/>
    <mergeCell ref="EI64:EJ64"/>
    <mergeCell ref="A91:B91"/>
    <mergeCell ref="A96:A101"/>
    <mergeCell ref="D82:E82"/>
    <mergeCell ref="B81:C81"/>
    <mergeCell ref="B69:B70"/>
    <mergeCell ref="B92:C94"/>
    <mergeCell ref="D43:E43"/>
    <mergeCell ref="K102:L102"/>
    <mergeCell ref="K94:K95"/>
    <mergeCell ref="D98:E98"/>
    <mergeCell ref="D101:E101"/>
    <mergeCell ref="D94:D95"/>
    <mergeCell ref="B99:B100"/>
    <mergeCell ref="T99:T100"/>
    <mergeCell ref="T101:U101"/>
    <mergeCell ref="B102:C102"/>
    <mergeCell ref="K57:L57"/>
    <mergeCell ref="D36:E36"/>
    <mergeCell ref="D40:E40"/>
    <mergeCell ref="D39:E39"/>
    <mergeCell ref="B48:B49"/>
    <mergeCell ref="B40:C40"/>
    <mergeCell ref="T58:T59"/>
    <mergeCell ref="B82:C82"/>
    <mergeCell ref="B51:B52"/>
    <mergeCell ref="S69:S74"/>
    <mergeCell ref="D85:E85"/>
    <mergeCell ref="D78:E78"/>
    <mergeCell ref="F85:J85"/>
    <mergeCell ref="B62:B63"/>
    <mergeCell ref="K88:L88"/>
    <mergeCell ref="B74:C74"/>
    <mergeCell ref="B88:C88"/>
    <mergeCell ref="D74:E74"/>
    <mergeCell ref="M85:N85"/>
    <mergeCell ref="M82:N82"/>
    <mergeCell ref="F74:J74"/>
    <mergeCell ref="K64:L64"/>
    <mergeCell ref="F81:J81"/>
    <mergeCell ref="K61:L61"/>
    <mergeCell ref="F75:J75"/>
    <mergeCell ref="T25:U25"/>
    <mergeCell ref="M71:N71"/>
    <mergeCell ref="M75:N75"/>
    <mergeCell ref="K18:L18"/>
    <mergeCell ref="V39:W39"/>
    <mergeCell ref="V29:W29"/>
    <mergeCell ref="T29:U29"/>
    <mergeCell ref="T36:U36"/>
    <mergeCell ref="V78:W78"/>
    <mergeCell ref="K29:L29"/>
    <mergeCell ref="F36:J36"/>
    <mergeCell ref="K36:L36"/>
    <mergeCell ref="F39:J39"/>
    <mergeCell ref="T32:U32"/>
    <mergeCell ref="T39:U39"/>
    <mergeCell ref="T33:U33"/>
    <mergeCell ref="F33:J33"/>
    <mergeCell ref="M78:N78"/>
    <mergeCell ref="F47:J47"/>
    <mergeCell ref="V47:W47"/>
    <mergeCell ref="T60:U60"/>
    <mergeCell ref="B57:C57"/>
    <mergeCell ref="F78:J78"/>
    <mergeCell ref="K75:L75"/>
    <mergeCell ref="M67:N67"/>
    <mergeCell ref="T53:U53"/>
    <mergeCell ref="T65:T66"/>
    <mergeCell ref="B36:C36"/>
    <mergeCell ref="B46:C46"/>
    <mergeCell ref="D57:E57"/>
    <mergeCell ref="V18:W18"/>
    <mergeCell ref="T54:U54"/>
    <mergeCell ref="T41:T42"/>
    <mergeCell ref="F46:J46"/>
    <mergeCell ref="T23:T24"/>
    <mergeCell ref="D33:E33"/>
    <mergeCell ref="AC46:AD46"/>
    <mergeCell ref="AC54:AD54"/>
    <mergeCell ref="AC43:AD43"/>
    <mergeCell ref="AC33:AD33"/>
    <mergeCell ref="X39:AB39"/>
    <mergeCell ref="M33:N33"/>
    <mergeCell ref="S34:S39"/>
    <mergeCell ref="K46:L46"/>
    <mergeCell ref="M50:N50"/>
    <mergeCell ref="K60:L60"/>
    <mergeCell ref="T68:U68"/>
    <mergeCell ref="V67:W67"/>
    <mergeCell ref="K67:L67"/>
    <mergeCell ref="F67:J67"/>
    <mergeCell ref="M68:N68"/>
    <mergeCell ref="M61:N61"/>
    <mergeCell ref="T47:U47"/>
    <mergeCell ref="T51:T52"/>
    <mergeCell ref="S55:S60"/>
    <mergeCell ref="S62:S67"/>
    <mergeCell ref="F32:J32"/>
    <mergeCell ref="K54:L54"/>
    <mergeCell ref="S48:S53"/>
    <mergeCell ref="V36:W36"/>
    <mergeCell ref="K43:L43"/>
    <mergeCell ref="F54:J54"/>
    <mergeCell ref="M54:N54"/>
    <mergeCell ref="V57:W57"/>
    <mergeCell ref="M39:N39"/>
    <mergeCell ref="V43:W43"/>
    <mergeCell ref="M53:N53"/>
    <mergeCell ref="K50:L50"/>
    <mergeCell ref="X40:AB40"/>
    <mergeCell ref="V53:W53"/>
    <mergeCell ref="K32:L32"/>
    <mergeCell ref="M32:N32"/>
    <mergeCell ref="V33:W33"/>
    <mergeCell ref="X54:AB54"/>
    <mergeCell ref="V32:W32"/>
    <mergeCell ref="X33:AB33"/>
    <mergeCell ref="B33:C33"/>
    <mergeCell ref="D3:E3"/>
    <mergeCell ref="D8:E8"/>
    <mergeCell ref="S6:S11"/>
    <mergeCell ref="AC39:AD39"/>
    <mergeCell ref="AC36:AD36"/>
    <mergeCell ref="AC40:AD40"/>
    <mergeCell ref="AC19:AD19"/>
    <mergeCell ref="AC12:AD12"/>
    <mergeCell ref="B86:B87"/>
    <mergeCell ref="M81:N81"/>
    <mergeCell ref="T57:U57"/>
    <mergeCell ref="T50:U50"/>
    <mergeCell ref="B54:C54"/>
    <mergeCell ref="F61:J61"/>
    <mergeCell ref="D54:E54"/>
    <mergeCell ref="K53:L53"/>
    <mergeCell ref="F53:J53"/>
    <mergeCell ref="S83:S88"/>
    <mergeCell ref="T74:U74"/>
    <mergeCell ref="F82:J82"/>
    <mergeCell ref="K82:L82"/>
    <mergeCell ref="B71:C71"/>
    <mergeCell ref="B67:C67"/>
    <mergeCell ref="T55:T56"/>
    <mergeCell ref="AC47:AD47"/>
    <mergeCell ref="X29:AB29"/>
    <mergeCell ref="V25:W25"/>
    <mergeCell ref="X22:AB22"/>
    <mergeCell ref="X25:AB25"/>
    <mergeCell ref="AC26:AD26"/>
    <mergeCell ref="T34:T35"/>
    <mergeCell ref="O2:O5"/>
    <mergeCell ref="K11:L11"/>
    <mergeCell ref="F22:J22"/>
    <mergeCell ref="B32:C32"/>
    <mergeCell ref="K19:L19"/>
    <mergeCell ref="T22:U22"/>
    <mergeCell ref="B12:C12"/>
    <mergeCell ref="V22:W22"/>
    <mergeCell ref="M26:N26"/>
    <mergeCell ref="D32:E32"/>
    <mergeCell ref="F18:J18"/>
    <mergeCell ref="B19:C19"/>
    <mergeCell ref="D26:E26"/>
    <mergeCell ref="AC32:AD32"/>
    <mergeCell ref="K12:L12"/>
    <mergeCell ref="AC25:AD25"/>
    <mergeCell ref="T18:U18"/>
    <mergeCell ref="B13:B14"/>
    <mergeCell ref="T15:U15"/>
    <mergeCell ref="T12:U12"/>
    <mergeCell ref="T13:T14"/>
    <mergeCell ref="M15:N15"/>
    <mergeCell ref="M12:N12"/>
    <mergeCell ref="D12:E12"/>
    <mergeCell ref="S13:S18"/>
    <mergeCell ref="T27:T28"/>
    <mergeCell ref="X19:AB19"/>
    <mergeCell ref="AC29:AD29"/>
    <mergeCell ref="V12:W12"/>
    <mergeCell ref="X32:AB32"/>
    <mergeCell ref="B30:B31"/>
    <mergeCell ref="D19:E19"/>
    <mergeCell ref="D22:E22"/>
    <mergeCell ref="X18:AB18"/>
    <mergeCell ref="X26:AB26"/>
    <mergeCell ref="M29:N29"/>
    <mergeCell ref="M22:N22"/>
    <mergeCell ref="B18:C18"/>
    <mergeCell ref="D4:D5"/>
    <mergeCell ref="T30:T31"/>
    <mergeCell ref="F4:F5"/>
    <mergeCell ref="B23:B24"/>
    <mergeCell ref="T20:T21"/>
    <mergeCell ref="S20:S25"/>
    <mergeCell ref="T16:T17"/>
    <mergeCell ref="B15:C15"/>
    <mergeCell ref="N4:N5"/>
    <mergeCell ref="F26:J26"/>
    <mergeCell ref="M25:N25"/>
    <mergeCell ref="B25:C25"/>
    <mergeCell ref="K26:L26"/>
    <mergeCell ref="M19:N19"/>
    <mergeCell ref="K22:L22"/>
    <mergeCell ref="T11:U11"/>
    <mergeCell ref="M11:N11"/>
    <mergeCell ref="D18:E18"/>
    <mergeCell ref="F8:J8"/>
    <mergeCell ref="B2:C4"/>
    <mergeCell ref="B11:C11"/>
    <mergeCell ref="B16:B17"/>
    <mergeCell ref="K8:L8"/>
    <mergeCell ref="K3:L3"/>
    <mergeCell ref="F25:J25"/>
    <mergeCell ref="T26:U26"/>
    <mergeCell ref="E4:E5"/>
    <mergeCell ref="V89:W89"/>
    <mergeCell ref="D88:E88"/>
    <mergeCell ref="F88:J88"/>
    <mergeCell ref="M88:N88"/>
    <mergeCell ref="T88:U88"/>
    <mergeCell ref="K74:L74"/>
    <mergeCell ref="B43:C43"/>
    <mergeCell ref="L4:L5"/>
    <mergeCell ref="B6:B7"/>
    <mergeCell ref="S27:S32"/>
    <mergeCell ref="H4:H5"/>
    <mergeCell ref="T19:U19"/>
    <mergeCell ref="Q2:Q5"/>
    <mergeCell ref="F15:J15"/>
    <mergeCell ref="K15:L15"/>
    <mergeCell ref="F29:J29"/>
    <mergeCell ref="F3:J3"/>
    <mergeCell ref="M40:N40"/>
    <mergeCell ref="F40:J40"/>
    <mergeCell ref="V11:W11"/>
    <mergeCell ref="V19:W19"/>
    <mergeCell ref="B29:C29"/>
    <mergeCell ref="K68:L68"/>
    <mergeCell ref="K71:L71"/>
    <mergeCell ref="M60:N60"/>
    <mergeCell ref="K33:L33"/>
    <mergeCell ref="I4:I5"/>
    <mergeCell ref="B34:B35"/>
    <mergeCell ref="F11:J11"/>
    <mergeCell ref="M8:N8"/>
    <mergeCell ref="F12:J12"/>
    <mergeCell ref="K4:K5"/>
    <mergeCell ref="J4:J5"/>
    <mergeCell ref="M2:N3"/>
    <mergeCell ref="B26:C26"/>
    <mergeCell ref="B20:B21"/>
    <mergeCell ref="B22:C22"/>
    <mergeCell ref="V60:W60"/>
    <mergeCell ref="T83:T84"/>
    <mergeCell ref="D81:E81"/>
    <mergeCell ref="D47:E47"/>
    <mergeCell ref="T44:T45"/>
    <mergeCell ref="M43:N43"/>
    <mergeCell ref="T46:U46"/>
    <mergeCell ref="F43:J43"/>
    <mergeCell ref="D64:E64"/>
    <mergeCell ref="D11:E11"/>
    <mergeCell ref="M18:N18"/>
    <mergeCell ref="T6:T7"/>
    <mergeCell ref="K25:L25"/>
    <mergeCell ref="B8:C8"/>
    <mergeCell ref="B9:B10"/>
    <mergeCell ref="D15:E15"/>
    <mergeCell ref="G4:G5"/>
    <mergeCell ref="F19:J19"/>
    <mergeCell ref="D2:L2"/>
    <mergeCell ref="F71:J71"/>
    <mergeCell ref="T75:U75"/>
    <mergeCell ref="T67:U67"/>
    <mergeCell ref="M47:N47"/>
    <mergeCell ref="V50:W50"/>
    <mergeCell ref="D53:E53"/>
    <mergeCell ref="K40:L40"/>
    <mergeCell ref="D75:E75"/>
    <mergeCell ref="D61:E61"/>
    <mergeCell ref="X50:AB50"/>
    <mergeCell ref="T69:T70"/>
    <mergeCell ref="X53:AB53"/>
    <mergeCell ref="X74:AB74"/>
    <mergeCell ref="V54:W54"/>
    <mergeCell ref="X47:AB47"/>
    <mergeCell ref="B89:C89"/>
    <mergeCell ref="T71:U71"/>
    <mergeCell ref="B61:C61"/>
    <mergeCell ref="B58:B59"/>
    <mergeCell ref="M74:N74"/>
    <mergeCell ref="T48:T49"/>
    <mergeCell ref="B65:B66"/>
    <mergeCell ref="F64:J64"/>
    <mergeCell ref="K78:L78"/>
    <mergeCell ref="B78:C78"/>
    <mergeCell ref="K81:L81"/>
    <mergeCell ref="V68:W68"/>
    <mergeCell ref="T72:T73"/>
    <mergeCell ref="T82:U82"/>
    <mergeCell ref="T64:U64"/>
    <mergeCell ref="X68:AB68"/>
    <mergeCell ref="V64:W64"/>
    <mergeCell ref="X61:AB61"/>
    <mergeCell ref="B47:C47"/>
    <mergeCell ref="F60:J60"/>
    <mergeCell ref="B72:B73"/>
    <mergeCell ref="M89:N89"/>
    <mergeCell ref="B64:C64"/>
    <mergeCell ref="T89:U89"/>
    <mergeCell ref="B44:B45"/>
    <mergeCell ref="B50:C50"/>
    <mergeCell ref="B41:B42"/>
    <mergeCell ref="K47:L47"/>
    <mergeCell ref="X43:AB43"/>
    <mergeCell ref="X46:AB46"/>
    <mergeCell ref="V26:W26"/>
    <mergeCell ref="V40:W40"/>
    <mergeCell ref="D89:E89"/>
    <mergeCell ref="K89:L89"/>
    <mergeCell ref="F89:J89"/>
    <mergeCell ref="V46:W46"/>
    <mergeCell ref="D25:E25"/>
    <mergeCell ref="D67:E67"/>
    <mergeCell ref="D50:E50"/>
    <mergeCell ref="F68:J68"/>
    <mergeCell ref="X36:AB36"/>
    <mergeCell ref="K39:L39"/>
    <mergeCell ref="F57:J57"/>
    <mergeCell ref="F50:J50"/>
    <mergeCell ref="X78:AB78"/>
    <mergeCell ref="T78:U78"/>
    <mergeCell ref="V74:W74"/>
    <mergeCell ref="X75:AB75"/>
    <mergeCell ref="T85:U85"/>
    <mergeCell ref="T81:U81"/>
    <mergeCell ref="V71:W71"/>
    <mergeCell ref="X71:AB71"/>
    <mergeCell ref="D46:E46"/>
    <mergeCell ref="V81:W81"/>
    <mergeCell ref="V88:W88"/>
    <mergeCell ref="M64:N64"/>
    <mergeCell ref="AW89:AX89"/>
    <mergeCell ref="AW85:AX85"/>
    <mergeCell ref="AN75:AO75"/>
    <mergeCell ref="AN74:AO74"/>
    <mergeCell ref="X85:AB85"/>
    <mergeCell ref="AC64:AD64"/>
    <mergeCell ref="AL64:AM64"/>
    <mergeCell ref="X64:AB64"/>
    <mergeCell ref="AE64:AF64"/>
    <mergeCell ref="AC50:AD50"/>
    <mergeCell ref="X57:AB57"/>
    <mergeCell ref="X60:AB60"/>
    <mergeCell ref="AC71:AD71"/>
    <mergeCell ref="AL68:AM68"/>
    <mergeCell ref="AC61:AD61"/>
    <mergeCell ref="AE54:AF54"/>
    <mergeCell ref="AW88:AX88"/>
    <mergeCell ref="AE89:AF89"/>
    <mergeCell ref="AE53:AF53"/>
    <mergeCell ref="AC85:AD85"/>
    <mergeCell ref="AW68:AX68"/>
    <mergeCell ref="AL82:AM82"/>
    <mergeCell ref="AK62:AK67"/>
    <mergeCell ref="AL86:AL87"/>
    <mergeCell ref="AE81:AF81"/>
    <mergeCell ref="AU82:AV82"/>
    <mergeCell ref="AC68:AD68"/>
    <mergeCell ref="AC67:AD67"/>
    <mergeCell ref="AC53:AD53"/>
    <mergeCell ref="AL74:AM74"/>
    <mergeCell ref="AL85:AM85"/>
    <mergeCell ref="AC82:AD82"/>
    <mergeCell ref="AC89:AD89"/>
    <mergeCell ref="AP85:AT85"/>
    <mergeCell ref="AU68:AV68"/>
    <mergeCell ref="AP68:AT68"/>
    <mergeCell ref="AW67:AX67"/>
    <mergeCell ref="AP71:AT71"/>
    <mergeCell ref="AE68:AF68"/>
    <mergeCell ref="AC74:AD74"/>
    <mergeCell ref="AL53:AM53"/>
    <mergeCell ref="AP53:AT53"/>
    <mergeCell ref="AN53:AO53"/>
    <mergeCell ref="BD83:BD84"/>
    <mergeCell ref="BD65:BD66"/>
    <mergeCell ref="AC60:AD60"/>
    <mergeCell ref="AW57:AX57"/>
    <mergeCell ref="AE60:AF60"/>
    <mergeCell ref="AE57:AF57"/>
    <mergeCell ref="AU61:AV61"/>
    <mergeCell ref="AP61:AT61"/>
    <mergeCell ref="AE61:AF61"/>
    <mergeCell ref="AL83:AL84"/>
    <mergeCell ref="AN78:AO78"/>
    <mergeCell ref="AL75:AM75"/>
    <mergeCell ref="AL81:AM81"/>
    <mergeCell ref="AE85:AF85"/>
    <mergeCell ref="AK76:AK81"/>
    <mergeCell ref="AL76:AL77"/>
    <mergeCell ref="AL79:AL80"/>
    <mergeCell ref="AE67:AF67"/>
    <mergeCell ref="AW61:AX61"/>
    <mergeCell ref="AL65:AL66"/>
    <mergeCell ref="AW71:AX71"/>
    <mergeCell ref="V85:W85"/>
    <mergeCell ref="X82:AB82"/>
    <mergeCell ref="AC81:AD81"/>
    <mergeCell ref="AE78:AF78"/>
    <mergeCell ref="AK69:AK74"/>
    <mergeCell ref="AL69:AL70"/>
    <mergeCell ref="AP75:AT75"/>
    <mergeCell ref="AL72:AL73"/>
    <mergeCell ref="BD81:BE81"/>
    <mergeCell ref="BD75:BE75"/>
    <mergeCell ref="AE75:AF75"/>
    <mergeCell ref="AE74:AF74"/>
    <mergeCell ref="AN81:AO81"/>
    <mergeCell ref="AK83:AK88"/>
    <mergeCell ref="AE82:AF82"/>
    <mergeCell ref="AC75:AD75"/>
    <mergeCell ref="AU81:AV81"/>
    <mergeCell ref="AP81:AT81"/>
    <mergeCell ref="BD86:BD87"/>
    <mergeCell ref="BD72:BD73"/>
    <mergeCell ref="AL71:AM71"/>
    <mergeCell ref="BD88:BE88"/>
    <mergeCell ref="X81:AB81"/>
    <mergeCell ref="AN82:AO82"/>
    <mergeCell ref="AP82:AT82"/>
    <mergeCell ref="AW78:AX78"/>
    <mergeCell ref="AN88:AO88"/>
    <mergeCell ref="AC78:AD78"/>
    <mergeCell ref="AL78:AM78"/>
    <mergeCell ref="BH68:BL68"/>
    <mergeCell ref="AL62:AL63"/>
    <mergeCell ref="AW75:AX75"/>
    <mergeCell ref="AL88:AM88"/>
    <mergeCell ref="BC83:BC88"/>
    <mergeCell ref="AU89:AV89"/>
    <mergeCell ref="BH71:BL71"/>
    <mergeCell ref="AW64:AX64"/>
    <mergeCell ref="BF78:BG78"/>
    <mergeCell ref="BH82:BL82"/>
    <mergeCell ref="BH64:BL64"/>
    <mergeCell ref="BF82:BG82"/>
    <mergeCell ref="BC76:BC81"/>
    <mergeCell ref="BD74:BE74"/>
    <mergeCell ref="AU75:AV75"/>
    <mergeCell ref="AU71:AV71"/>
    <mergeCell ref="AN68:AO68"/>
    <mergeCell ref="BF85:BG85"/>
    <mergeCell ref="BF88:BG88"/>
    <mergeCell ref="AP78:AT78"/>
    <mergeCell ref="AU78:AV78"/>
    <mergeCell ref="AN71:AO71"/>
    <mergeCell ref="BH75:BL75"/>
    <mergeCell ref="BD69:BD70"/>
    <mergeCell ref="AN64:AO64"/>
    <mergeCell ref="AN89:AO89"/>
    <mergeCell ref="AP89:AT89"/>
    <mergeCell ref="AU88:AV88"/>
    <mergeCell ref="AN67:AO67"/>
    <mergeCell ref="BH85:BL85"/>
    <mergeCell ref="BF89:BG89"/>
    <mergeCell ref="AW81:AX81"/>
    <mergeCell ref="BH89:BL89"/>
    <mergeCell ref="CM76:CM81"/>
    <mergeCell ref="BZ74:CD74"/>
    <mergeCell ref="CE78:CF78"/>
    <mergeCell ref="CG78:CH78"/>
    <mergeCell ref="BV79:BV80"/>
    <mergeCell ref="BD78:BE78"/>
    <mergeCell ref="BD76:BD77"/>
    <mergeCell ref="BM75:BN75"/>
    <mergeCell ref="BO74:BP74"/>
    <mergeCell ref="BZ75:CD75"/>
    <mergeCell ref="BO81:BP81"/>
    <mergeCell ref="BH88:BL88"/>
    <mergeCell ref="BH78:BL78"/>
    <mergeCell ref="BD82:BE82"/>
    <mergeCell ref="BD79:BD80"/>
    <mergeCell ref="BU69:BU74"/>
    <mergeCell ref="CE89:CF89"/>
    <mergeCell ref="BX85:BY85"/>
    <mergeCell ref="BF74:BG74"/>
    <mergeCell ref="CE88:CF88"/>
    <mergeCell ref="CG88:CH88"/>
    <mergeCell ref="CG85:CH85"/>
    <mergeCell ref="BO82:BP82"/>
    <mergeCell ref="BV88:BW88"/>
    <mergeCell ref="BV83:BV84"/>
    <mergeCell ref="BO88:BP88"/>
    <mergeCell ref="CE74:CF74"/>
    <mergeCell ref="BF81:BG81"/>
    <mergeCell ref="BF75:BG75"/>
    <mergeCell ref="CR89:CV89"/>
    <mergeCell ref="BO75:BP75"/>
    <mergeCell ref="BM74:BN74"/>
    <mergeCell ref="BC69:BC74"/>
    <mergeCell ref="AU67:AV67"/>
    <mergeCell ref="BM82:BN82"/>
    <mergeCell ref="CN75:CO75"/>
    <mergeCell ref="CP82:CQ82"/>
    <mergeCell ref="CE102:CF102"/>
    <mergeCell ref="AW102:AX102"/>
    <mergeCell ref="AU98:AV98"/>
    <mergeCell ref="AU101:AV101"/>
    <mergeCell ref="AU102:AV102"/>
    <mergeCell ref="AW101:AX101"/>
    <mergeCell ref="BF93:BG93"/>
    <mergeCell ref="BH98:BL98"/>
    <mergeCell ref="BU96:BU101"/>
    <mergeCell ref="BM102:BN102"/>
    <mergeCell ref="BV102:BW102"/>
    <mergeCell ref="AW82:AX82"/>
    <mergeCell ref="BM71:BN71"/>
    <mergeCell ref="BF71:BG71"/>
    <mergeCell ref="BF67:BG67"/>
    <mergeCell ref="CM83:CM88"/>
    <mergeCell ref="BX102:BY102"/>
    <mergeCell ref="BV85:BW85"/>
    <mergeCell ref="CE85:CF85"/>
    <mergeCell ref="BV74:BW74"/>
    <mergeCell ref="BY94:BY95"/>
    <mergeCell ref="BM88:BN88"/>
    <mergeCell ref="BM85:BN85"/>
    <mergeCell ref="BO85:BP85"/>
    <mergeCell ref="DF46:DG46"/>
    <mergeCell ref="CW74:CX74"/>
    <mergeCell ref="CN74:CO74"/>
    <mergeCell ref="CP68:CQ68"/>
    <mergeCell ref="CP74:CQ74"/>
    <mergeCell ref="CP85:CQ85"/>
    <mergeCell ref="CY57:CZ57"/>
    <mergeCell ref="CR47:CV47"/>
    <mergeCell ref="CN57:CO57"/>
    <mergeCell ref="DJ53:DN53"/>
    <mergeCell ref="DH53:DI53"/>
    <mergeCell ref="DF54:DG54"/>
    <mergeCell ref="DQ53:DR53"/>
    <mergeCell ref="CR82:CV82"/>
    <mergeCell ref="CN85:CO85"/>
    <mergeCell ref="CW82:CX82"/>
    <mergeCell ref="DF61:DG61"/>
    <mergeCell ref="CR64:CV64"/>
    <mergeCell ref="DJ64:DN64"/>
    <mergeCell ref="DF48:DF49"/>
    <mergeCell ref="DE48:DE53"/>
    <mergeCell ref="DO85:DP85"/>
    <mergeCell ref="DQ85:DR85"/>
    <mergeCell ref="DO82:DP82"/>
    <mergeCell ref="CR54:CV54"/>
    <mergeCell ref="CN47:CO47"/>
    <mergeCell ref="CW81:CX81"/>
    <mergeCell ref="DF47:DG47"/>
    <mergeCell ref="DO64:DP64"/>
    <mergeCell ref="DH57:DI57"/>
    <mergeCell ref="DQ71:DR71"/>
    <mergeCell ref="DH60:DI60"/>
    <mergeCell ref="DO88:DP88"/>
    <mergeCell ref="DQ88:DR88"/>
    <mergeCell ref="DH81:DI81"/>
    <mergeCell ref="DF67:DG67"/>
    <mergeCell ref="DE69:DE74"/>
    <mergeCell ref="CN78:CO78"/>
    <mergeCell ref="CW85:CX85"/>
    <mergeCell ref="DF85:DG85"/>
    <mergeCell ref="CY75:CZ75"/>
    <mergeCell ref="CR88:CV88"/>
    <mergeCell ref="CW78:CX78"/>
    <mergeCell ref="CP78:CQ78"/>
    <mergeCell ref="CN82:CO82"/>
    <mergeCell ref="CR85:CV85"/>
    <mergeCell ref="DF81:DG81"/>
    <mergeCell ref="CN79:CN80"/>
    <mergeCell ref="CP88:CQ88"/>
    <mergeCell ref="CY85:CZ85"/>
    <mergeCell ref="CY71:CZ71"/>
    <mergeCell ref="DJ71:DN71"/>
    <mergeCell ref="DE62:DE67"/>
    <mergeCell ref="CY78:CZ78"/>
    <mergeCell ref="DH71:DI71"/>
    <mergeCell ref="DF75:DG75"/>
    <mergeCell ref="CW75:CX75"/>
    <mergeCell ref="CY68:CZ68"/>
    <mergeCell ref="DF68:DG68"/>
    <mergeCell ref="DF88:DG88"/>
    <mergeCell ref="DH85:DI85"/>
    <mergeCell ref="CY67:CZ67"/>
    <mergeCell ref="CY74:CZ74"/>
    <mergeCell ref="CR75:CV75"/>
    <mergeCell ref="CN86:CN87"/>
    <mergeCell ref="CN88:CO88"/>
    <mergeCell ref="CN64:CO64"/>
    <mergeCell ref="CN83:CN84"/>
    <mergeCell ref="CR78:CV78"/>
    <mergeCell ref="DH61:DI61"/>
    <mergeCell ref="DH78:DI78"/>
    <mergeCell ref="CN81:CO81"/>
    <mergeCell ref="CN72:CN73"/>
    <mergeCell ref="CN68:CO68"/>
    <mergeCell ref="CN69:CN70"/>
    <mergeCell ref="DF86:DF87"/>
    <mergeCell ref="DJ78:DN78"/>
    <mergeCell ref="DJ88:DN88"/>
    <mergeCell ref="CN67:CO67"/>
    <mergeCell ref="CW61:CX61"/>
    <mergeCell ref="CN62:CN63"/>
    <mergeCell ref="CR81:CV81"/>
    <mergeCell ref="DF83:DF84"/>
    <mergeCell ref="DF82:DG82"/>
    <mergeCell ref="CY61:CZ61"/>
    <mergeCell ref="CP64:CQ64"/>
    <mergeCell ref="CN65:CN66"/>
    <mergeCell ref="CW68:CX68"/>
    <mergeCell ref="CW64:CX64"/>
    <mergeCell ref="CR67:CV67"/>
    <mergeCell ref="CR71:CV71"/>
    <mergeCell ref="DF64:DG64"/>
    <mergeCell ref="DJ68:DN68"/>
    <mergeCell ref="CY81:CZ81"/>
    <mergeCell ref="DE76:DE81"/>
    <mergeCell ref="DJ89:DN89"/>
    <mergeCell ref="DH82:DI82"/>
    <mergeCell ref="DF89:DG89"/>
    <mergeCell ref="DJ82:DN82"/>
    <mergeCell ref="CN89:CO89"/>
    <mergeCell ref="CP61:CQ61"/>
    <mergeCell ref="CN61:CO61"/>
    <mergeCell ref="CW71:CX71"/>
    <mergeCell ref="CR74:CV74"/>
    <mergeCell ref="CW67:CX67"/>
    <mergeCell ref="CW57:CX57"/>
    <mergeCell ref="CP89:CQ89"/>
    <mergeCell ref="CW89:CX89"/>
    <mergeCell ref="CY89:CZ89"/>
    <mergeCell ref="CY82:CZ82"/>
    <mergeCell ref="CP81:CQ81"/>
    <mergeCell ref="DE83:DE88"/>
    <mergeCell ref="DF65:DF66"/>
    <mergeCell ref="CY60:CZ60"/>
    <mergeCell ref="CP67:CQ67"/>
    <mergeCell ref="CP71:CQ71"/>
    <mergeCell ref="CR68:CV68"/>
    <mergeCell ref="DH89:DI89"/>
    <mergeCell ref="DH88:DI88"/>
    <mergeCell ref="DF58:DF59"/>
    <mergeCell ref="DF60:DG60"/>
    <mergeCell ref="CP75:CQ75"/>
    <mergeCell ref="CW88:CX88"/>
    <mergeCell ref="CY88:CZ88"/>
    <mergeCell ref="CY64:CZ64"/>
    <mergeCell ref="DJ60:DN60"/>
    <mergeCell ref="DF69:DF70"/>
    <mergeCell ref="DE55:DE60"/>
    <mergeCell ref="DO68:DP68"/>
    <mergeCell ref="DO75:DP75"/>
    <mergeCell ref="DO71:DP71"/>
    <mergeCell ref="DF74:DG74"/>
    <mergeCell ref="DJ81:DN81"/>
    <mergeCell ref="DF78:DG78"/>
    <mergeCell ref="DJ54:DN54"/>
    <mergeCell ref="DJ57:DN57"/>
    <mergeCell ref="DH75:DI75"/>
    <mergeCell ref="DO78:DP78"/>
    <mergeCell ref="DQ50:DR50"/>
    <mergeCell ref="DF76:DF77"/>
    <mergeCell ref="DF79:DF80"/>
    <mergeCell ref="DF71:DG71"/>
    <mergeCell ref="DJ75:DN75"/>
    <mergeCell ref="DJ61:DN61"/>
    <mergeCell ref="DQ75:DR75"/>
    <mergeCell ref="DQ81:DR81"/>
    <mergeCell ref="DH68:DI68"/>
    <mergeCell ref="DJ67:DN67"/>
    <mergeCell ref="DH50:DI50"/>
    <mergeCell ref="DO74:DP74"/>
    <mergeCell ref="DX61:DY61"/>
    <mergeCell ref="DH74:DI74"/>
    <mergeCell ref="DH67:DI67"/>
    <mergeCell ref="DX58:DX59"/>
    <mergeCell ref="DX50:DY50"/>
    <mergeCell ref="DF51:DF52"/>
    <mergeCell ref="DF55:DF56"/>
    <mergeCell ref="DX81:DY81"/>
    <mergeCell ref="DX55:DX56"/>
    <mergeCell ref="DX76:DX77"/>
    <mergeCell ref="DF72:DF73"/>
    <mergeCell ref="DJ50:DN50"/>
    <mergeCell ref="DH64:DI64"/>
    <mergeCell ref="DX64:DY64"/>
    <mergeCell ref="DH54:DI54"/>
    <mergeCell ref="DX54:DY54"/>
    <mergeCell ref="DF62:DF63"/>
    <mergeCell ref="DW55:DW60"/>
    <mergeCell ref="DO81:DP81"/>
    <mergeCell ref="DF57:DG57"/>
    <mergeCell ref="DJ74:DN74"/>
    <mergeCell ref="DW69:DW74"/>
    <mergeCell ref="DX74:DY74"/>
    <mergeCell ref="DX69:DX70"/>
    <mergeCell ref="DX78:DY78"/>
    <mergeCell ref="DX68:DY68"/>
    <mergeCell ref="DX67:DY67"/>
    <mergeCell ref="DQ68:DR68"/>
    <mergeCell ref="DW83:DW88"/>
    <mergeCell ref="GB89:GC89"/>
    <mergeCell ref="FG83:FG88"/>
    <mergeCell ref="FH86:FH87"/>
    <mergeCell ref="EP82:EQ82"/>
    <mergeCell ref="FZ76:FZ77"/>
    <mergeCell ref="DX82:DY82"/>
    <mergeCell ref="GB78:GC78"/>
    <mergeCell ref="FQ75:FR75"/>
    <mergeCell ref="FZ83:FZ84"/>
    <mergeCell ref="FS88:FT88"/>
    <mergeCell ref="FZ88:GA88"/>
    <mergeCell ref="GB75:GC75"/>
    <mergeCell ref="HS71:HT71"/>
    <mergeCell ref="ER74:ES74"/>
    <mergeCell ref="FA81:FB81"/>
    <mergeCell ref="HS78:HT78"/>
    <mergeCell ref="FZ89:GA89"/>
    <mergeCell ref="GD89:GH89"/>
    <mergeCell ref="HC89:HD89"/>
    <mergeCell ref="DX85:DY85"/>
    <mergeCell ref="HJ89:HK89"/>
    <mergeCell ref="HC82:HD82"/>
    <mergeCell ref="GV89:GZ89"/>
    <mergeCell ref="HS89:HT89"/>
    <mergeCell ref="HN89:HR89"/>
    <mergeCell ref="HL88:HM88"/>
    <mergeCell ref="HL89:HM89"/>
    <mergeCell ref="GK89:GL89"/>
    <mergeCell ref="DW76:DW81"/>
    <mergeCell ref="GD71:GH71"/>
    <mergeCell ref="DX79:DX80"/>
    <mergeCell ref="HS85:HT85"/>
    <mergeCell ref="HA82:HB82"/>
    <mergeCell ref="GT81:GU81"/>
    <mergeCell ref="GK88:GL88"/>
    <mergeCell ref="HU74:HV74"/>
    <mergeCell ref="HL82:HM82"/>
    <mergeCell ref="HN74:HR74"/>
    <mergeCell ref="FZ74:GA74"/>
    <mergeCell ref="FZ78:GA78"/>
    <mergeCell ref="GB74:GC74"/>
    <mergeCell ref="HJ78:HK78"/>
    <mergeCell ref="GT82:GU82"/>
    <mergeCell ref="HL78:HM78"/>
    <mergeCell ref="FZ86:FZ87"/>
    <mergeCell ref="GB88:GC88"/>
    <mergeCell ref="FZ85:GA85"/>
    <mergeCell ref="GB85:GC85"/>
    <mergeCell ref="GI85:GJ85"/>
    <mergeCell ref="GD85:GH85"/>
    <mergeCell ref="GT88:GU88"/>
    <mergeCell ref="GT75:GU75"/>
    <mergeCell ref="GD74:GH74"/>
    <mergeCell ref="GR74:GS74"/>
    <mergeCell ref="GT78:GU78"/>
    <mergeCell ref="GR75:GS75"/>
    <mergeCell ref="HU81:HV81"/>
    <mergeCell ref="HU75:HV75"/>
    <mergeCell ref="GT85:GU85"/>
    <mergeCell ref="HJ76:HJ77"/>
    <mergeCell ref="HJ75:HK75"/>
    <mergeCell ref="HS75:HT75"/>
    <mergeCell ref="DX83:DX84"/>
    <mergeCell ref="DZ89:EA89"/>
    <mergeCell ref="FY76:FY81"/>
    <mergeCell ref="FZ79:FZ80"/>
    <mergeCell ref="FS74:FT74"/>
    <mergeCell ref="GD82:GH82"/>
    <mergeCell ref="GI82:GJ82"/>
    <mergeCell ref="GK82:GL82"/>
    <mergeCell ref="GK85:GL85"/>
    <mergeCell ref="HJ85:HK85"/>
    <mergeCell ref="GB81:GC81"/>
    <mergeCell ref="GI78:GJ78"/>
    <mergeCell ref="GR86:GR87"/>
    <mergeCell ref="GV88:GZ88"/>
    <mergeCell ref="HC88:HD88"/>
    <mergeCell ref="FS89:FT89"/>
    <mergeCell ref="FJ85:FK85"/>
    <mergeCell ref="FL82:FP82"/>
    <mergeCell ref="EP85:EQ85"/>
    <mergeCell ref="FH89:FI89"/>
    <mergeCell ref="ER89:ES89"/>
    <mergeCell ref="GK81:GL81"/>
    <mergeCell ref="GR81:GS81"/>
    <mergeCell ref="GK74:GL74"/>
    <mergeCell ref="GQ69:GQ74"/>
    <mergeCell ref="EG71:EH71"/>
    <mergeCell ref="DX72:DX73"/>
    <mergeCell ref="FA89:FB89"/>
    <mergeCell ref="FH88:FI88"/>
    <mergeCell ref="EI85:EJ85"/>
    <mergeCell ref="EB88:EF88"/>
    <mergeCell ref="FA85:FB85"/>
    <mergeCell ref="EO83:EO88"/>
    <mergeCell ref="FA88:FB88"/>
    <mergeCell ref="ET81:EX81"/>
    <mergeCell ref="EY74:EZ74"/>
    <mergeCell ref="FH81:FI81"/>
    <mergeCell ref="FH60:FI60"/>
    <mergeCell ref="EY78:EZ78"/>
    <mergeCell ref="FH61:FI61"/>
    <mergeCell ref="EY71:EZ71"/>
    <mergeCell ref="ER88:ES88"/>
    <mergeCell ref="EP71:EQ71"/>
    <mergeCell ref="EP68:EQ68"/>
    <mergeCell ref="EI81:EJ81"/>
    <mergeCell ref="FG76:FG81"/>
    <mergeCell ref="ET88:EX88"/>
    <mergeCell ref="EY88:EZ88"/>
    <mergeCell ref="ET75:EX75"/>
    <mergeCell ref="ET78:EX78"/>
    <mergeCell ref="FA68:FB68"/>
    <mergeCell ref="ET85:EX85"/>
    <mergeCell ref="FA71:FB71"/>
    <mergeCell ref="EY68:EZ68"/>
    <mergeCell ref="EP61:EQ61"/>
    <mergeCell ref="ET67:EX67"/>
    <mergeCell ref="FH83:FH84"/>
    <mergeCell ref="FH62:FH63"/>
    <mergeCell ref="EY61:EZ61"/>
    <mergeCell ref="FG55:FG60"/>
    <mergeCell ref="ET57:EX57"/>
    <mergeCell ref="FH55:FH56"/>
    <mergeCell ref="FA64:FB64"/>
    <mergeCell ref="FA67:FB67"/>
    <mergeCell ref="FA91:FB91"/>
    <mergeCell ref="ER64:ES64"/>
    <mergeCell ref="ER61:ES61"/>
    <mergeCell ref="ER75:ES75"/>
    <mergeCell ref="EP74:EQ74"/>
    <mergeCell ref="HU68:HV68"/>
    <mergeCell ref="HS74:HT74"/>
    <mergeCell ref="HL75:HM75"/>
    <mergeCell ref="GR78:GS78"/>
    <mergeCell ref="HA88:HB88"/>
    <mergeCell ref="GQ76:GQ81"/>
    <mergeCell ref="GR79:GR80"/>
    <mergeCell ref="GV81:GZ81"/>
    <mergeCell ref="HA81:HB81"/>
    <mergeCell ref="GV75:GZ75"/>
    <mergeCell ref="HA74:HB74"/>
    <mergeCell ref="FQ85:FR85"/>
    <mergeCell ref="FS85:FT85"/>
    <mergeCell ref="GV74:GZ74"/>
    <mergeCell ref="HN78:HR78"/>
    <mergeCell ref="HC75:HD75"/>
    <mergeCell ref="HJ74:HK74"/>
    <mergeCell ref="HA85:HB85"/>
    <mergeCell ref="HN82:HR82"/>
    <mergeCell ref="HJ83:HJ84"/>
    <mergeCell ref="HJ79:HJ80"/>
    <mergeCell ref="GI81:GJ81"/>
    <mergeCell ref="GI75:GJ75"/>
    <mergeCell ref="HC78:HD78"/>
    <mergeCell ref="HJ82:HK82"/>
    <mergeCell ref="GV85:GZ85"/>
    <mergeCell ref="FY83:FY88"/>
    <mergeCell ref="HU91:HV91"/>
    <mergeCell ref="HG92:HG95"/>
    <mergeCell ref="FR94:FR95"/>
    <mergeCell ref="FS94:FS95"/>
    <mergeCell ref="FS82:FT82"/>
    <mergeCell ref="HU85:HV85"/>
    <mergeCell ref="HN88:HR88"/>
    <mergeCell ref="FS81:FT81"/>
    <mergeCell ref="EI102:EJ102"/>
    <mergeCell ref="EB102:EF102"/>
    <mergeCell ref="DZ93:EA93"/>
    <mergeCell ref="DZ101:EA101"/>
    <mergeCell ref="EV94:EV95"/>
    <mergeCell ref="DZ102:EA102"/>
    <mergeCell ref="EG94:EG95"/>
    <mergeCell ref="EG93:EH93"/>
    <mergeCell ref="EI101:EJ101"/>
    <mergeCell ref="EY93:EZ93"/>
    <mergeCell ref="FA98:FB98"/>
    <mergeCell ref="EC94:EC95"/>
    <mergeCell ref="GK91:GL91"/>
    <mergeCell ref="GK94:GK95"/>
    <mergeCell ref="GQ96:GQ101"/>
    <mergeCell ref="FG91:FH91"/>
    <mergeCell ref="DZ81:EA81"/>
    <mergeCell ref="EY81:EZ81"/>
    <mergeCell ref="EP81:EQ81"/>
    <mergeCell ref="FH82:FI82"/>
    <mergeCell ref="GK92:GL93"/>
    <mergeCell ref="GK98:GL98"/>
    <mergeCell ref="GQ91:GR91"/>
    <mergeCell ref="GD101:GH101"/>
    <mergeCell ref="HU78:HV78"/>
    <mergeCell ref="GR82:GS82"/>
    <mergeCell ref="GR88:GS88"/>
    <mergeCell ref="HC85:HD85"/>
    <mergeCell ref="HJ88:HK88"/>
    <mergeCell ref="HA89:HB89"/>
    <mergeCell ref="HS82:HT82"/>
    <mergeCell ref="GR85:GS85"/>
    <mergeCell ref="HU82:HV82"/>
    <mergeCell ref="HJ86:HJ87"/>
    <mergeCell ref="GI89:GJ89"/>
    <mergeCell ref="GR89:GS89"/>
    <mergeCell ref="GI88:GJ88"/>
    <mergeCell ref="HU89:HV89"/>
    <mergeCell ref="FZ81:GA81"/>
    <mergeCell ref="FZ82:GA82"/>
    <mergeCell ref="GT89:GU89"/>
    <mergeCell ref="HS88:HT88"/>
    <mergeCell ref="GD88:GH88"/>
    <mergeCell ref="HN81:HR81"/>
    <mergeCell ref="HS81:HT81"/>
    <mergeCell ref="GK78:GL78"/>
    <mergeCell ref="GD81:GH81"/>
    <mergeCell ref="HJ81:HK81"/>
    <mergeCell ref="HL81:HM81"/>
    <mergeCell ref="HI83:HI88"/>
    <mergeCell ref="GR83:GR84"/>
    <mergeCell ref="GB82:GC82"/>
    <mergeCell ref="HU88:HV88"/>
    <mergeCell ref="HL85:HM85"/>
    <mergeCell ref="GV82:GZ82"/>
    <mergeCell ref="HN85:HR85"/>
    <mergeCell ref="ET102:EX102"/>
    <mergeCell ref="FJ102:FK102"/>
    <mergeCell ref="FB94:FB95"/>
    <mergeCell ref="DZ98:EA98"/>
    <mergeCell ref="EG98:EH98"/>
    <mergeCell ref="EY98:EZ98"/>
    <mergeCell ref="FA101:FB101"/>
    <mergeCell ref="ET101:EX101"/>
    <mergeCell ref="FQ93:FR93"/>
    <mergeCell ref="FL94:FL95"/>
    <mergeCell ref="FQ102:FR102"/>
    <mergeCell ref="DK94:DK95"/>
    <mergeCell ref="CR101:CV101"/>
    <mergeCell ref="CE98:CF98"/>
    <mergeCell ref="CG94:CG95"/>
    <mergeCell ref="CN96:CN97"/>
    <mergeCell ref="CN101:CO101"/>
    <mergeCell ref="CU94:CU95"/>
    <mergeCell ref="CG101:CH101"/>
    <mergeCell ref="CG92:CH93"/>
    <mergeCell ref="CY92:CZ93"/>
    <mergeCell ref="FJ94:FJ95"/>
    <mergeCell ref="FP94:FP95"/>
    <mergeCell ref="FM94:FM95"/>
    <mergeCell ref="FA92:FB93"/>
    <mergeCell ref="FQ98:FR98"/>
    <mergeCell ref="EY101:EZ101"/>
    <mergeCell ref="FL98:FP98"/>
    <mergeCell ref="DX102:DY102"/>
    <mergeCell ref="CG102:CH102"/>
    <mergeCell ref="DB92:DB95"/>
    <mergeCell ref="DA92:DA95"/>
    <mergeCell ref="CY98:CZ98"/>
    <mergeCell ref="EG102:EH102"/>
    <mergeCell ref="CR102:CV102"/>
    <mergeCell ref="CN102:CO102"/>
    <mergeCell ref="DH101:DI101"/>
    <mergeCell ref="DO102:DP102"/>
    <mergeCell ref="DQ102:DR102"/>
    <mergeCell ref="CY101:CZ101"/>
    <mergeCell ref="CT94:CT95"/>
    <mergeCell ref="CS94:CS95"/>
    <mergeCell ref="DU92:DU95"/>
    <mergeCell ref="DJ101:DN101"/>
    <mergeCell ref="DO101:DP101"/>
    <mergeCell ref="CW94:CW95"/>
    <mergeCell ref="DQ92:DR93"/>
    <mergeCell ref="DQ98:DR98"/>
    <mergeCell ref="DH102:DI102"/>
    <mergeCell ref="DF102:DG102"/>
    <mergeCell ref="CW102:CX102"/>
    <mergeCell ref="DJ102:DN102"/>
    <mergeCell ref="CY102:CZ102"/>
    <mergeCell ref="DO98:DP98"/>
    <mergeCell ref="DJ98:DN98"/>
    <mergeCell ref="DH98:DI98"/>
    <mergeCell ref="DH93:DI93"/>
    <mergeCell ref="DF98:DG98"/>
    <mergeCell ref="CW98:CX98"/>
    <mergeCell ref="CR98:CV98"/>
    <mergeCell ref="DF101:DG101"/>
    <mergeCell ref="CP102:CQ102"/>
    <mergeCell ref="CP92:CX92"/>
    <mergeCell ref="DW96:DW101"/>
    <mergeCell ref="HJ92:HK94"/>
    <mergeCell ref="GT93:GU93"/>
    <mergeCell ref="HY92:HY95"/>
    <mergeCell ref="HT94:HT95"/>
    <mergeCell ref="HU94:HU95"/>
    <mergeCell ref="HV94:HV95"/>
    <mergeCell ref="HW92:HW95"/>
    <mergeCell ref="HX92:HX95"/>
    <mergeCell ref="HL92:HT92"/>
    <mergeCell ref="HL93:HM93"/>
    <mergeCell ref="HS93:HT93"/>
    <mergeCell ref="HQ94:HQ95"/>
    <mergeCell ref="FE92:FE95"/>
    <mergeCell ref="EP102:EQ102"/>
    <mergeCell ref="GB102:GC102"/>
    <mergeCell ref="FZ102:GA102"/>
    <mergeCell ref="HN102:HR102"/>
    <mergeCell ref="HU102:HV102"/>
    <mergeCell ref="HS102:HT102"/>
    <mergeCell ref="FH101:FI101"/>
    <mergeCell ref="FH102:FI102"/>
    <mergeCell ref="GB101:GC101"/>
    <mergeCell ref="GB98:GC98"/>
    <mergeCell ref="GR99:GR100"/>
    <mergeCell ref="GI94:GI95"/>
    <mergeCell ref="GB92:GJ92"/>
    <mergeCell ref="FZ96:FZ97"/>
    <mergeCell ref="GM92:GM95"/>
    <mergeCell ref="GN92:GN95"/>
    <mergeCell ref="FL93:FP93"/>
    <mergeCell ref="FJ93:FK93"/>
    <mergeCell ref="FW92:FW95"/>
    <mergeCell ref="FY91:FZ91"/>
    <mergeCell ref="FJ92:FR92"/>
    <mergeCell ref="FS92:FT93"/>
    <mergeCell ref="FK94:FK95"/>
    <mergeCell ref="FZ92:GA94"/>
    <mergeCell ref="FU92:FU95"/>
    <mergeCell ref="CW101:CX101"/>
    <mergeCell ref="DE96:DE101"/>
    <mergeCell ref="DF99:DF100"/>
    <mergeCell ref="HU92:HV93"/>
    <mergeCell ref="HP94:HP95"/>
    <mergeCell ref="HL101:HM101"/>
    <mergeCell ref="HJ98:HK98"/>
    <mergeCell ref="HU98:HV98"/>
    <mergeCell ref="HM94:HM95"/>
    <mergeCell ref="HC101:HD101"/>
    <mergeCell ref="HC91:HD91"/>
    <mergeCell ref="HE92:HE95"/>
    <mergeCell ref="GV101:GZ101"/>
    <mergeCell ref="HU101:HV101"/>
    <mergeCell ref="HN98:HR98"/>
    <mergeCell ref="HO94:HO95"/>
    <mergeCell ref="HN93:HR93"/>
    <mergeCell ref="FH98:FI98"/>
    <mergeCell ref="HS101:HT101"/>
    <mergeCell ref="HS98:HT98"/>
    <mergeCell ref="GK101:GL101"/>
    <mergeCell ref="GD93:GH93"/>
    <mergeCell ref="GW94:GW95"/>
    <mergeCell ref="HA94:HA95"/>
    <mergeCell ref="GU94:GU95"/>
    <mergeCell ref="HS94:HS95"/>
    <mergeCell ref="A55:A60"/>
    <mergeCell ref="A34:A39"/>
    <mergeCell ref="A41:A46"/>
    <mergeCell ref="AN39:AO39"/>
    <mergeCell ref="X88:AB88"/>
    <mergeCell ref="V75:W75"/>
    <mergeCell ref="V61:W61"/>
    <mergeCell ref="X67:AB67"/>
    <mergeCell ref="A48:A53"/>
    <mergeCell ref="BH102:BL102"/>
    <mergeCell ref="BU83:BU88"/>
    <mergeCell ref="BV71:BW71"/>
    <mergeCell ref="CE67:CF67"/>
    <mergeCell ref="BZ89:CD89"/>
    <mergeCell ref="BZ81:CD81"/>
    <mergeCell ref="BZ82:CD82"/>
    <mergeCell ref="BV67:BW67"/>
    <mergeCell ref="BV68:BW68"/>
    <mergeCell ref="BX74:BY74"/>
    <mergeCell ref="BX88:BY88"/>
    <mergeCell ref="BZ88:CD88"/>
    <mergeCell ref="AN102:AO102"/>
    <mergeCell ref="BZ93:CD93"/>
    <mergeCell ref="CE82:CF82"/>
    <mergeCell ref="BV89:BW89"/>
    <mergeCell ref="BX89:BY89"/>
    <mergeCell ref="BV76:BV77"/>
    <mergeCell ref="BV82:BW82"/>
    <mergeCell ref="BX81:BY81"/>
    <mergeCell ref="BZ78:CD78"/>
    <mergeCell ref="BV75:BW75"/>
    <mergeCell ref="CE71:CF71"/>
    <mergeCell ref="A13:A18"/>
    <mergeCell ref="A27:A32"/>
    <mergeCell ref="B27:B28"/>
    <mergeCell ref="A62:A67"/>
    <mergeCell ref="A69:A74"/>
    <mergeCell ref="AL89:AM89"/>
    <mergeCell ref="AN85:AO85"/>
    <mergeCell ref="BD89:BE89"/>
    <mergeCell ref="AP88:AT88"/>
    <mergeCell ref="BD85:BE85"/>
    <mergeCell ref="AU85:AV85"/>
    <mergeCell ref="AU74:AV74"/>
    <mergeCell ref="AW74:AX74"/>
    <mergeCell ref="AP74:AT74"/>
    <mergeCell ref="AU47:AV47"/>
    <mergeCell ref="BD40:BE40"/>
    <mergeCell ref="AW53:AX53"/>
    <mergeCell ref="AN32:AO32"/>
    <mergeCell ref="AW29:AX29"/>
    <mergeCell ref="AU29:AV29"/>
    <mergeCell ref="AW43:AX43"/>
    <mergeCell ref="AL37:AL38"/>
    <mergeCell ref="AL22:AM22"/>
    <mergeCell ref="AP64:AT64"/>
    <mergeCell ref="AN54:AO54"/>
    <mergeCell ref="AW47:AX47"/>
    <mergeCell ref="AL54:AM54"/>
    <mergeCell ref="AL61:AM61"/>
    <mergeCell ref="AN40:AO40"/>
    <mergeCell ref="AP46:AT46"/>
    <mergeCell ref="AU26:AV26"/>
    <mergeCell ref="AP22:AT22"/>
    <mergeCell ref="BF102:BG102"/>
    <mergeCell ref="BN94:BN95"/>
    <mergeCell ref="BV78:BW78"/>
    <mergeCell ref="BX71:BY71"/>
    <mergeCell ref="BO78:BP78"/>
    <mergeCell ref="CG89:CH89"/>
    <mergeCell ref="BZ85:CD85"/>
    <mergeCell ref="BX82:BY82"/>
    <mergeCell ref="BO68:BP68"/>
    <mergeCell ref="CN71:CO71"/>
    <mergeCell ref="AP102:AT102"/>
    <mergeCell ref="CG98:CH98"/>
    <mergeCell ref="BZ101:CD101"/>
    <mergeCell ref="CE94:CE95"/>
    <mergeCell ref="BZ102:CD102"/>
    <mergeCell ref="CN98:CO98"/>
    <mergeCell ref="CG75:CH75"/>
    <mergeCell ref="CG81:CH81"/>
    <mergeCell ref="CG82:CH82"/>
    <mergeCell ref="CG68:CH68"/>
    <mergeCell ref="CG74:CH74"/>
    <mergeCell ref="BM81:BN81"/>
    <mergeCell ref="BM78:BN78"/>
    <mergeCell ref="BX75:BY75"/>
    <mergeCell ref="BU76:BU81"/>
    <mergeCell ref="BV81:BW81"/>
    <mergeCell ref="BX78:BY78"/>
    <mergeCell ref="CE81:CF81"/>
    <mergeCell ref="BH74:BL74"/>
    <mergeCell ref="BV69:BV70"/>
    <mergeCell ref="BO102:BP102"/>
    <mergeCell ref="BD102:BE102"/>
    <mergeCell ref="BZ68:CD68"/>
    <mergeCell ref="BV72:BV73"/>
    <mergeCell ref="BV65:BV66"/>
    <mergeCell ref="BH61:BL61"/>
    <mergeCell ref="BF61:BG61"/>
    <mergeCell ref="BD62:BD63"/>
    <mergeCell ref="BH67:BL67"/>
    <mergeCell ref="BD67:BE67"/>
    <mergeCell ref="BM60:BN60"/>
    <mergeCell ref="BO71:BP71"/>
    <mergeCell ref="BZ67:CD67"/>
    <mergeCell ref="BX68:BY68"/>
    <mergeCell ref="CE75:CF75"/>
    <mergeCell ref="BM68:BN68"/>
    <mergeCell ref="BM64:BN64"/>
    <mergeCell ref="BM67:BN67"/>
    <mergeCell ref="BD61:BE61"/>
    <mergeCell ref="BD71:BE71"/>
    <mergeCell ref="BZ71:CD71"/>
    <mergeCell ref="BD60:BE60"/>
    <mergeCell ref="BD68:BE68"/>
    <mergeCell ref="BH60:BL60"/>
    <mergeCell ref="BM61:BN61"/>
    <mergeCell ref="BO60:BP60"/>
    <mergeCell ref="CE68:CF68"/>
    <mergeCell ref="BD64:BE64"/>
    <mergeCell ref="BO64:BP64"/>
    <mergeCell ref="BV62:BV63"/>
    <mergeCell ref="BZ60:CD60"/>
    <mergeCell ref="BF68:BG68"/>
    <mergeCell ref="BO61:BP61"/>
    <mergeCell ref="BV64:BW64"/>
    <mergeCell ref="AU64:AV64"/>
    <mergeCell ref="AU60:AV60"/>
    <mergeCell ref="AL57:AM57"/>
    <mergeCell ref="BD57:BE57"/>
    <mergeCell ref="AW60:AX60"/>
    <mergeCell ref="BD58:BD59"/>
    <mergeCell ref="BC55:BC60"/>
    <mergeCell ref="CE54:CF54"/>
    <mergeCell ref="BV61:BW61"/>
    <mergeCell ref="BZ57:CD57"/>
    <mergeCell ref="BU62:BU67"/>
    <mergeCell ref="BH57:BL57"/>
    <mergeCell ref="BO57:BP57"/>
    <mergeCell ref="BX64:BY64"/>
    <mergeCell ref="BF60:BG60"/>
    <mergeCell ref="AP60:AT60"/>
    <mergeCell ref="AN60:AO60"/>
    <mergeCell ref="AL60:AM60"/>
    <mergeCell ref="BV57:BW57"/>
    <mergeCell ref="BC62:BC67"/>
    <mergeCell ref="AN57:AO57"/>
    <mergeCell ref="AN61:AO61"/>
    <mergeCell ref="AP57:AT57"/>
    <mergeCell ref="BO54:BP54"/>
    <mergeCell ref="AL67:AM67"/>
    <mergeCell ref="CG61:CH61"/>
    <mergeCell ref="CG67:CH67"/>
    <mergeCell ref="CG64:CH64"/>
    <mergeCell ref="BM57:BN57"/>
    <mergeCell ref="AL50:AM50"/>
    <mergeCell ref="CE64:CF64"/>
    <mergeCell ref="CE61:CF61"/>
    <mergeCell ref="BZ61:CD61"/>
    <mergeCell ref="BX61:BY61"/>
    <mergeCell ref="BX67:BY67"/>
    <mergeCell ref="BF64:BG64"/>
    <mergeCell ref="AP67:AT67"/>
    <mergeCell ref="AL58:AL59"/>
    <mergeCell ref="BD55:BD56"/>
    <mergeCell ref="BV51:BV52"/>
    <mergeCell ref="CN53:CO53"/>
    <mergeCell ref="AU53:AV53"/>
    <mergeCell ref="BD54:BE54"/>
    <mergeCell ref="AP54:AT54"/>
    <mergeCell ref="BM54:BN54"/>
    <mergeCell ref="AU54:AV54"/>
    <mergeCell ref="BX50:BY50"/>
    <mergeCell ref="BF57:BG57"/>
    <mergeCell ref="AL55:AL56"/>
    <mergeCell ref="AU50:AV50"/>
    <mergeCell ref="BO67:BP67"/>
    <mergeCell ref="AW54:AX54"/>
    <mergeCell ref="AU57:AV57"/>
    <mergeCell ref="BX57:BY57"/>
    <mergeCell ref="BF54:BG54"/>
    <mergeCell ref="BH54:BL54"/>
    <mergeCell ref="BX60:BY60"/>
    <mergeCell ref="CG57:CH57"/>
    <mergeCell ref="CR60:CV60"/>
    <mergeCell ref="CP60:CQ60"/>
    <mergeCell ref="CN60:CO60"/>
    <mergeCell ref="CG54:CH54"/>
    <mergeCell ref="CY54:CZ54"/>
    <mergeCell ref="BX53:BY53"/>
    <mergeCell ref="CR57:CV57"/>
    <mergeCell ref="CG50:CH50"/>
    <mergeCell ref="CY53:CZ53"/>
    <mergeCell ref="CE57:CF57"/>
    <mergeCell ref="BZ54:CD54"/>
    <mergeCell ref="BX54:BY54"/>
    <mergeCell ref="CM55:CM60"/>
    <mergeCell ref="BU55:BU60"/>
    <mergeCell ref="BV60:BW60"/>
    <mergeCell ref="CE60:CF60"/>
    <mergeCell ref="CN58:CN59"/>
    <mergeCell ref="CN55:CN56"/>
    <mergeCell ref="CR50:CV50"/>
    <mergeCell ref="BZ53:CD53"/>
    <mergeCell ref="BO53:BP53"/>
    <mergeCell ref="CP53:CQ53"/>
    <mergeCell ref="BV58:BV59"/>
    <mergeCell ref="CW53:CX53"/>
    <mergeCell ref="DF36:DG36"/>
    <mergeCell ref="DF32:DG32"/>
    <mergeCell ref="CN20:CN21"/>
    <mergeCell ref="CG25:CH25"/>
    <mergeCell ref="CY32:CZ32"/>
    <mergeCell ref="CG32:CH32"/>
    <mergeCell ref="CG71:CH71"/>
    <mergeCell ref="CM69:CM74"/>
    <mergeCell ref="DF33:DG33"/>
    <mergeCell ref="DF27:DF28"/>
    <mergeCell ref="BX29:BY29"/>
    <mergeCell ref="CP47:CQ47"/>
    <mergeCell ref="CP50:CQ50"/>
    <mergeCell ref="CG60:CH60"/>
    <mergeCell ref="DE27:DE32"/>
    <mergeCell ref="CY46:CZ46"/>
    <mergeCell ref="CY43:CZ43"/>
    <mergeCell ref="CY50:CZ50"/>
    <mergeCell ref="CN37:CN38"/>
    <mergeCell ref="CN36:CO36"/>
    <mergeCell ref="CY33:CZ33"/>
    <mergeCell ref="CY47:CZ47"/>
    <mergeCell ref="CP57:CQ57"/>
    <mergeCell ref="CN30:CN31"/>
    <mergeCell ref="CE26:CF26"/>
    <mergeCell ref="CP54:CQ54"/>
    <mergeCell ref="CR61:CV61"/>
    <mergeCell ref="CN48:CN49"/>
    <mergeCell ref="CY40:CZ40"/>
    <mergeCell ref="CN54:CO54"/>
    <mergeCell ref="DF44:DF45"/>
    <mergeCell ref="DF43:DG43"/>
    <mergeCell ref="CR40:CV40"/>
    <mergeCell ref="CW40:CX40"/>
    <mergeCell ref="BH39:BL39"/>
    <mergeCell ref="CP36:CQ36"/>
    <mergeCell ref="BH40:BL40"/>
    <mergeCell ref="BM89:BN89"/>
    <mergeCell ref="BO89:BP89"/>
    <mergeCell ref="BV86:BV87"/>
    <mergeCell ref="BH81:BL81"/>
    <mergeCell ref="CN76:CN77"/>
    <mergeCell ref="DF34:DF35"/>
    <mergeCell ref="DF30:DF31"/>
    <mergeCell ref="DF29:DG29"/>
    <mergeCell ref="BO50:BP50"/>
    <mergeCell ref="BV47:BW47"/>
    <mergeCell ref="BO40:BP40"/>
    <mergeCell ref="BV48:BV49"/>
    <mergeCell ref="BV54:BW54"/>
    <mergeCell ref="BV55:BV56"/>
    <mergeCell ref="CM62:CM67"/>
    <mergeCell ref="BZ64:CD64"/>
    <mergeCell ref="CN51:CN52"/>
    <mergeCell ref="CR53:CV53"/>
    <mergeCell ref="CW60:CX60"/>
    <mergeCell ref="BV50:BW50"/>
    <mergeCell ref="CW54:CX54"/>
    <mergeCell ref="BV53:BW53"/>
    <mergeCell ref="CR46:CV46"/>
    <mergeCell ref="BV44:BV45"/>
    <mergeCell ref="BX39:BY39"/>
    <mergeCell ref="CE36:CF36"/>
    <mergeCell ref="BV34:BV35"/>
    <mergeCell ref="CP40:CQ40"/>
    <mergeCell ref="CG39:CH39"/>
    <mergeCell ref="CG40:CH40"/>
    <mergeCell ref="BO39:BP39"/>
    <mergeCell ref="CN34:CN35"/>
    <mergeCell ref="BH47:BL47"/>
    <mergeCell ref="AW50:AX50"/>
    <mergeCell ref="BM50:BN50"/>
    <mergeCell ref="BF50:BG50"/>
    <mergeCell ref="BZ46:CD46"/>
    <mergeCell ref="CN40:CO40"/>
    <mergeCell ref="CN50:CO50"/>
    <mergeCell ref="CP33:CQ33"/>
    <mergeCell ref="BM43:BN43"/>
    <mergeCell ref="BV37:BV38"/>
    <mergeCell ref="BD47:BE47"/>
    <mergeCell ref="BH33:BL33"/>
    <mergeCell ref="BX33:BY33"/>
    <mergeCell ref="BM47:BN47"/>
    <mergeCell ref="CG43:CH43"/>
    <mergeCell ref="BU34:BU39"/>
    <mergeCell ref="CE46:CF46"/>
    <mergeCell ref="BZ33:CD33"/>
    <mergeCell ref="CY39:CZ39"/>
    <mergeCell ref="BO36:BP36"/>
    <mergeCell ref="BU41:BU46"/>
    <mergeCell ref="BV40:BW40"/>
    <mergeCell ref="AW36:AX36"/>
    <mergeCell ref="BF33:BG33"/>
    <mergeCell ref="BH43:BL43"/>
    <mergeCell ref="CR33:CV33"/>
    <mergeCell ref="BC34:BC39"/>
    <mergeCell ref="BZ50:CD50"/>
    <mergeCell ref="BZ43:CD43"/>
    <mergeCell ref="BM36:BN36"/>
    <mergeCell ref="CE47:CF47"/>
    <mergeCell ref="BX47:BY47"/>
    <mergeCell ref="CN41:CN42"/>
    <mergeCell ref="CP46:CQ46"/>
    <mergeCell ref="BD48:BD49"/>
    <mergeCell ref="CR43:CV43"/>
    <mergeCell ref="BX40:BY40"/>
    <mergeCell ref="BO43:BP43"/>
    <mergeCell ref="BV41:BV42"/>
    <mergeCell ref="BO47:BP47"/>
    <mergeCell ref="BM39:BN39"/>
    <mergeCell ref="BZ39:CD39"/>
    <mergeCell ref="BF39:BG39"/>
    <mergeCell ref="BH36:BL36"/>
    <mergeCell ref="CN33:CO33"/>
    <mergeCell ref="CE50:CF50"/>
    <mergeCell ref="CP39:CQ39"/>
    <mergeCell ref="CN39:CO39"/>
    <mergeCell ref="BX46:BY46"/>
    <mergeCell ref="BV46:BW46"/>
    <mergeCell ref="CW39:CX39"/>
    <mergeCell ref="CN44:CN45"/>
    <mergeCell ref="CN43:CO43"/>
    <mergeCell ref="BZ47:CD47"/>
    <mergeCell ref="CW50:CX50"/>
    <mergeCell ref="BD36:BE36"/>
    <mergeCell ref="CG33:CH33"/>
    <mergeCell ref="CE43:CF43"/>
    <mergeCell ref="CM34:CM39"/>
    <mergeCell ref="CE39:CF39"/>
    <mergeCell ref="CG47:CH47"/>
    <mergeCell ref="CE40:CF40"/>
    <mergeCell ref="CM41:CM46"/>
    <mergeCell ref="BX43:BY43"/>
    <mergeCell ref="BV43:BW43"/>
    <mergeCell ref="CE33:CF33"/>
    <mergeCell ref="BD50:BE50"/>
    <mergeCell ref="BD43:BE43"/>
    <mergeCell ref="BH50:BL50"/>
    <mergeCell ref="BF47:BG47"/>
    <mergeCell ref="CW36:CX36"/>
    <mergeCell ref="CR36:CV36"/>
    <mergeCell ref="BM33:BN33"/>
    <mergeCell ref="BZ40:CD40"/>
    <mergeCell ref="CP43:CQ43"/>
    <mergeCell ref="CW43:CX43"/>
    <mergeCell ref="CW47:CX47"/>
    <mergeCell ref="CN46:CO46"/>
    <mergeCell ref="CW46:CX46"/>
    <mergeCell ref="BZ36:CD36"/>
    <mergeCell ref="CG36:CH36"/>
    <mergeCell ref="BO33:BP33"/>
    <mergeCell ref="DF37:DF38"/>
    <mergeCell ref="BX36:BY36"/>
    <mergeCell ref="DF50:DG50"/>
    <mergeCell ref="BV26:BW26"/>
    <mergeCell ref="BV39:BW39"/>
    <mergeCell ref="CW33:CX33"/>
    <mergeCell ref="CW32:CX32"/>
    <mergeCell ref="CR32:CV32"/>
    <mergeCell ref="CM48:CM53"/>
    <mergeCell ref="CE53:CF53"/>
    <mergeCell ref="AP32:AT32"/>
    <mergeCell ref="AU39:AV39"/>
    <mergeCell ref="AU36:AV36"/>
    <mergeCell ref="AP39:AT39"/>
    <mergeCell ref="AU43:AV43"/>
    <mergeCell ref="BF36:BG36"/>
    <mergeCell ref="BU48:BU53"/>
    <mergeCell ref="BM32:BN32"/>
    <mergeCell ref="BX32:BY32"/>
    <mergeCell ref="CR39:CV39"/>
    <mergeCell ref="BC48:BC53"/>
    <mergeCell ref="CG53:CH53"/>
    <mergeCell ref="BM46:BN46"/>
    <mergeCell ref="BV36:BW36"/>
    <mergeCell ref="CG46:CH46"/>
    <mergeCell ref="DF40:DG40"/>
    <mergeCell ref="BD39:BE39"/>
    <mergeCell ref="BM40:BN40"/>
    <mergeCell ref="DF53:DG53"/>
    <mergeCell ref="BM53:BN53"/>
    <mergeCell ref="DE41:DE46"/>
    <mergeCell ref="DE34:DE39"/>
    <mergeCell ref="BF32:BG32"/>
    <mergeCell ref="AW46:AX46"/>
    <mergeCell ref="BD46:BE46"/>
    <mergeCell ref="AW39:AX39"/>
    <mergeCell ref="AL48:AL49"/>
    <mergeCell ref="AE47:AF47"/>
    <mergeCell ref="BF40:BG40"/>
    <mergeCell ref="AL43:AM43"/>
    <mergeCell ref="AL41:AL42"/>
    <mergeCell ref="AK34:AK39"/>
    <mergeCell ref="AL34:AL35"/>
    <mergeCell ref="AU32:AV32"/>
    <mergeCell ref="AL40:AM40"/>
    <mergeCell ref="BC27:BC32"/>
    <mergeCell ref="AN33:AO33"/>
    <mergeCell ref="AP33:AT33"/>
    <mergeCell ref="AP29:AT29"/>
    <mergeCell ref="AL47:AM47"/>
    <mergeCell ref="AW33:AX33"/>
    <mergeCell ref="AL25:AM25"/>
    <mergeCell ref="AE36:AF36"/>
    <mergeCell ref="AL27:AL28"/>
    <mergeCell ref="BD51:BD52"/>
    <mergeCell ref="AP43:AT43"/>
    <mergeCell ref="AN36:AO36"/>
    <mergeCell ref="BD26:BE26"/>
    <mergeCell ref="AN50:AO50"/>
    <mergeCell ref="BD44:BD45"/>
    <mergeCell ref="BD41:BD42"/>
    <mergeCell ref="AU46:AV46"/>
    <mergeCell ref="AU40:AV40"/>
    <mergeCell ref="BD27:BD28"/>
    <mergeCell ref="AP47:AT47"/>
    <mergeCell ref="AE32:AF32"/>
    <mergeCell ref="AL26:AM26"/>
    <mergeCell ref="BD29:BE29"/>
    <mergeCell ref="BD34:BD35"/>
    <mergeCell ref="AW19:AX19"/>
    <mergeCell ref="BD53:BE53"/>
    <mergeCell ref="AP50:AT50"/>
    <mergeCell ref="AL20:AL21"/>
    <mergeCell ref="AN47:AO47"/>
    <mergeCell ref="BC41:BC46"/>
    <mergeCell ref="AE25:AF25"/>
    <mergeCell ref="AE39:AF39"/>
    <mergeCell ref="AK41:AK46"/>
    <mergeCell ref="AE43:AF43"/>
    <mergeCell ref="AE40:AF40"/>
    <mergeCell ref="AE46:AF46"/>
    <mergeCell ref="AE22:AF22"/>
    <mergeCell ref="BD37:BD38"/>
    <mergeCell ref="BM22:BN22"/>
    <mergeCell ref="AL39:AM39"/>
    <mergeCell ref="AE33:AF33"/>
    <mergeCell ref="BH25:BL25"/>
    <mergeCell ref="BF29:BG29"/>
    <mergeCell ref="AL51:AL52"/>
    <mergeCell ref="AE50:AF50"/>
    <mergeCell ref="AL33:AM33"/>
    <mergeCell ref="AK27:AK32"/>
    <mergeCell ref="AL30:AL31"/>
    <mergeCell ref="AU33:AV33"/>
    <mergeCell ref="BD33:BE33"/>
    <mergeCell ref="AL36:AM36"/>
    <mergeCell ref="BH29:BL29"/>
    <mergeCell ref="AW32:AX32"/>
    <mergeCell ref="AW40:AX40"/>
    <mergeCell ref="AE29:AF29"/>
    <mergeCell ref="AN25:AO25"/>
    <mergeCell ref="BH32:BL32"/>
    <mergeCell ref="BF26:BG26"/>
    <mergeCell ref="BF25:BG25"/>
    <mergeCell ref="CE32:CF32"/>
    <mergeCell ref="BH53:BL53"/>
    <mergeCell ref="BF53:BG53"/>
    <mergeCell ref="BF43:BG43"/>
    <mergeCell ref="AN43:AO43"/>
    <mergeCell ref="BH46:BL46"/>
    <mergeCell ref="BF46:BG46"/>
    <mergeCell ref="BO19:BP19"/>
    <mergeCell ref="BO25:BP25"/>
    <mergeCell ref="AN29:AO29"/>
    <mergeCell ref="BV23:BV24"/>
    <mergeCell ref="AL23:AL24"/>
    <mergeCell ref="BV30:BV31"/>
    <mergeCell ref="BV33:BW33"/>
    <mergeCell ref="AL29:AM29"/>
    <mergeCell ref="AW26:AX26"/>
    <mergeCell ref="BF22:BG22"/>
    <mergeCell ref="BD20:BD21"/>
    <mergeCell ref="AP36:AT36"/>
    <mergeCell ref="AP40:AT40"/>
    <mergeCell ref="AL44:AL45"/>
    <mergeCell ref="AN46:AO46"/>
    <mergeCell ref="BM26:BN26"/>
    <mergeCell ref="AU25:AV25"/>
    <mergeCell ref="AP25:AT25"/>
    <mergeCell ref="BO26:BP26"/>
    <mergeCell ref="BM29:BN29"/>
    <mergeCell ref="BH26:BL26"/>
    <mergeCell ref="AL32:AM32"/>
    <mergeCell ref="CP12:CQ12"/>
    <mergeCell ref="BO18:BP18"/>
    <mergeCell ref="BC20:BC25"/>
    <mergeCell ref="BF12:BG12"/>
    <mergeCell ref="AU22:AV22"/>
    <mergeCell ref="BV25:BW25"/>
    <mergeCell ref="BO46:BP46"/>
    <mergeCell ref="BZ29:CD29"/>
    <mergeCell ref="AY2:AY5"/>
    <mergeCell ref="CR11:CV11"/>
    <mergeCell ref="CP22:CQ22"/>
    <mergeCell ref="BD23:BD24"/>
    <mergeCell ref="BZ25:CD25"/>
    <mergeCell ref="CP18:CQ18"/>
    <mergeCell ref="BD32:BE32"/>
    <mergeCell ref="BZ8:CD8"/>
    <mergeCell ref="BD25:BE25"/>
    <mergeCell ref="BV11:BW11"/>
    <mergeCell ref="CE22:CF22"/>
    <mergeCell ref="BZ26:CD26"/>
    <mergeCell ref="BO32:BP32"/>
    <mergeCell ref="BV12:BW12"/>
    <mergeCell ref="CG19:CH19"/>
    <mergeCell ref="CP25:CQ25"/>
    <mergeCell ref="CN23:CN24"/>
    <mergeCell ref="CP15:CQ15"/>
    <mergeCell ref="BX26:BY26"/>
    <mergeCell ref="BU20:BU25"/>
    <mergeCell ref="CP32:CQ32"/>
    <mergeCell ref="CR29:CV29"/>
    <mergeCell ref="BV29:BW29"/>
    <mergeCell ref="CE29:CF29"/>
    <mergeCell ref="CV4:CV5"/>
    <mergeCell ref="CA4:CA5"/>
    <mergeCell ref="BR2:BR5"/>
    <mergeCell ref="CG4:CG5"/>
    <mergeCell ref="AL46:AM46"/>
    <mergeCell ref="CY19:CZ19"/>
    <mergeCell ref="CR22:CV22"/>
    <mergeCell ref="CG22:CH22"/>
    <mergeCell ref="CY22:CZ22"/>
    <mergeCell ref="BO22:BP22"/>
    <mergeCell ref="AU15:AV15"/>
    <mergeCell ref="BD2:BE4"/>
    <mergeCell ref="CH4:CH5"/>
    <mergeCell ref="BV18:BW18"/>
    <mergeCell ref="BD12:BE12"/>
    <mergeCell ref="CR26:CV26"/>
    <mergeCell ref="BV19:BW19"/>
    <mergeCell ref="CN25:CO25"/>
    <mergeCell ref="AW15:AX15"/>
    <mergeCell ref="BM11:BN11"/>
    <mergeCell ref="BC13:BC18"/>
    <mergeCell ref="BH11:BL11"/>
    <mergeCell ref="BD11:BE11"/>
    <mergeCell ref="BM12:BN12"/>
    <mergeCell ref="BM19:BN19"/>
    <mergeCell ref="BD6:BD7"/>
    <mergeCell ref="CW26:CX26"/>
    <mergeCell ref="BX25:BY25"/>
    <mergeCell ref="BD22:BE22"/>
    <mergeCell ref="AW11:AX11"/>
    <mergeCell ref="BZ19:CD19"/>
    <mergeCell ref="BF15:BG15"/>
    <mergeCell ref="BX19:BY19"/>
    <mergeCell ref="BM15:BN15"/>
    <mergeCell ref="CR12:CV12"/>
    <mergeCell ref="BU27:BU32"/>
    <mergeCell ref="CU4:CU5"/>
    <mergeCell ref="BD30:BD31"/>
    <mergeCell ref="CP29:CQ29"/>
    <mergeCell ref="CR25:CV25"/>
    <mergeCell ref="BO4:BO5"/>
    <mergeCell ref="BP4:BP5"/>
    <mergeCell ref="CS4:CS5"/>
    <mergeCell ref="CF4:CF5"/>
    <mergeCell ref="BZ32:CD32"/>
    <mergeCell ref="CP26:CQ26"/>
    <mergeCell ref="CN26:CO26"/>
    <mergeCell ref="BV20:BV21"/>
    <mergeCell ref="BM25:BN25"/>
    <mergeCell ref="CN32:CO32"/>
    <mergeCell ref="CM27:CM32"/>
    <mergeCell ref="BV32:BW32"/>
    <mergeCell ref="CN29:CO29"/>
    <mergeCell ref="CN27:CN28"/>
    <mergeCell ref="BX4:BX5"/>
    <mergeCell ref="BX22:BY22"/>
    <mergeCell ref="CR8:CV8"/>
    <mergeCell ref="BV6:BV7"/>
    <mergeCell ref="CN19:CO19"/>
    <mergeCell ref="BV22:BW22"/>
    <mergeCell ref="BZ11:CD11"/>
    <mergeCell ref="BV27:BV28"/>
    <mergeCell ref="CE25:CF25"/>
    <mergeCell ref="CN9:CN10"/>
    <mergeCell ref="W4:W5"/>
    <mergeCell ref="X15:AB15"/>
    <mergeCell ref="BD9:BD10"/>
    <mergeCell ref="DF11:DG11"/>
    <mergeCell ref="AP15:AT15"/>
    <mergeCell ref="CE11:CF11"/>
    <mergeCell ref="CG11:CH11"/>
    <mergeCell ref="BV13:BV14"/>
    <mergeCell ref="BU13:BU18"/>
    <mergeCell ref="AU11:AV11"/>
    <mergeCell ref="AN22:AO22"/>
    <mergeCell ref="AN15:AO15"/>
    <mergeCell ref="BH15:BL15"/>
    <mergeCell ref="BZ22:CD22"/>
    <mergeCell ref="CP19:CQ19"/>
    <mergeCell ref="CW15:CX15"/>
    <mergeCell ref="CX4:CX5"/>
    <mergeCell ref="CR19:CV19"/>
    <mergeCell ref="BH19:BL19"/>
    <mergeCell ref="CW22:CX22"/>
    <mergeCell ref="CM20:CM25"/>
    <mergeCell ref="BH22:BL22"/>
    <mergeCell ref="BH18:BL18"/>
    <mergeCell ref="CE19:CF19"/>
    <mergeCell ref="BH4:BH5"/>
    <mergeCell ref="CJ2:CJ5"/>
    <mergeCell ref="CT4:CT5"/>
    <mergeCell ref="CR4:CR5"/>
    <mergeCell ref="CW18:CX18"/>
    <mergeCell ref="CG2:CH3"/>
    <mergeCell ref="CP3:CQ3"/>
    <mergeCell ref="CR3:CV3"/>
    <mergeCell ref="A6:A11"/>
    <mergeCell ref="A20:A25"/>
    <mergeCell ref="AW12:AX12"/>
    <mergeCell ref="M4:M5"/>
    <mergeCell ref="CR18:CV18"/>
    <mergeCell ref="CB4:CB5"/>
    <mergeCell ref="AE8:AF8"/>
    <mergeCell ref="CM2:CM5"/>
    <mergeCell ref="AC15:AD15"/>
    <mergeCell ref="AP26:AT26"/>
    <mergeCell ref="AN26:AO26"/>
    <mergeCell ref="CG26:CH26"/>
    <mergeCell ref="AI2:AI5"/>
    <mergeCell ref="AC3:AD3"/>
    <mergeCell ref="AE26:AF26"/>
    <mergeCell ref="CC4:CC5"/>
    <mergeCell ref="BU6:BU11"/>
    <mergeCell ref="AN3:AO3"/>
    <mergeCell ref="BA2:BA5"/>
    <mergeCell ref="BX3:BY3"/>
    <mergeCell ref="BU2:BU5"/>
    <mergeCell ref="BV2:BW4"/>
    <mergeCell ref="CM13:CM18"/>
    <mergeCell ref="CK2:CK5"/>
    <mergeCell ref="BO2:BP3"/>
    <mergeCell ref="BZ3:CD3"/>
    <mergeCell ref="AU19:AV19"/>
    <mergeCell ref="CN22:CO22"/>
    <mergeCell ref="CG8:CH8"/>
    <mergeCell ref="CD4:CD5"/>
    <mergeCell ref="AW22:AX22"/>
    <mergeCell ref="V4:V5"/>
    <mergeCell ref="AU4:AU5"/>
    <mergeCell ref="AK20:AK25"/>
    <mergeCell ref="BH3:BL3"/>
    <mergeCell ref="BM4:BM5"/>
    <mergeCell ref="AT4:AT5"/>
    <mergeCell ref="CY25:CZ25"/>
    <mergeCell ref="CW19:CX19"/>
    <mergeCell ref="AE11:AF11"/>
    <mergeCell ref="AE15:AF15"/>
    <mergeCell ref="AE18:AF18"/>
    <mergeCell ref="CY29:CZ29"/>
    <mergeCell ref="DE20:DE25"/>
    <mergeCell ref="DF25:DG25"/>
    <mergeCell ref="CE15:CF15"/>
    <mergeCell ref="BX15:BY15"/>
    <mergeCell ref="CY18:CZ18"/>
    <mergeCell ref="BZ12:CD12"/>
    <mergeCell ref="DF19:DG19"/>
    <mergeCell ref="DF20:DF21"/>
    <mergeCell ref="DF22:DG22"/>
    <mergeCell ref="CW3:CX3"/>
    <mergeCell ref="CW8:CX8"/>
    <mergeCell ref="CG29:CH29"/>
    <mergeCell ref="CW25:CX25"/>
    <mergeCell ref="BO29:BP29"/>
    <mergeCell ref="CW29:CX29"/>
    <mergeCell ref="CG15:CH15"/>
    <mergeCell ref="CI2:CI5"/>
    <mergeCell ref="CW4:CW5"/>
    <mergeCell ref="BM8:BN8"/>
    <mergeCell ref="BX12:BY12"/>
    <mergeCell ref="BH8:BL8"/>
    <mergeCell ref="V15:W15"/>
    <mergeCell ref="Y4:Y5"/>
    <mergeCell ref="X11:AB11"/>
    <mergeCell ref="CP8:CQ8"/>
    <mergeCell ref="BD8:BE8"/>
    <mergeCell ref="A2:A5"/>
    <mergeCell ref="AC22:AD22"/>
    <mergeCell ref="AE19:AF19"/>
    <mergeCell ref="AW25:AX25"/>
    <mergeCell ref="AL8:AM8"/>
    <mergeCell ref="BZ15:CD15"/>
    <mergeCell ref="BM3:BN3"/>
    <mergeCell ref="AP18:AT18"/>
    <mergeCell ref="AP19:AT19"/>
    <mergeCell ref="BY4:BY5"/>
    <mergeCell ref="CG12:CH12"/>
    <mergeCell ref="BF8:BG8"/>
    <mergeCell ref="CE4:CE5"/>
    <mergeCell ref="BZ4:BZ5"/>
    <mergeCell ref="CN2:CO4"/>
    <mergeCell ref="AL11:AM11"/>
    <mergeCell ref="AU12:AV12"/>
    <mergeCell ref="AL18:AM18"/>
    <mergeCell ref="CN11:CO11"/>
    <mergeCell ref="CN12:CO12"/>
    <mergeCell ref="BV8:BW8"/>
    <mergeCell ref="AL19:AM19"/>
    <mergeCell ref="CE12:CF12"/>
    <mergeCell ref="BD16:BD17"/>
    <mergeCell ref="AL9:AL10"/>
    <mergeCell ref="CN6:CN7"/>
    <mergeCell ref="AV4:AV5"/>
    <mergeCell ref="DF8:DG8"/>
    <mergeCell ref="AR4:AR5"/>
    <mergeCell ref="DN4:DN5"/>
    <mergeCell ref="BH12:BL12"/>
    <mergeCell ref="BF18:BG18"/>
    <mergeCell ref="DO4:DO5"/>
    <mergeCell ref="DO3:DP3"/>
    <mergeCell ref="DL4:DL5"/>
    <mergeCell ref="AS4:AS5"/>
    <mergeCell ref="DH15:DI15"/>
    <mergeCell ref="DO11:DP11"/>
    <mergeCell ref="DH3:DI3"/>
    <mergeCell ref="DJ3:DN3"/>
    <mergeCell ref="DH11:DI11"/>
    <mergeCell ref="X4:X5"/>
    <mergeCell ref="Z4:Z5"/>
    <mergeCell ref="X8:AB8"/>
    <mergeCell ref="AB4:AB5"/>
    <mergeCell ref="AA4:AA5"/>
    <mergeCell ref="CR15:CV15"/>
    <mergeCell ref="BM18:BN18"/>
    <mergeCell ref="AX4:AX5"/>
    <mergeCell ref="AU8:AV8"/>
    <mergeCell ref="AK6:AK11"/>
    <mergeCell ref="CG18:CH18"/>
    <mergeCell ref="BD13:BD14"/>
    <mergeCell ref="BD15:BE15"/>
    <mergeCell ref="CP11:CQ11"/>
    <mergeCell ref="AL2:AM4"/>
    <mergeCell ref="CN13:CN14"/>
    <mergeCell ref="AD4:AD5"/>
    <mergeCell ref="AW4:AW5"/>
    <mergeCell ref="AN19:AO19"/>
    <mergeCell ref="BD19:BE19"/>
    <mergeCell ref="BV15:BW15"/>
    <mergeCell ref="CE18:CF18"/>
    <mergeCell ref="AL15:AM15"/>
    <mergeCell ref="AK13:AK18"/>
    <mergeCell ref="AW18:AX18"/>
    <mergeCell ref="AC8:AD8"/>
    <mergeCell ref="AO4:AO5"/>
    <mergeCell ref="BN4:BN5"/>
    <mergeCell ref="AC18:AD18"/>
    <mergeCell ref="AN4:AN5"/>
    <mergeCell ref="BF2:BN2"/>
    <mergeCell ref="AE12:AF12"/>
    <mergeCell ref="AC11:AD11"/>
    <mergeCell ref="AL6:AL7"/>
    <mergeCell ref="BX11:BY11"/>
    <mergeCell ref="AW8:AX8"/>
    <mergeCell ref="BZ18:CD18"/>
    <mergeCell ref="AP11:AT11"/>
    <mergeCell ref="AN18:AO18"/>
    <mergeCell ref="BF19:BG19"/>
    <mergeCell ref="AH2:AH5"/>
    <mergeCell ref="AL13:AL14"/>
    <mergeCell ref="V2:AD2"/>
    <mergeCell ref="V3:W3"/>
    <mergeCell ref="BD18:BE18"/>
    <mergeCell ref="BX8:BY8"/>
    <mergeCell ref="BI4:BI5"/>
    <mergeCell ref="AL16:AL17"/>
    <mergeCell ref="AW2:AX3"/>
    <mergeCell ref="AU18:AV18"/>
    <mergeCell ref="EI1:EJ1"/>
    <mergeCell ref="AQ4:AQ5"/>
    <mergeCell ref="AP12:AT12"/>
    <mergeCell ref="BG4:BG5"/>
    <mergeCell ref="BK4:BK5"/>
    <mergeCell ref="BC6:BC11"/>
    <mergeCell ref="BS2:BS5"/>
    <mergeCell ref="CN8:CO8"/>
    <mergeCell ref="DR4:DR5"/>
    <mergeCell ref="CN16:CN17"/>
    <mergeCell ref="CN18:CO18"/>
    <mergeCell ref="CN15:CO15"/>
    <mergeCell ref="AU3:AV3"/>
    <mergeCell ref="AP3:AT3"/>
    <mergeCell ref="AP4:AP5"/>
    <mergeCell ref="CW11:CX11"/>
    <mergeCell ref="ED4:ED5"/>
    <mergeCell ref="EE4:EE5"/>
    <mergeCell ref="BX18:BY18"/>
    <mergeCell ref="BO15:BP15"/>
    <mergeCell ref="BC2:BC5"/>
    <mergeCell ref="BF4:BF5"/>
    <mergeCell ref="BF3:BG3"/>
    <mergeCell ref="DF13:DF14"/>
    <mergeCell ref="DF6:DF7"/>
    <mergeCell ref="DO12:DP12"/>
    <mergeCell ref="DA2:DA5"/>
    <mergeCell ref="CY2:CZ3"/>
    <mergeCell ref="EA4:EA5"/>
    <mergeCell ref="DJ18:DN18"/>
    <mergeCell ref="DF18:DG18"/>
    <mergeCell ref="EB18:EF18"/>
    <mergeCell ref="AW1:AX1"/>
    <mergeCell ref="AN2:AV2"/>
    <mergeCell ref="AN8:AO8"/>
    <mergeCell ref="BL4:BL5"/>
    <mergeCell ref="AZ2:AZ5"/>
    <mergeCell ref="X12:AB12"/>
    <mergeCell ref="BJ4:BJ5"/>
    <mergeCell ref="CE8:CF8"/>
    <mergeCell ref="AN12:AO12"/>
    <mergeCell ref="AN11:AO11"/>
    <mergeCell ref="CE3:CF3"/>
    <mergeCell ref="M1:N1"/>
    <mergeCell ref="AG2:AG5"/>
    <mergeCell ref="X3:AB3"/>
    <mergeCell ref="AE1:AF1"/>
    <mergeCell ref="S2:S5"/>
    <mergeCell ref="T2:U4"/>
    <mergeCell ref="AF4:AF5"/>
    <mergeCell ref="AE4:AE5"/>
    <mergeCell ref="T8:U8"/>
    <mergeCell ref="BF11:BG11"/>
    <mergeCell ref="T9:T10"/>
    <mergeCell ref="BV9:BV10"/>
    <mergeCell ref="AL12:AM12"/>
    <mergeCell ref="V8:W8"/>
    <mergeCell ref="BQ2:BQ5"/>
    <mergeCell ref="BO1:BP1"/>
    <mergeCell ref="AE2:AF3"/>
    <mergeCell ref="AK2:AK5"/>
    <mergeCell ref="P2:P5"/>
    <mergeCell ref="AC4:AC5"/>
    <mergeCell ref="AP8:AT8"/>
    <mergeCell ref="DF9:DF10"/>
    <mergeCell ref="DF15:DG15"/>
    <mergeCell ref="DM4:DM5"/>
    <mergeCell ref="DK4:DK5"/>
    <mergeCell ref="DP4:DP5"/>
    <mergeCell ref="DO8:DP8"/>
    <mergeCell ref="EG11:EH11"/>
    <mergeCell ref="DU2:DU5"/>
    <mergeCell ref="DW2:DW5"/>
    <mergeCell ref="BV16:BV17"/>
    <mergeCell ref="CY1:CZ1"/>
    <mergeCell ref="DO15:DP15"/>
    <mergeCell ref="DH2:DP2"/>
    <mergeCell ref="DJ8:DN8"/>
    <mergeCell ref="CQ4:CQ5"/>
    <mergeCell ref="BX2:CF2"/>
    <mergeCell ref="DQ1:DR1"/>
    <mergeCell ref="EF4:EF5"/>
    <mergeCell ref="EB11:EF11"/>
    <mergeCell ref="EB12:EF12"/>
    <mergeCell ref="DJ12:DN12"/>
    <mergeCell ref="CP2:CX2"/>
    <mergeCell ref="CM6:CM11"/>
    <mergeCell ref="CG1:CH1"/>
    <mergeCell ref="CY8:CZ8"/>
    <mergeCell ref="CW12:CX12"/>
    <mergeCell ref="CY15:CZ15"/>
    <mergeCell ref="CP4:CP5"/>
    <mergeCell ref="DE2:DE5"/>
    <mergeCell ref="DJ15:DN15"/>
    <mergeCell ref="EG8:EH8"/>
    <mergeCell ref="DE6:DE11"/>
    <mergeCell ref="DH8:DI8"/>
    <mergeCell ref="DB2:DB5"/>
    <mergeCell ref="DE13:DE18"/>
    <mergeCell ref="EG18:EH18"/>
    <mergeCell ref="CY12:CZ12"/>
    <mergeCell ref="DH29:DI29"/>
    <mergeCell ref="DQ18:DR18"/>
    <mergeCell ref="DZ15:EA15"/>
    <mergeCell ref="DQ43:DR43"/>
    <mergeCell ref="DF16:DF17"/>
    <mergeCell ref="DF2:DG4"/>
    <mergeCell ref="DH33:DI33"/>
    <mergeCell ref="DF12:DG12"/>
    <mergeCell ref="DF39:DG39"/>
    <mergeCell ref="DF41:DF42"/>
    <mergeCell ref="CY36:CZ36"/>
    <mergeCell ref="DF23:DF24"/>
    <mergeCell ref="EG33:EH33"/>
    <mergeCell ref="DX27:DX28"/>
    <mergeCell ref="DX34:DX35"/>
    <mergeCell ref="DS2:DS5"/>
    <mergeCell ref="DZ2:EH2"/>
    <mergeCell ref="DZ12:EA12"/>
    <mergeCell ref="CZ4:CZ5"/>
    <mergeCell ref="CY26:CZ26"/>
    <mergeCell ref="DF26:DG26"/>
    <mergeCell ref="DH43:DI43"/>
    <mergeCell ref="DC2:DC5"/>
    <mergeCell ref="CY4:CY5"/>
    <mergeCell ref="CY11:CZ11"/>
    <mergeCell ref="DZ3:EA3"/>
    <mergeCell ref="EG15:EH15"/>
    <mergeCell ref="DJ19:DN19"/>
    <mergeCell ref="DJ11:DN11"/>
    <mergeCell ref="DJ33:DN33"/>
    <mergeCell ref="DJ22:DN22"/>
    <mergeCell ref="EB19:EF19"/>
    <mergeCell ref="EB8:EF8"/>
    <mergeCell ref="DH25:DI25"/>
    <mergeCell ref="DH47:DI47"/>
    <mergeCell ref="DJ47:DN47"/>
    <mergeCell ref="DH46:DI46"/>
    <mergeCell ref="DH40:DI40"/>
    <mergeCell ref="DH39:DI39"/>
    <mergeCell ref="DH36:DI36"/>
    <mergeCell ref="DZ25:EA25"/>
    <mergeCell ref="DQ26:DR26"/>
    <mergeCell ref="DO29:DP29"/>
    <mergeCell ref="DH18:DI18"/>
    <mergeCell ref="DH12:DI12"/>
    <mergeCell ref="DH19:DI19"/>
    <mergeCell ref="DJ46:DN46"/>
    <mergeCell ref="DQ47:DR47"/>
    <mergeCell ref="DH26:DI26"/>
    <mergeCell ref="DH32:DI32"/>
    <mergeCell ref="DH22:DI22"/>
    <mergeCell ref="DO33:DP33"/>
    <mergeCell ref="DZ39:EA39"/>
    <mergeCell ref="DQ39:DR39"/>
    <mergeCell ref="DJ26:DN26"/>
    <mergeCell ref="DJ29:DN29"/>
    <mergeCell ref="DJ32:DN32"/>
    <mergeCell ref="DJ25:DN25"/>
    <mergeCell ref="DX20:DX21"/>
    <mergeCell ref="DQ2:DR3"/>
    <mergeCell ref="DI4:DI5"/>
    <mergeCell ref="DJ4:DJ5"/>
    <mergeCell ref="DH4:DH5"/>
    <mergeCell ref="DZ4:DZ5"/>
    <mergeCell ref="DZ18:EA18"/>
    <mergeCell ref="EB39:EF39"/>
    <mergeCell ref="DX33:DY33"/>
    <mergeCell ref="DW20:DW25"/>
    <mergeCell ref="DW34:DW39"/>
    <mergeCell ref="DO53:DP53"/>
    <mergeCell ref="DO61:DP61"/>
    <mergeCell ref="DX39:DY39"/>
    <mergeCell ref="DQ11:DR11"/>
    <mergeCell ref="DX13:DX14"/>
    <mergeCell ref="DO18:DP18"/>
    <mergeCell ref="EB22:EF22"/>
    <mergeCell ref="DX44:DX45"/>
    <mergeCell ref="DZ11:EA11"/>
    <mergeCell ref="DZ57:EA57"/>
    <mergeCell ref="EB61:EF61"/>
    <mergeCell ref="EB50:EF50"/>
    <mergeCell ref="DQ46:DR46"/>
    <mergeCell ref="DX48:DX49"/>
    <mergeCell ref="DZ43:EA43"/>
    <mergeCell ref="DZ47:EA47"/>
    <mergeCell ref="DX16:DX17"/>
    <mergeCell ref="DQ19:DR19"/>
    <mergeCell ref="DX19:DY19"/>
    <mergeCell ref="DO36:DP36"/>
    <mergeCell ref="EB33:EF33"/>
    <mergeCell ref="DX53:DY53"/>
    <mergeCell ref="DQ82:DR82"/>
    <mergeCell ref="EO41:EO46"/>
    <mergeCell ref="EO55:EO60"/>
    <mergeCell ref="EP60:EQ60"/>
    <mergeCell ref="EP23:EP24"/>
    <mergeCell ref="FA32:FB32"/>
    <mergeCell ref="ER68:ES68"/>
    <mergeCell ref="EP26:EQ26"/>
    <mergeCell ref="EO27:EO32"/>
    <mergeCell ref="DQ29:DR29"/>
    <mergeCell ref="DX29:DY29"/>
    <mergeCell ref="DQ33:DR33"/>
    <mergeCell ref="DW13:DW18"/>
    <mergeCell ref="ER18:ES18"/>
    <mergeCell ref="DZ68:EA68"/>
    <mergeCell ref="DO57:DP57"/>
    <mergeCell ref="DQ57:DR57"/>
    <mergeCell ref="DO60:DP60"/>
    <mergeCell ref="DW62:DW67"/>
    <mergeCell ref="EI29:EJ29"/>
    <mergeCell ref="EB40:EF40"/>
    <mergeCell ref="DZ61:EA61"/>
    <mergeCell ref="DZ50:EA50"/>
    <mergeCell ref="DZ60:EA60"/>
    <mergeCell ref="DZ54:EA54"/>
    <mergeCell ref="EB53:EF53"/>
    <mergeCell ref="DQ32:DR32"/>
    <mergeCell ref="DO67:DP67"/>
    <mergeCell ref="EP65:EP66"/>
    <mergeCell ref="DX62:DX63"/>
    <mergeCell ref="DQ74:DR74"/>
    <mergeCell ref="DO47:DP47"/>
    <mergeCell ref="DW27:DW32"/>
    <mergeCell ref="DX30:DX31"/>
    <mergeCell ref="DQ4:DQ5"/>
    <mergeCell ref="DT2:DT5"/>
    <mergeCell ref="EI2:EJ3"/>
    <mergeCell ref="FA2:FB3"/>
    <mergeCell ref="DX2:DY4"/>
    <mergeCell ref="EC4:EC5"/>
    <mergeCell ref="EP11:EQ11"/>
    <mergeCell ref="EO6:EO11"/>
    <mergeCell ref="EJ4:EJ5"/>
    <mergeCell ref="DQ8:DR8"/>
    <mergeCell ref="DQ12:DR12"/>
    <mergeCell ref="DQ15:DR15"/>
    <mergeCell ref="DZ75:EA75"/>
    <mergeCell ref="ER71:ES71"/>
    <mergeCell ref="ET12:EX12"/>
    <mergeCell ref="ET15:EX15"/>
    <mergeCell ref="DQ25:DR25"/>
    <mergeCell ref="DQ64:DR64"/>
    <mergeCell ref="EG29:EH29"/>
    <mergeCell ref="EB47:EF47"/>
    <mergeCell ref="EG46:EH46"/>
    <mergeCell ref="DZ32:EA32"/>
    <mergeCell ref="EG32:EH32"/>
    <mergeCell ref="EI60:EJ60"/>
    <mergeCell ref="EI61:EJ61"/>
    <mergeCell ref="EG36:EH36"/>
    <mergeCell ref="EG40:EH40"/>
    <mergeCell ref="EI40:EJ40"/>
    <mergeCell ref="EB60:EF60"/>
    <mergeCell ref="DX37:DX38"/>
    <mergeCell ref="DX36:DY36"/>
    <mergeCell ref="DO40:DP40"/>
    <mergeCell ref="EG61:EH61"/>
    <mergeCell ref="EI78:EJ78"/>
    <mergeCell ref="EB43:EF43"/>
    <mergeCell ref="EY46:EZ46"/>
    <mergeCell ref="DZ67:EA67"/>
    <mergeCell ref="EB46:EF46"/>
    <mergeCell ref="DQ40:DR40"/>
    <mergeCell ref="DQ61:DR61"/>
    <mergeCell ref="DX60:DY60"/>
    <mergeCell ref="DO46:DP46"/>
    <mergeCell ref="DQ60:DR60"/>
    <mergeCell ref="DZ53:EA53"/>
    <mergeCell ref="DQ67:DR67"/>
    <mergeCell ref="DQ78:DR78"/>
    <mergeCell ref="EG75:EH75"/>
    <mergeCell ref="DZ40:EA40"/>
    <mergeCell ref="EB64:EF64"/>
    <mergeCell ref="EB54:EF54"/>
    <mergeCell ref="ER39:ES39"/>
    <mergeCell ref="DZ46:EA46"/>
    <mergeCell ref="EP64:EQ64"/>
    <mergeCell ref="DO50:DP50"/>
    <mergeCell ref="EP53:EQ53"/>
    <mergeCell ref="EP37:EP38"/>
    <mergeCell ref="EI68:EJ68"/>
    <mergeCell ref="EP78:EQ78"/>
    <mergeCell ref="ER78:ES78"/>
    <mergeCell ref="DX75:DY75"/>
    <mergeCell ref="EP50:EQ50"/>
    <mergeCell ref="ER46:ES46"/>
    <mergeCell ref="EY89:EZ89"/>
    <mergeCell ref="ET89:EX89"/>
    <mergeCell ref="FA46:FB46"/>
    <mergeCell ref="FA78:FB78"/>
    <mergeCell ref="EG57:EH57"/>
    <mergeCell ref="EG60:EH60"/>
    <mergeCell ref="EG53:EH53"/>
    <mergeCell ref="ER40:ES40"/>
    <mergeCell ref="DZ74:EA74"/>
    <mergeCell ref="DZ64:EA64"/>
    <mergeCell ref="EI50:EJ50"/>
    <mergeCell ref="EP86:EP87"/>
    <mergeCell ref="EI88:EJ88"/>
    <mergeCell ref="FA50:FB50"/>
    <mergeCell ref="ET53:EX53"/>
    <mergeCell ref="EY43:EZ43"/>
    <mergeCell ref="EP41:EP42"/>
    <mergeCell ref="EP54:EQ54"/>
    <mergeCell ref="EY67:EZ67"/>
    <mergeCell ref="ET71:EX71"/>
    <mergeCell ref="DZ88:EA88"/>
    <mergeCell ref="EG85:EH85"/>
    <mergeCell ref="EG81:EH81"/>
    <mergeCell ref="EG68:EH68"/>
    <mergeCell ref="EY85:EZ85"/>
    <mergeCell ref="EP76:EP77"/>
    <mergeCell ref="EP89:EQ89"/>
    <mergeCell ref="EB81:EF81"/>
    <mergeCell ref="EB68:EF68"/>
    <mergeCell ref="EB85:EF85"/>
    <mergeCell ref="EP88:EQ88"/>
    <mergeCell ref="EP79:EP80"/>
    <mergeCell ref="DQ89:DR89"/>
    <mergeCell ref="EB89:EF89"/>
    <mergeCell ref="EG89:EH89"/>
    <mergeCell ref="DJ36:DN36"/>
    <mergeCell ref="DJ39:DN39"/>
    <mergeCell ref="DJ40:DN40"/>
    <mergeCell ref="DJ43:DN43"/>
    <mergeCell ref="DX25:DY25"/>
    <mergeCell ref="DX26:DY26"/>
    <mergeCell ref="DO25:DP25"/>
    <mergeCell ref="DO26:DP26"/>
    <mergeCell ref="DO22:DP22"/>
    <mergeCell ref="DO19:DP19"/>
    <mergeCell ref="DO32:DP32"/>
    <mergeCell ref="DQ36:DR36"/>
    <mergeCell ref="DO43:DP43"/>
    <mergeCell ref="DO39:DP39"/>
    <mergeCell ref="DQ22:DR22"/>
    <mergeCell ref="DX65:DX66"/>
    <mergeCell ref="EB67:EF67"/>
    <mergeCell ref="EB57:EF57"/>
    <mergeCell ref="DO89:DP89"/>
    <mergeCell ref="DJ85:DN85"/>
    <mergeCell ref="DX57:DY57"/>
    <mergeCell ref="DX22:DY22"/>
    <mergeCell ref="EG50:EH50"/>
    <mergeCell ref="EG43:EH43"/>
    <mergeCell ref="DX47:DY47"/>
    <mergeCell ref="DX51:DX52"/>
    <mergeCell ref="DO54:DP54"/>
    <mergeCell ref="DW48:DW53"/>
    <mergeCell ref="DQ54:DR54"/>
    <mergeCell ref="EP46:EQ46"/>
    <mergeCell ref="EP39:EQ39"/>
    <mergeCell ref="ER47:ES47"/>
    <mergeCell ref="FA19:FB19"/>
    <mergeCell ref="EI43:EJ43"/>
    <mergeCell ref="FA33:FB33"/>
    <mergeCell ref="EI39:EJ39"/>
    <mergeCell ref="EY39:EZ39"/>
    <mergeCell ref="EB75:EF75"/>
    <mergeCell ref="EB32:EF32"/>
    <mergeCell ref="FA75:FB75"/>
    <mergeCell ref="EP29:EQ29"/>
    <mergeCell ref="EY25:EZ25"/>
    <mergeCell ref="ER29:ES29"/>
    <mergeCell ref="EY22:EZ22"/>
    <mergeCell ref="ET36:EX36"/>
    <mergeCell ref="EG22:EH22"/>
    <mergeCell ref="ET46:EX46"/>
    <mergeCell ref="ER67:ES67"/>
    <mergeCell ref="EP55:EP56"/>
    <mergeCell ref="EY19:EZ19"/>
    <mergeCell ref="FA60:FB60"/>
    <mergeCell ref="FA54:FB54"/>
    <mergeCell ref="EP32:EQ32"/>
    <mergeCell ref="ER22:ES22"/>
    <mergeCell ref="EP33:EQ33"/>
    <mergeCell ref="EI4:EI5"/>
    <mergeCell ref="EP2:EQ4"/>
    <mergeCell ref="EL2:EL5"/>
    <mergeCell ref="EB4:EB5"/>
    <mergeCell ref="ER15:ES15"/>
    <mergeCell ref="EI19:EJ19"/>
    <mergeCell ref="FA18:FB18"/>
    <mergeCell ref="ER26:ES26"/>
    <mergeCell ref="EY33:EZ33"/>
    <mergeCell ref="DZ22:EA22"/>
    <mergeCell ref="EY26:EZ26"/>
    <mergeCell ref="EP25:EQ25"/>
    <mergeCell ref="ET32:EX32"/>
    <mergeCell ref="DZ33:EA33"/>
    <mergeCell ref="EI33:EJ33"/>
    <mergeCell ref="EG25:EH25"/>
    <mergeCell ref="EI11:EJ11"/>
    <mergeCell ref="FA12:FB12"/>
    <mergeCell ref="EG12:EH12"/>
    <mergeCell ref="FA11:FB11"/>
    <mergeCell ref="FA4:FA5"/>
    <mergeCell ref="EI32:EJ32"/>
    <mergeCell ref="ER19:ES19"/>
    <mergeCell ref="DZ26:EA26"/>
    <mergeCell ref="DZ19:EA19"/>
    <mergeCell ref="EY3:EZ3"/>
    <mergeCell ref="ER3:ES3"/>
    <mergeCell ref="EP20:EP21"/>
    <mergeCell ref="EY4:EY5"/>
    <mergeCell ref="DW6:DW11"/>
    <mergeCell ref="DX18:DY18"/>
    <mergeCell ref="EP12:EQ12"/>
    <mergeCell ref="ER11:ES11"/>
    <mergeCell ref="DZ8:EA8"/>
    <mergeCell ref="DX12:DY12"/>
    <mergeCell ref="DX11:DY11"/>
    <mergeCell ref="EI8:EJ8"/>
    <mergeCell ref="ER36:ES36"/>
    <mergeCell ref="EP48:EP49"/>
    <mergeCell ref="EI36:EJ36"/>
    <mergeCell ref="EB36:EF36"/>
    <mergeCell ref="DX46:DY46"/>
    <mergeCell ref="DX40:DY40"/>
    <mergeCell ref="DX32:DY32"/>
    <mergeCell ref="EI26:EJ26"/>
    <mergeCell ref="EI12:EJ12"/>
    <mergeCell ref="EP34:EP35"/>
    <mergeCell ref="EI47:EJ47"/>
    <mergeCell ref="EG26:EH26"/>
    <mergeCell ref="EO20:EO25"/>
    <mergeCell ref="DZ29:EA29"/>
    <mergeCell ref="DZ36:EA36"/>
    <mergeCell ref="DX9:DX10"/>
    <mergeCell ref="DW41:DW46"/>
    <mergeCell ref="EB29:EF29"/>
    <mergeCell ref="EG19:EH19"/>
    <mergeCell ref="DX23:DX24"/>
    <mergeCell ref="DX43:DY43"/>
    <mergeCell ref="DX41:DX42"/>
    <mergeCell ref="EP19:EQ19"/>
    <mergeCell ref="EP27:EP28"/>
    <mergeCell ref="EI18:EJ18"/>
    <mergeCell ref="EP18:EQ18"/>
    <mergeCell ref="EI15:EJ15"/>
    <mergeCell ref="FA74:FB74"/>
    <mergeCell ref="EY64:EZ64"/>
    <mergeCell ref="EO69:EO74"/>
    <mergeCell ref="EP36:EQ36"/>
    <mergeCell ref="EP43:EQ43"/>
    <mergeCell ref="ET61:EX61"/>
    <mergeCell ref="EP6:EP7"/>
    <mergeCell ref="EI22:EJ22"/>
    <mergeCell ref="ER25:ES25"/>
    <mergeCell ref="ER4:ER5"/>
    <mergeCell ref="ET60:EX60"/>
    <mergeCell ref="ET68:EX68"/>
    <mergeCell ref="EX4:EX5"/>
    <mergeCell ref="EZ4:EZ5"/>
    <mergeCell ref="EV4:EV5"/>
    <mergeCell ref="ET18:EX18"/>
    <mergeCell ref="EY36:EZ36"/>
    <mergeCell ref="ET25:EX25"/>
    <mergeCell ref="FA15:FB15"/>
    <mergeCell ref="ET47:EX47"/>
    <mergeCell ref="FA43:FB43"/>
    <mergeCell ref="EY29:EZ29"/>
    <mergeCell ref="EY15:EZ15"/>
    <mergeCell ref="EI54:EJ54"/>
    <mergeCell ref="EP47:EQ47"/>
    <mergeCell ref="ER8:ES8"/>
    <mergeCell ref="ER32:ES32"/>
    <mergeCell ref="EP9:EP10"/>
    <mergeCell ref="EP30:EP31"/>
    <mergeCell ref="FA1:FB1"/>
    <mergeCell ref="ET11:EX11"/>
    <mergeCell ref="EU4:EU5"/>
    <mergeCell ref="EP62:EP63"/>
    <mergeCell ref="EP72:EP73"/>
    <mergeCell ref="EO34:EO39"/>
    <mergeCell ref="FA29:FB29"/>
    <mergeCell ref="ET74:EX74"/>
    <mergeCell ref="EI71:EJ71"/>
    <mergeCell ref="EG64:EH64"/>
    <mergeCell ref="FA57:FB57"/>
    <mergeCell ref="EY57:EZ57"/>
    <mergeCell ref="EP57:EQ57"/>
    <mergeCell ref="EP58:EP59"/>
    <mergeCell ref="EG47:EH47"/>
    <mergeCell ref="FA61:FB61"/>
    <mergeCell ref="EP40:EQ40"/>
    <mergeCell ref="EY60:EZ60"/>
    <mergeCell ref="ER57:ES57"/>
    <mergeCell ref="FA53:FB53"/>
    <mergeCell ref="FA36:FB36"/>
    <mergeCell ref="FA47:FB47"/>
    <mergeCell ref="ET54:EX54"/>
    <mergeCell ref="ER43:ES43"/>
    <mergeCell ref="EP44:EP45"/>
    <mergeCell ref="ET39:EX39"/>
    <mergeCell ref="ET40:EX40"/>
    <mergeCell ref="EP16:EP17"/>
    <mergeCell ref="EG39:EH39"/>
    <mergeCell ref="EY8:EZ8"/>
    <mergeCell ref="FA25:FB25"/>
    <mergeCell ref="EY50:EZ50"/>
    <mergeCell ref="DX8:DY8"/>
    <mergeCell ref="EP75:EQ75"/>
    <mergeCell ref="EP83:EP84"/>
    <mergeCell ref="EW4:EW5"/>
    <mergeCell ref="ET8:EX8"/>
    <mergeCell ref="EY18:EZ18"/>
    <mergeCell ref="EG82:EH82"/>
    <mergeCell ref="EI82:EJ82"/>
    <mergeCell ref="EM2:EM5"/>
    <mergeCell ref="EG3:EH3"/>
    <mergeCell ref="EI74:EJ74"/>
    <mergeCell ref="EP8:EQ8"/>
    <mergeCell ref="ES4:ES5"/>
    <mergeCell ref="EY12:EZ12"/>
    <mergeCell ref="EI46:EJ46"/>
    <mergeCell ref="ER50:ES50"/>
    <mergeCell ref="EG4:EG5"/>
    <mergeCell ref="EO2:EO5"/>
    <mergeCell ref="ER60:ES60"/>
    <mergeCell ref="ER12:ES12"/>
    <mergeCell ref="ET3:EX3"/>
    <mergeCell ref="DX6:DX7"/>
    <mergeCell ref="DX15:DY15"/>
    <mergeCell ref="EB3:EF3"/>
    <mergeCell ref="EP13:EP14"/>
    <mergeCell ref="EP22:EQ22"/>
    <mergeCell ref="EP15:EQ15"/>
    <mergeCell ref="EO13:EO18"/>
    <mergeCell ref="EB15:EF15"/>
    <mergeCell ref="ER33:ES33"/>
    <mergeCell ref="EB26:EF26"/>
    <mergeCell ref="EB25:EF25"/>
    <mergeCell ref="HC102:HD102"/>
    <mergeCell ref="HL102:HM102"/>
    <mergeCell ref="HR94:HR95"/>
    <mergeCell ref="GV98:GZ98"/>
    <mergeCell ref="GD102:GH102"/>
    <mergeCell ref="GT94:GT95"/>
    <mergeCell ref="GR96:GR97"/>
    <mergeCell ref="HN101:HR101"/>
    <mergeCell ref="HN94:HN95"/>
    <mergeCell ref="HL98:HM98"/>
    <mergeCell ref="HL94:HL95"/>
    <mergeCell ref="HI96:HI101"/>
    <mergeCell ref="HI92:HI95"/>
    <mergeCell ref="HJ102:HK102"/>
    <mergeCell ref="GI98:GJ98"/>
    <mergeCell ref="GT102:GU102"/>
    <mergeCell ref="HC92:HD93"/>
    <mergeCell ref="GJ94:GJ95"/>
    <mergeCell ref="GT98:GU98"/>
    <mergeCell ref="HA98:HB98"/>
    <mergeCell ref="GX94:GX95"/>
    <mergeCell ref="HD94:HD95"/>
    <mergeCell ref="HC94:HC95"/>
    <mergeCell ref="HF92:HF95"/>
    <mergeCell ref="HJ99:HJ100"/>
    <mergeCell ref="HA101:HB101"/>
    <mergeCell ref="GR102:GS102"/>
    <mergeCell ref="GI93:GJ93"/>
    <mergeCell ref="GE94:GE95"/>
    <mergeCell ref="GF94:GF95"/>
    <mergeCell ref="HJ96:HJ97"/>
    <mergeCell ref="GI101:GJ101"/>
    <mergeCell ref="HA102:HB102"/>
    <mergeCell ref="GV102:GZ102"/>
    <mergeCell ref="HJ101:HK101"/>
    <mergeCell ref="GI102:GJ102"/>
    <mergeCell ref="GK102:GL102"/>
    <mergeCell ref="GD98:GH98"/>
    <mergeCell ref="GH94:GH95"/>
    <mergeCell ref="FS91:FT91"/>
    <mergeCell ref="FV92:FV95"/>
    <mergeCell ref="GR98:GS98"/>
    <mergeCell ref="FZ99:FZ100"/>
    <mergeCell ref="GR101:GS101"/>
    <mergeCell ref="GV93:GZ93"/>
    <mergeCell ref="GT92:HB92"/>
    <mergeCell ref="HA93:HB93"/>
    <mergeCell ref="GV94:GV95"/>
    <mergeCell ref="HC98:HD98"/>
    <mergeCell ref="GD94:GD95"/>
    <mergeCell ref="GZ94:GZ95"/>
    <mergeCell ref="GO92:GO95"/>
    <mergeCell ref="HB94:HB95"/>
    <mergeCell ref="GC94:GC95"/>
    <mergeCell ref="GT101:GU101"/>
    <mergeCell ref="GB93:GC93"/>
    <mergeCell ref="GB94:GB95"/>
    <mergeCell ref="GY94:GY95"/>
    <mergeCell ref="GL94:GL95"/>
    <mergeCell ref="GR92:GS94"/>
    <mergeCell ref="GG94:GG95"/>
    <mergeCell ref="FZ98:GA98"/>
    <mergeCell ref="FZ101:GA101"/>
    <mergeCell ref="FS101:FT101"/>
    <mergeCell ref="FY96:FY101"/>
    <mergeCell ref="FS102:FT102"/>
    <mergeCell ref="EP101:EQ101"/>
    <mergeCell ref="ER93:ES93"/>
    <mergeCell ref="ET93:EX93"/>
    <mergeCell ref="EU94:EU95"/>
    <mergeCell ref="FH96:FH97"/>
    <mergeCell ref="FT94:FT95"/>
    <mergeCell ref="FJ98:FK98"/>
    <mergeCell ref="FN94:FN95"/>
    <mergeCell ref="FO94:FO95"/>
    <mergeCell ref="FC92:FC95"/>
    <mergeCell ref="ET94:ET95"/>
    <mergeCell ref="EY102:EZ102"/>
    <mergeCell ref="FS98:FT98"/>
    <mergeCell ref="ER94:ER95"/>
    <mergeCell ref="FL102:FP102"/>
    <mergeCell ref="FQ101:FR101"/>
    <mergeCell ref="ER92:EZ92"/>
    <mergeCell ref="FQ94:FQ95"/>
    <mergeCell ref="FL101:FP101"/>
    <mergeCell ref="FJ101:FK101"/>
    <mergeCell ref="ER102:ES102"/>
    <mergeCell ref="EP99:EP100"/>
    <mergeCell ref="ER98:ES98"/>
    <mergeCell ref="FH92:FI94"/>
    <mergeCell ref="FA94:FA95"/>
    <mergeCell ref="FG96:FG101"/>
    <mergeCell ref="EW94:EW95"/>
    <mergeCell ref="FH99:FH100"/>
    <mergeCell ref="ET98:EX98"/>
    <mergeCell ref="FA102:FB102"/>
    <mergeCell ref="DX96:DX97"/>
    <mergeCell ref="DX98:DY98"/>
    <mergeCell ref="DX92:DY94"/>
    <mergeCell ref="DH92:DP92"/>
    <mergeCell ref="DH94:DH95"/>
    <mergeCell ref="DJ94:DJ95"/>
    <mergeCell ref="DN94:DN95"/>
    <mergeCell ref="EA94:EA95"/>
    <mergeCell ref="DZ92:EH92"/>
    <mergeCell ref="EH94:EH95"/>
    <mergeCell ref="FD92:FD95"/>
    <mergeCell ref="DL94:DL95"/>
    <mergeCell ref="DX101:DY101"/>
    <mergeCell ref="DQ94:DQ95"/>
    <mergeCell ref="DX99:DX100"/>
    <mergeCell ref="ER101:ES101"/>
    <mergeCell ref="EP96:EP97"/>
    <mergeCell ref="DQ101:DR101"/>
    <mergeCell ref="EG101:EH101"/>
    <mergeCell ref="EB101:EF101"/>
    <mergeCell ref="EB93:EF93"/>
    <mergeCell ref="EP98:EQ98"/>
    <mergeCell ref="EB98:EF98"/>
    <mergeCell ref="EP92:EQ94"/>
    <mergeCell ref="DT92:DT95"/>
    <mergeCell ref="EY94:EY95"/>
    <mergeCell ref="EZ94:EZ95"/>
    <mergeCell ref="ED94:ED95"/>
    <mergeCell ref="EF94:EF95"/>
    <mergeCell ref="EB94:EB95"/>
    <mergeCell ref="EE94:EE95"/>
    <mergeCell ref="CY94:CY95"/>
    <mergeCell ref="EX94:EX95"/>
    <mergeCell ref="EI91:EJ91"/>
    <mergeCell ref="EI94:EI95"/>
    <mergeCell ref="EI92:EJ93"/>
    <mergeCell ref="EM92:EM95"/>
    <mergeCell ref="EK92:EK95"/>
    <mergeCell ref="EJ94:EJ95"/>
    <mergeCell ref="EO91:EP91"/>
    <mergeCell ref="DO94:DO95"/>
    <mergeCell ref="DF92:DG94"/>
    <mergeCell ref="DJ93:DN93"/>
    <mergeCell ref="DO93:DP93"/>
    <mergeCell ref="ES94:ES95"/>
    <mergeCell ref="DR94:DR95"/>
    <mergeCell ref="DZ94:DZ95"/>
    <mergeCell ref="DS92:DS95"/>
    <mergeCell ref="DC92:DC95"/>
    <mergeCell ref="DI94:DI95"/>
    <mergeCell ref="DM94:DM95"/>
    <mergeCell ref="DW91:DX91"/>
    <mergeCell ref="CZ94:CZ95"/>
    <mergeCell ref="DF96:DF97"/>
    <mergeCell ref="CY91:CZ91"/>
    <mergeCell ref="EI98:EJ98"/>
    <mergeCell ref="EL92:EL95"/>
    <mergeCell ref="CG91:CH91"/>
    <mergeCell ref="BU91:BV91"/>
    <mergeCell ref="BX93:BY93"/>
    <mergeCell ref="BV92:BW94"/>
    <mergeCell ref="BX92:CF92"/>
    <mergeCell ref="BO94:BO95"/>
    <mergeCell ref="CA94:CA95"/>
    <mergeCell ref="BM94:BM95"/>
    <mergeCell ref="BO92:BP93"/>
    <mergeCell ref="BR92:BR95"/>
    <mergeCell ref="BP94:BP95"/>
    <mergeCell ref="CD94:CD95"/>
    <mergeCell ref="DE91:DF91"/>
    <mergeCell ref="CH94:CH95"/>
    <mergeCell ref="CV94:CV95"/>
    <mergeCell ref="CP93:CQ93"/>
    <mergeCell ref="CN92:CO94"/>
    <mergeCell ref="CC94:CC95"/>
    <mergeCell ref="CR93:CV93"/>
    <mergeCell ref="CM91:CN91"/>
    <mergeCell ref="CQ94:CQ95"/>
    <mergeCell ref="BZ94:BZ95"/>
    <mergeCell ref="CW93:CX93"/>
    <mergeCell ref="CX94:CX95"/>
    <mergeCell ref="CR94:CR95"/>
    <mergeCell ref="CF94:CF95"/>
    <mergeCell ref="DQ91:DR91"/>
    <mergeCell ref="DP94:DP95"/>
    <mergeCell ref="M91:N91"/>
    <mergeCell ref="T96:T97"/>
    <mergeCell ref="AP94:AP95"/>
    <mergeCell ref="BF101:BG101"/>
    <mergeCell ref="BV101:BW101"/>
    <mergeCell ref="AV94:AV95"/>
    <mergeCell ref="BC91:BD91"/>
    <mergeCell ref="AW94:AW95"/>
    <mergeCell ref="BO91:BP91"/>
    <mergeCell ref="BF98:BG98"/>
    <mergeCell ref="X101:AB101"/>
    <mergeCell ref="BQ92:BQ95"/>
    <mergeCell ref="BH94:BH95"/>
    <mergeCell ref="BM93:BN93"/>
    <mergeCell ref="AW91:AX91"/>
    <mergeCell ref="BX94:BX95"/>
    <mergeCell ref="AP93:AT93"/>
    <mergeCell ref="AL101:AM101"/>
    <mergeCell ref="N94:N95"/>
    <mergeCell ref="X93:AB93"/>
    <mergeCell ref="S91:T91"/>
    <mergeCell ref="AE94:AE95"/>
    <mergeCell ref="AC94:AC95"/>
    <mergeCell ref="AE98:AF98"/>
    <mergeCell ref="M92:N93"/>
    <mergeCell ref="AC93:AD93"/>
    <mergeCell ref="AQ94:AQ95"/>
    <mergeCell ref="BF94:BF95"/>
    <mergeCell ref="BG94:BG95"/>
    <mergeCell ref="BJ94:BJ95"/>
    <mergeCell ref="BL94:BL95"/>
    <mergeCell ref="BO101:BP101"/>
    <mergeCell ref="BI94:BI95"/>
    <mergeCell ref="CP94:CP95"/>
    <mergeCell ref="AP98:AT98"/>
    <mergeCell ref="AP101:AT101"/>
    <mergeCell ref="BD101:BE101"/>
    <mergeCell ref="BV96:BV97"/>
    <mergeCell ref="BV98:BW98"/>
    <mergeCell ref="BV99:BV100"/>
    <mergeCell ref="CN99:CN100"/>
    <mergeCell ref="BH93:BL93"/>
    <mergeCell ref="AN94:AN95"/>
    <mergeCell ref="AR94:AR95"/>
    <mergeCell ref="AN98:AO98"/>
    <mergeCell ref="AU93:AV93"/>
    <mergeCell ref="AZ92:AZ95"/>
    <mergeCell ref="AX94:AX95"/>
    <mergeCell ref="BO98:BP98"/>
    <mergeCell ref="BH101:BL101"/>
    <mergeCell ref="BK94:BK95"/>
    <mergeCell ref="BF92:BN92"/>
    <mergeCell ref="BD98:BE98"/>
    <mergeCell ref="AO94:AO95"/>
    <mergeCell ref="CE101:CF101"/>
    <mergeCell ref="BZ98:CD98"/>
    <mergeCell ref="BS92:BS95"/>
    <mergeCell ref="CI92:CI95"/>
    <mergeCell ref="CP98:CQ98"/>
    <mergeCell ref="AN92:AV92"/>
    <mergeCell ref="BX101:BY101"/>
    <mergeCell ref="BX98:BY98"/>
    <mergeCell ref="CM96:CM101"/>
    <mergeCell ref="CB94:CB95"/>
    <mergeCell ref="F94:F95"/>
    <mergeCell ref="M94:M95"/>
    <mergeCell ref="AI92:AI95"/>
    <mergeCell ref="AL96:AL97"/>
    <mergeCell ref="AW92:AX93"/>
    <mergeCell ref="BD92:BE94"/>
    <mergeCell ref="BC96:BC101"/>
    <mergeCell ref="BA92:BA95"/>
    <mergeCell ref="AN101:AO101"/>
    <mergeCell ref="O92:O95"/>
    <mergeCell ref="AC98:AD98"/>
    <mergeCell ref="V101:W101"/>
    <mergeCell ref="AT94:AT95"/>
    <mergeCell ref="AS94:AS95"/>
    <mergeCell ref="AY92:AY95"/>
    <mergeCell ref="BD99:BD100"/>
    <mergeCell ref="AU94:AU95"/>
    <mergeCell ref="AN93:AO93"/>
    <mergeCell ref="AC101:AD101"/>
    <mergeCell ref="Y94:Y95"/>
    <mergeCell ref="AW98:AX98"/>
    <mergeCell ref="BD96:BD97"/>
    <mergeCell ref="K101:L101"/>
    <mergeCell ref="K93:L93"/>
    <mergeCell ref="K98:L98"/>
    <mergeCell ref="W94:W95"/>
    <mergeCell ref="F93:J93"/>
    <mergeCell ref="L94:L95"/>
    <mergeCell ref="A76:A81"/>
    <mergeCell ref="B76:B77"/>
    <mergeCell ref="S76:S81"/>
    <mergeCell ref="T76:T77"/>
    <mergeCell ref="V82:W82"/>
    <mergeCell ref="B79:B80"/>
    <mergeCell ref="T79:T80"/>
    <mergeCell ref="D102:E102"/>
    <mergeCell ref="AL92:AM94"/>
    <mergeCell ref="AD94:AD95"/>
    <mergeCell ref="G94:G95"/>
    <mergeCell ref="F102:J102"/>
    <mergeCell ref="D93:E93"/>
    <mergeCell ref="B98:C98"/>
    <mergeCell ref="B96:B97"/>
    <mergeCell ref="P92:P95"/>
    <mergeCell ref="Q92:Q95"/>
    <mergeCell ref="I94:I95"/>
    <mergeCell ref="B101:C101"/>
    <mergeCell ref="AE102:AF102"/>
    <mergeCell ref="AE91:AF91"/>
    <mergeCell ref="AA94:AA95"/>
    <mergeCell ref="AL99:AL100"/>
    <mergeCell ref="AC102:AD102"/>
    <mergeCell ref="AG92:AG95"/>
    <mergeCell ref="V92:AD92"/>
    <mergeCell ref="S96:S101"/>
    <mergeCell ref="AB94:AB95"/>
    <mergeCell ref="AH92:AH95"/>
    <mergeCell ref="X102:AB102"/>
    <mergeCell ref="M102:N102"/>
    <mergeCell ref="V94:V95"/>
    <mergeCell ref="AL102:AM102"/>
    <mergeCell ref="AK91:AL91"/>
    <mergeCell ref="AL98:AM98"/>
    <mergeCell ref="AK96:AK101"/>
    <mergeCell ref="BM101:BN101"/>
    <mergeCell ref="BM98:BN98"/>
    <mergeCell ref="A83:A88"/>
    <mergeCell ref="B83:B84"/>
    <mergeCell ref="B85:C85"/>
    <mergeCell ref="K85:L85"/>
    <mergeCell ref="X89:AB89"/>
    <mergeCell ref="T86:T87"/>
    <mergeCell ref="V93:W93"/>
    <mergeCell ref="T102:U102"/>
    <mergeCell ref="V102:W102"/>
    <mergeCell ref="F98:J98"/>
    <mergeCell ref="V98:W98"/>
    <mergeCell ref="Z94:Z95"/>
    <mergeCell ref="AF94:AF95"/>
    <mergeCell ref="AE101:AF101"/>
    <mergeCell ref="X98:AB98"/>
    <mergeCell ref="M101:N101"/>
    <mergeCell ref="X94:X95"/>
    <mergeCell ref="J94:J95"/>
    <mergeCell ref="F101:J101"/>
    <mergeCell ref="T92:U94"/>
    <mergeCell ref="M98:N98"/>
    <mergeCell ref="AE92:AF93"/>
    <mergeCell ref="D92:L92"/>
    <mergeCell ref="E94:E95"/>
    <mergeCell ref="T98:U98"/>
    <mergeCell ref="H94:H95"/>
  </mergeCells>
  <phoneticPr fontId="2" type="noConversion"/>
  <printOptions horizontalCentered="1"/>
  <pageMargins left="0.15748031496062992" right="0.19685039370078741" top="4.3307086614173231" bottom="0.39370078740157483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Z16"/>
  <sheetViews>
    <sheetView rightToLeft="1" workbookViewId="0">
      <selection activeCell="E19" sqref="E19"/>
    </sheetView>
  </sheetViews>
  <sheetFormatPr defaultRowHeight="12.75" x14ac:dyDescent="0.2"/>
  <cols>
    <col min="1" max="1" width="8.85546875" customWidth="1"/>
    <col min="3" max="3" width="8" customWidth="1"/>
    <col min="4" max="11" width="6.7109375" customWidth="1"/>
    <col min="12" max="12" width="7.85546875" customWidth="1"/>
    <col min="13" max="16" width="6.7109375" customWidth="1"/>
    <col min="18" max="18" width="2.7109375" customWidth="1"/>
    <col min="19" max="19" width="10.5703125" customWidth="1"/>
    <col min="21" max="21" width="8" customWidth="1"/>
    <col min="22" max="32" width="6.7109375" customWidth="1"/>
    <col min="33" max="33" width="8.28515625" customWidth="1"/>
    <col min="34" max="34" width="6.7109375" customWidth="1"/>
    <col min="36" max="36" width="2.7109375" customWidth="1"/>
    <col min="37" max="37" width="10.5703125" customWidth="1"/>
    <col min="39" max="39" width="8" customWidth="1"/>
    <col min="40" max="50" width="6.7109375" customWidth="1"/>
    <col min="51" max="51" width="8.28515625" customWidth="1"/>
    <col min="52" max="52" width="6.7109375" customWidth="1"/>
    <col min="54" max="54" width="2.7109375" customWidth="1"/>
    <col min="55" max="55" width="10.5703125" customWidth="1"/>
    <col min="57" max="57" width="8" customWidth="1"/>
    <col min="58" max="68" width="6.7109375" customWidth="1"/>
    <col min="69" max="69" width="8.28515625" customWidth="1"/>
    <col min="70" max="70" width="6.7109375" customWidth="1"/>
    <col min="72" max="72" width="2.7109375" customWidth="1"/>
    <col min="73" max="73" width="10.5703125" customWidth="1"/>
    <col min="75" max="75" width="8" customWidth="1"/>
    <col min="76" max="86" width="6.7109375" customWidth="1"/>
    <col min="87" max="87" width="8.28515625" customWidth="1"/>
    <col min="88" max="88" width="6.7109375" customWidth="1"/>
    <col min="90" max="90" width="2.7109375" customWidth="1"/>
    <col min="91" max="91" width="10.5703125" customWidth="1"/>
    <col min="93" max="93" width="8" customWidth="1"/>
    <col min="94" max="104" width="6.7109375" customWidth="1"/>
    <col min="105" max="105" width="8.28515625" customWidth="1"/>
    <col min="106" max="106" width="6.7109375" customWidth="1"/>
    <col min="108" max="108" width="2.7109375" customWidth="1"/>
    <col min="109" max="109" width="10.5703125" customWidth="1"/>
    <col min="111" max="111" width="8" customWidth="1"/>
    <col min="112" max="119" width="6.7109375" customWidth="1"/>
    <col min="120" max="120" width="7.7109375" customWidth="1"/>
    <col min="121" max="122" width="6.7109375" customWidth="1"/>
    <col min="123" max="123" width="8.28515625" customWidth="1"/>
    <col min="124" max="124" width="6.7109375" customWidth="1"/>
    <col min="126" max="126" width="2.7109375" customWidth="1"/>
    <col min="127" max="127" width="10.5703125" customWidth="1"/>
    <col min="129" max="129" width="8" customWidth="1"/>
    <col min="130" max="137" width="6.7109375" customWidth="1"/>
    <col min="138" max="138" width="8.140625" customWidth="1"/>
    <col min="139" max="140" width="6.7109375" customWidth="1"/>
    <col min="141" max="141" width="8.28515625" customWidth="1"/>
    <col min="142" max="142" width="6.7109375" customWidth="1"/>
    <col min="144" max="144" width="2.7109375" customWidth="1"/>
    <col min="145" max="145" width="10.5703125" customWidth="1"/>
    <col min="147" max="147" width="8" customWidth="1"/>
    <col min="148" max="158" width="6.7109375" customWidth="1"/>
    <col min="159" max="159" width="8.28515625" customWidth="1"/>
    <col min="160" max="160" width="6.7109375" customWidth="1"/>
    <col min="162" max="162" width="2.7109375" customWidth="1"/>
    <col min="163" max="163" width="10.5703125" customWidth="1"/>
    <col min="165" max="165" width="8" customWidth="1"/>
    <col min="166" max="176" width="6.7109375" customWidth="1"/>
    <col min="177" max="177" width="8.28515625" customWidth="1"/>
    <col min="178" max="178" width="6.7109375" customWidth="1"/>
    <col min="180" max="180" width="2.7109375" customWidth="1"/>
    <col min="181" max="181" width="10.5703125" customWidth="1"/>
    <col min="183" max="183" width="8" customWidth="1"/>
    <col min="184" max="194" width="6.7109375" customWidth="1"/>
    <col min="195" max="195" width="8.28515625" customWidth="1"/>
    <col min="196" max="196" width="6.7109375" customWidth="1"/>
    <col min="198" max="198" width="2.7109375" customWidth="1"/>
    <col min="199" max="199" width="10.5703125" customWidth="1"/>
    <col min="201" max="201" width="8" customWidth="1"/>
    <col min="202" max="212" width="6.7109375" customWidth="1"/>
    <col min="213" max="213" width="8.28515625" customWidth="1"/>
    <col min="214" max="214" width="6.7109375" customWidth="1"/>
    <col min="216" max="216" width="2.7109375" customWidth="1"/>
    <col min="219" max="220" width="8" customWidth="1"/>
    <col min="221" max="222" width="6.7109375" customWidth="1"/>
    <col min="223" max="223" width="8" customWidth="1"/>
    <col min="224" max="226" width="6.7109375" customWidth="1"/>
    <col min="227" max="227" width="7.7109375" customWidth="1"/>
    <col min="228" max="228" width="7.85546875" customWidth="1"/>
    <col min="229" max="229" width="7.42578125" customWidth="1"/>
    <col min="230" max="230" width="8" customWidth="1"/>
    <col min="231" max="231" width="9" customWidth="1"/>
    <col min="232" max="232" width="6.7109375" customWidth="1"/>
    <col min="233" max="233" width="12" customWidth="1"/>
    <col min="234" max="234" width="2.7109375" customWidth="1"/>
  </cols>
  <sheetData>
    <row r="1" spans="1:234" ht="13.5" thickBot="1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  <c r="HO1" s="62"/>
      <c r="HP1" s="62"/>
      <c r="HQ1" s="62"/>
      <c r="HR1" s="62"/>
      <c r="HS1" s="62"/>
      <c r="HT1" s="62"/>
      <c r="HU1" s="62"/>
      <c r="HV1" s="62"/>
      <c r="HW1" s="62"/>
      <c r="HX1" s="62"/>
      <c r="HY1" s="62"/>
      <c r="HZ1" s="62"/>
    </row>
    <row r="2" spans="1:234" s="104" customFormat="1" ht="30.75" customHeight="1" thickBot="1" x14ac:dyDescent="0.25">
      <c r="A2" s="101">
        <v>12</v>
      </c>
      <c r="B2" s="77" t="s">
        <v>32</v>
      </c>
      <c r="C2" s="77"/>
      <c r="D2" s="79"/>
      <c r="E2" s="102" t="s">
        <v>46</v>
      </c>
      <c r="F2" s="79"/>
      <c r="G2" s="79"/>
      <c r="H2" s="79"/>
      <c r="I2" s="79"/>
      <c r="J2" s="78" t="s">
        <v>0</v>
      </c>
      <c r="K2" s="95">
        <v>1</v>
      </c>
      <c r="L2" s="78" t="s">
        <v>10</v>
      </c>
      <c r="M2" s="420">
        <f>SUM('الفحوصات المخبرية'!M1:N1)</f>
        <v>1447</v>
      </c>
      <c r="N2" s="420"/>
      <c r="O2" s="89" t="s">
        <v>33</v>
      </c>
      <c r="P2" s="79"/>
      <c r="Q2" s="80"/>
      <c r="R2" s="103"/>
      <c r="S2" s="101">
        <v>12</v>
      </c>
      <c r="T2" s="77" t="s">
        <v>32</v>
      </c>
      <c r="U2" s="77"/>
      <c r="V2" s="79"/>
      <c r="W2" s="102" t="s">
        <v>46</v>
      </c>
      <c r="X2" s="79"/>
      <c r="Y2" s="79"/>
      <c r="Z2" s="79"/>
      <c r="AA2" s="79"/>
      <c r="AB2" s="78" t="s">
        <v>0</v>
      </c>
      <c r="AC2" s="95">
        <v>2</v>
      </c>
      <c r="AD2" s="78" t="s">
        <v>10</v>
      </c>
      <c r="AE2" s="420">
        <f>SUM('الفحوصات المخبرية'!AE1:AF1)</f>
        <v>1447</v>
      </c>
      <c r="AF2" s="420"/>
      <c r="AG2" s="89" t="s">
        <v>33</v>
      </c>
      <c r="AH2" s="79"/>
      <c r="AI2" s="80"/>
      <c r="AJ2" s="103"/>
      <c r="AK2" s="101">
        <v>12</v>
      </c>
      <c r="AL2" s="77" t="s">
        <v>32</v>
      </c>
      <c r="AM2" s="77"/>
      <c r="AN2" s="79"/>
      <c r="AO2" s="102" t="s">
        <v>46</v>
      </c>
      <c r="AP2" s="79"/>
      <c r="AQ2" s="79"/>
      <c r="AR2" s="79"/>
      <c r="AS2" s="79"/>
      <c r="AT2" s="78" t="s">
        <v>0</v>
      </c>
      <c r="AU2" s="95">
        <v>3</v>
      </c>
      <c r="AV2" s="78" t="s">
        <v>10</v>
      </c>
      <c r="AW2" s="420">
        <f>SUM('الفحوصات المخبرية'!AW1:AX1)</f>
        <v>1447</v>
      </c>
      <c r="AX2" s="420"/>
      <c r="AY2" s="89" t="s">
        <v>33</v>
      </c>
      <c r="AZ2" s="79"/>
      <c r="BA2" s="80"/>
      <c r="BB2" s="103"/>
      <c r="BC2" s="101">
        <v>12</v>
      </c>
      <c r="BD2" s="77" t="s">
        <v>32</v>
      </c>
      <c r="BE2" s="77"/>
      <c r="BF2" s="79"/>
      <c r="BG2" s="102" t="s">
        <v>46</v>
      </c>
      <c r="BH2" s="79"/>
      <c r="BI2" s="79"/>
      <c r="BJ2" s="79"/>
      <c r="BK2" s="79"/>
      <c r="BL2" s="78" t="s">
        <v>0</v>
      </c>
      <c r="BM2" s="95">
        <v>4</v>
      </c>
      <c r="BN2" s="78" t="s">
        <v>10</v>
      </c>
      <c r="BO2" s="420">
        <f>SUM('الفحوصات المخبرية'!BO1:BP1)</f>
        <v>1447</v>
      </c>
      <c r="BP2" s="420"/>
      <c r="BQ2" s="89" t="s">
        <v>33</v>
      </c>
      <c r="BR2" s="79"/>
      <c r="BS2" s="80"/>
      <c r="BT2" s="103"/>
      <c r="BU2" s="101">
        <v>12</v>
      </c>
      <c r="BV2" s="77" t="s">
        <v>32</v>
      </c>
      <c r="BW2" s="77"/>
      <c r="BX2" s="79"/>
      <c r="BY2" s="102" t="s">
        <v>46</v>
      </c>
      <c r="BZ2" s="79"/>
      <c r="CA2" s="79"/>
      <c r="CB2" s="79"/>
      <c r="CC2" s="79"/>
      <c r="CD2" s="78" t="s">
        <v>0</v>
      </c>
      <c r="CE2" s="95">
        <v>5</v>
      </c>
      <c r="CF2" s="78" t="s">
        <v>10</v>
      </c>
      <c r="CG2" s="420">
        <f>SUM('الفحوصات المخبرية'!CG1:CH1)</f>
        <v>1447</v>
      </c>
      <c r="CH2" s="420"/>
      <c r="CI2" s="89" t="s">
        <v>33</v>
      </c>
      <c r="CJ2" s="79"/>
      <c r="CK2" s="80"/>
      <c r="CL2" s="103"/>
      <c r="CM2" s="101">
        <v>12</v>
      </c>
      <c r="CN2" s="77" t="s">
        <v>32</v>
      </c>
      <c r="CO2" s="77"/>
      <c r="CP2" s="79"/>
      <c r="CQ2" s="102" t="s">
        <v>46</v>
      </c>
      <c r="CR2" s="79"/>
      <c r="CS2" s="79"/>
      <c r="CT2" s="79"/>
      <c r="CU2" s="79"/>
      <c r="CV2" s="78" t="s">
        <v>0</v>
      </c>
      <c r="CW2" s="95">
        <v>6</v>
      </c>
      <c r="CX2" s="78" t="s">
        <v>10</v>
      </c>
      <c r="CY2" s="420">
        <f>SUM('الفحوصات المخبرية'!CY1:CZ1)</f>
        <v>1447</v>
      </c>
      <c r="CZ2" s="420"/>
      <c r="DA2" s="89" t="s">
        <v>33</v>
      </c>
      <c r="DB2" s="79"/>
      <c r="DC2" s="80"/>
      <c r="DD2" s="103"/>
      <c r="DE2" s="101">
        <v>12</v>
      </c>
      <c r="DF2" s="77" t="s">
        <v>32</v>
      </c>
      <c r="DG2" s="77"/>
      <c r="DH2" s="79"/>
      <c r="DI2" s="102" t="s">
        <v>46</v>
      </c>
      <c r="DJ2" s="79"/>
      <c r="DK2" s="79"/>
      <c r="DL2" s="79"/>
      <c r="DM2" s="79"/>
      <c r="DN2" s="78" t="s">
        <v>0</v>
      </c>
      <c r="DO2" s="95">
        <v>7</v>
      </c>
      <c r="DP2" s="78" t="s">
        <v>10</v>
      </c>
      <c r="DQ2" s="420">
        <f>SUM('الفحوصات المخبرية'!DQ1:DR1)</f>
        <v>1447</v>
      </c>
      <c r="DR2" s="420"/>
      <c r="DS2" s="89" t="s">
        <v>33</v>
      </c>
      <c r="DT2" s="79"/>
      <c r="DU2" s="80"/>
      <c r="DV2" s="103"/>
      <c r="DW2" s="101">
        <v>12</v>
      </c>
      <c r="DX2" s="77" t="s">
        <v>32</v>
      </c>
      <c r="DY2" s="77"/>
      <c r="DZ2" s="79"/>
      <c r="EA2" s="102" t="s">
        <v>46</v>
      </c>
      <c r="EB2" s="79"/>
      <c r="EC2" s="79"/>
      <c r="ED2" s="79"/>
      <c r="EE2" s="79"/>
      <c r="EF2" s="78" t="s">
        <v>0</v>
      </c>
      <c r="EG2" s="95">
        <v>8</v>
      </c>
      <c r="EH2" s="78" t="s">
        <v>10</v>
      </c>
      <c r="EI2" s="420">
        <f>SUM('الفحوصات المخبرية'!EI1:EJ1)</f>
        <v>1447</v>
      </c>
      <c r="EJ2" s="420"/>
      <c r="EK2" s="89" t="s">
        <v>33</v>
      </c>
      <c r="EL2" s="79"/>
      <c r="EM2" s="80"/>
      <c r="EN2" s="103"/>
      <c r="EO2" s="101">
        <v>12</v>
      </c>
      <c r="EP2" s="77" t="s">
        <v>32</v>
      </c>
      <c r="EQ2" s="77"/>
      <c r="ER2" s="79"/>
      <c r="ES2" s="102" t="s">
        <v>46</v>
      </c>
      <c r="ET2" s="79"/>
      <c r="EU2" s="79"/>
      <c r="EV2" s="79"/>
      <c r="EW2" s="79"/>
      <c r="EX2" s="78" t="s">
        <v>0</v>
      </c>
      <c r="EY2" s="95">
        <v>9</v>
      </c>
      <c r="EZ2" s="78" t="s">
        <v>10</v>
      </c>
      <c r="FA2" s="420">
        <f>SUM('الفحوصات المخبرية'!FA1:FB1)</f>
        <v>1447</v>
      </c>
      <c r="FB2" s="420"/>
      <c r="FC2" s="89" t="s">
        <v>33</v>
      </c>
      <c r="FD2" s="79"/>
      <c r="FE2" s="80"/>
      <c r="FF2" s="103"/>
      <c r="FG2" s="101">
        <v>12</v>
      </c>
      <c r="FH2" s="77" t="s">
        <v>32</v>
      </c>
      <c r="FI2" s="77"/>
      <c r="FJ2" s="79"/>
      <c r="FK2" s="102" t="s">
        <v>46</v>
      </c>
      <c r="FL2" s="79"/>
      <c r="FM2" s="79"/>
      <c r="FN2" s="79"/>
      <c r="FO2" s="79"/>
      <c r="FP2" s="78" t="s">
        <v>0</v>
      </c>
      <c r="FQ2" s="95">
        <v>10</v>
      </c>
      <c r="FR2" s="78" t="s">
        <v>10</v>
      </c>
      <c r="FS2" s="420">
        <f>SUM('الفحوصات المخبرية'!FS1:FT1)</f>
        <v>1447</v>
      </c>
      <c r="FT2" s="420"/>
      <c r="FU2" s="89" t="s">
        <v>33</v>
      </c>
      <c r="FV2" s="79"/>
      <c r="FW2" s="80"/>
      <c r="FX2" s="103"/>
      <c r="FY2" s="101">
        <v>12</v>
      </c>
      <c r="FZ2" s="77" t="s">
        <v>32</v>
      </c>
      <c r="GA2" s="77"/>
      <c r="GB2" s="79"/>
      <c r="GC2" s="102" t="s">
        <v>46</v>
      </c>
      <c r="GD2" s="79"/>
      <c r="GE2" s="79"/>
      <c r="GF2" s="79"/>
      <c r="GG2" s="79"/>
      <c r="GH2" s="78" t="s">
        <v>0</v>
      </c>
      <c r="GI2" s="95">
        <v>11</v>
      </c>
      <c r="GJ2" s="78" t="s">
        <v>10</v>
      </c>
      <c r="GK2" s="420">
        <f>SUM('الفحوصات المخبرية'!GK1:GL1)</f>
        <v>1447</v>
      </c>
      <c r="GL2" s="420"/>
      <c r="GM2" s="89" t="s">
        <v>33</v>
      </c>
      <c r="GN2" s="79"/>
      <c r="GO2" s="80"/>
      <c r="GP2" s="103"/>
      <c r="GQ2" s="101">
        <v>12</v>
      </c>
      <c r="GR2" s="77" t="s">
        <v>32</v>
      </c>
      <c r="GS2" s="77"/>
      <c r="GT2" s="79"/>
      <c r="GU2" s="102" t="s">
        <v>46</v>
      </c>
      <c r="GV2" s="79"/>
      <c r="GW2" s="79"/>
      <c r="GX2" s="79"/>
      <c r="GY2" s="79"/>
      <c r="GZ2" s="78" t="s">
        <v>0</v>
      </c>
      <c r="HA2" s="95">
        <v>12</v>
      </c>
      <c r="HB2" s="78" t="s">
        <v>10</v>
      </c>
      <c r="HC2" s="420">
        <f>SUM('الفحوصات المخبرية'!HC1:HD1)</f>
        <v>1447</v>
      </c>
      <c r="HD2" s="420"/>
      <c r="HE2" s="89" t="s">
        <v>33</v>
      </c>
      <c r="HF2" s="79"/>
      <c r="HG2" s="80"/>
      <c r="HH2" s="103"/>
      <c r="HI2" s="101">
        <v>12</v>
      </c>
      <c r="HJ2" s="77" t="s">
        <v>32</v>
      </c>
      <c r="HK2" s="77"/>
      <c r="HL2" s="79"/>
      <c r="HM2" s="102" t="s">
        <v>46</v>
      </c>
      <c r="HN2" s="79"/>
      <c r="HO2" s="79"/>
      <c r="HP2" s="79"/>
      <c r="HQ2" s="79"/>
      <c r="HR2" s="78"/>
      <c r="HS2" s="95"/>
      <c r="HT2" s="78" t="s">
        <v>10</v>
      </c>
      <c r="HU2" s="420">
        <f>SUM(HC2)</f>
        <v>1447</v>
      </c>
      <c r="HV2" s="420"/>
      <c r="HW2" s="89" t="str">
        <f>(HE2)</f>
        <v>هـ</v>
      </c>
      <c r="HX2" s="79"/>
      <c r="HY2" s="80"/>
      <c r="HZ2" s="103"/>
    </row>
    <row r="3" spans="1:234" ht="16.5" customHeight="1" thickBot="1" x14ac:dyDescent="0.25">
      <c r="A3" s="421" t="s">
        <v>31</v>
      </c>
      <c r="B3" s="418" t="s">
        <v>11</v>
      </c>
      <c r="C3" s="419"/>
      <c r="D3" s="428" t="s">
        <v>1</v>
      </c>
      <c r="E3" s="429"/>
      <c r="F3" s="429"/>
      <c r="G3" s="429"/>
      <c r="H3" s="429"/>
      <c r="I3" s="429"/>
      <c r="J3" s="429"/>
      <c r="K3" s="429"/>
      <c r="L3" s="430"/>
      <c r="M3" s="418" t="s">
        <v>2</v>
      </c>
      <c r="N3" s="431"/>
      <c r="O3" s="418" t="s">
        <v>3</v>
      </c>
      <c r="P3" s="418" t="s">
        <v>4</v>
      </c>
      <c r="Q3" s="406" t="s">
        <v>5</v>
      </c>
      <c r="R3" s="62"/>
      <c r="S3" s="421" t="s">
        <v>31</v>
      </c>
      <c r="T3" s="418" t="s">
        <v>11</v>
      </c>
      <c r="U3" s="419"/>
      <c r="V3" s="428" t="s">
        <v>1</v>
      </c>
      <c r="W3" s="429"/>
      <c r="X3" s="429"/>
      <c r="Y3" s="429"/>
      <c r="Z3" s="429"/>
      <c r="AA3" s="429"/>
      <c r="AB3" s="429"/>
      <c r="AC3" s="429"/>
      <c r="AD3" s="430"/>
      <c r="AE3" s="418" t="s">
        <v>2</v>
      </c>
      <c r="AF3" s="431"/>
      <c r="AG3" s="418" t="s">
        <v>3</v>
      </c>
      <c r="AH3" s="418" t="s">
        <v>4</v>
      </c>
      <c r="AI3" s="406" t="s">
        <v>5</v>
      </c>
      <c r="AJ3" s="62"/>
      <c r="AK3" s="421" t="s">
        <v>31</v>
      </c>
      <c r="AL3" s="418" t="s">
        <v>11</v>
      </c>
      <c r="AM3" s="419"/>
      <c r="AN3" s="428" t="s">
        <v>1</v>
      </c>
      <c r="AO3" s="429"/>
      <c r="AP3" s="429"/>
      <c r="AQ3" s="429"/>
      <c r="AR3" s="429"/>
      <c r="AS3" s="429"/>
      <c r="AT3" s="429"/>
      <c r="AU3" s="429"/>
      <c r="AV3" s="430"/>
      <c r="AW3" s="418" t="s">
        <v>2</v>
      </c>
      <c r="AX3" s="431"/>
      <c r="AY3" s="418" t="s">
        <v>3</v>
      </c>
      <c r="AZ3" s="418" t="s">
        <v>4</v>
      </c>
      <c r="BA3" s="406" t="s">
        <v>5</v>
      </c>
      <c r="BB3" s="62"/>
      <c r="BC3" s="421" t="s">
        <v>31</v>
      </c>
      <c r="BD3" s="418" t="s">
        <v>11</v>
      </c>
      <c r="BE3" s="419"/>
      <c r="BF3" s="428" t="s">
        <v>1</v>
      </c>
      <c r="BG3" s="429"/>
      <c r="BH3" s="429"/>
      <c r="BI3" s="429"/>
      <c r="BJ3" s="429"/>
      <c r="BK3" s="429"/>
      <c r="BL3" s="429"/>
      <c r="BM3" s="429"/>
      <c r="BN3" s="430"/>
      <c r="BO3" s="418" t="s">
        <v>2</v>
      </c>
      <c r="BP3" s="431"/>
      <c r="BQ3" s="418" t="s">
        <v>3</v>
      </c>
      <c r="BR3" s="418" t="s">
        <v>4</v>
      </c>
      <c r="BS3" s="406" t="s">
        <v>5</v>
      </c>
      <c r="BT3" s="62"/>
      <c r="BU3" s="421" t="s">
        <v>31</v>
      </c>
      <c r="BV3" s="418" t="s">
        <v>11</v>
      </c>
      <c r="BW3" s="419"/>
      <c r="BX3" s="428" t="s">
        <v>1</v>
      </c>
      <c r="BY3" s="429"/>
      <c r="BZ3" s="429"/>
      <c r="CA3" s="429"/>
      <c r="CB3" s="429"/>
      <c r="CC3" s="429"/>
      <c r="CD3" s="429"/>
      <c r="CE3" s="429"/>
      <c r="CF3" s="430"/>
      <c r="CG3" s="418" t="s">
        <v>2</v>
      </c>
      <c r="CH3" s="431"/>
      <c r="CI3" s="418" t="s">
        <v>3</v>
      </c>
      <c r="CJ3" s="418" t="s">
        <v>4</v>
      </c>
      <c r="CK3" s="406" t="s">
        <v>5</v>
      </c>
      <c r="CL3" s="62"/>
      <c r="CM3" s="421" t="s">
        <v>31</v>
      </c>
      <c r="CN3" s="418" t="s">
        <v>11</v>
      </c>
      <c r="CO3" s="419"/>
      <c r="CP3" s="428" t="s">
        <v>1</v>
      </c>
      <c r="CQ3" s="429"/>
      <c r="CR3" s="429"/>
      <c r="CS3" s="429"/>
      <c r="CT3" s="429"/>
      <c r="CU3" s="429"/>
      <c r="CV3" s="429"/>
      <c r="CW3" s="429"/>
      <c r="CX3" s="430"/>
      <c r="CY3" s="418" t="s">
        <v>2</v>
      </c>
      <c r="CZ3" s="431"/>
      <c r="DA3" s="418" t="s">
        <v>3</v>
      </c>
      <c r="DB3" s="418" t="s">
        <v>4</v>
      </c>
      <c r="DC3" s="406" t="s">
        <v>5</v>
      </c>
      <c r="DD3" s="62"/>
      <c r="DE3" s="421" t="s">
        <v>31</v>
      </c>
      <c r="DF3" s="418" t="s">
        <v>11</v>
      </c>
      <c r="DG3" s="419"/>
      <c r="DH3" s="428" t="s">
        <v>1</v>
      </c>
      <c r="DI3" s="429"/>
      <c r="DJ3" s="429"/>
      <c r="DK3" s="429"/>
      <c r="DL3" s="429"/>
      <c r="DM3" s="429"/>
      <c r="DN3" s="429"/>
      <c r="DO3" s="429"/>
      <c r="DP3" s="430"/>
      <c r="DQ3" s="418" t="s">
        <v>2</v>
      </c>
      <c r="DR3" s="431"/>
      <c r="DS3" s="418" t="s">
        <v>3</v>
      </c>
      <c r="DT3" s="418" t="s">
        <v>4</v>
      </c>
      <c r="DU3" s="406" t="s">
        <v>5</v>
      </c>
      <c r="DV3" s="62"/>
      <c r="DW3" s="421" t="s">
        <v>31</v>
      </c>
      <c r="DX3" s="418" t="s">
        <v>11</v>
      </c>
      <c r="DY3" s="419"/>
      <c r="DZ3" s="428" t="s">
        <v>1</v>
      </c>
      <c r="EA3" s="429"/>
      <c r="EB3" s="429"/>
      <c r="EC3" s="429"/>
      <c r="ED3" s="429"/>
      <c r="EE3" s="429"/>
      <c r="EF3" s="429"/>
      <c r="EG3" s="429"/>
      <c r="EH3" s="430"/>
      <c r="EI3" s="418" t="s">
        <v>2</v>
      </c>
      <c r="EJ3" s="431"/>
      <c r="EK3" s="418" t="s">
        <v>3</v>
      </c>
      <c r="EL3" s="418" t="s">
        <v>4</v>
      </c>
      <c r="EM3" s="406" t="s">
        <v>5</v>
      </c>
      <c r="EN3" s="62"/>
      <c r="EO3" s="421" t="s">
        <v>31</v>
      </c>
      <c r="EP3" s="418" t="s">
        <v>11</v>
      </c>
      <c r="EQ3" s="419"/>
      <c r="ER3" s="428" t="s">
        <v>1</v>
      </c>
      <c r="ES3" s="429"/>
      <c r="ET3" s="429"/>
      <c r="EU3" s="429"/>
      <c r="EV3" s="429"/>
      <c r="EW3" s="429"/>
      <c r="EX3" s="429"/>
      <c r="EY3" s="429"/>
      <c r="EZ3" s="430"/>
      <c r="FA3" s="418" t="s">
        <v>2</v>
      </c>
      <c r="FB3" s="431"/>
      <c r="FC3" s="418" t="s">
        <v>3</v>
      </c>
      <c r="FD3" s="418" t="s">
        <v>4</v>
      </c>
      <c r="FE3" s="406" t="s">
        <v>5</v>
      </c>
      <c r="FF3" s="62"/>
      <c r="FG3" s="421" t="s">
        <v>31</v>
      </c>
      <c r="FH3" s="418" t="s">
        <v>11</v>
      </c>
      <c r="FI3" s="419"/>
      <c r="FJ3" s="428" t="s">
        <v>1</v>
      </c>
      <c r="FK3" s="429"/>
      <c r="FL3" s="429"/>
      <c r="FM3" s="429"/>
      <c r="FN3" s="429"/>
      <c r="FO3" s="429"/>
      <c r="FP3" s="429"/>
      <c r="FQ3" s="429"/>
      <c r="FR3" s="430"/>
      <c r="FS3" s="418" t="s">
        <v>2</v>
      </c>
      <c r="FT3" s="431"/>
      <c r="FU3" s="418" t="s">
        <v>3</v>
      </c>
      <c r="FV3" s="418" t="s">
        <v>4</v>
      </c>
      <c r="FW3" s="406" t="s">
        <v>5</v>
      </c>
      <c r="FX3" s="62"/>
      <c r="FY3" s="421" t="s">
        <v>31</v>
      </c>
      <c r="FZ3" s="418" t="s">
        <v>11</v>
      </c>
      <c r="GA3" s="419"/>
      <c r="GB3" s="428" t="s">
        <v>1</v>
      </c>
      <c r="GC3" s="429"/>
      <c r="GD3" s="429"/>
      <c r="GE3" s="429"/>
      <c r="GF3" s="429"/>
      <c r="GG3" s="429"/>
      <c r="GH3" s="429"/>
      <c r="GI3" s="429"/>
      <c r="GJ3" s="430"/>
      <c r="GK3" s="418" t="s">
        <v>2</v>
      </c>
      <c r="GL3" s="431"/>
      <c r="GM3" s="418" t="s">
        <v>3</v>
      </c>
      <c r="GN3" s="418" t="s">
        <v>4</v>
      </c>
      <c r="GO3" s="406" t="s">
        <v>5</v>
      </c>
      <c r="GP3" s="62"/>
      <c r="GQ3" s="421" t="s">
        <v>31</v>
      </c>
      <c r="GR3" s="418" t="s">
        <v>11</v>
      </c>
      <c r="GS3" s="419"/>
      <c r="GT3" s="428" t="s">
        <v>1</v>
      </c>
      <c r="GU3" s="429"/>
      <c r="GV3" s="429"/>
      <c r="GW3" s="429"/>
      <c r="GX3" s="429"/>
      <c r="GY3" s="429"/>
      <c r="GZ3" s="429"/>
      <c r="HA3" s="429"/>
      <c r="HB3" s="430"/>
      <c r="HC3" s="418" t="s">
        <v>2</v>
      </c>
      <c r="HD3" s="431"/>
      <c r="HE3" s="418" t="s">
        <v>3</v>
      </c>
      <c r="HF3" s="418" t="s">
        <v>4</v>
      </c>
      <c r="HG3" s="406" t="s">
        <v>5</v>
      </c>
      <c r="HH3" s="62"/>
      <c r="HI3" s="421" t="s">
        <v>31</v>
      </c>
      <c r="HJ3" s="418" t="s">
        <v>11</v>
      </c>
      <c r="HK3" s="419"/>
      <c r="HL3" s="428" t="s">
        <v>1</v>
      </c>
      <c r="HM3" s="429"/>
      <c r="HN3" s="429"/>
      <c r="HO3" s="429"/>
      <c r="HP3" s="429"/>
      <c r="HQ3" s="429"/>
      <c r="HR3" s="429"/>
      <c r="HS3" s="429"/>
      <c r="HT3" s="430"/>
      <c r="HU3" s="418" t="s">
        <v>2</v>
      </c>
      <c r="HV3" s="431"/>
      <c r="HW3" s="418" t="s">
        <v>3</v>
      </c>
      <c r="HX3" s="418" t="s">
        <v>4</v>
      </c>
      <c r="HY3" s="406" t="s">
        <v>5</v>
      </c>
      <c r="HZ3" s="62"/>
    </row>
    <row r="4" spans="1:234" ht="16.5" thickBot="1" x14ac:dyDescent="0.25">
      <c r="A4" s="422"/>
      <c r="B4" s="424"/>
      <c r="C4" s="425"/>
      <c r="D4" s="408" t="s">
        <v>6</v>
      </c>
      <c r="E4" s="443"/>
      <c r="F4" s="418" t="s">
        <v>7</v>
      </c>
      <c r="G4" s="419"/>
      <c r="H4" s="419"/>
      <c r="I4" s="419"/>
      <c r="J4" s="431"/>
      <c r="K4" s="444" t="s">
        <v>8</v>
      </c>
      <c r="L4" s="445"/>
      <c r="M4" s="426"/>
      <c r="N4" s="432"/>
      <c r="O4" s="424"/>
      <c r="P4" s="424"/>
      <c r="Q4" s="442"/>
      <c r="R4" s="62"/>
      <c r="S4" s="422"/>
      <c r="T4" s="424"/>
      <c r="U4" s="425"/>
      <c r="V4" s="408" t="s">
        <v>6</v>
      </c>
      <c r="W4" s="443"/>
      <c r="X4" s="418" t="s">
        <v>7</v>
      </c>
      <c r="Y4" s="419"/>
      <c r="Z4" s="419"/>
      <c r="AA4" s="419"/>
      <c r="AB4" s="431"/>
      <c r="AC4" s="444" t="s">
        <v>8</v>
      </c>
      <c r="AD4" s="445"/>
      <c r="AE4" s="426"/>
      <c r="AF4" s="432"/>
      <c r="AG4" s="424"/>
      <c r="AH4" s="424"/>
      <c r="AI4" s="442"/>
      <c r="AJ4" s="62"/>
      <c r="AK4" s="422"/>
      <c r="AL4" s="424"/>
      <c r="AM4" s="425"/>
      <c r="AN4" s="408" t="s">
        <v>6</v>
      </c>
      <c r="AO4" s="443"/>
      <c r="AP4" s="418" t="s">
        <v>7</v>
      </c>
      <c r="AQ4" s="419"/>
      <c r="AR4" s="419"/>
      <c r="AS4" s="419"/>
      <c r="AT4" s="431"/>
      <c r="AU4" s="444" t="s">
        <v>8</v>
      </c>
      <c r="AV4" s="445"/>
      <c r="AW4" s="426"/>
      <c r="AX4" s="432"/>
      <c r="AY4" s="424"/>
      <c r="AZ4" s="424"/>
      <c r="BA4" s="442"/>
      <c r="BB4" s="62"/>
      <c r="BC4" s="422"/>
      <c r="BD4" s="424"/>
      <c r="BE4" s="425"/>
      <c r="BF4" s="408" t="s">
        <v>6</v>
      </c>
      <c r="BG4" s="443"/>
      <c r="BH4" s="418" t="s">
        <v>7</v>
      </c>
      <c r="BI4" s="419"/>
      <c r="BJ4" s="419"/>
      <c r="BK4" s="419"/>
      <c r="BL4" s="431"/>
      <c r="BM4" s="444" t="s">
        <v>8</v>
      </c>
      <c r="BN4" s="445"/>
      <c r="BO4" s="426"/>
      <c r="BP4" s="432"/>
      <c r="BQ4" s="424"/>
      <c r="BR4" s="424"/>
      <c r="BS4" s="442"/>
      <c r="BT4" s="62"/>
      <c r="BU4" s="422"/>
      <c r="BV4" s="424"/>
      <c r="BW4" s="425"/>
      <c r="BX4" s="408" t="s">
        <v>6</v>
      </c>
      <c r="BY4" s="443"/>
      <c r="BZ4" s="418" t="s">
        <v>7</v>
      </c>
      <c r="CA4" s="419"/>
      <c r="CB4" s="419"/>
      <c r="CC4" s="419"/>
      <c r="CD4" s="431"/>
      <c r="CE4" s="444" t="s">
        <v>8</v>
      </c>
      <c r="CF4" s="445"/>
      <c r="CG4" s="426"/>
      <c r="CH4" s="432"/>
      <c r="CI4" s="424"/>
      <c r="CJ4" s="424"/>
      <c r="CK4" s="442"/>
      <c r="CL4" s="62"/>
      <c r="CM4" s="422"/>
      <c r="CN4" s="424"/>
      <c r="CO4" s="425"/>
      <c r="CP4" s="408" t="s">
        <v>6</v>
      </c>
      <c r="CQ4" s="443"/>
      <c r="CR4" s="418" t="s">
        <v>7</v>
      </c>
      <c r="CS4" s="419"/>
      <c r="CT4" s="419"/>
      <c r="CU4" s="419"/>
      <c r="CV4" s="431"/>
      <c r="CW4" s="444" t="s">
        <v>8</v>
      </c>
      <c r="CX4" s="445"/>
      <c r="CY4" s="426"/>
      <c r="CZ4" s="432"/>
      <c r="DA4" s="424"/>
      <c r="DB4" s="424"/>
      <c r="DC4" s="442"/>
      <c r="DD4" s="62"/>
      <c r="DE4" s="422"/>
      <c r="DF4" s="424"/>
      <c r="DG4" s="425"/>
      <c r="DH4" s="408" t="s">
        <v>6</v>
      </c>
      <c r="DI4" s="443"/>
      <c r="DJ4" s="418" t="s">
        <v>7</v>
      </c>
      <c r="DK4" s="419"/>
      <c r="DL4" s="419"/>
      <c r="DM4" s="419"/>
      <c r="DN4" s="431"/>
      <c r="DO4" s="444" t="s">
        <v>8</v>
      </c>
      <c r="DP4" s="445"/>
      <c r="DQ4" s="426"/>
      <c r="DR4" s="432"/>
      <c r="DS4" s="424"/>
      <c r="DT4" s="424"/>
      <c r="DU4" s="442"/>
      <c r="DV4" s="62"/>
      <c r="DW4" s="422"/>
      <c r="DX4" s="424"/>
      <c r="DY4" s="425"/>
      <c r="DZ4" s="408" t="s">
        <v>6</v>
      </c>
      <c r="EA4" s="443"/>
      <c r="EB4" s="418" t="s">
        <v>7</v>
      </c>
      <c r="EC4" s="419"/>
      <c r="ED4" s="419"/>
      <c r="EE4" s="419"/>
      <c r="EF4" s="431"/>
      <c r="EG4" s="444" t="s">
        <v>8</v>
      </c>
      <c r="EH4" s="445"/>
      <c r="EI4" s="426"/>
      <c r="EJ4" s="432"/>
      <c r="EK4" s="424"/>
      <c r="EL4" s="424"/>
      <c r="EM4" s="442"/>
      <c r="EN4" s="62"/>
      <c r="EO4" s="422"/>
      <c r="EP4" s="424"/>
      <c r="EQ4" s="425"/>
      <c r="ER4" s="408" t="s">
        <v>6</v>
      </c>
      <c r="ES4" s="443"/>
      <c r="ET4" s="418" t="s">
        <v>7</v>
      </c>
      <c r="EU4" s="419"/>
      <c r="EV4" s="419"/>
      <c r="EW4" s="419"/>
      <c r="EX4" s="431"/>
      <c r="EY4" s="444" t="s">
        <v>8</v>
      </c>
      <c r="EZ4" s="445"/>
      <c r="FA4" s="426"/>
      <c r="FB4" s="432"/>
      <c r="FC4" s="424"/>
      <c r="FD4" s="424"/>
      <c r="FE4" s="442"/>
      <c r="FF4" s="62"/>
      <c r="FG4" s="422"/>
      <c r="FH4" s="424"/>
      <c r="FI4" s="425"/>
      <c r="FJ4" s="408" t="s">
        <v>6</v>
      </c>
      <c r="FK4" s="443"/>
      <c r="FL4" s="418" t="s">
        <v>7</v>
      </c>
      <c r="FM4" s="419"/>
      <c r="FN4" s="419"/>
      <c r="FO4" s="419"/>
      <c r="FP4" s="431"/>
      <c r="FQ4" s="444" t="s">
        <v>8</v>
      </c>
      <c r="FR4" s="445"/>
      <c r="FS4" s="426"/>
      <c r="FT4" s="432"/>
      <c r="FU4" s="424"/>
      <c r="FV4" s="424"/>
      <c r="FW4" s="442"/>
      <c r="FX4" s="62"/>
      <c r="FY4" s="422"/>
      <c r="FZ4" s="424"/>
      <c r="GA4" s="425"/>
      <c r="GB4" s="408" t="s">
        <v>6</v>
      </c>
      <c r="GC4" s="443"/>
      <c r="GD4" s="418" t="s">
        <v>7</v>
      </c>
      <c r="GE4" s="419"/>
      <c r="GF4" s="419"/>
      <c r="GG4" s="419"/>
      <c r="GH4" s="431"/>
      <c r="GI4" s="444" t="s">
        <v>8</v>
      </c>
      <c r="GJ4" s="445"/>
      <c r="GK4" s="426"/>
      <c r="GL4" s="432"/>
      <c r="GM4" s="424"/>
      <c r="GN4" s="424"/>
      <c r="GO4" s="442"/>
      <c r="GP4" s="62"/>
      <c r="GQ4" s="422"/>
      <c r="GR4" s="424"/>
      <c r="GS4" s="425"/>
      <c r="GT4" s="408" t="s">
        <v>6</v>
      </c>
      <c r="GU4" s="443"/>
      <c r="GV4" s="418" t="s">
        <v>7</v>
      </c>
      <c r="GW4" s="419"/>
      <c r="GX4" s="419"/>
      <c r="GY4" s="419"/>
      <c r="GZ4" s="431"/>
      <c r="HA4" s="444" t="s">
        <v>8</v>
      </c>
      <c r="HB4" s="445"/>
      <c r="HC4" s="426"/>
      <c r="HD4" s="432"/>
      <c r="HE4" s="424"/>
      <c r="HF4" s="424"/>
      <c r="HG4" s="442"/>
      <c r="HH4" s="62"/>
      <c r="HI4" s="422"/>
      <c r="HJ4" s="424"/>
      <c r="HK4" s="425"/>
      <c r="HL4" s="408" t="s">
        <v>6</v>
      </c>
      <c r="HM4" s="443"/>
      <c r="HN4" s="418" t="s">
        <v>7</v>
      </c>
      <c r="HO4" s="419"/>
      <c r="HP4" s="419"/>
      <c r="HQ4" s="419"/>
      <c r="HR4" s="431"/>
      <c r="HS4" s="444" t="s">
        <v>8</v>
      </c>
      <c r="HT4" s="445"/>
      <c r="HU4" s="426"/>
      <c r="HV4" s="432"/>
      <c r="HW4" s="424"/>
      <c r="HX4" s="424"/>
      <c r="HY4" s="442"/>
      <c r="HZ4" s="62"/>
    </row>
    <row r="5" spans="1:234" ht="13.5" customHeight="1" thickBot="1" x14ac:dyDescent="0.25">
      <c r="A5" s="422"/>
      <c r="B5" s="426"/>
      <c r="C5" s="427"/>
      <c r="D5" s="446" t="s">
        <v>12</v>
      </c>
      <c r="E5" s="448" t="s">
        <v>13</v>
      </c>
      <c r="F5" s="446" t="s">
        <v>15</v>
      </c>
      <c r="G5" s="433" t="s">
        <v>14</v>
      </c>
      <c r="H5" s="433" t="s">
        <v>16</v>
      </c>
      <c r="I5" s="433" t="s">
        <v>17</v>
      </c>
      <c r="J5" s="436" t="s">
        <v>18</v>
      </c>
      <c r="K5" s="438" t="s">
        <v>19</v>
      </c>
      <c r="L5" s="440" t="s">
        <v>18</v>
      </c>
      <c r="M5" s="451" t="s">
        <v>20</v>
      </c>
      <c r="N5" s="453" t="s">
        <v>21</v>
      </c>
      <c r="O5" s="424"/>
      <c r="P5" s="424"/>
      <c r="Q5" s="442"/>
      <c r="R5" s="62"/>
      <c r="S5" s="422"/>
      <c r="T5" s="426"/>
      <c r="U5" s="427"/>
      <c r="V5" s="446" t="s">
        <v>12</v>
      </c>
      <c r="W5" s="448" t="s">
        <v>13</v>
      </c>
      <c r="X5" s="446" t="s">
        <v>15</v>
      </c>
      <c r="Y5" s="433" t="s">
        <v>14</v>
      </c>
      <c r="Z5" s="433" t="s">
        <v>16</v>
      </c>
      <c r="AA5" s="433" t="s">
        <v>17</v>
      </c>
      <c r="AB5" s="436" t="s">
        <v>18</v>
      </c>
      <c r="AC5" s="438" t="s">
        <v>19</v>
      </c>
      <c r="AD5" s="440" t="s">
        <v>18</v>
      </c>
      <c r="AE5" s="451" t="s">
        <v>20</v>
      </c>
      <c r="AF5" s="453" t="s">
        <v>21</v>
      </c>
      <c r="AG5" s="424"/>
      <c r="AH5" s="424"/>
      <c r="AI5" s="442"/>
      <c r="AJ5" s="62"/>
      <c r="AK5" s="422"/>
      <c r="AL5" s="426"/>
      <c r="AM5" s="427"/>
      <c r="AN5" s="446" t="s">
        <v>12</v>
      </c>
      <c r="AO5" s="448" t="s">
        <v>13</v>
      </c>
      <c r="AP5" s="446" t="s">
        <v>15</v>
      </c>
      <c r="AQ5" s="433" t="s">
        <v>14</v>
      </c>
      <c r="AR5" s="433" t="s">
        <v>16</v>
      </c>
      <c r="AS5" s="433" t="s">
        <v>17</v>
      </c>
      <c r="AT5" s="436" t="s">
        <v>18</v>
      </c>
      <c r="AU5" s="438" t="s">
        <v>19</v>
      </c>
      <c r="AV5" s="440" t="s">
        <v>18</v>
      </c>
      <c r="AW5" s="451" t="s">
        <v>20</v>
      </c>
      <c r="AX5" s="453" t="s">
        <v>21</v>
      </c>
      <c r="AY5" s="424"/>
      <c r="AZ5" s="424"/>
      <c r="BA5" s="442"/>
      <c r="BB5" s="62"/>
      <c r="BC5" s="422"/>
      <c r="BD5" s="426"/>
      <c r="BE5" s="427"/>
      <c r="BF5" s="446" t="s">
        <v>12</v>
      </c>
      <c r="BG5" s="448" t="s">
        <v>13</v>
      </c>
      <c r="BH5" s="446" t="s">
        <v>15</v>
      </c>
      <c r="BI5" s="433" t="s">
        <v>14</v>
      </c>
      <c r="BJ5" s="433" t="s">
        <v>16</v>
      </c>
      <c r="BK5" s="433" t="s">
        <v>17</v>
      </c>
      <c r="BL5" s="436" t="s">
        <v>18</v>
      </c>
      <c r="BM5" s="438" t="s">
        <v>19</v>
      </c>
      <c r="BN5" s="440" t="s">
        <v>18</v>
      </c>
      <c r="BO5" s="451" t="s">
        <v>20</v>
      </c>
      <c r="BP5" s="453" t="s">
        <v>21</v>
      </c>
      <c r="BQ5" s="424"/>
      <c r="BR5" s="424"/>
      <c r="BS5" s="442"/>
      <c r="BT5" s="62"/>
      <c r="BU5" s="422"/>
      <c r="BV5" s="426"/>
      <c r="BW5" s="427"/>
      <c r="BX5" s="446" t="s">
        <v>12</v>
      </c>
      <c r="BY5" s="448" t="s">
        <v>13</v>
      </c>
      <c r="BZ5" s="446" t="s">
        <v>15</v>
      </c>
      <c r="CA5" s="433" t="s">
        <v>14</v>
      </c>
      <c r="CB5" s="433" t="s">
        <v>16</v>
      </c>
      <c r="CC5" s="433" t="s">
        <v>17</v>
      </c>
      <c r="CD5" s="436" t="s">
        <v>18</v>
      </c>
      <c r="CE5" s="438" t="s">
        <v>19</v>
      </c>
      <c r="CF5" s="440" t="s">
        <v>18</v>
      </c>
      <c r="CG5" s="451" t="s">
        <v>20</v>
      </c>
      <c r="CH5" s="453" t="s">
        <v>21</v>
      </c>
      <c r="CI5" s="424"/>
      <c r="CJ5" s="424"/>
      <c r="CK5" s="442"/>
      <c r="CL5" s="62"/>
      <c r="CM5" s="422"/>
      <c r="CN5" s="426"/>
      <c r="CO5" s="427"/>
      <c r="CP5" s="446" t="s">
        <v>12</v>
      </c>
      <c r="CQ5" s="448" t="s">
        <v>13</v>
      </c>
      <c r="CR5" s="446" t="s">
        <v>15</v>
      </c>
      <c r="CS5" s="433" t="s">
        <v>14</v>
      </c>
      <c r="CT5" s="433" t="s">
        <v>16</v>
      </c>
      <c r="CU5" s="433" t="s">
        <v>17</v>
      </c>
      <c r="CV5" s="436" t="s">
        <v>18</v>
      </c>
      <c r="CW5" s="438" t="s">
        <v>19</v>
      </c>
      <c r="CX5" s="440" t="s">
        <v>18</v>
      </c>
      <c r="CY5" s="451" t="s">
        <v>20</v>
      </c>
      <c r="CZ5" s="453" t="s">
        <v>21</v>
      </c>
      <c r="DA5" s="424"/>
      <c r="DB5" s="424"/>
      <c r="DC5" s="442"/>
      <c r="DD5" s="62"/>
      <c r="DE5" s="422"/>
      <c r="DF5" s="426"/>
      <c r="DG5" s="427"/>
      <c r="DH5" s="446" t="s">
        <v>12</v>
      </c>
      <c r="DI5" s="448" t="s">
        <v>13</v>
      </c>
      <c r="DJ5" s="446" t="s">
        <v>15</v>
      </c>
      <c r="DK5" s="433" t="s">
        <v>14</v>
      </c>
      <c r="DL5" s="433" t="s">
        <v>16</v>
      </c>
      <c r="DM5" s="433" t="s">
        <v>17</v>
      </c>
      <c r="DN5" s="436" t="s">
        <v>18</v>
      </c>
      <c r="DO5" s="438" t="s">
        <v>19</v>
      </c>
      <c r="DP5" s="440" t="s">
        <v>18</v>
      </c>
      <c r="DQ5" s="451" t="s">
        <v>20</v>
      </c>
      <c r="DR5" s="453" t="s">
        <v>21</v>
      </c>
      <c r="DS5" s="424"/>
      <c r="DT5" s="424"/>
      <c r="DU5" s="442"/>
      <c r="DV5" s="62"/>
      <c r="DW5" s="422"/>
      <c r="DX5" s="426"/>
      <c r="DY5" s="427"/>
      <c r="DZ5" s="446" t="s">
        <v>12</v>
      </c>
      <c r="EA5" s="448" t="s">
        <v>13</v>
      </c>
      <c r="EB5" s="446" t="s">
        <v>15</v>
      </c>
      <c r="EC5" s="433" t="s">
        <v>14</v>
      </c>
      <c r="ED5" s="433" t="s">
        <v>16</v>
      </c>
      <c r="EE5" s="433" t="s">
        <v>17</v>
      </c>
      <c r="EF5" s="436" t="s">
        <v>18</v>
      </c>
      <c r="EG5" s="438" t="s">
        <v>19</v>
      </c>
      <c r="EH5" s="440" t="s">
        <v>18</v>
      </c>
      <c r="EI5" s="451" t="s">
        <v>20</v>
      </c>
      <c r="EJ5" s="453" t="s">
        <v>21</v>
      </c>
      <c r="EK5" s="424"/>
      <c r="EL5" s="424"/>
      <c r="EM5" s="442"/>
      <c r="EN5" s="62"/>
      <c r="EO5" s="422"/>
      <c r="EP5" s="426"/>
      <c r="EQ5" s="427"/>
      <c r="ER5" s="446" t="s">
        <v>12</v>
      </c>
      <c r="ES5" s="448" t="s">
        <v>13</v>
      </c>
      <c r="ET5" s="446" t="s">
        <v>15</v>
      </c>
      <c r="EU5" s="433" t="s">
        <v>14</v>
      </c>
      <c r="EV5" s="433" t="s">
        <v>16</v>
      </c>
      <c r="EW5" s="433" t="s">
        <v>17</v>
      </c>
      <c r="EX5" s="436" t="s">
        <v>18</v>
      </c>
      <c r="EY5" s="438" t="s">
        <v>19</v>
      </c>
      <c r="EZ5" s="440" t="s">
        <v>18</v>
      </c>
      <c r="FA5" s="451" t="s">
        <v>20</v>
      </c>
      <c r="FB5" s="453" t="s">
        <v>21</v>
      </c>
      <c r="FC5" s="424"/>
      <c r="FD5" s="424"/>
      <c r="FE5" s="442"/>
      <c r="FF5" s="62"/>
      <c r="FG5" s="422"/>
      <c r="FH5" s="426"/>
      <c r="FI5" s="427"/>
      <c r="FJ5" s="446" t="s">
        <v>12</v>
      </c>
      <c r="FK5" s="448" t="s">
        <v>13</v>
      </c>
      <c r="FL5" s="446" t="s">
        <v>15</v>
      </c>
      <c r="FM5" s="433" t="s">
        <v>14</v>
      </c>
      <c r="FN5" s="433" t="s">
        <v>16</v>
      </c>
      <c r="FO5" s="433" t="s">
        <v>17</v>
      </c>
      <c r="FP5" s="436" t="s">
        <v>18</v>
      </c>
      <c r="FQ5" s="438" t="s">
        <v>19</v>
      </c>
      <c r="FR5" s="440" t="s">
        <v>18</v>
      </c>
      <c r="FS5" s="451" t="s">
        <v>20</v>
      </c>
      <c r="FT5" s="453" t="s">
        <v>21</v>
      </c>
      <c r="FU5" s="424"/>
      <c r="FV5" s="424"/>
      <c r="FW5" s="442"/>
      <c r="FX5" s="62"/>
      <c r="FY5" s="422"/>
      <c r="FZ5" s="426"/>
      <c r="GA5" s="427"/>
      <c r="GB5" s="446" t="s">
        <v>12</v>
      </c>
      <c r="GC5" s="448" t="s">
        <v>13</v>
      </c>
      <c r="GD5" s="446" t="s">
        <v>15</v>
      </c>
      <c r="GE5" s="433" t="s">
        <v>14</v>
      </c>
      <c r="GF5" s="433" t="s">
        <v>16</v>
      </c>
      <c r="GG5" s="433" t="s">
        <v>17</v>
      </c>
      <c r="GH5" s="436" t="s">
        <v>18</v>
      </c>
      <c r="GI5" s="438" t="s">
        <v>19</v>
      </c>
      <c r="GJ5" s="440" t="s">
        <v>18</v>
      </c>
      <c r="GK5" s="451" t="s">
        <v>20</v>
      </c>
      <c r="GL5" s="453" t="s">
        <v>21</v>
      </c>
      <c r="GM5" s="424"/>
      <c r="GN5" s="424"/>
      <c r="GO5" s="442"/>
      <c r="GP5" s="62"/>
      <c r="GQ5" s="422"/>
      <c r="GR5" s="426"/>
      <c r="GS5" s="427"/>
      <c r="GT5" s="446" t="s">
        <v>12</v>
      </c>
      <c r="GU5" s="448" t="s">
        <v>13</v>
      </c>
      <c r="GV5" s="446" t="s">
        <v>15</v>
      </c>
      <c r="GW5" s="433" t="s">
        <v>14</v>
      </c>
      <c r="GX5" s="433" t="s">
        <v>16</v>
      </c>
      <c r="GY5" s="433" t="s">
        <v>17</v>
      </c>
      <c r="GZ5" s="436" t="s">
        <v>18</v>
      </c>
      <c r="HA5" s="438" t="s">
        <v>19</v>
      </c>
      <c r="HB5" s="440" t="s">
        <v>18</v>
      </c>
      <c r="HC5" s="451" t="s">
        <v>20</v>
      </c>
      <c r="HD5" s="453" t="s">
        <v>21</v>
      </c>
      <c r="HE5" s="424"/>
      <c r="HF5" s="424"/>
      <c r="HG5" s="442"/>
      <c r="HH5" s="62"/>
      <c r="HI5" s="422"/>
      <c r="HJ5" s="426"/>
      <c r="HK5" s="427"/>
      <c r="HL5" s="446" t="s">
        <v>12</v>
      </c>
      <c r="HM5" s="448" t="s">
        <v>13</v>
      </c>
      <c r="HN5" s="446" t="s">
        <v>15</v>
      </c>
      <c r="HO5" s="433" t="s">
        <v>14</v>
      </c>
      <c r="HP5" s="433" t="s">
        <v>16</v>
      </c>
      <c r="HQ5" s="433" t="s">
        <v>17</v>
      </c>
      <c r="HR5" s="436" t="s">
        <v>18</v>
      </c>
      <c r="HS5" s="438" t="s">
        <v>19</v>
      </c>
      <c r="HT5" s="440" t="s">
        <v>18</v>
      </c>
      <c r="HU5" s="451" t="s">
        <v>20</v>
      </c>
      <c r="HV5" s="453" t="s">
        <v>21</v>
      </c>
      <c r="HW5" s="424"/>
      <c r="HX5" s="424"/>
      <c r="HY5" s="442"/>
      <c r="HZ5" s="62"/>
    </row>
    <row r="6" spans="1:234" ht="76.5" customHeight="1" thickBot="1" x14ac:dyDescent="0.25">
      <c r="A6" s="423"/>
      <c r="B6" s="68" t="s">
        <v>22</v>
      </c>
      <c r="C6" s="67" t="s">
        <v>23</v>
      </c>
      <c r="D6" s="447"/>
      <c r="E6" s="449"/>
      <c r="F6" s="450"/>
      <c r="G6" s="435"/>
      <c r="H6" s="434"/>
      <c r="I6" s="435"/>
      <c r="J6" s="437"/>
      <c r="K6" s="439"/>
      <c r="L6" s="441"/>
      <c r="M6" s="452"/>
      <c r="N6" s="454"/>
      <c r="O6" s="424"/>
      <c r="P6" s="424"/>
      <c r="Q6" s="407"/>
      <c r="R6" s="62"/>
      <c r="S6" s="423"/>
      <c r="T6" s="68" t="s">
        <v>22</v>
      </c>
      <c r="U6" s="67" t="s">
        <v>23</v>
      </c>
      <c r="V6" s="447"/>
      <c r="W6" s="449"/>
      <c r="X6" s="450"/>
      <c r="Y6" s="435"/>
      <c r="Z6" s="434"/>
      <c r="AA6" s="435"/>
      <c r="AB6" s="437"/>
      <c r="AC6" s="439"/>
      <c r="AD6" s="441"/>
      <c r="AE6" s="452"/>
      <c r="AF6" s="454"/>
      <c r="AG6" s="424"/>
      <c r="AH6" s="424"/>
      <c r="AI6" s="407"/>
      <c r="AJ6" s="62"/>
      <c r="AK6" s="423"/>
      <c r="AL6" s="68" t="s">
        <v>22</v>
      </c>
      <c r="AM6" s="67" t="s">
        <v>23</v>
      </c>
      <c r="AN6" s="447"/>
      <c r="AO6" s="449"/>
      <c r="AP6" s="450"/>
      <c r="AQ6" s="435"/>
      <c r="AR6" s="434"/>
      <c r="AS6" s="435"/>
      <c r="AT6" s="437"/>
      <c r="AU6" s="439"/>
      <c r="AV6" s="441"/>
      <c r="AW6" s="452"/>
      <c r="AX6" s="454"/>
      <c r="AY6" s="424"/>
      <c r="AZ6" s="424"/>
      <c r="BA6" s="407"/>
      <c r="BB6" s="62"/>
      <c r="BC6" s="423"/>
      <c r="BD6" s="68" t="s">
        <v>22</v>
      </c>
      <c r="BE6" s="67" t="s">
        <v>23</v>
      </c>
      <c r="BF6" s="447"/>
      <c r="BG6" s="449"/>
      <c r="BH6" s="450"/>
      <c r="BI6" s="435"/>
      <c r="BJ6" s="434"/>
      <c r="BK6" s="435"/>
      <c r="BL6" s="437"/>
      <c r="BM6" s="439"/>
      <c r="BN6" s="441"/>
      <c r="BO6" s="452"/>
      <c r="BP6" s="454"/>
      <c r="BQ6" s="424"/>
      <c r="BR6" s="424"/>
      <c r="BS6" s="407"/>
      <c r="BT6" s="62"/>
      <c r="BU6" s="423"/>
      <c r="BV6" s="68" t="s">
        <v>22</v>
      </c>
      <c r="BW6" s="67" t="s">
        <v>23</v>
      </c>
      <c r="BX6" s="447"/>
      <c r="BY6" s="449"/>
      <c r="BZ6" s="450"/>
      <c r="CA6" s="435"/>
      <c r="CB6" s="434"/>
      <c r="CC6" s="435"/>
      <c r="CD6" s="437"/>
      <c r="CE6" s="439"/>
      <c r="CF6" s="441"/>
      <c r="CG6" s="452"/>
      <c r="CH6" s="454"/>
      <c r="CI6" s="424"/>
      <c r="CJ6" s="424"/>
      <c r="CK6" s="407"/>
      <c r="CL6" s="62"/>
      <c r="CM6" s="423"/>
      <c r="CN6" s="68" t="s">
        <v>22</v>
      </c>
      <c r="CO6" s="67" t="s">
        <v>23</v>
      </c>
      <c r="CP6" s="447"/>
      <c r="CQ6" s="449"/>
      <c r="CR6" s="450"/>
      <c r="CS6" s="435"/>
      <c r="CT6" s="434"/>
      <c r="CU6" s="435"/>
      <c r="CV6" s="437"/>
      <c r="CW6" s="439"/>
      <c r="CX6" s="441"/>
      <c r="CY6" s="452"/>
      <c r="CZ6" s="454"/>
      <c r="DA6" s="424"/>
      <c r="DB6" s="424"/>
      <c r="DC6" s="407"/>
      <c r="DD6" s="62"/>
      <c r="DE6" s="423"/>
      <c r="DF6" s="68" t="s">
        <v>22</v>
      </c>
      <c r="DG6" s="67" t="s">
        <v>23</v>
      </c>
      <c r="DH6" s="447"/>
      <c r="DI6" s="449"/>
      <c r="DJ6" s="450"/>
      <c r="DK6" s="435"/>
      <c r="DL6" s="434"/>
      <c r="DM6" s="435"/>
      <c r="DN6" s="437"/>
      <c r="DO6" s="439"/>
      <c r="DP6" s="441"/>
      <c r="DQ6" s="452"/>
      <c r="DR6" s="454"/>
      <c r="DS6" s="424"/>
      <c r="DT6" s="424"/>
      <c r="DU6" s="407"/>
      <c r="DV6" s="62"/>
      <c r="DW6" s="423"/>
      <c r="DX6" s="68" t="s">
        <v>22</v>
      </c>
      <c r="DY6" s="67" t="s">
        <v>23</v>
      </c>
      <c r="DZ6" s="447"/>
      <c r="EA6" s="449"/>
      <c r="EB6" s="450"/>
      <c r="EC6" s="435"/>
      <c r="ED6" s="434"/>
      <c r="EE6" s="435"/>
      <c r="EF6" s="437"/>
      <c r="EG6" s="439"/>
      <c r="EH6" s="441"/>
      <c r="EI6" s="452"/>
      <c r="EJ6" s="454"/>
      <c r="EK6" s="424"/>
      <c r="EL6" s="424"/>
      <c r="EM6" s="407"/>
      <c r="EN6" s="62"/>
      <c r="EO6" s="423"/>
      <c r="EP6" s="68" t="s">
        <v>22</v>
      </c>
      <c r="EQ6" s="67" t="s">
        <v>23</v>
      </c>
      <c r="ER6" s="447"/>
      <c r="ES6" s="449"/>
      <c r="ET6" s="450"/>
      <c r="EU6" s="435"/>
      <c r="EV6" s="434"/>
      <c r="EW6" s="435"/>
      <c r="EX6" s="437"/>
      <c r="EY6" s="439"/>
      <c r="EZ6" s="441"/>
      <c r="FA6" s="452"/>
      <c r="FB6" s="454"/>
      <c r="FC6" s="424"/>
      <c r="FD6" s="424"/>
      <c r="FE6" s="407"/>
      <c r="FF6" s="62"/>
      <c r="FG6" s="423"/>
      <c r="FH6" s="68" t="s">
        <v>22</v>
      </c>
      <c r="FI6" s="67" t="s">
        <v>23</v>
      </c>
      <c r="FJ6" s="447"/>
      <c r="FK6" s="449"/>
      <c r="FL6" s="450"/>
      <c r="FM6" s="435"/>
      <c r="FN6" s="434"/>
      <c r="FO6" s="435"/>
      <c r="FP6" s="437"/>
      <c r="FQ6" s="439"/>
      <c r="FR6" s="441"/>
      <c r="FS6" s="452"/>
      <c r="FT6" s="454"/>
      <c r="FU6" s="424"/>
      <c r="FV6" s="424"/>
      <c r="FW6" s="407"/>
      <c r="FX6" s="62"/>
      <c r="FY6" s="423"/>
      <c r="FZ6" s="68" t="s">
        <v>22</v>
      </c>
      <c r="GA6" s="67" t="s">
        <v>23</v>
      </c>
      <c r="GB6" s="447"/>
      <c r="GC6" s="449"/>
      <c r="GD6" s="450"/>
      <c r="GE6" s="435"/>
      <c r="GF6" s="434"/>
      <c r="GG6" s="435"/>
      <c r="GH6" s="437"/>
      <c r="GI6" s="439"/>
      <c r="GJ6" s="441"/>
      <c r="GK6" s="452"/>
      <c r="GL6" s="454"/>
      <c r="GM6" s="424"/>
      <c r="GN6" s="424"/>
      <c r="GO6" s="407"/>
      <c r="GP6" s="62"/>
      <c r="GQ6" s="423"/>
      <c r="GR6" s="68" t="s">
        <v>22</v>
      </c>
      <c r="GS6" s="67" t="s">
        <v>23</v>
      </c>
      <c r="GT6" s="447"/>
      <c r="GU6" s="449"/>
      <c r="GV6" s="450"/>
      <c r="GW6" s="435"/>
      <c r="GX6" s="434"/>
      <c r="GY6" s="435"/>
      <c r="GZ6" s="437"/>
      <c r="HA6" s="439"/>
      <c r="HB6" s="441"/>
      <c r="HC6" s="452"/>
      <c r="HD6" s="454"/>
      <c r="HE6" s="424"/>
      <c r="HF6" s="424"/>
      <c r="HG6" s="407"/>
      <c r="HH6" s="62"/>
      <c r="HI6" s="423"/>
      <c r="HJ6" s="68" t="s">
        <v>22</v>
      </c>
      <c r="HK6" s="67" t="s">
        <v>23</v>
      </c>
      <c r="HL6" s="447"/>
      <c r="HM6" s="449"/>
      <c r="HN6" s="450"/>
      <c r="HO6" s="435"/>
      <c r="HP6" s="434"/>
      <c r="HQ6" s="435"/>
      <c r="HR6" s="437"/>
      <c r="HS6" s="439"/>
      <c r="HT6" s="441"/>
      <c r="HU6" s="452"/>
      <c r="HV6" s="454"/>
      <c r="HW6" s="424"/>
      <c r="HX6" s="424"/>
      <c r="HY6" s="407"/>
      <c r="HZ6" s="62"/>
    </row>
    <row r="7" spans="1:234" ht="18" customHeight="1" x14ac:dyDescent="0.2">
      <c r="A7" s="297" t="s">
        <v>45</v>
      </c>
      <c r="B7" s="406" t="s">
        <v>9</v>
      </c>
      <c r="C7" s="69" t="s">
        <v>24</v>
      </c>
      <c r="D7" s="48">
        <f>'الفحوصات المخبرية'!D96</f>
        <v>1917</v>
      </c>
      <c r="E7" s="63">
        <f>'الفحوصات المخبرية'!E96</f>
        <v>13</v>
      </c>
      <c r="F7" s="48">
        <f>'الفحوصات المخبرية'!F96</f>
        <v>47</v>
      </c>
      <c r="G7" s="51">
        <f>'الفحوصات المخبرية'!G96</f>
        <v>441</v>
      </c>
      <c r="H7" s="51">
        <f>'الفحوصات المخبرية'!H96</f>
        <v>66</v>
      </c>
      <c r="I7" s="145">
        <f>'الفحوصات المخبرية'!I96</f>
        <v>0</v>
      </c>
      <c r="J7" s="49">
        <f>'الفحوصات المخبرية'!J96</f>
        <v>864</v>
      </c>
      <c r="K7" s="50">
        <f>'الفحوصات المخبرية'!K96</f>
        <v>1023</v>
      </c>
      <c r="L7" s="63">
        <f>'الفحوصات المخبرية'!L96</f>
        <v>1483</v>
      </c>
      <c r="M7" s="48">
        <f>'الفحوصات المخبرية'!M96</f>
        <v>696</v>
      </c>
      <c r="N7" s="146">
        <f>'الفحوصات المخبرية'!N96</f>
        <v>0</v>
      </c>
      <c r="O7" s="75">
        <f>'الفحوصات المخبرية'!O96</f>
        <v>130</v>
      </c>
      <c r="P7" s="65">
        <f>'الفحوصات المخبرية'!P96</f>
        <v>0</v>
      </c>
      <c r="Q7" s="60">
        <f>SUM(D7:P7)</f>
        <v>6680</v>
      </c>
      <c r="R7" s="62"/>
      <c r="S7" s="297" t="s">
        <v>45</v>
      </c>
      <c r="T7" s="406" t="s">
        <v>9</v>
      </c>
      <c r="U7" s="69" t="s">
        <v>24</v>
      </c>
      <c r="V7" s="48">
        <f>'الفحوصات المخبرية'!V96</f>
        <v>915</v>
      </c>
      <c r="W7" s="63">
        <f>'الفحوصات المخبرية'!W96</f>
        <v>5</v>
      </c>
      <c r="X7" s="48">
        <f>'الفحوصات المخبرية'!X96</f>
        <v>11</v>
      </c>
      <c r="Y7" s="51">
        <f>'الفحوصات المخبرية'!Y96</f>
        <v>367</v>
      </c>
      <c r="Z7" s="51">
        <f>'الفحوصات المخبرية'!Z96</f>
        <v>88</v>
      </c>
      <c r="AA7" s="145">
        <f>'الفحوصات المخبرية'!AA96</f>
        <v>0</v>
      </c>
      <c r="AB7" s="49">
        <f>'الفحوصات المخبرية'!AB96</f>
        <v>1193</v>
      </c>
      <c r="AC7" s="50">
        <f>'الفحوصات المخبرية'!AC96</f>
        <v>1028</v>
      </c>
      <c r="AD7" s="63">
        <f>'الفحوصات المخبرية'!AD96</f>
        <v>1414</v>
      </c>
      <c r="AE7" s="48">
        <f>'الفحوصات المخبرية'!AE96</f>
        <v>481</v>
      </c>
      <c r="AF7" s="146">
        <f>'الفحوصات المخبرية'!AF96</f>
        <v>0</v>
      </c>
      <c r="AG7" s="75">
        <f>'الفحوصات المخبرية'!AG96</f>
        <v>140</v>
      </c>
      <c r="AH7" s="65">
        <f>'الفحوصات المخبرية'!AH96</f>
        <v>0</v>
      </c>
      <c r="AI7" s="60">
        <f>SUM(V7:AH7)</f>
        <v>5642</v>
      </c>
      <c r="AJ7" s="62"/>
      <c r="AK7" s="297" t="s">
        <v>45</v>
      </c>
      <c r="AL7" s="406" t="s">
        <v>9</v>
      </c>
      <c r="AM7" s="69" t="s">
        <v>24</v>
      </c>
      <c r="AN7" s="48">
        <f>'الفحوصات المخبرية'!AN96</f>
        <v>947</v>
      </c>
      <c r="AO7" s="63">
        <f>'الفحوصات المخبرية'!AO96</f>
        <v>29</v>
      </c>
      <c r="AP7" s="48">
        <f>'الفحوصات المخبرية'!AP96</f>
        <v>78</v>
      </c>
      <c r="AQ7" s="51">
        <f>'الفحوصات المخبرية'!AQ96</f>
        <v>336</v>
      </c>
      <c r="AR7" s="51">
        <f>'الفحوصات المخبرية'!AR96</f>
        <v>73</v>
      </c>
      <c r="AS7" s="145">
        <f>'الفحوصات المخبرية'!AS96</f>
        <v>0</v>
      </c>
      <c r="AT7" s="49">
        <f>'الفحوصات المخبرية'!AT96</f>
        <v>1010</v>
      </c>
      <c r="AU7" s="50">
        <f>'الفحوصات المخبرية'!AU96</f>
        <v>1088</v>
      </c>
      <c r="AV7" s="63">
        <f>'الفحوصات المخبرية'!AV96</f>
        <v>1273</v>
      </c>
      <c r="AW7" s="48">
        <f>'الفحوصات المخبرية'!AW96</f>
        <v>465</v>
      </c>
      <c r="AX7" s="146">
        <f>'الفحوصات المخبرية'!AX96</f>
        <v>0</v>
      </c>
      <c r="AY7" s="75">
        <f>'الفحوصات المخبرية'!AY96</f>
        <v>124</v>
      </c>
      <c r="AZ7" s="65">
        <f>'الفحوصات المخبرية'!AZ96</f>
        <v>2</v>
      </c>
      <c r="BA7" s="60">
        <f>SUM(AN7:AZ7)</f>
        <v>5425</v>
      </c>
      <c r="BB7" s="62"/>
      <c r="BC7" s="297" t="s">
        <v>45</v>
      </c>
      <c r="BD7" s="406" t="s">
        <v>9</v>
      </c>
      <c r="BE7" s="69" t="s">
        <v>24</v>
      </c>
      <c r="BF7" s="48">
        <f>'الفحوصات المخبرية'!BF96</f>
        <v>795</v>
      </c>
      <c r="BG7" s="63">
        <f>'الفحوصات المخبرية'!BG96</f>
        <v>7</v>
      </c>
      <c r="BH7" s="48">
        <f>'الفحوصات المخبرية'!BH96</f>
        <v>17</v>
      </c>
      <c r="BI7" s="51">
        <f>'الفحوصات المخبرية'!BI96</f>
        <v>181</v>
      </c>
      <c r="BJ7" s="51">
        <f>'الفحوصات المخبرية'!BJ96</f>
        <v>266</v>
      </c>
      <c r="BK7" s="145">
        <f>'الفحوصات المخبرية'!BK96</f>
        <v>0</v>
      </c>
      <c r="BL7" s="49">
        <f>'الفحوصات المخبرية'!BL96</f>
        <v>572</v>
      </c>
      <c r="BM7" s="50">
        <f>'الفحوصات المخبرية'!BM96</f>
        <v>987</v>
      </c>
      <c r="BN7" s="63">
        <f>'الفحوصات المخبرية'!BN96</f>
        <v>1119</v>
      </c>
      <c r="BO7" s="48">
        <f>'الفحوصات المخبرية'!BO96</f>
        <v>325</v>
      </c>
      <c r="BP7" s="146">
        <f>'الفحوصات المخبرية'!BP96</f>
        <v>0</v>
      </c>
      <c r="BQ7" s="75">
        <f>'الفحوصات المخبرية'!BQ96</f>
        <v>97</v>
      </c>
      <c r="BR7" s="65">
        <f>'الفحوصات المخبرية'!BR96</f>
        <v>0</v>
      </c>
      <c r="BS7" s="60">
        <f>SUM(BF7:BR7)</f>
        <v>4366</v>
      </c>
      <c r="BT7" s="62"/>
      <c r="BU7" s="297" t="s">
        <v>45</v>
      </c>
      <c r="BV7" s="406" t="s">
        <v>9</v>
      </c>
      <c r="BW7" s="69" t="s">
        <v>24</v>
      </c>
      <c r="BX7" s="48">
        <f>'الفحوصات المخبرية'!BX96</f>
        <v>1452</v>
      </c>
      <c r="BY7" s="63">
        <f>'الفحوصات المخبرية'!BY96</f>
        <v>25</v>
      </c>
      <c r="BZ7" s="48">
        <f>'الفحوصات المخبرية'!BZ96</f>
        <v>100</v>
      </c>
      <c r="CA7" s="51">
        <f>'الفحوصات المخبرية'!CA96</f>
        <v>318</v>
      </c>
      <c r="CB7" s="51">
        <f>'الفحوصات المخبرية'!CB96</f>
        <v>163</v>
      </c>
      <c r="CC7" s="145">
        <f>'الفحوصات المخبرية'!CC96</f>
        <v>0</v>
      </c>
      <c r="CD7" s="49">
        <f>'الفحوصات المخبرية'!CD96</f>
        <v>982</v>
      </c>
      <c r="CE7" s="50">
        <f>'الفحوصات المخبرية'!CE96</f>
        <v>2033</v>
      </c>
      <c r="CF7" s="63">
        <f>'الفحوصات المخبرية'!CF96</f>
        <v>1010</v>
      </c>
      <c r="CG7" s="48">
        <f>'الفحوصات المخبرية'!CG96</f>
        <v>560</v>
      </c>
      <c r="CH7" s="146">
        <f>'الفحوصات المخبرية'!CH96</f>
        <v>0</v>
      </c>
      <c r="CI7" s="75">
        <f>'الفحوصات المخبرية'!CI96</f>
        <v>93</v>
      </c>
      <c r="CJ7" s="65">
        <f>'الفحوصات المخبرية'!CJ96</f>
        <v>0</v>
      </c>
      <c r="CK7" s="60">
        <f>SUM(BX7:CJ7)</f>
        <v>6736</v>
      </c>
      <c r="CL7" s="62"/>
      <c r="CM7" s="297" t="s">
        <v>45</v>
      </c>
      <c r="CN7" s="406" t="s">
        <v>9</v>
      </c>
      <c r="CO7" s="69" t="s">
        <v>24</v>
      </c>
      <c r="CP7" s="48">
        <f>'الفحوصات المخبرية'!CP96</f>
        <v>1828</v>
      </c>
      <c r="CQ7" s="63">
        <f>'الفحوصات المخبرية'!CQ96</f>
        <v>11</v>
      </c>
      <c r="CR7" s="48">
        <f>'الفحوصات المخبرية'!CR96</f>
        <v>69</v>
      </c>
      <c r="CS7" s="51">
        <f>'الفحوصات المخبرية'!CS96</f>
        <v>318</v>
      </c>
      <c r="CT7" s="51">
        <f>'الفحوصات المخبرية'!CT96</f>
        <v>182</v>
      </c>
      <c r="CU7" s="145">
        <f>'الفحوصات المخبرية'!CU96</f>
        <v>0</v>
      </c>
      <c r="CV7" s="49">
        <f>'الفحوصات المخبرية'!CV96</f>
        <v>2420</v>
      </c>
      <c r="CW7" s="50">
        <f>'الفحوصات المخبرية'!CW96</f>
        <v>2426</v>
      </c>
      <c r="CX7" s="63">
        <f>'الفحوصات المخبرية'!CX96</f>
        <v>1009</v>
      </c>
      <c r="CY7" s="48">
        <f>'الفحوصات المخبرية'!CY96</f>
        <v>843</v>
      </c>
      <c r="CZ7" s="146">
        <f>'الفحوصات المخبرية'!CZ96</f>
        <v>0</v>
      </c>
      <c r="DA7" s="75">
        <f>'الفحوصات المخبرية'!DA96</f>
        <v>269</v>
      </c>
      <c r="DB7" s="65">
        <f>'الفحوصات المخبرية'!DB96</f>
        <v>2</v>
      </c>
      <c r="DC7" s="60">
        <f>SUM(CP7:DB7)</f>
        <v>9377</v>
      </c>
      <c r="DD7" s="62"/>
      <c r="DE7" s="297" t="s">
        <v>45</v>
      </c>
      <c r="DF7" s="406" t="s">
        <v>9</v>
      </c>
      <c r="DG7" s="69" t="s">
        <v>24</v>
      </c>
      <c r="DH7" s="48">
        <f>'الفحوصات المخبرية'!DH96</f>
        <v>1520</v>
      </c>
      <c r="DI7" s="63">
        <f>'الفحوصات المخبرية'!DI96</f>
        <v>13</v>
      </c>
      <c r="DJ7" s="48">
        <f>'الفحوصات المخبرية'!DJ96</f>
        <v>30</v>
      </c>
      <c r="DK7" s="51">
        <f>'الفحوصات المخبرية'!DK96</f>
        <v>432</v>
      </c>
      <c r="DL7" s="51">
        <f>'الفحوصات المخبرية'!DL96</f>
        <v>109</v>
      </c>
      <c r="DM7" s="145">
        <f>'الفحوصات المخبرية'!DM96</f>
        <v>0</v>
      </c>
      <c r="DN7" s="49">
        <f>'الفحوصات المخبرية'!DN96</f>
        <v>1224</v>
      </c>
      <c r="DO7" s="50">
        <f>'الفحوصات المخبرية'!DO96</f>
        <v>1264</v>
      </c>
      <c r="DP7" s="63">
        <f>'الفحوصات المخبرية'!DP96</f>
        <v>1533</v>
      </c>
      <c r="DQ7" s="48">
        <f>'الفحوصات المخبرية'!DQ96</f>
        <v>521</v>
      </c>
      <c r="DR7" s="146">
        <f>'الفحوصات المخبرية'!DR96</f>
        <v>0</v>
      </c>
      <c r="DS7" s="75">
        <f>'الفحوصات المخبرية'!DS96</f>
        <v>145</v>
      </c>
      <c r="DT7" s="65">
        <f>'الفحوصات المخبرية'!DT96</f>
        <v>0</v>
      </c>
      <c r="DU7" s="60">
        <f>SUM(DH7:DT7)</f>
        <v>6791</v>
      </c>
      <c r="DV7" s="62"/>
      <c r="DW7" s="297" t="s">
        <v>45</v>
      </c>
      <c r="DX7" s="406" t="s">
        <v>9</v>
      </c>
      <c r="DY7" s="69" t="s">
        <v>24</v>
      </c>
      <c r="DZ7" s="48">
        <f>'الفحوصات المخبرية'!DZ96</f>
        <v>1784</v>
      </c>
      <c r="EA7" s="63">
        <f>'الفحوصات المخبرية'!EA96</f>
        <v>7</v>
      </c>
      <c r="EB7" s="48">
        <f>'الفحوصات المخبرية'!EB96</f>
        <v>69</v>
      </c>
      <c r="EC7" s="51">
        <f>'الفحوصات المخبرية'!EC96</f>
        <v>317</v>
      </c>
      <c r="ED7" s="51">
        <f>'الفحوصات المخبرية'!ED96</f>
        <v>182</v>
      </c>
      <c r="EE7" s="145">
        <f>'الفحوصات المخبرية'!EE96</f>
        <v>0</v>
      </c>
      <c r="EF7" s="49">
        <f>'الفحوصات المخبرية'!EF96</f>
        <v>2225</v>
      </c>
      <c r="EG7" s="50">
        <f>'الفحوصات المخبرية'!EG96</f>
        <v>2455</v>
      </c>
      <c r="EH7" s="63">
        <f>'الفحوصات المخبرية'!EH96</f>
        <v>923</v>
      </c>
      <c r="EI7" s="48">
        <f>'الفحوصات المخبرية'!EI96</f>
        <v>878</v>
      </c>
      <c r="EJ7" s="146">
        <f>'الفحوصات المخبرية'!EJ96</f>
        <v>0</v>
      </c>
      <c r="EK7" s="75">
        <f>'الفحوصات المخبرية'!EK96</f>
        <v>262</v>
      </c>
      <c r="EL7" s="65">
        <f>'الفحوصات المخبرية'!EL96</f>
        <v>2</v>
      </c>
      <c r="EM7" s="60">
        <f>SUM(DZ7:EL7)</f>
        <v>9104</v>
      </c>
      <c r="EN7" s="62"/>
      <c r="EO7" s="297" t="s">
        <v>45</v>
      </c>
      <c r="EP7" s="406" t="s">
        <v>9</v>
      </c>
      <c r="EQ7" s="69" t="s">
        <v>24</v>
      </c>
      <c r="ER7" s="48">
        <f>'الفحوصات المخبرية'!ER96</f>
        <v>720</v>
      </c>
      <c r="ES7" s="63">
        <f>'الفحوصات المخبرية'!ES96</f>
        <v>16</v>
      </c>
      <c r="ET7" s="48">
        <f>'الفحوصات المخبرية'!ET96</f>
        <v>52</v>
      </c>
      <c r="EU7" s="51">
        <f>'الفحوصات المخبرية'!EU96</f>
        <v>487</v>
      </c>
      <c r="EV7" s="51">
        <f>'الفحوصات المخبرية'!EV96</f>
        <v>100</v>
      </c>
      <c r="EW7" s="145">
        <f>'الفحوصات المخبرية'!EW96</f>
        <v>0</v>
      </c>
      <c r="EX7" s="49">
        <f>'الفحوصات المخبرية'!EX96</f>
        <v>587</v>
      </c>
      <c r="EY7" s="50">
        <f>'الفحوصات المخبرية'!EY96</f>
        <v>1211</v>
      </c>
      <c r="EZ7" s="63">
        <f>'الفحوصات المخبرية'!EZ96</f>
        <v>494</v>
      </c>
      <c r="FA7" s="48">
        <f>'الفحوصات المخبرية'!FA96</f>
        <v>324</v>
      </c>
      <c r="FB7" s="146">
        <f>'الفحوصات المخبرية'!FB96</f>
        <v>0</v>
      </c>
      <c r="FC7" s="75">
        <f>'الفحوصات المخبرية'!FC96</f>
        <v>95</v>
      </c>
      <c r="FD7" s="65">
        <f>'الفحوصات المخبرية'!FD96</f>
        <v>0</v>
      </c>
      <c r="FE7" s="60">
        <f>SUM(ER7:FD7)</f>
        <v>4086</v>
      </c>
      <c r="FF7" s="62"/>
      <c r="FG7" s="297" t="s">
        <v>45</v>
      </c>
      <c r="FH7" s="406" t="s">
        <v>9</v>
      </c>
      <c r="FI7" s="69" t="s">
        <v>24</v>
      </c>
      <c r="FJ7" s="48">
        <f>'الفحوصات المخبرية'!FJ96</f>
        <v>1521</v>
      </c>
      <c r="FK7" s="63">
        <f>'الفحوصات المخبرية'!FK96</f>
        <v>19</v>
      </c>
      <c r="FL7" s="48">
        <f>'الفحوصات المخبرية'!FL96</f>
        <v>53</v>
      </c>
      <c r="FM7" s="51">
        <f>'الفحوصات المخبرية'!FM96</f>
        <v>438</v>
      </c>
      <c r="FN7" s="51">
        <f>'الفحوصات المخبرية'!FN96</f>
        <v>54</v>
      </c>
      <c r="FO7" s="145">
        <f>'الفحوصات المخبرية'!FO96</f>
        <v>0</v>
      </c>
      <c r="FP7" s="49">
        <f>'الفحوصات المخبرية'!FP96</f>
        <v>731</v>
      </c>
      <c r="FQ7" s="50">
        <f>'الفحوصات المخبرية'!FQ96</f>
        <v>1341</v>
      </c>
      <c r="FR7" s="63">
        <f>'الفحوصات المخبرية'!FR96</f>
        <v>888</v>
      </c>
      <c r="FS7" s="48">
        <f>'الفحوصات المخبرية'!FS96</f>
        <v>488</v>
      </c>
      <c r="FT7" s="146">
        <f>'الفحوصات المخبرية'!FT96</f>
        <v>0</v>
      </c>
      <c r="FU7" s="75">
        <f>'الفحوصات المخبرية'!FU96</f>
        <v>147</v>
      </c>
      <c r="FV7" s="65">
        <f>'الفحوصات المخبرية'!FV96</f>
        <v>0</v>
      </c>
      <c r="FW7" s="60">
        <f>SUM(FJ7:FV7)</f>
        <v>5680</v>
      </c>
      <c r="FX7" s="62"/>
      <c r="FY7" s="297" t="s">
        <v>45</v>
      </c>
      <c r="FZ7" s="406" t="s">
        <v>9</v>
      </c>
      <c r="GA7" s="69" t="s">
        <v>24</v>
      </c>
      <c r="GB7" s="48">
        <f>'الفحوصات المخبرية'!GB96</f>
        <v>0</v>
      </c>
      <c r="GC7" s="63">
        <f>'الفحوصات المخبرية'!GC96</f>
        <v>0</v>
      </c>
      <c r="GD7" s="48">
        <f>'الفحوصات المخبرية'!GD96</f>
        <v>0</v>
      </c>
      <c r="GE7" s="51">
        <f>'الفحوصات المخبرية'!GE96</f>
        <v>0</v>
      </c>
      <c r="GF7" s="51">
        <f>'الفحوصات المخبرية'!GF96</f>
        <v>0</v>
      </c>
      <c r="GG7" s="145">
        <f>'الفحوصات المخبرية'!GG96</f>
        <v>0</v>
      </c>
      <c r="GH7" s="49">
        <f>'الفحوصات المخبرية'!GH96</f>
        <v>0</v>
      </c>
      <c r="GI7" s="50">
        <f>'الفحوصات المخبرية'!GI96</f>
        <v>0</v>
      </c>
      <c r="GJ7" s="63">
        <f>'الفحوصات المخبرية'!GJ96</f>
        <v>0</v>
      </c>
      <c r="GK7" s="48">
        <f>'الفحوصات المخبرية'!GK96</f>
        <v>0</v>
      </c>
      <c r="GL7" s="146">
        <f>'الفحوصات المخبرية'!GL96</f>
        <v>0</v>
      </c>
      <c r="GM7" s="75">
        <f>'الفحوصات المخبرية'!GM96</f>
        <v>0</v>
      </c>
      <c r="GN7" s="65">
        <f>'الفحوصات المخبرية'!GN96</f>
        <v>0</v>
      </c>
      <c r="GO7" s="60">
        <f>SUM(GB7:GN7)</f>
        <v>0</v>
      </c>
      <c r="GP7" s="62"/>
      <c r="GQ7" s="297" t="s">
        <v>45</v>
      </c>
      <c r="GR7" s="406" t="s">
        <v>9</v>
      </c>
      <c r="GS7" s="69" t="s">
        <v>24</v>
      </c>
      <c r="GT7" s="48">
        <f>'الفحوصات المخبرية'!GT96</f>
        <v>0</v>
      </c>
      <c r="GU7" s="63">
        <f>'الفحوصات المخبرية'!GU96</f>
        <v>0</v>
      </c>
      <c r="GV7" s="48">
        <f>'الفحوصات المخبرية'!GV96</f>
        <v>0</v>
      </c>
      <c r="GW7" s="51">
        <f>'الفحوصات المخبرية'!GW96</f>
        <v>0</v>
      </c>
      <c r="GX7" s="51">
        <f>'الفحوصات المخبرية'!GX96</f>
        <v>0</v>
      </c>
      <c r="GY7" s="145">
        <f>'الفحوصات المخبرية'!GY96</f>
        <v>0</v>
      </c>
      <c r="GZ7" s="49">
        <f>'الفحوصات المخبرية'!GZ96</f>
        <v>0</v>
      </c>
      <c r="HA7" s="50">
        <f>'الفحوصات المخبرية'!HA96</f>
        <v>0</v>
      </c>
      <c r="HB7" s="63">
        <f>'الفحوصات المخبرية'!HB96</f>
        <v>0</v>
      </c>
      <c r="HC7" s="48">
        <f>'الفحوصات المخبرية'!HC96</f>
        <v>0</v>
      </c>
      <c r="HD7" s="146">
        <f>'الفحوصات المخبرية'!HD96</f>
        <v>0</v>
      </c>
      <c r="HE7" s="75">
        <f>'الفحوصات المخبرية'!HE96</f>
        <v>0</v>
      </c>
      <c r="HF7" s="65">
        <f>'الفحوصات المخبرية'!HF96</f>
        <v>0</v>
      </c>
      <c r="HG7" s="60">
        <f>SUM(GT7:HF7)</f>
        <v>0</v>
      </c>
      <c r="HH7" s="62"/>
      <c r="HI7" s="297" t="s">
        <v>45</v>
      </c>
      <c r="HJ7" s="406" t="s">
        <v>9</v>
      </c>
      <c r="HK7" s="69" t="s">
        <v>24</v>
      </c>
      <c r="HL7" s="48">
        <f>SUM('الفحوصات المخبرية'!HL96)</f>
        <v>13399</v>
      </c>
      <c r="HM7" s="49">
        <f>SUM('الفحوصات المخبرية'!HM96)</f>
        <v>145</v>
      </c>
      <c r="HN7" s="50">
        <f>SUM('الفحوصات المخبرية'!HN96)</f>
        <v>526</v>
      </c>
      <c r="HO7" s="51">
        <f>SUM('الفحوصات المخبرية'!HO96)</f>
        <v>3635</v>
      </c>
      <c r="HP7" s="51">
        <f>SUM('الفحوصات المخبرية'!HP96)</f>
        <v>1283</v>
      </c>
      <c r="HQ7" s="73">
        <f>SUM('الفحوصات المخبرية'!HQ96)</f>
        <v>0</v>
      </c>
      <c r="HR7" s="49">
        <f>SUM('الفحوصات المخبرية'!HR96)</f>
        <v>11808</v>
      </c>
      <c r="HS7" s="50">
        <f>SUM('الفحوصات المخبرية'!HS96)</f>
        <v>14856</v>
      </c>
      <c r="HT7" s="49">
        <f>SUM('الفحوصات المخبرية'!HT96)</f>
        <v>11146</v>
      </c>
      <c r="HU7" s="50">
        <f>SUM('الفحوصات المخبرية'!HU96)</f>
        <v>5581</v>
      </c>
      <c r="HV7" s="74">
        <f>SUM('الفحوصات المخبرية'!HV96)</f>
        <v>0</v>
      </c>
      <c r="HW7" s="52">
        <f>SUM('الفحوصات المخبرية'!HW96)</f>
        <v>1502</v>
      </c>
      <c r="HX7" s="52">
        <f>SUM('الفحوصات المخبرية'!HX96)</f>
        <v>6</v>
      </c>
      <c r="HY7" s="60">
        <f>SUM(HL7:HX7)</f>
        <v>63887</v>
      </c>
      <c r="HZ7" s="62"/>
    </row>
    <row r="8" spans="1:234" ht="18.75" thickBot="1" x14ac:dyDescent="0.25">
      <c r="A8" s="298"/>
      <c r="B8" s="407"/>
      <c r="C8" s="70" t="s">
        <v>25</v>
      </c>
      <c r="D8" s="53">
        <f>'الفحوصات المخبرية'!D97</f>
        <v>2260</v>
      </c>
      <c r="E8" s="64">
        <f>'الفحوصات المخبرية'!E97</f>
        <v>21</v>
      </c>
      <c r="F8" s="53">
        <f>'الفحوصات المخبرية'!F97</f>
        <v>204</v>
      </c>
      <c r="G8" s="56">
        <f>'الفحوصات المخبرية'!G97</f>
        <v>487</v>
      </c>
      <c r="H8" s="56">
        <f>'الفحوصات المخبرية'!H97</f>
        <v>141</v>
      </c>
      <c r="I8" s="56">
        <f>'الفحوصات المخبرية'!I97</f>
        <v>0</v>
      </c>
      <c r="J8" s="54">
        <f>'الفحوصات المخبرية'!J97</f>
        <v>1021</v>
      </c>
      <c r="K8" s="55">
        <f>'الفحوصات المخبرية'!K97</f>
        <v>1115</v>
      </c>
      <c r="L8" s="64">
        <f>'الفحوصات المخبرية'!L97</f>
        <v>3005</v>
      </c>
      <c r="M8" s="53">
        <f>'الفحوصات المخبرية'!M97</f>
        <v>1011</v>
      </c>
      <c r="N8" s="54">
        <f>'الفحوصات المخبرية'!N97</f>
        <v>160</v>
      </c>
      <c r="O8" s="76">
        <f>'الفحوصات المخبرية'!O97</f>
        <v>114</v>
      </c>
      <c r="P8" s="66">
        <f>'الفحوصات المخبرية'!P97</f>
        <v>0</v>
      </c>
      <c r="Q8" s="61">
        <f>SUM(D8:P8)</f>
        <v>9539</v>
      </c>
      <c r="R8" s="62"/>
      <c r="S8" s="298"/>
      <c r="T8" s="407"/>
      <c r="U8" s="70" t="s">
        <v>25</v>
      </c>
      <c r="V8" s="53">
        <f>'الفحوصات المخبرية'!V97</f>
        <v>1125</v>
      </c>
      <c r="W8" s="64">
        <f>'الفحوصات المخبرية'!W97</f>
        <v>17</v>
      </c>
      <c r="X8" s="53">
        <f>'الفحوصات المخبرية'!X97</f>
        <v>62</v>
      </c>
      <c r="Y8" s="56">
        <f>'الفحوصات المخبرية'!Y97</f>
        <v>365</v>
      </c>
      <c r="Z8" s="56">
        <f>'الفحوصات المخبرية'!Z97</f>
        <v>307</v>
      </c>
      <c r="AA8" s="56">
        <f>'الفحوصات المخبرية'!AA97</f>
        <v>0</v>
      </c>
      <c r="AB8" s="54">
        <f>'الفحوصات المخبرية'!AB97</f>
        <v>321</v>
      </c>
      <c r="AC8" s="55">
        <f>'الفحوصات المخبرية'!AC97</f>
        <v>1160</v>
      </c>
      <c r="AD8" s="64">
        <f>'الفحوصات المخبرية'!AD97</f>
        <v>2427</v>
      </c>
      <c r="AE8" s="53">
        <f>'الفحوصات المخبرية'!AE97</f>
        <v>549</v>
      </c>
      <c r="AF8" s="54">
        <f>'الفحوصات المخبرية'!AF97</f>
        <v>169</v>
      </c>
      <c r="AG8" s="76">
        <f>'الفحوصات المخبرية'!AG97</f>
        <v>142</v>
      </c>
      <c r="AH8" s="66">
        <f>'الفحوصات المخبرية'!AH97</f>
        <v>0</v>
      </c>
      <c r="AI8" s="61">
        <f>SUM(V8:AH8)</f>
        <v>6644</v>
      </c>
      <c r="AJ8" s="62"/>
      <c r="AK8" s="298"/>
      <c r="AL8" s="407"/>
      <c r="AM8" s="70" t="s">
        <v>25</v>
      </c>
      <c r="AN8" s="53">
        <f>'الفحوصات المخبرية'!AN97</f>
        <v>1473</v>
      </c>
      <c r="AO8" s="64">
        <f>'الفحوصات المخبرية'!AO97</f>
        <v>35</v>
      </c>
      <c r="AP8" s="53">
        <f>'الفحوصات المخبرية'!AP97</f>
        <v>243</v>
      </c>
      <c r="AQ8" s="56">
        <f>'الفحوصات المخبرية'!AQ97</f>
        <v>367</v>
      </c>
      <c r="AR8" s="56">
        <f>'الفحوصات المخبرية'!AR97</f>
        <v>212</v>
      </c>
      <c r="AS8" s="56">
        <f>'الفحوصات المخبرية'!AS97</f>
        <v>26</v>
      </c>
      <c r="AT8" s="54">
        <f>'الفحوصات المخبرية'!AT97</f>
        <v>1761</v>
      </c>
      <c r="AU8" s="55">
        <f>'الفحوصات المخبرية'!AU97</f>
        <v>1292</v>
      </c>
      <c r="AV8" s="64">
        <f>'الفحوصات المخبرية'!AV97</f>
        <v>1054</v>
      </c>
      <c r="AW8" s="53">
        <f>'الفحوصات المخبرية'!AW97</f>
        <v>855</v>
      </c>
      <c r="AX8" s="54">
        <f>'الفحوصات المخبرية'!AX97</f>
        <v>138</v>
      </c>
      <c r="AY8" s="76">
        <f>'الفحوصات المخبرية'!AY97</f>
        <v>148</v>
      </c>
      <c r="AZ8" s="66">
        <f>'الفحوصات المخبرية'!AZ97</f>
        <v>5</v>
      </c>
      <c r="BA8" s="61">
        <f>SUM(AN8:AZ8)</f>
        <v>7609</v>
      </c>
      <c r="BB8" s="62"/>
      <c r="BC8" s="298"/>
      <c r="BD8" s="407"/>
      <c r="BE8" s="70" t="s">
        <v>25</v>
      </c>
      <c r="BF8" s="53">
        <f>'الفحوصات المخبرية'!BF97</f>
        <v>1097</v>
      </c>
      <c r="BG8" s="64">
        <f>'الفحوصات المخبرية'!BG97</f>
        <v>13</v>
      </c>
      <c r="BH8" s="53">
        <f>'الفحوصات المخبرية'!BH97</f>
        <v>96</v>
      </c>
      <c r="BI8" s="56">
        <f>'الفحوصات المخبرية'!BI97</f>
        <v>212</v>
      </c>
      <c r="BJ8" s="56">
        <f>'الفحوصات المخبرية'!BJ97</f>
        <v>459</v>
      </c>
      <c r="BK8" s="56">
        <f>'الفحوصات المخبرية'!BK97</f>
        <v>2</v>
      </c>
      <c r="BL8" s="54">
        <f>'الفحوصات المخبرية'!BL97</f>
        <v>717</v>
      </c>
      <c r="BM8" s="55">
        <f>'الفحوصات المخبرية'!BM97</f>
        <v>1207</v>
      </c>
      <c r="BN8" s="64">
        <f>'الفحوصات المخبرية'!BN97</f>
        <v>1542</v>
      </c>
      <c r="BO8" s="53">
        <f>'الفحوصات المخبرية'!BO97</f>
        <v>365</v>
      </c>
      <c r="BP8" s="54">
        <f>'الفحوصات المخبرية'!BP97</f>
        <v>132</v>
      </c>
      <c r="BQ8" s="76">
        <f>'الفحوصات المخبرية'!BQ97</f>
        <v>159</v>
      </c>
      <c r="BR8" s="66">
        <f>'الفحوصات المخبرية'!BR97</f>
        <v>0</v>
      </c>
      <c r="BS8" s="61">
        <f>SUM(BF8:BR8)</f>
        <v>6001</v>
      </c>
      <c r="BT8" s="62"/>
      <c r="BU8" s="298"/>
      <c r="BV8" s="407"/>
      <c r="BW8" s="70" t="s">
        <v>25</v>
      </c>
      <c r="BX8" s="53">
        <f>'الفحوصات المخبرية'!BX97</f>
        <v>1467</v>
      </c>
      <c r="BY8" s="64">
        <f>'الفحوصات المخبرية'!BY97</f>
        <v>24</v>
      </c>
      <c r="BZ8" s="53">
        <f>'الفحوصات المخبرية'!BZ97</f>
        <v>309</v>
      </c>
      <c r="CA8" s="56">
        <f>'الفحوصات المخبرية'!CA97</f>
        <v>427</v>
      </c>
      <c r="CB8" s="56">
        <f>'الفحوصات المخبرية'!CB97</f>
        <v>274</v>
      </c>
      <c r="CC8" s="56">
        <f>'الفحوصات المخبرية'!CC97</f>
        <v>63</v>
      </c>
      <c r="CD8" s="54">
        <f>'الفحوصات المخبرية'!CD97</f>
        <v>1133</v>
      </c>
      <c r="CE8" s="55">
        <f>'الفحوصات المخبرية'!CE97</f>
        <v>2208</v>
      </c>
      <c r="CF8" s="64">
        <f>'الفحوصات المخبرية'!CF97</f>
        <v>1374</v>
      </c>
      <c r="CG8" s="53">
        <f>'الفحوصات المخبرية'!CG97</f>
        <v>901</v>
      </c>
      <c r="CH8" s="54">
        <f>'الفحوصات المخبرية'!CH97</f>
        <v>275</v>
      </c>
      <c r="CI8" s="76">
        <f>'الفحوصات المخبرية'!CI97</f>
        <v>78</v>
      </c>
      <c r="CJ8" s="66">
        <f>'الفحوصات المخبرية'!CJ97</f>
        <v>0</v>
      </c>
      <c r="CK8" s="61">
        <f>SUM(BX8:CJ8)</f>
        <v>8533</v>
      </c>
      <c r="CL8" s="62"/>
      <c r="CM8" s="298"/>
      <c r="CN8" s="407"/>
      <c r="CO8" s="70" t="s">
        <v>25</v>
      </c>
      <c r="CP8" s="53">
        <f>'الفحوصات المخبرية'!CP97</f>
        <v>2621</v>
      </c>
      <c r="CQ8" s="64">
        <f>'الفحوصات المخبرية'!CQ97</f>
        <v>21</v>
      </c>
      <c r="CR8" s="53">
        <f>'الفحوصات المخبرية'!CR97</f>
        <v>205</v>
      </c>
      <c r="CS8" s="56">
        <f>'الفحوصات المخبرية'!CS97</f>
        <v>408</v>
      </c>
      <c r="CT8" s="56">
        <f>'الفحوصات المخبرية'!CT97</f>
        <v>340</v>
      </c>
      <c r="CU8" s="56">
        <f>'الفحوصات المخبرية'!CU97</f>
        <v>72</v>
      </c>
      <c r="CV8" s="54">
        <f>'الفحوصات المخبرية'!CV97</f>
        <v>4070</v>
      </c>
      <c r="CW8" s="55">
        <f>'الفحوصات المخبرية'!CW97</f>
        <v>2646</v>
      </c>
      <c r="CX8" s="64">
        <f>'الفحوصات المخبرية'!CX97</f>
        <v>1308</v>
      </c>
      <c r="CY8" s="53">
        <f>'الفحوصات المخبرية'!CY97</f>
        <v>1024</v>
      </c>
      <c r="CZ8" s="54">
        <f>'الفحوصات المخبرية'!CZ97</f>
        <v>383</v>
      </c>
      <c r="DA8" s="76">
        <f>'الفحوصات المخبرية'!DA97</f>
        <v>198</v>
      </c>
      <c r="DB8" s="66">
        <f>'الفحوصات المخبرية'!DB97</f>
        <v>5</v>
      </c>
      <c r="DC8" s="61">
        <f>SUM(CP8:DB8)</f>
        <v>13301</v>
      </c>
      <c r="DD8" s="62"/>
      <c r="DE8" s="298"/>
      <c r="DF8" s="407"/>
      <c r="DG8" s="70" t="s">
        <v>25</v>
      </c>
      <c r="DH8" s="53">
        <f>'الفحوصات المخبرية'!DH97</f>
        <v>2054</v>
      </c>
      <c r="DI8" s="64">
        <f>'الفحوصات المخبرية'!DI97</f>
        <v>20</v>
      </c>
      <c r="DJ8" s="53">
        <f>'الفحوصات المخبرية'!DJ97</f>
        <v>68</v>
      </c>
      <c r="DK8" s="56">
        <f>'الفحوصات المخبرية'!DK97</f>
        <v>466</v>
      </c>
      <c r="DL8" s="56">
        <f>'الفحوصات المخبرية'!DL97</f>
        <v>321</v>
      </c>
      <c r="DM8" s="56">
        <f>'الفحوصات المخبرية'!DM97</f>
        <v>0</v>
      </c>
      <c r="DN8" s="54">
        <f>'الفحوصات المخبرية'!DN97</f>
        <v>317</v>
      </c>
      <c r="DO8" s="55">
        <f>'الفحوصات المخبرية'!DO97</f>
        <v>1565</v>
      </c>
      <c r="DP8" s="64">
        <f>'الفحوصات المخبرية'!DP97</f>
        <v>2722</v>
      </c>
      <c r="DQ8" s="53">
        <f>'الفحوصات المخبرية'!DQ97</f>
        <v>656</v>
      </c>
      <c r="DR8" s="54">
        <f>'الفحوصات المخبرية'!DR97</f>
        <v>186</v>
      </c>
      <c r="DS8" s="76">
        <f>'الفحوصات المخبرية'!DS97</f>
        <v>157</v>
      </c>
      <c r="DT8" s="66">
        <f>'الفحوصات المخبرية'!DT97</f>
        <v>0</v>
      </c>
      <c r="DU8" s="61">
        <f>SUM(DH8:DT8)</f>
        <v>8532</v>
      </c>
      <c r="DV8" s="62"/>
      <c r="DW8" s="298"/>
      <c r="DX8" s="407"/>
      <c r="DY8" s="70" t="s">
        <v>25</v>
      </c>
      <c r="DZ8" s="53">
        <f>'الفحوصات المخبرية'!DZ97</f>
        <v>2526</v>
      </c>
      <c r="EA8" s="64">
        <f>'الفحوصات المخبرية'!EA97</f>
        <v>20</v>
      </c>
      <c r="EB8" s="53">
        <f>'الفحوصات المخبرية'!EB97</f>
        <v>205</v>
      </c>
      <c r="EC8" s="56">
        <f>'الفحوصات المخبرية'!EC97</f>
        <v>422</v>
      </c>
      <c r="ED8" s="56">
        <f>'الفحوصات المخبرية'!ED97</f>
        <v>340</v>
      </c>
      <c r="EE8" s="56">
        <f>'الفحوصات المخبرية'!EE97</f>
        <v>72</v>
      </c>
      <c r="EF8" s="54">
        <f>'الفحوصات المخبرية'!EF97</f>
        <v>3687</v>
      </c>
      <c r="EG8" s="55">
        <f>'الفحوصات المخبرية'!EG97</f>
        <v>2716</v>
      </c>
      <c r="EH8" s="64">
        <f>'الفحوصات المخبرية'!EH97</f>
        <v>1206</v>
      </c>
      <c r="EI8" s="53">
        <f>'الفحوصات المخبرية'!EI97</f>
        <v>1092</v>
      </c>
      <c r="EJ8" s="54">
        <f>'الفحوصات المخبرية'!EJ97</f>
        <v>380</v>
      </c>
      <c r="EK8" s="76">
        <f>'الفحوصات المخبرية'!EK97</f>
        <v>198</v>
      </c>
      <c r="EL8" s="66">
        <f>'الفحوصات المخبرية'!EL97</f>
        <v>5</v>
      </c>
      <c r="EM8" s="61">
        <f>SUM(DZ8:EL8)</f>
        <v>12869</v>
      </c>
      <c r="EN8" s="62"/>
      <c r="EO8" s="298"/>
      <c r="EP8" s="407"/>
      <c r="EQ8" s="70" t="s">
        <v>25</v>
      </c>
      <c r="ER8" s="53">
        <f>'الفحوصات المخبرية'!ER97</f>
        <v>881</v>
      </c>
      <c r="ES8" s="64">
        <f>'الفحوصات المخبرية'!ES97</f>
        <v>20</v>
      </c>
      <c r="ET8" s="53">
        <f>'الفحوصات المخبرية'!ET97</f>
        <v>261</v>
      </c>
      <c r="EU8" s="56">
        <f>'الفحوصات المخبرية'!EU97</f>
        <v>817</v>
      </c>
      <c r="EV8" s="56">
        <f>'الفحوصات المخبرية'!EV97</f>
        <v>301</v>
      </c>
      <c r="EW8" s="56">
        <f>'الفحوصات المخبرية'!EW97</f>
        <v>0</v>
      </c>
      <c r="EX8" s="54">
        <f>'الفحوصات المخبرية'!EX97</f>
        <v>777</v>
      </c>
      <c r="EY8" s="55">
        <f>'الفحوصات المخبرية'!EY97</f>
        <v>1325</v>
      </c>
      <c r="EZ8" s="64">
        <f>'الفحوصات المخبرية'!EZ97</f>
        <v>586</v>
      </c>
      <c r="FA8" s="53">
        <f>'الفحوصات المخبرية'!FA97</f>
        <v>404</v>
      </c>
      <c r="FB8" s="54">
        <f>'الفحوصات المخبرية'!FB97</f>
        <v>291</v>
      </c>
      <c r="FC8" s="76">
        <f>'الفحوصات المخبرية'!FC97</f>
        <v>109</v>
      </c>
      <c r="FD8" s="66">
        <f>'الفحوصات المخبرية'!FD97</f>
        <v>0</v>
      </c>
      <c r="FE8" s="61">
        <f>SUM(ER8:FD8)</f>
        <v>5772</v>
      </c>
      <c r="FF8" s="62"/>
      <c r="FG8" s="298"/>
      <c r="FH8" s="407"/>
      <c r="FI8" s="70" t="s">
        <v>25</v>
      </c>
      <c r="FJ8" s="53">
        <f>'الفحوصات المخبرية'!FJ97</f>
        <v>1971</v>
      </c>
      <c r="FK8" s="64">
        <f>'الفحوصات المخبرية'!FK97</f>
        <v>27</v>
      </c>
      <c r="FL8" s="53">
        <f>'الفحوصات المخبرية'!FL97</f>
        <v>87</v>
      </c>
      <c r="FM8" s="56">
        <f>'الفحوصات المخبرية'!FM97</f>
        <v>472</v>
      </c>
      <c r="FN8" s="56">
        <f>'الفحوصات المخبرية'!FN97</f>
        <v>64</v>
      </c>
      <c r="FO8" s="56">
        <f>'الفحوصات المخبرية'!FO97</f>
        <v>0</v>
      </c>
      <c r="FP8" s="54">
        <f>'الفحوصات المخبرية'!FP97</f>
        <v>1026</v>
      </c>
      <c r="FQ8" s="55">
        <f>'الفحوصات المخبرية'!FQ97</f>
        <v>1988</v>
      </c>
      <c r="FR8" s="64">
        <f>'الفحوصات المخبرية'!FR97</f>
        <v>1262</v>
      </c>
      <c r="FS8" s="53">
        <f>'الفحوصات المخبرية'!FS97</f>
        <v>655</v>
      </c>
      <c r="FT8" s="54">
        <f>'الفحوصات المخبرية'!FT97</f>
        <v>107</v>
      </c>
      <c r="FU8" s="76">
        <f>'الفحوصات المخبرية'!FU97</f>
        <v>120</v>
      </c>
      <c r="FV8" s="66">
        <f>'الفحوصات المخبرية'!FV97</f>
        <v>0</v>
      </c>
      <c r="FW8" s="61">
        <f>SUM(FJ8:FV8)</f>
        <v>7779</v>
      </c>
      <c r="FX8" s="62"/>
      <c r="FY8" s="298"/>
      <c r="FZ8" s="407"/>
      <c r="GA8" s="70" t="s">
        <v>25</v>
      </c>
      <c r="GB8" s="53">
        <f>'الفحوصات المخبرية'!GB97</f>
        <v>0</v>
      </c>
      <c r="GC8" s="64">
        <f>'الفحوصات المخبرية'!GC97</f>
        <v>0</v>
      </c>
      <c r="GD8" s="53">
        <f>'الفحوصات المخبرية'!GD97</f>
        <v>0</v>
      </c>
      <c r="GE8" s="56">
        <f>'الفحوصات المخبرية'!GE97</f>
        <v>0</v>
      </c>
      <c r="GF8" s="56">
        <f>'الفحوصات المخبرية'!GF97</f>
        <v>0</v>
      </c>
      <c r="GG8" s="56">
        <f>'الفحوصات المخبرية'!GG97</f>
        <v>0</v>
      </c>
      <c r="GH8" s="54">
        <f>'الفحوصات المخبرية'!GH97</f>
        <v>0</v>
      </c>
      <c r="GI8" s="55">
        <f>'الفحوصات المخبرية'!GI97</f>
        <v>0</v>
      </c>
      <c r="GJ8" s="64">
        <f>'الفحوصات المخبرية'!GJ97</f>
        <v>0</v>
      </c>
      <c r="GK8" s="53">
        <f>'الفحوصات المخبرية'!GK97</f>
        <v>0</v>
      </c>
      <c r="GL8" s="54">
        <f>'الفحوصات المخبرية'!GL97</f>
        <v>0</v>
      </c>
      <c r="GM8" s="76">
        <f>'الفحوصات المخبرية'!GM97</f>
        <v>0</v>
      </c>
      <c r="GN8" s="66">
        <f>'الفحوصات المخبرية'!GN97</f>
        <v>0</v>
      </c>
      <c r="GO8" s="61">
        <f>SUM(GB8:GN8)</f>
        <v>0</v>
      </c>
      <c r="GP8" s="62"/>
      <c r="GQ8" s="298"/>
      <c r="GR8" s="407"/>
      <c r="GS8" s="70" t="s">
        <v>25</v>
      </c>
      <c r="GT8" s="53">
        <f>'الفحوصات المخبرية'!GT97</f>
        <v>0</v>
      </c>
      <c r="GU8" s="64">
        <f>'الفحوصات المخبرية'!GU97</f>
        <v>0</v>
      </c>
      <c r="GV8" s="53">
        <f>'الفحوصات المخبرية'!GV97</f>
        <v>0</v>
      </c>
      <c r="GW8" s="56">
        <f>'الفحوصات المخبرية'!GW97</f>
        <v>0</v>
      </c>
      <c r="GX8" s="56">
        <f>'الفحوصات المخبرية'!GX97</f>
        <v>0</v>
      </c>
      <c r="GY8" s="56">
        <f>'الفحوصات المخبرية'!GY97</f>
        <v>0</v>
      </c>
      <c r="GZ8" s="54">
        <f>'الفحوصات المخبرية'!GZ97</f>
        <v>0</v>
      </c>
      <c r="HA8" s="55">
        <f>'الفحوصات المخبرية'!HA97</f>
        <v>0</v>
      </c>
      <c r="HB8" s="64">
        <f>'الفحوصات المخبرية'!HB97</f>
        <v>0</v>
      </c>
      <c r="HC8" s="53">
        <f>'الفحوصات المخبرية'!HC97</f>
        <v>0</v>
      </c>
      <c r="HD8" s="54">
        <f>'الفحوصات المخبرية'!HD97</f>
        <v>0</v>
      </c>
      <c r="HE8" s="76">
        <f>'الفحوصات المخبرية'!HE97</f>
        <v>0</v>
      </c>
      <c r="HF8" s="66">
        <f>'الفحوصات المخبرية'!HF97</f>
        <v>0</v>
      </c>
      <c r="HG8" s="61">
        <f>SUM(GT8:HF8)</f>
        <v>0</v>
      </c>
      <c r="HH8" s="62"/>
      <c r="HI8" s="298"/>
      <c r="HJ8" s="407"/>
      <c r="HK8" s="70" t="s">
        <v>25</v>
      </c>
      <c r="HL8" s="53">
        <f>SUM('الفحوصات المخبرية'!HL97)</f>
        <v>17475</v>
      </c>
      <c r="HM8" s="54">
        <f>SUM('الفحوصات المخبرية'!HM97)</f>
        <v>218</v>
      </c>
      <c r="HN8" s="55">
        <f>SUM('الفحوصات المخبرية'!HN97)</f>
        <v>1740</v>
      </c>
      <c r="HO8" s="56">
        <f>SUM('الفحوصات المخبرية'!HO97)</f>
        <v>4443</v>
      </c>
      <c r="HP8" s="56">
        <f>SUM('الفحوصات المخبرية'!HP97)</f>
        <v>2759</v>
      </c>
      <c r="HQ8" s="56">
        <f>SUM('الفحوصات المخبرية'!HQ97)</f>
        <v>235</v>
      </c>
      <c r="HR8" s="54">
        <f>SUM('الفحوصات المخبرية'!HR97)</f>
        <v>14830</v>
      </c>
      <c r="HS8" s="55">
        <f>SUM('الفحوصات المخبرية'!HS97)</f>
        <v>17222</v>
      </c>
      <c r="HT8" s="54">
        <f>SUM('الفحوصات المخبرية'!HT97)</f>
        <v>16486</v>
      </c>
      <c r="HU8" s="55">
        <f>SUM('الفحوصات المخبرية'!HU97)</f>
        <v>7512</v>
      </c>
      <c r="HV8" s="54">
        <f>SUM('الفحوصات المخبرية'!HV97)</f>
        <v>2221</v>
      </c>
      <c r="HW8" s="57">
        <f>SUM('الفحوصات المخبرية'!HW97)</f>
        <v>1423</v>
      </c>
      <c r="HX8" s="57">
        <f>SUM('الفحوصات المخبرية'!HX97)</f>
        <v>15</v>
      </c>
      <c r="HY8" s="61">
        <f>SUM(HL8:HX8)</f>
        <v>86579</v>
      </c>
      <c r="HZ8" s="62"/>
    </row>
    <row r="9" spans="1:234" ht="18.75" thickBot="1" x14ac:dyDescent="0.25">
      <c r="A9" s="298"/>
      <c r="B9" s="408" t="s">
        <v>26</v>
      </c>
      <c r="C9" s="409"/>
      <c r="D9" s="455">
        <f>SUM(D7:E8)</f>
        <v>4211</v>
      </c>
      <c r="E9" s="456"/>
      <c r="F9" s="455">
        <f>SUM(F7:J8)</f>
        <v>3271</v>
      </c>
      <c r="G9" s="457"/>
      <c r="H9" s="457"/>
      <c r="I9" s="457"/>
      <c r="J9" s="456"/>
      <c r="K9" s="455">
        <f>SUM(K7:L8)</f>
        <v>6626</v>
      </c>
      <c r="L9" s="456"/>
      <c r="M9" s="455">
        <f>SUM(M7:N8)</f>
        <v>1867</v>
      </c>
      <c r="N9" s="456"/>
      <c r="O9" s="144">
        <f>SUM(O7:O8)</f>
        <v>244</v>
      </c>
      <c r="P9" s="144">
        <f>SUM(P7:P8)</f>
        <v>0</v>
      </c>
      <c r="Q9" s="59">
        <f>SUM(Q7:Q8)</f>
        <v>16219</v>
      </c>
      <c r="R9" s="62"/>
      <c r="S9" s="298"/>
      <c r="T9" s="408" t="s">
        <v>26</v>
      </c>
      <c r="U9" s="409"/>
      <c r="V9" s="455">
        <f>SUM(V7:W8)</f>
        <v>2062</v>
      </c>
      <c r="W9" s="456"/>
      <c r="X9" s="455">
        <f>SUM(X7:AB8)</f>
        <v>2714</v>
      </c>
      <c r="Y9" s="457"/>
      <c r="Z9" s="457"/>
      <c r="AA9" s="457"/>
      <c r="AB9" s="456"/>
      <c r="AC9" s="455">
        <f>SUM(AC7:AD8)</f>
        <v>6029</v>
      </c>
      <c r="AD9" s="456"/>
      <c r="AE9" s="455">
        <f>SUM(AE7:AF8)</f>
        <v>1199</v>
      </c>
      <c r="AF9" s="456"/>
      <c r="AG9" s="144">
        <f>SUM(AG7:AG8)</f>
        <v>282</v>
      </c>
      <c r="AH9" s="144">
        <f>SUM(AH7:AH8)</f>
        <v>0</v>
      </c>
      <c r="AI9" s="59">
        <f>SUM(AI7:AI8)</f>
        <v>12286</v>
      </c>
      <c r="AJ9" s="62"/>
      <c r="AK9" s="298"/>
      <c r="AL9" s="408" t="s">
        <v>26</v>
      </c>
      <c r="AM9" s="409"/>
      <c r="AN9" s="455">
        <f>SUM(AN7:AO8)</f>
        <v>2484</v>
      </c>
      <c r="AO9" s="456"/>
      <c r="AP9" s="455">
        <f>SUM(AP7:AT8)</f>
        <v>4106</v>
      </c>
      <c r="AQ9" s="457"/>
      <c r="AR9" s="457"/>
      <c r="AS9" s="457"/>
      <c r="AT9" s="456"/>
      <c r="AU9" s="455">
        <f>SUM(AU7:AV8)</f>
        <v>4707</v>
      </c>
      <c r="AV9" s="456"/>
      <c r="AW9" s="455">
        <f>SUM(AW7:AX8)</f>
        <v>1458</v>
      </c>
      <c r="AX9" s="456"/>
      <c r="AY9" s="144">
        <f>SUM(AY7:AY8)</f>
        <v>272</v>
      </c>
      <c r="AZ9" s="144">
        <f>SUM(AZ7:AZ8)</f>
        <v>7</v>
      </c>
      <c r="BA9" s="59">
        <f>SUM(BA7:BA8)</f>
        <v>13034</v>
      </c>
      <c r="BB9" s="62"/>
      <c r="BC9" s="298"/>
      <c r="BD9" s="408" t="s">
        <v>26</v>
      </c>
      <c r="BE9" s="409"/>
      <c r="BF9" s="455">
        <f>SUM(BF7:BG8)</f>
        <v>1912</v>
      </c>
      <c r="BG9" s="456"/>
      <c r="BH9" s="455">
        <f>SUM(BH7:BL8)</f>
        <v>2522</v>
      </c>
      <c r="BI9" s="457"/>
      <c r="BJ9" s="457"/>
      <c r="BK9" s="457"/>
      <c r="BL9" s="456"/>
      <c r="BM9" s="455">
        <f>SUM(BM7:BN8)</f>
        <v>4855</v>
      </c>
      <c r="BN9" s="456"/>
      <c r="BO9" s="455">
        <f>SUM(BO7:BP8)</f>
        <v>822</v>
      </c>
      <c r="BP9" s="456"/>
      <c r="BQ9" s="144">
        <f>SUM(BQ7:BQ8)</f>
        <v>256</v>
      </c>
      <c r="BR9" s="144">
        <f>SUM(BR7:BR8)</f>
        <v>0</v>
      </c>
      <c r="BS9" s="59">
        <f>SUM(BS7:BS8)</f>
        <v>10367</v>
      </c>
      <c r="BT9" s="62"/>
      <c r="BU9" s="298"/>
      <c r="BV9" s="408" t="s">
        <v>26</v>
      </c>
      <c r="BW9" s="409"/>
      <c r="BX9" s="455">
        <f>SUM(BX7:BY8)</f>
        <v>2968</v>
      </c>
      <c r="BY9" s="456"/>
      <c r="BZ9" s="455">
        <f>SUM(BZ7:CD8)</f>
        <v>3769</v>
      </c>
      <c r="CA9" s="457"/>
      <c r="CB9" s="457"/>
      <c r="CC9" s="457"/>
      <c r="CD9" s="456"/>
      <c r="CE9" s="455">
        <f>SUM(CE7:CF8)</f>
        <v>6625</v>
      </c>
      <c r="CF9" s="456"/>
      <c r="CG9" s="455">
        <f>SUM(CG7:CH8)</f>
        <v>1736</v>
      </c>
      <c r="CH9" s="456"/>
      <c r="CI9" s="144">
        <f>SUM(CI7:CI8)</f>
        <v>171</v>
      </c>
      <c r="CJ9" s="144">
        <f>SUM(CJ7:CJ8)</f>
        <v>0</v>
      </c>
      <c r="CK9" s="59">
        <f>SUM(CK7:CK8)</f>
        <v>15269</v>
      </c>
      <c r="CL9" s="62"/>
      <c r="CM9" s="298"/>
      <c r="CN9" s="408" t="s">
        <v>26</v>
      </c>
      <c r="CO9" s="409"/>
      <c r="CP9" s="455">
        <f>SUM(CP7:CQ8)</f>
        <v>4481</v>
      </c>
      <c r="CQ9" s="456"/>
      <c r="CR9" s="455">
        <f>SUM(CR7:CV8)</f>
        <v>8084</v>
      </c>
      <c r="CS9" s="457"/>
      <c r="CT9" s="457"/>
      <c r="CU9" s="457"/>
      <c r="CV9" s="456"/>
      <c r="CW9" s="455">
        <f>SUM(CW7:CX8)</f>
        <v>7389</v>
      </c>
      <c r="CX9" s="456"/>
      <c r="CY9" s="455">
        <f>SUM(CY7:CZ8)</f>
        <v>2250</v>
      </c>
      <c r="CZ9" s="456"/>
      <c r="DA9" s="144">
        <f>SUM(DA7:DA8)</f>
        <v>467</v>
      </c>
      <c r="DB9" s="144">
        <f>SUM(DB7:DB8)</f>
        <v>7</v>
      </c>
      <c r="DC9" s="59">
        <f>SUM(DC7:DC8)</f>
        <v>22678</v>
      </c>
      <c r="DD9" s="62"/>
      <c r="DE9" s="298"/>
      <c r="DF9" s="408" t="s">
        <v>26</v>
      </c>
      <c r="DG9" s="409"/>
      <c r="DH9" s="455">
        <f>SUM(DH7:DI8)</f>
        <v>3607</v>
      </c>
      <c r="DI9" s="456"/>
      <c r="DJ9" s="455">
        <f>SUM(DJ7:DN8)</f>
        <v>2967</v>
      </c>
      <c r="DK9" s="457"/>
      <c r="DL9" s="457"/>
      <c r="DM9" s="457"/>
      <c r="DN9" s="456"/>
      <c r="DO9" s="455">
        <f>SUM(DO7:DP8)</f>
        <v>7084</v>
      </c>
      <c r="DP9" s="456"/>
      <c r="DQ9" s="455">
        <f>SUM(DQ7:DR8)</f>
        <v>1363</v>
      </c>
      <c r="DR9" s="456"/>
      <c r="DS9" s="144">
        <f>SUM(DS7:DS8)</f>
        <v>302</v>
      </c>
      <c r="DT9" s="144">
        <f>SUM(DT7:DT8)</f>
        <v>0</v>
      </c>
      <c r="DU9" s="59">
        <f>SUM(DU7:DU8)</f>
        <v>15323</v>
      </c>
      <c r="DV9" s="62"/>
      <c r="DW9" s="298"/>
      <c r="DX9" s="408" t="s">
        <v>26</v>
      </c>
      <c r="DY9" s="409"/>
      <c r="DZ9" s="455">
        <f>SUM(DZ7:EA8)</f>
        <v>4337</v>
      </c>
      <c r="EA9" s="456"/>
      <c r="EB9" s="455">
        <f>SUM(EB7:EF8)</f>
        <v>7519</v>
      </c>
      <c r="EC9" s="457"/>
      <c r="ED9" s="457"/>
      <c r="EE9" s="457"/>
      <c r="EF9" s="456"/>
      <c r="EG9" s="455">
        <f>SUM(EG7:EH8)</f>
        <v>7300</v>
      </c>
      <c r="EH9" s="456"/>
      <c r="EI9" s="455">
        <f>SUM(EI7:EJ8)</f>
        <v>2350</v>
      </c>
      <c r="EJ9" s="456"/>
      <c r="EK9" s="144">
        <f>SUM(EK7:EK8)</f>
        <v>460</v>
      </c>
      <c r="EL9" s="144">
        <f>SUM(EL7:EL8)</f>
        <v>7</v>
      </c>
      <c r="EM9" s="59">
        <f>SUM(EM7:EM8)</f>
        <v>21973</v>
      </c>
      <c r="EN9" s="62"/>
      <c r="EO9" s="298"/>
      <c r="EP9" s="408" t="s">
        <v>26</v>
      </c>
      <c r="EQ9" s="409"/>
      <c r="ER9" s="455">
        <f>SUM(ER7:ES8)</f>
        <v>1637</v>
      </c>
      <c r="ES9" s="456"/>
      <c r="ET9" s="455">
        <f>SUM(ET7:EX8)</f>
        <v>3382</v>
      </c>
      <c r="EU9" s="457"/>
      <c r="EV9" s="457"/>
      <c r="EW9" s="457"/>
      <c r="EX9" s="456"/>
      <c r="EY9" s="455">
        <f>SUM(EY7:EZ8)</f>
        <v>3616</v>
      </c>
      <c r="EZ9" s="456"/>
      <c r="FA9" s="455">
        <f>SUM(FA7:FB8)</f>
        <v>1019</v>
      </c>
      <c r="FB9" s="456"/>
      <c r="FC9" s="144">
        <f>SUM(FC7:FC8)</f>
        <v>204</v>
      </c>
      <c r="FD9" s="144">
        <f>SUM(FD7:FD8)</f>
        <v>0</v>
      </c>
      <c r="FE9" s="59">
        <f>SUM(FE7:FE8)</f>
        <v>9858</v>
      </c>
      <c r="FF9" s="62"/>
      <c r="FG9" s="298"/>
      <c r="FH9" s="408" t="s">
        <v>26</v>
      </c>
      <c r="FI9" s="409"/>
      <c r="FJ9" s="455">
        <f>SUM(FJ7:FK8)</f>
        <v>3538</v>
      </c>
      <c r="FK9" s="456"/>
      <c r="FL9" s="455">
        <f>SUM(FL7:FP8)</f>
        <v>2925</v>
      </c>
      <c r="FM9" s="457"/>
      <c r="FN9" s="457"/>
      <c r="FO9" s="457"/>
      <c r="FP9" s="456"/>
      <c r="FQ9" s="455">
        <f>SUM(FQ7:FR8)</f>
        <v>5479</v>
      </c>
      <c r="FR9" s="456"/>
      <c r="FS9" s="455">
        <f>SUM(FS7:FT8)</f>
        <v>1250</v>
      </c>
      <c r="FT9" s="456"/>
      <c r="FU9" s="144">
        <f>SUM(FU7:FU8)</f>
        <v>267</v>
      </c>
      <c r="FV9" s="144">
        <f>SUM(FV7:FV8)</f>
        <v>0</v>
      </c>
      <c r="FW9" s="59">
        <f>SUM(FW7:FW8)</f>
        <v>13459</v>
      </c>
      <c r="FX9" s="62"/>
      <c r="FY9" s="298"/>
      <c r="FZ9" s="408" t="s">
        <v>26</v>
      </c>
      <c r="GA9" s="409"/>
      <c r="GB9" s="455">
        <f>SUM(GB7:GC8)</f>
        <v>0</v>
      </c>
      <c r="GC9" s="456"/>
      <c r="GD9" s="455">
        <f>SUM(GD7:GH8)</f>
        <v>0</v>
      </c>
      <c r="GE9" s="457"/>
      <c r="GF9" s="457"/>
      <c r="GG9" s="457"/>
      <c r="GH9" s="456"/>
      <c r="GI9" s="455">
        <f>SUM(GI7:GJ8)</f>
        <v>0</v>
      </c>
      <c r="GJ9" s="456"/>
      <c r="GK9" s="455">
        <f>SUM(GK7:GL8)</f>
        <v>0</v>
      </c>
      <c r="GL9" s="456"/>
      <c r="GM9" s="144">
        <f>SUM(GM7:GM8)</f>
        <v>0</v>
      </c>
      <c r="GN9" s="144">
        <f>SUM(GN7:GN8)</f>
        <v>0</v>
      </c>
      <c r="GO9" s="59">
        <f>SUM(GO7:GO8)</f>
        <v>0</v>
      </c>
      <c r="GP9" s="62"/>
      <c r="GQ9" s="298"/>
      <c r="GR9" s="408" t="s">
        <v>26</v>
      </c>
      <c r="GS9" s="409"/>
      <c r="GT9" s="455">
        <f>SUM(GT7:GU8)</f>
        <v>0</v>
      </c>
      <c r="GU9" s="456"/>
      <c r="GV9" s="455">
        <f>SUM(GV7:GZ8)</f>
        <v>0</v>
      </c>
      <c r="GW9" s="457"/>
      <c r="GX9" s="457"/>
      <c r="GY9" s="457"/>
      <c r="GZ9" s="456"/>
      <c r="HA9" s="455">
        <f>SUM(HA7:HB8)</f>
        <v>0</v>
      </c>
      <c r="HB9" s="456"/>
      <c r="HC9" s="455">
        <f>SUM(HC7:HD8)</f>
        <v>0</v>
      </c>
      <c r="HD9" s="456"/>
      <c r="HE9" s="144">
        <f>SUM(HE7:HE8)</f>
        <v>0</v>
      </c>
      <c r="HF9" s="144">
        <f>SUM(HF7:HF8)</f>
        <v>0</v>
      </c>
      <c r="HG9" s="59">
        <f>SUM(HG7:HG8)</f>
        <v>0</v>
      </c>
      <c r="HH9" s="62"/>
      <c r="HI9" s="298"/>
      <c r="HJ9" s="408" t="s">
        <v>26</v>
      </c>
      <c r="HK9" s="409"/>
      <c r="HL9" s="410">
        <f>SUM(HL7:HM8)</f>
        <v>31237</v>
      </c>
      <c r="HM9" s="411"/>
      <c r="HN9" s="410">
        <f>SUM(HN7:HR8)</f>
        <v>41259</v>
      </c>
      <c r="HO9" s="412"/>
      <c r="HP9" s="412"/>
      <c r="HQ9" s="412"/>
      <c r="HR9" s="411"/>
      <c r="HS9" s="410">
        <f>SUM(HS7:HT8)</f>
        <v>59710</v>
      </c>
      <c r="HT9" s="411"/>
      <c r="HU9" s="410">
        <f>SUM(HU7:HV8)</f>
        <v>15314</v>
      </c>
      <c r="HV9" s="411"/>
      <c r="HW9" s="58">
        <f>SUM(HW7:HW8)</f>
        <v>2925</v>
      </c>
      <c r="HX9" s="58">
        <f>SUM(HX7:HX8)</f>
        <v>21</v>
      </c>
      <c r="HY9" s="59">
        <f>SUM(HY7:HY8)</f>
        <v>150466</v>
      </c>
      <c r="HZ9" s="62"/>
    </row>
    <row r="10" spans="1:234" ht="18" customHeight="1" x14ac:dyDescent="0.2">
      <c r="A10" s="298"/>
      <c r="B10" s="413" t="s">
        <v>27</v>
      </c>
      <c r="C10" s="69" t="s">
        <v>24</v>
      </c>
      <c r="D10" s="48">
        <f>'الفحوصات المخبرية'!D99</f>
        <v>196</v>
      </c>
      <c r="E10" s="63">
        <f>'الفحوصات المخبرية'!E99</f>
        <v>2</v>
      </c>
      <c r="F10" s="48">
        <f>'الفحوصات المخبرية'!F99</f>
        <v>10</v>
      </c>
      <c r="G10" s="51">
        <f>'الفحوصات المخبرية'!G99</f>
        <v>1</v>
      </c>
      <c r="H10" s="51">
        <f>'الفحوصات المخبرية'!H99</f>
        <v>6</v>
      </c>
      <c r="I10" s="145">
        <f>'الفحوصات المخبرية'!I99</f>
        <v>0</v>
      </c>
      <c r="J10" s="49">
        <f>'الفحوصات المخبرية'!J99</f>
        <v>36</v>
      </c>
      <c r="K10" s="50">
        <f>'الفحوصات المخبرية'!K99</f>
        <v>142</v>
      </c>
      <c r="L10" s="63">
        <f>'الفحوصات المخبرية'!L99</f>
        <v>258</v>
      </c>
      <c r="M10" s="48">
        <f>'الفحوصات المخبرية'!M99</f>
        <v>160</v>
      </c>
      <c r="N10" s="49">
        <f>'الفحوصات المخبرية'!N99</f>
        <v>0</v>
      </c>
      <c r="O10" s="75">
        <f>'الفحوصات المخبرية'!O99</f>
        <v>35</v>
      </c>
      <c r="P10" s="65">
        <f>'الفحوصات المخبرية'!P99</f>
        <v>0</v>
      </c>
      <c r="Q10" s="60">
        <f>SUM(D10:P10)</f>
        <v>846</v>
      </c>
      <c r="R10" s="62"/>
      <c r="S10" s="298"/>
      <c r="T10" s="413" t="s">
        <v>27</v>
      </c>
      <c r="U10" s="69" t="s">
        <v>24</v>
      </c>
      <c r="V10" s="48">
        <f>'الفحوصات المخبرية'!V99</f>
        <v>113</v>
      </c>
      <c r="W10" s="63">
        <f>'الفحوصات المخبرية'!W99</f>
        <v>0</v>
      </c>
      <c r="X10" s="48">
        <f>'الفحوصات المخبرية'!X99</f>
        <v>2</v>
      </c>
      <c r="Y10" s="51">
        <f>'الفحوصات المخبرية'!Y99</f>
        <v>8</v>
      </c>
      <c r="Z10" s="51">
        <f>'الفحوصات المخبرية'!Z99</f>
        <v>15</v>
      </c>
      <c r="AA10" s="145">
        <f>'الفحوصات المخبرية'!AA99</f>
        <v>0</v>
      </c>
      <c r="AB10" s="49">
        <f>'الفحوصات المخبرية'!AB99</f>
        <v>109</v>
      </c>
      <c r="AC10" s="50">
        <f>'الفحوصات المخبرية'!AC99</f>
        <v>109</v>
      </c>
      <c r="AD10" s="63">
        <f>'الفحوصات المخبرية'!AD99</f>
        <v>123</v>
      </c>
      <c r="AE10" s="48">
        <f>'الفحوصات المخبرية'!AE99</f>
        <v>92</v>
      </c>
      <c r="AF10" s="49">
        <f>'الفحوصات المخبرية'!AF99</f>
        <v>0</v>
      </c>
      <c r="AG10" s="75">
        <f>'الفحوصات المخبرية'!AG99</f>
        <v>18</v>
      </c>
      <c r="AH10" s="65">
        <f>'الفحوصات المخبرية'!AH99</f>
        <v>0</v>
      </c>
      <c r="AI10" s="60">
        <f>SUM(V10:AH10)</f>
        <v>589</v>
      </c>
      <c r="AJ10" s="62"/>
      <c r="AK10" s="298"/>
      <c r="AL10" s="413" t="s">
        <v>27</v>
      </c>
      <c r="AM10" s="69" t="s">
        <v>24</v>
      </c>
      <c r="AN10" s="48">
        <f>'الفحوصات المخبرية'!AN99</f>
        <v>292</v>
      </c>
      <c r="AO10" s="63">
        <f>'الفحوصات المخبرية'!AO99</f>
        <v>11</v>
      </c>
      <c r="AP10" s="48">
        <f>'الفحوصات المخبرية'!AP99</f>
        <v>29</v>
      </c>
      <c r="AQ10" s="51">
        <f>'الفحوصات المخبرية'!AQ99</f>
        <v>12</v>
      </c>
      <c r="AR10" s="51">
        <f>'الفحوصات المخبرية'!AR99</f>
        <v>30</v>
      </c>
      <c r="AS10" s="145">
        <f>'الفحوصات المخبرية'!AS99</f>
        <v>0</v>
      </c>
      <c r="AT10" s="49">
        <f>'الفحوصات المخبرية'!AT99</f>
        <v>360</v>
      </c>
      <c r="AU10" s="50">
        <f>'الفحوصات المخبرية'!AU99</f>
        <v>258</v>
      </c>
      <c r="AV10" s="63">
        <f>'الفحوصات المخبرية'!AV99</f>
        <v>304</v>
      </c>
      <c r="AW10" s="48">
        <f>'الفحوصات المخبرية'!AW99</f>
        <v>84</v>
      </c>
      <c r="AX10" s="49">
        <f>'الفحوصات المخبرية'!AX99</f>
        <v>0</v>
      </c>
      <c r="AY10" s="75">
        <f>'الفحوصات المخبرية'!AY99</f>
        <v>38</v>
      </c>
      <c r="AZ10" s="65">
        <f>'الفحوصات المخبرية'!AZ99</f>
        <v>0</v>
      </c>
      <c r="BA10" s="60">
        <f>SUM(AN10:AZ10)</f>
        <v>1418</v>
      </c>
      <c r="BB10" s="62"/>
      <c r="BC10" s="298"/>
      <c r="BD10" s="413" t="s">
        <v>27</v>
      </c>
      <c r="BE10" s="69" t="s">
        <v>24</v>
      </c>
      <c r="BF10" s="48">
        <f>'الفحوصات المخبرية'!BF99</f>
        <v>249</v>
      </c>
      <c r="BG10" s="63">
        <f>'الفحوصات المخبرية'!BG99</f>
        <v>1</v>
      </c>
      <c r="BH10" s="48">
        <f>'الفحوصات المخبرية'!BH99</f>
        <v>6</v>
      </c>
      <c r="BI10" s="51">
        <f>'الفحوصات المخبرية'!BI99</f>
        <v>6</v>
      </c>
      <c r="BJ10" s="51">
        <f>'الفحوصات المخبرية'!BJ99</f>
        <v>71</v>
      </c>
      <c r="BK10" s="145">
        <f>'الفحوصات المخبرية'!BK99</f>
        <v>0</v>
      </c>
      <c r="BL10" s="49">
        <f>'الفحوصات المخبرية'!BL99</f>
        <v>136</v>
      </c>
      <c r="BM10" s="50">
        <f>'الفحوصات المخبرية'!BM99</f>
        <v>219</v>
      </c>
      <c r="BN10" s="63">
        <f>'الفحوصات المخبرية'!BN99</f>
        <v>147</v>
      </c>
      <c r="BO10" s="48">
        <f>'الفحوصات المخبرية'!BO99</f>
        <v>84</v>
      </c>
      <c r="BP10" s="49">
        <f>'الفحوصات المخبرية'!BP99</f>
        <v>0</v>
      </c>
      <c r="BQ10" s="75">
        <f>'الفحوصات المخبرية'!BQ99</f>
        <v>36</v>
      </c>
      <c r="BR10" s="65">
        <f>'الفحوصات المخبرية'!BR99</f>
        <v>0</v>
      </c>
      <c r="BS10" s="60">
        <f>SUM(BF10:BR10)</f>
        <v>955</v>
      </c>
      <c r="BT10" s="62"/>
      <c r="BU10" s="298"/>
      <c r="BV10" s="413" t="s">
        <v>27</v>
      </c>
      <c r="BW10" s="69" t="s">
        <v>24</v>
      </c>
      <c r="BX10" s="48">
        <f>'الفحوصات المخبرية'!BX99</f>
        <v>290</v>
      </c>
      <c r="BY10" s="63">
        <f>'الفحوصات المخبرية'!BY99</f>
        <v>0</v>
      </c>
      <c r="BZ10" s="48">
        <f>'الفحوصات المخبرية'!BZ99</f>
        <v>52</v>
      </c>
      <c r="CA10" s="51">
        <f>'الفحوصات المخبرية'!CA99</f>
        <v>89</v>
      </c>
      <c r="CB10" s="51">
        <f>'الفحوصات المخبرية'!CB99</f>
        <v>195</v>
      </c>
      <c r="CC10" s="145">
        <f>'الفحوصات المخبرية'!CC99</f>
        <v>0</v>
      </c>
      <c r="CD10" s="49">
        <f>'الفحوصات المخبرية'!CD99</f>
        <v>165</v>
      </c>
      <c r="CE10" s="50">
        <f>'الفحوصات المخبرية'!CE99</f>
        <v>317</v>
      </c>
      <c r="CF10" s="63">
        <f>'الفحوصات المخبرية'!CF99</f>
        <v>321</v>
      </c>
      <c r="CG10" s="48">
        <f>'الفحوصات المخبرية'!CG99</f>
        <v>214</v>
      </c>
      <c r="CH10" s="49">
        <f>'الفحوصات المخبرية'!CH99</f>
        <v>0</v>
      </c>
      <c r="CI10" s="75">
        <f>'الفحوصات المخبرية'!CI99</f>
        <v>21</v>
      </c>
      <c r="CJ10" s="65">
        <f>'الفحوصات المخبرية'!CJ99</f>
        <v>0</v>
      </c>
      <c r="CK10" s="60">
        <f>SUM(BX10:CJ10)</f>
        <v>1664</v>
      </c>
      <c r="CL10" s="62"/>
      <c r="CM10" s="298"/>
      <c r="CN10" s="413" t="s">
        <v>27</v>
      </c>
      <c r="CO10" s="69" t="s">
        <v>24</v>
      </c>
      <c r="CP10" s="48">
        <f>'الفحوصات المخبرية'!CP99</f>
        <v>120</v>
      </c>
      <c r="CQ10" s="63">
        <f>'الفحوصات المخبرية'!CQ99</f>
        <v>1</v>
      </c>
      <c r="CR10" s="48">
        <f>'الفحوصات المخبرية'!CR99</f>
        <v>78</v>
      </c>
      <c r="CS10" s="51">
        <f>'الفحوصات المخبرية'!CS99</f>
        <v>3</v>
      </c>
      <c r="CT10" s="51">
        <f>'الفحوصات المخبرية'!CT99</f>
        <v>10</v>
      </c>
      <c r="CU10" s="145">
        <f>'الفحوصات المخبرية'!CU99</f>
        <v>0</v>
      </c>
      <c r="CV10" s="49">
        <f>'الفحوصات المخبرية'!CV99</f>
        <v>235</v>
      </c>
      <c r="CW10" s="50">
        <f>'الفحوصات المخبرية'!CW99</f>
        <v>134</v>
      </c>
      <c r="CX10" s="63">
        <f>'الفحوصات المخبرية'!CX99</f>
        <v>85</v>
      </c>
      <c r="CY10" s="48">
        <f>'الفحوصات المخبرية'!CY99</f>
        <v>81</v>
      </c>
      <c r="CZ10" s="49">
        <f>'الفحوصات المخبرية'!CZ99</f>
        <v>0</v>
      </c>
      <c r="DA10" s="75">
        <f>'الفحوصات المخبرية'!DA99</f>
        <v>43</v>
      </c>
      <c r="DB10" s="65">
        <f>'الفحوصات المخبرية'!DB99</f>
        <v>0</v>
      </c>
      <c r="DC10" s="60">
        <f>SUM(CP10:DB10)</f>
        <v>790</v>
      </c>
      <c r="DD10" s="62"/>
      <c r="DE10" s="298"/>
      <c r="DF10" s="413" t="s">
        <v>27</v>
      </c>
      <c r="DG10" s="69" t="s">
        <v>24</v>
      </c>
      <c r="DH10" s="48">
        <f>'الفحوصات المخبرية'!DH99</f>
        <v>198</v>
      </c>
      <c r="DI10" s="63">
        <f>'الفحوصات المخبرية'!DI99</f>
        <v>0</v>
      </c>
      <c r="DJ10" s="48">
        <f>'الفحوصات المخبرية'!DJ99</f>
        <v>6</v>
      </c>
      <c r="DK10" s="51">
        <f>'الفحوصات المخبرية'!DK99</f>
        <v>7</v>
      </c>
      <c r="DL10" s="51">
        <f>'الفحوصات المخبرية'!DL99</f>
        <v>15</v>
      </c>
      <c r="DM10" s="145">
        <f>'الفحوصات المخبرية'!DM99</f>
        <v>0</v>
      </c>
      <c r="DN10" s="49">
        <f>'الفحوصات المخبرية'!DN99</f>
        <v>113</v>
      </c>
      <c r="DO10" s="50">
        <f>'الفحوصات المخبرية'!DO99</f>
        <v>266</v>
      </c>
      <c r="DP10" s="63">
        <f>'الفحوصات المخبرية'!DP99</f>
        <v>147</v>
      </c>
      <c r="DQ10" s="48">
        <f>'الفحوصات المخبرية'!DQ99</f>
        <v>133</v>
      </c>
      <c r="DR10" s="49">
        <f>'الفحوصات المخبرية'!DR99</f>
        <v>0</v>
      </c>
      <c r="DS10" s="75">
        <f>'الفحوصات المخبرية'!DS99</f>
        <v>35</v>
      </c>
      <c r="DT10" s="65">
        <f>'الفحوصات المخبرية'!DT99</f>
        <v>0</v>
      </c>
      <c r="DU10" s="60">
        <f>SUM(DH10:DT10)</f>
        <v>920</v>
      </c>
      <c r="DV10" s="62"/>
      <c r="DW10" s="298"/>
      <c r="DX10" s="413" t="s">
        <v>27</v>
      </c>
      <c r="DY10" s="69" t="s">
        <v>24</v>
      </c>
      <c r="DZ10" s="48">
        <f>'الفحوصات المخبرية'!DZ99</f>
        <v>133</v>
      </c>
      <c r="EA10" s="63">
        <f>'الفحوصات المخبرية'!EA99</f>
        <v>1</v>
      </c>
      <c r="EB10" s="48">
        <f>'الفحوصات المخبرية'!EB99</f>
        <v>78</v>
      </c>
      <c r="EC10" s="51">
        <f>'الفحوصات المخبرية'!EC99</f>
        <v>3</v>
      </c>
      <c r="ED10" s="51">
        <f>'الفحوصات المخبرية'!ED99</f>
        <v>10</v>
      </c>
      <c r="EE10" s="145">
        <f>'الفحوصات المخبرية'!EE99</f>
        <v>0</v>
      </c>
      <c r="EF10" s="49">
        <f>'الفحوصات المخبرية'!EF99</f>
        <v>223</v>
      </c>
      <c r="EG10" s="50">
        <f>'الفحوصات المخبرية'!EG99</f>
        <v>158</v>
      </c>
      <c r="EH10" s="63">
        <f>'الفحوصات المخبرية'!EH99</f>
        <v>81</v>
      </c>
      <c r="EI10" s="48">
        <f>'الفحوصات المخبرية'!EI99</f>
        <v>81</v>
      </c>
      <c r="EJ10" s="49">
        <f>'الفحوصات المخبرية'!EJ99</f>
        <v>0</v>
      </c>
      <c r="EK10" s="75">
        <f>'الفحوصات المخبرية'!EK99</f>
        <v>43</v>
      </c>
      <c r="EL10" s="65">
        <f>'الفحوصات المخبرية'!EL99</f>
        <v>0</v>
      </c>
      <c r="EM10" s="60">
        <f>SUM(DZ10:EL10)</f>
        <v>811</v>
      </c>
      <c r="EN10" s="62"/>
      <c r="EO10" s="298"/>
      <c r="EP10" s="413" t="s">
        <v>27</v>
      </c>
      <c r="EQ10" s="69" t="s">
        <v>24</v>
      </c>
      <c r="ER10" s="48">
        <f>'الفحوصات المخبرية'!ER99</f>
        <v>136</v>
      </c>
      <c r="ES10" s="63">
        <f>'الفحوصات المخبرية'!ES99</f>
        <v>2</v>
      </c>
      <c r="ET10" s="48">
        <f>'الفحوصات المخبرية'!ET99</f>
        <v>16</v>
      </c>
      <c r="EU10" s="51">
        <f>'الفحوصات المخبرية'!EU99</f>
        <v>98</v>
      </c>
      <c r="EV10" s="51">
        <f>'الفحوصات المخبرية'!EV99</f>
        <v>51</v>
      </c>
      <c r="EW10" s="145">
        <f>'الفحوصات المخبرية'!EW99</f>
        <v>0</v>
      </c>
      <c r="EX10" s="49">
        <f>'الفحوصات المخبرية'!EX99</f>
        <v>70</v>
      </c>
      <c r="EY10" s="50">
        <f>'الفحوصات المخبرية'!EY99</f>
        <v>223</v>
      </c>
      <c r="EZ10" s="63">
        <f>'الفحوصات المخبرية'!EZ99</f>
        <v>295</v>
      </c>
      <c r="FA10" s="48">
        <f>'الفحوصات المخبرية'!FA99</f>
        <v>71</v>
      </c>
      <c r="FB10" s="49">
        <f>'الفحوصات المخبرية'!FB99</f>
        <v>0</v>
      </c>
      <c r="FC10" s="75">
        <f>'الفحوصات المخبرية'!FC99</f>
        <v>42</v>
      </c>
      <c r="FD10" s="65">
        <f>'الفحوصات المخبرية'!FD99</f>
        <v>0</v>
      </c>
      <c r="FE10" s="60">
        <f>SUM(ER10:FD10)</f>
        <v>1004</v>
      </c>
      <c r="FF10" s="62"/>
      <c r="FG10" s="298"/>
      <c r="FH10" s="413" t="s">
        <v>27</v>
      </c>
      <c r="FI10" s="69" t="s">
        <v>24</v>
      </c>
      <c r="FJ10" s="48">
        <f>'الفحوصات المخبرية'!FJ99</f>
        <v>178</v>
      </c>
      <c r="FK10" s="63">
        <f>'الفحوصات المخبرية'!FK99</f>
        <v>10</v>
      </c>
      <c r="FL10" s="48">
        <f>'الفحوصات المخبرية'!FL99</f>
        <v>14</v>
      </c>
      <c r="FM10" s="51">
        <f>'الفحوصات المخبرية'!FM99</f>
        <v>59</v>
      </c>
      <c r="FN10" s="51">
        <f>'الفحوصات المخبرية'!FN99</f>
        <v>13</v>
      </c>
      <c r="FO10" s="145">
        <f>'الفحوصات المخبرية'!FO99</f>
        <v>0</v>
      </c>
      <c r="FP10" s="49">
        <f>'الفحوصات المخبرية'!FP99</f>
        <v>37</v>
      </c>
      <c r="FQ10" s="50">
        <f>'الفحوصات المخبرية'!FQ99</f>
        <v>245</v>
      </c>
      <c r="FR10" s="63">
        <f>'الفحوصات المخبرية'!FR99</f>
        <v>85</v>
      </c>
      <c r="FS10" s="48">
        <f>'الفحوصات المخبرية'!FS99</f>
        <v>76</v>
      </c>
      <c r="FT10" s="49">
        <f>'الفحوصات المخبرية'!FT99</f>
        <v>0</v>
      </c>
      <c r="FU10" s="75">
        <f>'الفحوصات المخبرية'!FU99</f>
        <v>33</v>
      </c>
      <c r="FV10" s="65">
        <f>'الفحوصات المخبرية'!FV99</f>
        <v>0</v>
      </c>
      <c r="FW10" s="60">
        <f>SUM(FJ10:FV10)</f>
        <v>750</v>
      </c>
      <c r="FX10" s="62"/>
      <c r="FY10" s="298"/>
      <c r="FZ10" s="413" t="s">
        <v>27</v>
      </c>
      <c r="GA10" s="69" t="s">
        <v>24</v>
      </c>
      <c r="GB10" s="48">
        <f>'الفحوصات المخبرية'!GB99</f>
        <v>0</v>
      </c>
      <c r="GC10" s="63">
        <f>'الفحوصات المخبرية'!GC99</f>
        <v>0</v>
      </c>
      <c r="GD10" s="48">
        <f>'الفحوصات المخبرية'!GD99</f>
        <v>0</v>
      </c>
      <c r="GE10" s="51">
        <f>'الفحوصات المخبرية'!GE99</f>
        <v>0</v>
      </c>
      <c r="GF10" s="51">
        <f>'الفحوصات المخبرية'!GF99</f>
        <v>0</v>
      </c>
      <c r="GG10" s="145">
        <f>'الفحوصات المخبرية'!GG99</f>
        <v>0</v>
      </c>
      <c r="GH10" s="49">
        <f>'الفحوصات المخبرية'!GH99</f>
        <v>0</v>
      </c>
      <c r="GI10" s="50">
        <f>'الفحوصات المخبرية'!GI99</f>
        <v>0</v>
      </c>
      <c r="GJ10" s="63">
        <f>'الفحوصات المخبرية'!GJ99</f>
        <v>0</v>
      </c>
      <c r="GK10" s="48">
        <f>'الفحوصات المخبرية'!GK99</f>
        <v>0</v>
      </c>
      <c r="GL10" s="49">
        <f>'الفحوصات المخبرية'!GL99</f>
        <v>0</v>
      </c>
      <c r="GM10" s="75">
        <f>'الفحوصات المخبرية'!GM99</f>
        <v>0</v>
      </c>
      <c r="GN10" s="65">
        <f>'الفحوصات المخبرية'!GN99</f>
        <v>0</v>
      </c>
      <c r="GO10" s="60">
        <f>SUM(GB10:GN10)</f>
        <v>0</v>
      </c>
      <c r="GP10" s="62"/>
      <c r="GQ10" s="298"/>
      <c r="GR10" s="413" t="s">
        <v>27</v>
      </c>
      <c r="GS10" s="69" t="s">
        <v>24</v>
      </c>
      <c r="GT10" s="48">
        <f>'الفحوصات المخبرية'!GT99</f>
        <v>0</v>
      </c>
      <c r="GU10" s="63">
        <f>'الفحوصات المخبرية'!GU99</f>
        <v>0</v>
      </c>
      <c r="GV10" s="48">
        <f>'الفحوصات المخبرية'!GV99</f>
        <v>0</v>
      </c>
      <c r="GW10" s="51">
        <f>'الفحوصات المخبرية'!GW99</f>
        <v>0</v>
      </c>
      <c r="GX10" s="51">
        <f>'الفحوصات المخبرية'!GX99</f>
        <v>0</v>
      </c>
      <c r="GY10" s="145">
        <f>'الفحوصات المخبرية'!GY99</f>
        <v>0</v>
      </c>
      <c r="GZ10" s="49">
        <f>'الفحوصات المخبرية'!GZ99</f>
        <v>0</v>
      </c>
      <c r="HA10" s="50">
        <f>'الفحوصات المخبرية'!HA99</f>
        <v>0</v>
      </c>
      <c r="HB10" s="63">
        <f>'الفحوصات المخبرية'!HB99</f>
        <v>0</v>
      </c>
      <c r="HC10" s="48">
        <f>'الفحوصات المخبرية'!HC99</f>
        <v>0</v>
      </c>
      <c r="HD10" s="49">
        <f>'الفحوصات المخبرية'!HD99</f>
        <v>0</v>
      </c>
      <c r="HE10" s="75">
        <f>'الفحوصات المخبرية'!HE99</f>
        <v>0</v>
      </c>
      <c r="HF10" s="65">
        <f>'الفحوصات المخبرية'!HF99</f>
        <v>0</v>
      </c>
      <c r="HG10" s="60">
        <f>SUM(GT10:HF10)</f>
        <v>0</v>
      </c>
      <c r="HH10" s="62"/>
      <c r="HI10" s="298"/>
      <c r="HJ10" s="413" t="s">
        <v>27</v>
      </c>
      <c r="HK10" s="69" t="s">
        <v>24</v>
      </c>
      <c r="HL10" s="48">
        <f>SUM('الفحوصات المخبرية'!HL99)</f>
        <v>1905</v>
      </c>
      <c r="HM10" s="49">
        <f>SUM('الفحوصات المخبرية'!HM99)</f>
        <v>28</v>
      </c>
      <c r="HN10" s="50">
        <f>SUM('الفحوصات المخبرية'!HN99)</f>
        <v>291</v>
      </c>
      <c r="HO10" s="51">
        <f>SUM('الفحوصات المخبرية'!HO99)</f>
        <v>286</v>
      </c>
      <c r="HP10" s="51">
        <f>SUM('الفحوصات المخبرية'!HP99)</f>
        <v>416</v>
      </c>
      <c r="HQ10" s="73">
        <f>SUM('الفحوصات المخبرية'!HQ99)</f>
        <v>0</v>
      </c>
      <c r="HR10" s="49">
        <f>SUM('الفحوصات المخبرية'!HR99)</f>
        <v>1484</v>
      </c>
      <c r="HS10" s="50">
        <f>SUM('الفحوصات المخبرية'!HS99)</f>
        <v>2071</v>
      </c>
      <c r="HT10" s="49">
        <f>SUM('الفحوصات المخبرية'!HT99)</f>
        <v>1846</v>
      </c>
      <c r="HU10" s="50">
        <f>SUM('الفحوصات المخبرية'!HU99)</f>
        <v>1076</v>
      </c>
      <c r="HV10" s="74">
        <f>SUM('الفحوصات المخبرية'!HV99)</f>
        <v>0</v>
      </c>
      <c r="HW10" s="52">
        <f>SUM('الفحوصات المخبرية'!HW99)</f>
        <v>344</v>
      </c>
      <c r="HX10" s="52">
        <f>SUM('الفحوصات المخبرية'!HX99)</f>
        <v>0</v>
      </c>
      <c r="HY10" s="60">
        <f>SUM(HL10:HX10)</f>
        <v>9747</v>
      </c>
      <c r="HZ10" s="62"/>
    </row>
    <row r="11" spans="1:234" ht="18.75" thickBot="1" x14ac:dyDescent="0.25">
      <c r="A11" s="298"/>
      <c r="B11" s="414"/>
      <c r="C11" s="70" t="s">
        <v>25</v>
      </c>
      <c r="D11" s="53">
        <f>'الفحوصات المخبرية'!D100</f>
        <v>387</v>
      </c>
      <c r="E11" s="64">
        <f>'الفحوصات المخبرية'!E100</f>
        <v>2</v>
      </c>
      <c r="F11" s="53">
        <f>'الفحوصات المخبرية'!F100</f>
        <v>25</v>
      </c>
      <c r="G11" s="56">
        <f>'الفحوصات المخبرية'!G100</f>
        <v>32</v>
      </c>
      <c r="H11" s="56">
        <f>'الفحوصات المخبرية'!H100</f>
        <v>12</v>
      </c>
      <c r="I11" s="56">
        <f>'الفحوصات المخبرية'!I100</f>
        <v>0</v>
      </c>
      <c r="J11" s="54">
        <f>'الفحوصات المخبرية'!J100</f>
        <v>67</v>
      </c>
      <c r="K11" s="55">
        <f>'الفحوصات المخبرية'!K100</f>
        <v>103</v>
      </c>
      <c r="L11" s="64">
        <f>'الفحوصات المخبرية'!L100</f>
        <v>383</v>
      </c>
      <c r="M11" s="53">
        <f>'الفحوصات المخبرية'!M100</f>
        <v>279</v>
      </c>
      <c r="N11" s="54">
        <f>'الفحوصات المخبرية'!N100</f>
        <v>23</v>
      </c>
      <c r="O11" s="76">
        <f>'الفحوصات المخبرية'!O100</f>
        <v>54</v>
      </c>
      <c r="P11" s="66">
        <f>'الفحوصات المخبرية'!P100</f>
        <v>0</v>
      </c>
      <c r="Q11" s="61">
        <f>SUM(D11:P11)</f>
        <v>1367</v>
      </c>
      <c r="R11" s="62"/>
      <c r="S11" s="298"/>
      <c r="T11" s="414"/>
      <c r="U11" s="70" t="s">
        <v>25</v>
      </c>
      <c r="V11" s="53" t="e">
        <f>'الفحوصات المخبرية'!V100</f>
        <v>#VALUE!</v>
      </c>
      <c r="W11" s="64">
        <f>'الفحوصات المخبرية'!W100</f>
        <v>0</v>
      </c>
      <c r="X11" s="53">
        <f>'الفحوصات المخبرية'!X100</f>
        <v>4</v>
      </c>
      <c r="Y11" s="56">
        <f>'الفحوصات المخبرية'!Y100</f>
        <v>10</v>
      </c>
      <c r="Z11" s="56">
        <f>'الفحوصات المخبرية'!Z100</f>
        <v>25</v>
      </c>
      <c r="AA11" s="56">
        <f>'الفحوصات المخبرية'!AA100</f>
        <v>0</v>
      </c>
      <c r="AB11" s="54">
        <f>'الفحوصات المخبرية'!AB100</f>
        <v>85</v>
      </c>
      <c r="AC11" s="55">
        <f>'الفحوصات المخبرية'!AC100</f>
        <v>114</v>
      </c>
      <c r="AD11" s="64">
        <f>'الفحوصات المخبرية'!AD100</f>
        <v>156</v>
      </c>
      <c r="AE11" s="53">
        <f>'الفحوصات المخبرية'!AE100</f>
        <v>73</v>
      </c>
      <c r="AF11" s="54">
        <f>'الفحوصات المخبرية'!AF100</f>
        <v>14</v>
      </c>
      <c r="AG11" s="76">
        <f>'الفحوصات المخبرية'!AG100</f>
        <v>21</v>
      </c>
      <c r="AH11" s="66">
        <f>'الفحوصات المخبرية'!AH100</f>
        <v>0</v>
      </c>
      <c r="AI11" s="61" t="e">
        <f>SUM(V11:AH11)</f>
        <v>#VALUE!</v>
      </c>
      <c r="AJ11" s="62"/>
      <c r="AK11" s="298"/>
      <c r="AL11" s="414"/>
      <c r="AM11" s="70" t="s">
        <v>25</v>
      </c>
      <c r="AN11" s="53">
        <f>'الفحوصات المخبرية'!AN100</f>
        <v>307</v>
      </c>
      <c r="AO11" s="64">
        <f>'الفحوصات المخبرية'!AO100</f>
        <v>12</v>
      </c>
      <c r="AP11" s="53">
        <f>'الفحوصات المخبرية'!AP100</f>
        <v>124</v>
      </c>
      <c r="AQ11" s="56">
        <f>'الفحوصات المخبرية'!AQ100</f>
        <v>39</v>
      </c>
      <c r="AR11" s="56">
        <f>'الفحوصات المخبرية'!AR100</f>
        <v>123</v>
      </c>
      <c r="AS11" s="56">
        <f>'الفحوصات المخبرية'!AS100</f>
        <v>0</v>
      </c>
      <c r="AT11" s="54">
        <f>'الفحوصات المخبرية'!AT100</f>
        <v>395</v>
      </c>
      <c r="AU11" s="55">
        <f>'الفحوصات المخبرية'!AU100</f>
        <v>355</v>
      </c>
      <c r="AV11" s="64">
        <f>'الفحوصات المخبرية'!AV100</f>
        <v>263</v>
      </c>
      <c r="AW11" s="53">
        <f>'الفحوصات المخبرية'!AW100</f>
        <v>159</v>
      </c>
      <c r="AX11" s="54">
        <f>'الفحوصات المخبرية'!AX100</f>
        <v>21</v>
      </c>
      <c r="AY11" s="76">
        <f>'الفحوصات المخبرية'!AY100</f>
        <v>55</v>
      </c>
      <c r="AZ11" s="66">
        <f>'الفحوصات المخبرية'!AZ100</f>
        <v>1</v>
      </c>
      <c r="BA11" s="61">
        <f>SUM(AN11:AZ11)</f>
        <v>1854</v>
      </c>
      <c r="BB11" s="62"/>
      <c r="BC11" s="298"/>
      <c r="BD11" s="414"/>
      <c r="BE11" s="70" t="s">
        <v>25</v>
      </c>
      <c r="BF11" s="53">
        <f>'الفحوصات المخبرية'!BF100</f>
        <v>235</v>
      </c>
      <c r="BG11" s="64">
        <f>'الفحوصات المخبرية'!BG100</f>
        <v>2</v>
      </c>
      <c r="BH11" s="53">
        <f>'الفحوصات المخبرية'!BH100</f>
        <v>71</v>
      </c>
      <c r="BI11" s="56">
        <f>'الفحوصات المخبرية'!BI100</f>
        <v>51</v>
      </c>
      <c r="BJ11" s="56">
        <f>'الفحوصات المخبرية'!BJ100</f>
        <v>204</v>
      </c>
      <c r="BK11" s="56">
        <f>'الفحوصات المخبرية'!BK100</f>
        <v>0</v>
      </c>
      <c r="BL11" s="54">
        <f>'الفحوصات المخبرية'!BL100</f>
        <v>162</v>
      </c>
      <c r="BM11" s="55">
        <f>'الفحوصات المخبرية'!BM100</f>
        <v>222</v>
      </c>
      <c r="BN11" s="64">
        <f>'الفحوصات المخبرية'!BN100</f>
        <v>174</v>
      </c>
      <c r="BO11" s="53">
        <f>'الفحوصات المخبرية'!BO100</f>
        <v>154</v>
      </c>
      <c r="BP11" s="54">
        <f>'الفحوصات المخبرية'!BP100</f>
        <v>14</v>
      </c>
      <c r="BQ11" s="76">
        <f>'الفحوصات المخبرية'!BQ100</f>
        <v>90</v>
      </c>
      <c r="BR11" s="66">
        <f>'الفحوصات المخبرية'!BR100</f>
        <v>0</v>
      </c>
      <c r="BS11" s="61">
        <f>SUM(BF11:BR11)</f>
        <v>1379</v>
      </c>
      <c r="BT11" s="62"/>
      <c r="BU11" s="298"/>
      <c r="BV11" s="414"/>
      <c r="BW11" s="70" t="s">
        <v>25</v>
      </c>
      <c r="BX11" s="53">
        <f>'الفحوصات المخبرية'!BX100</f>
        <v>251</v>
      </c>
      <c r="BY11" s="64">
        <f>'الفحوصات المخبرية'!BY100</f>
        <v>0</v>
      </c>
      <c r="BZ11" s="53">
        <f>'الفحوصات المخبرية'!BZ100</f>
        <v>88</v>
      </c>
      <c r="CA11" s="56">
        <f>'الفحوصات المخبرية'!CA100</f>
        <v>82</v>
      </c>
      <c r="CB11" s="56">
        <f>'الفحوصات المخبرية'!CB100</f>
        <v>149</v>
      </c>
      <c r="CC11" s="56">
        <f>'الفحوصات المخبرية'!CC100</f>
        <v>0</v>
      </c>
      <c r="CD11" s="54">
        <f>'الفحوصات المخبرية'!CD100</f>
        <v>187</v>
      </c>
      <c r="CE11" s="55">
        <f>'الفحوصات المخبرية'!CE100</f>
        <v>501</v>
      </c>
      <c r="CF11" s="64">
        <f>'الفحوصات المخبرية'!CF100</f>
        <v>315</v>
      </c>
      <c r="CG11" s="53">
        <f>'الفحوصات المخبرية'!CG100</f>
        <v>38</v>
      </c>
      <c r="CH11" s="54">
        <f>'الفحوصات المخبرية'!CH100</f>
        <v>57</v>
      </c>
      <c r="CI11" s="76">
        <f>'الفحوصات المخبرية'!CI100</f>
        <v>17</v>
      </c>
      <c r="CJ11" s="66">
        <f>'الفحوصات المخبرية'!CJ100</f>
        <v>0</v>
      </c>
      <c r="CK11" s="61">
        <f>SUM(BX11:CJ11)</f>
        <v>1685</v>
      </c>
      <c r="CL11" s="62"/>
      <c r="CM11" s="298"/>
      <c r="CN11" s="414"/>
      <c r="CO11" s="70" t="s">
        <v>25</v>
      </c>
      <c r="CP11" s="53">
        <f>'الفحوصات المخبرية'!CP100</f>
        <v>156</v>
      </c>
      <c r="CQ11" s="64">
        <f>'الفحوصات المخبرية'!CQ100</f>
        <v>2</v>
      </c>
      <c r="CR11" s="53">
        <f>'الفحوصات المخبرية'!CR100</f>
        <v>23</v>
      </c>
      <c r="CS11" s="56">
        <f>'الفحوصات المخبرية'!CS100</f>
        <v>37</v>
      </c>
      <c r="CT11" s="56">
        <f>'الفحوصات المخبرية'!CT100</f>
        <v>58</v>
      </c>
      <c r="CU11" s="56">
        <f>'الفحوصات المخبرية'!CU100</f>
        <v>0</v>
      </c>
      <c r="CV11" s="54">
        <f>'الفحوصات المخبرية'!CV100</f>
        <v>328</v>
      </c>
      <c r="CW11" s="55">
        <f>'الفحوصات المخبرية'!CW100</f>
        <v>155</v>
      </c>
      <c r="CX11" s="64">
        <f>'الفحوصات المخبرية'!CX100</f>
        <v>100</v>
      </c>
      <c r="CY11" s="53">
        <f>'الفحوصات المخبرية'!CY100</f>
        <v>150</v>
      </c>
      <c r="CZ11" s="54">
        <f>'الفحوصات المخبرية'!CZ100</f>
        <v>59</v>
      </c>
      <c r="DA11" s="76">
        <f>'الفحوصات المخبرية'!DA100</f>
        <v>59</v>
      </c>
      <c r="DB11" s="66">
        <f>'الفحوصات المخبرية'!DB100</f>
        <v>0</v>
      </c>
      <c r="DC11" s="61">
        <f>SUM(CP11:DB11)</f>
        <v>1127</v>
      </c>
      <c r="DD11" s="62"/>
      <c r="DE11" s="298"/>
      <c r="DF11" s="414"/>
      <c r="DG11" s="70" t="s">
        <v>25</v>
      </c>
      <c r="DH11" s="53">
        <f>'الفحوصات المخبرية'!DH100</f>
        <v>211</v>
      </c>
      <c r="DI11" s="64">
        <f>'الفحوصات المخبرية'!DI100</f>
        <v>0</v>
      </c>
      <c r="DJ11" s="53">
        <f>'الفحوصات المخبرية'!DJ100</f>
        <v>19</v>
      </c>
      <c r="DK11" s="56">
        <f>'الفحوصات المخبرية'!DK100</f>
        <v>13</v>
      </c>
      <c r="DL11" s="56">
        <f>'الفحوصات المخبرية'!DL100</f>
        <v>25</v>
      </c>
      <c r="DM11" s="56">
        <f>'الفحوصات المخبرية'!DM100</f>
        <v>0</v>
      </c>
      <c r="DN11" s="54">
        <f>'الفحوصات المخبرية'!DN100</f>
        <v>92</v>
      </c>
      <c r="DO11" s="55">
        <f>'الفحوصات المخبرية'!DO100</f>
        <v>221</v>
      </c>
      <c r="DP11" s="64">
        <f>'الفحوصات المخبرية'!DP100</f>
        <v>198</v>
      </c>
      <c r="DQ11" s="53">
        <f>'الفحوصات المخبرية'!DQ100</f>
        <v>151</v>
      </c>
      <c r="DR11" s="54">
        <f>'الفحوصات المخبرية'!DR100</f>
        <v>30</v>
      </c>
      <c r="DS11" s="76">
        <f>'الفحوصات المخبرية'!DS100</f>
        <v>59</v>
      </c>
      <c r="DT11" s="66">
        <f>'الفحوصات المخبرية'!DT100</f>
        <v>0</v>
      </c>
      <c r="DU11" s="61">
        <f>SUM(DH11:DT11)</f>
        <v>1019</v>
      </c>
      <c r="DV11" s="62"/>
      <c r="DW11" s="298"/>
      <c r="DX11" s="414"/>
      <c r="DY11" s="70" t="s">
        <v>25</v>
      </c>
      <c r="DZ11" s="53">
        <f>'الفحوصات المخبرية'!DZ100</f>
        <v>162</v>
      </c>
      <c r="EA11" s="64">
        <f>'الفحوصات المخبرية'!EA100</f>
        <v>2</v>
      </c>
      <c r="EB11" s="53">
        <f>'الفحوصات المخبرية'!EB100</f>
        <v>23</v>
      </c>
      <c r="EC11" s="56">
        <f>'الفحوصات المخبرية'!EC100</f>
        <v>45</v>
      </c>
      <c r="ED11" s="56">
        <f>'الفحوصات المخبرية'!ED100</f>
        <v>58</v>
      </c>
      <c r="EE11" s="56">
        <f>'الفحوصات المخبرية'!EE100</f>
        <v>0</v>
      </c>
      <c r="EF11" s="54">
        <f>'الفحوصات المخبرية'!EF100</f>
        <v>321</v>
      </c>
      <c r="EG11" s="55">
        <f>'الفحوصات المخبرية'!EG100</f>
        <v>162</v>
      </c>
      <c r="EH11" s="64">
        <f>'الفحوصات المخبرية'!EH100</f>
        <v>97</v>
      </c>
      <c r="EI11" s="53">
        <f>'الفحوصات المخبرية'!EI100</f>
        <v>150</v>
      </c>
      <c r="EJ11" s="54">
        <f>'الفحوصات المخبرية'!EJ100</f>
        <v>59</v>
      </c>
      <c r="EK11" s="76">
        <f>'الفحوصات المخبرية'!EK100</f>
        <v>59</v>
      </c>
      <c r="EL11" s="66">
        <f>'الفحوصات المخبرية'!EL100</f>
        <v>0</v>
      </c>
      <c r="EM11" s="61">
        <f>SUM(DZ11:EL11)</f>
        <v>1138</v>
      </c>
      <c r="EN11" s="62"/>
      <c r="EO11" s="298"/>
      <c r="EP11" s="414"/>
      <c r="EQ11" s="70" t="s">
        <v>25</v>
      </c>
      <c r="ER11" s="53">
        <f>'الفحوصات المخبرية'!ER100</f>
        <v>170</v>
      </c>
      <c r="ES11" s="64">
        <f>'الفحوصات المخبرية'!ES100</f>
        <v>4</v>
      </c>
      <c r="ET11" s="53">
        <f>'الفحوصات المخبرية'!ET100</f>
        <v>59</v>
      </c>
      <c r="EU11" s="56">
        <f>'الفحوصات المخبرية'!EU100</f>
        <v>148</v>
      </c>
      <c r="EV11" s="56">
        <f>'الفحوصات المخبرية'!EV100</f>
        <v>101</v>
      </c>
      <c r="EW11" s="56">
        <f>'الفحوصات المخبرية'!EW100</f>
        <v>0</v>
      </c>
      <c r="EX11" s="54">
        <f>'الفحوصات المخبرية'!EX100</f>
        <v>123</v>
      </c>
      <c r="EY11" s="55">
        <f>'الفحوصات المخبرية'!EY100</f>
        <v>334</v>
      </c>
      <c r="EZ11" s="64">
        <f>'الفحوصات المخبرية'!EZ100</f>
        <v>432</v>
      </c>
      <c r="FA11" s="53">
        <f>'الفحوصات المخبرية'!FA100</f>
        <v>127</v>
      </c>
      <c r="FB11" s="54">
        <f>'الفحوصات المخبرية'!FB100</f>
        <v>65</v>
      </c>
      <c r="FC11" s="76">
        <f>'الفحوصات المخبرية'!FC100</f>
        <v>56</v>
      </c>
      <c r="FD11" s="66">
        <f>'الفحوصات المخبرية'!FD100</f>
        <v>0</v>
      </c>
      <c r="FE11" s="61">
        <f>SUM(ER11:FD11)</f>
        <v>1619</v>
      </c>
      <c r="FF11" s="62"/>
      <c r="FG11" s="298"/>
      <c r="FH11" s="414"/>
      <c r="FI11" s="70" t="s">
        <v>25</v>
      </c>
      <c r="FJ11" s="53">
        <f>'الفحوصات المخبرية'!FJ100</f>
        <v>175</v>
      </c>
      <c r="FK11" s="64">
        <f>'الفحوصات المخبرية'!FK100</f>
        <v>20</v>
      </c>
      <c r="FL11" s="53">
        <f>'الفحوصات المخبرية'!FL100</f>
        <v>32</v>
      </c>
      <c r="FM11" s="56">
        <f>'الفحوصات المخبرية'!FM100</f>
        <v>88</v>
      </c>
      <c r="FN11" s="56">
        <f>'الفحوصات المخبرية'!FN100</f>
        <v>22</v>
      </c>
      <c r="FO11" s="56">
        <f>'الفحوصات المخبرية'!FO100</f>
        <v>0</v>
      </c>
      <c r="FP11" s="54">
        <f>'الفحوصات المخبرية'!FP100</f>
        <v>189</v>
      </c>
      <c r="FQ11" s="55">
        <f>'الفحوصات المخبرية'!FQ100</f>
        <v>263</v>
      </c>
      <c r="FR11" s="64">
        <f>'الفحوصات المخبرية'!FR100</f>
        <v>100</v>
      </c>
      <c r="FS11" s="53">
        <f>'الفحوصات المخبرية'!FS100</f>
        <v>132</v>
      </c>
      <c r="FT11" s="54">
        <f>'الفحوصات المخبرية'!FT100</f>
        <v>40</v>
      </c>
      <c r="FU11" s="76">
        <f>'الفحوصات المخبرية'!FU100</f>
        <v>60</v>
      </c>
      <c r="FV11" s="66">
        <f>'الفحوصات المخبرية'!FV100</f>
        <v>0</v>
      </c>
      <c r="FW11" s="61">
        <f>SUM(FJ11:FV11)</f>
        <v>1121</v>
      </c>
      <c r="FX11" s="62"/>
      <c r="FY11" s="298"/>
      <c r="FZ11" s="414"/>
      <c r="GA11" s="70" t="s">
        <v>25</v>
      </c>
      <c r="GB11" s="53">
        <f>'الفحوصات المخبرية'!GB100</f>
        <v>0</v>
      </c>
      <c r="GC11" s="64">
        <f>'الفحوصات المخبرية'!GC100</f>
        <v>0</v>
      </c>
      <c r="GD11" s="53">
        <f>'الفحوصات المخبرية'!GD100</f>
        <v>0</v>
      </c>
      <c r="GE11" s="56">
        <f>'الفحوصات المخبرية'!GE100</f>
        <v>0</v>
      </c>
      <c r="GF11" s="56">
        <f>'الفحوصات المخبرية'!GF100</f>
        <v>0</v>
      </c>
      <c r="GG11" s="56">
        <f>'الفحوصات المخبرية'!GG100</f>
        <v>0</v>
      </c>
      <c r="GH11" s="54">
        <f>'الفحوصات المخبرية'!GH100</f>
        <v>0</v>
      </c>
      <c r="GI11" s="55">
        <f>'الفحوصات المخبرية'!GI100</f>
        <v>0</v>
      </c>
      <c r="GJ11" s="64">
        <f>'الفحوصات المخبرية'!GJ100</f>
        <v>0</v>
      </c>
      <c r="GK11" s="53">
        <f>'الفحوصات المخبرية'!GK100</f>
        <v>0</v>
      </c>
      <c r="GL11" s="54">
        <f>'الفحوصات المخبرية'!GL100</f>
        <v>0</v>
      </c>
      <c r="GM11" s="76">
        <f>'الفحوصات المخبرية'!GM100</f>
        <v>0</v>
      </c>
      <c r="GN11" s="66">
        <f>'الفحوصات المخبرية'!GN100</f>
        <v>0</v>
      </c>
      <c r="GO11" s="61">
        <f>SUM(GB11:GN11)</f>
        <v>0</v>
      </c>
      <c r="GP11" s="62"/>
      <c r="GQ11" s="298"/>
      <c r="GR11" s="414"/>
      <c r="GS11" s="70" t="s">
        <v>25</v>
      </c>
      <c r="GT11" s="53">
        <f>'الفحوصات المخبرية'!GT100</f>
        <v>0</v>
      </c>
      <c r="GU11" s="64">
        <f>'الفحوصات المخبرية'!GU100</f>
        <v>0</v>
      </c>
      <c r="GV11" s="53">
        <f>'الفحوصات المخبرية'!GV100</f>
        <v>0</v>
      </c>
      <c r="GW11" s="56">
        <f>'الفحوصات المخبرية'!GW100</f>
        <v>0</v>
      </c>
      <c r="GX11" s="56">
        <f>'الفحوصات المخبرية'!GX100</f>
        <v>0</v>
      </c>
      <c r="GY11" s="56">
        <f>'الفحوصات المخبرية'!GY100</f>
        <v>0</v>
      </c>
      <c r="GZ11" s="54">
        <f>'الفحوصات المخبرية'!GZ100</f>
        <v>0</v>
      </c>
      <c r="HA11" s="55">
        <f>'الفحوصات المخبرية'!HA100</f>
        <v>0</v>
      </c>
      <c r="HB11" s="64">
        <f>'الفحوصات المخبرية'!HB100</f>
        <v>0</v>
      </c>
      <c r="HC11" s="53">
        <f>'الفحوصات المخبرية'!HC100</f>
        <v>0</v>
      </c>
      <c r="HD11" s="54">
        <f>'الفحوصات المخبرية'!HD100</f>
        <v>0</v>
      </c>
      <c r="HE11" s="76">
        <f>'الفحوصات المخبرية'!HE100</f>
        <v>0</v>
      </c>
      <c r="HF11" s="66">
        <f>'الفحوصات المخبرية'!HF100</f>
        <v>0</v>
      </c>
      <c r="HG11" s="61">
        <f>SUM(GT11:HF11)</f>
        <v>0</v>
      </c>
      <c r="HH11" s="62"/>
      <c r="HI11" s="298"/>
      <c r="HJ11" s="414"/>
      <c r="HK11" s="70" t="s">
        <v>25</v>
      </c>
      <c r="HL11" s="53" t="e">
        <f>SUM('الفحوصات المخبرية'!HL100)</f>
        <v>#VALUE!</v>
      </c>
      <c r="HM11" s="54">
        <f>SUM('الفحوصات المخبرية'!HM100)</f>
        <v>44</v>
      </c>
      <c r="HN11" s="55">
        <f>SUM('الفحوصات المخبرية'!HN100)</f>
        <v>468</v>
      </c>
      <c r="HO11" s="56">
        <f>SUM('الفحوصات المخبرية'!HO100)</f>
        <v>545</v>
      </c>
      <c r="HP11" s="56">
        <f>SUM('الفحوصات المخبرية'!HP100)</f>
        <v>777</v>
      </c>
      <c r="HQ11" s="56">
        <f>SUM('الفحوصات المخبرية'!HQ100)</f>
        <v>0</v>
      </c>
      <c r="HR11" s="54">
        <f>SUM('الفحوصات المخبرية'!HR100)</f>
        <v>1949</v>
      </c>
      <c r="HS11" s="55">
        <f>SUM('الفحوصات المخبرية'!HS100)</f>
        <v>2430</v>
      </c>
      <c r="HT11" s="54">
        <f>SUM('الفحوصات المخبرية'!HT100)</f>
        <v>2218</v>
      </c>
      <c r="HU11" s="55">
        <f>SUM('الفحوصات المخبرية'!HU100)</f>
        <v>1413</v>
      </c>
      <c r="HV11" s="54">
        <f>SUM('الفحوصات المخبرية'!HV100)</f>
        <v>382</v>
      </c>
      <c r="HW11" s="57">
        <f>SUM('الفحوصات المخبرية'!HW100)</f>
        <v>530</v>
      </c>
      <c r="HX11" s="57">
        <f>SUM('الفحوصات المخبرية'!HX100)</f>
        <v>1</v>
      </c>
      <c r="HY11" s="61" t="e">
        <f>SUM(HL11:HX11)</f>
        <v>#VALUE!</v>
      </c>
      <c r="HZ11" s="62"/>
    </row>
    <row r="12" spans="1:234" ht="18.75" thickBot="1" x14ac:dyDescent="0.25">
      <c r="A12" s="298"/>
      <c r="B12" s="418" t="s">
        <v>34</v>
      </c>
      <c r="C12" s="419"/>
      <c r="D12" s="410">
        <f>SUM(D10:E11)</f>
        <v>587</v>
      </c>
      <c r="E12" s="411"/>
      <c r="F12" s="410">
        <f>SUM(F10:J11)</f>
        <v>189</v>
      </c>
      <c r="G12" s="412"/>
      <c r="H12" s="412"/>
      <c r="I12" s="412"/>
      <c r="J12" s="411"/>
      <c r="K12" s="410">
        <f>SUM(K10:L11)</f>
        <v>886</v>
      </c>
      <c r="L12" s="411"/>
      <c r="M12" s="410">
        <f>SUM(M10:N11)</f>
        <v>462</v>
      </c>
      <c r="N12" s="411"/>
      <c r="O12" s="58">
        <f>SUM(O10:O11)</f>
        <v>89</v>
      </c>
      <c r="P12" s="58">
        <f>SUM(P10:P11)</f>
        <v>0</v>
      </c>
      <c r="Q12" s="59">
        <f>SUM(Q10:Q11)</f>
        <v>2213</v>
      </c>
      <c r="R12" s="62"/>
      <c r="S12" s="298"/>
      <c r="T12" s="418" t="s">
        <v>34</v>
      </c>
      <c r="U12" s="419"/>
      <c r="V12" s="410" t="e">
        <f>SUM(V10:W11)</f>
        <v>#VALUE!</v>
      </c>
      <c r="W12" s="411"/>
      <c r="X12" s="410">
        <f>SUM(X10:AB11)</f>
        <v>258</v>
      </c>
      <c r="Y12" s="412"/>
      <c r="Z12" s="412"/>
      <c r="AA12" s="412"/>
      <c r="AB12" s="411"/>
      <c r="AC12" s="410">
        <f>SUM(AC10:AD11)</f>
        <v>502</v>
      </c>
      <c r="AD12" s="411"/>
      <c r="AE12" s="410">
        <f>SUM(AE10:AF11)</f>
        <v>179</v>
      </c>
      <c r="AF12" s="411"/>
      <c r="AG12" s="58">
        <f>SUM(AG10:AG11)</f>
        <v>39</v>
      </c>
      <c r="AH12" s="58">
        <f>SUM(AH10:AH11)</f>
        <v>0</v>
      </c>
      <c r="AI12" s="59" t="e">
        <f>SUM(AI10:AI11)</f>
        <v>#VALUE!</v>
      </c>
      <c r="AJ12" s="62"/>
      <c r="AK12" s="298"/>
      <c r="AL12" s="418" t="s">
        <v>34</v>
      </c>
      <c r="AM12" s="419"/>
      <c r="AN12" s="410">
        <f>SUM(AN10:AO11)</f>
        <v>622</v>
      </c>
      <c r="AO12" s="411"/>
      <c r="AP12" s="410">
        <f>SUM(AP10:AT11)</f>
        <v>1112</v>
      </c>
      <c r="AQ12" s="412"/>
      <c r="AR12" s="412"/>
      <c r="AS12" s="412"/>
      <c r="AT12" s="411"/>
      <c r="AU12" s="410">
        <f>SUM(AU10:AV11)</f>
        <v>1180</v>
      </c>
      <c r="AV12" s="411"/>
      <c r="AW12" s="410">
        <f>SUM(AW10:AX11)</f>
        <v>264</v>
      </c>
      <c r="AX12" s="411"/>
      <c r="AY12" s="58">
        <f>SUM(AY10:AY11)</f>
        <v>93</v>
      </c>
      <c r="AZ12" s="58">
        <f>SUM(AZ10:AZ11)</f>
        <v>1</v>
      </c>
      <c r="BA12" s="59">
        <f>SUM(BA10:BA11)</f>
        <v>3272</v>
      </c>
      <c r="BB12" s="62"/>
      <c r="BC12" s="298"/>
      <c r="BD12" s="418" t="s">
        <v>34</v>
      </c>
      <c r="BE12" s="419"/>
      <c r="BF12" s="410">
        <f>SUM(BF10:BG11)</f>
        <v>487</v>
      </c>
      <c r="BG12" s="411"/>
      <c r="BH12" s="410">
        <f>SUM(BH10:BL11)</f>
        <v>707</v>
      </c>
      <c r="BI12" s="412"/>
      <c r="BJ12" s="412"/>
      <c r="BK12" s="412"/>
      <c r="BL12" s="411"/>
      <c r="BM12" s="410">
        <f>SUM(BM10:BN11)</f>
        <v>762</v>
      </c>
      <c r="BN12" s="411"/>
      <c r="BO12" s="410">
        <f>SUM(BO10:BP11)</f>
        <v>252</v>
      </c>
      <c r="BP12" s="411"/>
      <c r="BQ12" s="58">
        <f>SUM(BQ10:BQ11)</f>
        <v>126</v>
      </c>
      <c r="BR12" s="58">
        <f>SUM(BR10:BR11)</f>
        <v>0</v>
      </c>
      <c r="BS12" s="59">
        <f>SUM(BS10:BS11)</f>
        <v>2334</v>
      </c>
      <c r="BT12" s="62"/>
      <c r="BU12" s="298"/>
      <c r="BV12" s="418" t="s">
        <v>34</v>
      </c>
      <c r="BW12" s="419"/>
      <c r="BX12" s="410">
        <f>SUM(BX10:BY11)</f>
        <v>541</v>
      </c>
      <c r="BY12" s="411"/>
      <c r="BZ12" s="410">
        <f>SUM(BZ10:CD11)</f>
        <v>1007</v>
      </c>
      <c r="CA12" s="412"/>
      <c r="CB12" s="412"/>
      <c r="CC12" s="412"/>
      <c r="CD12" s="411"/>
      <c r="CE12" s="410">
        <f>SUM(CE10:CF11)</f>
        <v>1454</v>
      </c>
      <c r="CF12" s="411"/>
      <c r="CG12" s="410">
        <f>SUM(CG10:CH11)</f>
        <v>309</v>
      </c>
      <c r="CH12" s="411"/>
      <c r="CI12" s="58">
        <f>SUM(CI10:CI11)</f>
        <v>38</v>
      </c>
      <c r="CJ12" s="58">
        <f>SUM(CJ10:CJ11)</f>
        <v>0</v>
      </c>
      <c r="CK12" s="59">
        <f>SUM(CK10:CK11)</f>
        <v>3349</v>
      </c>
      <c r="CL12" s="62"/>
      <c r="CM12" s="298"/>
      <c r="CN12" s="418" t="s">
        <v>34</v>
      </c>
      <c r="CO12" s="419"/>
      <c r="CP12" s="410">
        <f>SUM(CP10:CQ11)</f>
        <v>279</v>
      </c>
      <c r="CQ12" s="411"/>
      <c r="CR12" s="410">
        <f>SUM(CR10:CV11)</f>
        <v>772</v>
      </c>
      <c r="CS12" s="412"/>
      <c r="CT12" s="412"/>
      <c r="CU12" s="412"/>
      <c r="CV12" s="411"/>
      <c r="CW12" s="410">
        <f>SUM(CW10:CX11)</f>
        <v>474</v>
      </c>
      <c r="CX12" s="411"/>
      <c r="CY12" s="410">
        <f>SUM(CY10:CZ11)</f>
        <v>290</v>
      </c>
      <c r="CZ12" s="411"/>
      <c r="DA12" s="58">
        <f>SUM(DA10:DA11)</f>
        <v>102</v>
      </c>
      <c r="DB12" s="58">
        <f>SUM(DB10:DB11)</f>
        <v>0</v>
      </c>
      <c r="DC12" s="59">
        <f>SUM(DC10:DC11)</f>
        <v>1917</v>
      </c>
      <c r="DD12" s="62"/>
      <c r="DE12" s="298"/>
      <c r="DF12" s="418" t="s">
        <v>34</v>
      </c>
      <c r="DG12" s="419"/>
      <c r="DH12" s="410">
        <f>SUM(DH10:DI11)</f>
        <v>409</v>
      </c>
      <c r="DI12" s="411"/>
      <c r="DJ12" s="410">
        <f>SUM(DJ10:DN11)</f>
        <v>290</v>
      </c>
      <c r="DK12" s="412"/>
      <c r="DL12" s="412"/>
      <c r="DM12" s="412"/>
      <c r="DN12" s="411"/>
      <c r="DO12" s="410">
        <f>SUM(DO10:DP11)</f>
        <v>832</v>
      </c>
      <c r="DP12" s="411"/>
      <c r="DQ12" s="410">
        <f>SUM(DQ10:DR11)</f>
        <v>314</v>
      </c>
      <c r="DR12" s="411"/>
      <c r="DS12" s="58">
        <f>SUM(DS10:DS11)</f>
        <v>94</v>
      </c>
      <c r="DT12" s="58">
        <f>SUM(DT10:DT11)</f>
        <v>0</v>
      </c>
      <c r="DU12" s="59">
        <f>SUM(DU10:DU11)</f>
        <v>1939</v>
      </c>
      <c r="DV12" s="62"/>
      <c r="DW12" s="298"/>
      <c r="DX12" s="418" t="s">
        <v>34</v>
      </c>
      <c r="DY12" s="419"/>
      <c r="DZ12" s="410">
        <f>SUM(DZ10:EA11)</f>
        <v>298</v>
      </c>
      <c r="EA12" s="411"/>
      <c r="EB12" s="410">
        <f>SUM(EB10:EF11)</f>
        <v>761</v>
      </c>
      <c r="EC12" s="412"/>
      <c r="ED12" s="412"/>
      <c r="EE12" s="412"/>
      <c r="EF12" s="411"/>
      <c r="EG12" s="410">
        <f>SUM(EG10:EH11)</f>
        <v>498</v>
      </c>
      <c r="EH12" s="411"/>
      <c r="EI12" s="410">
        <f>SUM(EI10:EJ11)</f>
        <v>290</v>
      </c>
      <c r="EJ12" s="411"/>
      <c r="EK12" s="58">
        <f>SUM(EK10:EK11)</f>
        <v>102</v>
      </c>
      <c r="EL12" s="58">
        <f>SUM(EL10:EL11)</f>
        <v>0</v>
      </c>
      <c r="EM12" s="59">
        <f>SUM(EM10:EM11)</f>
        <v>1949</v>
      </c>
      <c r="EN12" s="62"/>
      <c r="EO12" s="298"/>
      <c r="EP12" s="418" t="s">
        <v>34</v>
      </c>
      <c r="EQ12" s="419"/>
      <c r="ER12" s="410">
        <f>SUM(ER10:ES11)</f>
        <v>312</v>
      </c>
      <c r="ES12" s="411"/>
      <c r="ET12" s="410">
        <f>SUM(ET10:EX11)</f>
        <v>666</v>
      </c>
      <c r="EU12" s="412"/>
      <c r="EV12" s="412"/>
      <c r="EW12" s="412"/>
      <c r="EX12" s="411"/>
      <c r="EY12" s="410">
        <f>SUM(EY10:EZ11)</f>
        <v>1284</v>
      </c>
      <c r="EZ12" s="411"/>
      <c r="FA12" s="410">
        <f>SUM(FA10:FB11)</f>
        <v>263</v>
      </c>
      <c r="FB12" s="411"/>
      <c r="FC12" s="58">
        <f>SUM(FC10:FC11)</f>
        <v>98</v>
      </c>
      <c r="FD12" s="58">
        <f>SUM(FD10:FD11)</f>
        <v>0</v>
      </c>
      <c r="FE12" s="59">
        <f>SUM(FE10:FE11)</f>
        <v>2623</v>
      </c>
      <c r="FF12" s="62"/>
      <c r="FG12" s="298"/>
      <c r="FH12" s="418" t="s">
        <v>34</v>
      </c>
      <c r="FI12" s="419"/>
      <c r="FJ12" s="410">
        <f>SUM(FJ10:FK11)</f>
        <v>383</v>
      </c>
      <c r="FK12" s="411"/>
      <c r="FL12" s="410">
        <f>SUM(FL10:FP11)</f>
        <v>454</v>
      </c>
      <c r="FM12" s="412"/>
      <c r="FN12" s="412"/>
      <c r="FO12" s="412"/>
      <c r="FP12" s="411"/>
      <c r="FQ12" s="410">
        <f>SUM(FQ10:FR11)</f>
        <v>693</v>
      </c>
      <c r="FR12" s="411"/>
      <c r="FS12" s="410">
        <f>SUM(FS10:FT11)</f>
        <v>248</v>
      </c>
      <c r="FT12" s="411"/>
      <c r="FU12" s="58">
        <f>SUM(FU10:FU11)</f>
        <v>93</v>
      </c>
      <c r="FV12" s="58">
        <f>SUM(FV10:FV11)</f>
        <v>0</v>
      </c>
      <c r="FW12" s="59">
        <f>SUM(FW10:FW11)</f>
        <v>1871</v>
      </c>
      <c r="FX12" s="62"/>
      <c r="FY12" s="298"/>
      <c r="FZ12" s="418" t="s">
        <v>34</v>
      </c>
      <c r="GA12" s="419"/>
      <c r="GB12" s="410">
        <f>SUM(GB10:GC11)</f>
        <v>0</v>
      </c>
      <c r="GC12" s="411"/>
      <c r="GD12" s="410">
        <f>SUM(GD10:GH11)</f>
        <v>0</v>
      </c>
      <c r="GE12" s="412"/>
      <c r="GF12" s="412"/>
      <c r="GG12" s="412"/>
      <c r="GH12" s="411"/>
      <c r="GI12" s="410">
        <f>SUM(GI10:GJ11)</f>
        <v>0</v>
      </c>
      <c r="GJ12" s="411"/>
      <c r="GK12" s="410">
        <f>SUM(GK10:GL11)</f>
        <v>0</v>
      </c>
      <c r="GL12" s="411"/>
      <c r="GM12" s="58">
        <f>SUM(GM10:GM11)</f>
        <v>0</v>
      </c>
      <c r="GN12" s="58">
        <f>SUM(GN10:GN11)</f>
        <v>0</v>
      </c>
      <c r="GO12" s="59">
        <f>SUM(GO10:GO11)</f>
        <v>0</v>
      </c>
      <c r="GP12" s="62"/>
      <c r="GQ12" s="298"/>
      <c r="GR12" s="418" t="s">
        <v>34</v>
      </c>
      <c r="GS12" s="419"/>
      <c r="GT12" s="410">
        <f>SUM(GT10:GU11)</f>
        <v>0</v>
      </c>
      <c r="GU12" s="411"/>
      <c r="GV12" s="410">
        <f>SUM(GV10:GZ11)</f>
        <v>0</v>
      </c>
      <c r="GW12" s="412"/>
      <c r="GX12" s="412"/>
      <c r="GY12" s="412"/>
      <c r="GZ12" s="411"/>
      <c r="HA12" s="410">
        <f>SUM(HA10:HB11)</f>
        <v>0</v>
      </c>
      <c r="HB12" s="411"/>
      <c r="HC12" s="410">
        <f>SUM(HC10:HD11)</f>
        <v>0</v>
      </c>
      <c r="HD12" s="411"/>
      <c r="HE12" s="58">
        <f>SUM(HE10:HE11)</f>
        <v>0</v>
      </c>
      <c r="HF12" s="58">
        <f>SUM(HF10:HF11)</f>
        <v>0</v>
      </c>
      <c r="HG12" s="59">
        <f>SUM(HG10:HG11)</f>
        <v>0</v>
      </c>
      <c r="HH12" s="62"/>
      <c r="HI12" s="298"/>
      <c r="HJ12" s="418" t="s">
        <v>34</v>
      </c>
      <c r="HK12" s="419"/>
      <c r="HL12" s="410" t="e">
        <f>SUM(HL10:HM11)</f>
        <v>#VALUE!</v>
      </c>
      <c r="HM12" s="411"/>
      <c r="HN12" s="410">
        <f>SUM(HN10:HR11)</f>
        <v>6216</v>
      </c>
      <c r="HO12" s="412"/>
      <c r="HP12" s="412"/>
      <c r="HQ12" s="412"/>
      <c r="HR12" s="411"/>
      <c r="HS12" s="410">
        <f>SUM(HS10:HT11)</f>
        <v>8565</v>
      </c>
      <c r="HT12" s="411"/>
      <c r="HU12" s="410">
        <f>SUM(HU10:HV11)</f>
        <v>2871</v>
      </c>
      <c r="HV12" s="411"/>
      <c r="HW12" s="58">
        <f>SUM(HW10:HW11)</f>
        <v>874</v>
      </c>
      <c r="HX12" s="58">
        <f>SUM(HX10:HX11)</f>
        <v>1</v>
      </c>
      <c r="HY12" s="59" t="e">
        <f>SUM(HY10:HY11)</f>
        <v>#VALUE!</v>
      </c>
      <c r="HZ12" s="62"/>
    </row>
    <row r="13" spans="1:234" ht="18.75" thickBot="1" x14ac:dyDescent="0.25">
      <c r="A13" s="299"/>
      <c r="B13" s="408" t="s">
        <v>29</v>
      </c>
      <c r="C13" s="409"/>
      <c r="D13" s="415">
        <f>SUM(D9+D12)</f>
        <v>4798</v>
      </c>
      <c r="E13" s="416"/>
      <c r="F13" s="415">
        <f>SUM(F9+F12)</f>
        <v>3460</v>
      </c>
      <c r="G13" s="417"/>
      <c r="H13" s="417"/>
      <c r="I13" s="417"/>
      <c r="J13" s="416"/>
      <c r="K13" s="415">
        <f>SUM(K9+K12)</f>
        <v>7512</v>
      </c>
      <c r="L13" s="416"/>
      <c r="M13" s="415">
        <f>SUM(M9+M12)</f>
        <v>2329</v>
      </c>
      <c r="N13" s="416"/>
      <c r="O13" s="71">
        <f>SUM(O9+O12)</f>
        <v>333</v>
      </c>
      <c r="P13" s="71">
        <f>SUM(P9+P12)</f>
        <v>0</v>
      </c>
      <c r="Q13" s="72">
        <f>SUM(Q9+Q12)</f>
        <v>18432</v>
      </c>
      <c r="R13" s="62"/>
      <c r="S13" s="299"/>
      <c r="T13" s="408" t="s">
        <v>29</v>
      </c>
      <c r="U13" s="409"/>
      <c r="V13" s="415" t="e">
        <f>SUM(V9+V12)</f>
        <v>#VALUE!</v>
      </c>
      <c r="W13" s="416"/>
      <c r="X13" s="415">
        <f>SUM(X9+X12)</f>
        <v>2972</v>
      </c>
      <c r="Y13" s="417"/>
      <c r="Z13" s="417"/>
      <c r="AA13" s="417"/>
      <c r="AB13" s="416"/>
      <c r="AC13" s="415">
        <f>SUM(AC9+AC12)</f>
        <v>6531</v>
      </c>
      <c r="AD13" s="416"/>
      <c r="AE13" s="415">
        <f>SUM(AE9+AE12)</f>
        <v>1378</v>
      </c>
      <c r="AF13" s="416"/>
      <c r="AG13" s="71">
        <f>SUM(AG9+AG12)</f>
        <v>321</v>
      </c>
      <c r="AH13" s="71">
        <f>SUM(AH9+AH12)</f>
        <v>0</v>
      </c>
      <c r="AI13" s="72" t="e">
        <f>SUM(AI9+AI12)</f>
        <v>#VALUE!</v>
      </c>
      <c r="AJ13" s="62"/>
      <c r="AK13" s="299"/>
      <c r="AL13" s="408" t="s">
        <v>29</v>
      </c>
      <c r="AM13" s="409"/>
      <c r="AN13" s="415">
        <f>SUM(AN9+AN12)</f>
        <v>3106</v>
      </c>
      <c r="AO13" s="416"/>
      <c r="AP13" s="415">
        <f>SUM(AP9+AP12)</f>
        <v>5218</v>
      </c>
      <c r="AQ13" s="417"/>
      <c r="AR13" s="417"/>
      <c r="AS13" s="417"/>
      <c r="AT13" s="416"/>
      <c r="AU13" s="415">
        <f>SUM(AU9+AU12)</f>
        <v>5887</v>
      </c>
      <c r="AV13" s="416"/>
      <c r="AW13" s="415">
        <f>SUM(AW9+AW12)</f>
        <v>1722</v>
      </c>
      <c r="AX13" s="416"/>
      <c r="AY13" s="71">
        <f>SUM(AY9+AY12)</f>
        <v>365</v>
      </c>
      <c r="AZ13" s="71">
        <f>SUM(AZ9+AZ12)</f>
        <v>8</v>
      </c>
      <c r="BA13" s="72">
        <f>SUM(BA9+BA12)</f>
        <v>16306</v>
      </c>
      <c r="BB13" s="62"/>
      <c r="BC13" s="299"/>
      <c r="BD13" s="408" t="s">
        <v>29</v>
      </c>
      <c r="BE13" s="409"/>
      <c r="BF13" s="415">
        <f>SUM(BF9+BF12)</f>
        <v>2399</v>
      </c>
      <c r="BG13" s="416"/>
      <c r="BH13" s="415">
        <f>SUM(BH9+BH12)</f>
        <v>3229</v>
      </c>
      <c r="BI13" s="417"/>
      <c r="BJ13" s="417"/>
      <c r="BK13" s="417"/>
      <c r="BL13" s="416"/>
      <c r="BM13" s="415">
        <f>SUM(BM9+BM12)</f>
        <v>5617</v>
      </c>
      <c r="BN13" s="416"/>
      <c r="BO13" s="415">
        <f>SUM(BO9+BO12)</f>
        <v>1074</v>
      </c>
      <c r="BP13" s="416"/>
      <c r="BQ13" s="71">
        <f>SUM(BQ9+BQ12)</f>
        <v>382</v>
      </c>
      <c r="BR13" s="71">
        <f>SUM(BR9+BR12)</f>
        <v>0</v>
      </c>
      <c r="BS13" s="72">
        <f>SUM(BS9+BS12)</f>
        <v>12701</v>
      </c>
      <c r="BT13" s="62"/>
      <c r="BU13" s="299"/>
      <c r="BV13" s="408" t="s">
        <v>29</v>
      </c>
      <c r="BW13" s="409"/>
      <c r="BX13" s="415">
        <f>SUM(BX9+BX12)</f>
        <v>3509</v>
      </c>
      <c r="BY13" s="416"/>
      <c r="BZ13" s="415">
        <f>SUM(BZ9+BZ12)</f>
        <v>4776</v>
      </c>
      <c r="CA13" s="417"/>
      <c r="CB13" s="417"/>
      <c r="CC13" s="417"/>
      <c r="CD13" s="416"/>
      <c r="CE13" s="415">
        <f>SUM(CE9+CE12)</f>
        <v>8079</v>
      </c>
      <c r="CF13" s="416"/>
      <c r="CG13" s="415">
        <f>SUM(CG9+CG12)</f>
        <v>2045</v>
      </c>
      <c r="CH13" s="416"/>
      <c r="CI13" s="71">
        <f>SUM(CI9+CI12)</f>
        <v>209</v>
      </c>
      <c r="CJ13" s="71">
        <f>SUM(CJ9+CJ12)</f>
        <v>0</v>
      </c>
      <c r="CK13" s="72">
        <f>SUM(CK9+CK12)</f>
        <v>18618</v>
      </c>
      <c r="CL13" s="62"/>
      <c r="CM13" s="299"/>
      <c r="CN13" s="408" t="s">
        <v>29</v>
      </c>
      <c r="CO13" s="409"/>
      <c r="CP13" s="415">
        <f>SUM(CP9+CP12)</f>
        <v>4760</v>
      </c>
      <c r="CQ13" s="416"/>
      <c r="CR13" s="415">
        <f>SUM(CR9+CR12)</f>
        <v>8856</v>
      </c>
      <c r="CS13" s="417"/>
      <c r="CT13" s="417"/>
      <c r="CU13" s="417"/>
      <c r="CV13" s="416"/>
      <c r="CW13" s="415">
        <f>SUM(CW9+CW12)</f>
        <v>7863</v>
      </c>
      <c r="CX13" s="416"/>
      <c r="CY13" s="415">
        <f>SUM(CY9+CY12)</f>
        <v>2540</v>
      </c>
      <c r="CZ13" s="416"/>
      <c r="DA13" s="71">
        <f>SUM(DA9+DA12)</f>
        <v>569</v>
      </c>
      <c r="DB13" s="71">
        <f>SUM(DB9+DB12)</f>
        <v>7</v>
      </c>
      <c r="DC13" s="72">
        <f>SUM(DC9+DC12)</f>
        <v>24595</v>
      </c>
      <c r="DD13" s="62"/>
      <c r="DE13" s="299"/>
      <c r="DF13" s="408" t="s">
        <v>29</v>
      </c>
      <c r="DG13" s="409"/>
      <c r="DH13" s="415">
        <f>SUM(DH9+DH12)</f>
        <v>4016</v>
      </c>
      <c r="DI13" s="416"/>
      <c r="DJ13" s="415">
        <f>SUM(DJ9+DJ12)</f>
        <v>3257</v>
      </c>
      <c r="DK13" s="417"/>
      <c r="DL13" s="417"/>
      <c r="DM13" s="417"/>
      <c r="DN13" s="416"/>
      <c r="DO13" s="415">
        <f>SUM(DO9+DO12)</f>
        <v>7916</v>
      </c>
      <c r="DP13" s="416"/>
      <c r="DQ13" s="415">
        <f>SUM(DQ9+DQ12)</f>
        <v>1677</v>
      </c>
      <c r="DR13" s="416"/>
      <c r="DS13" s="71">
        <f>SUM(DS9+DS12)</f>
        <v>396</v>
      </c>
      <c r="DT13" s="71">
        <f>SUM(DT9+DT12)</f>
        <v>0</v>
      </c>
      <c r="DU13" s="72">
        <f>SUM(DU9+DU12)</f>
        <v>17262</v>
      </c>
      <c r="DV13" s="62"/>
      <c r="DW13" s="299"/>
      <c r="DX13" s="408" t="s">
        <v>29</v>
      </c>
      <c r="DY13" s="409"/>
      <c r="DZ13" s="415">
        <f>SUM(DZ9+DZ12)</f>
        <v>4635</v>
      </c>
      <c r="EA13" s="416"/>
      <c r="EB13" s="415">
        <f>SUM(EB9+EB12)</f>
        <v>8280</v>
      </c>
      <c r="EC13" s="417"/>
      <c r="ED13" s="417"/>
      <c r="EE13" s="417"/>
      <c r="EF13" s="416"/>
      <c r="EG13" s="415">
        <f>SUM(EG9+EG12)</f>
        <v>7798</v>
      </c>
      <c r="EH13" s="416"/>
      <c r="EI13" s="415">
        <f>SUM(EI9+EI12)</f>
        <v>2640</v>
      </c>
      <c r="EJ13" s="416"/>
      <c r="EK13" s="71">
        <f>SUM(EK9+EK12)</f>
        <v>562</v>
      </c>
      <c r="EL13" s="71">
        <f>SUM(EL9+EL12)</f>
        <v>7</v>
      </c>
      <c r="EM13" s="72">
        <f>SUM(EM9+EM12)</f>
        <v>23922</v>
      </c>
      <c r="EN13" s="62"/>
      <c r="EO13" s="299"/>
      <c r="EP13" s="408" t="s">
        <v>29</v>
      </c>
      <c r="EQ13" s="409"/>
      <c r="ER13" s="415">
        <f>SUM(ER9+ER12)</f>
        <v>1949</v>
      </c>
      <c r="ES13" s="416"/>
      <c r="ET13" s="415">
        <f>SUM(ET9+ET12)</f>
        <v>4048</v>
      </c>
      <c r="EU13" s="417"/>
      <c r="EV13" s="417"/>
      <c r="EW13" s="417"/>
      <c r="EX13" s="416"/>
      <c r="EY13" s="415">
        <f>SUM(EY9+EY12)</f>
        <v>4900</v>
      </c>
      <c r="EZ13" s="416"/>
      <c r="FA13" s="415">
        <f>SUM(FA9+FA12)</f>
        <v>1282</v>
      </c>
      <c r="FB13" s="416"/>
      <c r="FC13" s="71">
        <f>SUM(FC9+FC12)</f>
        <v>302</v>
      </c>
      <c r="FD13" s="71">
        <f>SUM(FD9+FD12)</f>
        <v>0</v>
      </c>
      <c r="FE13" s="72">
        <f>SUM(FE9+FE12)</f>
        <v>12481</v>
      </c>
      <c r="FF13" s="62"/>
      <c r="FG13" s="299"/>
      <c r="FH13" s="408" t="s">
        <v>29</v>
      </c>
      <c r="FI13" s="409"/>
      <c r="FJ13" s="415">
        <f>SUM(FJ9+FJ12)</f>
        <v>3921</v>
      </c>
      <c r="FK13" s="416"/>
      <c r="FL13" s="415">
        <f>SUM(FL9+FL12)</f>
        <v>3379</v>
      </c>
      <c r="FM13" s="417"/>
      <c r="FN13" s="417"/>
      <c r="FO13" s="417"/>
      <c r="FP13" s="416"/>
      <c r="FQ13" s="415">
        <f>SUM(FQ9+FQ12)</f>
        <v>6172</v>
      </c>
      <c r="FR13" s="416"/>
      <c r="FS13" s="415">
        <f>SUM(FS9+FS12)</f>
        <v>1498</v>
      </c>
      <c r="FT13" s="416"/>
      <c r="FU13" s="71">
        <f>SUM(FU9+FU12)</f>
        <v>360</v>
      </c>
      <c r="FV13" s="71">
        <f>SUM(FV9+FV12)</f>
        <v>0</v>
      </c>
      <c r="FW13" s="72">
        <f>SUM(FW9+FW12)</f>
        <v>15330</v>
      </c>
      <c r="FX13" s="62"/>
      <c r="FY13" s="299"/>
      <c r="FZ13" s="408" t="s">
        <v>29</v>
      </c>
      <c r="GA13" s="409"/>
      <c r="GB13" s="415">
        <f>SUM(GB9+GB12)</f>
        <v>0</v>
      </c>
      <c r="GC13" s="416"/>
      <c r="GD13" s="415">
        <f>SUM(GD9+GD12)</f>
        <v>0</v>
      </c>
      <c r="GE13" s="417"/>
      <c r="GF13" s="417"/>
      <c r="GG13" s="417"/>
      <c r="GH13" s="416"/>
      <c r="GI13" s="415">
        <f>SUM(GI9+GI12)</f>
        <v>0</v>
      </c>
      <c r="GJ13" s="416"/>
      <c r="GK13" s="415">
        <f>SUM(GK9+GK12)</f>
        <v>0</v>
      </c>
      <c r="GL13" s="416"/>
      <c r="GM13" s="71">
        <f>SUM(GM9+GM12)</f>
        <v>0</v>
      </c>
      <c r="GN13" s="71">
        <f>SUM(GN9+GN12)</f>
        <v>0</v>
      </c>
      <c r="GO13" s="72">
        <f>SUM(GO9+GO12)</f>
        <v>0</v>
      </c>
      <c r="GP13" s="62"/>
      <c r="GQ13" s="299"/>
      <c r="GR13" s="408" t="s">
        <v>29</v>
      </c>
      <c r="GS13" s="409"/>
      <c r="GT13" s="415">
        <f>SUM(GT9+GT12)</f>
        <v>0</v>
      </c>
      <c r="GU13" s="416"/>
      <c r="GV13" s="415">
        <f>SUM(GV9+GV12)</f>
        <v>0</v>
      </c>
      <c r="GW13" s="417"/>
      <c r="GX13" s="417"/>
      <c r="GY13" s="417"/>
      <c r="GZ13" s="416"/>
      <c r="HA13" s="415">
        <f>SUM(HA9+HA12)</f>
        <v>0</v>
      </c>
      <c r="HB13" s="416"/>
      <c r="HC13" s="415">
        <f>SUM(HC9+HC12)</f>
        <v>0</v>
      </c>
      <c r="HD13" s="416"/>
      <c r="HE13" s="71">
        <f>SUM(HE9+HE12)</f>
        <v>0</v>
      </c>
      <c r="HF13" s="71">
        <f>SUM(HF9+HF12)</f>
        <v>0</v>
      </c>
      <c r="HG13" s="72">
        <f>SUM(HG9+HG12)</f>
        <v>0</v>
      </c>
      <c r="HH13" s="62"/>
      <c r="HI13" s="299"/>
      <c r="HJ13" s="408" t="s">
        <v>29</v>
      </c>
      <c r="HK13" s="409"/>
      <c r="HL13" s="415" t="e">
        <f>SUM(HL9+HL12)</f>
        <v>#VALUE!</v>
      </c>
      <c r="HM13" s="416"/>
      <c r="HN13" s="415">
        <f>SUM(HN9+HN12)</f>
        <v>47475</v>
      </c>
      <c r="HO13" s="417"/>
      <c r="HP13" s="417"/>
      <c r="HQ13" s="417"/>
      <c r="HR13" s="416"/>
      <c r="HS13" s="415">
        <f>SUM(HS9+HS12)</f>
        <v>68275</v>
      </c>
      <c r="HT13" s="416"/>
      <c r="HU13" s="415">
        <f>SUM(HU9+HU12)</f>
        <v>18185</v>
      </c>
      <c r="HV13" s="416"/>
      <c r="HW13" s="71">
        <f>SUM(HW9+HW12)</f>
        <v>3799</v>
      </c>
      <c r="HX13" s="71">
        <f>SUM(HX9+HX12)</f>
        <v>22</v>
      </c>
      <c r="HY13" s="72" t="e">
        <f>SUM(HY9+HY12)</f>
        <v>#VALUE!</v>
      </c>
      <c r="HZ13" s="62"/>
    </row>
    <row r="14" spans="1:234" x14ac:dyDescent="0.2">
      <c r="A14" s="81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3"/>
      <c r="R14" s="62"/>
      <c r="S14" s="81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3"/>
      <c r="AJ14" s="62"/>
      <c r="AK14" s="81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3"/>
      <c r="BB14" s="62"/>
      <c r="BC14" s="81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3"/>
      <c r="BT14" s="62"/>
      <c r="BU14" s="81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3"/>
      <c r="CL14" s="62"/>
      <c r="CM14" s="81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3"/>
      <c r="DD14" s="62"/>
      <c r="DE14" s="81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3"/>
      <c r="DV14" s="62"/>
      <c r="DW14" s="81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3"/>
      <c r="EN14" s="62"/>
      <c r="EO14" s="81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3"/>
      <c r="FF14" s="62"/>
      <c r="FG14" s="81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3"/>
      <c r="FX14" s="62"/>
      <c r="FY14" s="81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3"/>
      <c r="GP14" s="62"/>
      <c r="GQ14" s="81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3"/>
      <c r="HH14" s="62"/>
      <c r="HI14" s="81"/>
      <c r="HJ14" s="82"/>
      <c r="HK14" s="82"/>
      <c r="HL14" s="82"/>
      <c r="HM14" s="82"/>
      <c r="HN14" s="82"/>
      <c r="HO14" s="82"/>
      <c r="HP14" s="82"/>
      <c r="HQ14" s="82"/>
      <c r="HR14" s="82"/>
      <c r="HS14" s="82"/>
      <c r="HT14" s="82"/>
      <c r="HU14" s="82"/>
      <c r="HV14" s="82"/>
      <c r="HW14" s="82"/>
      <c r="HX14" s="82"/>
      <c r="HY14" s="83"/>
      <c r="HZ14" s="62"/>
    </row>
    <row r="15" spans="1:234" s="100" customFormat="1" ht="33" customHeight="1" thickBot="1" x14ac:dyDescent="0.25">
      <c r="A15" s="96" t="s">
        <v>35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8" t="s">
        <v>47</v>
      </c>
      <c r="R15" s="99"/>
      <c r="S15" s="96" t="s">
        <v>35</v>
      </c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8" t="s">
        <v>47</v>
      </c>
      <c r="AJ15" s="99"/>
      <c r="AK15" s="96" t="s">
        <v>35</v>
      </c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8" t="s">
        <v>47</v>
      </c>
      <c r="BB15" s="99"/>
      <c r="BC15" s="96" t="s">
        <v>35</v>
      </c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8" t="s">
        <v>47</v>
      </c>
      <c r="BT15" s="99"/>
      <c r="BU15" s="96" t="s">
        <v>35</v>
      </c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8" t="s">
        <v>47</v>
      </c>
      <c r="CL15" s="99"/>
      <c r="CM15" s="96" t="s">
        <v>35</v>
      </c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8" t="s">
        <v>47</v>
      </c>
      <c r="DD15" s="99"/>
      <c r="DE15" s="96" t="s">
        <v>35</v>
      </c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8" t="s">
        <v>47</v>
      </c>
      <c r="DV15" s="99"/>
      <c r="DW15" s="96" t="s">
        <v>35</v>
      </c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98" t="s">
        <v>47</v>
      </c>
      <c r="EN15" s="99"/>
      <c r="EO15" s="96" t="s">
        <v>35</v>
      </c>
      <c r="EP15" s="97"/>
      <c r="EQ15" s="97"/>
      <c r="ER15" s="97"/>
      <c r="ES15" s="97"/>
      <c r="ET15" s="97"/>
      <c r="EU15" s="97"/>
      <c r="EV15" s="97"/>
      <c r="EW15" s="97"/>
      <c r="EX15" s="97"/>
      <c r="EY15" s="97"/>
      <c r="EZ15" s="97"/>
      <c r="FA15" s="97"/>
      <c r="FB15" s="97"/>
      <c r="FC15" s="97"/>
      <c r="FD15" s="97"/>
      <c r="FE15" s="98" t="s">
        <v>47</v>
      </c>
      <c r="FF15" s="99"/>
      <c r="FG15" s="96" t="s">
        <v>35</v>
      </c>
      <c r="FH15" s="97"/>
      <c r="FI15" s="97"/>
      <c r="FJ15" s="97"/>
      <c r="FK15" s="97"/>
      <c r="FL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8" t="s">
        <v>47</v>
      </c>
      <c r="FX15" s="99"/>
      <c r="FY15" s="96" t="s">
        <v>35</v>
      </c>
      <c r="FZ15" s="97"/>
      <c r="GA15" s="97"/>
      <c r="GB15" s="97"/>
      <c r="GC15" s="97"/>
      <c r="GD15" s="97"/>
      <c r="GE15" s="97"/>
      <c r="GF15" s="97"/>
      <c r="GG15" s="97"/>
      <c r="GH15" s="97"/>
      <c r="GI15" s="97"/>
      <c r="GJ15" s="97"/>
      <c r="GK15" s="97"/>
      <c r="GL15" s="97"/>
      <c r="GM15" s="97"/>
      <c r="GN15" s="97"/>
      <c r="GO15" s="98" t="s">
        <v>47</v>
      </c>
      <c r="GP15" s="99"/>
      <c r="GQ15" s="96" t="s">
        <v>35</v>
      </c>
      <c r="GR15" s="97"/>
      <c r="GS15" s="97"/>
      <c r="GT15" s="97"/>
      <c r="GU15" s="97"/>
      <c r="GV15" s="97"/>
      <c r="GW15" s="97"/>
      <c r="GX15" s="97"/>
      <c r="GY15" s="97"/>
      <c r="GZ15" s="97"/>
      <c r="HA15" s="97"/>
      <c r="HB15" s="97"/>
      <c r="HC15" s="97"/>
      <c r="HD15" s="97"/>
      <c r="HE15" s="97"/>
      <c r="HF15" s="97"/>
      <c r="HG15" s="98" t="s">
        <v>47</v>
      </c>
      <c r="HH15" s="99"/>
      <c r="HI15" s="96" t="s">
        <v>35</v>
      </c>
      <c r="HJ15" s="97"/>
      <c r="HK15" s="97"/>
      <c r="HL15" s="97"/>
      <c r="HM15" s="97"/>
      <c r="HN15" s="97"/>
      <c r="HO15" s="97"/>
      <c r="HP15" s="97"/>
      <c r="HQ15" s="97"/>
      <c r="HR15" s="97"/>
      <c r="HS15" s="97"/>
      <c r="HT15" s="97"/>
      <c r="HU15" s="97"/>
      <c r="HV15" s="97"/>
      <c r="HW15" s="97"/>
      <c r="HX15" s="97"/>
      <c r="HY15" s="98" t="s">
        <v>48</v>
      </c>
      <c r="HZ15" s="99"/>
    </row>
    <row r="16" spans="1:234" x14ac:dyDescent="0.2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62"/>
      <c r="GL16" s="62"/>
      <c r="GM16" s="62"/>
      <c r="GN16" s="62"/>
      <c r="GO16" s="62"/>
      <c r="GP16" s="62"/>
      <c r="GQ16" s="62"/>
      <c r="GR16" s="62"/>
      <c r="GS16" s="62"/>
      <c r="GT16" s="62"/>
      <c r="GU16" s="62"/>
      <c r="GV16" s="62"/>
      <c r="GW16" s="62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2"/>
      <c r="HR16" s="62"/>
      <c r="HS16" s="62"/>
      <c r="HT16" s="62"/>
      <c r="HU16" s="62"/>
      <c r="HV16" s="62"/>
      <c r="HW16" s="62"/>
      <c r="HX16" s="62"/>
      <c r="HY16" s="62"/>
      <c r="HZ16" s="62"/>
    </row>
  </sheetData>
  <mergeCells count="520">
    <mergeCell ref="O3:O6"/>
    <mergeCell ref="P3:P6"/>
    <mergeCell ref="Q3:Q6"/>
    <mergeCell ref="D4:E4"/>
    <mergeCell ref="F4:J4"/>
    <mergeCell ref="K4:L4"/>
    <mergeCell ref="D5:D6"/>
    <mergeCell ref="E5:E6"/>
    <mergeCell ref="F5:F6"/>
    <mergeCell ref="G5:G6"/>
    <mergeCell ref="M5:M6"/>
    <mergeCell ref="N5:N6"/>
    <mergeCell ref="A7:A13"/>
    <mergeCell ref="M2:N2"/>
    <mergeCell ref="A3:A6"/>
    <mergeCell ref="B3:C5"/>
    <mergeCell ref="D3:L3"/>
    <mergeCell ref="M3:N4"/>
    <mergeCell ref="H5:H6"/>
    <mergeCell ref="I5:I6"/>
    <mergeCell ref="J5:J6"/>
    <mergeCell ref="K5:K6"/>
    <mergeCell ref="L5:L6"/>
    <mergeCell ref="B10:B11"/>
    <mergeCell ref="B7:B8"/>
    <mergeCell ref="B9:C9"/>
    <mergeCell ref="D9:E9"/>
    <mergeCell ref="F9:J9"/>
    <mergeCell ref="K9:L9"/>
    <mergeCell ref="M9:N9"/>
    <mergeCell ref="M12:N12"/>
    <mergeCell ref="B13:C13"/>
    <mergeCell ref="D13:E13"/>
    <mergeCell ref="F13:J13"/>
    <mergeCell ref="K13:L13"/>
    <mergeCell ref="M13:N13"/>
    <mergeCell ref="B12:C12"/>
    <mergeCell ref="D12:E12"/>
    <mergeCell ref="F12:J12"/>
    <mergeCell ref="K12:L12"/>
    <mergeCell ref="T10:T11"/>
    <mergeCell ref="T12:U12"/>
    <mergeCell ref="V12:W12"/>
    <mergeCell ref="X12:AB12"/>
    <mergeCell ref="AC12:AD12"/>
    <mergeCell ref="S7:S13"/>
    <mergeCell ref="T7:T8"/>
    <mergeCell ref="T9:U9"/>
    <mergeCell ref="V9:W9"/>
    <mergeCell ref="X9:AB9"/>
    <mergeCell ref="AC9:AD9"/>
    <mergeCell ref="AE12:AF12"/>
    <mergeCell ref="T13:U13"/>
    <mergeCell ref="V13:W13"/>
    <mergeCell ref="X13:AB13"/>
    <mergeCell ref="AC13:AD13"/>
    <mergeCell ref="AE13:AF13"/>
    <mergeCell ref="AE9:AF9"/>
    <mergeCell ref="AG3:AG6"/>
    <mergeCell ref="AH3:AH6"/>
    <mergeCell ref="AI3:AI6"/>
    <mergeCell ref="X5:X6"/>
    <mergeCell ref="Y5:Y6"/>
    <mergeCell ref="Z5:Z6"/>
    <mergeCell ref="AA5:AA6"/>
    <mergeCell ref="AB5:AB6"/>
    <mergeCell ref="AC5:AC6"/>
    <mergeCell ref="AF5:AF6"/>
    <mergeCell ref="AD5:AD6"/>
    <mergeCell ref="AE5:AE6"/>
    <mergeCell ref="AE2:AF2"/>
    <mergeCell ref="S3:S6"/>
    <mergeCell ref="T3:U5"/>
    <mergeCell ref="V3:AD3"/>
    <mergeCell ref="AE3:AF4"/>
    <mergeCell ref="V4:W4"/>
    <mergeCell ref="X4:AB4"/>
    <mergeCell ref="AC4:AD4"/>
    <mergeCell ref="V5:V6"/>
    <mergeCell ref="W5:W6"/>
    <mergeCell ref="AY3:AY6"/>
    <mergeCell ref="AZ3:AZ6"/>
    <mergeCell ref="BA3:BA6"/>
    <mergeCell ref="AN4:AO4"/>
    <mergeCell ref="AP4:AT4"/>
    <mergeCell ref="AU4:AV4"/>
    <mergeCell ref="AN5:AN6"/>
    <mergeCell ref="AO5:AO6"/>
    <mergeCell ref="AP5:AP6"/>
    <mergeCell ref="AQ5:AQ6"/>
    <mergeCell ref="AW5:AW6"/>
    <mergeCell ref="AX5:AX6"/>
    <mergeCell ref="AW2:AX2"/>
    <mergeCell ref="AK3:AK6"/>
    <mergeCell ref="AL3:AM5"/>
    <mergeCell ref="AN3:AV3"/>
    <mergeCell ref="AW3:AX4"/>
    <mergeCell ref="AR5:AR6"/>
    <mergeCell ref="AS5:AS6"/>
    <mergeCell ref="AT5:AT6"/>
    <mergeCell ref="AU5:AU6"/>
    <mergeCell ref="AV5:AV6"/>
    <mergeCell ref="AK7:AK13"/>
    <mergeCell ref="AL7:AL8"/>
    <mergeCell ref="AL9:AM9"/>
    <mergeCell ref="AN9:AO9"/>
    <mergeCell ref="AP9:AT9"/>
    <mergeCell ref="AU9:AV9"/>
    <mergeCell ref="AW9:AX9"/>
    <mergeCell ref="AL10:AL11"/>
    <mergeCell ref="AW12:AX12"/>
    <mergeCell ref="AL13:AM13"/>
    <mergeCell ref="AN13:AO13"/>
    <mergeCell ref="AP13:AT13"/>
    <mergeCell ref="AU13:AV13"/>
    <mergeCell ref="AW13:AX13"/>
    <mergeCell ref="AL12:AM12"/>
    <mergeCell ref="AN12:AO12"/>
    <mergeCell ref="AP12:AT12"/>
    <mergeCell ref="AU12:AV12"/>
    <mergeCell ref="BQ3:BQ6"/>
    <mergeCell ref="BR3:BR6"/>
    <mergeCell ref="BS3:BS6"/>
    <mergeCell ref="BF4:BG4"/>
    <mergeCell ref="BH4:BL4"/>
    <mergeCell ref="BM4:BN4"/>
    <mergeCell ref="BF5:BF6"/>
    <mergeCell ref="BG5:BG6"/>
    <mergeCell ref="BH5:BH6"/>
    <mergeCell ref="BI5:BI6"/>
    <mergeCell ref="BO5:BO6"/>
    <mergeCell ref="BP5:BP6"/>
    <mergeCell ref="BO2:BP2"/>
    <mergeCell ref="BC3:BC6"/>
    <mergeCell ref="BD3:BE5"/>
    <mergeCell ref="BF3:BN3"/>
    <mergeCell ref="BO3:BP4"/>
    <mergeCell ref="BJ5:BJ6"/>
    <mergeCell ref="BK5:BK6"/>
    <mergeCell ref="BL5:BL6"/>
    <mergeCell ref="BM5:BM6"/>
    <mergeCell ref="BN5:BN6"/>
    <mergeCell ref="BC7:BC13"/>
    <mergeCell ref="BD7:BD8"/>
    <mergeCell ref="BD9:BE9"/>
    <mergeCell ref="BF9:BG9"/>
    <mergeCell ref="BH9:BL9"/>
    <mergeCell ref="BM9:BN9"/>
    <mergeCell ref="BO9:BP9"/>
    <mergeCell ref="BD10:BD11"/>
    <mergeCell ref="BO12:BP12"/>
    <mergeCell ref="BD13:BE13"/>
    <mergeCell ref="BF13:BG13"/>
    <mergeCell ref="BH13:BL13"/>
    <mergeCell ref="BM13:BN13"/>
    <mergeCell ref="BO13:BP13"/>
    <mergeCell ref="BD12:BE12"/>
    <mergeCell ref="BF12:BG12"/>
    <mergeCell ref="BH12:BL12"/>
    <mergeCell ref="BM12:BN12"/>
    <mergeCell ref="CI3:CI6"/>
    <mergeCell ref="CJ3:CJ6"/>
    <mergeCell ref="CK3:CK6"/>
    <mergeCell ref="BX4:BY4"/>
    <mergeCell ref="BZ4:CD4"/>
    <mergeCell ref="CE4:CF4"/>
    <mergeCell ref="BX5:BX6"/>
    <mergeCell ref="BY5:BY6"/>
    <mergeCell ref="BZ5:BZ6"/>
    <mergeCell ref="CA5:CA6"/>
    <mergeCell ref="CG5:CG6"/>
    <mergeCell ref="CH5:CH6"/>
    <mergeCell ref="CG2:CH2"/>
    <mergeCell ref="BU3:BU6"/>
    <mergeCell ref="BV3:BW5"/>
    <mergeCell ref="BX3:CF3"/>
    <mergeCell ref="CG3:CH4"/>
    <mergeCell ref="CB5:CB6"/>
    <mergeCell ref="CC5:CC6"/>
    <mergeCell ref="CD5:CD6"/>
    <mergeCell ref="CE5:CE6"/>
    <mergeCell ref="CF5:CF6"/>
    <mergeCell ref="BU7:BU13"/>
    <mergeCell ref="BV7:BV8"/>
    <mergeCell ref="BV9:BW9"/>
    <mergeCell ref="BX9:BY9"/>
    <mergeCell ref="BZ9:CD9"/>
    <mergeCell ref="CE9:CF9"/>
    <mergeCell ref="CG9:CH9"/>
    <mergeCell ref="BV10:BV11"/>
    <mergeCell ref="CG12:CH12"/>
    <mergeCell ref="BV13:BW13"/>
    <mergeCell ref="BX13:BY13"/>
    <mergeCell ref="BZ13:CD13"/>
    <mergeCell ref="CE13:CF13"/>
    <mergeCell ref="CG13:CH13"/>
    <mergeCell ref="BV12:BW12"/>
    <mergeCell ref="BX12:BY12"/>
    <mergeCell ref="BZ12:CD12"/>
    <mergeCell ref="CE12:CF12"/>
    <mergeCell ref="DA3:DA6"/>
    <mergeCell ref="DB3:DB6"/>
    <mergeCell ref="DC3:DC6"/>
    <mergeCell ref="CP4:CQ4"/>
    <mergeCell ref="CR4:CV4"/>
    <mergeCell ref="CW4:CX4"/>
    <mergeCell ref="CP5:CP6"/>
    <mergeCell ref="CQ5:CQ6"/>
    <mergeCell ref="CR5:CR6"/>
    <mergeCell ref="CS5:CS6"/>
    <mergeCell ref="CY5:CY6"/>
    <mergeCell ref="CZ5:CZ6"/>
    <mergeCell ref="CY2:CZ2"/>
    <mergeCell ref="CM3:CM6"/>
    <mergeCell ref="CN3:CO5"/>
    <mergeCell ref="CP3:CX3"/>
    <mergeCell ref="CY3:CZ4"/>
    <mergeCell ref="CT5:CT6"/>
    <mergeCell ref="CU5:CU6"/>
    <mergeCell ref="CV5:CV6"/>
    <mergeCell ref="CW5:CW6"/>
    <mergeCell ref="CX5:CX6"/>
    <mergeCell ref="CM7:CM13"/>
    <mergeCell ref="CN7:CN8"/>
    <mergeCell ref="CN9:CO9"/>
    <mergeCell ref="CP9:CQ9"/>
    <mergeCell ref="CR9:CV9"/>
    <mergeCell ref="CW9:CX9"/>
    <mergeCell ref="CY9:CZ9"/>
    <mergeCell ref="CN10:CN11"/>
    <mergeCell ref="CY12:CZ12"/>
    <mergeCell ref="CN13:CO13"/>
    <mergeCell ref="CP13:CQ13"/>
    <mergeCell ref="CR13:CV13"/>
    <mergeCell ref="CW13:CX13"/>
    <mergeCell ref="CY13:CZ13"/>
    <mergeCell ref="CN12:CO12"/>
    <mergeCell ref="CP12:CQ12"/>
    <mergeCell ref="CR12:CV12"/>
    <mergeCell ref="CW12:CX12"/>
    <mergeCell ref="DS3:DS6"/>
    <mergeCell ref="DT3:DT6"/>
    <mergeCell ref="DU3:DU6"/>
    <mergeCell ref="DH4:DI4"/>
    <mergeCell ref="DJ4:DN4"/>
    <mergeCell ref="DO4:DP4"/>
    <mergeCell ref="DH5:DH6"/>
    <mergeCell ref="DI5:DI6"/>
    <mergeCell ref="DJ5:DJ6"/>
    <mergeCell ref="DK5:DK6"/>
    <mergeCell ref="DQ5:DQ6"/>
    <mergeCell ref="DR5:DR6"/>
    <mergeCell ref="DQ2:DR2"/>
    <mergeCell ref="DE3:DE6"/>
    <mergeCell ref="DF3:DG5"/>
    <mergeCell ref="DH3:DP3"/>
    <mergeCell ref="DQ3:DR4"/>
    <mergeCell ref="DL5:DL6"/>
    <mergeCell ref="DM5:DM6"/>
    <mergeCell ref="DN5:DN6"/>
    <mergeCell ref="DO5:DO6"/>
    <mergeCell ref="DP5:DP6"/>
    <mergeCell ref="DE7:DE13"/>
    <mergeCell ref="DF7:DF8"/>
    <mergeCell ref="DF9:DG9"/>
    <mergeCell ref="DH9:DI9"/>
    <mergeCell ref="DJ9:DN9"/>
    <mergeCell ref="DO9:DP9"/>
    <mergeCell ref="DQ9:DR9"/>
    <mergeCell ref="DF10:DF11"/>
    <mergeCell ref="DQ12:DR12"/>
    <mergeCell ref="DF13:DG13"/>
    <mergeCell ref="DH13:DI13"/>
    <mergeCell ref="DJ13:DN13"/>
    <mergeCell ref="DO13:DP13"/>
    <mergeCell ref="DQ13:DR13"/>
    <mergeCell ref="DF12:DG12"/>
    <mergeCell ref="DH12:DI12"/>
    <mergeCell ref="DJ12:DN12"/>
    <mergeCell ref="DO12:DP12"/>
    <mergeCell ref="EK3:EK6"/>
    <mergeCell ref="EL3:EL6"/>
    <mergeCell ref="EM3:EM6"/>
    <mergeCell ref="DZ4:EA4"/>
    <mergeCell ref="EB4:EF4"/>
    <mergeCell ref="EG4:EH4"/>
    <mergeCell ref="DZ5:DZ6"/>
    <mergeCell ref="EA5:EA6"/>
    <mergeCell ref="EB5:EB6"/>
    <mergeCell ref="EC5:EC6"/>
    <mergeCell ref="EI5:EI6"/>
    <mergeCell ref="EJ5:EJ6"/>
    <mergeCell ref="EI2:EJ2"/>
    <mergeCell ref="DW3:DW6"/>
    <mergeCell ref="DX3:DY5"/>
    <mergeCell ref="DZ3:EH3"/>
    <mergeCell ref="EI3:EJ4"/>
    <mergeCell ref="ED5:ED6"/>
    <mergeCell ref="EE5:EE6"/>
    <mergeCell ref="EF5:EF6"/>
    <mergeCell ref="EG5:EG6"/>
    <mergeCell ref="EH5:EH6"/>
    <mergeCell ref="DW7:DW13"/>
    <mergeCell ref="DX7:DX8"/>
    <mergeCell ref="DX9:DY9"/>
    <mergeCell ref="DZ9:EA9"/>
    <mergeCell ref="EB9:EF9"/>
    <mergeCell ref="EG9:EH9"/>
    <mergeCell ref="EI9:EJ9"/>
    <mergeCell ref="DX10:DX11"/>
    <mergeCell ref="EI12:EJ12"/>
    <mergeCell ref="DX13:DY13"/>
    <mergeCell ref="DZ13:EA13"/>
    <mergeCell ref="EB13:EF13"/>
    <mergeCell ref="EG13:EH13"/>
    <mergeCell ref="EI13:EJ13"/>
    <mergeCell ref="DX12:DY12"/>
    <mergeCell ref="DZ12:EA12"/>
    <mergeCell ref="EB12:EF12"/>
    <mergeCell ref="EG12:EH12"/>
    <mergeCell ref="FC3:FC6"/>
    <mergeCell ref="FD3:FD6"/>
    <mergeCell ref="FE3:FE6"/>
    <mergeCell ref="ER4:ES4"/>
    <mergeCell ref="ET4:EX4"/>
    <mergeCell ref="EY4:EZ4"/>
    <mergeCell ref="ER5:ER6"/>
    <mergeCell ref="ES5:ES6"/>
    <mergeCell ref="ET5:ET6"/>
    <mergeCell ref="EU5:EU6"/>
    <mergeCell ref="FA5:FA6"/>
    <mergeCell ref="FB5:FB6"/>
    <mergeCell ref="FA2:FB2"/>
    <mergeCell ref="EO3:EO6"/>
    <mergeCell ref="EP3:EQ5"/>
    <mergeCell ref="ER3:EZ3"/>
    <mergeCell ref="FA3:FB4"/>
    <mergeCell ref="EV5:EV6"/>
    <mergeCell ref="EW5:EW6"/>
    <mergeCell ref="EX5:EX6"/>
    <mergeCell ref="EY5:EY6"/>
    <mergeCell ref="EZ5:EZ6"/>
    <mergeCell ref="EO7:EO13"/>
    <mergeCell ref="EP7:EP8"/>
    <mergeCell ref="EP9:EQ9"/>
    <mergeCell ref="ER9:ES9"/>
    <mergeCell ref="ET9:EX9"/>
    <mergeCell ref="EY9:EZ9"/>
    <mergeCell ref="FA9:FB9"/>
    <mergeCell ref="EP10:EP11"/>
    <mergeCell ref="FA12:FB12"/>
    <mergeCell ref="EP13:EQ13"/>
    <mergeCell ref="ER13:ES13"/>
    <mergeCell ref="ET13:EX13"/>
    <mergeCell ref="EY13:EZ13"/>
    <mergeCell ref="FA13:FB13"/>
    <mergeCell ref="EP12:EQ12"/>
    <mergeCell ref="ER12:ES12"/>
    <mergeCell ref="ET12:EX12"/>
    <mergeCell ref="EY12:EZ12"/>
    <mergeCell ref="FU3:FU6"/>
    <mergeCell ref="FV3:FV6"/>
    <mergeCell ref="FW3:FW6"/>
    <mergeCell ref="FJ4:FK4"/>
    <mergeCell ref="FL4:FP4"/>
    <mergeCell ref="FQ4:FR4"/>
    <mergeCell ref="FJ5:FJ6"/>
    <mergeCell ref="FK5:FK6"/>
    <mergeCell ref="FL5:FL6"/>
    <mergeCell ref="FM5:FM6"/>
    <mergeCell ref="FS5:FS6"/>
    <mergeCell ref="FT5:FT6"/>
    <mergeCell ref="FS2:FT2"/>
    <mergeCell ref="FG3:FG6"/>
    <mergeCell ref="FH3:FI5"/>
    <mergeCell ref="FJ3:FR3"/>
    <mergeCell ref="FS3:FT4"/>
    <mergeCell ref="FN5:FN6"/>
    <mergeCell ref="FO5:FO6"/>
    <mergeCell ref="FP5:FP6"/>
    <mergeCell ref="FQ5:FQ6"/>
    <mergeCell ref="FR5:FR6"/>
    <mergeCell ref="FG7:FG13"/>
    <mergeCell ref="FH7:FH8"/>
    <mergeCell ref="FH9:FI9"/>
    <mergeCell ref="FJ9:FK9"/>
    <mergeCell ref="FL9:FP9"/>
    <mergeCell ref="FQ9:FR9"/>
    <mergeCell ref="FS9:FT9"/>
    <mergeCell ref="FH10:FH11"/>
    <mergeCell ref="FS12:FT12"/>
    <mergeCell ref="FH13:FI13"/>
    <mergeCell ref="FJ13:FK13"/>
    <mergeCell ref="FL13:FP13"/>
    <mergeCell ref="FQ13:FR13"/>
    <mergeCell ref="FS13:FT13"/>
    <mergeCell ref="FH12:FI12"/>
    <mergeCell ref="FJ12:FK12"/>
    <mergeCell ref="FL12:FP12"/>
    <mergeCell ref="FQ12:FR12"/>
    <mergeCell ref="GM3:GM6"/>
    <mergeCell ref="GN3:GN6"/>
    <mergeCell ref="GO3:GO6"/>
    <mergeCell ref="GB4:GC4"/>
    <mergeCell ref="GD4:GH4"/>
    <mergeCell ref="GI4:GJ4"/>
    <mergeCell ref="GB5:GB6"/>
    <mergeCell ref="GC5:GC6"/>
    <mergeCell ref="GD5:GD6"/>
    <mergeCell ref="GE5:GE6"/>
    <mergeCell ref="GK5:GK6"/>
    <mergeCell ref="GL5:GL6"/>
    <mergeCell ref="GK2:GL2"/>
    <mergeCell ref="FY3:FY6"/>
    <mergeCell ref="FZ3:GA5"/>
    <mergeCell ref="GB3:GJ3"/>
    <mergeCell ref="GK3:GL4"/>
    <mergeCell ref="GF5:GF6"/>
    <mergeCell ref="GG5:GG6"/>
    <mergeCell ref="GH5:GH6"/>
    <mergeCell ref="GI5:GI6"/>
    <mergeCell ref="GJ5:GJ6"/>
    <mergeCell ref="FY7:FY13"/>
    <mergeCell ref="FZ7:FZ8"/>
    <mergeCell ref="FZ9:GA9"/>
    <mergeCell ref="GB9:GC9"/>
    <mergeCell ref="GD9:GH9"/>
    <mergeCell ref="GI9:GJ9"/>
    <mergeCell ref="GK9:GL9"/>
    <mergeCell ref="FZ10:FZ11"/>
    <mergeCell ref="GK12:GL12"/>
    <mergeCell ref="FZ13:GA13"/>
    <mergeCell ref="GB13:GC13"/>
    <mergeCell ref="GD13:GH13"/>
    <mergeCell ref="GI13:GJ13"/>
    <mergeCell ref="GK13:GL13"/>
    <mergeCell ref="FZ12:GA12"/>
    <mergeCell ref="GB12:GC12"/>
    <mergeCell ref="GD12:GH12"/>
    <mergeCell ref="GI12:GJ12"/>
    <mergeCell ref="HE3:HE6"/>
    <mergeCell ref="HF3:HF6"/>
    <mergeCell ref="HG3:HG6"/>
    <mergeCell ref="GT4:GU4"/>
    <mergeCell ref="GV4:GZ4"/>
    <mergeCell ref="HA4:HB4"/>
    <mergeCell ref="GT5:GT6"/>
    <mergeCell ref="GU5:GU6"/>
    <mergeCell ref="GV5:GV6"/>
    <mergeCell ref="GW5:GW6"/>
    <mergeCell ref="HC5:HC6"/>
    <mergeCell ref="HD5:HD6"/>
    <mergeCell ref="HC2:HD2"/>
    <mergeCell ref="GQ3:GQ6"/>
    <mergeCell ref="GR3:GS5"/>
    <mergeCell ref="GT3:HB3"/>
    <mergeCell ref="HC3:HD4"/>
    <mergeCell ref="GX5:GX6"/>
    <mergeCell ref="GY5:GY6"/>
    <mergeCell ref="GZ5:GZ6"/>
    <mergeCell ref="HA5:HA6"/>
    <mergeCell ref="HB5:HB6"/>
    <mergeCell ref="GQ7:GQ13"/>
    <mergeCell ref="GR7:GR8"/>
    <mergeCell ref="GR9:GS9"/>
    <mergeCell ref="GT9:GU9"/>
    <mergeCell ref="GV9:GZ9"/>
    <mergeCell ref="HA9:HB9"/>
    <mergeCell ref="HC9:HD9"/>
    <mergeCell ref="GR10:GR11"/>
    <mergeCell ref="HC12:HD12"/>
    <mergeCell ref="GR13:GS13"/>
    <mergeCell ref="GT13:GU13"/>
    <mergeCell ref="GV13:GZ13"/>
    <mergeCell ref="HA13:HB13"/>
    <mergeCell ref="HC13:HD13"/>
    <mergeCell ref="GR12:GS12"/>
    <mergeCell ref="GT12:GU12"/>
    <mergeCell ref="GV12:GZ12"/>
    <mergeCell ref="HA12:HB12"/>
    <mergeCell ref="HW3:HW6"/>
    <mergeCell ref="HX3:HX6"/>
    <mergeCell ref="HY3:HY6"/>
    <mergeCell ref="HL4:HM4"/>
    <mergeCell ref="HN4:HR4"/>
    <mergeCell ref="HS4:HT4"/>
    <mergeCell ref="HL5:HL6"/>
    <mergeCell ref="HM5:HM6"/>
    <mergeCell ref="HN5:HN6"/>
    <mergeCell ref="HO5:HO6"/>
    <mergeCell ref="HU5:HU6"/>
    <mergeCell ref="HV5:HV6"/>
    <mergeCell ref="HU2:HV2"/>
    <mergeCell ref="HI3:HI6"/>
    <mergeCell ref="HJ3:HK5"/>
    <mergeCell ref="HL3:HT3"/>
    <mergeCell ref="HU3:HV4"/>
    <mergeCell ref="HP5:HP6"/>
    <mergeCell ref="HQ5:HQ6"/>
    <mergeCell ref="HR5:HR6"/>
    <mergeCell ref="HS5:HS6"/>
    <mergeCell ref="HT5:HT6"/>
    <mergeCell ref="HI7:HI13"/>
    <mergeCell ref="HJ7:HJ8"/>
    <mergeCell ref="HJ9:HK9"/>
    <mergeCell ref="HL9:HM9"/>
    <mergeCell ref="HN9:HR9"/>
    <mergeCell ref="HS9:HT9"/>
    <mergeCell ref="HU9:HV9"/>
    <mergeCell ref="HJ10:HJ11"/>
    <mergeCell ref="HU12:HV12"/>
    <mergeCell ref="HJ13:HK13"/>
    <mergeCell ref="HL13:HM13"/>
    <mergeCell ref="HN13:HR13"/>
    <mergeCell ref="HS13:HT13"/>
    <mergeCell ref="HU13:HV13"/>
    <mergeCell ref="HJ12:HK12"/>
    <mergeCell ref="HL12:HM12"/>
    <mergeCell ref="HN12:HR12"/>
    <mergeCell ref="HS12:HT12"/>
  </mergeCells>
  <phoneticPr fontId="2" type="noConversion"/>
  <printOptions horizontalCentered="1"/>
  <pageMargins left="0.55118110236220474" right="0.55118110236220474" top="0.39370078740157483" bottom="0.39370078740157483" header="0.51181102362204722" footer="0.51181102362204722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الفحوصات المخبرية</vt:lpstr>
      <vt:lpstr>الإجمالية</vt:lpstr>
      <vt:lpstr>'الفحوصات المخبرية'!Print_Titles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2016-04-20T06:23:27Z</cp:lastPrinted>
  <dcterms:created xsi:type="dcterms:W3CDTF">2001-04-25T04:31:06Z</dcterms:created>
  <dcterms:modified xsi:type="dcterms:W3CDTF">2026-04-16T06:58:31Z</dcterms:modified>
</cp:coreProperties>
</file>