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673"/>
  </bookViews>
  <sheets>
    <sheet name="الأشعة" sheetId="4" r:id="rId1"/>
    <sheet name="الإجمالي" sheetId="5" r:id="rId2"/>
  </sheets>
  <definedNames>
    <definedName name="_xlnm.Print_Titles" localSheetId="0">الأشعة!$2:$5</definedName>
  </definedNames>
  <calcPr calcId="152511"/>
</workbook>
</file>

<file path=xl/calcChain.xml><?xml version="1.0" encoding="utf-8"?>
<calcChain xmlns="http://schemas.openxmlformats.org/spreadsheetml/2006/main">
  <c r="BA46" i="4" l="1"/>
  <c r="AZ46" i="4"/>
  <c r="BA43" i="4"/>
  <c r="BA47" i="4" s="1"/>
  <c r="AZ43" i="4"/>
  <c r="AZ47" i="4" s="1"/>
  <c r="BA25" i="4"/>
  <c r="AZ25" i="4"/>
  <c r="BA22" i="4"/>
  <c r="BA26" i="4" s="1"/>
  <c r="AZ22" i="4"/>
  <c r="AZ26" i="4" s="1"/>
  <c r="AT22" i="4"/>
  <c r="AU22" i="4"/>
  <c r="AT25" i="4"/>
  <c r="AT26" i="4" s="1"/>
  <c r="AU25" i="4"/>
  <c r="AU26" i="4" s="1"/>
  <c r="AU85" i="4" l="1"/>
  <c r="AT85" i="4"/>
  <c r="AU81" i="4"/>
  <c r="AT81" i="4"/>
  <c r="AU78" i="4"/>
  <c r="AU82" i="4" s="1"/>
  <c r="AT78" i="4"/>
  <c r="AT82" i="4" s="1"/>
  <c r="AU74" i="4"/>
  <c r="AT74" i="4"/>
  <c r="AU71" i="4"/>
  <c r="AU75" i="4" s="1"/>
  <c r="AT71" i="4"/>
  <c r="AT75" i="4" s="1"/>
  <c r="AU67" i="4"/>
  <c r="AT67" i="4"/>
  <c r="AU64" i="4"/>
  <c r="AU68" i="4" s="1"/>
  <c r="AT64" i="4"/>
  <c r="AT68" i="4" s="1"/>
  <c r="AU60" i="4"/>
  <c r="AT60" i="4"/>
  <c r="AU57" i="4"/>
  <c r="AU61" i="4" s="1"/>
  <c r="AT57" i="4"/>
  <c r="AT61" i="4" s="1"/>
  <c r="AU53" i="4"/>
  <c r="AT53" i="4"/>
  <c r="AU50" i="4"/>
  <c r="AU54" i="4" s="1"/>
  <c r="AT50" i="4"/>
  <c r="AT54" i="4" s="1"/>
  <c r="AU46" i="4"/>
  <c r="AT46" i="4"/>
  <c r="AU43" i="4"/>
  <c r="AU47" i="4" s="1"/>
  <c r="AT43" i="4"/>
  <c r="AT47" i="4" s="1"/>
  <c r="AU39" i="4"/>
  <c r="AT39" i="4"/>
  <c r="AU36" i="4"/>
  <c r="AU40" i="4" s="1"/>
  <c r="AT36" i="4"/>
  <c r="AT40" i="4" s="1"/>
  <c r="AU32" i="4"/>
  <c r="AT32" i="4"/>
  <c r="AU29" i="4"/>
  <c r="AU33" i="4" s="1"/>
  <c r="AT29" i="4"/>
  <c r="AT33" i="4" s="1"/>
  <c r="AU18" i="4"/>
  <c r="AT18" i="4"/>
  <c r="AU15" i="4"/>
  <c r="AU19" i="4" s="1"/>
  <c r="AT15" i="4"/>
  <c r="AT19" i="4" s="1"/>
  <c r="AU11" i="4"/>
  <c r="AT11" i="4"/>
  <c r="AU8" i="4"/>
  <c r="AU12" i="4" s="1"/>
  <c r="AT8" i="4"/>
  <c r="AT12" i="4" s="1"/>
  <c r="BS99" i="4"/>
  <c r="BR99" i="4"/>
  <c r="BS98" i="4"/>
  <c r="BR98" i="4"/>
  <c r="BR100" i="4" s="1"/>
  <c r="BS96" i="4"/>
  <c r="BR96" i="4"/>
  <c r="BS95" i="4"/>
  <c r="BS97" i="4" s="1"/>
  <c r="BR95" i="4"/>
  <c r="BR97" i="4" s="1"/>
  <c r="BR101" i="4" s="1"/>
  <c r="BS91" i="4"/>
  <c r="BR91" i="4"/>
  <c r="BS88" i="4"/>
  <c r="BR88" i="4"/>
  <c r="BS85" i="4"/>
  <c r="BR85" i="4"/>
  <c r="BS81" i="4"/>
  <c r="BR81" i="4"/>
  <c r="BS78" i="4"/>
  <c r="BR78" i="4"/>
  <c r="BS74" i="4"/>
  <c r="BR74" i="4"/>
  <c r="BS71" i="4"/>
  <c r="BR71" i="4"/>
  <c r="BS67" i="4"/>
  <c r="BR67" i="4"/>
  <c r="BS64" i="4"/>
  <c r="BR64" i="4"/>
  <c r="BS60" i="4"/>
  <c r="BR60" i="4"/>
  <c r="BS57" i="4"/>
  <c r="BS61" i="4" s="1"/>
  <c r="BR57" i="4"/>
  <c r="BS53" i="4"/>
  <c r="BR53" i="4"/>
  <c r="BS50" i="4"/>
  <c r="BS54" i="4" s="1"/>
  <c r="BR50" i="4"/>
  <c r="BS46" i="4"/>
  <c r="BR46" i="4"/>
  <c r="BS43" i="4"/>
  <c r="BS47" i="4" s="1"/>
  <c r="BR43" i="4"/>
  <c r="BS39" i="4"/>
  <c r="BR39" i="4"/>
  <c r="BS36" i="4"/>
  <c r="BS40" i="4" s="1"/>
  <c r="BR36" i="4"/>
  <c r="BS32" i="4"/>
  <c r="BR32" i="4"/>
  <c r="BS29" i="4"/>
  <c r="BS33" i="4" s="1"/>
  <c r="BR29" i="4"/>
  <c r="BS25" i="4"/>
  <c r="BR25" i="4"/>
  <c r="BS22" i="4"/>
  <c r="BS26" i="4" s="1"/>
  <c r="BR22" i="4"/>
  <c r="BS18" i="4"/>
  <c r="BR18" i="4"/>
  <c r="BS15" i="4"/>
  <c r="BS19" i="4" s="1"/>
  <c r="BR15" i="4"/>
  <c r="BS11" i="4"/>
  <c r="BR11" i="4"/>
  <c r="BS8" i="4"/>
  <c r="BS12" i="4" s="1"/>
  <c r="BR8" i="4"/>
  <c r="BM99" i="4"/>
  <c r="BL99" i="4"/>
  <c r="BM98" i="4"/>
  <c r="BM100" i="4" s="1"/>
  <c r="BL98" i="4"/>
  <c r="BM96" i="4"/>
  <c r="BL96" i="4"/>
  <c r="BM95" i="4"/>
  <c r="BM97" i="4" s="1"/>
  <c r="BM101" i="4" s="1"/>
  <c r="BL95" i="4"/>
  <c r="BM91" i="4"/>
  <c r="BL91" i="4"/>
  <c r="BM88" i="4"/>
  <c r="BL88" i="4"/>
  <c r="BM85" i="4"/>
  <c r="BL85" i="4"/>
  <c r="BL89" i="4" s="1"/>
  <c r="BM81" i="4"/>
  <c r="BL81" i="4"/>
  <c r="BM78" i="4"/>
  <c r="BL78" i="4"/>
  <c r="BL82" i="4" s="1"/>
  <c r="BM74" i="4"/>
  <c r="BL74" i="4"/>
  <c r="BM71" i="4"/>
  <c r="BL71" i="4"/>
  <c r="BL75" i="4" s="1"/>
  <c r="BM67" i="4"/>
  <c r="BL67" i="4"/>
  <c r="BM64" i="4"/>
  <c r="BL64" i="4"/>
  <c r="BL68" i="4" s="1"/>
  <c r="BM60" i="4"/>
  <c r="BL60" i="4"/>
  <c r="BM57" i="4"/>
  <c r="BL57" i="4"/>
  <c r="BL61" i="4" s="1"/>
  <c r="BM53" i="4"/>
  <c r="BL53" i="4"/>
  <c r="BM50" i="4"/>
  <c r="BL50" i="4"/>
  <c r="BL54" i="4" s="1"/>
  <c r="BM46" i="4"/>
  <c r="BL46" i="4"/>
  <c r="BM43" i="4"/>
  <c r="BM47" i="4" s="1"/>
  <c r="BL43" i="4"/>
  <c r="BL47" i="4" s="1"/>
  <c r="BM39" i="4"/>
  <c r="BL39" i="4"/>
  <c r="BM36" i="4"/>
  <c r="BM40" i="4" s="1"/>
  <c r="BL36" i="4"/>
  <c r="BL40" i="4" s="1"/>
  <c r="BM32" i="4"/>
  <c r="BL32" i="4"/>
  <c r="BM29" i="4"/>
  <c r="BM33" i="4" s="1"/>
  <c r="BL29" i="4"/>
  <c r="BL33" i="4" s="1"/>
  <c r="BM25" i="4"/>
  <c r="BL25" i="4"/>
  <c r="BM22" i="4"/>
  <c r="BM26" i="4" s="1"/>
  <c r="BL22" i="4"/>
  <c r="BL26" i="4" s="1"/>
  <c r="BM18" i="4"/>
  <c r="BL18" i="4"/>
  <c r="BM15" i="4"/>
  <c r="BM19" i="4" s="1"/>
  <c r="BL15" i="4"/>
  <c r="BL19" i="4" s="1"/>
  <c r="BM11" i="4"/>
  <c r="BL11" i="4"/>
  <c r="BM8" i="4"/>
  <c r="BM12" i="4" s="1"/>
  <c r="BL8" i="4"/>
  <c r="BL12" i="4" s="1"/>
  <c r="BG99" i="4"/>
  <c r="BF99" i="4"/>
  <c r="BG98" i="4"/>
  <c r="BG100" i="4" s="1"/>
  <c r="BF98" i="4"/>
  <c r="BG96" i="4"/>
  <c r="BF96" i="4"/>
  <c r="BG95" i="4"/>
  <c r="BG97" i="4" s="1"/>
  <c r="BG101" i="4" s="1"/>
  <c r="BF95" i="4"/>
  <c r="BG91" i="4"/>
  <c r="BF91" i="4"/>
  <c r="BG88" i="4"/>
  <c r="BF88" i="4"/>
  <c r="BG85" i="4"/>
  <c r="BF85" i="4"/>
  <c r="BG81" i="4"/>
  <c r="BF81" i="4"/>
  <c r="BG78" i="4"/>
  <c r="BF78" i="4"/>
  <c r="BG74" i="4"/>
  <c r="BF74" i="4"/>
  <c r="BG71" i="4"/>
  <c r="BF71" i="4"/>
  <c r="BG67" i="4"/>
  <c r="BF67" i="4"/>
  <c r="BG64" i="4"/>
  <c r="BF64" i="4"/>
  <c r="BG60" i="4"/>
  <c r="BF60" i="4"/>
  <c r="BG57" i="4"/>
  <c r="BF57" i="4"/>
  <c r="BG53" i="4"/>
  <c r="BF53" i="4"/>
  <c r="BG50" i="4"/>
  <c r="BF50" i="4"/>
  <c r="BG18" i="4"/>
  <c r="BF18" i="4"/>
  <c r="BG15" i="4"/>
  <c r="BF15" i="4"/>
  <c r="BG11" i="4"/>
  <c r="BF11" i="4"/>
  <c r="BG8" i="4"/>
  <c r="BF8" i="4"/>
  <c r="BA99" i="4"/>
  <c r="AZ99" i="4"/>
  <c r="BA98" i="4"/>
  <c r="AZ98" i="4"/>
  <c r="BA96" i="4"/>
  <c r="AZ96" i="4"/>
  <c r="BA95" i="4"/>
  <c r="AZ95" i="4"/>
  <c r="BA91" i="4"/>
  <c r="AZ91" i="4"/>
  <c r="BA88" i="4"/>
  <c r="AZ88" i="4"/>
  <c r="BA85" i="4"/>
  <c r="AZ85" i="4"/>
  <c r="AZ89" i="4" s="1"/>
  <c r="BA81" i="4"/>
  <c r="AZ81" i="4"/>
  <c r="BA78" i="4"/>
  <c r="AZ78" i="4"/>
  <c r="AZ82" i="4" s="1"/>
  <c r="BA74" i="4"/>
  <c r="AZ74" i="4"/>
  <c r="BA71" i="4"/>
  <c r="AZ71" i="4"/>
  <c r="AZ75" i="4" s="1"/>
  <c r="BA67" i="4"/>
  <c r="AZ67" i="4"/>
  <c r="BA64" i="4"/>
  <c r="AZ64" i="4"/>
  <c r="AZ68" i="4" s="1"/>
  <c r="BA60" i="4"/>
  <c r="AZ60" i="4"/>
  <c r="BA57" i="4"/>
  <c r="AZ57" i="4"/>
  <c r="AZ61" i="4" s="1"/>
  <c r="BA53" i="4"/>
  <c r="AZ53" i="4"/>
  <c r="BA50" i="4"/>
  <c r="AZ50" i="4"/>
  <c r="AZ54" i="4" s="1"/>
  <c r="BA39" i="4"/>
  <c r="AZ39" i="4"/>
  <c r="BA36" i="4"/>
  <c r="BA40" i="4" s="1"/>
  <c r="AZ36" i="4"/>
  <c r="AZ40" i="4" s="1"/>
  <c r="BA32" i="4"/>
  <c r="AZ32" i="4"/>
  <c r="BA29" i="4"/>
  <c r="BA33" i="4" s="1"/>
  <c r="AZ29" i="4"/>
  <c r="AZ33" i="4" s="1"/>
  <c r="BA18" i="4"/>
  <c r="AZ18" i="4"/>
  <c r="BA15" i="4"/>
  <c r="BA19" i="4" s="1"/>
  <c r="AZ15" i="4"/>
  <c r="AZ19" i="4" s="1"/>
  <c r="BA11" i="4"/>
  <c r="AZ11" i="4"/>
  <c r="BA8" i="4"/>
  <c r="BA12" i="4" s="1"/>
  <c r="AZ8" i="4"/>
  <c r="AZ12" i="4" s="1"/>
  <c r="AU99" i="4"/>
  <c r="AT99" i="4"/>
  <c r="AU98" i="4"/>
  <c r="AT98" i="4"/>
  <c r="AU96" i="4"/>
  <c r="AT96" i="4"/>
  <c r="AU95" i="4"/>
  <c r="AT95" i="4"/>
  <c r="AU91" i="4"/>
  <c r="AT91" i="4"/>
  <c r="AU88" i="4"/>
  <c r="AT88" i="4"/>
  <c r="AO99" i="4"/>
  <c r="AN99" i="4"/>
  <c r="AO98" i="4"/>
  <c r="AN98" i="4"/>
  <c r="AO96" i="4"/>
  <c r="AN96" i="4"/>
  <c r="AO95" i="4"/>
  <c r="AN95" i="4"/>
  <c r="AO91" i="4"/>
  <c r="AN91" i="4"/>
  <c r="AO88" i="4"/>
  <c r="AN88" i="4"/>
  <c r="AO85" i="4"/>
  <c r="AN85" i="4"/>
  <c r="AN89" i="4" s="1"/>
  <c r="AO81" i="4"/>
  <c r="AN81" i="4"/>
  <c r="AO78" i="4"/>
  <c r="AN78" i="4"/>
  <c r="AN82" i="4" s="1"/>
  <c r="AO74" i="4"/>
  <c r="AN74" i="4"/>
  <c r="AO71" i="4"/>
  <c r="AN71" i="4"/>
  <c r="AN75" i="4" s="1"/>
  <c r="AO67" i="4"/>
  <c r="AN67" i="4"/>
  <c r="AO64" i="4"/>
  <c r="AN64" i="4"/>
  <c r="AN68" i="4" s="1"/>
  <c r="AO60" i="4"/>
  <c r="AN60" i="4"/>
  <c r="AO57" i="4"/>
  <c r="AN57" i="4"/>
  <c r="AN61" i="4" s="1"/>
  <c r="AO53" i="4"/>
  <c r="AN53" i="4"/>
  <c r="AO50" i="4"/>
  <c r="AN50" i="4"/>
  <c r="AN54" i="4" s="1"/>
  <c r="AO46" i="4"/>
  <c r="AN46" i="4"/>
  <c r="AO43" i="4"/>
  <c r="AN43" i="4"/>
  <c r="AN47" i="4" s="1"/>
  <c r="AO39" i="4"/>
  <c r="AN39" i="4"/>
  <c r="AO36" i="4"/>
  <c r="AN36" i="4"/>
  <c r="AN40" i="4" s="1"/>
  <c r="AO32" i="4"/>
  <c r="AN32" i="4"/>
  <c r="AO29" i="4"/>
  <c r="AN29" i="4"/>
  <c r="AN33" i="4" s="1"/>
  <c r="AO25" i="4"/>
  <c r="AN25" i="4"/>
  <c r="AO22" i="4"/>
  <c r="AN22" i="4"/>
  <c r="AN26" i="4" s="1"/>
  <c r="AO18" i="4"/>
  <c r="AN18" i="4"/>
  <c r="AO15" i="4"/>
  <c r="AN15" i="4"/>
  <c r="AN19" i="4" s="1"/>
  <c r="AO11" i="4"/>
  <c r="AN11" i="4"/>
  <c r="AO8" i="4"/>
  <c r="AN8" i="4"/>
  <c r="AN12" i="4" s="1"/>
  <c r="AI99" i="4"/>
  <c r="AH99" i="4"/>
  <c r="AI98" i="4"/>
  <c r="AH98" i="4"/>
  <c r="AH100" i="4" s="1"/>
  <c r="AI96" i="4"/>
  <c r="AH96" i="4"/>
  <c r="AI95" i="4"/>
  <c r="AH95" i="4"/>
  <c r="AH97" i="4" s="1"/>
  <c r="AH101" i="4" s="1"/>
  <c r="AI91" i="4"/>
  <c r="AH91" i="4"/>
  <c r="AI88" i="4"/>
  <c r="AH88" i="4"/>
  <c r="AI85" i="4"/>
  <c r="AH85" i="4"/>
  <c r="AI81" i="4"/>
  <c r="AH81" i="4"/>
  <c r="AI78" i="4"/>
  <c r="AH78" i="4"/>
  <c r="AI74" i="4"/>
  <c r="AH74" i="4"/>
  <c r="AI71" i="4"/>
  <c r="AH71" i="4"/>
  <c r="AI67" i="4"/>
  <c r="AH67" i="4"/>
  <c r="AI64" i="4"/>
  <c r="AH64" i="4"/>
  <c r="AI60" i="4"/>
  <c r="AH60" i="4"/>
  <c r="AI57" i="4"/>
  <c r="AH57" i="4"/>
  <c r="AI53" i="4"/>
  <c r="AH53" i="4"/>
  <c r="AI50" i="4"/>
  <c r="AH50" i="4"/>
  <c r="AI46" i="4"/>
  <c r="AH46" i="4"/>
  <c r="AI43" i="4"/>
  <c r="AH43" i="4"/>
  <c r="AI39" i="4"/>
  <c r="AH39" i="4"/>
  <c r="AI36" i="4"/>
  <c r="AH36" i="4"/>
  <c r="AI32" i="4"/>
  <c r="AH32" i="4"/>
  <c r="AI29" i="4"/>
  <c r="AH29" i="4"/>
  <c r="AI25" i="4"/>
  <c r="AH25" i="4"/>
  <c r="AI22" i="4"/>
  <c r="AH22" i="4"/>
  <c r="AI18" i="4"/>
  <c r="AH18" i="4"/>
  <c r="AI15" i="4"/>
  <c r="AH15" i="4"/>
  <c r="AI11" i="4"/>
  <c r="AH11" i="4"/>
  <c r="AI8" i="4"/>
  <c r="AH8" i="4"/>
  <c r="AC99" i="4"/>
  <c r="AB99" i="4"/>
  <c r="AC98" i="4"/>
  <c r="AC100" i="4" s="1"/>
  <c r="AB98" i="4"/>
  <c r="AC96" i="4"/>
  <c r="AB96" i="4"/>
  <c r="AC95" i="4"/>
  <c r="AC97" i="4" s="1"/>
  <c r="AC101" i="4" s="1"/>
  <c r="AB95" i="4"/>
  <c r="AC91" i="4"/>
  <c r="AB91" i="4"/>
  <c r="AC88" i="4"/>
  <c r="AB88" i="4"/>
  <c r="AC85" i="4"/>
  <c r="AB85" i="4"/>
  <c r="AB89" i="4" s="1"/>
  <c r="AC81" i="4"/>
  <c r="AB81" i="4"/>
  <c r="AC78" i="4"/>
  <c r="AB78" i="4"/>
  <c r="AB82" i="4" s="1"/>
  <c r="AC74" i="4"/>
  <c r="AB74" i="4"/>
  <c r="AC71" i="4"/>
  <c r="AB71" i="4"/>
  <c r="AB75" i="4" s="1"/>
  <c r="AC67" i="4"/>
  <c r="AB67" i="4"/>
  <c r="AC64" i="4"/>
  <c r="AB64" i="4"/>
  <c r="AB68" i="4" s="1"/>
  <c r="AC60" i="4"/>
  <c r="AB60" i="4"/>
  <c r="AC57" i="4"/>
  <c r="AB57" i="4"/>
  <c r="AB61" i="4" s="1"/>
  <c r="AC53" i="4"/>
  <c r="AB53" i="4"/>
  <c r="AC50" i="4"/>
  <c r="AB50" i="4"/>
  <c r="AB54" i="4" s="1"/>
  <c r="AC46" i="4"/>
  <c r="AB46" i="4"/>
  <c r="AC43" i="4"/>
  <c r="AB43" i="4"/>
  <c r="AB47" i="4" s="1"/>
  <c r="AC39" i="4"/>
  <c r="AB39" i="4"/>
  <c r="AC36" i="4"/>
  <c r="AB36" i="4"/>
  <c r="AB40" i="4" s="1"/>
  <c r="AC32" i="4"/>
  <c r="AB32" i="4"/>
  <c r="AC29" i="4"/>
  <c r="AB29" i="4"/>
  <c r="AB33" i="4" s="1"/>
  <c r="AC25" i="4"/>
  <c r="AB25" i="4"/>
  <c r="AC22" i="4"/>
  <c r="AB22" i="4"/>
  <c r="AB26" i="4" s="1"/>
  <c r="AC18" i="4"/>
  <c r="AB18" i="4"/>
  <c r="AC15" i="4"/>
  <c r="AB15" i="4"/>
  <c r="AB19" i="4" s="1"/>
  <c r="AC11" i="4"/>
  <c r="AB11" i="4"/>
  <c r="AC8" i="4"/>
  <c r="AB8" i="4"/>
  <c r="AB12" i="4" s="1"/>
  <c r="W99" i="4"/>
  <c r="V99" i="4"/>
  <c r="W98" i="4"/>
  <c r="V98" i="4"/>
  <c r="V100" i="4" s="1"/>
  <c r="W96" i="4"/>
  <c r="V96" i="4"/>
  <c r="W95" i="4"/>
  <c r="V95" i="4"/>
  <c r="V97" i="4" s="1"/>
  <c r="W91" i="4"/>
  <c r="V91" i="4"/>
  <c r="W88" i="4"/>
  <c r="V88" i="4"/>
  <c r="W85" i="4"/>
  <c r="V85" i="4"/>
  <c r="W81" i="4"/>
  <c r="V81" i="4"/>
  <c r="W78" i="4"/>
  <c r="V78" i="4"/>
  <c r="W74" i="4"/>
  <c r="V74" i="4"/>
  <c r="W71" i="4"/>
  <c r="V71" i="4"/>
  <c r="W67" i="4"/>
  <c r="V67" i="4"/>
  <c r="W64" i="4"/>
  <c r="V64" i="4"/>
  <c r="W60" i="4"/>
  <c r="V60" i="4"/>
  <c r="W57" i="4"/>
  <c r="V57" i="4"/>
  <c r="W53" i="4"/>
  <c r="V53" i="4"/>
  <c r="W50" i="4"/>
  <c r="V50" i="4"/>
  <c r="W46" i="4"/>
  <c r="V46" i="4"/>
  <c r="W43" i="4"/>
  <c r="V43" i="4"/>
  <c r="W39" i="4"/>
  <c r="V39" i="4"/>
  <c r="W36" i="4"/>
  <c r="V36" i="4"/>
  <c r="W32" i="4"/>
  <c r="V32" i="4"/>
  <c r="W29" i="4"/>
  <c r="V29" i="4"/>
  <c r="W25" i="4"/>
  <c r="V25" i="4"/>
  <c r="W22" i="4"/>
  <c r="W26" i="4" s="1"/>
  <c r="V22" i="4"/>
  <c r="W18" i="4"/>
  <c r="V18" i="4"/>
  <c r="W15" i="4"/>
  <c r="W19" i="4" s="1"/>
  <c r="V15" i="4"/>
  <c r="W11" i="4"/>
  <c r="V11" i="4"/>
  <c r="W8" i="4"/>
  <c r="W12" i="4" s="1"/>
  <c r="V8" i="4"/>
  <c r="Q99" i="4"/>
  <c r="P99" i="4"/>
  <c r="Q98" i="4"/>
  <c r="Q100" i="4" s="1"/>
  <c r="P98" i="4"/>
  <c r="Q96" i="4"/>
  <c r="P96" i="4"/>
  <c r="Q95" i="4"/>
  <c r="P95" i="4"/>
  <c r="Q91" i="4"/>
  <c r="P91" i="4"/>
  <c r="Q88" i="4"/>
  <c r="P88" i="4"/>
  <c r="Q85" i="4"/>
  <c r="P85" i="4"/>
  <c r="P89" i="4" s="1"/>
  <c r="Q81" i="4"/>
  <c r="P81" i="4"/>
  <c r="Q78" i="4"/>
  <c r="P78" i="4"/>
  <c r="P82" i="4" s="1"/>
  <c r="Q74" i="4"/>
  <c r="P74" i="4"/>
  <c r="Q71" i="4"/>
  <c r="P71" i="4"/>
  <c r="P75" i="4" s="1"/>
  <c r="Q67" i="4"/>
  <c r="P67" i="4"/>
  <c r="Q64" i="4"/>
  <c r="P64" i="4"/>
  <c r="P68" i="4" s="1"/>
  <c r="Q60" i="4"/>
  <c r="P60" i="4"/>
  <c r="Q57" i="4"/>
  <c r="P57" i="4"/>
  <c r="P61" i="4" s="1"/>
  <c r="Q53" i="4"/>
  <c r="P53" i="4"/>
  <c r="Q50" i="4"/>
  <c r="P50" i="4"/>
  <c r="P54" i="4" s="1"/>
  <c r="Q46" i="4"/>
  <c r="P46" i="4"/>
  <c r="Q43" i="4"/>
  <c r="P43" i="4"/>
  <c r="P47" i="4" s="1"/>
  <c r="Q39" i="4"/>
  <c r="P39" i="4"/>
  <c r="Q36" i="4"/>
  <c r="P36" i="4"/>
  <c r="P40" i="4" s="1"/>
  <c r="Q32" i="4"/>
  <c r="P32" i="4"/>
  <c r="Q29" i="4"/>
  <c r="P29" i="4"/>
  <c r="P33" i="4" s="1"/>
  <c r="Q25" i="4"/>
  <c r="P25" i="4"/>
  <c r="Q22" i="4"/>
  <c r="P22" i="4"/>
  <c r="P26" i="4" s="1"/>
  <c r="Q18" i="4"/>
  <c r="P18" i="4"/>
  <c r="Q15" i="4"/>
  <c r="P15" i="4"/>
  <c r="P19" i="4" s="1"/>
  <c r="Q11" i="4"/>
  <c r="P11" i="4"/>
  <c r="Q8" i="4"/>
  <c r="P8" i="4"/>
  <c r="P12" i="4" s="1"/>
  <c r="K99" i="4"/>
  <c r="J99" i="4"/>
  <c r="K98" i="4"/>
  <c r="J98" i="4"/>
  <c r="J100" i="4" s="1"/>
  <c r="K96" i="4"/>
  <c r="J96" i="4"/>
  <c r="K95" i="4"/>
  <c r="J95" i="4"/>
  <c r="J97" i="4" s="1"/>
  <c r="K91" i="4"/>
  <c r="J91" i="4"/>
  <c r="K88" i="4"/>
  <c r="J88" i="4"/>
  <c r="K85" i="4"/>
  <c r="J85" i="4"/>
  <c r="K81" i="4"/>
  <c r="J81" i="4"/>
  <c r="K78" i="4"/>
  <c r="J78" i="4"/>
  <c r="K74" i="4"/>
  <c r="J74" i="4"/>
  <c r="K71" i="4"/>
  <c r="J71" i="4"/>
  <c r="K67" i="4"/>
  <c r="J67" i="4"/>
  <c r="K64" i="4"/>
  <c r="J64" i="4"/>
  <c r="K60" i="4"/>
  <c r="J60" i="4"/>
  <c r="K57" i="4"/>
  <c r="J57" i="4"/>
  <c r="K53" i="4"/>
  <c r="J53" i="4"/>
  <c r="K50" i="4"/>
  <c r="J50" i="4"/>
  <c r="K46" i="4"/>
  <c r="J46" i="4"/>
  <c r="K43" i="4"/>
  <c r="J43" i="4"/>
  <c r="K39" i="4"/>
  <c r="J39" i="4"/>
  <c r="K36" i="4"/>
  <c r="J36" i="4"/>
  <c r="K32" i="4"/>
  <c r="J32" i="4"/>
  <c r="K29" i="4"/>
  <c r="K33" i="4" s="1"/>
  <c r="J29" i="4"/>
  <c r="K25" i="4"/>
  <c r="J25" i="4"/>
  <c r="K22" i="4"/>
  <c r="K26" i="4" s="1"/>
  <c r="J22" i="4"/>
  <c r="K18" i="4"/>
  <c r="J18" i="4"/>
  <c r="K15" i="4"/>
  <c r="K19" i="4" s="1"/>
  <c r="J15" i="4"/>
  <c r="K11" i="4"/>
  <c r="J11" i="4"/>
  <c r="K8" i="4"/>
  <c r="K12" i="4" s="1"/>
  <c r="J8" i="4"/>
  <c r="E36" i="4"/>
  <c r="D36" i="4"/>
  <c r="E29" i="4"/>
  <c r="D29" i="4"/>
  <c r="E15" i="4"/>
  <c r="D15" i="4"/>
  <c r="D99" i="4"/>
  <c r="E99" i="4"/>
  <c r="E98" i="4"/>
  <c r="D98" i="4"/>
  <c r="D96" i="4"/>
  <c r="E96" i="4"/>
  <c r="E95" i="4"/>
  <c r="D95" i="4"/>
  <c r="BU83" i="4"/>
  <c r="BU76" i="4"/>
  <c r="BU69" i="4"/>
  <c r="BU62" i="4"/>
  <c r="BU55" i="4"/>
  <c r="BU48" i="4"/>
  <c r="BU41" i="4"/>
  <c r="BU34" i="4"/>
  <c r="BU27" i="4"/>
  <c r="BU20" i="4"/>
  <c r="BU13" i="4"/>
  <c r="BU6" i="4"/>
  <c r="E71" i="4"/>
  <c r="D71" i="4"/>
  <c r="E50" i="4"/>
  <c r="D50" i="4"/>
  <c r="E43" i="4"/>
  <c r="D43" i="4"/>
  <c r="BF97" i="4" l="1"/>
  <c r="BF100" i="4"/>
  <c r="AT100" i="4"/>
  <c r="AT97" i="4"/>
  <c r="AU97" i="4"/>
  <c r="AU100" i="4"/>
  <c r="Q12" i="4"/>
  <c r="Q26" i="4"/>
  <c r="Q40" i="4"/>
  <c r="Q54" i="4"/>
  <c r="Q61" i="4"/>
  <c r="W97" i="4"/>
  <c r="W100" i="4"/>
  <c r="AC12" i="4"/>
  <c r="AC19" i="4"/>
  <c r="AC26" i="4"/>
  <c r="AC33" i="4"/>
  <c r="AC40" i="4"/>
  <c r="AC47" i="4"/>
  <c r="AC54" i="4"/>
  <c r="AC61" i="4"/>
  <c r="AC68" i="4"/>
  <c r="AC75" i="4"/>
  <c r="AC82" i="4"/>
  <c r="AI97" i="4"/>
  <c r="AI100" i="4"/>
  <c r="AO12" i="4"/>
  <c r="AO19" i="4"/>
  <c r="AO26" i="4"/>
  <c r="AO33" i="4"/>
  <c r="AO40" i="4"/>
  <c r="AO47" i="4"/>
  <c r="AO54" i="4"/>
  <c r="AO61" i="4"/>
  <c r="AO68" i="4"/>
  <c r="AO75" i="4"/>
  <c r="AO82" i="4"/>
  <c r="AO89" i="4"/>
  <c r="BM54" i="4"/>
  <c r="K100" i="4"/>
  <c r="Q19" i="4"/>
  <c r="Q33" i="4"/>
  <c r="Q47" i="4"/>
  <c r="Q68" i="4"/>
  <c r="BA97" i="4"/>
  <c r="BA100" i="4"/>
  <c r="BG12" i="4"/>
  <c r="BG19" i="4"/>
  <c r="Q97" i="4"/>
  <c r="Q101" i="4" s="1"/>
  <c r="K97" i="4"/>
  <c r="K101" i="4" s="1"/>
  <c r="J101" i="4"/>
  <c r="V101" i="4"/>
  <c r="Q75" i="4"/>
  <c r="Q82" i="4"/>
  <c r="Q89" i="4"/>
  <c r="AC89" i="4"/>
  <c r="BA54" i="4"/>
  <c r="BA61" i="4"/>
  <c r="BA68" i="4"/>
  <c r="BA75" i="4"/>
  <c r="BA82" i="4"/>
  <c r="BA89" i="4"/>
  <c r="BM61" i="4"/>
  <c r="BM68" i="4"/>
  <c r="BM75" i="4"/>
  <c r="BM82" i="4"/>
  <c r="BM89" i="4"/>
  <c r="BS100" i="4"/>
  <c r="BS101" i="4" s="1"/>
  <c r="J12" i="4"/>
  <c r="J19" i="4"/>
  <c r="J26" i="4"/>
  <c r="J33" i="4"/>
  <c r="J40" i="4"/>
  <c r="J47" i="4"/>
  <c r="J54" i="4"/>
  <c r="J61" i="4"/>
  <c r="J68" i="4"/>
  <c r="J75" i="4"/>
  <c r="J82" i="4"/>
  <c r="J89" i="4"/>
  <c r="P97" i="4"/>
  <c r="P100" i="4"/>
  <c r="V12" i="4"/>
  <c r="V19" i="4"/>
  <c r="V26" i="4"/>
  <c r="V33" i="4"/>
  <c r="V40" i="4"/>
  <c r="V47" i="4"/>
  <c r="V54" i="4"/>
  <c r="V61" i="4"/>
  <c r="V68" i="4"/>
  <c r="V75" i="4"/>
  <c r="V82" i="4"/>
  <c r="V89" i="4"/>
  <c r="AB97" i="4"/>
  <c r="AB100" i="4"/>
  <c r="AH12" i="4"/>
  <c r="AH19" i="4"/>
  <c r="AH26" i="4"/>
  <c r="AH33" i="4"/>
  <c r="AH40" i="4"/>
  <c r="AH47" i="4"/>
  <c r="AH54" i="4"/>
  <c r="AH61" i="4"/>
  <c r="AH68" i="4"/>
  <c r="AH75" i="4"/>
  <c r="AH82" i="4"/>
  <c r="AH89" i="4"/>
  <c r="AN97" i="4"/>
  <c r="AN100" i="4"/>
  <c r="AT89" i="4"/>
  <c r="AZ97" i="4"/>
  <c r="AZ101" i="4" s="1"/>
  <c r="AZ100" i="4"/>
  <c r="BF12" i="4"/>
  <c r="BF19" i="4"/>
  <c r="BF54" i="4"/>
  <c r="BF61" i="4"/>
  <c r="BF68" i="4"/>
  <c r="BF75" i="4"/>
  <c r="BF82" i="4"/>
  <c r="BF89" i="4"/>
  <c r="BL97" i="4"/>
  <c r="BL100" i="4"/>
  <c r="BR12" i="4"/>
  <c r="BR19" i="4"/>
  <c r="BR26" i="4"/>
  <c r="BR33" i="4"/>
  <c r="BR40" i="4"/>
  <c r="BR47" i="4"/>
  <c r="BR54" i="4"/>
  <c r="BR61" i="4"/>
  <c r="BR68" i="4"/>
  <c r="BR75" i="4"/>
  <c r="BR82" i="4"/>
  <c r="BR89" i="4"/>
  <c r="K40" i="4"/>
  <c r="K47" i="4"/>
  <c r="K54" i="4"/>
  <c r="K61" i="4"/>
  <c r="K68" i="4"/>
  <c r="K75" i="4"/>
  <c r="K82" i="4"/>
  <c r="K89" i="4"/>
  <c r="W33" i="4"/>
  <c r="W40" i="4"/>
  <c r="W47" i="4"/>
  <c r="W54" i="4"/>
  <c r="W61" i="4"/>
  <c r="W68" i="4"/>
  <c r="W75" i="4"/>
  <c r="W82" i="4"/>
  <c r="W89" i="4"/>
  <c r="AI12" i="4"/>
  <c r="AI19" i="4"/>
  <c r="AI26" i="4"/>
  <c r="AI33" i="4"/>
  <c r="AI40" i="4"/>
  <c r="AI47" i="4"/>
  <c r="AI54" i="4"/>
  <c r="AI61" i="4"/>
  <c r="AI68" i="4"/>
  <c r="AI75" i="4"/>
  <c r="AI82" i="4"/>
  <c r="AI89" i="4"/>
  <c r="AO97" i="4"/>
  <c r="AO100" i="4"/>
  <c r="AU89" i="4"/>
  <c r="BG54" i="4"/>
  <c r="BG61" i="4"/>
  <c r="BG68" i="4"/>
  <c r="BG75" i="4"/>
  <c r="BG82" i="4"/>
  <c r="BG89" i="4"/>
  <c r="BS68" i="4"/>
  <c r="BS75" i="4"/>
  <c r="BS82" i="4"/>
  <c r="BS89" i="4"/>
  <c r="BS1" i="5"/>
  <c r="BM1" i="5"/>
  <c r="BG1" i="5"/>
  <c r="BA1" i="5"/>
  <c r="AU1" i="5"/>
  <c r="AO1" i="5"/>
  <c r="AI1" i="5"/>
  <c r="AC1" i="5"/>
  <c r="W1" i="5"/>
  <c r="Q1" i="5"/>
  <c r="K1" i="5"/>
  <c r="BS9" i="5"/>
  <c r="BR9" i="5"/>
  <c r="BS8" i="5"/>
  <c r="BR8" i="5"/>
  <c r="BS6" i="5"/>
  <c r="BR6" i="5"/>
  <c r="BS5" i="5"/>
  <c r="BR5" i="5"/>
  <c r="BM9" i="5"/>
  <c r="BL9" i="5"/>
  <c r="BM6" i="5"/>
  <c r="BL6" i="5"/>
  <c r="BG9" i="5"/>
  <c r="BF9" i="5"/>
  <c r="BG6" i="5"/>
  <c r="BF6" i="5"/>
  <c r="BA9" i="5"/>
  <c r="AZ9" i="5"/>
  <c r="BA6" i="5"/>
  <c r="AZ6" i="5"/>
  <c r="AU9" i="5"/>
  <c r="AT9" i="5"/>
  <c r="AU6" i="5"/>
  <c r="AT6" i="5"/>
  <c r="AO9" i="5"/>
  <c r="AN9" i="5"/>
  <c r="AO6" i="5"/>
  <c r="AN6" i="5"/>
  <c r="AI9" i="5"/>
  <c r="AH9" i="5"/>
  <c r="AI6" i="5"/>
  <c r="AH6" i="5"/>
  <c r="AC9" i="5"/>
  <c r="AB9" i="5"/>
  <c r="AC6" i="5"/>
  <c r="AB6" i="5"/>
  <c r="W9" i="5"/>
  <c r="V9" i="5"/>
  <c r="W6" i="5"/>
  <c r="V6" i="5"/>
  <c r="Q9" i="5"/>
  <c r="P9" i="5"/>
  <c r="Q6" i="5"/>
  <c r="P6" i="5"/>
  <c r="K9" i="5"/>
  <c r="J9" i="5"/>
  <c r="K6" i="5"/>
  <c r="J6" i="5"/>
  <c r="BF101" i="4" l="1"/>
  <c r="AU101" i="4"/>
  <c r="AT101" i="4"/>
  <c r="W101" i="4"/>
  <c r="BA101" i="4"/>
  <c r="AI101" i="4"/>
  <c r="BL101" i="4"/>
  <c r="AN101" i="4"/>
  <c r="P101" i="4"/>
  <c r="AO101" i="4"/>
  <c r="AB101" i="4"/>
  <c r="BM5" i="5"/>
  <c r="BM7" i="5" s="1"/>
  <c r="BM8" i="5"/>
  <c r="BM10" i="5" s="1"/>
  <c r="BL5" i="5"/>
  <c r="BL8" i="5"/>
  <c r="BL10" i="5" s="1"/>
  <c r="BG8" i="5"/>
  <c r="BF8" i="5"/>
  <c r="BG5" i="5"/>
  <c r="BG7" i="5" s="1"/>
  <c r="BF5" i="5"/>
  <c r="BF7" i="5" s="1"/>
  <c r="BA8" i="5"/>
  <c r="AZ8" i="5"/>
  <c r="BA5" i="5"/>
  <c r="AZ5" i="5"/>
  <c r="AU8" i="5"/>
  <c r="AT8" i="5"/>
  <c r="AU5" i="5"/>
  <c r="AT5" i="5"/>
  <c r="AO8" i="5"/>
  <c r="AO10" i="5" s="1"/>
  <c r="AN8" i="5"/>
  <c r="AN10" i="5" s="1"/>
  <c r="AO5" i="5"/>
  <c r="AO7" i="5" s="1"/>
  <c r="AN5" i="5"/>
  <c r="AN7" i="5" s="1"/>
  <c r="AI8" i="5"/>
  <c r="AH8" i="5"/>
  <c r="AI5" i="5"/>
  <c r="AI7" i="5" s="1"/>
  <c r="AH5" i="5"/>
  <c r="AC8" i="5"/>
  <c r="AC10" i="5" s="1"/>
  <c r="AB8" i="5"/>
  <c r="AB10" i="5" s="1"/>
  <c r="AC5" i="5"/>
  <c r="AC7" i="5" s="1"/>
  <c r="AB5" i="5"/>
  <c r="W8" i="5"/>
  <c r="V8" i="5"/>
  <c r="V10" i="5" s="1"/>
  <c r="W5" i="5"/>
  <c r="V5" i="5"/>
  <c r="Q8" i="5"/>
  <c r="P8" i="5"/>
  <c r="Q5" i="5"/>
  <c r="Q7" i="5" s="1"/>
  <c r="P5" i="5"/>
  <c r="K8" i="5"/>
  <c r="J8" i="5"/>
  <c r="K5" i="5"/>
  <c r="J5" i="5"/>
  <c r="BS7" i="5"/>
  <c r="BR7" i="5"/>
  <c r="BS10" i="5"/>
  <c r="BR10" i="5"/>
  <c r="BA10" i="5"/>
  <c r="D5" i="5"/>
  <c r="AZ10" i="5" l="1"/>
  <c r="BF10" i="5"/>
  <c r="BF11" i="5" s="1"/>
  <c r="AT10" i="5"/>
  <c r="AU7" i="5"/>
  <c r="AI10" i="5"/>
  <c r="AH10" i="5"/>
  <c r="AB7" i="5"/>
  <c r="AB11" i="5" s="1"/>
  <c r="W10" i="5"/>
  <c r="W7" i="5"/>
  <c r="Q10" i="5"/>
  <c r="Q11" i="5" s="1"/>
  <c r="K10" i="5"/>
  <c r="J10" i="5"/>
  <c r="J7" i="5"/>
  <c r="BL7" i="5"/>
  <c r="BL11" i="5" s="1"/>
  <c r="BM11" i="5"/>
  <c r="BG10" i="5"/>
  <c r="BG11" i="5" s="1"/>
  <c r="AZ7" i="5"/>
  <c r="AZ11" i="5" s="1"/>
  <c r="BA7" i="5"/>
  <c r="BA11" i="5" s="1"/>
  <c r="AU10" i="5"/>
  <c r="AT7" i="5"/>
  <c r="AO11" i="5"/>
  <c r="AH7" i="5"/>
  <c r="AI11" i="5"/>
  <c r="V7" i="5"/>
  <c r="V11" i="5" s="1"/>
  <c r="P10" i="5"/>
  <c r="P7" i="5"/>
  <c r="K7" i="5"/>
  <c r="BR11" i="5"/>
  <c r="BS11" i="5"/>
  <c r="AN11" i="5"/>
  <c r="AC11" i="5"/>
  <c r="D91" i="4"/>
  <c r="E91" i="4"/>
  <c r="BU95" i="4"/>
  <c r="E88" i="4"/>
  <c r="D88" i="4"/>
  <c r="BY87" i="4"/>
  <c r="BX87" i="4"/>
  <c r="BY86" i="4"/>
  <c r="BX86" i="4"/>
  <c r="E85" i="4"/>
  <c r="D85" i="4"/>
  <c r="BY84" i="4"/>
  <c r="BX84" i="4"/>
  <c r="BY83" i="4"/>
  <c r="BX83" i="4"/>
  <c r="E81" i="4"/>
  <c r="D81" i="4"/>
  <c r="BY80" i="4"/>
  <c r="BX80" i="4"/>
  <c r="BY79" i="4"/>
  <c r="BX79" i="4"/>
  <c r="E78" i="4"/>
  <c r="D78" i="4"/>
  <c r="BY77" i="4"/>
  <c r="BX77" i="4"/>
  <c r="BY76" i="4"/>
  <c r="BX76" i="4"/>
  <c r="AT11" i="5" l="1"/>
  <c r="AU11" i="5"/>
  <c r="AH11" i="5"/>
  <c r="W11" i="5"/>
  <c r="J11" i="5"/>
  <c r="K11" i="5"/>
  <c r="P11" i="5"/>
  <c r="E82" i="4"/>
  <c r="D89" i="4"/>
  <c r="D82" i="4"/>
  <c r="E89" i="4"/>
  <c r="BY88" i="4"/>
  <c r="BX78" i="4"/>
  <c r="BX81" i="4"/>
  <c r="BY85" i="4"/>
  <c r="BY78" i="4"/>
  <c r="BY81" i="4"/>
  <c r="BX85" i="4"/>
  <c r="BX88" i="4"/>
  <c r="BY89" i="4" l="1"/>
  <c r="BX82" i="4"/>
  <c r="BX89" i="4"/>
  <c r="BY82" i="4"/>
  <c r="E74" i="4" l="1"/>
  <c r="D74" i="4"/>
  <c r="BY73" i="4"/>
  <c r="BX73" i="4"/>
  <c r="BY72" i="4"/>
  <c r="BX72" i="4"/>
  <c r="BY70" i="4"/>
  <c r="BX70" i="4"/>
  <c r="BY69" i="4"/>
  <c r="BX69" i="4"/>
  <c r="E67" i="4"/>
  <c r="D67" i="4"/>
  <c r="BY66" i="4"/>
  <c r="BX66" i="4"/>
  <c r="BY65" i="4"/>
  <c r="BX65" i="4"/>
  <c r="E64" i="4"/>
  <c r="D64" i="4"/>
  <c r="BY63" i="4"/>
  <c r="BX63" i="4"/>
  <c r="BY62" i="4"/>
  <c r="BX62" i="4"/>
  <c r="E60" i="4"/>
  <c r="D60" i="4"/>
  <c r="BY59" i="4"/>
  <c r="BX59" i="4"/>
  <c r="BY58" i="4"/>
  <c r="BX58" i="4"/>
  <c r="E57" i="4"/>
  <c r="D57" i="4"/>
  <c r="BY56" i="4"/>
  <c r="BX56" i="4"/>
  <c r="BY55" i="4"/>
  <c r="BX55" i="4"/>
  <c r="E53" i="4"/>
  <c r="D53" i="4"/>
  <c r="BY52" i="4"/>
  <c r="BX52" i="4"/>
  <c r="BY51" i="4"/>
  <c r="BX51" i="4"/>
  <c r="BY49" i="4"/>
  <c r="BX49" i="4"/>
  <c r="BY48" i="4"/>
  <c r="BX48" i="4"/>
  <c r="E46" i="4"/>
  <c r="D46" i="4"/>
  <c r="BY45" i="4"/>
  <c r="BX45" i="4"/>
  <c r="BY44" i="4"/>
  <c r="BX44" i="4"/>
  <c r="BY42" i="4"/>
  <c r="BX42" i="4"/>
  <c r="BY41" i="4"/>
  <c r="BX41" i="4"/>
  <c r="E39" i="4"/>
  <c r="D39" i="4"/>
  <c r="BY38" i="4"/>
  <c r="BX38" i="4"/>
  <c r="BY37" i="4"/>
  <c r="BX37" i="4"/>
  <c r="BY35" i="4"/>
  <c r="BX35" i="4"/>
  <c r="BY34" i="4"/>
  <c r="BX34" i="4"/>
  <c r="E32" i="4"/>
  <c r="D32" i="4"/>
  <c r="BY31" i="4"/>
  <c r="BX31" i="4"/>
  <c r="BY30" i="4"/>
  <c r="BX30" i="4"/>
  <c r="BY28" i="4"/>
  <c r="BX28" i="4"/>
  <c r="BY27" i="4"/>
  <c r="BX27" i="4"/>
  <c r="E25" i="4"/>
  <c r="D25" i="4"/>
  <c r="BY24" i="4"/>
  <c r="BX24" i="4"/>
  <c r="BY23" i="4"/>
  <c r="BX23" i="4"/>
  <c r="E22" i="4"/>
  <c r="D22" i="4"/>
  <c r="BY21" i="4"/>
  <c r="BX21" i="4"/>
  <c r="BY20" i="4"/>
  <c r="BX20" i="4"/>
  <c r="E18" i="4"/>
  <c r="D18" i="4"/>
  <c r="BY17" i="4"/>
  <c r="BX17" i="4"/>
  <c r="BY16" i="4"/>
  <c r="BX16" i="4"/>
  <c r="BY14" i="4"/>
  <c r="BX14" i="4"/>
  <c r="BY13" i="4"/>
  <c r="BX13" i="4"/>
  <c r="BY29" i="4" l="1"/>
  <c r="BX36" i="4"/>
  <c r="BY57" i="4"/>
  <c r="BX64" i="4"/>
  <c r="BY32" i="4"/>
  <c r="BX39" i="4"/>
  <c r="BY60" i="4"/>
  <c r="BX67" i="4"/>
  <c r="BY36" i="4"/>
  <c r="BY39" i="4"/>
  <c r="BX46" i="4"/>
  <c r="BY64" i="4"/>
  <c r="BY67" i="4"/>
  <c r="BX74" i="4"/>
  <c r="BX71" i="4"/>
  <c r="BX43" i="4"/>
  <c r="BX18" i="4"/>
  <c r="BY15" i="4"/>
  <c r="BY18" i="4"/>
  <c r="BY43" i="4"/>
  <c r="BY46" i="4"/>
  <c r="BX50" i="4"/>
  <c r="BX53" i="4"/>
  <c r="BY71" i="4"/>
  <c r="BY74" i="4"/>
  <c r="BX29" i="4"/>
  <c r="BX32" i="4"/>
  <c r="BY50" i="4"/>
  <c r="BY53" i="4"/>
  <c r="BX57" i="4"/>
  <c r="BX60" i="4"/>
  <c r="BY25" i="4"/>
  <c r="BY22" i="4"/>
  <c r="BX25" i="4"/>
  <c r="BX15" i="4"/>
  <c r="BX22" i="4"/>
  <c r="E47" i="4"/>
  <c r="D47" i="4"/>
  <c r="BX47" i="4" l="1"/>
  <c r="BY47" i="4"/>
  <c r="BX75" i="4" l="1"/>
  <c r="E75" i="4"/>
  <c r="D75" i="4"/>
  <c r="E68" i="4"/>
  <c r="D68" i="4"/>
  <c r="BX61" i="4"/>
  <c r="E61" i="4"/>
  <c r="D61" i="4"/>
  <c r="BX54" i="4"/>
  <c r="E54" i="4"/>
  <c r="D54" i="4"/>
  <c r="E40" i="4"/>
  <c r="D40" i="4"/>
  <c r="E33" i="4"/>
  <c r="D33" i="4"/>
  <c r="BY26" i="4"/>
  <c r="E26" i="4"/>
  <c r="D26" i="4"/>
  <c r="E19" i="4"/>
  <c r="D19" i="4"/>
  <c r="E1" i="5"/>
  <c r="BY6" i="4"/>
  <c r="BY7" i="4"/>
  <c r="BY96" i="4" s="1"/>
  <c r="BY9" i="4"/>
  <c r="BY98" i="4" s="1"/>
  <c r="BY10" i="4"/>
  <c r="BY99" i="4" s="1"/>
  <c r="BX6" i="4"/>
  <c r="BX7" i="4"/>
  <c r="BX96" i="4" s="1"/>
  <c r="BX9" i="4"/>
  <c r="BX98" i="4" s="1"/>
  <c r="BX10" i="4"/>
  <c r="BX99" i="4" s="1"/>
  <c r="E5" i="5"/>
  <c r="E100" i="4"/>
  <c r="D8" i="5"/>
  <c r="E8" i="4"/>
  <c r="E11" i="4"/>
  <c r="D8" i="4"/>
  <c r="D11" i="4"/>
  <c r="E6" i="5"/>
  <c r="E8" i="5"/>
  <c r="E9" i="5"/>
  <c r="BX95" i="4" l="1"/>
  <c r="BX97" i="4" s="1"/>
  <c r="BY95" i="4"/>
  <c r="BY97" i="4" s="1"/>
  <c r="BY8" i="5"/>
  <c r="BX9" i="5"/>
  <c r="BY9" i="5"/>
  <c r="BX6" i="5"/>
  <c r="BY6" i="5"/>
  <c r="BX8" i="5"/>
  <c r="BY11" i="4"/>
  <c r="BX8" i="4"/>
  <c r="E12" i="4"/>
  <c r="D100" i="4"/>
  <c r="D97" i="4"/>
  <c r="D9" i="5"/>
  <c r="E10" i="5"/>
  <c r="E7" i="5"/>
  <c r="D6" i="5"/>
  <c r="D12" i="4"/>
  <c r="BX11" i="4"/>
  <c r="BY8" i="4"/>
  <c r="E97" i="4"/>
  <c r="BY54" i="4"/>
  <c r="BY61" i="4"/>
  <c r="BY75" i="4"/>
  <c r="BX40" i="4"/>
  <c r="BX33" i="4"/>
  <c r="BY68" i="4"/>
  <c r="BY33" i="4"/>
  <c r="BX26" i="4"/>
  <c r="BY100" i="4"/>
  <c r="BY5" i="5" l="1"/>
  <c r="BY7" i="5" s="1"/>
  <c r="BX5" i="5"/>
  <c r="BX7" i="5" s="1"/>
  <c r="E101" i="4"/>
  <c r="BX12" i="4"/>
  <c r="BY12" i="4"/>
  <c r="E11" i="5"/>
  <c r="BX100" i="4"/>
  <c r="D7" i="5"/>
  <c r="D10" i="5"/>
  <c r="D101" i="4"/>
  <c r="BX68" i="4"/>
  <c r="BY19" i="4"/>
  <c r="BX19" i="4"/>
  <c r="BY40" i="4"/>
  <c r="BX10" i="5"/>
  <c r="BY10" i="5" l="1"/>
  <c r="BY11" i="5" s="1"/>
  <c r="BY101" i="4"/>
  <c r="BX11" i="5"/>
  <c r="BX101" i="4"/>
  <c r="D11" i="5"/>
  <c r="BY91" i="4" l="1"/>
  <c r="BY2" i="4" l="1"/>
  <c r="BY1" i="5" l="1"/>
</calcChain>
</file>

<file path=xl/sharedStrings.xml><?xml version="1.0" encoding="utf-8"?>
<sst xmlns="http://schemas.openxmlformats.org/spreadsheetml/2006/main" count="2032" uniqueCount="31">
  <si>
    <t>عدد المراجعين</t>
  </si>
  <si>
    <t>سعودي</t>
  </si>
  <si>
    <t>عام</t>
  </si>
  <si>
    <t>المركز الصحي</t>
  </si>
  <si>
    <t>ذكر</t>
  </si>
  <si>
    <t>أنثى</t>
  </si>
  <si>
    <t>مجموع السعوديين</t>
  </si>
  <si>
    <t>غير سعودي</t>
  </si>
  <si>
    <t>مجمع الغير سعوديين</t>
  </si>
  <si>
    <t>المجموع الكلي</t>
  </si>
  <si>
    <t>الجنسية والجنس</t>
  </si>
  <si>
    <t>المرضى والأفلام</t>
  </si>
  <si>
    <t>عدد  الأفلام</t>
  </si>
  <si>
    <t>عدد المراجعين ( المرضى )</t>
  </si>
  <si>
    <t>13 ـ نشاط الأشعة        شهر</t>
  </si>
  <si>
    <t xml:space="preserve">13 ـ نشاط الأشعة      </t>
  </si>
  <si>
    <t>13 ـ الأشعة</t>
  </si>
  <si>
    <t>شهر</t>
  </si>
  <si>
    <t>مجموع غ.سعوديين</t>
  </si>
  <si>
    <t>اجمالي مراكز جدة</t>
  </si>
  <si>
    <t xml:space="preserve">محمد الزهراني 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</si>
  <si>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</si>
  <si>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</si>
  <si>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</si>
  <si>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</si>
  <si>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</si>
  <si>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</si>
  <si>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</si>
  <si>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إجمالي مراكز مستشفى شرق جدة</t>
  </si>
  <si>
    <t xml:space="preserve">إجمالي مراكز مستشفى شرق جدة 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</si>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</sst>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  <charset val="178"/>
    </font>
    <font>
      <b/>
      <sz val="12"/>
      <color indexed="10"/>
      <name val="Arial"/>
      <family val="2"/>
    </font>
    <font>
      <b/>
      <sz val="14"/>
      <color indexed="12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b/>
      <sz val="16"/>
      <name val="Arial"/>
      <family val="2"/>
      <charset val="178"/>
    </font>
    <font>
      <b/>
      <sz val="14"/>
      <color indexed="10"/>
      <name val="Arial"/>
      <family val="2"/>
    </font>
    <font>
      <b/>
      <sz val="11"/>
      <name val="Arial"/>
      <family val="2"/>
      <charset val="178"/>
    </font>
    <font>
      <b/>
      <sz val="12"/>
      <name val="Arial"/>
      <family val="2"/>
      <charset val="178"/>
    </font>
    <font>
      <b/>
      <sz val="14"/>
      <name val="Arial"/>
      <family val="2"/>
      <charset val="178"/>
    </font>
    <font>
      <b/>
      <sz val="14"/>
      <color indexed="10"/>
      <name val="Arial"/>
      <family val="2"/>
      <charset val="178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4" fillId="0" borderId="0" xfId="0" applyFont="1" applyAlignment="1">
      <alignment horizontal="right" vertical="center" readingOrder="2"/>
    </xf>
    <xf numFmtId="0" fontId="0" fillId="2" borderId="0" xfId="0" applyFill="1"/>
    <xf numFmtId="0" fontId="0" fillId="3" borderId="0" xfId="0" applyFill="1"/>
    <xf numFmtId="0" fontId="8" fillId="4" borderId="1" xfId="0" applyFont="1" applyFill="1" applyBorder="1" applyAlignment="1">
      <alignment horizontal="center" vertical="center" readingOrder="2"/>
    </xf>
    <xf numFmtId="0" fontId="9" fillId="0" borderId="2" xfId="0" applyFont="1" applyBorder="1" applyAlignment="1">
      <alignment horizontal="center" vertical="center" readingOrder="2"/>
    </xf>
    <xf numFmtId="0" fontId="9" fillId="0" borderId="3" xfId="0" applyFont="1" applyBorder="1" applyAlignment="1">
      <alignment horizontal="center" vertical="center" readingOrder="2"/>
    </xf>
    <xf numFmtId="0" fontId="8" fillId="4" borderId="4" xfId="0" applyFont="1" applyFill="1" applyBorder="1" applyAlignment="1">
      <alignment horizontal="center" vertical="center" readingOrder="2"/>
    </xf>
    <xf numFmtId="0" fontId="9" fillId="0" borderId="5" xfId="0" applyFont="1" applyBorder="1" applyAlignment="1">
      <alignment horizontal="center" vertical="center" readingOrder="2"/>
    </xf>
    <xf numFmtId="0" fontId="9" fillId="0" borderId="6" xfId="0" applyFont="1" applyBorder="1" applyAlignment="1">
      <alignment horizontal="center" vertical="center" readingOrder="2"/>
    </xf>
    <xf numFmtId="0" fontId="10" fillId="4" borderId="7" xfId="0" applyFont="1" applyFill="1" applyBorder="1" applyAlignment="1">
      <alignment horizontal="center" vertical="center" readingOrder="2"/>
    </xf>
    <xf numFmtId="0" fontId="10" fillId="4" borderId="8" xfId="0" applyFont="1" applyFill="1" applyBorder="1" applyAlignment="1">
      <alignment horizontal="center" vertical="center" readingOrder="2"/>
    </xf>
    <xf numFmtId="0" fontId="10" fillId="4" borderId="9" xfId="0" applyFont="1" applyFill="1" applyBorder="1" applyAlignment="1">
      <alignment horizontal="center" vertical="center" readingOrder="2"/>
    </xf>
    <xf numFmtId="0" fontId="0" fillId="3" borderId="0" xfId="0" applyFill="1" applyAlignment="1">
      <alignment vertical="center" wrapText="1" readingOrder="2"/>
    </xf>
    <xf numFmtId="0" fontId="9" fillId="3" borderId="7" xfId="0" applyFont="1" applyFill="1" applyBorder="1" applyAlignment="1">
      <alignment horizontal="center" vertical="center" readingOrder="2"/>
    </xf>
    <xf numFmtId="0" fontId="8" fillId="5" borderId="0" xfId="0" applyFont="1" applyFill="1" applyAlignment="1">
      <alignment horizontal="center" vertical="center" readingOrder="2"/>
    </xf>
    <xf numFmtId="0" fontId="0" fillId="5" borderId="0" xfId="0" applyFill="1"/>
    <xf numFmtId="0" fontId="10" fillId="4" borderId="10" xfId="0" applyFont="1" applyFill="1" applyBorder="1" applyAlignment="1">
      <alignment horizontal="center" vertical="center" readingOrder="2"/>
    </xf>
    <xf numFmtId="0" fontId="10" fillId="4" borderId="11" xfId="0" applyFont="1" applyFill="1" applyBorder="1" applyAlignment="1">
      <alignment horizontal="center" vertical="center" readingOrder="2"/>
    </xf>
    <xf numFmtId="0" fontId="8" fillId="0" borderId="0" xfId="0" applyFont="1" applyAlignment="1">
      <alignment wrapText="1" readingOrder="2"/>
    </xf>
    <xf numFmtId="0" fontId="9" fillId="3" borderId="8" xfId="0" applyFont="1" applyFill="1" applyBorder="1" applyAlignment="1">
      <alignment horizontal="center" vertical="center" readingOrder="2"/>
    </xf>
    <xf numFmtId="0" fontId="9" fillId="5" borderId="8" xfId="0" applyFont="1" applyFill="1" applyBorder="1" applyAlignment="1">
      <alignment horizontal="center" vertical="center" readingOrder="2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6" fillId="4" borderId="7" xfId="0" applyFont="1" applyFill="1" applyBorder="1" applyAlignment="1">
      <alignment horizontal="center" vertical="center" readingOrder="2"/>
    </xf>
    <xf numFmtId="0" fontId="6" fillId="3" borderId="7" xfId="0" applyFont="1" applyFill="1" applyBorder="1" applyAlignment="1">
      <alignment horizontal="center" vertical="center" readingOrder="2"/>
    </xf>
    <xf numFmtId="0" fontId="6" fillId="2" borderId="2" xfId="0" applyFont="1" applyFill="1" applyBorder="1" applyAlignment="1">
      <alignment horizontal="center" vertical="center" readingOrder="2"/>
    </xf>
    <xf numFmtId="0" fontId="6" fillId="2" borderId="5" xfId="0" applyFont="1" applyFill="1" applyBorder="1" applyAlignment="1">
      <alignment horizontal="center" vertical="center" readingOrder="2"/>
    </xf>
    <xf numFmtId="0" fontId="6" fillId="4" borderId="10" xfId="0" applyFont="1" applyFill="1" applyBorder="1" applyAlignment="1">
      <alignment horizontal="center" vertical="center" readingOrder="2"/>
    </xf>
    <xf numFmtId="0" fontId="6" fillId="5" borderId="7" xfId="0" applyFont="1" applyFill="1" applyBorder="1" applyAlignment="1">
      <alignment horizontal="center" vertical="center" readingOrder="2"/>
    </xf>
    <xf numFmtId="0" fontId="3" fillId="2" borderId="0" xfId="0" applyFont="1" applyFill="1" applyAlignment="1">
      <alignment horizontal="center" readingOrder="2"/>
    </xf>
    <xf numFmtId="0" fontId="4" fillId="2" borderId="0" xfId="0" applyFont="1" applyFill="1" applyAlignment="1">
      <alignment horizontal="center" readingOrder="2"/>
    </xf>
    <xf numFmtId="0" fontId="6" fillId="2" borderId="3" xfId="0" applyFont="1" applyFill="1" applyBorder="1" applyAlignment="1">
      <alignment horizontal="center" vertical="center" readingOrder="2"/>
    </xf>
    <xf numFmtId="0" fontId="6" fillId="5" borderId="10" xfId="0" applyFont="1" applyFill="1" applyBorder="1" applyAlignment="1">
      <alignment horizontal="center" vertical="center" readingOrder="2"/>
    </xf>
    <xf numFmtId="0" fontId="9" fillId="5" borderId="11" xfId="0" applyFont="1" applyFill="1" applyBorder="1" applyAlignment="1">
      <alignment horizontal="center" vertical="center" readingOrder="2"/>
    </xf>
    <xf numFmtId="0" fontId="6" fillId="2" borderId="6" xfId="0" applyFont="1" applyFill="1" applyBorder="1" applyAlignment="1">
      <alignment horizontal="center" vertical="center" readingOrder="2"/>
    </xf>
    <xf numFmtId="0" fontId="6" fillId="2" borderId="13" xfId="0" applyFont="1" applyFill="1" applyBorder="1" applyAlignment="1">
      <alignment horizontal="center" vertical="center" readingOrder="2"/>
    </xf>
    <xf numFmtId="0" fontId="6" fillId="2" borderId="14" xfId="0" applyFont="1" applyFill="1" applyBorder="1" applyAlignment="1">
      <alignment horizontal="center" vertical="center" readingOrder="2"/>
    </xf>
    <xf numFmtId="0" fontId="6" fillId="4" borderId="15" xfId="0" applyFont="1" applyFill="1" applyBorder="1" applyAlignment="1">
      <alignment horizontal="center" vertical="center" readingOrder="2"/>
    </xf>
    <xf numFmtId="0" fontId="4" fillId="2" borderId="17" xfId="0" applyFont="1" applyFill="1" applyBorder="1" applyAlignment="1">
      <alignment horizontal="right" vertical="center" wrapText="1" readingOrder="2"/>
    </xf>
    <xf numFmtId="0" fontId="2" fillId="2" borderId="18" xfId="0" applyFont="1" applyFill="1" applyBorder="1" applyAlignment="1">
      <alignment horizontal="center" vertical="center" wrapText="1" readingOrder="2"/>
    </xf>
    <xf numFmtId="0" fontId="3" fillId="2" borderId="18" xfId="0" applyFont="1" applyFill="1" applyBorder="1" applyAlignment="1">
      <alignment horizontal="center" vertical="center" wrapText="1" readingOrder="2"/>
    </xf>
    <xf numFmtId="0" fontId="7" fillId="5" borderId="19" xfId="0" applyFont="1" applyFill="1" applyBorder="1" applyAlignment="1">
      <alignment horizontal="center" vertical="center" wrapText="1" readingOrder="2"/>
    </xf>
    <xf numFmtId="0" fontId="2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readingOrder="2"/>
    </xf>
    <xf numFmtId="0" fontId="4" fillId="3" borderId="18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 readingOrder="2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wrapText="1" readingOrder="2"/>
    </xf>
    <xf numFmtId="0" fontId="17" fillId="0" borderId="0" xfId="0" applyFont="1" applyAlignment="1">
      <alignment wrapText="1" readingOrder="2"/>
    </xf>
    <xf numFmtId="0" fontId="15" fillId="2" borderId="0" xfId="0" applyFont="1" applyFill="1" applyAlignment="1">
      <alignment wrapText="1" readingOrder="2"/>
    </xf>
    <xf numFmtId="0" fontId="15" fillId="0" borderId="0" xfId="0" applyFont="1" applyAlignment="1">
      <alignment horizontal="center" wrapText="1" readingOrder="2"/>
    </xf>
    <xf numFmtId="0" fontId="11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16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3" borderId="18" xfId="0" applyFont="1" applyFill="1" applyBorder="1" applyAlignment="1">
      <alignment wrapText="1" readingOrder="2"/>
    </xf>
    <xf numFmtId="0" fontId="15" fillId="0" borderId="9" xfId="0" applyFont="1" applyBorder="1" applyAlignment="1">
      <alignment horizontal="center" wrapText="1" readingOrder="2"/>
    </xf>
    <xf numFmtId="0" fontId="4" fillId="3" borderId="0" xfId="0" applyFont="1" applyFill="1" applyAlignment="1">
      <alignment horizontal="right" vertical="center" readingOrder="2"/>
    </xf>
    <xf numFmtId="0" fontId="8" fillId="5" borderId="18" xfId="0" applyFont="1" applyFill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readingOrder="2"/>
    </xf>
    <xf numFmtId="0" fontId="9" fillId="0" borderId="4" xfId="0" applyFont="1" applyBorder="1" applyAlignment="1">
      <alignment horizontal="center" vertical="center" readingOrder="2"/>
    </xf>
    <xf numFmtId="0" fontId="10" fillId="4" borderId="21" xfId="0" applyFont="1" applyFill="1" applyBorder="1" applyAlignment="1">
      <alignment horizontal="center" vertical="center" readingOrder="2"/>
    </xf>
    <xf numFmtId="0" fontId="9" fillId="5" borderId="7" xfId="0" applyFont="1" applyFill="1" applyBorder="1" applyAlignment="1">
      <alignment horizontal="center" vertical="center" readingOrder="2"/>
    </xf>
    <xf numFmtId="0" fontId="0" fillId="7" borderId="12" xfId="0" applyFill="1" applyBorder="1"/>
    <xf numFmtId="0" fontId="0" fillId="7" borderId="15" xfId="0" applyFill="1" applyBorder="1"/>
    <xf numFmtId="0" fontId="4" fillId="8" borderId="0" xfId="0" applyFont="1" applyFill="1" applyAlignment="1">
      <alignment wrapText="1" readingOrder="2"/>
    </xf>
    <xf numFmtId="0" fontId="3" fillId="8" borderId="0" xfId="0" applyFont="1" applyFill="1" applyAlignment="1">
      <alignment horizontal="center" readingOrder="2"/>
    </xf>
    <xf numFmtId="0" fontId="4" fillId="8" borderId="0" xfId="0" applyFont="1" applyFill="1" applyAlignment="1">
      <alignment horizontal="center" readingOrder="2"/>
    </xf>
    <xf numFmtId="0" fontId="11" fillId="8" borderId="0" xfId="0" applyFont="1" applyFill="1" applyAlignment="1">
      <alignment horizontal="center"/>
    </xf>
    <xf numFmtId="0" fontId="0" fillId="8" borderId="0" xfId="0" applyFill="1"/>
    <xf numFmtId="0" fontId="7" fillId="5" borderId="7" xfId="0" applyFont="1" applyFill="1" applyBorder="1" applyAlignment="1">
      <alignment horizontal="center" vertical="center" wrapText="1" readingOrder="2"/>
    </xf>
    <xf numFmtId="0" fontId="11" fillId="5" borderId="23" xfId="0" applyFont="1" applyFill="1" applyBorder="1" applyAlignment="1">
      <alignment horizontal="center"/>
    </xf>
    <xf numFmtId="0" fontId="0" fillId="5" borderId="23" xfId="0" applyFill="1" applyBorder="1"/>
    <xf numFmtId="0" fontId="10" fillId="4" borderId="0" xfId="0" applyFont="1" applyFill="1" applyAlignment="1">
      <alignment horizontal="center" vertical="center" readingOrder="2"/>
    </xf>
    <xf numFmtId="0" fontId="16" fillId="4" borderId="8" xfId="0" applyFont="1" applyFill="1" applyBorder="1" applyAlignment="1">
      <alignment horizontal="center" vertical="center" wrapText="1" readingOrder="2"/>
    </xf>
    <xf numFmtId="0" fontId="18" fillId="8" borderId="0" xfId="0" applyFont="1" applyFill="1" applyAlignment="1">
      <alignment wrapText="1" readingOrder="2"/>
    </xf>
    <xf numFmtId="0" fontId="11" fillId="5" borderId="17" xfId="0" applyFont="1" applyFill="1" applyBorder="1" applyAlignment="1">
      <alignment horizontal="center"/>
    </xf>
    <xf numFmtId="0" fontId="0" fillId="5" borderId="18" xfId="0" applyFill="1" applyBorder="1"/>
    <xf numFmtId="0" fontId="0" fillId="5" borderId="20" xfId="0" applyFill="1" applyBorder="1"/>
    <xf numFmtId="0" fontId="14" fillId="6" borderId="21" xfId="0" applyFont="1" applyFill="1" applyBorder="1" applyAlignment="1">
      <alignment vertical="center"/>
    </xf>
    <xf numFmtId="0" fontId="0" fillId="5" borderId="7" xfId="0" applyFill="1" applyBorder="1" applyAlignment="1">
      <alignment vertical="center" wrapText="1" readingOrder="2"/>
    </xf>
    <xf numFmtId="0" fontId="0" fillId="3" borderId="8" xfId="0" applyFill="1" applyBorder="1" applyAlignment="1">
      <alignment vertical="center" wrapText="1" readingOrder="2"/>
    </xf>
    <xf numFmtId="0" fontId="19" fillId="0" borderId="26" xfId="0" applyFont="1" applyBorder="1" applyAlignment="1">
      <alignment horizontal="center" vertical="center" readingOrder="2"/>
    </xf>
    <xf numFmtId="0" fontId="20" fillId="0" borderId="26" xfId="0" applyFont="1" applyBorder="1" applyAlignment="1">
      <alignment horizontal="center" vertical="center" readingOrder="2"/>
    </xf>
    <xf numFmtId="0" fontId="19" fillId="0" borderId="27" xfId="0" applyFont="1" applyBorder="1" applyAlignment="1">
      <alignment horizontal="center" vertical="center" readingOrder="2"/>
    </xf>
    <xf numFmtId="0" fontId="20" fillId="0" borderId="27" xfId="0" applyFont="1" applyBorder="1" applyAlignment="1">
      <alignment horizontal="center" vertical="center" readingOrder="2"/>
    </xf>
    <xf numFmtId="0" fontId="19" fillId="9" borderId="28" xfId="0" applyFont="1" applyFill="1" applyBorder="1" applyAlignment="1">
      <alignment horizontal="center" vertical="center" readingOrder="2"/>
    </xf>
    <xf numFmtId="0" fontId="19" fillId="10" borderId="28" xfId="0" applyFont="1" applyFill="1" applyBorder="1" applyAlignment="1">
      <alignment horizontal="center" vertical="center" readingOrder="2"/>
    </xf>
    <xf numFmtId="0" fontId="20" fillId="10" borderId="28" xfId="0" applyFont="1" applyFill="1" applyBorder="1" applyAlignment="1">
      <alignment horizontal="center" vertical="center" readingOrder="2"/>
    </xf>
    <xf numFmtId="0" fontId="19" fillId="0" borderId="29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19" fillId="9" borderId="29" xfId="0" applyFont="1" applyFill="1" applyBorder="1" applyAlignment="1">
      <alignment horizontal="center"/>
    </xf>
    <xf numFmtId="0" fontId="19" fillId="10" borderId="29" xfId="0" applyFont="1" applyFill="1" applyBorder="1" applyAlignment="1">
      <alignment horizontal="center"/>
    </xf>
    <xf numFmtId="0" fontId="20" fillId="10" borderId="29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 wrapText="1" readingOrder="2"/>
    </xf>
    <xf numFmtId="0" fontId="8" fillId="3" borderId="7" xfId="0" applyFont="1" applyFill="1" applyBorder="1" applyAlignment="1">
      <alignment horizontal="center" vertical="center" readingOrder="2"/>
    </xf>
    <xf numFmtId="0" fontId="8" fillId="3" borderId="23" xfId="0" applyFont="1" applyFill="1" applyBorder="1" applyAlignment="1">
      <alignment horizontal="center" vertical="center" readingOrder="2"/>
    </xf>
    <xf numFmtId="0" fontId="8" fillId="3" borderId="22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wrapText="1" readingOrder="2"/>
    </xf>
    <xf numFmtId="0" fontId="1" fillId="2" borderId="15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8" fillId="4" borderId="12" xfId="0" applyFont="1" applyFill="1" applyBorder="1" applyAlignment="1">
      <alignment horizontal="center" vertical="center" readingOrder="2"/>
    </xf>
    <xf numFmtId="0" fontId="8" fillId="4" borderId="10" xfId="0" applyFont="1" applyFill="1" applyBorder="1" applyAlignment="1">
      <alignment horizontal="center" vertical="center" readingOrder="2"/>
    </xf>
    <xf numFmtId="0" fontId="8" fillId="4" borderId="7" xfId="0" applyFont="1" applyFill="1" applyBorder="1" applyAlignment="1">
      <alignment horizontal="center" vertical="center" readingOrder="2"/>
    </xf>
    <xf numFmtId="0" fontId="8" fillId="4" borderId="22" xfId="0" applyFont="1" applyFill="1" applyBorder="1" applyAlignment="1">
      <alignment horizontal="center" vertical="center" readingOrder="2"/>
    </xf>
    <xf numFmtId="0" fontId="8" fillId="4" borderId="17" xfId="0" applyFont="1" applyFill="1" applyBorder="1" applyAlignment="1">
      <alignment horizontal="center" vertical="center" readingOrder="2"/>
    </xf>
    <xf numFmtId="0" fontId="8" fillId="4" borderId="18" xfId="0" applyFont="1" applyFill="1" applyBorder="1" applyAlignment="1">
      <alignment horizontal="center" vertical="center" readingOrder="2"/>
    </xf>
    <xf numFmtId="0" fontId="8" fillId="4" borderId="23" xfId="0" applyFont="1" applyFill="1" applyBorder="1" applyAlignment="1">
      <alignment horizontal="center" vertical="center" readingOrder="2"/>
    </xf>
    <xf numFmtId="0" fontId="8" fillId="4" borderId="24" xfId="0" applyFont="1" applyFill="1" applyBorder="1" applyAlignment="1">
      <alignment horizontal="center" vertical="center" wrapText="1" readingOrder="2"/>
    </xf>
    <xf numFmtId="0" fontId="8" fillId="4" borderId="25" xfId="0" applyFont="1" applyFill="1" applyBorder="1" applyAlignment="1">
      <alignment horizontal="center" vertical="center" wrapText="1" readingOrder="2"/>
    </xf>
    <xf numFmtId="0" fontId="8" fillId="4" borderId="12" xfId="0" applyFont="1" applyFill="1" applyBorder="1" applyAlignment="1">
      <alignment horizontal="center" vertical="center" wrapText="1" readingOrder="2"/>
    </xf>
    <xf numFmtId="0" fontId="8" fillId="4" borderId="10" xfId="0" applyFont="1" applyFill="1" applyBorder="1" applyAlignment="1">
      <alignment horizontal="center" vertical="center" wrapText="1" readingOrder="2"/>
    </xf>
    <xf numFmtId="0" fontId="8" fillId="4" borderId="17" xfId="0" applyFont="1" applyFill="1" applyBorder="1" applyAlignment="1">
      <alignment horizontal="center" vertical="center" wrapText="1" readingOrder="2"/>
    </xf>
    <xf numFmtId="0" fontId="8" fillId="4" borderId="9" xfId="0" applyFont="1" applyFill="1" applyBorder="1" applyAlignment="1">
      <alignment horizontal="center" vertical="center" wrapText="1" readingOrder="2"/>
    </xf>
    <xf numFmtId="0" fontId="12" fillId="4" borderId="17" xfId="0" applyFont="1" applyFill="1" applyBorder="1" applyAlignment="1">
      <alignment horizontal="center" vertical="center" wrapText="1" readingOrder="2"/>
    </xf>
    <xf numFmtId="0" fontId="12" fillId="4" borderId="9" xfId="0" applyFont="1" applyFill="1" applyBorder="1" applyAlignment="1">
      <alignment horizontal="center" vertical="center" wrapText="1" readingOrder="2"/>
    </xf>
    <xf numFmtId="0" fontId="8" fillId="4" borderId="17" xfId="0" applyFont="1" applyFill="1" applyBorder="1" applyAlignment="1">
      <alignment horizontal="left" vertical="center" wrapText="1" readingOrder="2"/>
    </xf>
    <xf numFmtId="0" fontId="8" fillId="4" borderId="20" xfId="0" applyFont="1" applyFill="1" applyBorder="1" applyAlignment="1">
      <alignment horizontal="left" vertical="center" wrapText="1" readingOrder="2"/>
    </xf>
    <xf numFmtId="0" fontId="8" fillId="4" borderId="9" xfId="0" applyFont="1" applyFill="1" applyBorder="1" applyAlignment="1">
      <alignment horizontal="right" vertical="center" wrapText="1" readingOrder="2"/>
    </xf>
    <xf numFmtId="0" fontId="8" fillId="4" borderId="11" xfId="0" applyFont="1" applyFill="1" applyBorder="1" applyAlignment="1">
      <alignment horizontal="right" vertical="center" wrapText="1" readingOrder="2"/>
    </xf>
    <xf numFmtId="0" fontId="5" fillId="8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right" vertical="center" wrapText="1" readingOrder="2"/>
    </xf>
    <xf numFmtId="0" fontId="16" fillId="4" borderId="15" xfId="0" applyFont="1" applyFill="1" applyBorder="1" applyAlignment="1">
      <alignment horizontal="center" vertical="center" wrapText="1" readingOrder="2"/>
    </xf>
    <xf numFmtId="0" fontId="16" fillId="4" borderId="10" xfId="0" applyFont="1" applyFill="1" applyBorder="1" applyAlignment="1">
      <alignment horizontal="center" vertical="center" wrapText="1" readingOrder="2"/>
    </xf>
    <xf numFmtId="0" fontId="16" fillId="4" borderId="12" xfId="0" applyFont="1" applyFill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4" borderId="10" xfId="0" applyFont="1" applyFill="1" applyBorder="1" applyAlignment="1">
      <alignment horizontal="center" vertical="center" wrapText="1" readingOrder="2"/>
    </xf>
    <xf numFmtId="0" fontId="15" fillId="4" borderId="12" xfId="0" applyFont="1" applyFill="1" applyBorder="1" applyAlignment="1">
      <alignment horizontal="center" vertical="center" wrapText="1" readingOrder="2"/>
    </xf>
    <xf numFmtId="0" fontId="15" fillId="4" borderId="10" xfId="0" applyFont="1" applyFill="1" applyBorder="1" applyAlignment="1">
      <alignment horizontal="center" vertical="center" wrapText="1" readingOrder="2"/>
    </xf>
    <xf numFmtId="0" fontId="7" fillId="4" borderId="12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1" fillId="4" borderId="12" xfId="0" applyFont="1" applyFill="1" applyBorder="1" applyAlignment="1">
      <alignment horizontal="center" vertical="center" wrapText="1" readingOrder="2"/>
    </xf>
    <xf numFmtId="0" fontId="8" fillId="5" borderId="7" xfId="0" applyFont="1" applyFill="1" applyBorder="1" applyAlignment="1">
      <alignment horizontal="center" vertical="center" readingOrder="2"/>
    </xf>
    <xf numFmtId="0" fontId="8" fillId="5" borderId="23" xfId="0" applyFont="1" applyFill="1" applyBorder="1" applyAlignment="1">
      <alignment horizontal="center" vertical="center" readingOrder="2"/>
    </xf>
    <xf numFmtId="0" fontId="8" fillId="5" borderId="22" xfId="0" applyFont="1" applyFill="1" applyBorder="1" applyAlignment="1">
      <alignment horizontal="center" vertical="center" readingOrder="2"/>
    </xf>
    <xf numFmtId="0" fontId="8" fillId="4" borderId="15" xfId="0" applyFont="1" applyFill="1" applyBorder="1" applyAlignment="1">
      <alignment horizontal="center" vertical="center" wrapText="1" readingOrder="2"/>
    </xf>
    <xf numFmtId="0" fontId="12" fillId="4" borderId="19" xfId="0" applyFont="1" applyFill="1" applyBorder="1" applyAlignment="1">
      <alignment horizontal="center" vertical="center" wrapText="1" readingOrder="2"/>
    </xf>
    <xf numFmtId="0" fontId="19" fillId="0" borderId="30" xfId="0" applyFont="1" applyBorder="1" applyAlignment="1">
      <alignment horizontal="center" wrapText="1" readingOrder="2"/>
    </xf>
    <xf numFmtId="0" fontId="4" fillId="0" borderId="31" xfId="0" applyFont="1" applyBorder="1" applyAlignment="1">
      <alignment horizontal="center" wrapText="1" readingOrder="2"/>
    </xf>
    <xf numFmtId="0" fontId="19" fillId="0" borderId="32" xfId="0" applyFont="1" applyBorder="1" applyAlignment="1">
      <alignment horizontal="center" wrapText="1" readingOrder="2"/>
    </xf>
    <xf numFmtId="0" fontId="4" fillId="0" borderId="33" xfId="0" applyFont="1" applyBorder="1" applyAlignment="1">
      <alignment horizontal="center" wrapText="1" readingOrder="2"/>
    </xf>
    <xf numFmtId="0" fontId="19" fillId="11" borderId="32" xfId="0" applyFont="1" applyFill="1" applyBorder="1" applyAlignment="1">
      <alignment horizontal="center" wrapText="1" readingOrder="2"/>
    </xf>
    <xf numFmtId="0" fontId="19" fillId="11" borderId="33" xfId="0" applyFont="1" applyFill="1" applyBorder="1" applyAlignment="1">
      <alignment horizontal="center" wrapText="1" readingOrder="2"/>
    </xf>
    <xf numFmtId="0" fontId="19" fillId="0" borderId="34" xfId="0" applyFont="1" applyBorder="1" applyAlignment="1">
      <alignment horizontal="center" wrapText="1" readingOrder="2"/>
    </xf>
    <xf numFmtId="0" fontId="4" fillId="0" borderId="35" xfId="0" applyFont="1" applyBorder="1" applyAlignment="1">
      <alignment horizontal="center" wrapText="1" readingOrder="2"/>
    </xf>
    <xf numFmtId="0" fontId="19" fillId="11" borderId="36" xfId="0" applyFont="1" applyFill="1" applyBorder="1" applyAlignment="1">
      <alignment horizontal="center" vertical="center" wrapText="1" readingOrder="2"/>
    </xf>
    <xf numFmtId="0" fontId="19" fillId="11" borderId="35" xfId="0" applyFont="1" applyFill="1" applyBorder="1" applyAlignment="1">
      <alignment horizontal="center" vertical="center" wrapText="1" readingOrder="2"/>
    </xf>
    <xf numFmtId="0" fontId="19" fillId="6" borderId="36" xfId="0" applyFont="1" applyFill="1" applyBorder="1" applyAlignment="1">
      <alignment horizontal="center" vertical="center" wrapText="1" readingOrder="2"/>
    </xf>
    <xf numFmtId="0" fontId="4" fillId="6" borderId="35" xfId="0" applyFont="1" applyFill="1" applyBorder="1" applyAlignment="1">
      <alignment horizontal="center" vertical="center" wrapText="1" readingOrder="2"/>
    </xf>
    <xf numFmtId="0" fontId="19" fillId="0" borderId="37" xfId="0" applyFont="1" applyBorder="1" applyAlignment="1">
      <alignment horizontal="center" vertical="center" wrapText="1" readingOrder="2"/>
    </xf>
    <xf numFmtId="0" fontId="4" fillId="0" borderId="33" xfId="0" applyFont="1" applyBorder="1" applyAlignment="1">
      <alignment horizontal="center" vertical="center" wrapText="1" readingOrder="2"/>
    </xf>
    <xf numFmtId="0" fontId="19" fillId="0" borderId="36" xfId="0" applyFont="1" applyBorder="1" applyAlignment="1">
      <alignment horizontal="center" vertical="center" wrapText="1" readingOrder="2"/>
    </xf>
    <xf numFmtId="0" fontId="4" fillId="0" borderId="3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28575</xdr:rowOff>
    </xdr:from>
    <xdr:to>
      <xdr:col>2</xdr:col>
      <xdr:colOff>609600</xdr:colOff>
      <xdr:row>4</xdr:row>
      <xdr:rowOff>190500</xdr:rowOff>
    </xdr:to>
    <xdr:sp macro="" textlink="">
      <xdr:nvSpPr>
        <xdr:cNvPr id="1845" name="Line 1">
          <a:extLst>
            <a:ext uri="{FF2B5EF4-FFF2-40B4-BE49-F238E27FC236}">
              <a16:creationId xmlns:a16="http://schemas.microsoft.com/office/drawing/2014/main" xmlns="" id="{00000000-0008-0000-0000-000035070000}"/>
            </a:ext>
          </a:extLst>
        </xdr:cNvPr>
        <xdr:cNvSpPr>
          <a:spLocks noChangeShapeType="1"/>
        </xdr:cNvSpPr>
      </xdr:nvSpPr>
      <xdr:spPr bwMode="auto">
        <a:xfrm flipH="1">
          <a:off x="162382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</xdr:colOff>
      <xdr:row>92</xdr:row>
      <xdr:rowOff>28575</xdr:rowOff>
    </xdr:from>
    <xdr:to>
      <xdr:col>2</xdr:col>
      <xdr:colOff>609600</xdr:colOff>
      <xdr:row>93</xdr:row>
      <xdr:rowOff>190500</xdr:rowOff>
    </xdr:to>
    <xdr:sp macro="" textlink="">
      <xdr:nvSpPr>
        <xdr:cNvPr id="1846" name="Line 2">
          <a:extLst>
            <a:ext uri="{FF2B5EF4-FFF2-40B4-BE49-F238E27FC236}">
              <a16:creationId xmlns:a16="http://schemas.microsoft.com/office/drawing/2014/main" xmlns="" id="{00000000-0008-0000-0000-000036070000}"/>
            </a:ext>
          </a:extLst>
        </xdr:cNvPr>
        <xdr:cNvSpPr>
          <a:spLocks noChangeShapeType="1"/>
        </xdr:cNvSpPr>
      </xdr:nvSpPr>
      <xdr:spPr bwMode="auto">
        <a:xfrm flipH="1">
          <a:off x="162382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1849" name="Line 5">
          <a:extLst>
            <a:ext uri="{FF2B5EF4-FFF2-40B4-BE49-F238E27FC236}">
              <a16:creationId xmlns:a16="http://schemas.microsoft.com/office/drawing/2014/main" xmlns="" id="{00000000-0008-0000-0000-000039070000}"/>
            </a:ext>
          </a:extLst>
        </xdr:cNvPr>
        <xdr:cNvSpPr>
          <a:spLocks noChangeShapeType="1"/>
        </xdr:cNvSpPr>
      </xdr:nvSpPr>
      <xdr:spPr bwMode="auto">
        <a:xfrm flipH="1">
          <a:off x="158143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1850" name="Line 6">
          <a:extLst>
            <a:ext uri="{FF2B5EF4-FFF2-40B4-BE49-F238E27FC236}">
              <a16:creationId xmlns:a16="http://schemas.microsoft.com/office/drawing/2014/main" xmlns="" id="{00000000-0008-0000-0000-00003A070000}"/>
            </a:ext>
          </a:extLst>
        </xdr:cNvPr>
        <xdr:cNvSpPr>
          <a:spLocks noChangeShapeType="1"/>
        </xdr:cNvSpPr>
      </xdr:nvSpPr>
      <xdr:spPr bwMode="auto">
        <a:xfrm flipH="1">
          <a:off x="158143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853" name="Line 9">
          <a:extLst>
            <a:ext uri="{FF2B5EF4-FFF2-40B4-BE49-F238E27FC236}">
              <a16:creationId xmlns:a16="http://schemas.microsoft.com/office/drawing/2014/main" xmlns="" id="{00000000-0008-0000-0000-00003D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854" name="Line 10">
          <a:extLst>
            <a:ext uri="{FF2B5EF4-FFF2-40B4-BE49-F238E27FC236}">
              <a16:creationId xmlns:a16="http://schemas.microsoft.com/office/drawing/2014/main" xmlns="" id="{00000000-0008-0000-0000-00003E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1857" name="Line 13">
          <a:extLst>
            <a:ext uri="{FF2B5EF4-FFF2-40B4-BE49-F238E27FC236}">
              <a16:creationId xmlns:a16="http://schemas.microsoft.com/office/drawing/2014/main" xmlns="" id="{00000000-0008-0000-0000-000041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1858" name="Line 14">
          <a:extLst>
            <a:ext uri="{FF2B5EF4-FFF2-40B4-BE49-F238E27FC236}">
              <a16:creationId xmlns:a16="http://schemas.microsoft.com/office/drawing/2014/main" xmlns="" id="{00000000-0008-0000-0000-000042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1861" name="Line 17">
          <a:extLst>
            <a:ext uri="{FF2B5EF4-FFF2-40B4-BE49-F238E27FC236}">
              <a16:creationId xmlns:a16="http://schemas.microsoft.com/office/drawing/2014/main" xmlns="" id="{00000000-0008-0000-0000-000045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1862" name="Line 18">
          <a:extLst>
            <a:ext uri="{FF2B5EF4-FFF2-40B4-BE49-F238E27FC236}">
              <a16:creationId xmlns:a16="http://schemas.microsoft.com/office/drawing/2014/main" xmlns="" id="{00000000-0008-0000-0000-000046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1865" name="Line 21">
          <a:extLst>
            <a:ext uri="{FF2B5EF4-FFF2-40B4-BE49-F238E27FC236}">
              <a16:creationId xmlns:a16="http://schemas.microsoft.com/office/drawing/2014/main" xmlns="" id="{00000000-0008-0000-0000-000049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1866" name="Line 22">
          <a:extLst>
            <a:ext uri="{FF2B5EF4-FFF2-40B4-BE49-F238E27FC236}">
              <a16:creationId xmlns:a16="http://schemas.microsoft.com/office/drawing/2014/main" xmlns="" id="{00000000-0008-0000-0000-00004A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1869" name="Line 25">
          <a:extLst>
            <a:ext uri="{FF2B5EF4-FFF2-40B4-BE49-F238E27FC236}">
              <a16:creationId xmlns:a16="http://schemas.microsoft.com/office/drawing/2014/main" xmlns="" id="{00000000-0008-0000-0000-00004D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1870" name="Line 26">
          <a:extLst>
            <a:ext uri="{FF2B5EF4-FFF2-40B4-BE49-F238E27FC236}">
              <a16:creationId xmlns:a16="http://schemas.microsoft.com/office/drawing/2014/main" xmlns="" id="{00000000-0008-0000-0000-00004E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1873" name="Line 29">
          <a:extLst>
            <a:ext uri="{FF2B5EF4-FFF2-40B4-BE49-F238E27FC236}">
              <a16:creationId xmlns:a16="http://schemas.microsoft.com/office/drawing/2014/main" xmlns="" id="{00000000-0008-0000-0000-000051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1874" name="Line 30">
          <a:extLst>
            <a:ext uri="{FF2B5EF4-FFF2-40B4-BE49-F238E27FC236}">
              <a16:creationId xmlns:a16="http://schemas.microsoft.com/office/drawing/2014/main" xmlns="" id="{00000000-0008-0000-0000-000052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1877" name="Line 33">
          <a:extLst>
            <a:ext uri="{FF2B5EF4-FFF2-40B4-BE49-F238E27FC236}">
              <a16:creationId xmlns:a16="http://schemas.microsoft.com/office/drawing/2014/main" xmlns="" id="{00000000-0008-0000-0000-000055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1878" name="Line 34">
          <a:extLst>
            <a:ext uri="{FF2B5EF4-FFF2-40B4-BE49-F238E27FC236}">
              <a16:creationId xmlns:a16="http://schemas.microsoft.com/office/drawing/2014/main" xmlns="" id="{00000000-0008-0000-0000-000056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1881" name="Line 37">
          <a:extLst>
            <a:ext uri="{FF2B5EF4-FFF2-40B4-BE49-F238E27FC236}">
              <a16:creationId xmlns:a16="http://schemas.microsoft.com/office/drawing/2014/main" xmlns="" id="{00000000-0008-0000-0000-000059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1882" name="Line 38">
          <a:extLst>
            <a:ext uri="{FF2B5EF4-FFF2-40B4-BE49-F238E27FC236}">
              <a16:creationId xmlns:a16="http://schemas.microsoft.com/office/drawing/2014/main" xmlns="" id="{00000000-0008-0000-0000-00005A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1885" name="Line 41">
          <a:extLst>
            <a:ext uri="{FF2B5EF4-FFF2-40B4-BE49-F238E27FC236}">
              <a16:creationId xmlns:a16="http://schemas.microsoft.com/office/drawing/2014/main" xmlns="" id="{00000000-0008-0000-0000-00005D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1886" name="Line 42">
          <a:extLst>
            <a:ext uri="{FF2B5EF4-FFF2-40B4-BE49-F238E27FC236}">
              <a16:creationId xmlns:a16="http://schemas.microsoft.com/office/drawing/2014/main" xmlns="" id="{00000000-0008-0000-0000-00005E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1889" name="Line 45">
          <a:extLst>
            <a:ext uri="{FF2B5EF4-FFF2-40B4-BE49-F238E27FC236}">
              <a16:creationId xmlns:a16="http://schemas.microsoft.com/office/drawing/2014/main" xmlns="" id="{00000000-0008-0000-0000-000061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1890" name="Line 46">
          <a:extLst>
            <a:ext uri="{FF2B5EF4-FFF2-40B4-BE49-F238E27FC236}">
              <a16:creationId xmlns:a16="http://schemas.microsoft.com/office/drawing/2014/main" xmlns="" id="{00000000-0008-0000-0000-000062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19050</xdr:colOff>
      <xdr:row>3</xdr:row>
      <xdr:rowOff>28575</xdr:rowOff>
    </xdr:from>
    <xdr:to>
      <xdr:col>74</xdr:col>
      <xdr:colOff>609600</xdr:colOff>
      <xdr:row>4</xdr:row>
      <xdr:rowOff>190500</xdr:rowOff>
    </xdr:to>
    <xdr:sp macro="" textlink="">
      <xdr:nvSpPr>
        <xdr:cNvPr id="1893" name="Line 49">
          <a:extLst>
            <a:ext uri="{FF2B5EF4-FFF2-40B4-BE49-F238E27FC236}">
              <a16:creationId xmlns:a16="http://schemas.microsoft.com/office/drawing/2014/main" xmlns="" id="{00000000-0008-0000-0000-000065070000}"/>
            </a:ext>
          </a:extLst>
        </xdr:cNvPr>
        <xdr:cNvSpPr>
          <a:spLocks noChangeShapeType="1"/>
        </xdr:cNvSpPr>
      </xdr:nvSpPr>
      <xdr:spPr bwMode="auto">
        <a:xfrm flipH="1">
          <a:off x="111528225" y="695325"/>
          <a:ext cx="12668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19050</xdr:colOff>
      <xdr:row>92</xdr:row>
      <xdr:rowOff>28575</xdr:rowOff>
    </xdr:from>
    <xdr:to>
      <xdr:col>74</xdr:col>
      <xdr:colOff>609600</xdr:colOff>
      <xdr:row>93</xdr:row>
      <xdr:rowOff>190500</xdr:rowOff>
    </xdr:to>
    <xdr:sp macro="" textlink="">
      <xdr:nvSpPr>
        <xdr:cNvPr id="1894" name="Line 50">
          <a:extLst>
            <a:ext uri="{FF2B5EF4-FFF2-40B4-BE49-F238E27FC236}">
              <a16:creationId xmlns:a16="http://schemas.microsoft.com/office/drawing/2014/main" xmlns="" id="{00000000-0008-0000-0000-000066070000}"/>
            </a:ext>
          </a:extLst>
        </xdr:cNvPr>
        <xdr:cNvSpPr>
          <a:spLocks noChangeShapeType="1"/>
        </xdr:cNvSpPr>
      </xdr:nvSpPr>
      <xdr:spPr bwMode="auto">
        <a:xfrm flipH="1">
          <a:off x="111528225" y="69513450"/>
          <a:ext cx="126682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1897" name="Line 57">
          <a:extLst>
            <a:ext uri="{FF2B5EF4-FFF2-40B4-BE49-F238E27FC236}">
              <a16:creationId xmlns:a16="http://schemas.microsoft.com/office/drawing/2014/main" xmlns="" id="{00000000-0008-0000-0000-000069070000}"/>
            </a:ext>
          </a:extLst>
        </xdr:cNvPr>
        <xdr:cNvSpPr>
          <a:spLocks noChangeShapeType="1"/>
        </xdr:cNvSpPr>
      </xdr:nvSpPr>
      <xdr:spPr bwMode="auto">
        <a:xfrm flipH="1">
          <a:off x="158143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1898" name="Line 58">
          <a:extLst>
            <a:ext uri="{FF2B5EF4-FFF2-40B4-BE49-F238E27FC236}">
              <a16:creationId xmlns:a16="http://schemas.microsoft.com/office/drawing/2014/main" xmlns="" id="{00000000-0008-0000-0000-00006A070000}"/>
            </a:ext>
          </a:extLst>
        </xdr:cNvPr>
        <xdr:cNvSpPr>
          <a:spLocks noChangeShapeType="1"/>
        </xdr:cNvSpPr>
      </xdr:nvSpPr>
      <xdr:spPr bwMode="auto">
        <a:xfrm flipH="1">
          <a:off x="158143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01" name="Line 61">
          <a:extLst>
            <a:ext uri="{FF2B5EF4-FFF2-40B4-BE49-F238E27FC236}">
              <a16:creationId xmlns:a16="http://schemas.microsoft.com/office/drawing/2014/main" xmlns="" id="{00000000-0008-0000-0000-00006D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02" name="Line 62">
          <a:extLst>
            <a:ext uri="{FF2B5EF4-FFF2-40B4-BE49-F238E27FC236}">
              <a16:creationId xmlns:a16="http://schemas.microsoft.com/office/drawing/2014/main" xmlns="" id="{00000000-0008-0000-0000-00006E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05" name="Line 65">
          <a:extLst>
            <a:ext uri="{FF2B5EF4-FFF2-40B4-BE49-F238E27FC236}">
              <a16:creationId xmlns:a16="http://schemas.microsoft.com/office/drawing/2014/main" xmlns="" id="{00000000-0008-0000-0000-000071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06" name="Line 66">
          <a:extLst>
            <a:ext uri="{FF2B5EF4-FFF2-40B4-BE49-F238E27FC236}">
              <a16:creationId xmlns:a16="http://schemas.microsoft.com/office/drawing/2014/main" xmlns="" id="{00000000-0008-0000-0000-000072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1909" name="Line 69">
          <a:extLst>
            <a:ext uri="{FF2B5EF4-FFF2-40B4-BE49-F238E27FC236}">
              <a16:creationId xmlns:a16="http://schemas.microsoft.com/office/drawing/2014/main" xmlns="" id="{00000000-0008-0000-0000-000075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1910" name="Line 70">
          <a:extLst>
            <a:ext uri="{FF2B5EF4-FFF2-40B4-BE49-F238E27FC236}">
              <a16:creationId xmlns:a16="http://schemas.microsoft.com/office/drawing/2014/main" xmlns="" id="{00000000-0008-0000-0000-000076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1913" name="Line 73">
          <a:extLst>
            <a:ext uri="{FF2B5EF4-FFF2-40B4-BE49-F238E27FC236}">
              <a16:creationId xmlns:a16="http://schemas.microsoft.com/office/drawing/2014/main" xmlns="" id="{00000000-0008-0000-0000-000079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1914" name="Line 74">
          <a:extLst>
            <a:ext uri="{FF2B5EF4-FFF2-40B4-BE49-F238E27FC236}">
              <a16:creationId xmlns:a16="http://schemas.microsoft.com/office/drawing/2014/main" xmlns="" id="{00000000-0008-0000-0000-00007A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1917" name="Line 77">
          <a:extLst>
            <a:ext uri="{FF2B5EF4-FFF2-40B4-BE49-F238E27FC236}">
              <a16:creationId xmlns:a16="http://schemas.microsoft.com/office/drawing/2014/main" xmlns="" id="{00000000-0008-0000-0000-00007D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1918" name="Line 78">
          <a:extLst>
            <a:ext uri="{FF2B5EF4-FFF2-40B4-BE49-F238E27FC236}">
              <a16:creationId xmlns:a16="http://schemas.microsoft.com/office/drawing/2014/main" xmlns="" id="{00000000-0008-0000-0000-00007E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1921" name="Line 81">
          <a:extLst>
            <a:ext uri="{FF2B5EF4-FFF2-40B4-BE49-F238E27FC236}">
              <a16:creationId xmlns:a16="http://schemas.microsoft.com/office/drawing/2014/main" xmlns="" id="{00000000-0008-0000-0000-000081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1922" name="Line 82">
          <a:extLst>
            <a:ext uri="{FF2B5EF4-FFF2-40B4-BE49-F238E27FC236}">
              <a16:creationId xmlns:a16="http://schemas.microsoft.com/office/drawing/2014/main" xmlns="" id="{00000000-0008-0000-0000-000082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1925" name="Line 85">
          <a:extLst>
            <a:ext uri="{FF2B5EF4-FFF2-40B4-BE49-F238E27FC236}">
              <a16:creationId xmlns:a16="http://schemas.microsoft.com/office/drawing/2014/main" xmlns="" id="{00000000-0008-0000-0000-000085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1926" name="Line 86">
          <a:extLst>
            <a:ext uri="{FF2B5EF4-FFF2-40B4-BE49-F238E27FC236}">
              <a16:creationId xmlns:a16="http://schemas.microsoft.com/office/drawing/2014/main" xmlns="" id="{00000000-0008-0000-0000-000086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1929" name="Line 89">
          <a:extLst>
            <a:ext uri="{FF2B5EF4-FFF2-40B4-BE49-F238E27FC236}">
              <a16:creationId xmlns:a16="http://schemas.microsoft.com/office/drawing/2014/main" xmlns="" id="{00000000-0008-0000-0000-000089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1930" name="Line 90">
          <a:extLst>
            <a:ext uri="{FF2B5EF4-FFF2-40B4-BE49-F238E27FC236}">
              <a16:creationId xmlns:a16="http://schemas.microsoft.com/office/drawing/2014/main" xmlns="" id="{00000000-0008-0000-0000-00008A07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1933" name="Line 93">
          <a:extLst>
            <a:ext uri="{FF2B5EF4-FFF2-40B4-BE49-F238E27FC236}">
              <a16:creationId xmlns:a16="http://schemas.microsoft.com/office/drawing/2014/main" xmlns="" id="{00000000-0008-0000-0000-00008D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1934" name="Line 94">
          <a:extLst>
            <a:ext uri="{FF2B5EF4-FFF2-40B4-BE49-F238E27FC236}">
              <a16:creationId xmlns:a16="http://schemas.microsoft.com/office/drawing/2014/main" xmlns="" id="{00000000-0008-0000-0000-00008E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1937" name="Line 97">
          <a:extLst>
            <a:ext uri="{FF2B5EF4-FFF2-40B4-BE49-F238E27FC236}">
              <a16:creationId xmlns:a16="http://schemas.microsoft.com/office/drawing/2014/main" xmlns="" id="{00000000-0008-0000-0000-000091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1938" name="Line 98">
          <a:extLst>
            <a:ext uri="{FF2B5EF4-FFF2-40B4-BE49-F238E27FC236}">
              <a16:creationId xmlns:a16="http://schemas.microsoft.com/office/drawing/2014/main" xmlns="" id="{00000000-0008-0000-0000-00009207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1941" name="Line 101">
          <a:extLst>
            <a:ext uri="{FF2B5EF4-FFF2-40B4-BE49-F238E27FC236}">
              <a16:creationId xmlns:a16="http://schemas.microsoft.com/office/drawing/2014/main" xmlns="" id="{00000000-0008-0000-0000-000095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1942" name="Line 102">
          <a:extLst>
            <a:ext uri="{FF2B5EF4-FFF2-40B4-BE49-F238E27FC236}">
              <a16:creationId xmlns:a16="http://schemas.microsoft.com/office/drawing/2014/main" xmlns="" id="{00000000-0008-0000-0000-000096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1945" name="Line 105">
          <a:extLst>
            <a:ext uri="{FF2B5EF4-FFF2-40B4-BE49-F238E27FC236}">
              <a16:creationId xmlns:a16="http://schemas.microsoft.com/office/drawing/2014/main" xmlns="" id="{00000000-0008-0000-0000-000099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1946" name="Line 106">
          <a:extLst>
            <a:ext uri="{FF2B5EF4-FFF2-40B4-BE49-F238E27FC236}">
              <a16:creationId xmlns:a16="http://schemas.microsoft.com/office/drawing/2014/main" xmlns="" id="{00000000-0008-0000-0000-00009A07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1949" name="Line 109">
          <a:extLst>
            <a:ext uri="{FF2B5EF4-FFF2-40B4-BE49-F238E27FC236}">
              <a16:creationId xmlns:a16="http://schemas.microsoft.com/office/drawing/2014/main" xmlns="" id="{00000000-0008-0000-0000-00009D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1950" name="Line 110">
          <a:extLst>
            <a:ext uri="{FF2B5EF4-FFF2-40B4-BE49-F238E27FC236}">
              <a16:creationId xmlns:a16="http://schemas.microsoft.com/office/drawing/2014/main" xmlns="" id="{00000000-0008-0000-0000-00009E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1953" name="Line 113">
          <a:extLst>
            <a:ext uri="{FF2B5EF4-FFF2-40B4-BE49-F238E27FC236}">
              <a16:creationId xmlns:a16="http://schemas.microsoft.com/office/drawing/2014/main" xmlns="" id="{00000000-0008-0000-0000-0000A1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1954" name="Line 114">
          <a:extLst>
            <a:ext uri="{FF2B5EF4-FFF2-40B4-BE49-F238E27FC236}">
              <a16:creationId xmlns:a16="http://schemas.microsoft.com/office/drawing/2014/main" xmlns="" id="{00000000-0008-0000-0000-0000A207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1957" name="Line 117">
          <a:extLst>
            <a:ext uri="{FF2B5EF4-FFF2-40B4-BE49-F238E27FC236}">
              <a16:creationId xmlns:a16="http://schemas.microsoft.com/office/drawing/2014/main" xmlns="" id="{00000000-0008-0000-0000-0000A5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1958" name="Line 118">
          <a:extLst>
            <a:ext uri="{FF2B5EF4-FFF2-40B4-BE49-F238E27FC236}">
              <a16:creationId xmlns:a16="http://schemas.microsoft.com/office/drawing/2014/main" xmlns="" id="{00000000-0008-0000-0000-0000A6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1961" name="Line 121">
          <a:extLst>
            <a:ext uri="{FF2B5EF4-FFF2-40B4-BE49-F238E27FC236}">
              <a16:creationId xmlns:a16="http://schemas.microsoft.com/office/drawing/2014/main" xmlns="" id="{00000000-0008-0000-0000-0000A9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1962" name="Line 122">
          <a:extLst>
            <a:ext uri="{FF2B5EF4-FFF2-40B4-BE49-F238E27FC236}">
              <a16:creationId xmlns:a16="http://schemas.microsoft.com/office/drawing/2014/main" xmlns="" id="{00000000-0008-0000-0000-0000AA07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1965" name="Line 125">
          <a:extLst>
            <a:ext uri="{FF2B5EF4-FFF2-40B4-BE49-F238E27FC236}">
              <a16:creationId xmlns:a16="http://schemas.microsoft.com/office/drawing/2014/main" xmlns="" id="{00000000-0008-0000-0000-0000AD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1966" name="Line 126">
          <a:extLst>
            <a:ext uri="{FF2B5EF4-FFF2-40B4-BE49-F238E27FC236}">
              <a16:creationId xmlns:a16="http://schemas.microsoft.com/office/drawing/2014/main" xmlns="" id="{00000000-0008-0000-0000-0000AE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1969" name="Line 129">
          <a:extLst>
            <a:ext uri="{FF2B5EF4-FFF2-40B4-BE49-F238E27FC236}">
              <a16:creationId xmlns:a16="http://schemas.microsoft.com/office/drawing/2014/main" xmlns="" id="{00000000-0008-0000-0000-0000B1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1970" name="Line 130">
          <a:extLst>
            <a:ext uri="{FF2B5EF4-FFF2-40B4-BE49-F238E27FC236}">
              <a16:creationId xmlns:a16="http://schemas.microsoft.com/office/drawing/2014/main" xmlns="" id="{00000000-0008-0000-0000-0000B207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1973" name="Line 133">
          <a:extLst>
            <a:ext uri="{FF2B5EF4-FFF2-40B4-BE49-F238E27FC236}">
              <a16:creationId xmlns:a16="http://schemas.microsoft.com/office/drawing/2014/main" xmlns="" id="{00000000-0008-0000-0000-0000B5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1974" name="Line 134">
          <a:extLst>
            <a:ext uri="{FF2B5EF4-FFF2-40B4-BE49-F238E27FC236}">
              <a16:creationId xmlns:a16="http://schemas.microsoft.com/office/drawing/2014/main" xmlns="" id="{00000000-0008-0000-0000-0000B6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1977" name="Line 137">
          <a:extLst>
            <a:ext uri="{FF2B5EF4-FFF2-40B4-BE49-F238E27FC236}">
              <a16:creationId xmlns:a16="http://schemas.microsoft.com/office/drawing/2014/main" xmlns="" id="{00000000-0008-0000-0000-0000B9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1978" name="Line 138">
          <a:extLst>
            <a:ext uri="{FF2B5EF4-FFF2-40B4-BE49-F238E27FC236}">
              <a16:creationId xmlns:a16="http://schemas.microsoft.com/office/drawing/2014/main" xmlns="" id="{00000000-0008-0000-0000-0000BA07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81" name="Line 149">
          <a:extLst>
            <a:ext uri="{FF2B5EF4-FFF2-40B4-BE49-F238E27FC236}">
              <a16:creationId xmlns:a16="http://schemas.microsoft.com/office/drawing/2014/main" xmlns="" id="{00000000-0008-0000-0000-0000BD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82" name="Line 150">
          <a:extLst>
            <a:ext uri="{FF2B5EF4-FFF2-40B4-BE49-F238E27FC236}">
              <a16:creationId xmlns:a16="http://schemas.microsoft.com/office/drawing/2014/main" xmlns="" id="{00000000-0008-0000-0000-0000BE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85" name="Line 153">
          <a:extLst>
            <a:ext uri="{FF2B5EF4-FFF2-40B4-BE49-F238E27FC236}">
              <a16:creationId xmlns:a16="http://schemas.microsoft.com/office/drawing/2014/main" xmlns="" id="{00000000-0008-0000-0000-0000C1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86" name="Line 154">
          <a:extLst>
            <a:ext uri="{FF2B5EF4-FFF2-40B4-BE49-F238E27FC236}">
              <a16:creationId xmlns:a16="http://schemas.microsoft.com/office/drawing/2014/main" xmlns="" id="{00000000-0008-0000-0000-0000C2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89" name="Line 157">
          <a:extLst>
            <a:ext uri="{FF2B5EF4-FFF2-40B4-BE49-F238E27FC236}">
              <a16:creationId xmlns:a16="http://schemas.microsoft.com/office/drawing/2014/main" xmlns="" id="{00000000-0008-0000-0000-0000C5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90" name="Line 158">
          <a:extLst>
            <a:ext uri="{FF2B5EF4-FFF2-40B4-BE49-F238E27FC236}">
              <a16:creationId xmlns:a16="http://schemas.microsoft.com/office/drawing/2014/main" xmlns="" id="{00000000-0008-0000-0000-0000C6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1993" name="Line 161">
          <a:extLst>
            <a:ext uri="{FF2B5EF4-FFF2-40B4-BE49-F238E27FC236}">
              <a16:creationId xmlns:a16="http://schemas.microsoft.com/office/drawing/2014/main" xmlns="" id="{00000000-0008-0000-0000-0000C9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1994" name="Line 162">
          <a:extLst>
            <a:ext uri="{FF2B5EF4-FFF2-40B4-BE49-F238E27FC236}">
              <a16:creationId xmlns:a16="http://schemas.microsoft.com/office/drawing/2014/main" xmlns="" id="{00000000-0008-0000-0000-0000CA07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1997" name="Line 165">
          <a:extLst>
            <a:ext uri="{FF2B5EF4-FFF2-40B4-BE49-F238E27FC236}">
              <a16:creationId xmlns:a16="http://schemas.microsoft.com/office/drawing/2014/main" xmlns="" id="{00000000-0008-0000-0000-0000CD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1998" name="Line 166">
          <a:extLst>
            <a:ext uri="{FF2B5EF4-FFF2-40B4-BE49-F238E27FC236}">
              <a16:creationId xmlns:a16="http://schemas.microsoft.com/office/drawing/2014/main" xmlns="" id="{00000000-0008-0000-0000-0000CE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01" name="Line 169">
          <a:extLst>
            <a:ext uri="{FF2B5EF4-FFF2-40B4-BE49-F238E27FC236}">
              <a16:creationId xmlns:a16="http://schemas.microsoft.com/office/drawing/2014/main" xmlns="" id="{00000000-0008-0000-0000-0000D1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02" name="Line 170">
          <a:extLst>
            <a:ext uri="{FF2B5EF4-FFF2-40B4-BE49-F238E27FC236}">
              <a16:creationId xmlns:a16="http://schemas.microsoft.com/office/drawing/2014/main" xmlns="" id="{00000000-0008-0000-0000-0000D2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05" name="Line 173">
          <a:extLst>
            <a:ext uri="{FF2B5EF4-FFF2-40B4-BE49-F238E27FC236}">
              <a16:creationId xmlns:a16="http://schemas.microsoft.com/office/drawing/2014/main" xmlns="" id="{00000000-0008-0000-0000-0000D5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06" name="Line 174">
          <a:extLst>
            <a:ext uri="{FF2B5EF4-FFF2-40B4-BE49-F238E27FC236}">
              <a16:creationId xmlns:a16="http://schemas.microsoft.com/office/drawing/2014/main" xmlns="" id="{00000000-0008-0000-0000-0000D6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09" name="Line 177">
          <a:extLst>
            <a:ext uri="{FF2B5EF4-FFF2-40B4-BE49-F238E27FC236}">
              <a16:creationId xmlns:a16="http://schemas.microsoft.com/office/drawing/2014/main" xmlns="" id="{00000000-0008-0000-0000-0000D9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10" name="Line 178">
          <a:extLst>
            <a:ext uri="{FF2B5EF4-FFF2-40B4-BE49-F238E27FC236}">
              <a16:creationId xmlns:a16="http://schemas.microsoft.com/office/drawing/2014/main" xmlns="" id="{00000000-0008-0000-0000-0000DA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13" name="Line 181">
          <a:extLst>
            <a:ext uri="{FF2B5EF4-FFF2-40B4-BE49-F238E27FC236}">
              <a16:creationId xmlns:a16="http://schemas.microsoft.com/office/drawing/2014/main" xmlns="" id="{00000000-0008-0000-0000-0000DD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14" name="Line 182">
          <a:extLst>
            <a:ext uri="{FF2B5EF4-FFF2-40B4-BE49-F238E27FC236}">
              <a16:creationId xmlns:a16="http://schemas.microsoft.com/office/drawing/2014/main" xmlns="" id="{00000000-0008-0000-0000-0000DE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17" name="Line 185">
          <a:extLst>
            <a:ext uri="{FF2B5EF4-FFF2-40B4-BE49-F238E27FC236}">
              <a16:creationId xmlns:a16="http://schemas.microsoft.com/office/drawing/2014/main" xmlns="" id="{00000000-0008-0000-0000-0000E1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18" name="Line 186">
          <a:extLst>
            <a:ext uri="{FF2B5EF4-FFF2-40B4-BE49-F238E27FC236}">
              <a16:creationId xmlns:a16="http://schemas.microsoft.com/office/drawing/2014/main" xmlns="" id="{00000000-0008-0000-0000-0000E2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2021" name="Line 189">
          <a:extLst>
            <a:ext uri="{FF2B5EF4-FFF2-40B4-BE49-F238E27FC236}">
              <a16:creationId xmlns:a16="http://schemas.microsoft.com/office/drawing/2014/main" xmlns="" id="{00000000-0008-0000-0000-0000E5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2022" name="Line 190">
          <a:extLst>
            <a:ext uri="{FF2B5EF4-FFF2-40B4-BE49-F238E27FC236}">
              <a16:creationId xmlns:a16="http://schemas.microsoft.com/office/drawing/2014/main" xmlns="" id="{00000000-0008-0000-0000-0000E607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25" name="Line 193">
          <a:extLst>
            <a:ext uri="{FF2B5EF4-FFF2-40B4-BE49-F238E27FC236}">
              <a16:creationId xmlns:a16="http://schemas.microsoft.com/office/drawing/2014/main" xmlns="" id="{00000000-0008-0000-0000-0000E9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26" name="Line 194">
          <a:extLst>
            <a:ext uri="{FF2B5EF4-FFF2-40B4-BE49-F238E27FC236}">
              <a16:creationId xmlns:a16="http://schemas.microsoft.com/office/drawing/2014/main" xmlns="" id="{00000000-0008-0000-0000-0000EA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29" name="Line 197">
          <a:extLst>
            <a:ext uri="{FF2B5EF4-FFF2-40B4-BE49-F238E27FC236}">
              <a16:creationId xmlns:a16="http://schemas.microsoft.com/office/drawing/2014/main" xmlns="" id="{00000000-0008-0000-0000-0000ED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30" name="Line 198">
          <a:extLst>
            <a:ext uri="{FF2B5EF4-FFF2-40B4-BE49-F238E27FC236}">
              <a16:creationId xmlns:a16="http://schemas.microsoft.com/office/drawing/2014/main" xmlns="" id="{00000000-0008-0000-0000-0000EE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33" name="Line 201">
          <a:extLst>
            <a:ext uri="{FF2B5EF4-FFF2-40B4-BE49-F238E27FC236}">
              <a16:creationId xmlns:a16="http://schemas.microsoft.com/office/drawing/2014/main" xmlns="" id="{00000000-0008-0000-0000-0000F1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34" name="Line 202">
          <a:extLst>
            <a:ext uri="{FF2B5EF4-FFF2-40B4-BE49-F238E27FC236}">
              <a16:creationId xmlns:a16="http://schemas.microsoft.com/office/drawing/2014/main" xmlns="" id="{00000000-0008-0000-0000-0000F2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37" name="Line 205">
          <a:extLst>
            <a:ext uri="{FF2B5EF4-FFF2-40B4-BE49-F238E27FC236}">
              <a16:creationId xmlns:a16="http://schemas.microsoft.com/office/drawing/2014/main" xmlns="" id="{00000000-0008-0000-0000-0000F5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38" name="Line 206">
          <a:extLst>
            <a:ext uri="{FF2B5EF4-FFF2-40B4-BE49-F238E27FC236}">
              <a16:creationId xmlns:a16="http://schemas.microsoft.com/office/drawing/2014/main" xmlns="" id="{00000000-0008-0000-0000-0000F6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41" name="Line 209">
          <a:extLst>
            <a:ext uri="{FF2B5EF4-FFF2-40B4-BE49-F238E27FC236}">
              <a16:creationId xmlns:a16="http://schemas.microsoft.com/office/drawing/2014/main" xmlns="" id="{00000000-0008-0000-0000-0000F9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42" name="Line 210">
          <a:extLst>
            <a:ext uri="{FF2B5EF4-FFF2-40B4-BE49-F238E27FC236}">
              <a16:creationId xmlns:a16="http://schemas.microsoft.com/office/drawing/2014/main" xmlns="" id="{00000000-0008-0000-0000-0000FA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2045" name="Line 213">
          <a:extLst>
            <a:ext uri="{FF2B5EF4-FFF2-40B4-BE49-F238E27FC236}">
              <a16:creationId xmlns:a16="http://schemas.microsoft.com/office/drawing/2014/main" xmlns="" id="{00000000-0008-0000-0000-0000FD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2046" name="Line 214">
          <a:extLst>
            <a:ext uri="{FF2B5EF4-FFF2-40B4-BE49-F238E27FC236}">
              <a16:creationId xmlns:a16="http://schemas.microsoft.com/office/drawing/2014/main" xmlns="" id="{00000000-0008-0000-0000-0000FE07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097" name="Line 217">
          <a:extLst>
            <a:ext uri="{FF2B5EF4-FFF2-40B4-BE49-F238E27FC236}">
              <a16:creationId xmlns:a16="http://schemas.microsoft.com/office/drawing/2014/main" xmlns="" id="{00000000-0008-0000-0000-00000110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098" name="Line 218">
          <a:extLst>
            <a:ext uri="{FF2B5EF4-FFF2-40B4-BE49-F238E27FC236}">
              <a16:creationId xmlns:a16="http://schemas.microsoft.com/office/drawing/2014/main" xmlns="" id="{00000000-0008-0000-0000-00000210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01" name="Line 221">
          <a:extLst>
            <a:ext uri="{FF2B5EF4-FFF2-40B4-BE49-F238E27FC236}">
              <a16:creationId xmlns:a16="http://schemas.microsoft.com/office/drawing/2014/main" xmlns="" id="{00000000-0008-0000-0000-000005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02" name="Line 222">
          <a:extLst>
            <a:ext uri="{FF2B5EF4-FFF2-40B4-BE49-F238E27FC236}">
              <a16:creationId xmlns:a16="http://schemas.microsoft.com/office/drawing/2014/main" xmlns="" id="{00000000-0008-0000-0000-000006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05" name="Line 225">
          <a:extLst>
            <a:ext uri="{FF2B5EF4-FFF2-40B4-BE49-F238E27FC236}">
              <a16:creationId xmlns:a16="http://schemas.microsoft.com/office/drawing/2014/main" xmlns="" id="{00000000-0008-0000-0000-000009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06" name="Line 226">
          <a:extLst>
            <a:ext uri="{FF2B5EF4-FFF2-40B4-BE49-F238E27FC236}">
              <a16:creationId xmlns:a16="http://schemas.microsoft.com/office/drawing/2014/main" xmlns="" id="{00000000-0008-0000-0000-00000A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09" name="Line 229">
          <a:extLst>
            <a:ext uri="{FF2B5EF4-FFF2-40B4-BE49-F238E27FC236}">
              <a16:creationId xmlns:a16="http://schemas.microsoft.com/office/drawing/2014/main" xmlns="" id="{00000000-0008-0000-0000-00000D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10" name="Line 230">
          <a:extLst>
            <a:ext uri="{FF2B5EF4-FFF2-40B4-BE49-F238E27FC236}">
              <a16:creationId xmlns:a16="http://schemas.microsoft.com/office/drawing/2014/main" xmlns="" id="{00000000-0008-0000-0000-00000E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13" name="Line 233">
          <a:extLst>
            <a:ext uri="{FF2B5EF4-FFF2-40B4-BE49-F238E27FC236}">
              <a16:creationId xmlns:a16="http://schemas.microsoft.com/office/drawing/2014/main" xmlns="" id="{00000000-0008-0000-0000-000011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14" name="Line 234">
          <a:extLst>
            <a:ext uri="{FF2B5EF4-FFF2-40B4-BE49-F238E27FC236}">
              <a16:creationId xmlns:a16="http://schemas.microsoft.com/office/drawing/2014/main" xmlns="" id="{00000000-0008-0000-0000-000012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17" name="Line 237">
          <a:extLst>
            <a:ext uri="{FF2B5EF4-FFF2-40B4-BE49-F238E27FC236}">
              <a16:creationId xmlns:a16="http://schemas.microsoft.com/office/drawing/2014/main" xmlns="" id="{00000000-0008-0000-0000-000015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18" name="Line 238">
          <a:extLst>
            <a:ext uri="{FF2B5EF4-FFF2-40B4-BE49-F238E27FC236}">
              <a16:creationId xmlns:a16="http://schemas.microsoft.com/office/drawing/2014/main" xmlns="" id="{00000000-0008-0000-0000-000016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21" name="Line 241">
          <a:extLst>
            <a:ext uri="{FF2B5EF4-FFF2-40B4-BE49-F238E27FC236}">
              <a16:creationId xmlns:a16="http://schemas.microsoft.com/office/drawing/2014/main" xmlns="" id="{00000000-0008-0000-0000-000019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22" name="Line 242">
          <a:extLst>
            <a:ext uri="{FF2B5EF4-FFF2-40B4-BE49-F238E27FC236}">
              <a16:creationId xmlns:a16="http://schemas.microsoft.com/office/drawing/2014/main" xmlns="" id="{00000000-0008-0000-0000-00001A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125" name="Line 245">
          <a:extLst>
            <a:ext uri="{FF2B5EF4-FFF2-40B4-BE49-F238E27FC236}">
              <a16:creationId xmlns:a16="http://schemas.microsoft.com/office/drawing/2014/main" xmlns="" id="{00000000-0008-0000-0000-00001D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126" name="Line 246">
          <a:extLst>
            <a:ext uri="{FF2B5EF4-FFF2-40B4-BE49-F238E27FC236}">
              <a16:creationId xmlns:a16="http://schemas.microsoft.com/office/drawing/2014/main" xmlns="" id="{00000000-0008-0000-0000-00001E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29" name="Line 249">
          <a:extLst>
            <a:ext uri="{FF2B5EF4-FFF2-40B4-BE49-F238E27FC236}">
              <a16:creationId xmlns:a16="http://schemas.microsoft.com/office/drawing/2014/main" xmlns="" id="{00000000-0008-0000-0000-000021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30" name="Line 250">
          <a:extLst>
            <a:ext uri="{FF2B5EF4-FFF2-40B4-BE49-F238E27FC236}">
              <a16:creationId xmlns:a16="http://schemas.microsoft.com/office/drawing/2014/main" xmlns="" id="{00000000-0008-0000-0000-000022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33" name="Line 253">
          <a:extLst>
            <a:ext uri="{FF2B5EF4-FFF2-40B4-BE49-F238E27FC236}">
              <a16:creationId xmlns:a16="http://schemas.microsoft.com/office/drawing/2014/main" xmlns="" id="{00000000-0008-0000-0000-000025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34" name="Line 254">
          <a:extLst>
            <a:ext uri="{FF2B5EF4-FFF2-40B4-BE49-F238E27FC236}">
              <a16:creationId xmlns:a16="http://schemas.microsoft.com/office/drawing/2014/main" xmlns="" id="{00000000-0008-0000-0000-000026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37" name="Line 257">
          <a:extLst>
            <a:ext uri="{FF2B5EF4-FFF2-40B4-BE49-F238E27FC236}">
              <a16:creationId xmlns:a16="http://schemas.microsoft.com/office/drawing/2014/main" xmlns="" id="{00000000-0008-0000-0000-000029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38" name="Line 258">
          <a:extLst>
            <a:ext uri="{FF2B5EF4-FFF2-40B4-BE49-F238E27FC236}">
              <a16:creationId xmlns:a16="http://schemas.microsoft.com/office/drawing/2014/main" xmlns="" id="{00000000-0008-0000-0000-00002A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41" name="Line 261">
          <a:extLst>
            <a:ext uri="{FF2B5EF4-FFF2-40B4-BE49-F238E27FC236}">
              <a16:creationId xmlns:a16="http://schemas.microsoft.com/office/drawing/2014/main" xmlns="" id="{00000000-0008-0000-0000-00002D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42" name="Line 262">
          <a:extLst>
            <a:ext uri="{FF2B5EF4-FFF2-40B4-BE49-F238E27FC236}">
              <a16:creationId xmlns:a16="http://schemas.microsoft.com/office/drawing/2014/main" xmlns="" id="{00000000-0008-0000-0000-00002E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45" name="Line 265">
          <a:extLst>
            <a:ext uri="{FF2B5EF4-FFF2-40B4-BE49-F238E27FC236}">
              <a16:creationId xmlns:a16="http://schemas.microsoft.com/office/drawing/2014/main" xmlns="" id="{00000000-0008-0000-0000-000031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46" name="Line 266">
          <a:extLst>
            <a:ext uri="{FF2B5EF4-FFF2-40B4-BE49-F238E27FC236}">
              <a16:creationId xmlns:a16="http://schemas.microsoft.com/office/drawing/2014/main" xmlns="" id="{00000000-0008-0000-0000-000032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49" name="Line 269">
          <a:extLst>
            <a:ext uri="{FF2B5EF4-FFF2-40B4-BE49-F238E27FC236}">
              <a16:creationId xmlns:a16="http://schemas.microsoft.com/office/drawing/2014/main" xmlns="" id="{00000000-0008-0000-0000-000035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50" name="Line 270">
          <a:extLst>
            <a:ext uri="{FF2B5EF4-FFF2-40B4-BE49-F238E27FC236}">
              <a16:creationId xmlns:a16="http://schemas.microsoft.com/office/drawing/2014/main" xmlns="" id="{00000000-0008-0000-0000-000036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153" name="Line 273">
          <a:extLst>
            <a:ext uri="{FF2B5EF4-FFF2-40B4-BE49-F238E27FC236}">
              <a16:creationId xmlns:a16="http://schemas.microsoft.com/office/drawing/2014/main" xmlns="" id="{00000000-0008-0000-0000-000039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154" name="Line 274">
          <a:extLst>
            <a:ext uri="{FF2B5EF4-FFF2-40B4-BE49-F238E27FC236}">
              <a16:creationId xmlns:a16="http://schemas.microsoft.com/office/drawing/2014/main" xmlns="" id="{00000000-0008-0000-0000-00003A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57" name="Line 277">
          <a:extLst>
            <a:ext uri="{FF2B5EF4-FFF2-40B4-BE49-F238E27FC236}">
              <a16:creationId xmlns:a16="http://schemas.microsoft.com/office/drawing/2014/main" xmlns="" id="{00000000-0008-0000-0000-00003D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58" name="Line 278">
          <a:extLst>
            <a:ext uri="{FF2B5EF4-FFF2-40B4-BE49-F238E27FC236}">
              <a16:creationId xmlns:a16="http://schemas.microsoft.com/office/drawing/2014/main" xmlns="" id="{00000000-0008-0000-0000-00003E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61" name="Line 281">
          <a:extLst>
            <a:ext uri="{FF2B5EF4-FFF2-40B4-BE49-F238E27FC236}">
              <a16:creationId xmlns:a16="http://schemas.microsoft.com/office/drawing/2014/main" xmlns="" id="{00000000-0008-0000-0000-000041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62" name="Line 282">
          <a:extLst>
            <a:ext uri="{FF2B5EF4-FFF2-40B4-BE49-F238E27FC236}">
              <a16:creationId xmlns:a16="http://schemas.microsoft.com/office/drawing/2014/main" xmlns="" id="{00000000-0008-0000-0000-000042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65" name="Line 285">
          <a:extLst>
            <a:ext uri="{FF2B5EF4-FFF2-40B4-BE49-F238E27FC236}">
              <a16:creationId xmlns:a16="http://schemas.microsoft.com/office/drawing/2014/main" xmlns="" id="{00000000-0008-0000-0000-000045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66" name="Line 286">
          <a:extLst>
            <a:ext uri="{FF2B5EF4-FFF2-40B4-BE49-F238E27FC236}">
              <a16:creationId xmlns:a16="http://schemas.microsoft.com/office/drawing/2014/main" xmlns="" id="{00000000-0008-0000-0000-000046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69" name="Line 289">
          <a:extLst>
            <a:ext uri="{FF2B5EF4-FFF2-40B4-BE49-F238E27FC236}">
              <a16:creationId xmlns:a16="http://schemas.microsoft.com/office/drawing/2014/main" xmlns="" id="{00000000-0008-0000-0000-000049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70" name="Line 290">
          <a:extLst>
            <a:ext uri="{FF2B5EF4-FFF2-40B4-BE49-F238E27FC236}">
              <a16:creationId xmlns:a16="http://schemas.microsoft.com/office/drawing/2014/main" xmlns="" id="{00000000-0008-0000-0000-00004A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73" name="Line 293">
          <a:extLst>
            <a:ext uri="{FF2B5EF4-FFF2-40B4-BE49-F238E27FC236}">
              <a16:creationId xmlns:a16="http://schemas.microsoft.com/office/drawing/2014/main" xmlns="" id="{00000000-0008-0000-0000-00004D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74" name="Line 294">
          <a:extLst>
            <a:ext uri="{FF2B5EF4-FFF2-40B4-BE49-F238E27FC236}">
              <a16:creationId xmlns:a16="http://schemas.microsoft.com/office/drawing/2014/main" xmlns="" id="{00000000-0008-0000-0000-00004E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77" name="Line 297">
          <a:extLst>
            <a:ext uri="{FF2B5EF4-FFF2-40B4-BE49-F238E27FC236}">
              <a16:creationId xmlns:a16="http://schemas.microsoft.com/office/drawing/2014/main" xmlns="" id="{00000000-0008-0000-0000-000051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78" name="Line 298">
          <a:extLst>
            <a:ext uri="{FF2B5EF4-FFF2-40B4-BE49-F238E27FC236}">
              <a16:creationId xmlns:a16="http://schemas.microsoft.com/office/drawing/2014/main" xmlns="" id="{00000000-0008-0000-0000-000052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181" name="Line 301">
          <a:extLst>
            <a:ext uri="{FF2B5EF4-FFF2-40B4-BE49-F238E27FC236}">
              <a16:creationId xmlns:a16="http://schemas.microsoft.com/office/drawing/2014/main" xmlns="" id="{00000000-0008-0000-0000-000055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182" name="Line 302">
          <a:extLst>
            <a:ext uri="{FF2B5EF4-FFF2-40B4-BE49-F238E27FC236}">
              <a16:creationId xmlns:a16="http://schemas.microsoft.com/office/drawing/2014/main" xmlns="" id="{00000000-0008-0000-0000-000056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185" name="Line 305">
          <a:extLst>
            <a:ext uri="{FF2B5EF4-FFF2-40B4-BE49-F238E27FC236}">
              <a16:creationId xmlns:a16="http://schemas.microsoft.com/office/drawing/2014/main" xmlns="" id="{00000000-0008-0000-0000-000059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186" name="Line 306">
          <a:extLst>
            <a:ext uri="{FF2B5EF4-FFF2-40B4-BE49-F238E27FC236}">
              <a16:creationId xmlns:a16="http://schemas.microsoft.com/office/drawing/2014/main" xmlns="" id="{00000000-0008-0000-0000-00005A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189" name="Line 309">
          <a:extLst>
            <a:ext uri="{FF2B5EF4-FFF2-40B4-BE49-F238E27FC236}">
              <a16:creationId xmlns:a16="http://schemas.microsoft.com/office/drawing/2014/main" xmlns="" id="{00000000-0008-0000-0000-00005D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190" name="Line 310">
          <a:extLst>
            <a:ext uri="{FF2B5EF4-FFF2-40B4-BE49-F238E27FC236}">
              <a16:creationId xmlns:a16="http://schemas.microsoft.com/office/drawing/2014/main" xmlns="" id="{00000000-0008-0000-0000-00005E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193" name="Line 313">
          <a:extLst>
            <a:ext uri="{FF2B5EF4-FFF2-40B4-BE49-F238E27FC236}">
              <a16:creationId xmlns:a16="http://schemas.microsoft.com/office/drawing/2014/main" xmlns="" id="{00000000-0008-0000-0000-000061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194" name="Line 314">
          <a:extLst>
            <a:ext uri="{FF2B5EF4-FFF2-40B4-BE49-F238E27FC236}">
              <a16:creationId xmlns:a16="http://schemas.microsoft.com/office/drawing/2014/main" xmlns="" id="{00000000-0008-0000-0000-000062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197" name="Line 317">
          <a:extLst>
            <a:ext uri="{FF2B5EF4-FFF2-40B4-BE49-F238E27FC236}">
              <a16:creationId xmlns:a16="http://schemas.microsoft.com/office/drawing/2014/main" xmlns="" id="{00000000-0008-0000-0000-000065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198" name="Line 318">
          <a:extLst>
            <a:ext uri="{FF2B5EF4-FFF2-40B4-BE49-F238E27FC236}">
              <a16:creationId xmlns:a16="http://schemas.microsoft.com/office/drawing/2014/main" xmlns="" id="{00000000-0008-0000-0000-000066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201" name="Line 321">
          <a:extLst>
            <a:ext uri="{FF2B5EF4-FFF2-40B4-BE49-F238E27FC236}">
              <a16:creationId xmlns:a16="http://schemas.microsoft.com/office/drawing/2014/main" xmlns="" id="{00000000-0008-0000-0000-000069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202" name="Line 322">
          <a:extLst>
            <a:ext uri="{FF2B5EF4-FFF2-40B4-BE49-F238E27FC236}">
              <a16:creationId xmlns:a16="http://schemas.microsoft.com/office/drawing/2014/main" xmlns="" id="{00000000-0008-0000-0000-00006A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205" name="Line 325">
          <a:extLst>
            <a:ext uri="{FF2B5EF4-FFF2-40B4-BE49-F238E27FC236}">
              <a16:creationId xmlns:a16="http://schemas.microsoft.com/office/drawing/2014/main" xmlns="" id="{00000000-0008-0000-0000-00006D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206" name="Line 326">
          <a:extLst>
            <a:ext uri="{FF2B5EF4-FFF2-40B4-BE49-F238E27FC236}">
              <a16:creationId xmlns:a16="http://schemas.microsoft.com/office/drawing/2014/main" xmlns="" id="{00000000-0008-0000-0000-00006E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209" name="Line 329">
          <a:extLst>
            <a:ext uri="{FF2B5EF4-FFF2-40B4-BE49-F238E27FC236}">
              <a16:creationId xmlns:a16="http://schemas.microsoft.com/office/drawing/2014/main" xmlns="" id="{00000000-0008-0000-0000-000071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210" name="Line 330">
          <a:extLst>
            <a:ext uri="{FF2B5EF4-FFF2-40B4-BE49-F238E27FC236}">
              <a16:creationId xmlns:a16="http://schemas.microsoft.com/office/drawing/2014/main" xmlns="" id="{00000000-0008-0000-0000-000072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13" name="Line 333">
          <a:extLst>
            <a:ext uri="{FF2B5EF4-FFF2-40B4-BE49-F238E27FC236}">
              <a16:creationId xmlns:a16="http://schemas.microsoft.com/office/drawing/2014/main" xmlns="" id="{00000000-0008-0000-0000-000075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14" name="Line 334">
          <a:extLst>
            <a:ext uri="{FF2B5EF4-FFF2-40B4-BE49-F238E27FC236}">
              <a16:creationId xmlns:a16="http://schemas.microsoft.com/office/drawing/2014/main" xmlns="" id="{00000000-0008-0000-0000-000076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17" name="Line 337">
          <a:extLst>
            <a:ext uri="{FF2B5EF4-FFF2-40B4-BE49-F238E27FC236}">
              <a16:creationId xmlns:a16="http://schemas.microsoft.com/office/drawing/2014/main" xmlns="" id="{00000000-0008-0000-0000-000079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18" name="Line 338">
          <a:extLst>
            <a:ext uri="{FF2B5EF4-FFF2-40B4-BE49-F238E27FC236}">
              <a16:creationId xmlns:a16="http://schemas.microsoft.com/office/drawing/2014/main" xmlns="" id="{00000000-0008-0000-0000-00007A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21" name="Line 341">
          <a:extLst>
            <a:ext uri="{FF2B5EF4-FFF2-40B4-BE49-F238E27FC236}">
              <a16:creationId xmlns:a16="http://schemas.microsoft.com/office/drawing/2014/main" xmlns="" id="{00000000-0008-0000-0000-00007D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22" name="Line 342">
          <a:extLst>
            <a:ext uri="{FF2B5EF4-FFF2-40B4-BE49-F238E27FC236}">
              <a16:creationId xmlns:a16="http://schemas.microsoft.com/office/drawing/2014/main" xmlns="" id="{00000000-0008-0000-0000-00007E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25" name="Line 345">
          <a:extLst>
            <a:ext uri="{FF2B5EF4-FFF2-40B4-BE49-F238E27FC236}">
              <a16:creationId xmlns:a16="http://schemas.microsoft.com/office/drawing/2014/main" xmlns="" id="{00000000-0008-0000-0000-000081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26" name="Line 346">
          <a:extLst>
            <a:ext uri="{FF2B5EF4-FFF2-40B4-BE49-F238E27FC236}">
              <a16:creationId xmlns:a16="http://schemas.microsoft.com/office/drawing/2014/main" xmlns="" id="{00000000-0008-0000-0000-000082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29" name="Line 349">
          <a:extLst>
            <a:ext uri="{FF2B5EF4-FFF2-40B4-BE49-F238E27FC236}">
              <a16:creationId xmlns:a16="http://schemas.microsoft.com/office/drawing/2014/main" xmlns="" id="{00000000-0008-0000-0000-000085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30" name="Line 350">
          <a:extLst>
            <a:ext uri="{FF2B5EF4-FFF2-40B4-BE49-F238E27FC236}">
              <a16:creationId xmlns:a16="http://schemas.microsoft.com/office/drawing/2014/main" xmlns="" id="{00000000-0008-0000-0000-000086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33" name="Line 353">
          <a:extLst>
            <a:ext uri="{FF2B5EF4-FFF2-40B4-BE49-F238E27FC236}">
              <a16:creationId xmlns:a16="http://schemas.microsoft.com/office/drawing/2014/main" xmlns="" id="{00000000-0008-0000-0000-000089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34" name="Line 354">
          <a:extLst>
            <a:ext uri="{FF2B5EF4-FFF2-40B4-BE49-F238E27FC236}">
              <a16:creationId xmlns:a16="http://schemas.microsoft.com/office/drawing/2014/main" xmlns="" id="{00000000-0008-0000-0000-00008A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237" name="Line 357">
          <a:extLst>
            <a:ext uri="{FF2B5EF4-FFF2-40B4-BE49-F238E27FC236}">
              <a16:creationId xmlns:a16="http://schemas.microsoft.com/office/drawing/2014/main" xmlns="" id="{00000000-0008-0000-0000-00008D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238" name="Line 358">
          <a:extLst>
            <a:ext uri="{FF2B5EF4-FFF2-40B4-BE49-F238E27FC236}">
              <a16:creationId xmlns:a16="http://schemas.microsoft.com/office/drawing/2014/main" xmlns="" id="{00000000-0008-0000-0000-00008E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41" name="Line 361">
          <a:extLst>
            <a:ext uri="{FF2B5EF4-FFF2-40B4-BE49-F238E27FC236}">
              <a16:creationId xmlns:a16="http://schemas.microsoft.com/office/drawing/2014/main" xmlns="" id="{00000000-0008-0000-0000-000091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42" name="Line 362">
          <a:extLst>
            <a:ext uri="{FF2B5EF4-FFF2-40B4-BE49-F238E27FC236}">
              <a16:creationId xmlns:a16="http://schemas.microsoft.com/office/drawing/2014/main" xmlns="" id="{00000000-0008-0000-0000-000092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45" name="Line 365">
          <a:extLst>
            <a:ext uri="{FF2B5EF4-FFF2-40B4-BE49-F238E27FC236}">
              <a16:creationId xmlns:a16="http://schemas.microsoft.com/office/drawing/2014/main" xmlns="" id="{00000000-0008-0000-0000-000095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46" name="Line 366">
          <a:extLst>
            <a:ext uri="{FF2B5EF4-FFF2-40B4-BE49-F238E27FC236}">
              <a16:creationId xmlns:a16="http://schemas.microsoft.com/office/drawing/2014/main" xmlns="" id="{00000000-0008-0000-0000-000096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49" name="Line 369">
          <a:extLst>
            <a:ext uri="{FF2B5EF4-FFF2-40B4-BE49-F238E27FC236}">
              <a16:creationId xmlns:a16="http://schemas.microsoft.com/office/drawing/2014/main" xmlns="" id="{00000000-0008-0000-0000-000099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50" name="Line 370">
          <a:extLst>
            <a:ext uri="{FF2B5EF4-FFF2-40B4-BE49-F238E27FC236}">
              <a16:creationId xmlns:a16="http://schemas.microsoft.com/office/drawing/2014/main" xmlns="" id="{00000000-0008-0000-0000-00009A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53" name="Line 373">
          <a:extLst>
            <a:ext uri="{FF2B5EF4-FFF2-40B4-BE49-F238E27FC236}">
              <a16:creationId xmlns:a16="http://schemas.microsoft.com/office/drawing/2014/main" xmlns="" id="{00000000-0008-0000-0000-00009D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54" name="Line 374">
          <a:extLst>
            <a:ext uri="{FF2B5EF4-FFF2-40B4-BE49-F238E27FC236}">
              <a16:creationId xmlns:a16="http://schemas.microsoft.com/office/drawing/2014/main" xmlns="" id="{00000000-0008-0000-0000-00009E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57" name="Line 377">
          <a:extLst>
            <a:ext uri="{FF2B5EF4-FFF2-40B4-BE49-F238E27FC236}">
              <a16:creationId xmlns:a16="http://schemas.microsoft.com/office/drawing/2014/main" xmlns="" id="{00000000-0008-0000-0000-0000A1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58" name="Line 378">
          <a:extLst>
            <a:ext uri="{FF2B5EF4-FFF2-40B4-BE49-F238E27FC236}">
              <a16:creationId xmlns:a16="http://schemas.microsoft.com/office/drawing/2014/main" xmlns="" id="{00000000-0008-0000-0000-0000A2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61" name="Line 381">
          <a:extLst>
            <a:ext uri="{FF2B5EF4-FFF2-40B4-BE49-F238E27FC236}">
              <a16:creationId xmlns:a16="http://schemas.microsoft.com/office/drawing/2014/main" xmlns="" id="{00000000-0008-0000-0000-0000A5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62" name="Line 382">
          <a:extLst>
            <a:ext uri="{FF2B5EF4-FFF2-40B4-BE49-F238E27FC236}">
              <a16:creationId xmlns:a16="http://schemas.microsoft.com/office/drawing/2014/main" xmlns="" id="{00000000-0008-0000-0000-0000A6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265" name="Line 385">
          <a:extLst>
            <a:ext uri="{FF2B5EF4-FFF2-40B4-BE49-F238E27FC236}">
              <a16:creationId xmlns:a16="http://schemas.microsoft.com/office/drawing/2014/main" xmlns="" id="{00000000-0008-0000-0000-0000A9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266" name="Line 386">
          <a:extLst>
            <a:ext uri="{FF2B5EF4-FFF2-40B4-BE49-F238E27FC236}">
              <a16:creationId xmlns:a16="http://schemas.microsoft.com/office/drawing/2014/main" xmlns="" id="{00000000-0008-0000-0000-0000AA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69" name="Line 389">
          <a:extLst>
            <a:ext uri="{FF2B5EF4-FFF2-40B4-BE49-F238E27FC236}">
              <a16:creationId xmlns:a16="http://schemas.microsoft.com/office/drawing/2014/main" xmlns="" id="{00000000-0008-0000-0000-0000AD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70" name="Line 390">
          <a:extLst>
            <a:ext uri="{FF2B5EF4-FFF2-40B4-BE49-F238E27FC236}">
              <a16:creationId xmlns:a16="http://schemas.microsoft.com/office/drawing/2014/main" xmlns="" id="{00000000-0008-0000-0000-0000AE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73" name="Line 393">
          <a:extLst>
            <a:ext uri="{FF2B5EF4-FFF2-40B4-BE49-F238E27FC236}">
              <a16:creationId xmlns:a16="http://schemas.microsoft.com/office/drawing/2014/main" xmlns="" id="{00000000-0008-0000-0000-0000B1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74" name="Line 394">
          <a:extLst>
            <a:ext uri="{FF2B5EF4-FFF2-40B4-BE49-F238E27FC236}">
              <a16:creationId xmlns:a16="http://schemas.microsoft.com/office/drawing/2014/main" xmlns="" id="{00000000-0008-0000-0000-0000B2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77" name="Line 397">
          <a:extLst>
            <a:ext uri="{FF2B5EF4-FFF2-40B4-BE49-F238E27FC236}">
              <a16:creationId xmlns:a16="http://schemas.microsoft.com/office/drawing/2014/main" xmlns="" id="{00000000-0008-0000-0000-0000B5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78" name="Line 398">
          <a:extLst>
            <a:ext uri="{FF2B5EF4-FFF2-40B4-BE49-F238E27FC236}">
              <a16:creationId xmlns:a16="http://schemas.microsoft.com/office/drawing/2014/main" xmlns="" id="{00000000-0008-0000-0000-0000B6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81" name="Line 401">
          <a:extLst>
            <a:ext uri="{FF2B5EF4-FFF2-40B4-BE49-F238E27FC236}">
              <a16:creationId xmlns:a16="http://schemas.microsoft.com/office/drawing/2014/main" xmlns="" id="{00000000-0008-0000-0000-0000B9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82" name="Line 402">
          <a:extLst>
            <a:ext uri="{FF2B5EF4-FFF2-40B4-BE49-F238E27FC236}">
              <a16:creationId xmlns:a16="http://schemas.microsoft.com/office/drawing/2014/main" xmlns="" id="{00000000-0008-0000-0000-0000BA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85" name="Line 405">
          <a:extLst>
            <a:ext uri="{FF2B5EF4-FFF2-40B4-BE49-F238E27FC236}">
              <a16:creationId xmlns:a16="http://schemas.microsoft.com/office/drawing/2014/main" xmlns="" id="{00000000-0008-0000-0000-0000BD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86" name="Line 406">
          <a:extLst>
            <a:ext uri="{FF2B5EF4-FFF2-40B4-BE49-F238E27FC236}">
              <a16:creationId xmlns:a16="http://schemas.microsoft.com/office/drawing/2014/main" xmlns="" id="{00000000-0008-0000-0000-0000BE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89" name="Line 409">
          <a:extLst>
            <a:ext uri="{FF2B5EF4-FFF2-40B4-BE49-F238E27FC236}">
              <a16:creationId xmlns:a16="http://schemas.microsoft.com/office/drawing/2014/main" xmlns="" id="{00000000-0008-0000-0000-0000C1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90" name="Line 410">
          <a:extLst>
            <a:ext uri="{FF2B5EF4-FFF2-40B4-BE49-F238E27FC236}">
              <a16:creationId xmlns:a16="http://schemas.microsoft.com/office/drawing/2014/main" xmlns="" id="{00000000-0008-0000-0000-0000C2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293" name="Line 413">
          <a:extLst>
            <a:ext uri="{FF2B5EF4-FFF2-40B4-BE49-F238E27FC236}">
              <a16:creationId xmlns:a16="http://schemas.microsoft.com/office/drawing/2014/main" xmlns="" id="{00000000-0008-0000-0000-0000C5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294" name="Line 414">
          <a:extLst>
            <a:ext uri="{FF2B5EF4-FFF2-40B4-BE49-F238E27FC236}">
              <a16:creationId xmlns:a16="http://schemas.microsoft.com/office/drawing/2014/main" xmlns="" id="{00000000-0008-0000-0000-0000C6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</xdr:colOff>
      <xdr:row>3</xdr:row>
      <xdr:rowOff>28575</xdr:rowOff>
    </xdr:from>
    <xdr:to>
      <xdr:col>2</xdr:col>
      <xdr:colOff>609600</xdr:colOff>
      <xdr:row>4</xdr:row>
      <xdr:rowOff>190500</xdr:rowOff>
    </xdr:to>
    <xdr:sp macro="" textlink="">
      <xdr:nvSpPr>
        <xdr:cNvPr id="4297" name="Line 417">
          <a:extLst>
            <a:ext uri="{FF2B5EF4-FFF2-40B4-BE49-F238E27FC236}">
              <a16:creationId xmlns:a16="http://schemas.microsoft.com/office/drawing/2014/main" xmlns="" id="{00000000-0008-0000-0000-0000C9100000}"/>
            </a:ext>
          </a:extLst>
        </xdr:cNvPr>
        <xdr:cNvSpPr>
          <a:spLocks noChangeShapeType="1"/>
        </xdr:cNvSpPr>
      </xdr:nvSpPr>
      <xdr:spPr bwMode="auto">
        <a:xfrm flipH="1">
          <a:off x="162382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</xdr:colOff>
      <xdr:row>92</xdr:row>
      <xdr:rowOff>28575</xdr:rowOff>
    </xdr:from>
    <xdr:to>
      <xdr:col>2</xdr:col>
      <xdr:colOff>609600</xdr:colOff>
      <xdr:row>93</xdr:row>
      <xdr:rowOff>190500</xdr:rowOff>
    </xdr:to>
    <xdr:sp macro="" textlink="">
      <xdr:nvSpPr>
        <xdr:cNvPr id="4298" name="Line 418">
          <a:extLst>
            <a:ext uri="{FF2B5EF4-FFF2-40B4-BE49-F238E27FC236}">
              <a16:creationId xmlns:a16="http://schemas.microsoft.com/office/drawing/2014/main" xmlns="" id="{00000000-0008-0000-0000-0000CA100000}"/>
            </a:ext>
          </a:extLst>
        </xdr:cNvPr>
        <xdr:cNvSpPr>
          <a:spLocks noChangeShapeType="1"/>
        </xdr:cNvSpPr>
      </xdr:nvSpPr>
      <xdr:spPr bwMode="auto">
        <a:xfrm flipH="1">
          <a:off x="162382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4301" name="Line 421">
          <a:extLst>
            <a:ext uri="{FF2B5EF4-FFF2-40B4-BE49-F238E27FC236}">
              <a16:creationId xmlns:a16="http://schemas.microsoft.com/office/drawing/2014/main" xmlns="" id="{00000000-0008-0000-0000-0000CD100000}"/>
            </a:ext>
          </a:extLst>
        </xdr:cNvPr>
        <xdr:cNvSpPr>
          <a:spLocks noChangeShapeType="1"/>
        </xdr:cNvSpPr>
      </xdr:nvSpPr>
      <xdr:spPr bwMode="auto">
        <a:xfrm flipH="1">
          <a:off x="158143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4302" name="Line 422">
          <a:extLst>
            <a:ext uri="{FF2B5EF4-FFF2-40B4-BE49-F238E27FC236}">
              <a16:creationId xmlns:a16="http://schemas.microsoft.com/office/drawing/2014/main" xmlns="" id="{00000000-0008-0000-0000-0000CE100000}"/>
            </a:ext>
          </a:extLst>
        </xdr:cNvPr>
        <xdr:cNvSpPr>
          <a:spLocks noChangeShapeType="1"/>
        </xdr:cNvSpPr>
      </xdr:nvSpPr>
      <xdr:spPr bwMode="auto">
        <a:xfrm flipH="1">
          <a:off x="158143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305" name="Line 425">
          <a:extLst>
            <a:ext uri="{FF2B5EF4-FFF2-40B4-BE49-F238E27FC236}">
              <a16:creationId xmlns:a16="http://schemas.microsoft.com/office/drawing/2014/main" xmlns="" id="{00000000-0008-0000-0000-0000D110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306" name="Line 426">
          <a:extLst>
            <a:ext uri="{FF2B5EF4-FFF2-40B4-BE49-F238E27FC236}">
              <a16:creationId xmlns:a16="http://schemas.microsoft.com/office/drawing/2014/main" xmlns="" id="{00000000-0008-0000-0000-0000D210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309" name="Line 429">
          <a:extLst>
            <a:ext uri="{FF2B5EF4-FFF2-40B4-BE49-F238E27FC236}">
              <a16:creationId xmlns:a16="http://schemas.microsoft.com/office/drawing/2014/main" xmlns="" id="{00000000-0008-0000-0000-0000D510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310" name="Line 430">
          <a:extLst>
            <a:ext uri="{FF2B5EF4-FFF2-40B4-BE49-F238E27FC236}">
              <a16:creationId xmlns:a16="http://schemas.microsoft.com/office/drawing/2014/main" xmlns="" id="{00000000-0008-0000-0000-0000D610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313" name="Line 433">
          <a:extLst>
            <a:ext uri="{FF2B5EF4-FFF2-40B4-BE49-F238E27FC236}">
              <a16:creationId xmlns:a16="http://schemas.microsoft.com/office/drawing/2014/main" xmlns="" id="{00000000-0008-0000-0000-0000D910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314" name="Line 434">
          <a:extLst>
            <a:ext uri="{FF2B5EF4-FFF2-40B4-BE49-F238E27FC236}">
              <a16:creationId xmlns:a16="http://schemas.microsoft.com/office/drawing/2014/main" xmlns="" id="{00000000-0008-0000-0000-0000DA10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317" name="Line 437">
          <a:extLst>
            <a:ext uri="{FF2B5EF4-FFF2-40B4-BE49-F238E27FC236}">
              <a16:creationId xmlns:a16="http://schemas.microsoft.com/office/drawing/2014/main" xmlns="" id="{00000000-0008-0000-0000-0000DD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318" name="Line 438">
          <a:extLst>
            <a:ext uri="{FF2B5EF4-FFF2-40B4-BE49-F238E27FC236}">
              <a16:creationId xmlns:a16="http://schemas.microsoft.com/office/drawing/2014/main" xmlns="" id="{00000000-0008-0000-0000-0000DE10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321" name="Line 441">
          <a:extLst>
            <a:ext uri="{FF2B5EF4-FFF2-40B4-BE49-F238E27FC236}">
              <a16:creationId xmlns:a16="http://schemas.microsoft.com/office/drawing/2014/main" xmlns="" id="{00000000-0008-0000-0000-0000E1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322" name="Line 442">
          <a:extLst>
            <a:ext uri="{FF2B5EF4-FFF2-40B4-BE49-F238E27FC236}">
              <a16:creationId xmlns:a16="http://schemas.microsoft.com/office/drawing/2014/main" xmlns="" id="{00000000-0008-0000-0000-0000E210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325" name="Line 445">
          <a:extLst>
            <a:ext uri="{FF2B5EF4-FFF2-40B4-BE49-F238E27FC236}">
              <a16:creationId xmlns:a16="http://schemas.microsoft.com/office/drawing/2014/main" xmlns="" id="{00000000-0008-0000-0000-0000E5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326" name="Line 446">
          <a:extLst>
            <a:ext uri="{FF2B5EF4-FFF2-40B4-BE49-F238E27FC236}">
              <a16:creationId xmlns:a16="http://schemas.microsoft.com/office/drawing/2014/main" xmlns="" id="{00000000-0008-0000-0000-0000E610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329" name="Line 449">
          <a:extLst>
            <a:ext uri="{FF2B5EF4-FFF2-40B4-BE49-F238E27FC236}">
              <a16:creationId xmlns:a16="http://schemas.microsoft.com/office/drawing/2014/main" xmlns="" id="{00000000-0008-0000-0000-0000E9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330" name="Line 450">
          <a:extLst>
            <a:ext uri="{FF2B5EF4-FFF2-40B4-BE49-F238E27FC236}">
              <a16:creationId xmlns:a16="http://schemas.microsoft.com/office/drawing/2014/main" xmlns="" id="{00000000-0008-0000-0000-0000EA10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333" name="Line 453">
          <a:extLst>
            <a:ext uri="{FF2B5EF4-FFF2-40B4-BE49-F238E27FC236}">
              <a16:creationId xmlns:a16="http://schemas.microsoft.com/office/drawing/2014/main" xmlns="" id="{00000000-0008-0000-0000-0000ED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334" name="Line 454">
          <a:extLst>
            <a:ext uri="{FF2B5EF4-FFF2-40B4-BE49-F238E27FC236}">
              <a16:creationId xmlns:a16="http://schemas.microsoft.com/office/drawing/2014/main" xmlns="" id="{00000000-0008-0000-0000-0000EE10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337" name="Line 457">
          <a:extLst>
            <a:ext uri="{FF2B5EF4-FFF2-40B4-BE49-F238E27FC236}">
              <a16:creationId xmlns:a16="http://schemas.microsoft.com/office/drawing/2014/main" xmlns="" id="{00000000-0008-0000-0000-0000F1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338" name="Line 458">
          <a:extLst>
            <a:ext uri="{FF2B5EF4-FFF2-40B4-BE49-F238E27FC236}">
              <a16:creationId xmlns:a16="http://schemas.microsoft.com/office/drawing/2014/main" xmlns="" id="{00000000-0008-0000-0000-0000F210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341" name="Line 461">
          <a:extLst>
            <a:ext uri="{FF2B5EF4-FFF2-40B4-BE49-F238E27FC236}">
              <a16:creationId xmlns:a16="http://schemas.microsoft.com/office/drawing/2014/main" xmlns="" id="{00000000-0008-0000-0000-0000F5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342" name="Line 462">
          <a:extLst>
            <a:ext uri="{FF2B5EF4-FFF2-40B4-BE49-F238E27FC236}">
              <a16:creationId xmlns:a16="http://schemas.microsoft.com/office/drawing/2014/main" xmlns="" id="{00000000-0008-0000-0000-0000F610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19050</xdr:colOff>
      <xdr:row>3</xdr:row>
      <xdr:rowOff>28575</xdr:rowOff>
    </xdr:from>
    <xdr:to>
      <xdr:col>74</xdr:col>
      <xdr:colOff>609600</xdr:colOff>
      <xdr:row>4</xdr:row>
      <xdr:rowOff>190500</xdr:rowOff>
    </xdr:to>
    <xdr:sp macro="" textlink="">
      <xdr:nvSpPr>
        <xdr:cNvPr id="4345" name="Line 465">
          <a:extLst>
            <a:ext uri="{FF2B5EF4-FFF2-40B4-BE49-F238E27FC236}">
              <a16:creationId xmlns:a16="http://schemas.microsoft.com/office/drawing/2014/main" xmlns="" id="{00000000-0008-0000-0000-0000F9100000}"/>
            </a:ext>
          </a:extLst>
        </xdr:cNvPr>
        <xdr:cNvSpPr>
          <a:spLocks noChangeShapeType="1"/>
        </xdr:cNvSpPr>
      </xdr:nvSpPr>
      <xdr:spPr bwMode="auto">
        <a:xfrm flipH="1">
          <a:off x="111528225" y="695325"/>
          <a:ext cx="12668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19050</xdr:colOff>
      <xdr:row>92</xdr:row>
      <xdr:rowOff>28575</xdr:rowOff>
    </xdr:from>
    <xdr:to>
      <xdr:col>74</xdr:col>
      <xdr:colOff>609600</xdr:colOff>
      <xdr:row>93</xdr:row>
      <xdr:rowOff>190500</xdr:rowOff>
    </xdr:to>
    <xdr:sp macro="" textlink="">
      <xdr:nvSpPr>
        <xdr:cNvPr id="4346" name="Line 466">
          <a:extLst>
            <a:ext uri="{FF2B5EF4-FFF2-40B4-BE49-F238E27FC236}">
              <a16:creationId xmlns:a16="http://schemas.microsoft.com/office/drawing/2014/main" xmlns="" id="{00000000-0008-0000-0000-0000FA100000}"/>
            </a:ext>
          </a:extLst>
        </xdr:cNvPr>
        <xdr:cNvSpPr>
          <a:spLocks noChangeShapeType="1"/>
        </xdr:cNvSpPr>
      </xdr:nvSpPr>
      <xdr:spPr bwMode="auto">
        <a:xfrm flipH="1">
          <a:off x="111528225" y="69513450"/>
          <a:ext cx="126682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4349" name="Line 469">
          <a:extLst>
            <a:ext uri="{FF2B5EF4-FFF2-40B4-BE49-F238E27FC236}">
              <a16:creationId xmlns:a16="http://schemas.microsoft.com/office/drawing/2014/main" xmlns="" id="{00000000-0008-0000-0000-0000FD100000}"/>
            </a:ext>
          </a:extLst>
        </xdr:cNvPr>
        <xdr:cNvSpPr>
          <a:spLocks noChangeShapeType="1"/>
        </xdr:cNvSpPr>
      </xdr:nvSpPr>
      <xdr:spPr bwMode="auto">
        <a:xfrm flipH="1">
          <a:off x="158143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4350" name="Line 470">
          <a:extLst>
            <a:ext uri="{FF2B5EF4-FFF2-40B4-BE49-F238E27FC236}">
              <a16:creationId xmlns:a16="http://schemas.microsoft.com/office/drawing/2014/main" xmlns="" id="{00000000-0008-0000-0000-0000FE100000}"/>
            </a:ext>
          </a:extLst>
        </xdr:cNvPr>
        <xdr:cNvSpPr>
          <a:spLocks noChangeShapeType="1"/>
        </xdr:cNvSpPr>
      </xdr:nvSpPr>
      <xdr:spPr bwMode="auto">
        <a:xfrm flipH="1">
          <a:off x="158143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353" name="Line 473">
          <a:extLst>
            <a:ext uri="{FF2B5EF4-FFF2-40B4-BE49-F238E27FC236}">
              <a16:creationId xmlns:a16="http://schemas.microsoft.com/office/drawing/2014/main" xmlns="" id="{00000000-0008-0000-0000-000001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354" name="Line 474">
          <a:extLst>
            <a:ext uri="{FF2B5EF4-FFF2-40B4-BE49-F238E27FC236}">
              <a16:creationId xmlns:a16="http://schemas.microsoft.com/office/drawing/2014/main" xmlns="" id="{00000000-0008-0000-0000-000002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357" name="Line 477">
          <a:extLst>
            <a:ext uri="{FF2B5EF4-FFF2-40B4-BE49-F238E27FC236}">
              <a16:creationId xmlns:a16="http://schemas.microsoft.com/office/drawing/2014/main" xmlns="" id="{00000000-0008-0000-0000-000005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358" name="Line 478">
          <a:extLst>
            <a:ext uri="{FF2B5EF4-FFF2-40B4-BE49-F238E27FC236}">
              <a16:creationId xmlns:a16="http://schemas.microsoft.com/office/drawing/2014/main" xmlns="" id="{00000000-0008-0000-0000-000006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361" name="Line 481">
          <a:extLst>
            <a:ext uri="{FF2B5EF4-FFF2-40B4-BE49-F238E27FC236}">
              <a16:creationId xmlns:a16="http://schemas.microsoft.com/office/drawing/2014/main" xmlns="" id="{00000000-0008-0000-0000-000009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362" name="Line 482">
          <a:extLst>
            <a:ext uri="{FF2B5EF4-FFF2-40B4-BE49-F238E27FC236}">
              <a16:creationId xmlns:a16="http://schemas.microsoft.com/office/drawing/2014/main" xmlns="" id="{00000000-0008-0000-0000-00000A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365" name="Line 485">
          <a:extLst>
            <a:ext uri="{FF2B5EF4-FFF2-40B4-BE49-F238E27FC236}">
              <a16:creationId xmlns:a16="http://schemas.microsoft.com/office/drawing/2014/main" xmlns="" id="{00000000-0008-0000-0000-00000D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366" name="Line 486">
          <a:extLst>
            <a:ext uri="{FF2B5EF4-FFF2-40B4-BE49-F238E27FC236}">
              <a16:creationId xmlns:a16="http://schemas.microsoft.com/office/drawing/2014/main" xmlns="" id="{00000000-0008-0000-0000-00000E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369" name="Line 489">
          <a:extLst>
            <a:ext uri="{FF2B5EF4-FFF2-40B4-BE49-F238E27FC236}">
              <a16:creationId xmlns:a16="http://schemas.microsoft.com/office/drawing/2014/main" xmlns="" id="{00000000-0008-0000-0000-000011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370" name="Line 490">
          <a:extLst>
            <a:ext uri="{FF2B5EF4-FFF2-40B4-BE49-F238E27FC236}">
              <a16:creationId xmlns:a16="http://schemas.microsoft.com/office/drawing/2014/main" xmlns="" id="{00000000-0008-0000-0000-000012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373" name="Line 493">
          <a:extLst>
            <a:ext uri="{FF2B5EF4-FFF2-40B4-BE49-F238E27FC236}">
              <a16:creationId xmlns:a16="http://schemas.microsoft.com/office/drawing/2014/main" xmlns="" id="{00000000-0008-0000-0000-000015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374" name="Line 494">
          <a:extLst>
            <a:ext uri="{FF2B5EF4-FFF2-40B4-BE49-F238E27FC236}">
              <a16:creationId xmlns:a16="http://schemas.microsoft.com/office/drawing/2014/main" xmlns="" id="{00000000-0008-0000-0000-000016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377" name="Line 497">
          <a:extLst>
            <a:ext uri="{FF2B5EF4-FFF2-40B4-BE49-F238E27FC236}">
              <a16:creationId xmlns:a16="http://schemas.microsoft.com/office/drawing/2014/main" xmlns="" id="{00000000-0008-0000-0000-000019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378" name="Line 498">
          <a:extLst>
            <a:ext uri="{FF2B5EF4-FFF2-40B4-BE49-F238E27FC236}">
              <a16:creationId xmlns:a16="http://schemas.microsoft.com/office/drawing/2014/main" xmlns="" id="{00000000-0008-0000-0000-00001A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381" name="Line 501">
          <a:extLst>
            <a:ext uri="{FF2B5EF4-FFF2-40B4-BE49-F238E27FC236}">
              <a16:creationId xmlns:a16="http://schemas.microsoft.com/office/drawing/2014/main" xmlns="" id="{00000000-0008-0000-0000-00001D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382" name="Line 502">
          <a:extLst>
            <a:ext uri="{FF2B5EF4-FFF2-40B4-BE49-F238E27FC236}">
              <a16:creationId xmlns:a16="http://schemas.microsoft.com/office/drawing/2014/main" xmlns="" id="{00000000-0008-0000-0000-00001E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385" name="Line 505">
          <a:extLst>
            <a:ext uri="{FF2B5EF4-FFF2-40B4-BE49-F238E27FC236}">
              <a16:creationId xmlns:a16="http://schemas.microsoft.com/office/drawing/2014/main" xmlns="" id="{00000000-0008-0000-0000-000021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386" name="Line 506">
          <a:extLst>
            <a:ext uri="{FF2B5EF4-FFF2-40B4-BE49-F238E27FC236}">
              <a16:creationId xmlns:a16="http://schemas.microsoft.com/office/drawing/2014/main" xmlns="" id="{00000000-0008-0000-0000-000022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389" name="Line 509">
          <a:extLst>
            <a:ext uri="{FF2B5EF4-FFF2-40B4-BE49-F238E27FC236}">
              <a16:creationId xmlns:a16="http://schemas.microsoft.com/office/drawing/2014/main" xmlns="" id="{00000000-0008-0000-0000-000025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390" name="Line 510">
          <a:extLst>
            <a:ext uri="{FF2B5EF4-FFF2-40B4-BE49-F238E27FC236}">
              <a16:creationId xmlns:a16="http://schemas.microsoft.com/office/drawing/2014/main" xmlns="" id="{00000000-0008-0000-0000-000026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393" name="Line 513">
          <a:extLst>
            <a:ext uri="{FF2B5EF4-FFF2-40B4-BE49-F238E27FC236}">
              <a16:creationId xmlns:a16="http://schemas.microsoft.com/office/drawing/2014/main" xmlns="" id="{00000000-0008-0000-0000-000029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394" name="Line 514">
          <a:extLst>
            <a:ext uri="{FF2B5EF4-FFF2-40B4-BE49-F238E27FC236}">
              <a16:creationId xmlns:a16="http://schemas.microsoft.com/office/drawing/2014/main" xmlns="" id="{00000000-0008-0000-0000-00002A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397" name="Line 517">
          <a:extLst>
            <a:ext uri="{FF2B5EF4-FFF2-40B4-BE49-F238E27FC236}">
              <a16:creationId xmlns:a16="http://schemas.microsoft.com/office/drawing/2014/main" xmlns="" id="{00000000-0008-0000-0000-00002D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398" name="Line 518">
          <a:extLst>
            <a:ext uri="{FF2B5EF4-FFF2-40B4-BE49-F238E27FC236}">
              <a16:creationId xmlns:a16="http://schemas.microsoft.com/office/drawing/2014/main" xmlns="" id="{00000000-0008-0000-0000-00002E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401" name="Line 521">
          <a:extLst>
            <a:ext uri="{FF2B5EF4-FFF2-40B4-BE49-F238E27FC236}">
              <a16:creationId xmlns:a16="http://schemas.microsoft.com/office/drawing/2014/main" xmlns="" id="{00000000-0008-0000-0000-000031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402" name="Line 522">
          <a:extLst>
            <a:ext uri="{FF2B5EF4-FFF2-40B4-BE49-F238E27FC236}">
              <a16:creationId xmlns:a16="http://schemas.microsoft.com/office/drawing/2014/main" xmlns="" id="{00000000-0008-0000-0000-000032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405" name="Line 525">
          <a:extLst>
            <a:ext uri="{FF2B5EF4-FFF2-40B4-BE49-F238E27FC236}">
              <a16:creationId xmlns:a16="http://schemas.microsoft.com/office/drawing/2014/main" xmlns="" id="{00000000-0008-0000-0000-000035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406" name="Line 526">
          <a:extLst>
            <a:ext uri="{FF2B5EF4-FFF2-40B4-BE49-F238E27FC236}">
              <a16:creationId xmlns:a16="http://schemas.microsoft.com/office/drawing/2014/main" xmlns="" id="{00000000-0008-0000-0000-000036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409" name="Line 529">
          <a:extLst>
            <a:ext uri="{FF2B5EF4-FFF2-40B4-BE49-F238E27FC236}">
              <a16:creationId xmlns:a16="http://schemas.microsoft.com/office/drawing/2014/main" xmlns="" id="{00000000-0008-0000-0000-00003911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410" name="Line 530">
          <a:extLst>
            <a:ext uri="{FF2B5EF4-FFF2-40B4-BE49-F238E27FC236}">
              <a16:creationId xmlns:a16="http://schemas.microsoft.com/office/drawing/2014/main" xmlns="" id="{00000000-0008-0000-0000-00003A11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413" name="Line 533">
          <a:extLst>
            <a:ext uri="{FF2B5EF4-FFF2-40B4-BE49-F238E27FC236}">
              <a16:creationId xmlns:a16="http://schemas.microsoft.com/office/drawing/2014/main" xmlns="" id="{00000000-0008-0000-0000-00003D11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414" name="Line 534">
          <a:extLst>
            <a:ext uri="{FF2B5EF4-FFF2-40B4-BE49-F238E27FC236}">
              <a16:creationId xmlns:a16="http://schemas.microsoft.com/office/drawing/2014/main" xmlns="" id="{00000000-0008-0000-0000-00003E11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417" name="Line 537">
          <a:extLst>
            <a:ext uri="{FF2B5EF4-FFF2-40B4-BE49-F238E27FC236}">
              <a16:creationId xmlns:a16="http://schemas.microsoft.com/office/drawing/2014/main" xmlns="" id="{00000000-0008-0000-0000-00004111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418" name="Line 538">
          <a:extLst>
            <a:ext uri="{FF2B5EF4-FFF2-40B4-BE49-F238E27FC236}">
              <a16:creationId xmlns:a16="http://schemas.microsoft.com/office/drawing/2014/main" xmlns="" id="{00000000-0008-0000-0000-00004211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421" name="Line 541">
          <a:extLst>
            <a:ext uri="{FF2B5EF4-FFF2-40B4-BE49-F238E27FC236}">
              <a16:creationId xmlns:a16="http://schemas.microsoft.com/office/drawing/2014/main" xmlns="" id="{00000000-0008-0000-0000-00004511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422" name="Line 542">
          <a:extLst>
            <a:ext uri="{FF2B5EF4-FFF2-40B4-BE49-F238E27FC236}">
              <a16:creationId xmlns:a16="http://schemas.microsoft.com/office/drawing/2014/main" xmlns="" id="{00000000-0008-0000-0000-00004611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425" name="Line 545">
          <a:extLst>
            <a:ext uri="{FF2B5EF4-FFF2-40B4-BE49-F238E27FC236}">
              <a16:creationId xmlns:a16="http://schemas.microsoft.com/office/drawing/2014/main" xmlns="" id="{00000000-0008-0000-0000-00004911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426" name="Line 546">
          <a:extLst>
            <a:ext uri="{FF2B5EF4-FFF2-40B4-BE49-F238E27FC236}">
              <a16:creationId xmlns:a16="http://schemas.microsoft.com/office/drawing/2014/main" xmlns="" id="{00000000-0008-0000-0000-00004A11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429" name="Line 549">
          <a:extLst>
            <a:ext uri="{FF2B5EF4-FFF2-40B4-BE49-F238E27FC236}">
              <a16:creationId xmlns:a16="http://schemas.microsoft.com/office/drawing/2014/main" xmlns="" id="{00000000-0008-0000-0000-00004D11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430" name="Line 550">
          <a:extLst>
            <a:ext uri="{FF2B5EF4-FFF2-40B4-BE49-F238E27FC236}">
              <a16:creationId xmlns:a16="http://schemas.microsoft.com/office/drawing/2014/main" xmlns="" id="{00000000-0008-0000-0000-00004E11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433" name="Line 553">
          <a:extLst>
            <a:ext uri="{FF2B5EF4-FFF2-40B4-BE49-F238E27FC236}">
              <a16:creationId xmlns:a16="http://schemas.microsoft.com/office/drawing/2014/main" xmlns="" id="{00000000-0008-0000-0000-000051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434" name="Line 554">
          <a:extLst>
            <a:ext uri="{FF2B5EF4-FFF2-40B4-BE49-F238E27FC236}">
              <a16:creationId xmlns:a16="http://schemas.microsoft.com/office/drawing/2014/main" xmlns="" id="{00000000-0008-0000-0000-000052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437" name="Line 557">
          <a:extLst>
            <a:ext uri="{FF2B5EF4-FFF2-40B4-BE49-F238E27FC236}">
              <a16:creationId xmlns:a16="http://schemas.microsoft.com/office/drawing/2014/main" xmlns="" id="{00000000-0008-0000-0000-000055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438" name="Line 558">
          <a:extLst>
            <a:ext uri="{FF2B5EF4-FFF2-40B4-BE49-F238E27FC236}">
              <a16:creationId xmlns:a16="http://schemas.microsoft.com/office/drawing/2014/main" xmlns="" id="{00000000-0008-0000-0000-000056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441" name="Line 561">
          <a:extLst>
            <a:ext uri="{FF2B5EF4-FFF2-40B4-BE49-F238E27FC236}">
              <a16:creationId xmlns:a16="http://schemas.microsoft.com/office/drawing/2014/main" xmlns="" id="{00000000-0008-0000-0000-000059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442" name="Line 562">
          <a:extLst>
            <a:ext uri="{FF2B5EF4-FFF2-40B4-BE49-F238E27FC236}">
              <a16:creationId xmlns:a16="http://schemas.microsoft.com/office/drawing/2014/main" xmlns="" id="{00000000-0008-0000-0000-00005A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4445" name="Line 565">
          <a:extLst>
            <a:ext uri="{FF2B5EF4-FFF2-40B4-BE49-F238E27FC236}">
              <a16:creationId xmlns:a16="http://schemas.microsoft.com/office/drawing/2014/main" xmlns="" id="{00000000-0008-0000-0000-00005D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4446" name="Line 566">
          <a:extLst>
            <a:ext uri="{FF2B5EF4-FFF2-40B4-BE49-F238E27FC236}">
              <a16:creationId xmlns:a16="http://schemas.microsoft.com/office/drawing/2014/main" xmlns="" id="{00000000-0008-0000-0000-00005E110000}"/>
            </a:ext>
          </a:extLst>
        </xdr:cNvPr>
        <xdr:cNvSpPr>
          <a:spLocks noChangeShapeType="1"/>
        </xdr:cNvSpPr>
      </xdr:nvSpPr>
      <xdr:spPr bwMode="auto">
        <a:xfrm flipH="1">
          <a:off x="153904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49" name="Line 569">
          <a:extLst>
            <a:ext uri="{FF2B5EF4-FFF2-40B4-BE49-F238E27FC236}">
              <a16:creationId xmlns:a16="http://schemas.microsoft.com/office/drawing/2014/main" xmlns="" id="{00000000-0008-0000-0000-000061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50" name="Line 570">
          <a:extLst>
            <a:ext uri="{FF2B5EF4-FFF2-40B4-BE49-F238E27FC236}">
              <a16:creationId xmlns:a16="http://schemas.microsoft.com/office/drawing/2014/main" xmlns="" id="{00000000-0008-0000-0000-000062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53" name="Line 573">
          <a:extLst>
            <a:ext uri="{FF2B5EF4-FFF2-40B4-BE49-F238E27FC236}">
              <a16:creationId xmlns:a16="http://schemas.microsoft.com/office/drawing/2014/main" xmlns="" id="{00000000-0008-0000-0000-000065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54" name="Line 574">
          <a:extLst>
            <a:ext uri="{FF2B5EF4-FFF2-40B4-BE49-F238E27FC236}">
              <a16:creationId xmlns:a16="http://schemas.microsoft.com/office/drawing/2014/main" xmlns="" id="{00000000-0008-0000-0000-000066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57" name="Line 577">
          <a:extLst>
            <a:ext uri="{FF2B5EF4-FFF2-40B4-BE49-F238E27FC236}">
              <a16:creationId xmlns:a16="http://schemas.microsoft.com/office/drawing/2014/main" xmlns="" id="{00000000-0008-0000-0000-000069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58" name="Line 578">
          <a:extLst>
            <a:ext uri="{FF2B5EF4-FFF2-40B4-BE49-F238E27FC236}">
              <a16:creationId xmlns:a16="http://schemas.microsoft.com/office/drawing/2014/main" xmlns="" id="{00000000-0008-0000-0000-00006A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61" name="Line 581">
          <a:extLst>
            <a:ext uri="{FF2B5EF4-FFF2-40B4-BE49-F238E27FC236}">
              <a16:creationId xmlns:a16="http://schemas.microsoft.com/office/drawing/2014/main" xmlns="" id="{00000000-0008-0000-0000-00006D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62" name="Line 582">
          <a:extLst>
            <a:ext uri="{FF2B5EF4-FFF2-40B4-BE49-F238E27FC236}">
              <a16:creationId xmlns:a16="http://schemas.microsoft.com/office/drawing/2014/main" xmlns="" id="{00000000-0008-0000-0000-00006E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65" name="Line 585">
          <a:extLst>
            <a:ext uri="{FF2B5EF4-FFF2-40B4-BE49-F238E27FC236}">
              <a16:creationId xmlns:a16="http://schemas.microsoft.com/office/drawing/2014/main" xmlns="" id="{00000000-0008-0000-0000-000071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66" name="Line 586">
          <a:extLst>
            <a:ext uri="{FF2B5EF4-FFF2-40B4-BE49-F238E27FC236}">
              <a16:creationId xmlns:a16="http://schemas.microsoft.com/office/drawing/2014/main" xmlns="" id="{00000000-0008-0000-0000-000072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69" name="Line 589">
          <a:extLst>
            <a:ext uri="{FF2B5EF4-FFF2-40B4-BE49-F238E27FC236}">
              <a16:creationId xmlns:a16="http://schemas.microsoft.com/office/drawing/2014/main" xmlns="" id="{00000000-0008-0000-0000-000075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70" name="Line 590">
          <a:extLst>
            <a:ext uri="{FF2B5EF4-FFF2-40B4-BE49-F238E27FC236}">
              <a16:creationId xmlns:a16="http://schemas.microsoft.com/office/drawing/2014/main" xmlns="" id="{00000000-0008-0000-0000-000076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4473" name="Line 593">
          <a:extLst>
            <a:ext uri="{FF2B5EF4-FFF2-40B4-BE49-F238E27FC236}">
              <a16:creationId xmlns:a16="http://schemas.microsoft.com/office/drawing/2014/main" xmlns="" id="{00000000-0008-0000-0000-000079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4474" name="Line 594">
          <a:extLst>
            <a:ext uri="{FF2B5EF4-FFF2-40B4-BE49-F238E27FC236}">
              <a16:creationId xmlns:a16="http://schemas.microsoft.com/office/drawing/2014/main" xmlns="" id="{00000000-0008-0000-0000-00007A110000}"/>
            </a:ext>
          </a:extLst>
        </xdr:cNvPr>
        <xdr:cNvSpPr>
          <a:spLocks noChangeShapeType="1"/>
        </xdr:cNvSpPr>
      </xdr:nvSpPr>
      <xdr:spPr bwMode="auto">
        <a:xfrm flipH="1">
          <a:off x="149666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77" name="Line 597">
          <a:extLst>
            <a:ext uri="{FF2B5EF4-FFF2-40B4-BE49-F238E27FC236}">
              <a16:creationId xmlns:a16="http://schemas.microsoft.com/office/drawing/2014/main" xmlns="" id="{00000000-0008-0000-0000-00007D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78" name="Line 598">
          <a:extLst>
            <a:ext uri="{FF2B5EF4-FFF2-40B4-BE49-F238E27FC236}">
              <a16:creationId xmlns:a16="http://schemas.microsoft.com/office/drawing/2014/main" xmlns="" id="{00000000-0008-0000-0000-00007E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81" name="Line 601">
          <a:extLst>
            <a:ext uri="{FF2B5EF4-FFF2-40B4-BE49-F238E27FC236}">
              <a16:creationId xmlns:a16="http://schemas.microsoft.com/office/drawing/2014/main" xmlns="" id="{00000000-0008-0000-0000-000081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82" name="Line 602">
          <a:extLst>
            <a:ext uri="{FF2B5EF4-FFF2-40B4-BE49-F238E27FC236}">
              <a16:creationId xmlns:a16="http://schemas.microsoft.com/office/drawing/2014/main" xmlns="" id="{00000000-0008-0000-0000-000082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85" name="Line 605">
          <a:extLst>
            <a:ext uri="{FF2B5EF4-FFF2-40B4-BE49-F238E27FC236}">
              <a16:creationId xmlns:a16="http://schemas.microsoft.com/office/drawing/2014/main" xmlns="" id="{00000000-0008-0000-0000-000085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86" name="Line 606">
          <a:extLst>
            <a:ext uri="{FF2B5EF4-FFF2-40B4-BE49-F238E27FC236}">
              <a16:creationId xmlns:a16="http://schemas.microsoft.com/office/drawing/2014/main" xmlns="" id="{00000000-0008-0000-0000-000086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89" name="Line 609">
          <a:extLst>
            <a:ext uri="{FF2B5EF4-FFF2-40B4-BE49-F238E27FC236}">
              <a16:creationId xmlns:a16="http://schemas.microsoft.com/office/drawing/2014/main" xmlns="" id="{00000000-0008-0000-0000-000089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90" name="Line 610">
          <a:extLst>
            <a:ext uri="{FF2B5EF4-FFF2-40B4-BE49-F238E27FC236}">
              <a16:creationId xmlns:a16="http://schemas.microsoft.com/office/drawing/2014/main" xmlns="" id="{00000000-0008-0000-0000-00008A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93" name="Line 613">
          <a:extLst>
            <a:ext uri="{FF2B5EF4-FFF2-40B4-BE49-F238E27FC236}">
              <a16:creationId xmlns:a16="http://schemas.microsoft.com/office/drawing/2014/main" xmlns="" id="{00000000-0008-0000-0000-00008D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94" name="Line 614">
          <a:extLst>
            <a:ext uri="{FF2B5EF4-FFF2-40B4-BE49-F238E27FC236}">
              <a16:creationId xmlns:a16="http://schemas.microsoft.com/office/drawing/2014/main" xmlns="" id="{00000000-0008-0000-0000-00008E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497" name="Line 617">
          <a:extLst>
            <a:ext uri="{FF2B5EF4-FFF2-40B4-BE49-F238E27FC236}">
              <a16:creationId xmlns:a16="http://schemas.microsoft.com/office/drawing/2014/main" xmlns="" id="{00000000-0008-0000-0000-000091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498" name="Line 618">
          <a:extLst>
            <a:ext uri="{FF2B5EF4-FFF2-40B4-BE49-F238E27FC236}">
              <a16:creationId xmlns:a16="http://schemas.microsoft.com/office/drawing/2014/main" xmlns="" id="{00000000-0008-0000-0000-000092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4501" name="Line 621">
          <a:extLst>
            <a:ext uri="{FF2B5EF4-FFF2-40B4-BE49-F238E27FC236}">
              <a16:creationId xmlns:a16="http://schemas.microsoft.com/office/drawing/2014/main" xmlns="" id="{00000000-0008-0000-0000-000095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4502" name="Line 622">
          <a:extLst>
            <a:ext uri="{FF2B5EF4-FFF2-40B4-BE49-F238E27FC236}">
              <a16:creationId xmlns:a16="http://schemas.microsoft.com/office/drawing/2014/main" xmlns="" id="{00000000-0008-0000-0000-000096110000}"/>
            </a:ext>
          </a:extLst>
        </xdr:cNvPr>
        <xdr:cNvSpPr>
          <a:spLocks noChangeShapeType="1"/>
        </xdr:cNvSpPr>
      </xdr:nvSpPr>
      <xdr:spPr bwMode="auto">
        <a:xfrm flipH="1">
          <a:off x="1454277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05" name="Line 625">
          <a:extLst>
            <a:ext uri="{FF2B5EF4-FFF2-40B4-BE49-F238E27FC236}">
              <a16:creationId xmlns:a16="http://schemas.microsoft.com/office/drawing/2014/main" xmlns="" id="{00000000-0008-0000-0000-000099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06" name="Line 626">
          <a:extLst>
            <a:ext uri="{FF2B5EF4-FFF2-40B4-BE49-F238E27FC236}">
              <a16:creationId xmlns:a16="http://schemas.microsoft.com/office/drawing/2014/main" xmlns="" id="{00000000-0008-0000-0000-00009A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09" name="Line 629">
          <a:extLst>
            <a:ext uri="{FF2B5EF4-FFF2-40B4-BE49-F238E27FC236}">
              <a16:creationId xmlns:a16="http://schemas.microsoft.com/office/drawing/2014/main" xmlns="" id="{00000000-0008-0000-0000-00009D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10" name="Line 630">
          <a:extLst>
            <a:ext uri="{FF2B5EF4-FFF2-40B4-BE49-F238E27FC236}">
              <a16:creationId xmlns:a16="http://schemas.microsoft.com/office/drawing/2014/main" xmlns="" id="{00000000-0008-0000-0000-00009E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13" name="Line 633">
          <a:extLst>
            <a:ext uri="{FF2B5EF4-FFF2-40B4-BE49-F238E27FC236}">
              <a16:creationId xmlns:a16="http://schemas.microsoft.com/office/drawing/2014/main" xmlns="" id="{00000000-0008-0000-0000-0000A1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14" name="Line 634">
          <a:extLst>
            <a:ext uri="{FF2B5EF4-FFF2-40B4-BE49-F238E27FC236}">
              <a16:creationId xmlns:a16="http://schemas.microsoft.com/office/drawing/2014/main" xmlns="" id="{00000000-0008-0000-0000-0000A2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17" name="Line 637">
          <a:extLst>
            <a:ext uri="{FF2B5EF4-FFF2-40B4-BE49-F238E27FC236}">
              <a16:creationId xmlns:a16="http://schemas.microsoft.com/office/drawing/2014/main" xmlns="" id="{00000000-0008-0000-0000-0000A5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18" name="Line 638">
          <a:extLst>
            <a:ext uri="{FF2B5EF4-FFF2-40B4-BE49-F238E27FC236}">
              <a16:creationId xmlns:a16="http://schemas.microsoft.com/office/drawing/2014/main" xmlns="" id="{00000000-0008-0000-0000-0000A6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21" name="Line 641">
          <a:extLst>
            <a:ext uri="{FF2B5EF4-FFF2-40B4-BE49-F238E27FC236}">
              <a16:creationId xmlns:a16="http://schemas.microsoft.com/office/drawing/2014/main" xmlns="" id="{00000000-0008-0000-0000-0000A9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22" name="Line 642">
          <a:extLst>
            <a:ext uri="{FF2B5EF4-FFF2-40B4-BE49-F238E27FC236}">
              <a16:creationId xmlns:a16="http://schemas.microsoft.com/office/drawing/2014/main" xmlns="" id="{00000000-0008-0000-0000-0000AA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25" name="Line 645">
          <a:extLst>
            <a:ext uri="{FF2B5EF4-FFF2-40B4-BE49-F238E27FC236}">
              <a16:creationId xmlns:a16="http://schemas.microsoft.com/office/drawing/2014/main" xmlns="" id="{00000000-0008-0000-0000-0000AD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26" name="Line 646">
          <a:extLst>
            <a:ext uri="{FF2B5EF4-FFF2-40B4-BE49-F238E27FC236}">
              <a16:creationId xmlns:a16="http://schemas.microsoft.com/office/drawing/2014/main" xmlns="" id="{00000000-0008-0000-0000-0000AE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4529" name="Line 649">
          <a:extLst>
            <a:ext uri="{FF2B5EF4-FFF2-40B4-BE49-F238E27FC236}">
              <a16:creationId xmlns:a16="http://schemas.microsoft.com/office/drawing/2014/main" xmlns="" id="{00000000-0008-0000-0000-0000B1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4530" name="Line 650">
          <a:extLst>
            <a:ext uri="{FF2B5EF4-FFF2-40B4-BE49-F238E27FC236}">
              <a16:creationId xmlns:a16="http://schemas.microsoft.com/office/drawing/2014/main" xmlns="" id="{00000000-0008-0000-0000-0000B2110000}"/>
            </a:ext>
          </a:extLst>
        </xdr:cNvPr>
        <xdr:cNvSpPr>
          <a:spLocks noChangeShapeType="1"/>
        </xdr:cNvSpPr>
      </xdr:nvSpPr>
      <xdr:spPr bwMode="auto">
        <a:xfrm flipH="1">
          <a:off x="1411890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33" name="Line 653">
          <a:extLst>
            <a:ext uri="{FF2B5EF4-FFF2-40B4-BE49-F238E27FC236}">
              <a16:creationId xmlns:a16="http://schemas.microsoft.com/office/drawing/2014/main" xmlns="" id="{00000000-0008-0000-0000-0000B5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34" name="Line 654">
          <a:extLst>
            <a:ext uri="{FF2B5EF4-FFF2-40B4-BE49-F238E27FC236}">
              <a16:creationId xmlns:a16="http://schemas.microsoft.com/office/drawing/2014/main" xmlns="" id="{00000000-0008-0000-0000-0000B6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37" name="Line 657">
          <a:extLst>
            <a:ext uri="{FF2B5EF4-FFF2-40B4-BE49-F238E27FC236}">
              <a16:creationId xmlns:a16="http://schemas.microsoft.com/office/drawing/2014/main" xmlns="" id="{00000000-0008-0000-0000-0000B9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38" name="Line 658">
          <a:extLst>
            <a:ext uri="{FF2B5EF4-FFF2-40B4-BE49-F238E27FC236}">
              <a16:creationId xmlns:a16="http://schemas.microsoft.com/office/drawing/2014/main" xmlns="" id="{00000000-0008-0000-0000-0000BA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41" name="Line 661">
          <a:extLst>
            <a:ext uri="{FF2B5EF4-FFF2-40B4-BE49-F238E27FC236}">
              <a16:creationId xmlns:a16="http://schemas.microsoft.com/office/drawing/2014/main" xmlns="" id="{00000000-0008-0000-0000-0000BD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42" name="Line 662">
          <a:extLst>
            <a:ext uri="{FF2B5EF4-FFF2-40B4-BE49-F238E27FC236}">
              <a16:creationId xmlns:a16="http://schemas.microsoft.com/office/drawing/2014/main" xmlns="" id="{00000000-0008-0000-0000-0000BE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45" name="Line 665">
          <a:extLst>
            <a:ext uri="{FF2B5EF4-FFF2-40B4-BE49-F238E27FC236}">
              <a16:creationId xmlns:a16="http://schemas.microsoft.com/office/drawing/2014/main" xmlns="" id="{00000000-0008-0000-0000-0000C1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46" name="Line 666">
          <a:extLst>
            <a:ext uri="{FF2B5EF4-FFF2-40B4-BE49-F238E27FC236}">
              <a16:creationId xmlns:a16="http://schemas.microsoft.com/office/drawing/2014/main" xmlns="" id="{00000000-0008-0000-0000-0000C2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49" name="Line 669">
          <a:extLst>
            <a:ext uri="{FF2B5EF4-FFF2-40B4-BE49-F238E27FC236}">
              <a16:creationId xmlns:a16="http://schemas.microsoft.com/office/drawing/2014/main" xmlns="" id="{00000000-0008-0000-0000-0000C5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50" name="Line 670">
          <a:extLst>
            <a:ext uri="{FF2B5EF4-FFF2-40B4-BE49-F238E27FC236}">
              <a16:creationId xmlns:a16="http://schemas.microsoft.com/office/drawing/2014/main" xmlns="" id="{00000000-0008-0000-0000-0000C6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53" name="Line 673">
          <a:extLst>
            <a:ext uri="{FF2B5EF4-FFF2-40B4-BE49-F238E27FC236}">
              <a16:creationId xmlns:a16="http://schemas.microsoft.com/office/drawing/2014/main" xmlns="" id="{00000000-0008-0000-0000-0000C9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54" name="Line 674">
          <a:extLst>
            <a:ext uri="{FF2B5EF4-FFF2-40B4-BE49-F238E27FC236}">
              <a16:creationId xmlns:a16="http://schemas.microsoft.com/office/drawing/2014/main" xmlns="" id="{00000000-0008-0000-0000-0000CA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4557" name="Line 677">
          <a:extLst>
            <a:ext uri="{FF2B5EF4-FFF2-40B4-BE49-F238E27FC236}">
              <a16:creationId xmlns:a16="http://schemas.microsoft.com/office/drawing/2014/main" xmlns="" id="{00000000-0008-0000-0000-0000CD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4558" name="Line 678">
          <a:extLst>
            <a:ext uri="{FF2B5EF4-FFF2-40B4-BE49-F238E27FC236}">
              <a16:creationId xmlns:a16="http://schemas.microsoft.com/office/drawing/2014/main" xmlns="" id="{00000000-0008-0000-0000-0000CE110000}"/>
            </a:ext>
          </a:extLst>
        </xdr:cNvPr>
        <xdr:cNvSpPr>
          <a:spLocks noChangeShapeType="1"/>
        </xdr:cNvSpPr>
      </xdr:nvSpPr>
      <xdr:spPr bwMode="auto">
        <a:xfrm flipH="1">
          <a:off x="1369504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61" name="Line 681">
          <a:extLst>
            <a:ext uri="{FF2B5EF4-FFF2-40B4-BE49-F238E27FC236}">
              <a16:creationId xmlns:a16="http://schemas.microsoft.com/office/drawing/2014/main" xmlns="" id="{00000000-0008-0000-0000-0000D1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62" name="Line 682">
          <a:extLst>
            <a:ext uri="{FF2B5EF4-FFF2-40B4-BE49-F238E27FC236}">
              <a16:creationId xmlns:a16="http://schemas.microsoft.com/office/drawing/2014/main" xmlns="" id="{00000000-0008-0000-0000-0000D2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65" name="Line 685">
          <a:extLst>
            <a:ext uri="{FF2B5EF4-FFF2-40B4-BE49-F238E27FC236}">
              <a16:creationId xmlns:a16="http://schemas.microsoft.com/office/drawing/2014/main" xmlns="" id="{00000000-0008-0000-0000-0000D5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66" name="Line 686">
          <a:extLst>
            <a:ext uri="{FF2B5EF4-FFF2-40B4-BE49-F238E27FC236}">
              <a16:creationId xmlns:a16="http://schemas.microsoft.com/office/drawing/2014/main" xmlns="" id="{00000000-0008-0000-0000-0000D6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69" name="Line 689">
          <a:extLst>
            <a:ext uri="{FF2B5EF4-FFF2-40B4-BE49-F238E27FC236}">
              <a16:creationId xmlns:a16="http://schemas.microsoft.com/office/drawing/2014/main" xmlns="" id="{00000000-0008-0000-0000-0000D9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70" name="Line 690">
          <a:extLst>
            <a:ext uri="{FF2B5EF4-FFF2-40B4-BE49-F238E27FC236}">
              <a16:creationId xmlns:a16="http://schemas.microsoft.com/office/drawing/2014/main" xmlns="" id="{00000000-0008-0000-0000-0000DA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73" name="Line 693">
          <a:extLst>
            <a:ext uri="{FF2B5EF4-FFF2-40B4-BE49-F238E27FC236}">
              <a16:creationId xmlns:a16="http://schemas.microsoft.com/office/drawing/2014/main" xmlns="" id="{00000000-0008-0000-0000-0000DD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74" name="Line 694">
          <a:extLst>
            <a:ext uri="{FF2B5EF4-FFF2-40B4-BE49-F238E27FC236}">
              <a16:creationId xmlns:a16="http://schemas.microsoft.com/office/drawing/2014/main" xmlns="" id="{00000000-0008-0000-0000-0000DE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77" name="Line 697">
          <a:extLst>
            <a:ext uri="{FF2B5EF4-FFF2-40B4-BE49-F238E27FC236}">
              <a16:creationId xmlns:a16="http://schemas.microsoft.com/office/drawing/2014/main" xmlns="" id="{00000000-0008-0000-0000-0000E1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78" name="Line 698">
          <a:extLst>
            <a:ext uri="{FF2B5EF4-FFF2-40B4-BE49-F238E27FC236}">
              <a16:creationId xmlns:a16="http://schemas.microsoft.com/office/drawing/2014/main" xmlns="" id="{00000000-0008-0000-0000-0000E2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81" name="Line 701">
          <a:extLst>
            <a:ext uri="{FF2B5EF4-FFF2-40B4-BE49-F238E27FC236}">
              <a16:creationId xmlns:a16="http://schemas.microsoft.com/office/drawing/2014/main" xmlns="" id="{00000000-0008-0000-0000-0000E5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82" name="Line 702">
          <a:extLst>
            <a:ext uri="{FF2B5EF4-FFF2-40B4-BE49-F238E27FC236}">
              <a16:creationId xmlns:a16="http://schemas.microsoft.com/office/drawing/2014/main" xmlns="" id="{00000000-0008-0000-0000-0000E6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4585" name="Line 705">
          <a:extLst>
            <a:ext uri="{FF2B5EF4-FFF2-40B4-BE49-F238E27FC236}">
              <a16:creationId xmlns:a16="http://schemas.microsoft.com/office/drawing/2014/main" xmlns="" id="{00000000-0008-0000-0000-0000E9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4586" name="Line 706">
          <a:extLst>
            <a:ext uri="{FF2B5EF4-FFF2-40B4-BE49-F238E27FC236}">
              <a16:creationId xmlns:a16="http://schemas.microsoft.com/office/drawing/2014/main" xmlns="" id="{00000000-0008-0000-0000-0000EA110000}"/>
            </a:ext>
          </a:extLst>
        </xdr:cNvPr>
        <xdr:cNvSpPr>
          <a:spLocks noChangeShapeType="1"/>
        </xdr:cNvSpPr>
      </xdr:nvSpPr>
      <xdr:spPr bwMode="auto">
        <a:xfrm flipH="1">
          <a:off x="1327118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589" name="Line 709">
          <a:extLst>
            <a:ext uri="{FF2B5EF4-FFF2-40B4-BE49-F238E27FC236}">
              <a16:creationId xmlns:a16="http://schemas.microsoft.com/office/drawing/2014/main" xmlns="" id="{00000000-0008-0000-0000-0000ED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590" name="Line 710">
          <a:extLst>
            <a:ext uri="{FF2B5EF4-FFF2-40B4-BE49-F238E27FC236}">
              <a16:creationId xmlns:a16="http://schemas.microsoft.com/office/drawing/2014/main" xmlns="" id="{00000000-0008-0000-0000-0000EE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593" name="Line 713">
          <a:extLst>
            <a:ext uri="{FF2B5EF4-FFF2-40B4-BE49-F238E27FC236}">
              <a16:creationId xmlns:a16="http://schemas.microsoft.com/office/drawing/2014/main" xmlns="" id="{00000000-0008-0000-0000-0000F1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594" name="Line 714">
          <a:extLst>
            <a:ext uri="{FF2B5EF4-FFF2-40B4-BE49-F238E27FC236}">
              <a16:creationId xmlns:a16="http://schemas.microsoft.com/office/drawing/2014/main" xmlns="" id="{00000000-0008-0000-0000-0000F2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597" name="Line 717">
          <a:extLst>
            <a:ext uri="{FF2B5EF4-FFF2-40B4-BE49-F238E27FC236}">
              <a16:creationId xmlns:a16="http://schemas.microsoft.com/office/drawing/2014/main" xmlns="" id="{00000000-0008-0000-0000-0000F5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598" name="Line 718">
          <a:extLst>
            <a:ext uri="{FF2B5EF4-FFF2-40B4-BE49-F238E27FC236}">
              <a16:creationId xmlns:a16="http://schemas.microsoft.com/office/drawing/2014/main" xmlns="" id="{00000000-0008-0000-0000-0000F6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601" name="Line 721">
          <a:extLst>
            <a:ext uri="{FF2B5EF4-FFF2-40B4-BE49-F238E27FC236}">
              <a16:creationId xmlns:a16="http://schemas.microsoft.com/office/drawing/2014/main" xmlns="" id="{00000000-0008-0000-0000-0000F9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602" name="Line 722">
          <a:extLst>
            <a:ext uri="{FF2B5EF4-FFF2-40B4-BE49-F238E27FC236}">
              <a16:creationId xmlns:a16="http://schemas.microsoft.com/office/drawing/2014/main" xmlns="" id="{00000000-0008-0000-0000-0000FA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605" name="Line 725">
          <a:extLst>
            <a:ext uri="{FF2B5EF4-FFF2-40B4-BE49-F238E27FC236}">
              <a16:creationId xmlns:a16="http://schemas.microsoft.com/office/drawing/2014/main" xmlns="" id="{00000000-0008-0000-0000-0000FD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606" name="Line 726">
          <a:extLst>
            <a:ext uri="{FF2B5EF4-FFF2-40B4-BE49-F238E27FC236}">
              <a16:creationId xmlns:a16="http://schemas.microsoft.com/office/drawing/2014/main" xmlns="" id="{00000000-0008-0000-0000-0000FE11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609" name="Line 729">
          <a:extLst>
            <a:ext uri="{FF2B5EF4-FFF2-40B4-BE49-F238E27FC236}">
              <a16:creationId xmlns:a16="http://schemas.microsoft.com/office/drawing/2014/main" xmlns="" id="{00000000-0008-0000-0000-00000112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610" name="Line 730">
          <a:extLst>
            <a:ext uri="{FF2B5EF4-FFF2-40B4-BE49-F238E27FC236}">
              <a16:creationId xmlns:a16="http://schemas.microsoft.com/office/drawing/2014/main" xmlns="" id="{00000000-0008-0000-0000-00000212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4613" name="Line 733">
          <a:extLst>
            <a:ext uri="{FF2B5EF4-FFF2-40B4-BE49-F238E27FC236}">
              <a16:creationId xmlns:a16="http://schemas.microsoft.com/office/drawing/2014/main" xmlns="" id="{00000000-0008-0000-0000-000005120000}"/>
            </a:ext>
          </a:extLst>
        </xdr:cNvPr>
        <xdr:cNvSpPr>
          <a:spLocks noChangeShapeType="1"/>
        </xdr:cNvSpPr>
      </xdr:nvSpPr>
      <xdr:spPr bwMode="auto">
        <a:xfrm flipH="1">
          <a:off x="12847320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4614" name="Line 734">
          <a:extLst>
            <a:ext uri="{FF2B5EF4-FFF2-40B4-BE49-F238E27FC236}">
              <a16:creationId xmlns:a16="http://schemas.microsoft.com/office/drawing/2014/main" xmlns="" id="{00000000-0008-0000-0000-000006120000}"/>
            </a:ext>
          </a:extLst>
        </xdr:cNvPr>
        <xdr:cNvSpPr>
          <a:spLocks noChangeShapeType="1"/>
        </xdr:cNvSpPr>
      </xdr:nvSpPr>
      <xdr:spPr bwMode="auto">
        <a:xfrm flipH="1">
          <a:off x="12847320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17" name="Line 737">
          <a:extLst>
            <a:ext uri="{FF2B5EF4-FFF2-40B4-BE49-F238E27FC236}">
              <a16:creationId xmlns:a16="http://schemas.microsoft.com/office/drawing/2014/main" xmlns="" id="{00000000-0008-0000-0000-000009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18" name="Line 738">
          <a:extLst>
            <a:ext uri="{FF2B5EF4-FFF2-40B4-BE49-F238E27FC236}">
              <a16:creationId xmlns:a16="http://schemas.microsoft.com/office/drawing/2014/main" xmlns="" id="{00000000-0008-0000-0000-00000A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21" name="Line 741">
          <a:extLst>
            <a:ext uri="{FF2B5EF4-FFF2-40B4-BE49-F238E27FC236}">
              <a16:creationId xmlns:a16="http://schemas.microsoft.com/office/drawing/2014/main" xmlns="" id="{00000000-0008-0000-0000-00000D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22" name="Line 742">
          <a:extLst>
            <a:ext uri="{FF2B5EF4-FFF2-40B4-BE49-F238E27FC236}">
              <a16:creationId xmlns:a16="http://schemas.microsoft.com/office/drawing/2014/main" xmlns="" id="{00000000-0008-0000-0000-00000E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25" name="Line 745">
          <a:extLst>
            <a:ext uri="{FF2B5EF4-FFF2-40B4-BE49-F238E27FC236}">
              <a16:creationId xmlns:a16="http://schemas.microsoft.com/office/drawing/2014/main" xmlns="" id="{00000000-0008-0000-0000-000011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26" name="Line 746">
          <a:extLst>
            <a:ext uri="{FF2B5EF4-FFF2-40B4-BE49-F238E27FC236}">
              <a16:creationId xmlns:a16="http://schemas.microsoft.com/office/drawing/2014/main" xmlns="" id="{00000000-0008-0000-0000-000012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29" name="Line 749">
          <a:extLst>
            <a:ext uri="{FF2B5EF4-FFF2-40B4-BE49-F238E27FC236}">
              <a16:creationId xmlns:a16="http://schemas.microsoft.com/office/drawing/2014/main" xmlns="" id="{00000000-0008-0000-0000-000015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30" name="Line 750">
          <a:extLst>
            <a:ext uri="{FF2B5EF4-FFF2-40B4-BE49-F238E27FC236}">
              <a16:creationId xmlns:a16="http://schemas.microsoft.com/office/drawing/2014/main" xmlns="" id="{00000000-0008-0000-0000-000016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33" name="Line 753">
          <a:extLst>
            <a:ext uri="{FF2B5EF4-FFF2-40B4-BE49-F238E27FC236}">
              <a16:creationId xmlns:a16="http://schemas.microsoft.com/office/drawing/2014/main" xmlns="" id="{00000000-0008-0000-0000-000019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34" name="Line 754">
          <a:extLst>
            <a:ext uri="{FF2B5EF4-FFF2-40B4-BE49-F238E27FC236}">
              <a16:creationId xmlns:a16="http://schemas.microsoft.com/office/drawing/2014/main" xmlns="" id="{00000000-0008-0000-0000-00001A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37" name="Line 757">
          <a:extLst>
            <a:ext uri="{FF2B5EF4-FFF2-40B4-BE49-F238E27FC236}">
              <a16:creationId xmlns:a16="http://schemas.microsoft.com/office/drawing/2014/main" xmlns="" id="{00000000-0008-0000-0000-00001D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38" name="Line 758">
          <a:extLst>
            <a:ext uri="{FF2B5EF4-FFF2-40B4-BE49-F238E27FC236}">
              <a16:creationId xmlns:a16="http://schemas.microsoft.com/office/drawing/2014/main" xmlns="" id="{00000000-0008-0000-0000-00001E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4641" name="Line 761">
          <a:extLst>
            <a:ext uri="{FF2B5EF4-FFF2-40B4-BE49-F238E27FC236}">
              <a16:creationId xmlns:a16="http://schemas.microsoft.com/office/drawing/2014/main" xmlns="" id="{00000000-0008-0000-0000-000021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4642" name="Line 762">
          <a:extLst>
            <a:ext uri="{FF2B5EF4-FFF2-40B4-BE49-F238E27FC236}">
              <a16:creationId xmlns:a16="http://schemas.microsoft.com/office/drawing/2014/main" xmlns="" id="{00000000-0008-0000-0000-000022120000}"/>
            </a:ext>
          </a:extLst>
        </xdr:cNvPr>
        <xdr:cNvSpPr>
          <a:spLocks noChangeShapeType="1"/>
        </xdr:cNvSpPr>
      </xdr:nvSpPr>
      <xdr:spPr bwMode="auto">
        <a:xfrm flipH="1">
          <a:off x="12423457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45" name="Line 765">
          <a:extLst>
            <a:ext uri="{FF2B5EF4-FFF2-40B4-BE49-F238E27FC236}">
              <a16:creationId xmlns:a16="http://schemas.microsoft.com/office/drawing/2014/main" xmlns="" id="{00000000-0008-0000-0000-000025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46" name="Line 766">
          <a:extLst>
            <a:ext uri="{FF2B5EF4-FFF2-40B4-BE49-F238E27FC236}">
              <a16:creationId xmlns:a16="http://schemas.microsoft.com/office/drawing/2014/main" xmlns="" id="{00000000-0008-0000-0000-000026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49" name="Line 769">
          <a:extLst>
            <a:ext uri="{FF2B5EF4-FFF2-40B4-BE49-F238E27FC236}">
              <a16:creationId xmlns:a16="http://schemas.microsoft.com/office/drawing/2014/main" xmlns="" id="{00000000-0008-0000-0000-000029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50" name="Line 770">
          <a:extLst>
            <a:ext uri="{FF2B5EF4-FFF2-40B4-BE49-F238E27FC236}">
              <a16:creationId xmlns:a16="http://schemas.microsoft.com/office/drawing/2014/main" xmlns="" id="{00000000-0008-0000-0000-00002A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53" name="Line 773">
          <a:extLst>
            <a:ext uri="{FF2B5EF4-FFF2-40B4-BE49-F238E27FC236}">
              <a16:creationId xmlns:a16="http://schemas.microsoft.com/office/drawing/2014/main" xmlns="" id="{00000000-0008-0000-0000-00002D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54" name="Line 774">
          <a:extLst>
            <a:ext uri="{FF2B5EF4-FFF2-40B4-BE49-F238E27FC236}">
              <a16:creationId xmlns:a16="http://schemas.microsoft.com/office/drawing/2014/main" xmlns="" id="{00000000-0008-0000-0000-00002E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57" name="Line 777">
          <a:extLst>
            <a:ext uri="{FF2B5EF4-FFF2-40B4-BE49-F238E27FC236}">
              <a16:creationId xmlns:a16="http://schemas.microsoft.com/office/drawing/2014/main" xmlns="" id="{00000000-0008-0000-0000-000031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58" name="Line 778">
          <a:extLst>
            <a:ext uri="{FF2B5EF4-FFF2-40B4-BE49-F238E27FC236}">
              <a16:creationId xmlns:a16="http://schemas.microsoft.com/office/drawing/2014/main" xmlns="" id="{00000000-0008-0000-0000-000032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61" name="Line 781">
          <a:extLst>
            <a:ext uri="{FF2B5EF4-FFF2-40B4-BE49-F238E27FC236}">
              <a16:creationId xmlns:a16="http://schemas.microsoft.com/office/drawing/2014/main" xmlns="" id="{00000000-0008-0000-0000-000035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62" name="Line 782">
          <a:extLst>
            <a:ext uri="{FF2B5EF4-FFF2-40B4-BE49-F238E27FC236}">
              <a16:creationId xmlns:a16="http://schemas.microsoft.com/office/drawing/2014/main" xmlns="" id="{00000000-0008-0000-0000-000036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65" name="Line 785">
          <a:extLst>
            <a:ext uri="{FF2B5EF4-FFF2-40B4-BE49-F238E27FC236}">
              <a16:creationId xmlns:a16="http://schemas.microsoft.com/office/drawing/2014/main" xmlns="" id="{00000000-0008-0000-0000-000039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66" name="Line 786">
          <a:extLst>
            <a:ext uri="{FF2B5EF4-FFF2-40B4-BE49-F238E27FC236}">
              <a16:creationId xmlns:a16="http://schemas.microsoft.com/office/drawing/2014/main" xmlns="" id="{00000000-0008-0000-0000-00003A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4669" name="Line 789">
          <a:extLst>
            <a:ext uri="{FF2B5EF4-FFF2-40B4-BE49-F238E27FC236}">
              <a16:creationId xmlns:a16="http://schemas.microsoft.com/office/drawing/2014/main" xmlns="" id="{00000000-0008-0000-0000-00003D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4670" name="Line 790">
          <a:extLst>
            <a:ext uri="{FF2B5EF4-FFF2-40B4-BE49-F238E27FC236}">
              <a16:creationId xmlns:a16="http://schemas.microsoft.com/office/drawing/2014/main" xmlns="" id="{00000000-0008-0000-0000-00003E120000}"/>
            </a:ext>
          </a:extLst>
        </xdr:cNvPr>
        <xdr:cNvSpPr>
          <a:spLocks noChangeShapeType="1"/>
        </xdr:cNvSpPr>
      </xdr:nvSpPr>
      <xdr:spPr bwMode="auto">
        <a:xfrm flipH="1">
          <a:off x="119995950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73" name="Line 793">
          <a:extLst>
            <a:ext uri="{FF2B5EF4-FFF2-40B4-BE49-F238E27FC236}">
              <a16:creationId xmlns:a16="http://schemas.microsoft.com/office/drawing/2014/main" xmlns="" id="{00000000-0008-0000-0000-000041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74" name="Line 794">
          <a:extLst>
            <a:ext uri="{FF2B5EF4-FFF2-40B4-BE49-F238E27FC236}">
              <a16:creationId xmlns:a16="http://schemas.microsoft.com/office/drawing/2014/main" xmlns="" id="{00000000-0008-0000-0000-000042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77" name="Line 797">
          <a:extLst>
            <a:ext uri="{FF2B5EF4-FFF2-40B4-BE49-F238E27FC236}">
              <a16:creationId xmlns:a16="http://schemas.microsoft.com/office/drawing/2014/main" xmlns="" id="{00000000-0008-0000-0000-000045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78" name="Line 798">
          <a:extLst>
            <a:ext uri="{FF2B5EF4-FFF2-40B4-BE49-F238E27FC236}">
              <a16:creationId xmlns:a16="http://schemas.microsoft.com/office/drawing/2014/main" xmlns="" id="{00000000-0008-0000-0000-000046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81" name="Line 801">
          <a:extLst>
            <a:ext uri="{FF2B5EF4-FFF2-40B4-BE49-F238E27FC236}">
              <a16:creationId xmlns:a16="http://schemas.microsoft.com/office/drawing/2014/main" xmlns="" id="{00000000-0008-0000-0000-000049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82" name="Line 802">
          <a:extLst>
            <a:ext uri="{FF2B5EF4-FFF2-40B4-BE49-F238E27FC236}">
              <a16:creationId xmlns:a16="http://schemas.microsoft.com/office/drawing/2014/main" xmlns="" id="{00000000-0008-0000-0000-00004A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85" name="Line 805">
          <a:extLst>
            <a:ext uri="{FF2B5EF4-FFF2-40B4-BE49-F238E27FC236}">
              <a16:creationId xmlns:a16="http://schemas.microsoft.com/office/drawing/2014/main" xmlns="" id="{00000000-0008-0000-0000-00004D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86" name="Line 806">
          <a:extLst>
            <a:ext uri="{FF2B5EF4-FFF2-40B4-BE49-F238E27FC236}">
              <a16:creationId xmlns:a16="http://schemas.microsoft.com/office/drawing/2014/main" xmlns="" id="{00000000-0008-0000-0000-00004E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89" name="Line 809">
          <a:extLst>
            <a:ext uri="{FF2B5EF4-FFF2-40B4-BE49-F238E27FC236}">
              <a16:creationId xmlns:a16="http://schemas.microsoft.com/office/drawing/2014/main" xmlns="" id="{00000000-0008-0000-0000-000051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90" name="Line 810">
          <a:extLst>
            <a:ext uri="{FF2B5EF4-FFF2-40B4-BE49-F238E27FC236}">
              <a16:creationId xmlns:a16="http://schemas.microsoft.com/office/drawing/2014/main" xmlns="" id="{00000000-0008-0000-0000-000052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93" name="Line 813">
          <a:extLst>
            <a:ext uri="{FF2B5EF4-FFF2-40B4-BE49-F238E27FC236}">
              <a16:creationId xmlns:a16="http://schemas.microsoft.com/office/drawing/2014/main" xmlns="" id="{00000000-0008-0000-0000-000055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94" name="Line 814">
          <a:extLst>
            <a:ext uri="{FF2B5EF4-FFF2-40B4-BE49-F238E27FC236}">
              <a16:creationId xmlns:a16="http://schemas.microsoft.com/office/drawing/2014/main" xmlns="" id="{00000000-0008-0000-0000-000056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4697" name="Line 817">
          <a:extLst>
            <a:ext uri="{FF2B5EF4-FFF2-40B4-BE49-F238E27FC236}">
              <a16:creationId xmlns:a16="http://schemas.microsoft.com/office/drawing/2014/main" xmlns="" id="{00000000-0008-0000-0000-000059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325"/>
          <a:ext cx="127635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4698" name="Line 818">
          <a:extLst>
            <a:ext uri="{FF2B5EF4-FFF2-40B4-BE49-F238E27FC236}">
              <a16:creationId xmlns:a16="http://schemas.microsoft.com/office/drawing/2014/main" xmlns="" id="{00000000-0008-0000-0000-00005A120000}"/>
            </a:ext>
          </a:extLst>
        </xdr:cNvPr>
        <xdr:cNvSpPr>
          <a:spLocks noChangeShapeType="1"/>
        </xdr:cNvSpPr>
      </xdr:nvSpPr>
      <xdr:spPr bwMode="auto">
        <a:xfrm flipH="1">
          <a:off x="115757325" y="69513450"/>
          <a:ext cx="127635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810" name="Line 1">
          <a:extLst>
            <a:ext uri="{FF2B5EF4-FFF2-40B4-BE49-F238E27FC236}">
              <a16:creationId xmlns:a16="http://schemas.microsoft.com/office/drawing/2014/main" xmlns="" id="{00000000-0008-0000-0000-00002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811" name="Line 2">
          <a:extLst>
            <a:ext uri="{FF2B5EF4-FFF2-40B4-BE49-F238E27FC236}">
              <a16:creationId xmlns:a16="http://schemas.microsoft.com/office/drawing/2014/main" xmlns="" id="{00000000-0008-0000-0000-00002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3</xdr:row>
      <xdr:rowOff>28575</xdr:rowOff>
    </xdr:from>
    <xdr:to>
      <xdr:col>8</xdr:col>
      <xdr:colOff>609600</xdr:colOff>
      <xdr:row>4</xdr:row>
      <xdr:rowOff>190500</xdr:rowOff>
    </xdr:to>
    <xdr:sp macro="" textlink="">
      <xdr:nvSpPr>
        <xdr:cNvPr id="814" name="Line 417">
          <a:extLst>
            <a:ext uri="{FF2B5EF4-FFF2-40B4-BE49-F238E27FC236}">
              <a16:creationId xmlns:a16="http://schemas.microsoft.com/office/drawing/2014/main" xmlns="" id="{00000000-0008-0000-0000-00002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92</xdr:row>
      <xdr:rowOff>28575</xdr:rowOff>
    </xdr:from>
    <xdr:to>
      <xdr:col>8</xdr:col>
      <xdr:colOff>609600</xdr:colOff>
      <xdr:row>93</xdr:row>
      <xdr:rowOff>190500</xdr:rowOff>
    </xdr:to>
    <xdr:sp macro="" textlink="">
      <xdr:nvSpPr>
        <xdr:cNvPr id="815" name="Line 418">
          <a:extLst>
            <a:ext uri="{FF2B5EF4-FFF2-40B4-BE49-F238E27FC236}">
              <a16:creationId xmlns:a16="http://schemas.microsoft.com/office/drawing/2014/main" xmlns="" id="{00000000-0008-0000-0000-00002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818" name="Line 1">
          <a:extLst>
            <a:ext uri="{FF2B5EF4-FFF2-40B4-BE49-F238E27FC236}">
              <a16:creationId xmlns:a16="http://schemas.microsoft.com/office/drawing/2014/main" xmlns="" id="{00000000-0008-0000-0000-000032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819" name="Line 2">
          <a:extLst>
            <a:ext uri="{FF2B5EF4-FFF2-40B4-BE49-F238E27FC236}">
              <a16:creationId xmlns:a16="http://schemas.microsoft.com/office/drawing/2014/main" xmlns="" id="{00000000-0008-0000-0000-000033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3</xdr:row>
      <xdr:rowOff>28575</xdr:rowOff>
    </xdr:from>
    <xdr:to>
      <xdr:col>14</xdr:col>
      <xdr:colOff>609600</xdr:colOff>
      <xdr:row>4</xdr:row>
      <xdr:rowOff>190500</xdr:rowOff>
    </xdr:to>
    <xdr:sp macro="" textlink="">
      <xdr:nvSpPr>
        <xdr:cNvPr id="822" name="Line 417">
          <a:extLst>
            <a:ext uri="{FF2B5EF4-FFF2-40B4-BE49-F238E27FC236}">
              <a16:creationId xmlns:a16="http://schemas.microsoft.com/office/drawing/2014/main" xmlns="" id="{00000000-0008-0000-0000-000036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92</xdr:row>
      <xdr:rowOff>28575</xdr:rowOff>
    </xdr:from>
    <xdr:to>
      <xdr:col>14</xdr:col>
      <xdr:colOff>609600</xdr:colOff>
      <xdr:row>93</xdr:row>
      <xdr:rowOff>190500</xdr:rowOff>
    </xdr:to>
    <xdr:sp macro="" textlink="">
      <xdr:nvSpPr>
        <xdr:cNvPr id="823" name="Line 418">
          <a:extLst>
            <a:ext uri="{FF2B5EF4-FFF2-40B4-BE49-F238E27FC236}">
              <a16:creationId xmlns:a16="http://schemas.microsoft.com/office/drawing/2014/main" xmlns="" id="{00000000-0008-0000-0000-000037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826" name="Line 1">
          <a:extLst>
            <a:ext uri="{FF2B5EF4-FFF2-40B4-BE49-F238E27FC236}">
              <a16:creationId xmlns:a16="http://schemas.microsoft.com/office/drawing/2014/main" xmlns="" id="{00000000-0008-0000-0000-00003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827" name="Line 2">
          <a:extLst>
            <a:ext uri="{FF2B5EF4-FFF2-40B4-BE49-F238E27FC236}">
              <a16:creationId xmlns:a16="http://schemas.microsoft.com/office/drawing/2014/main" xmlns="" id="{00000000-0008-0000-0000-00003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3</xdr:row>
      <xdr:rowOff>28575</xdr:rowOff>
    </xdr:from>
    <xdr:to>
      <xdr:col>20</xdr:col>
      <xdr:colOff>609600</xdr:colOff>
      <xdr:row>4</xdr:row>
      <xdr:rowOff>190500</xdr:rowOff>
    </xdr:to>
    <xdr:sp macro="" textlink="">
      <xdr:nvSpPr>
        <xdr:cNvPr id="830" name="Line 417">
          <a:extLst>
            <a:ext uri="{FF2B5EF4-FFF2-40B4-BE49-F238E27FC236}">
              <a16:creationId xmlns:a16="http://schemas.microsoft.com/office/drawing/2014/main" xmlns="" id="{00000000-0008-0000-0000-00003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92</xdr:row>
      <xdr:rowOff>28575</xdr:rowOff>
    </xdr:from>
    <xdr:to>
      <xdr:col>20</xdr:col>
      <xdr:colOff>609600</xdr:colOff>
      <xdr:row>93</xdr:row>
      <xdr:rowOff>190500</xdr:rowOff>
    </xdr:to>
    <xdr:sp macro="" textlink="">
      <xdr:nvSpPr>
        <xdr:cNvPr id="831" name="Line 418">
          <a:extLst>
            <a:ext uri="{FF2B5EF4-FFF2-40B4-BE49-F238E27FC236}">
              <a16:creationId xmlns:a16="http://schemas.microsoft.com/office/drawing/2014/main" xmlns="" id="{00000000-0008-0000-0000-00003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834" name="Line 1">
          <a:extLst>
            <a:ext uri="{FF2B5EF4-FFF2-40B4-BE49-F238E27FC236}">
              <a16:creationId xmlns:a16="http://schemas.microsoft.com/office/drawing/2014/main" xmlns="" id="{00000000-0008-0000-0000-000042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835" name="Line 2">
          <a:extLst>
            <a:ext uri="{FF2B5EF4-FFF2-40B4-BE49-F238E27FC236}">
              <a16:creationId xmlns:a16="http://schemas.microsoft.com/office/drawing/2014/main" xmlns="" id="{00000000-0008-0000-0000-000043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3</xdr:row>
      <xdr:rowOff>28575</xdr:rowOff>
    </xdr:from>
    <xdr:to>
      <xdr:col>26</xdr:col>
      <xdr:colOff>609600</xdr:colOff>
      <xdr:row>4</xdr:row>
      <xdr:rowOff>190500</xdr:rowOff>
    </xdr:to>
    <xdr:sp macro="" textlink="">
      <xdr:nvSpPr>
        <xdr:cNvPr id="838" name="Line 417">
          <a:extLst>
            <a:ext uri="{FF2B5EF4-FFF2-40B4-BE49-F238E27FC236}">
              <a16:creationId xmlns:a16="http://schemas.microsoft.com/office/drawing/2014/main" xmlns="" id="{00000000-0008-0000-0000-000046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92</xdr:row>
      <xdr:rowOff>28575</xdr:rowOff>
    </xdr:from>
    <xdr:to>
      <xdr:col>26</xdr:col>
      <xdr:colOff>609600</xdr:colOff>
      <xdr:row>93</xdr:row>
      <xdr:rowOff>190500</xdr:rowOff>
    </xdr:to>
    <xdr:sp macro="" textlink="">
      <xdr:nvSpPr>
        <xdr:cNvPr id="839" name="Line 418">
          <a:extLst>
            <a:ext uri="{FF2B5EF4-FFF2-40B4-BE49-F238E27FC236}">
              <a16:creationId xmlns:a16="http://schemas.microsoft.com/office/drawing/2014/main" xmlns="" id="{00000000-0008-0000-0000-000047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842" name="Line 1">
          <a:extLst>
            <a:ext uri="{FF2B5EF4-FFF2-40B4-BE49-F238E27FC236}">
              <a16:creationId xmlns:a16="http://schemas.microsoft.com/office/drawing/2014/main" xmlns="" id="{00000000-0008-0000-0000-00004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843" name="Line 2">
          <a:extLst>
            <a:ext uri="{FF2B5EF4-FFF2-40B4-BE49-F238E27FC236}">
              <a16:creationId xmlns:a16="http://schemas.microsoft.com/office/drawing/2014/main" xmlns="" id="{00000000-0008-0000-0000-00004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3</xdr:row>
      <xdr:rowOff>28575</xdr:rowOff>
    </xdr:from>
    <xdr:to>
      <xdr:col>32</xdr:col>
      <xdr:colOff>609600</xdr:colOff>
      <xdr:row>4</xdr:row>
      <xdr:rowOff>190500</xdr:rowOff>
    </xdr:to>
    <xdr:sp macro="" textlink="">
      <xdr:nvSpPr>
        <xdr:cNvPr id="846" name="Line 417">
          <a:extLst>
            <a:ext uri="{FF2B5EF4-FFF2-40B4-BE49-F238E27FC236}">
              <a16:creationId xmlns:a16="http://schemas.microsoft.com/office/drawing/2014/main" xmlns="" id="{00000000-0008-0000-0000-00004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92</xdr:row>
      <xdr:rowOff>28575</xdr:rowOff>
    </xdr:from>
    <xdr:to>
      <xdr:col>32</xdr:col>
      <xdr:colOff>609600</xdr:colOff>
      <xdr:row>93</xdr:row>
      <xdr:rowOff>190500</xdr:rowOff>
    </xdr:to>
    <xdr:sp macro="" textlink="">
      <xdr:nvSpPr>
        <xdr:cNvPr id="847" name="Line 418">
          <a:extLst>
            <a:ext uri="{FF2B5EF4-FFF2-40B4-BE49-F238E27FC236}">
              <a16:creationId xmlns:a16="http://schemas.microsoft.com/office/drawing/2014/main" xmlns="" id="{00000000-0008-0000-0000-00004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850" name="Line 1">
          <a:extLst>
            <a:ext uri="{FF2B5EF4-FFF2-40B4-BE49-F238E27FC236}">
              <a16:creationId xmlns:a16="http://schemas.microsoft.com/office/drawing/2014/main" xmlns="" id="{00000000-0008-0000-0000-000052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851" name="Line 2">
          <a:extLst>
            <a:ext uri="{FF2B5EF4-FFF2-40B4-BE49-F238E27FC236}">
              <a16:creationId xmlns:a16="http://schemas.microsoft.com/office/drawing/2014/main" xmlns="" id="{00000000-0008-0000-0000-000053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3</xdr:row>
      <xdr:rowOff>28575</xdr:rowOff>
    </xdr:from>
    <xdr:to>
      <xdr:col>38</xdr:col>
      <xdr:colOff>609600</xdr:colOff>
      <xdr:row>4</xdr:row>
      <xdr:rowOff>190500</xdr:rowOff>
    </xdr:to>
    <xdr:sp macro="" textlink="">
      <xdr:nvSpPr>
        <xdr:cNvPr id="854" name="Line 417">
          <a:extLst>
            <a:ext uri="{FF2B5EF4-FFF2-40B4-BE49-F238E27FC236}">
              <a16:creationId xmlns:a16="http://schemas.microsoft.com/office/drawing/2014/main" xmlns="" id="{00000000-0008-0000-0000-000056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92</xdr:row>
      <xdr:rowOff>28575</xdr:rowOff>
    </xdr:from>
    <xdr:to>
      <xdr:col>38</xdr:col>
      <xdr:colOff>609600</xdr:colOff>
      <xdr:row>93</xdr:row>
      <xdr:rowOff>190500</xdr:rowOff>
    </xdr:to>
    <xdr:sp macro="" textlink="">
      <xdr:nvSpPr>
        <xdr:cNvPr id="855" name="Line 418">
          <a:extLst>
            <a:ext uri="{FF2B5EF4-FFF2-40B4-BE49-F238E27FC236}">
              <a16:creationId xmlns:a16="http://schemas.microsoft.com/office/drawing/2014/main" xmlns="" id="{00000000-0008-0000-0000-000057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858" name="Line 1">
          <a:extLst>
            <a:ext uri="{FF2B5EF4-FFF2-40B4-BE49-F238E27FC236}">
              <a16:creationId xmlns:a16="http://schemas.microsoft.com/office/drawing/2014/main" xmlns="" id="{00000000-0008-0000-0000-00005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859" name="Line 2">
          <a:extLst>
            <a:ext uri="{FF2B5EF4-FFF2-40B4-BE49-F238E27FC236}">
              <a16:creationId xmlns:a16="http://schemas.microsoft.com/office/drawing/2014/main" xmlns="" id="{00000000-0008-0000-0000-00005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3</xdr:row>
      <xdr:rowOff>28575</xdr:rowOff>
    </xdr:from>
    <xdr:to>
      <xdr:col>44</xdr:col>
      <xdr:colOff>609600</xdr:colOff>
      <xdr:row>4</xdr:row>
      <xdr:rowOff>190500</xdr:rowOff>
    </xdr:to>
    <xdr:sp macro="" textlink="">
      <xdr:nvSpPr>
        <xdr:cNvPr id="862" name="Line 417">
          <a:extLst>
            <a:ext uri="{FF2B5EF4-FFF2-40B4-BE49-F238E27FC236}">
              <a16:creationId xmlns:a16="http://schemas.microsoft.com/office/drawing/2014/main" xmlns="" id="{00000000-0008-0000-0000-00005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92</xdr:row>
      <xdr:rowOff>28575</xdr:rowOff>
    </xdr:from>
    <xdr:to>
      <xdr:col>44</xdr:col>
      <xdr:colOff>609600</xdr:colOff>
      <xdr:row>93</xdr:row>
      <xdr:rowOff>190500</xdr:rowOff>
    </xdr:to>
    <xdr:sp macro="" textlink="">
      <xdr:nvSpPr>
        <xdr:cNvPr id="863" name="Line 418">
          <a:extLst>
            <a:ext uri="{FF2B5EF4-FFF2-40B4-BE49-F238E27FC236}">
              <a16:creationId xmlns:a16="http://schemas.microsoft.com/office/drawing/2014/main" xmlns="" id="{00000000-0008-0000-0000-00005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866" name="Line 1">
          <a:extLst>
            <a:ext uri="{FF2B5EF4-FFF2-40B4-BE49-F238E27FC236}">
              <a16:creationId xmlns:a16="http://schemas.microsoft.com/office/drawing/2014/main" xmlns="" id="{00000000-0008-0000-0000-000062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867" name="Line 2">
          <a:extLst>
            <a:ext uri="{FF2B5EF4-FFF2-40B4-BE49-F238E27FC236}">
              <a16:creationId xmlns:a16="http://schemas.microsoft.com/office/drawing/2014/main" xmlns="" id="{00000000-0008-0000-0000-000063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</xdr:row>
      <xdr:rowOff>28575</xdr:rowOff>
    </xdr:from>
    <xdr:to>
      <xdr:col>50</xdr:col>
      <xdr:colOff>609600</xdr:colOff>
      <xdr:row>4</xdr:row>
      <xdr:rowOff>190500</xdr:rowOff>
    </xdr:to>
    <xdr:sp macro="" textlink="">
      <xdr:nvSpPr>
        <xdr:cNvPr id="870" name="Line 417">
          <a:extLst>
            <a:ext uri="{FF2B5EF4-FFF2-40B4-BE49-F238E27FC236}">
              <a16:creationId xmlns:a16="http://schemas.microsoft.com/office/drawing/2014/main" xmlns="" id="{00000000-0008-0000-0000-000066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92</xdr:row>
      <xdr:rowOff>28575</xdr:rowOff>
    </xdr:from>
    <xdr:to>
      <xdr:col>50</xdr:col>
      <xdr:colOff>609600</xdr:colOff>
      <xdr:row>93</xdr:row>
      <xdr:rowOff>190500</xdr:rowOff>
    </xdr:to>
    <xdr:sp macro="" textlink="">
      <xdr:nvSpPr>
        <xdr:cNvPr id="871" name="Line 418">
          <a:extLst>
            <a:ext uri="{FF2B5EF4-FFF2-40B4-BE49-F238E27FC236}">
              <a16:creationId xmlns:a16="http://schemas.microsoft.com/office/drawing/2014/main" xmlns="" id="{00000000-0008-0000-0000-000067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874" name="Line 1">
          <a:extLst>
            <a:ext uri="{FF2B5EF4-FFF2-40B4-BE49-F238E27FC236}">
              <a16:creationId xmlns:a16="http://schemas.microsoft.com/office/drawing/2014/main" xmlns="" id="{00000000-0008-0000-0000-00006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875" name="Line 2">
          <a:extLst>
            <a:ext uri="{FF2B5EF4-FFF2-40B4-BE49-F238E27FC236}">
              <a16:creationId xmlns:a16="http://schemas.microsoft.com/office/drawing/2014/main" xmlns="" id="{00000000-0008-0000-0000-00006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3</xdr:row>
      <xdr:rowOff>28575</xdr:rowOff>
    </xdr:from>
    <xdr:to>
      <xdr:col>56</xdr:col>
      <xdr:colOff>609600</xdr:colOff>
      <xdr:row>4</xdr:row>
      <xdr:rowOff>190500</xdr:rowOff>
    </xdr:to>
    <xdr:sp macro="" textlink="">
      <xdr:nvSpPr>
        <xdr:cNvPr id="878" name="Line 417">
          <a:extLst>
            <a:ext uri="{FF2B5EF4-FFF2-40B4-BE49-F238E27FC236}">
              <a16:creationId xmlns:a16="http://schemas.microsoft.com/office/drawing/2014/main" xmlns="" id="{00000000-0008-0000-0000-00006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92</xdr:row>
      <xdr:rowOff>28575</xdr:rowOff>
    </xdr:from>
    <xdr:to>
      <xdr:col>56</xdr:col>
      <xdr:colOff>609600</xdr:colOff>
      <xdr:row>93</xdr:row>
      <xdr:rowOff>190500</xdr:rowOff>
    </xdr:to>
    <xdr:sp macro="" textlink="">
      <xdr:nvSpPr>
        <xdr:cNvPr id="879" name="Line 418">
          <a:extLst>
            <a:ext uri="{FF2B5EF4-FFF2-40B4-BE49-F238E27FC236}">
              <a16:creationId xmlns:a16="http://schemas.microsoft.com/office/drawing/2014/main" xmlns="" id="{00000000-0008-0000-0000-00006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882" name="Line 1">
          <a:extLst>
            <a:ext uri="{FF2B5EF4-FFF2-40B4-BE49-F238E27FC236}">
              <a16:creationId xmlns:a16="http://schemas.microsoft.com/office/drawing/2014/main" xmlns="" id="{00000000-0008-0000-0000-000072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883" name="Line 2">
          <a:extLst>
            <a:ext uri="{FF2B5EF4-FFF2-40B4-BE49-F238E27FC236}">
              <a16:creationId xmlns:a16="http://schemas.microsoft.com/office/drawing/2014/main" xmlns="" id="{00000000-0008-0000-0000-000073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3</xdr:row>
      <xdr:rowOff>28575</xdr:rowOff>
    </xdr:from>
    <xdr:to>
      <xdr:col>62</xdr:col>
      <xdr:colOff>609600</xdr:colOff>
      <xdr:row>4</xdr:row>
      <xdr:rowOff>190500</xdr:rowOff>
    </xdr:to>
    <xdr:sp macro="" textlink="">
      <xdr:nvSpPr>
        <xdr:cNvPr id="886" name="Line 417">
          <a:extLst>
            <a:ext uri="{FF2B5EF4-FFF2-40B4-BE49-F238E27FC236}">
              <a16:creationId xmlns:a16="http://schemas.microsoft.com/office/drawing/2014/main" xmlns="" id="{00000000-0008-0000-0000-000076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92</xdr:row>
      <xdr:rowOff>28575</xdr:rowOff>
    </xdr:from>
    <xdr:to>
      <xdr:col>62</xdr:col>
      <xdr:colOff>609600</xdr:colOff>
      <xdr:row>93</xdr:row>
      <xdr:rowOff>190500</xdr:rowOff>
    </xdr:to>
    <xdr:sp macro="" textlink="">
      <xdr:nvSpPr>
        <xdr:cNvPr id="887" name="Line 418">
          <a:extLst>
            <a:ext uri="{FF2B5EF4-FFF2-40B4-BE49-F238E27FC236}">
              <a16:creationId xmlns:a16="http://schemas.microsoft.com/office/drawing/2014/main" xmlns="" id="{00000000-0008-0000-0000-000077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890" name="Line 1">
          <a:extLst>
            <a:ext uri="{FF2B5EF4-FFF2-40B4-BE49-F238E27FC236}">
              <a16:creationId xmlns:a16="http://schemas.microsoft.com/office/drawing/2014/main" xmlns="" id="{00000000-0008-0000-0000-00007A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891" name="Line 2">
          <a:extLst>
            <a:ext uri="{FF2B5EF4-FFF2-40B4-BE49-F238E27FC236}">
              <a16:creationId xmlns:a16="http://schemas.microsoft.com/office/drawing/2014/main" xmlns="" id="{00000000-0008-0000-0000-00007B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3</xdr:row>
      <xdr:rowOff>28575</xdr:rowOff>
    </xdr:from>
    <xdr:to>
      <xdr:col>68</xdr:col>
      <xdr:colOff>609600</xdr:colOff>
      <xdr:row>4</xdr:row>
      <xdr:rowOff>190500</xdr:rowOff>
    </xdr:to>
    <xdr:sp macro="" textlink="">
      <xdr:nvSpPr>
        <xdr:cNvPr id="894" name="Line 417">
          <a:extLst>
            <a:ext uri="{FF2B5EF4-FFF2-40B4-BE49-F238E27FC236}">
              <a16:creationId xmlns:a16="http://schemas.microsoft.com/office/drawing/2014/main" xmlns="" id="{00000000-0008-0000-0000-00007E030000}"/>
            </a:ext>
          </a:extLst>
        </xdr:cNvPr>
        <xdr:cNvSpPr>
          <a:spLocks noChangeShapeType="1"/>
        </xdr:cNvSpPr>
      </xdr:nvSpPr>
      <xdr:spPr bwMode="auto">
        <a:xfrm flipH="1">
          <a:off x="9994011000" y="7715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92</xdr:row>
      <xdr:rowOff>28575</xdr:rowOff>
    </xdr:from>
    <xdr:to>
      <xdr:col>68</xdr:col>
      <xdr:colOff>609600</xdr:colOff>
      <xdr:row>93</xdr:row>
      <xdr:rowOff>190500</xdr:rowOff>
    </xdr:to>
    <xdr:sp macro="" textlink="">
      <xdr:nvSpPr>
        <xdr:cNvPr id="895" name="Line 418">
          <a:extLst>
            <a:ext uri="{FF2B5EF4-FFF2-40B4-BE49-F238E27FC236}">
              <a16:creationId xmlns:a16="http://schemas.microsoft.com/office/drawing/2014/main" xmlns="" id="{00000000-0008-0000-0000-00007F030000}"/>
            </a:ext>
          </a:extLst>
        </xdr:cNvPr>
        <xdr:cNvSpPr>
          <a:spLocks noChangeShapeType="1"/>
        </xdr:cNvSpPr>
      </xdr:nvSpPr>
      <xdr:spPr bwMode="auto">
        <a:xfrm flipH="1">
          <a:off x="9994011000" y="86953725"/>
          <a:ext cx="143827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28575</xdr:rowOff>
    </xdr:from>
    <xdr:to>
      <xdr:col>2</xdr:col>
      <xdr:colOff>609600</xdr:colOff>
      <xdr:row>3</xdr:row>
      <xdr:rowOff>190500</xdr:rowOff>
    </xdr:to>
    <xdr:sp macro="" textlink="">
      <xdr:nvSpPr>
        <xdr:cNvPr id="2185" name="Line 1">
          <a:extLst>
            <a:ext uri="{FF2B5EF4-FFF2-40B4-BE49-F238E27FC236}">
              <a16:creationId xmlns:a16="http://schemas.microsoft.com/office/drawing/2014/main" xmlns="" id="{00000000-0008-0000-0100-000089080000}"/>
            </a:ext>
          </a:extLst>
        </xdr:cNvPr>
        <xdr:cNvSpPr>
          <a:spLocks noChangeShapeType="1"/>
        </xdr:cNvSpPr>
      </xdr:nvSpPr>
      <xdr:spPr bwMode="auto">
        <a:xfrm flipH="1">
          <a:off x="156876750" y="695325"/>
          <a:ext cx="95250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2</xdr:row>
      <xdr:rowOff>28575</xdr:rowOff>
    </xdr:from>
    <xdr:to>
      <xdr:col>8</xdr:col>
      <xdr:colOff>609600</xdr:colOff>
      <xdr:row>3</xdr:row>
      <xdr:rowOff>190500</xdr:rowOff>
    </xdr:to>
    <xdr:sp macro="" textlink="">
      <xdr:nvSpPr>
        <xdr:cNvPr id="2189" name="Line 5">
          <a:extLst>
            <a:ext uri="{FF2B5EF4-FFF2-40B4-BE49-F238E27FC236}">
              <a16:creationId xmlns:a16="http://schemas.microsoft.com/office/drawing/2014/main" xmlns="" id="{00000000-0008-0000-0100-00008D080000}"/>
            </a:ext>
          </a:extLst>
        </xdr:cNvPr>
        <xdr:cNvSpPr>
          <a:spLocks noChangeShapeType="1"/>
        </xdr:cNvSpPr>
      </xdr:nvSpPr>
      <xdr:spPr bwMode="auto">
        <a:xfrm flipH="1">
          <a:off x="153238200" y="695325"/>
          <a:ext cx="108585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2</xdr:row>
      <xdr:rowOff>28575</xdr:rowOff>
    </xdr:from>
    <xdr:to>
      <xdr:col>14</xdr:col>
      <xdr:colOff>609600</xdr:colOff>
      <xdr:row>3</xdr:row>
      <xdr:rowOff>190500</xdr:rowOff>
    </xdr:to>
    <xdr:sp macro="" textlink="">
      <xdr:nvSpPr>
        <xdr:cNvPr id="2193" name="Line 9">
          <a:extLst>
            <a:ext uri="{FF2B5EF4-FFF2-40B4-BE49-F238E27FC236}">
              <a16:creationId xmlns:a16="http://schemas.microsoft.com/office/drawing/2014/main" xmlns="" id="{00000000-0008-0000-0100-000091080000}"/>
            </a:ext>
          </a:extLst>
        </xdr:cNvPr>
        <xdr:cNvSpPr>
          <a:spLocks noChangeShapeType="1"/>
        </xdr:cNvSpPr>
      </xdr:nvSpPr>
      <xdr:spPr bwMode="auto">
        <a:xfrm flipH="1">
          <a:off x="1495234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</xdr:row>
      <xdr:rowOff>28575</xdr:rowOff>
    </xdr:from>
    <xdr:to>
      <xdr:col>20</xdr:col>
      <xdr:colOff>609600</xdr:colOff>
      <xdr:row>3</xdr:row>
      <xdr:rowOff>190500</xdr:rowOff>
    </xdr:to>
    <xdr:sp macro="" textlink="">
      <xdr:nvSpPr>
        <xdr:cNvPr id="2197" name="Line 13">
          <a:extLst>
            <a:ext uri="{FF2B5EF4-FFF2-40B4-BE49-F238E27FC236}">
              <a16:creationId xmlns:a16="http://schemas.microsoft.com/office/drawing/2014/main" xmlns="" id="{00000000-0008-0000-0100-000095080000}"/>
            </a:ext>
          </a:extLst>
        </xdr:cNvPr>
        <xdr:cNvSpPr>
          <a:spLocks noChangeShapeType="1"/>
        </xdr:cNvSpPr>
      </xdr:nvSpPr>
      <xdr:spPr bwMode="auto">
        <a:xfrm flipH="1">
          <a:off x="1456086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2</xdr:row>
      <xdr:rowOff>28575</xdr:rowOff>
    </xdr:from>
    <xdr:to>
      <xdr:col>26</xdr:col>
      <xdr:colOff>609600</xdr:colOff>
      <xdr:row>3</xdr:row>
      <xdr:rowOff>190500</xdr:rowOff>
    </xdr:to>
    <xdr:sp macro="" textlink="">
      <xdr:nvSpPr>
        <xdr:cNvPr id="2201" name="Line 17">
          <a:extLst>
            <a:ext uri="{FF2B5EF4-FFF2-40B4-BE49-F238E27FC236}">
              <a16:creationId xmlns:a16="http://schemas.microsoft.com/office/drawing/2014/main" xmlns="" id="{00000000-0008-0000-0100-000099080000}"/>
            </a:ext>
          </a:extLst>
        </xdr:cNvPr>
        <xdr:cNvSpPr>
          <a:spLocks noChangeShapeType="1"/>
        </xdr:cNvSpPr>
      </xdr:nvSpPr>
      <xdr:spPr bwMode="auto">
        <a:xfrm flipH="1">
          <a:off x="1420368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2</xdr:row>
      <xdr:rowOff>28575</xdr:rowOff>
    </xdr:from>
    <xdr:to>
      <xdr:col>32</xdr:col>
      <xdr:colOff>609600</xdr:colOff>
      <xdr:row>3</xdr:row>
      <xdr:rowOff>190500</xdr:rowOff>
    </xdr:to>
    <xdr:sp macro="" textlink="">
      <xdr:nvSpPr>
        <xdr:cNvPr id="2205" name="Line 21">
          <a:extLst>
            <a:ext uri="{FF2B5EF4-FFF2-40B4-BE49-F238E27FC236}">
              <a16:creationId xmlns:a16="http://schemas.microsoft.com/office/drawing/2014/main" xmlns="" id="{00000000-0008-0000-0100-00009D080000}"/>
            </a:ext>
          </a:extLst>
        </xdr:cNvPr>
        <xdr:cNvSpPr>
          <a:spLocks noChangeShapeType="1"/>
        </xdr:cNvSpPr>
      </xdr:nvSpPr>
      <xdr:spPr bwMode="auto">
        <a:xfrm flipH="1">
          <a:off x="1381220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19050</xdr:colOff>
      <xdr:row>2</xdr:row>
      <xdr:rowOff>28575</xdr:rowOff>
    </xdr:from>
    <xdr:to>
      <xdr:col>8</xdr:col>
      <xdr:colOff>609600</xdr:colOff>
      <xdr:row>3</xdr:row>
      <xdr:rowOff>190500</xdr:rowOff>
    </xdr:to>
    <xdr:sp macro="" textlink="">
      <xdr:nvSpPr>
        <xdr:cNvPr id="2209" name="Line 25">
          <a:extLst>
            <a:ext uri="{FF2B5EF4-FFF2-40B4-BE49-F238E27FC236}">
              <a16:creationId xmlns:a16="http://schemas.microsoft.com/office/drawing/2014/main" xmlns="" id="{00000000-0008-0000-0100-0000A1080000}"/>
            </a:ext>
          </a:extLst>
        </xdr:cNvPr>
        <xdr:cNvSpPr>
          <a:spLocks noChangeShapeType="1"/>
        </xdr:cNvSpPr>
      </xdr:nvSpPr>
      <xdr:spPr bwMode="auto">
        <a:xfrm flipH="1">
          <a:off x="153238200" y="695325"/>
          <a:ext cx="108585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19050</xdr:colOff>
      <xdr:row>2</xdr:row>
      <xdr:rowOff>28575</xdr:rowOff>
    </xdr:from>
    <xdr:to>
      <xdr:col>14</xdr:col>
      <xdr:colOff>609600</xdr:colOff>
      <xdr:row>3</xdr:row>
      <xdr:rowOff>190500</xdr:rowOff>
    </xdr:to>
    <xdr:sp macro="" textlink="">
      <xdr:nvSpPr>
        <xdr:cNvPr id="2213" name="Line 29">
          <a:extLst>
            <a:ext uri="{FF2B5EF4-FFF2-40B4-BE49-F238E27FC236}">
              <a16:creationId xmlns:a16="http://schemas.microsoft.com/office/drawing/2014/main" xmlns="" id="{00000000-0008-0000-0100-0000A5080000}"/>
            </a:ext>
          </a:extLst>
        </xdr:cNvPr>
        <xdr:cNvSpPr>
          <a:spLocks noChangeShapeType="1"/>
        </xdr:cNvSpPr>
      </xdr:nvSpPr>
      <xdr:spPr bwMode="auto">
        <a:xfrm flipH="1">
          <a:off x="1495234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</xdr:row>
      <xdr:rowOff>28575</xdr:rowOff>
    </xdr:from>
    <xdr:to>
      <xdr:col>20</xdr:col>
      <xdr:colOff>609600</xdr:colOff>
      <xdr:row>3</xdr:row>
      <xdr:rowOff>190500</xdr:rowOff>
    </xdr:to>
    <xdr:sp macro="" textlink="">
      <xdr:nvSpPr>
        <xdr:cNvPr id="2217" name="Line 33">
          <a:extLst>
            <a:ext uri="{FF2B5EF4-FFF2-40B4-BE49-F238E27FC236}">
              <a16:creationId xmlns:a16="http://schemas.microsoft.com/office/drawing/2014/main" xmlns="" id="{00000000-0008-0000-0100-0000A9080000}"/>
            </a:ext>
          </a:extLst>
        </xdr:cNvPr>
        <xdr:cNvSpPr>
          <a:spLocks noChangeShapeType="1"/>
        </xdr:cNvSpPr>
      </xdr:nvSpPr>
      <xdr:spPr bwMode="auto">
        <a:xfrm flipH="1">
          <a:off x="1456086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2</xdr:row>
      <xdr:rowOff>28575</xdr:rowOff>
    </xdr:from>
    <xdr:to>
      <xdr:col>26</xdr:col>
      <xdr:colOff>609600</xdr:colOff>
      <xdr:row>3</xdr:row>
      <xdr:rowOff>190500</xdr:rowOff>
    </xdr:to>
    <xdr:sp macro="" textlink="">
      <xdr:nvSpPr>
        <xdr:cNvPr id="2221" name="Line 37">
          <a:extLst>
            <a:ext uri="{FF2B5EF4-FFF2-40B4-BE49-F238E27FC236}">
              <a16:creationId xmlns:a16="http://schemas.microsoft.com/office/drawing/2014/main" xmlns="" id="{00000000-0008-0000-0100-0000AD080000}"/>
            </a:ext>
          </a:extLst>
        </xdr:cNvPr>
        <xdr:cNvSpPr>
          <a:spLocks noChangeShapeType="1"/>
        </xdr:cNvSpPr>
      </xdr:nvSpPr>
      <xdr:spPr bwMode="auto">
        <a:xfrm flipH="1">
          <a:off x="1420368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2</xdr:row>
      <xdr:rowOff>28575</xdr:rowOff>
    </xdr:from>
    <xdr:to>
      <xdr:col>32</xdr:col>
      <xdr:colOff>609600</xdr:colOff>
      <xdr:row>3</xdr:row>
      <xdr:rowOff>190500</xdr:rowOff>
    </xdr:to>
    <xdr:sp macro="" textlink="">
      <xdr:nvSpPr>
        <xdr:cNvPr id="2225" name="Line 41">
          <a:extLst>
            <a:ext uri="{FF2B5EF4-FFF2-40B4-BE49-F238E27FC236}">
              <a16:creationId xmlns:a16="http://schemas.microsoft.com/office/drawing/2014/main" xmlns="" id="{00000000-0008-0000-0100-0000B1080000}"/>
            </a:ext>
          </a:extLst>
        </xdr:cNvPr>
        <xdr:cNvSpPr>
          <a:spLocks noChangeShapeType="1"/>
        </xdr:cNvSpPr>
      </xdr:nvSpPr>
      <xdr:spPr bwMode="auto">
        <a:xfrm flipH="1">
          <a:off x="1381220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2</xdr:row>
      <xdr:rowOff>28575</xdr:rowOff>
    </xdr:from>
    <xdr:to>
      <xdr:col>38</xdr:col>
      <xdr:colOff>609600</xdr:colOff>
      <xdr:row>3</xdr:row>
      <xdr:rowOff>190500</xdr:rowOff>
    </xdr:to>
    <xdr:sp macro="" textlink="">
      <xdr:nvSpPr>
        <xdr:cNvPr id="2229" name="Line 45">
          <a:extLst>
            <a:ext uri="{FF2B5EF4-FFF2-40B4-BE49-F238E27FC236}">
              <a16:creationId xmlns:a16="http://schemas.microsoft.com/office/drawing/2014/main" xmlns="" id="{00000000-0008-0000-0100-0000B5080000}"/>
            </a:ext>
          </a:extLst>
        </xdr:cNvPr>
        <xdr:cNvSpPr>
          <a:spLocks noChangeShapeType="1"/>
        </xdr:cNvSpPr>
      </xdr:nvSpPr>
      <xdr:spPr bwMode="auto">
        <a:xfrm flipH="1">
          <a:off x="1345501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2</xdr:row>
      <xdr:rowOff>28575</xdr:rowOff>
    </xdr:from>
    <xdr:to>
      <xdr:col>44</xdr:col>
      <xdr:colOff>609600</xdr:colOff>
      <xdr:row>3</xdr:row>
      <xdr:rowOff>190500</xdr:rowOff>
    </xdr:to>
    <xdr:sp macro="" textlink="">
      <xdr:nvSpPr>
        <xdr:cNvPr id="2233" name="Line 49">
          <a:extLst>
            <a:ext uri="{FF2B5EF4-FFF2-40B4-BE49-F238E27FC236}">
              <a16:creationId xmlns:a16="http://schemas.microsoft.com/office/drawing/2014/main" xmlns="" id="{00000000-0008-0000-0100-0000B9080000}"/>
            </a:ext>
          </a:extLst>
        </xdr:cNvPr>
        <xdr:cNvSpPr>
          <a:spLocks noChangeShapeType="1"/>
        </xdr:cNvSpPr>
      </xdr:nvSpPr>
      <xdr:spPr bwMode="auto">
        <a:xfrm flipH="1">
          <a:off x="1306353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2</xdr:row>
      <xdr:rowOff>28575</xdr:rowOff>
    </xdr:from>
    <xdr:to>
      <xdr:col>50</xdr:col>
      <xdr:colOff>609600</xdr:colOff>
      <xdr:row>3</xdr:row>
      <xdr:rowOff>190500</xdr:rowOff>
    </xdr:to>
    <xdr:sp macro="" textlink="">
      <xdr:nvSpPr>
        <xdr:cNvPr id="2237" name="Line 53">
          <a:extLst>
            <a:ext uri="{FF2B5EF4-FFF2-40B4-BE49-F238E27FC236}">
              <a16:creationId xmlns:a16="http://schemas.microsoft.com/office/drawing/2014/main" xmlns="" id="{00000000-0008-0000-0100-0000BD080000}"/>
            </a:ext>
          </a:extLst>
        </xdr:cNvPr>
        <xdr:cNvSpPr>
          <a:spLocks noChangeShapeType="1"/>
        </xdr:cNvSpPr>
      </xdr:nvSpPr>
      <xdr:spPr bwMode="auto">
        <a:xfrm flipH="1">
          <a:off x="1270635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2</xdr:row>
      <xdr:rowOff>28575</xdr:rowOff>
    </xdr:from>
    <xdr:to>
      <xdr:col>56</xdr:col>
      <xdr:colOff>609600</xdr:colOff>
      <xdr:row>3</xdr:row>
      <xdr:rowOff>190500</xdr:rowOff>
    </xdr:to>
    <xdr:sp macro="" textlink="">
      <xdr:nvSpPr>
        <xdr:cNvPr id="2241" name="Line 57">
          <a:extLst>
            <a:ext uri="{FF2B5EF4-FFF2-40B4-BE49-F238E27FC236}">
              <a16:creationId xmlns:a16="http://schemas.microsoft.com/office/drawing/2014/main" xmlns="" id="{00000000-0008-0000-0100-0000C1080000}"/>
            </a:ext>
          </a:extLst>
        </xdr:cNvPr>
        <xdr:cNvSpPr>
          <a:spLocks noChangeShapeType="1"/>
        </xdr:cNvSpPr>
      </xdr:nvSpPr>
      <xdr:spPr bwMode="auto">
        <a:xfrm flipH="1">
          <a:off x="1231487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2</xdr:row>
      <xdr:rowOff>28575</xdr:rowOff>
    </xdr:from>
    <xdr:to>
      <xdr:col>62</xdr:col>
      <xdr:colOff>609600</xdr:colOff>
      <xdr:row>3</xdr:row>
      <xdr:rowOff>190500</xdr:rowOff>
    </xdr:to>
    <xdr:sp macro="" textlink="">
      <xdr:nvSpPr>
        <xdr:cNvPr id="2245" name="Line 61">
          <a:extLst>
            <a:ext uri="{FF2B5EF4-FFF2-40B4-BE49-F238E27FC236}">
              <a16:creationId xmlns:a16="http://schemas.microsoft.com/office/drawing/2014/main" xmlns="" id="{00000000-0008-0000-0100-0000C5080000}"/>
            </a:ext>
          </a:extLst>
        </xdr:cNvPr>
        <xdr:cNvSpPr>
          <a:spLocks noChangeShapeType="1"/>
        </xdr:cNvSpPr>
      </xdr:nvSpPr>
      <xdr:spPr bwMode="auto">
        <a:xfrm flipH="1">
          <a:off x="1195768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2</xdr:row>
      <xdr:rowOff>28575</xdr:rowOff>
    </xdr:from>
    <xdr:to>
      <xdr:col>68</xdr:col>
      <xdr:colOff>609600</xdr:colOff>
      <xdr:row>3</xdr:row>
      <xdr:rowOff>190500</xdr:rowOff>
    </xdr:to>
    <xdr:sp macro="" textlink="">
      <xdr:nvSpPr>
        <xdr:cNvPr id="2249" name="Line 65">
          <a:extLst>
            <a:ext uri="{FF2B5EF4-FFF2-40B4-BE49-F238E27FC236}">
              <a16:creationId xmlns:a16="http://schemas.microsoft.com/office/drawing/2014/main" xmlns="" id="{00000000-0008-0000-0100-0000C9080000}"/>
            </a:ext>
          </a:extLst>
        </xdr:cNvPr>
        <xdr:cNvSpPr>
          <a:spLocks noChangeShapeType="1"/>
        </xdr:cNvSpPr>
      </xdr:nvSpPr>
      <xdr:spPr bwMode="auto">
        <a:xfrm flipH="1">
          <a:off x="1156620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73</xdr:col>
      <xdr:colOff>19050</xdr:colOff>
      <xdr:row>2</xdr:row>
      <xdr:rowOff>28575</xdr:rowOff>
    </xdr:from>
    <xdr:to>
      <xdr:col>74</xdr:col>
      <xdr:colOff>609600</xdr:colOff>
      <xdr:row>3</xdr:row>
      <xdr:rowOff>190500</xdr:rowOff>
    </xdr:to>
    <xdr:sp macro="" textlink="">
      <xdr:nvSpPr>
        <xdr:cNvPr id="2253" name="Line 69">
          <a:extLst>
            <a:ext uri="{FF2B5EF4-FFF2-40B4-BE49-F238E27FC236}">
              <a16:creationId xmlns:a16="http://schemas.microsoft.com/office/drawing/2014/main" xmlns="" id="{00000000-0008-0000-0100-0000CD080000}"/>
            </a:ext>
          </a:extLst>
        </xdr:cNvPr>
        <xdr:cNvSpPr>
          <a:spLocks noChangeShapeType="1"/>
        </xdr:cNvSpPr>
      </xdr:nvSpPr>
      <xdr:spPr bwMode="auto">
        <a:xfrm flipH="1">
          <a:off x="111471075" y="695325"/>
          <a:ext cx="13620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2</xdr:row>
      <xdr:rowOff>28575</xdr:rowOff>
    </xdr:from>
    <xdr:to>
      <xdr:col>26</xdr:col>
      <xdr:colOff>609600</xdr:colOff>
      <xdr:row>3</xdr:row>
      <xdr:rowOff>190500</xdr:rowOff>
    </xdr:to>
    <xdr:sp macro="" textlink="">
      <xdr:nvSpPr>
        <xdr:cNvPr id="2257" name="Line 73">
          <a:extLst>
            <a:ext uri="{FF2B5EF4-FFF2-40B4-BE49-F238E27FC236}">
              <a16:creationId xmlns:a16="http://schemas.microsoft.com/office/drawing/2014/main" xmlns="" id="{00000000-0008-0000-0100-0000D1080000}"/>
            </a:ext>
          </a:extLst>
        </xdr:cNvPr>
        <xdr:cNvSpPr>
          <a:spLocks noChangeShapeType="1"/>
        </xdr:cNvSpPr>
      </xdr:nvSpPr>
      <xdr:spPr bwMode="auto">
        <a:xfrm flipH="1">
          <a:off x="1420368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2</xdr:row>
      <xdr:rowOff>28575</xdr:rowOff>
    </xdr:from>
    <xdr:to>
      <xdr:col>32</xdr:col>
      <xdr:colOff>609600</xdr:colOff>
      <xdr:row>3</xdr:row>
      <xdr:rowOff>190500</xdr:rowOff>
    </xdr:to>
    <xdr:sp macro="" textlink="">
      <xdr:nvSpPr>
        <xdr:cNvPr id="2261" name="Line 77">
          <a:extLst>
            <a:ext uri="{FF2B5EF4-FFF2-40B4-BE49-F238E27FC236}">
              <a16:creationId xmlns:a16="http://schemas.microsoft.com/office/drawing/2014/main" xmlns="" id="{00000000-0008-0000-0100-0000D5080000}"/>
            </a:ext>
          </a:extLst>
        </xdr:cNvPr>
        <xdr:cNvSpPr>
          <a:spLocks noChangeShapeType="1"/>
        </xdr:cNvSpPr>
      </xdr:nvSpPr>
      <xdr:spPr bwMode="auto">
        <a:xfrm flipH="1">
          <a:off x="1381220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19050</xdr:colOff>
      <xdr:row>2</xdr:row>
      <xdr:rowOff>28575</xdr:rowOff>
    </xdr:from>
    <xdr:to>
      <xdr:col>26</xdr:col>
      <xdr:colOff>609600</xdr:colOff>
      <xdr:row>3</xdr:row>
      <xdr:rowOff>190500</xdr:rowOff>
    </xdr:to>
    <xdr:sp macro="" textlink="">
      <xdr:nvSpPr>
        <xdr:cNvPr id="2265" name="Line 81">
          <a:extLst>
            <a:ext uri="{FF2B5EF4-FFF2-40B4-BE49-F238E27FC236}">
              <a16:creationId xmlns:a16="http://schemas.microsoft.com/office/drawing/2014/main" xmlns="" id="{00000000-0008-0000-0100-0000D9080000}"/>
            </a:ext>
          </a:extLst>
        </xdr:cNvPr>
        <xdr:cNvSpPr>
          <a:spLocks noChangeShapeType="1"/>
        </xdr:cNvSpPr>
      </xdr:nvSpPr>
      <xdr:spPr bwMode="auto">
        <a:xfrm flipH="1">
          <a:off x="1420368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19050</xdr:colOff>
      <xdr:row>2</xdr:row>
      <xdr:rowOff>28575</xdr:rowOff>
    </xdr:from>
    <xdr:to>
      <xdr:col>32</xdr:col>
      <xdr:colOff>609600</xdr:colOff>
      <xdr:row>3</xdr:row>
      <xdr:rowOff>190500</xdr:rowOff>
    </xdr:to>
    <xdr:sp macro="" textlink="">
      <xdr:nvSpPr>
        <xdr:cNvPr id="2269" name="Line 85">
          <a:extLst>
            <a:ext uri="{FF2B5EF4-FFF2-40B4-BE49-F238E27FC236}">
              <a16:creationId xmlns:a16="http://schemas.microsoft.com/office/drawing/2014/main" xmlns="" id="{00000000-0008-0000-0100-0000DD080000}"/>
            </a:ext>
          </a:extLst>
        </xdr:cNvPr>
        <xdr:cNvSpPr>
          <a:spLocks noChangeShapeType="1"/>
        </xdr:cNvSpPr>
      </xdr:nvSpPr>
      <xdr:spPr bwMode="auto">
        <a:xfrm flipH="1">
          <a:off x="1381220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2</xdr:row>
      <xdr:rowOff>28575</xdr:rowOff>
    </xdr:from>
    <xdr:to>
      <xdr:col>38</xdr:col>
      <xdr:colOff>609600</xdr:colOff>
      <xdr:row>3</xdr:row>
      <xdr:rowOff>190500</xdr:rowOff>
    </xdr:to>
    <xdr:sp macro="" textlink="">
      <xdr:nvSpPr>
        <xdr:cNvPr id="2273" name="Line 89">
          <a:extLst>
            <a:ext uri="{FF2B5EF4-FFF2-40B4-BE49-F238E27FC236}">
              <a16:creationId xmlns:a16="http://schemas.microsoft.com/office/drawing/2014/main" xmlns="" id="{00000000-0008-0000-0100-0000E1080000}"/>
            </a:ext>
          </a:extLst>
        </xdr:cNvPr>
        <xdr:cNvSpPr>
          <a:spLocks noChangeShapeType="1"/>
        </xdr:cNvSpPr>
      </xdr:nvSpPr>
      <xdr:spPr bwMode="auto">
        <a:xfrm flipH="1">
          <a:off x="1345501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2</xdr:row>
      <xdr:rowOff>28575</xdr:rowOff>
    </xdr:from>
    <xdr:to>
      <xdr:col>44</xdr:col>
      <xdr:colOff>609600</xdr:colOff>
      <xdr:row>3</xdr:row>
      <xdr:rowOff>190500</xdr:rowOff>
    </xdr:to>
    <xdr:sp macro="" textlink="">
      <xdr:nvSpPr>
        <xdr:cNvPr id="2277" name="Line 93">
          <a:extLst>
            <a:ext uri="{FF2B5EF4-FFF2-40B4-BE49-F238E27FC236}">
              <a16:creationId xmlns:a16="http://schemas.microsoft.com/office/drawing/2014/main" xmlns="" id="{00000000-0008-0000-0100-0000E5080000}"/>
            </a:ext>
          </a:extLst>
        </xdr:cNvPr>
        <xdr:cNvSpPr>
          <a:spLocks noChangeShapeType="1"/>
        </xdr:cNvSpPr>
      </xdr:nvSpPr>
      <xdr:spPr bwMode="auto">
        <a:xfrm flipH="1">
          <a:off x="1306353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19050</xdr:colOff>
      <xdr:row>2</xdr:row>
      <xdr:rowOff>28575</xdr:rowOff>
    </xdr:from>
    <xdr:to>
      <xdr:col>38</xdr:col>
      <xdr:colOff>609600</xdr:colOff>
      <xdr:row>3</xdr:row>
      <xdr:rowOff>190500</xdr:rowOff>
    </xdr:to>
    <xdr:sp macro="" textlink="">
      <xdr:nvSpPr>
        <xdr:cNvPr id="2281" name="Line 97">
          <a:extLst>
            <a:ext uri="{FF2B5EF4-FFF2-40B4-BE49-F238E27FC236}">
              <a16:creationId xmlns:a16="http://schemas.microsoft.com/office/drawing/2014/main" xmlns="" id="{00000000-0008-0000-0100-0000E9080000}"/>
            </a:ext>
          </a:extLst>
        </xdr:cNvPr>
        <xdr:cNvSpPr>
          <a:spLocks noChangeShapeType="1"/>
        </xdr:cNvSpPr>
      </xdr:nvSpPr>
      <xdr:spPr bwMode="auto">
        <a:xfrm flipH="1">
          <a:off x="1345501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19050</xdr:colOff>
      <xdr:row>2</xdr:row>
      <xdr:rowOff>28575</xdr:rowOff>
    </xdr:from>
    <xdr:to>
      <xdr:col>44</xdr:col>
      <xdr:colOff>609600</xdr:colOff>
      <xdr:row>3</xdr:row>
      <xdr:rowOff>190500</xdr:rowOff>
    </xdr:to>
    <xdr:sp macro="" textlink="">
      <xdr:nvSpPr>
        <xdr:cNvPr id="2285" name="Line 101">
          <a:extLst>
            <a:ext uri="{FF2B5EF4-FFF2-40B4-BE49-F238E27FC236}">
              <a16:creationId xmlns:a16="http://schemas.microsoft.com/office/drawing/2014/main" xmlns="" id="{00000000-0008-0000-0100-0000ED080000}"/>
            </a:ext>
          </a:extLst>
        </xdr:cNvPr>
        <xdr:cNvSpPr>
          <a:spLocks noChangeShapeType="1"/>
        </xdr:cNvSpPr>
      </xdr:nvSpPr>
      <xdr:spPr bwMode="auto">
        <a:xfrm flipH="1">
          <a:off x="1306353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2</xdr:row>
      <xdr:rowOff>28575</xdr:rowOff>
    </xdr:from>
    <xdr:to>
      <xdr:col>50</xdr:col>
      <xdr:colOff>609600</xdr:colOff>
      <xdr:row>3</xdr:row>
      <xdr:rowOff>190500</xdr:rowOff>
    </xdr:to>
    <xdr:sp macro="" textlink="">
      <xdr:nvSpPr>
        <xdr:cNvPr id="2289" name="Line 105">
          <a:extLst>
            <a:ext uri="{FF2B5EF4-FFF2-40B4-BE49-F238E27FC236}">
              <a16:creationId xmlns:a16="http://schemas.microsoft.com/office/drawing/2014/main" xmlns="" id="{00000000-0008-0000-0100-0000F1080000}"/>
            </a:ext>
          </a:extLst>
        </xdr:cNvPr>
        <xdr:cNvSpPr>
          <a:spLocks noChangeShapeType="1"/>
        </xdr:cNvSpPr>
      </xdr:nvSpPr>
      <xdr:spPr bwMode="auto">
        <a:xfrm flipH="1">
          <a:off x="1270635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2</xdr:row>
      <xdr:rowOff>28575</xdr:rowOff>
    </xdr:from>
    <xdr:to>
      <xdr:col>56</xdr:col>
      <xdr:colOff>609600</xdr:colOff>
      <xdr:row>3</xdr:row>
      <xdr:rowOff>190500</xdr:rowOff>
    </xdr:to>
    <xdr:sp macro="" textlink="">
      <xdr:nvSpPr>
        <xdr:cNvPr id="2293" name="Line 109">
          <a:extLst>
            <a:ext uri="{FF2B5EF4-FFF2-40B4-BE49-F238E27FC236}">
              <a16:creationId xmlns:a16="http://schemas.microsoft.com/office/drawing/2014/main" xmlns="" id="{00000000-0008-0000-0100-0000F5080000}"/>
            </a:ext>
          </a:extLst>
        </xdr:cNvPr>
        <xdr:cNvSpPr>
          <a:spLocks noChangeShapeType="1"/>
        </xdr:cNvSpPr>
      </xdr:nvSpPr>
      <xdr:spPr bwMode="auto">
        <a:xfrm flipH="1">
          <a:off x="1231487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2</xdr:row>
      <xdr:rowOff>28575</xdr:rowOff>
    </xdr:from>
    <xdr:to>
      <xdr:col>50</xdr:col>
      <xdr:colOff>609600</xdr:colOff>
      <xdr:row>3</xdr:row>
      <xdr:rowOff>190500</xdr:rowOff>
    </xdr:to>
    <xdr:sp macro="" textlink="">
      <xdr:nvSpPr>
        <xdr:cNvPr id="2297" name="Line 113">
          <a:extLst>
            <a:ext uri="{FF2B5EF4-FFF2-40B4-BE49-F238E27FC236}">
              <a16:creationId xmlns:a16="http://schemas.microsoft.com/office/drawing/2014/main" xmlns="" id="{00000000-0008-0000-0100-0000F9080000}"/>
            </a:ext>
          </a:extLst>
        </xdr:cNvPr>
        <xdr:cNvSpPr>
          <a:spLocks noChangeShapeType="1"/>
        </xdr:cNvSpPr>
      </xdr:nvSpPr>
      <xdr:spPr bwMode="auto">
        <a:xfrm flipH="1">
          <a:off x="12706350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19050</xdr:colOff>
      <xdr:row>2</xdr:row>
      <xdr:rowOff>28575</xdr:rowOff>
    </xdr:from>
    <xdr:to>
      <xdr:col>56</xdr:col>
      <xdr:colOff>609600</xdr:colOff>
      <xdr:row>3</xdr:row>
      <xdr:rowOff>190500</xdr:rowOff>
    </xdr:to>
    <xdr:sp macro="" textlink="">
      <xdr:nvSpPr>
        <xdr:cNvPr id="2301" name="Line 117">
          <a:extLst>
            <a:ext uri="{FF2B5EF4-FFF2-40B4-BE49-F238E27FC236}">
              <a16:creationId xmlns:a16="http://schemas.microsoft.com/office/drawing/2014/main" xmlns="" id="{00000000-0008-0000-0100-0000FD080000}"/>
            </a:ext>
          </a:extLst>
        </xdr:cNvPr>
        <xdr:cNvSpPr>
          <a:spLocks noChangeShapeType="1"/>
        </xdr:cNvSpPr>
      </xdr:nvSpPr>
      <xdr:spPr bwMode="auto">
        <a:xfrm flipH="1">
          <a:off x="12314872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2</xdr:row>
      <xdr:rowOff>28575</xdr:rowOff>
    </xdr:from>
    <xdr:to>
      <xdr:col>62</xdr:col>
      <xdr:colOff>609600</xdr:colOff>
      <xdr:row>3</xdr:row>
      <xdr:rowOff>190500</xdr:rowOff>
    </xdr:to>
    <xdr:sp macro="" textlink="">
      <xdr:nvSpPr>
        <xdr:cNvPr id="2305" name="Line 121">
          <a:extLst>
            <a:ext uri="{FF2B5EF4-FFF2-40B4-BE49-F238E27FC236}">
              <a16:creationId xmlns:a16="http://schemas.microsoft.com/office/drawing/2014/main" xmlns="" id="{00000000-0008-0000-0100-000001090000}"/>
            </a:ext>
          </a:extLst>
        </xdr:cNvPr>
        <xdr:cNvSpPr>
          <a:spLocks noChangeShapeType="1"/>
        </xdr:cNvSpPr>
      </xdr:nvSpPr>
      <xdr:spPr bwMode="auto">
        <a:xfrm flipH="1">
          <a:off x="1195768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2</xdr:row>
      <xdr:rowOff>28575</xdr:rowOff>
    </xdr:from>
    <xdr:to>
      <xdr:col>68</xdr:col>
      <xdr:colOff>609600</xdr:colOff>
      <xdr:row>3</xdr:row>
      <xdr:rowOff>190500</xdr:rowOff>
    </xdr:to>
    <xdr:sp macro="" textlink="">
      <xdr:nvSpPr>
        <xdr:cNvPr id="2309" name="Line 125">
          <a:extLst>
            <a:ext uri="{FF2B5EF4-FFF2-40B4-BE49-F238E27FC236}">
              <a16:creationId xmlns:a16="http://schemas.microsoft.com/office/drawing/2014/main" xmlns="" id="{00000000-0008-0000-0100-000005090000}"/>
            </a:ext>
          </a:extLst>
        </xdr:cNvPr>
        <xdr:cNvSpPr>
          <a:spLocks noChangeShapeType="1"/>
        </xdr:cNvSpPr>
      </xdr:nvSpPr>
      <xdr:spPr bwMode="auto">
        <a:xfrm flipH="1">
          <a:off x="1156620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19050</xdr:colOff>
      <xdr:row>2</xdr:row>
      <xdr:rowOff>28575</xdr:rowOff>
    </xdr:from>
    <xdr:to>
      <xdr:col>62</xdr:col>
      <xdr:colOff>609600</xdr:colOff>
      <xdr:row>3</xdr:row>
      <xdr:rowOff>190500</xdr:rowOff>
    </xdr:to>
    <xdr:sp macro="" textlink="">
      <xdr:nvSpPr>
        <xdr:cNvPr id="2313" name="Line 129">
          <a:extLst>
            <a:ext uri="{FF2B5EF4-FFF2-40B4-BE49-F238E27FC236}">
              <a16:creationId xmlns:a16="http://schemas.microsoft.com/office/drawing/2014/main" xmlns="" id="{00000000-0008-0000-0100-000009090000}"/>
            </a:ext>
          </a:extLst>
        </xdr:cNvPr>
        <xdr:cNvSpPr>
          <a:spLocks noChangeShapeType="1"/>
        </xdr:cNvSpPr>
      </xdr:nvSpPr>
      <xdr:spPr bwMode="auto">
        <a:xfrm flipH="1">
          <a:off x="119576850" y="69532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19050</xdr:colOff>
      <xdr:row>2</xdr:row>
      <xdr:rowOff>28575</xdr:rowOff>
    </xdr:from>
    <xdr:to>
      <xdr:col>68</xdr:col>
      <xdr:colOff>609600</xdr:colOff>
      <xdr:row>3</xdr:row>
      <xdr:rowOff>190500</xdr:rowOff>
    </xdr:to>
    <xdr:sp macro="" textlink="">
      <xdr:nvSpPr>
        <xdr:cNvPr id="2317" name="Line 133">
          <a:extLst>
            <a:ext uri="{FF2B5EF4-FFF2-40B4-BE49-F238E27FC236}">
              <a16:creationId xmlns:a16="http://schemas.microsoft.com/office/drawing/2014/main" xmlns="" id="{00000000-0008-0000-0100-00000D090000}"/>
            </a:ext>
          </a:extLst>
        </xdr:cNvPr>
        <xdr:cNvSpPr>
          <a:spLocks noChangeShapeType="1"/>
        </xdr:cNvSpPr>
      </xdr:nvSpPr>
      <xdr:spPr bwMode="auto">
        <a:xfrm flipH="1">
          <a:off x="115662075" y="695325"/>
          <a:ext cx="10763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43"/>
  <sheetViews>
    <sheetView rightToLeft="1" tabSelected="1" topLeftCell="AX1" zoomScaleNormal="100" workbookViewId="0">
      <pane ySplit="1395" topLeftCell="A17" activePane="bottomLeft"/>
      <selection activeCell="W2" sqref="W2"/>
      <selection pane="bottomLeft" activeCell="BF20" sqref="BF20:BG49"/>
    </sheetView>
  </sheetViews>
  <sheetFormatPr defaultRowHeight="20.100000000000001" customHeight="1" x14ac:dyDescent="0.25"/>
  <cols>
    <col min="1" max="1" width="13.85546875" style="51" customWidth="1"/>
    <col min="2" max="2" width="12.7109375" customWidth="1"/>
    <col min="3" max="3" width="11.28515625" customWidth="1"/>
    <col min="4" max="4" width="13.28515625" style="22" customWidth="1"/>
    <col min="5" max="5" width="12" customWidth="1"/>
    <col min="6" max="6" width="3.85546875" customWidth="1"/>
    <col min="7" max="7" width="12.85546875" style="51" customWidth="1"/>
    <col min="8" max="8" width="10.28515625" customWidth="1"/>
    <col min="9" max="9" width="11.28515625" customWidth="1"/>
    <col min="10" max="10" width="13.28515625" style="22" customWidth="1"/>
    <col min="11" max="11" width="12" customWidth="1"/>
    <col min="12" max="12" width="3.85546875" customWidth="1"/>
    <col min="13" max="13" width="12.85546875" style="51" customWidth="1"/>
    <col min="14" max="14" width="10.28515625" customWidth="1"/>
    <col min="15" max="15" width="11.28515625" customWidth="1"/>
    <col min="16" max="16" width="13.28515625" style="22" customWidth="1"/>
    <col min="17" max="17" width="12" customWidth="1"/>
    <col min="18" max="18" width="3.85546875" customWidth="1"/>
    <col min="19" max="19" width="12.85546875" style="51" customWidth="1"/>
    <col min="20" max="20" width="10.28515625" customWidth="1"/>
    <col min="21" max="21" width="11.28515625" customWidth="1"/>
    <col min="22" max="22" width="13.28515625" style="22" customWidth="1"/>
    <col min="23" max="23" width="12" customWidth="1"/>
    <col min="24" max="24" width="3.85546875" customWidth="1"/>
    <col min="25" max="25" width="12.85546875" style="51" customWidth="1"/>
    <col min="26" max="26" width="10.28515625" customWidth="1"/>
    <col min="27" max="27" width="11.28515625" customWidth="1"/>
    <col min="28" max="28" width="13.28515625" style="22" customWidth="1"/>
    <col min="29" max="29" width="12" customWidth="1"/>
    <col min="30" max="30" width="3.85546875" customWidth="1"/>
    <col min="31" max="31" width="12.85546875" style="51" customWidth="1"/>
    <col min="32" max="32" width="10.28515625" customWidth="1"/>
    <col min="33" max="33" width="11.28515625" customWidth="1"/>
    <col min="34" max="34" width="13.28515625" style="22" customWidth="1"/>
    <col min="35" max="35" width="12" customWidth="1"/>
    <col min="36" max="36" width="3.85546875" customWidth="1"/>
    <col min="37" max="37" width="12.85546875" style="51" customWidth="1"/>
    <col min="38" max="38" width="10.28515625" customWidth="1"/>
    <col min="39" max="39" width="11.28515625" customWidth="1"/>
    <col min="40" max="40" width="13.28515625" style="22" customWidth="1"/>
    <col min="41" max="41" width="12" customWidth="1"/>
    <col min="42" max="42" width="3.85546875" customWidth="1"/>
    <col min="43" max="43" width="12.85546875" style="51" customWidth="1"/>
    <col min="44" max="44" width="10.28515625" customWidth="1"/>
    <col min="45" max="45" width="11.28515625" customWidth="1"/>
    <col min="46" max="46" width="13.28515625" style="22" customWidth="1"/>
    <col min="47" max="47" width="12" customWidth="1"/>
    <col min="48" max="48" width="3.85546875" customWidth="1"/>
    <col min="49" max="49" width="12.85546875" style="51" customWidth="1"/>
    <col min="50" max="50" width="10.28515625" customWidth="1"/>
    <col min="51" max="51" width="11.28515625" customWidth="1"/>
    <col min="52" max="52" width="13.28515625" style="22" customWidth="1"/>
    <col min="53" max="53" width="12" customWidth="1"/>
    <col min="54" max="54" width="3.85546875" customWidth="1"/>
    <col min="55" max="55" width="12.85546875" style="51" customWidth="1"/>
    <col min="56" max="56" width="10.28515625" customWidth="1"/>
    <col min="57" max="57" width="11.28515625" customWidth="1"/>
    <col min="58" max="58" width="13.28515625" style="22" customWidth="1"/>
    <col min="59" max="59" width="12" customWidth="1"/>
    <col min="60" max="60" width="3.85546875" customWidth="1"/>
    <col min="61" max="61" width="12.85546875" style="51" customWidth="1"/>
    <col min="62" max="62" width="10.28515625" customWidth="1"/>
    <col min="63" max="63" width="11.28515625" customWidth="1"/>
    <col min="64" max="64" width="13.28515625" style="22" customWidth="1"/>
    <col min="65" max="65" width="12" customWidth="1"/>
    <col min="66" max="66" width="3.85546875" customWidth="1"/>
    <col min="67" max="67" width="12.85546875" style="51" customWidth="1"/>
    <col min="68" max="68" width="10.28515625" customWidth="1"/>
    <col min="69" max="69" width="11.28515625" customWidth="1"/>
    <col min="70" max="70" width="13.28515625" style="22" customWidth="1"/>
    <col min="71" max="71" width="12" customWidth="1"/>
    <col min="72" max="72" width="3.85546875" customWidth="1"/>
    <col min="73" max="73" width="12.85546875" style="51" customWidth="1"/>
    <col min="74" max="74" width="10.28515625" customWidth="1"/>
    <col min="75" max="75" width="9" customWidth="1"/>
    <col min="76" max="77" width="20.7109375" customWidth="1"/>
    <col min="78" max="78" width="3.85546875" customWidth="1"/>
  </cols>
  <sheetData>
    <row r="1" spans="1:78" ht="20.100000000000001" customHeight="1" x14ac:dyDescent="0.25">
      <c r="A1" s="66"/>
      <c r="B1" s="68"/>
      <c r="C1" s="105"/>
      <c r="D1" s="105"/>
      <c r="E1" s="105"/>
      <c r="F1" s="74"/>
      <c r="G1" s="66"/>
      <c r="H1" s="68"/>
      <c r="I1" s="105"/>
      <c r="J1" s="105"/>
      <c r="K1" s="105"/>
      <c r="L1" s="74"/>
      <c r="M1" s="66"/>
      <c r="N1" s="68"/>
      <c r="O1" s="105"/>
      <c r="P1" s="105"/>
      <c r="Q1" s="105"/>
      <c r="R1" s="74"/>
      <c r="S1" s="66"/>
      <c r="T1" s="68"/>
      <c r="U1" s="105"/>
      <c r="V1" s="105"/>
      <c r="W1" s="105"/>
      <c r="X1" s="74"/>
      <c r="Y1" s="66"/>
      <c r="Z1" s="68"/>
      <c r="AA1" s="105"/>
      <c r="AB1" s="105"/>
      <c r="AC1" s="105"/>
      <c r="AD1" s="74"/>
      <c r="AE1" s="66"/>
      <c r="AF1" s="68"/>
      <c r="AG1" s="105"/>
      <c r="AH1" s="105"/>
      <c r="AI1" s="105"/>
      <c r="AJ1" s="74"/>
      <c r="AK1" s="66"/>
      <c r="AL1" s="68"/>
      <c r="AM1" s="105"/>
      <c r="AN1" s="105"/>
      <c r="AO1" s="105"/>
      <c r="AP1" s="74"/>
      <c r="AQ1" s="66"/>
      <c r="AR1" s="68"/>
      <c r="AS1" s="105"/>
      <c r="AT1" s="105"/>
      <c r="AU1" s="105"/>
      <c r="AV1" s="74"/>
      <c r="AW1" s="66"/>
      <c r="AX1" s="68"/>
      <c r="AY1" s="105"/>
      <c r="AZ1" s="105"/>
      <c r="BA1" s="105"/>
      <c r="BB1" s="74"/>
      <c r="BC1" s="66"/>
      <c r="BD1" s="68"/>
      <c r="BE1" s="105"/>
      <c r="BF1" s="105"/>
      <c r="BG1" s="105"/>
      <c r="BH1" s="74"/>
      <c r="BI1" s="66"/>
      <c r="BJ1" s="68"/>
      <c r="BK1" s="105"/>
      <c r="BL1" s="105"/>
      <c r="BM1" s="105"/>
      <c r="BN1" s="74"/>
      <c r="BO1" s="66"/>
      <c r="BP1" s="68"/>
      <c r="BQ1" s="105"/>
      <c r="BR1" s="105"/>
      <c r="BS1" s="105"/>
      <c r="BT1" s="74"/>
      <c r="BU1" s="53"/>
      <c r="BV1" s="1"/>
      <c r="BW1" s="1"/>
    </row>
    <row r="2" spans="1:78" s="2" customFormat="1" ht="20.100000000000001" customHeight="1" x14ac:dyDescent="0.25">
      <c r="A2" s="132" t="s">
        <v>14</v>
      </c>
      <c r="B2" s="132"/>
      <c r="C2" s="132"/>
      <c r="D2" s="32">
        <v>1</v>
      </c>
      <c r="E2" s="33">
        <v>1447</v>
      </c>
      <c r="F2" s="75"/>
      <c r="G2" s="132" t="s">
        <v>14</v>
      </c>
      <c r="H2" s="132"/>
      <c r="I2" s="132"/>
      <c r="J2" s="32">
        <v>2</v>
      </c>
      <c r="K2" s="33">
        <v>1447</v>
      </c>
      <c r="L2" s="75"/>
      <c r="M2" s="132" t="s">
        <v>14</v>
      </c>
      <c r="N2" s="132"/>
      <c r="O2" s="132"/>
      <c r="P2" s="32">
        <v>3</v>
      </c>
      <c r="Q2" s="33">
        <v>1447</v>
      </c>
      <c r="R2" s="75"/>
      <c r="S2" s="132" t="s">
        <v>14</v>
      </c>
      <c r="T2" s="132"/>
      <c r="U2" s="132"/>
      <c r="V2" s="32">
        <v>4</v>
      </c>
      <c r="W2" s="33">
        <v>1447</v>
      </c>
      <c r="X2" s="75"/>
      <c r="Y2" s="132" t="s">
        <v>14</v>
      </c>
      <c r="Z2" s="132"/>
      <c r="AA2" s="132"/>
      <c r="AB2" s="32">
        <v>5</v>
      </c>
      <c r="AC2" s="33">
        <v>1447</v>
      </c>
      <c r="AD2" s="75"/>
      <c r="AE2" s="132" t="s">
        <v>14</v>
      </c>
      <c r="AF2" s="132"/>
      <c r="AG2" s="132"/>
      <c r="AH2" s="32">
        <v>6</v>
      </c>
      <c r="AI2" s="33">
        <v>1447</v>
      </c>
      <c r="AJ2" s="75"/>
      <c r="AK2" s="132" t="s">
        <v>14</v>
      </c>
      <c r="AL2" s="132"/>
      <c r="AM2" s="132"/>
      <c r="AN2" s="32">
        <v>7</v>
      </c>
      <c r="AO2" s="33">
        <v>1447</v>
      </c>
      <c r="AP2" s="75"/>
      <c r="AQ2" s="132" t="s">
        <v>14</v>
      </c>
      <c r="AR2" s="132"/>
      <c r="AS2" s="132"/>
      <c r="AT2" s="32">
        <v>8</v>
      </c>
      <c r="AU2" s="33">
        <v>1447</v>
      </c>
      <c r="AV2" s="75"/>
      <c r="AW2" s="132" t="s">
        <v>14</v>
      </c>
      <c r="AX2" s="132"/>
      <c r="AY2" s="132"/>
      <c r="AZ2" s="32">
        <v>9</v>
      </c>
      <c r="BA2" s="33">
        <v>1447</v>
      </c>
      <c r="BB2" s="75"/>
      <c r="BC2" s="132" t="s">
        <v>14</v>
      </c>
      <c r="BD2" s="132"/>
      <c r="BE2" s="132"/>
      <c r="BF2" s="32">
        <v>10</v>
      </c>
      <c r="BG2" s="33">
        <v>1447</v>
      </c>
      <c r="BH2" s="75"/>
      <c r="BI2" s="132" t="s">
        <v>14</v>
      </c>
      <c r="BJ2" s="132"/>
      <c r="BK2" s="132"/>
      <c r="BL2" s="32">
        <v>11</v>
      </c>
      <c r="BM2" s="33">
        <v>1447</v>
      </c>
      <c r="BN2" s="75"/>
      <c r="BO2" s="132" t="s">
        <v>14</v>
      </c>
      <c r="BP2" s="132"/>
      <c r="BQ2" s="132"/>
      <c r="BR2" s="32">
        <v>12</v>
      </c>
      <c r="BS2" s="33">
        <v>1447</v>
      </c>
      <c r="BT2" s="75"/>
      <c r="BU2" s="132" t="s">
        <v>15</v>
      </c>
      <c r="BV2" s="132"/>
      <c r="BW2" s="132"/>
      <c r="BX2" s="32" t="s">
        <v>2</v>
      </c>
      <c r="BY2" s="33">
        <f>SUM(BS2)</f>
        <v>1447</v>
      </c>
    </row>
    <row r="3" spans="1:78" s="2" customFormat="1" ht="20.100000000000001" customHeight="1" thickBot="1" x14ac:dyDescent="0.3">
      <c r="A3" s="67"/>
      <c r="D3" s="23"/>
      <c r="F3" s="75"/>
      <c r="G3" s="67"/>
      <c r="J3" s="23"/>
      <c r="L3" s="75"/>
      <c r="M3" s="67"/>
      <c r="P3" s="23"/>
      <c r="R3" s="75"/>
      <c r="S3" s="67"/>
      <c r="V3" s="23"/>
      <c r="X3" s="75"/>
      <c r="Y3" s="67"/>
      <c r="AB3" s="23"/>
      <c r="AD3" s="75"/>
      <c r="AE3" s="67"/>
      <c r="AH3" s="23"/>
      <c r="AJ3" s="75"/>
      <c r="AK3" s="67"/>
      <c r="AN3" s="23"/>
      <c r="AP3" s="75"/>
      <c r="AQ3" s="67"/>
      <c r="AT3" s="23"/>
      <c r="AV3" s="75"/>
      <c r="AW3" s="67"/>
      <c r="AZ3" s="23"/>
      <c r="BB3" s="75"/>
      <c r="BC3" s="67"/>
      <c r="BF3" s="23"/>
      <c r="BH3" s="75"/>
      <c r="BI3" s="67"/>
      <c r="BL3" s="23"/>
      <c r="BN3" s="75"/>
      <c r="BO3" s="67"/>
      <c r="BR3" s="23"/>
      <c r="BT3" s="75"/>
      <c r="BU3" s="54"/>
    </row>
    <row r="4" spans="1:78" ht="20.100000000000001" customHeight="1" x14ac:dyDescent="0.2">
      <c r="A4" s="133" t="s">
        <v>3</v>
      </c>
      <c r="B4" s="127" t="s">
        <v>11</v>
      </c>
      <c r="C4" s="128"/>
      <c r="D4" s="125" t="s">
        <v>0</v>
      </c>
      <c r="E4" s="123" t="s">
        <v>12</v>
      </c>
      <c r="F4" s="75"/>
      <c r="G4" s="133" t="s">
        <v>3</v>
      </c>
      <c r="H4" s="127" t="s">
        <v>11</v>
      </c>
      <c r="I4" s="128"/>
      <c r="J4" s="125" t="s">
        <v>0</v>
      </c>
      <c r="K4" s="123" t="s">
        <v>12</v>
      </c>
      <c r="L4" s="75"/>
      <c r="M4" s="133" t="s">
        <v>3</v>
      </c>
      <c r="N4" s="127" t="s">
        <v>11</v>
      </c>
      <c r="O4" s="128"/>
      <c r="P4" s="125" t="s">
        <v>0</v>
      </c>
      <c r="Q4" s="123" t="s">
        <v>12</v>
      </c>
      <c r="R4" s="75"/>
      <c r="S4" s="133" t="s">
        <v>3</v>
      </c>
      <c r="T4" s="127" t="s">
        <v>11</v>
      </c>
      <c r="U4" s="128"/>
      <c r="V4" s="125" t="s">
        <v>0</v>
      </c>
      <c r="W4" s="123" t="s">
        <v>12</v>
      </c>
      <c r="X4" s="75"/>
      <c r="Y4" s="133" t="s">
        <v>3</v>
      </c>
      <c r="Z4" s="127" t="s">
        <v>11</v>
      </c>
      <c r="AA4" s="128"/>
      <c r="AB4" s="125" t="s">
        <v>0</v>
      </c>
      <c r="AC4" s="123" t="s">
        <v>12</v>
      </c>
      <c r="AD4" s="75"/>
      <c r="AE4" s="133" t="s">
        <v>3</v>
      </c>
      <c r="AF4" s="127" t="s">
        <v>11</v>
      </c>
      <c r="AG4" s="128"/>
      <c r="AH4" s="125" t="s">
        <v>0</v>
      </c>
      <c r="AI4" s="123" t="s">
        <v>12</v>
      </c>
      <c r="AJ4" s="75"/>
      <c r="AK4" s="133" t="s">
        <v>3</v>
      </c>
      <c r="AL4" s="127" t="s">
        <v>11</v>
      </c>
      <c r="AM4" s="128"/>
      <c r="AN4" s="125" t="s">
        <v>0</v>
      </c>
      <c r="AO4" s="123" t="s">
        <v>12</v>
      </c>
      <c r="AP4" s="75"/>
      <c r="AQ4" s="133" t="s">
        <v>3</v>
      </c>
      <c r="AR4" s="127" t="s">
        <v>11</v>
      </c>
      <c r="AS4" s="128"/>
      <c r="AT4" s="125" t="s">
        <v>0</v>
      </c>
      <c r="AU4" s="123" t="s">
        <v>12</v>
      </c>
      <c r="AV4" s="75"/>
      <c r="AW4" s="133" t="s">
        <v>3</v>
      </c>
      <c r="AX4" s="127" t="s">
        <v>11</v>
      </c>
      <c r="AY4" s="128"/>
      <c r="AZ4" s="125" t="s">
        <v>0</v>
      </c>
      <c r="BA4" s="123" t="s">
        <v>12</v>
      </c>
      <c r="BB4" s="75"/>
      <c r="BC4" s="133" t="s">
        <v>3</v>
      </c>
      <c r="BD4" s="127" t="s">
        <v>11</v>
      </c>
      <c r="BE4" s="128"/>
      <c r="BF4" s="125" t="s">
        <v>0</v>
      </c>
      <c r="BG4" s="123" t="s">
        <v>12</v>
      </c>
      <c r="BH4" s="75"/>
      <c r="BI4" s="133" t="s">
        <v>3</v>
      </c>
      <c r="BJ4" s="127" t="s">
        <v>11</v>
      </c>
      <c r="BK4" s="128"/>
      <c r="BL4" s="125" t="s">
        <v>0</v>
      </c>
      <c r="BM4" s="123" t="s">
        <v>12</v>
      </c>
      <c r="BN4" s="75"/>
      <c r="BO4" s="133" t="s">
        <v>3</v>
      </c>
      <c r="BP4" s="127" t="s">
        <v>11</v>
      </c>
      <c r="BQ4" s="128"/>
      <c r="BR4" s="125" t="s">
        <v>0</v>
      </c>
      <c r="BS4" s="123" t="s">
        <v>12</v>
      </c>
      <c r="BT4" s="75"/>
      <c r="BU4" s="135" t="s">
        <v>3</v>
      </c>
      <c r="BV4" s="127" t="s">
        <v>11</v>
      </c>
      <c r="BW4" s="128"/>
      <c r="BX4" s="136" t="s">
        <v>0</v>
      </c>
      <c r="BY4" s="121" t="s">
        <v>12</v>
      </c>
      <c r="BZ4" s="3"/>
    </row>
    <row r="5" spans="1:78" ht="20.100000000000001" customHeight="1" thickBot="1" x14ac:dyDescent="0.25">
      <c r="A5" s="134"/>
      <c r="B5" s="129" t="s">
        <v>10</v>
      </c>
      <c r="C5" s="130"/>
      <c r="D5" s="126"/>
      <c r="E5" s="124"/>
      <c r="F5" s="75"/>
      <c r="G5" s="134"/>
      <c r="H5" s="129" t="s">
        <v>10</v>
      </c>
      <c r="I5" s="130"/>
      <c r="J5" s="126"/>
      <c r="K5" s="124"/>
      <c r="L5" s="75"/>
      <c r="M5" s="134"/>
      <c r="N5" s="129" t="s">
        <v>10</v>
      </c>
      <c r="O5" s="130"/>
      <c r="P5" s="126"/>
      <c r="Q5" s="124"/>
      <c r="R5" s="75"/>
      <c r="S5" s="134"/>
      <c r="T5" s="129" t="s">
        <v>10</v>
      </c>
      <c r="U5" s="130"/>
      <c r="V5" s="126"/>
      <c r="W5" s="124"/>
      <c r="X5" s="75"/>
      <c r="Y5" s="134"/>
      <c r="Z5" s="129" t="s">
        <v>10</v>
      </c>
      <c r="AA5" s="130"/>
      <c r="AB5" s="126"/>
      <c r="AC5" s="124"/>
      <c r="AD5" s="75"/>
      <c r="AE5" s="134"/>
      <c r="AF5" s="129" t="s">
        <v>10</v>
      </c>
      <c r="AG5" s="130"/>
      <c r="AH5" s="126"/>
      <c r="AI5" s="124"/>
      <c r="AJ5" s="75"/>
      <c r="AK5" s="134"/>
      <c r="AL5" s="129" t="s">
        <v>10</v>
      </c>
      <c r="AM5" s="130"/>
      <c r="AN5" s="126"/>
      <c r="AO5" s="124"/>
      <c r="AP5" s="75"/>
      <c r="AQ5" s="134"/>
      <c r="AR5" s="129" t="s">
        <v>10</v>
      </c>
      <c r="AS5" s="130"/>
      <c r="AT5" s="126"/>
      <c r="AU5" s="124"/>
      <c r="AV5" s="75"/>
      <c r="AW5" s="134"/>
      <c r="AX5" s="129" t="s">
        <v>10</v>
      </c>
      <c r="AY5" s="130"/>
      <c r="AZ5" s="126"/>
      <c r="BA5" s="124"/>
      <c r="BB5" s="75"/>
      <c r="BC5" s="134"/>
      <c r="BD5" s="129" t="s">
        <v>10</v>
      </c>
      <c r="BE5" s="130"/>
      <c r="BF5" s="126"/>
      <c r="BG5" s="124"/>
      <c r="BH5" s="75"/>
      <c r="BI5" s="134"/>
      <c r="BJ5" s="129" t="s">
        <v>10</v>
      </c>
      <c r="BK5" s="130"/>
      <c r="BL5" s="126"/>
      <c r="BM5" s="124"/>
      <c r="BN5" s="75"/>
      <c r="BO5" s="134"/>
      <c r="BP5" s="129" t="s">
        <v>10</v>
      </c>
      <c r="BQ5" s="130"/>
      <c r="BR5" s="126"/>
      <c r="BS5" s="124"/>
      <c r="BT5" s="75"/>
      <c r="BU5" s="134"/>
      <c r="BV5" s="129" t="s">
        <v>10</v>
      </c>
      <c r="BW5" s="130"/>
      <c r="BX5" s="137"/>
      <c r="BY5" s="122"/>
    </row>
    <row r="6" spans="1:78" ht="20.100000000000001" customHeight="1" x14ac:dyDescent="0.2">
      <c r="A6" s="109" t="s">
        <v>21</v>
      </c>
      <c r="B6" s="112" t="s">
        <v>1</v>
      </c>
      <c r="C6" s="4" t="s">
        <v>4</v>
      </c>
      <c r="D6" s="24">
        <v>0</v>
      </c>
      <c r="E6" s="70">
        <v>0</v>
      </c>
      <c r="F6" s="75"/>
      <c r="G6" s="109" t="s">
        <v>21</v>
      </c>
      <c r="H6" s="112" t="s">
        <v>1</v>
      </c>
      <c r="I6" s="4" t="s">
        <v>4</v>
      </c>
      <c r="J6" s="24">
        <v>0</v>
      </c>
      <c r="K6" s="70">
        <v>0</v>
      </c>
      <c r="L6" s="75"/>
      <c r="M6" s="109" t="s">
        <v>21</v>
      </c>
      <c r="N6" s="112" t="s">
        <v>1</v>
      </c>
      <c r="O6" s="4" t="s">
        <v>4</v>
      </c>
      <c r="P6" s="24">
        <v>0</v>
      </c>
      <c r="Q6" s="70">
        <v>0</v>
      </c>
      <c r="R6" s="75"/>
      <c r="S6" s="109" t="s">
        <v>21</v>
      </c>
      <c r="T6" s="112" t="s">
        <v>1</v>
      </c>
      <c r="U6" s="4" t="s">
        <v>4</v>
      </c>
      <c r="V6" s="24">
        <v>0</v>
      </c>
      <c r="W6" s="70">
        <v>0</v>
      </c>
      <c r="X6" s="75"/>
      <c r="Y6" s="109" t="s">
        <v>21</v>
      </c>
      <c r="Z6" s="112" t="s">
        <v>1</v>
      </c>
      <c r="AA6" s="4" t="s">
        <v>4</v>
      </c>
      <c r="AB6" s="24">
        <v>0</v>
      </c>
      <c r="AC6" s="70">
        <v>0</v>
      </c>
      <c r="AD6" s="75"/>
      <c r="AE6" s="109" t="s">
        <v>21</v>
      </c>
      <c r="AF6" s="112" t="s">
        <v>1</v>
      </c>
      <c r="AG6" s="4" t="s">
        <v>4</v>
      </c>
      <c r="AH6" s="24">
        <v>0</v>
      </c>
      <c r="AI6" s="70">
        <v>0</v>
      </c>
      <c r="AJ6" s="75"/>
      <c r="AK6" s="109" t="s">
        <v>21</v>
      </c>
      <c r="AL6" s="112" t="s">
        <v>1</v>
      </c>
      <c r="AM6" s="4" t="s">
        <v>4</v>
      </c>
      <c r="AN6" s="24">
        <v>0</v>
      </c>
      <c r="AO6" s="70">
        <v>0</v>
      </c>
      <c r="AP6" s="75"/>
      <c r="AQ6" s="109" t="s">
        <v>21</v>
      </c>
      <c r="AR6" s="112" t="s">
        <v>1</v>
      </c>
      <c r="AS6" s="4" t="s">
        <v>4</v>
      </c>
      <c r="AT6" s="93">
        <v>0</v>
      </c>
      <c r="AU6" s="94">
        <v>0</v>
      </c>
      <c r="AV6" s="75"/>
      <c r="AW6" s="109" t="s">
        <v>21</v>
      </c>
      <c r="AX6" s="112" t="s">
        <v>1</v>
      </c>
      <c r="AY6" s="4" t="s">
        <v>4</v>
      </c>
      <c r="AZ6" s="24">
        <v>0</v>
      </c>
      <c r="BA6" s="70">
        <v>0</v>
      </c>
      <c r="BB6" s="75"/>
      <c r="BC6" s="109" t="s">
        <v>21</v>
      </c>
      <c r="BD6" s="112" t="s">
        <v>1</v>
      </c>
      <c r="BE6" s="4" t="s">
        <v>4</v>
      </c>
      <c r="BF6" s="24">
        <v>0</v>
      </c>
      <c r="BG6" s="70">
        <v>0</v>
      </c>
      <c r="BH6" s="75"/>
      <c r="BI6" s="109" t="s">
        <v>21</v>
      </c>
      <c r="BJ6" s="112" t="s">
        <v>1</v>
      </c>
      <c r="BK6" s="4" t="s">
        <v>4</v>
      </c>
      <c r="BL6" s="24">
        <v>0</v>
      </c>
      <c r="BM6" s="70">
        <v>0</v>
      </c>
      <c r="BN6" s="75"/>
      <c r="BO6" s="109" t="s">
        <v>21</v>
      </c>
      <c r="BP6" s="112" t="s">
        <v>1</v>
      </c>
      <c r="BQ6" s="4" t="s">
        <v>4</v>
      </c>
      <c r="BR6" s="24">
        <v>0</v>
      </c>
      <c r="BS6" s="70">
        <v>0</v>
      </c>
      <c r="BT6" s="75"/>
      <c r="BU6" s="109" t="str">
        <f>BO6</f>
        <v>الربيع والتوفيق</v>
      </c>
      <c r="BV6" s="112" t="s">
        <v>1</v>
      </c>
      <c r="BW6" s="4" t="s">
        <v>4</v>
      </c>
      <c r="BX6" s="5">
        <f>SUM(D6+J6+P6+V6+AB6+AH6+AN6+AT6+AZ6+BF6+BL6+BR6)</f>
        <v>0</v>
      </c>
      <c r="BY6" s="6">
        <f>SUM(E6+K6+Q6+W6+AC6+AI6+AO6+AU6+BA6+BG6+BM6+BS6)</f>
        <v>0</v>
      </c>
      <c r="BZ6" s="3"/>
    </row>
    <row r="7" spans="1:78" ht="20.100000000000001" customHeight="1" thickBot="1" x14ac:dyDescent="0.25">
      <c r="A7" s="110"/>
      <c r="B7" s="113"/>
      <c r="C7" s="7" t="s">
        <v>5</v>
      </c>
      <c r="D7" s="25">
        <v>0</v>
      </c>
      <c r="E7" s="71">
        <v>0</v>
      </c>
      <c r="F7" s="75"/>
      <c r="G7" s="110"/>
      <c r="H7" s="113"/>
      <c r="I7" s="7" t="s">
        <v>5</v>
      </c>
      <c r="J7" s="25">
        <v>0</v>
      </c>
      <c r="K7" s="71">
        <v>0</v>
      </c>
      <c r="L7" s="75"/>
      <c r="M7" s="110"/>
      <c r="N7" s="113"/>
      <c r="O7" s="7" t="s">
        <v>5</v>
      </c>
      <c r="P7" s="25">
        <v>0</v>
      </c>
      <c r="Q7" s="71">
        <v>0</v>
      </c>
      <c r="R7" s="75"/>
      <c r="S7" s="110"/>
      <c r="T7" s="113"/>
      <c r="U7" s="7" t="s">
        <v>5</v>
      </c>
      <c r="V7" s="25">
        <v>0</v>
      </c>
      <c r="W7" s="71">
        <v>0</v>
      </c>
      <c r="X7" s="75"/>
      <c r="Y7" s="110"/>
      <c r="Z7" s="113"/>
      <c r="AA7" s="7" t="s">
        <v>5</v>
      </c>
      <c r="AB7" s="25">
        <v>0</v>
      </c>
      <c r="AC7" s="71">
        <v>0</v>
      </c>
      <c r="AD7" s="75"/>
      <c r="AE7" s="110"/>
      <c r="AF7" s="113"/>
      <c r="AG7" s="7" t="s">
        <v>5</v>
      </c>
      <c r="AH7" s="25">
        <v>0</v>
      </c>
      <c r="AI7" s="71">
        <v>0</v>
      </c>
      <c r="AJ7" s="75"/>
      <c r="AK7" s="110"/>
      <c r="AL7" s="113"/>
      <c r="AM7" s="7" t="s">
        <v>5</v>
      </c>
      <c r="AN7" s="25">
        <v>0</v>
      </c>
      <c r="AO7" s="71">
        <v>0</v>
      </c>
      <c r="AP7" s="75"/>
      <c r="AQ7" s="110"/>
      <c r="AR7" s="113"/>
      <c r="AS7" s="7" t="s">
        <v>5</v>
      </c>
      <c r="AT7" s="95">
        <v>0</v>
      </c>
      <c r="AU7" s="96">
        <v>0</v>
      </c>
      <c r="AV7" s="75"/>
      <c r="AW7" s="110"/>
      <c r="AX7" s="113"/>
      <c r="AY7" s="7" t="s">
        <v>5</v>
      </c>
      <c r="AZ7" s="25">
        <v>0</v>
      </c>
      <c r="BA7" s="71">
        <v>0</v>
      </c>
      <c r="BB7" s="75"/>
      <c r="BC7" s="110"/>
      <c r="BD7" s="113"/>
      <c r="BE7" s="7" t="s">
        <v>5</v>
      </c>
      <c r="BF7" s="25">
        <v>0</v>
      </c>
      <c r="BG7" s="71">
        <v>0</v>
      </c>
      <c r="BH7" s="75"/>
      <c r="BI7" s="110"/>
      <c r="BJ7" s="113"/>
      <c r="BK7" s="7" t="s">
        <v>5</v>
      </c>
      <c r="BL7" s="25">
        <v>0</v>
      </c>
      <c r="BM7" s="71">
        <v>0</v>
      </c>
      <c r="BN7" s="75"/>
      <c r="BO7" s="110"/>
      <c r="BP7" s="113"/>
      <c r="BQ7" s="7" t="s">
        <v>5</v>
      </c>
      <c r="BR7" s="25">
        <v>0</v>
      </c>
      <c r="BS7" s="71">
        <v>0</v>
      </c>
      <c r="BT7" s="75"/>
      <c r="BU7" s="110"/>
      <c r="BV7" s="113"/>
      <c r="BW7" s="7" t="s">
        <v>5</v>
      </c>
      <c r="BX7" s="8">
        <f>SUM(D7+J7+P7+V7+AB7+AH7+AN7+AT7+AZ7+BF7+BL7+BR7)</f>
        <v>0</v>
      </c>
      <c r="BY7" s="9">
        <f>SUM(E7+K7+Q7+W7+AC7+AI7+AO7+AU7+BA7+BG7+BM7+BS7)</f>
        <v>0</v>
      </c>
      <c r="BZ7" s="3"/>
    </row>
    <row r="8" spans="1:78" ht="20.100000000000001" customHeight="1" thickBot="1" x14ac:dyDescent="0.25">
      <c r="A8" s="110"/>
      <c r="B8" s="114" t="s">
        <v>6</v>
      </c>
      <c r="C8" s="118"/>
      <c r="D8" s="26">
        <f>SUM(D6:D7)</f>
        <v>0</v>
      </c>
      <c r="E8" s="10">
        <f>SUM(E6:E7)</f>
        <v>0</v>
      </c>
      <c r="F8" s="75"/>
      <c r="G8" s="110"/>
      <c r="H8" s="114" t="s">
        <v>6</v>
      </c>
      <c r="I8" s="118"/>
      <c r="J8" s="26">
        <f>SUM(J6:J7)</f>
        <v>0</v>
      </c>
      <c r="K8" s="10">
        <f>SUM(K6:K7)</f>
        <v>0</v>
      </c>
      <c r="L8" s="75"/>
      <c r="M8" s="110"/>
      <c r="N8" s="114" t="s">
        <v>6</v>
      </c>
      <c r="O8" s="118"/>
      <c r="P8" s="26">
        <f>SUM(P6:P7)</f>
        <v>0</v>
      </c>
      <c r="Q8" s="10">
        <f>SUM(Q6:Q7)</f>
        <v>0</v>
      </c>
      <c r="R8" s="75"/>
      <c r="S8" s="110"/>
      <c r="T8" s="114" t="s">
        <v>6</v>
      </c>
      <c r="U8" s="118"/>
      <c r="V8" s="26">
        <f>SUM(V6:V7)</f>
        <v>0</v>
      </c>
      <c r="W8" s="10">
        <f>SUM(W6:W7)</f>
        <v>0</v>
      </c>
      <c r="X8" s="75"/>
      <c r="Y8" s="110"/>
      <c r="Z8" s="114" t="s">
        <v>6</v>
      </c>
      <c r="AA8" s="118"/>
      <c r="AB8" s="26">
        <f>SUM(AB6:AB7)</f>
        <v>0</v>
      </c>
      <c r="AC8" s="10">
        <f>SUM(AC6:AC7)</f>
        <v>0</v>
      </c>
      <c r="AD8" s="75"/>
      <c r="AE8" s="110"/>
      <c r="AF8" s="114" t="s">
        <v>6</v>
      </c>
      <c r="AG8" s="118"/>
      <c r="AH8" s="26">
        <f>SUM(AH6:AH7)</f>
        <v>0</v>
      </c>
      <c r="AI8" s="10">
        <f>SUM(AI6:AI7)</f>
        <v>0</v>
      </c>
      <c r="AJ8" s="75"/>
      <c r="AK8" s="110"/>
      <c r="AL8" s="114" t="s">
        <v>6</v>
      </c>
      <c r="AM8" s="118"/>
      <c r="AN8" s="26">
        <f>SUM(AN6:AN7)</f>
        <v>0</v>
      </c>
      <c r="AO8" s="10">
        <f>SUM(AO6:AO7)</f>
        <v>0</v>
      </c>
      <c r="AP8" s="75"/>
      <c r="AQ8" s="110"/>
      <c r="AR8" s="114" t="s">
        <v>6</v>
      </c>
      <c r="AS8" s="118"/>
      <c r="AT8" s="97">
        <f t="shared" ref="AT8:AU8" si="0">SUM(AT6:AT7)</f>
        <v>0</v>
      </c>
      <c r="AU8" s="97">
        <f t="shared" si="0"/>
        <v>0</v>
      </c>
      <c r="AV8" s="75"/>
      <c r="AW8" s="110"/>
      <c r="AX8" s="114" t="s">
        <v>6</v>
      </c>
      <c r="AY8" s="118"/>
      <c r="AZ8" s="26">
        <f>SUM(AZ6:AZ7)</f>
        <v>0</v>
      </c>
      <c r="BA8" s="10">
        <f>SUM(BA6:BA7)</f>
        <v>0</v>
      </c>
      <c r="BB8" s="75"/>
      <c r="BC8" s="110"/>
      <c r="BD8" s="114" t="s">
        <v>6</v>
      </c>
      <c r="BE8" s="118"/>
      <c r="BF8" s="26">
        <f>SUM(BF6:BF7)</f>
        <v>0</v>
      </c>
      <c r="BG8" s="10">
        <f>SUM(BG6:BG7)</f>
        <v>0</v>
      </c>
      <c r="BH8" s="75"/>
      <c r="BI8" s="110"/>
      <c r="BJ8" s="114" t="s">
        <v>6</v>
      </c>
      <c r="BK8" s="118"/>
      <c r="BL8" s="26">
        <f>SUM(BL6:BL7)</f>
        <v>0</v>
      </c>
      <c r="BM8" s="10">
        <f>SUM(BM6:BM7)</f>
        <v>0</v>
      </c>
      <c r="BN8" s="75"/>
      <c r="BO8" s="110"/>
      <c r="BP8" s="114" t="s">
        <v>6</v>
      </c>
      <c r="BQ8" s="118"/>
      <c r="BR8" s="26">
        <f>SUM(BR6:BR7)</f>
        <v>0</v>
      </c>
      <c r="BS8" s="10">
        <f>SUM(BS6:BS7)</f>
        <v>0</v>
      </c>
      <c r="BT8" s="75"/>
      <c r="BU8" s="110"/>
      <c r="BV8" s="114" t="s">
        <v>6</v>
      </c>
      <c r="BW8" s="115"/>
      <c r="BX8" s="12">
        <f>SUM(BX6:BX7)</f>
        <v>0</v>
      </c>
      <c r="BY8" s="17">
        <f>SUM(BY6:BY7)</f>
        <v>0</v>
      </c>
      <c r="BZ8" s="3"/>
    </row>
    <row r="9" spans="1:78" ht="20.100000000000001" customHeight="1" x14ac:dyDescent="0.2">
      <c r="A9" s="110"/>
      <c r="B9" s="119" t="s">
        <v>7</v>
      </c>
      <c r="C9" s="4" t="s">
        <v>4</v>
      </c>
      <c r="D9" s="24">
        <v>0</v>
      </c>
      <c r="E9" s="70">
        <v>0</v>
      </c>
      <c r="F9" s="75"/>
      <c r="G9" s="110"/>
      <c r="H9" s="119" t="s">
        <v>7</v>
      </c>
      <c r="I9" s="4" t="s">
        <v>4</v>
      </c>
      <c r="J9" s="24">
        <v>0</v>
      </c>
      <c r="K9" s="70">
        <v>0</v>
      </c>
      <c r="L9" s="75"/>
      <c r="M9" s="110"/>
      <c r="N9" s="119" t="s">
        <v>7</v>
      </c>
      <c r="O9" s="4" t="s">
        <v>4</v>
      </c>
      <c r="P9" s="24">
        <v>0</v>
      </c>
      <c r="Q9" s="70">
        <v>0</v>
      </c>
      <c r="R9" s="75"/>
      <c r="S9" s="110"/>
      <c r="T9" s="119" t="s">
        <v>7</v>
      </c>
      <c r="U9" s="4" t="s">
        <v>4</v>
      </c>
      <c r="V9" s="24">
        <v>0</v>
      </c>
      <c r="W9" s="70">
        <v>0</v>
      </c>
      <c r="X9" s="75"/>
      <c r="Y9" s="110"/>
      <c r="Z9" s="119" t="s">
        <v>7</v>
      </c>
      <c r="AA9" s="4" t="s">
        <v>4</v>
      </c>
      <c r="AB9" s="24">
        <v>0</v>
      </c>
      <c r="AC9" s="70">
        <v>0</v>
      </c>
      <c r="AD9" s="75"/>
      <c r="AE9" s="110"/>
      <c r="AF9" s="119" t="s">
        <v>7</v>
      </c>
      <c r="AG9" s="4" t="s">
        <v>4</v>
      </c>
      <c r="AH9" s="24">
        <v>0</v>
      </c>
      <c r="AI9" s="70">
        <v>0</v>
      </c>
      <c r="AJ9" s="75"/>
      <c r="AK9" s="110"/>
      <c r="AL9" s="119" t="s">
        <v>7</v>
      </c>
      <c r="AM9" s="4" t="s">
        <v>4</v>
      </c>
      <c r="AN9" s="24">
        <v>0</v>
      </c>
      <c r="AO9" s="70">
        <v>0</v>
      </c>
      <c r="AP9" s="75"/>
      <c r="AQ9" s="110"/>
      <c r="AR9" s="119" t="s">
        <v>7</v>
      </c>
      <c r="AS9" s="4" t="s">
        <v>4</v>
      </c>
      <c r="AT9" s="93">
        <v>0</v>
      </c>
      <c r="AU9" s="94">
        <v>0</v>
      </c>
      <c r="AV9" s="75"/>
      <c r="AW9" s="110"/>
      <c r="AX9" s="119" t="s">
        <v>7</v>
      </c>
      <c r="AY9" s="4" t="s">
        <v>4</v>
      </c>
      <c r="AZ9" s="24">
        <v>0</v>
      </c>
      <c r="BA9" s="70">
        <v>0</v>
      </c>
      <c r="BB9" s="75"/>
      <c r="BC9" s="110"/>
      <c r="BD9" s="119" t="s">
        <v>7</v>
      </c>
      <c r="BE9" s="4" t="s">
        <v>4</v>
      </c>
      <c r="BF9" s="24">
        <v>0</v>
      </c>
      <c r="BG9" s="70">
        <v>0</v>
      </c>
      <c r="BH9" s="75"/>
      <c r="BI9" s="110"/>
      <c r="BJ9" s="119" t="s">
        <v>7</v>
      </c>
      <c r="BK9" s="4" t="s">
        <v>4</v>
      </c>
      <c r="BL9" s="24">
        <v>0</v>
      </c>
      <c r="BM9" s="70">
        <v>0</v>
      </c>
      <c r="BN9" s="75"/>
      <c r="BO9" s="110"/>
      <c r="BP9" s="119" t="s">
        <v>7</v>
      </c>
      <c r="BQ9" s="4" t="s">
        <v>4</v>
      </c>
      <c r="BR9" s="24">
        <v>0</v>
      </c>
      <c r="BS9" s="70">
        <v>0</v>
      </c>
      <c r="BT9" s="75"/>
      <c r="BU9" s="110"/>
      <c r="BV9" s="121" t="s">
        <v>7</v>
      </c>
      <c r="BW9" s="4" t="s">
        <v>4</v>
      </c>
      <c r="BX9" s="5">
        <f>SUM(D9+J9+P9+V9+AB9+AH9+AN9+AT9+AZ9+BF9+BL9+BR9)</f>
        <v>0</v>
      </c>
      <c r="BY9" s="6">
        <f>SUM(E9+K9+Q9+W9+AC9+AI9+AO9+AU9+BA9+BG9+BM9+BS9)</f>
        <v>0</v>
      </c>
      <c r="BZ9" s="3"/>
    </row>
    <row r="10" spans="1:78" ht="20.100000000000001" customHeight="1" thickBot="1" x14ac:dyDescent="0.25">
      <c r="A10" s="110"/>
      <c r="B10" s="120"/>
      <c r="C10" s="7" t="s">
        <v>5</v>
      </c>
      <c r="D10" s="25">
        <v>0</v>
      </c>
      <c r="E10" s="71">
        <v>0</v>
      </c>
      <c r="F10" s="75"/>
      <c r="G10" s="110"/>
      <c r="H10" s="120"/>
      <c r="I10" s="7" t="s">
        <v>5</v>
      </c>
      <c r="J10" s="25">
        <v>0</v>
      </c>
      <c r="K10" s="71">
        <v>0</v>
      </c>
      <c r="L10" s="75"/>
      <c r="M10" s="110"/>
      <c r="N10" s="120"/>
      <c r="O10" s="7" t="s">
        <v>5</v>
      </c>
      <c r="P10" s="25">
        <v>0</v>
      </c>
      <c r="Q10" s="71">
        <v>0</v>
      </c>
      <c r="R10" s="75"/>
      <c r="S10" s="110"/>
      <c r="T10" s="120"/>
      <c r="U10" s="7" t="s">
        <v>5</v>
      </c>
      <c r="V10" s="25">
        <v>0</v>
      </c>
      <c r="W10" s="71">
        <v>0</v>
      </c>
      <c r="X10" s="75"/>
      <c r="Y10" s="110"/>
      <c r="Z10" s="120"/>
      <c r="AA10" s="7" t="s">
        <v>5</v>
      </c>
      <c r="AB10" s="25">
        <v>0</v>
      </c>
      <c r="AC10" s="71">
        <v>0</v>
      </c>
      <c r="AD10" s="75"/>
      <c r="AE10" s="110"/>
      <c r="AF10" s="120"/>
      <c r="AG10" s="7" t="s">
        <v>5</v>
      </c>
      <c r="AH10" s="25">
        <v>0</v>
      </c>
      <c r="AI10" s="71">
        <v>0</v>
      </c>
      <c r="AJ10" s="75"/>
      <c r="AK10" s="110"/>
      <c r="AL10" s="120"/>
      <c r="AM10" s="7" t="s">
        <v>5</v>
      </c>
      <c r="AN10" s="25">
        <v>0</v>
      </c>
      <c r="AO10" s="71">
        <v>0</v>
      </c>
      <c r="AP10" s="75"/>
      <c r="AQ10" s="110"/>
      <c r="AR10" s="120"/>
      <c r="AS10" s="7" t="s">
        <v>5</v>
      </c>
      <c r="AT10" s="95">
        <v>0</v>
      </c>
      <c r="AU10" s="96">
        <v>0</v>
      </c>
      <c r="AV10" s="75"/>
      <c r="AW10" s="110"/>
      <c r="AX10" s="120"/>
      <c r="AY10" s="7" t="s">
        <v>5</v>
      </c>
      <c r="AZ10" s="25">
        <v>0</v>
      </c>
      <c r="BA10" s="71">
        <v>0</v>
      </c>
      <c r="BB10" s="75"/>
      <c r="BC10" s="110"/>
      <c r="BD10" s="120"/>
      <c r="BE10" s="7" t="s">
        <v>5</v>
      </c>
      <c r="BF10" s="25">
        <v>0</v>
      </c>
      <c r="BG10" s="71">
        <v>0</v>
      </c>
      <c r="BH10" s="75"/>
      <c r="BI10" s="110"/>
      <c r="BJ10" s="120"/>
      <c r="BK10" s="7" t="s">
        <v>5</v>
      </c>
      <c r="BL10" s="25">
        <v>0</v>
      </c>
      <c r="BM10" s="71">
        <v>0</v>
      </c>
      <c r="BN10" s="75"/>
      <c r="BO10" s="110"/>
      <c r="BP10" s="120"/>
      <c r="BQ10" s="7" t="s">
        <v>5</v>
      </c>
      <c r="BR10" s="25">
        <v>0</v>
      </c>
      <c r="BS10" s="71">
        <v>0</v>
      </c>
      <c r="BT10" s="75"/>
      <c r="BU10" s="110"/>
      <c r="BV10" s="122"/>
      <c r="BW10" s="7" t="s">
        <v>5</v>
      </c>
      <c r="BX10" s="8">
        <f>SUM(D10+J10+P10+V10+AB10+AH10+AN10+AT10+AZ10+BF10+BL10+BR10)</f>
        <v>0</v>
      </c>
      <c r="BY10" s="9">
        <f>SUM(E10+K10+Q10+W10+AC10+AI10+AO10+AU10+BA10+BG10+BM10+BS10)</f>
        <v>0</v>
      </c>
      <c r="BZ10" s="3"/>
    </row>
    <row r="11" spans="1:78" ht="20.100000000000001" customHeight="1" thickBot="1" x14ac:dyDescent="0.25">
      <c r="A11" s="111"/>
      <c r="B11" s="116" t="s">
        <v>8</v>
      </c>
      <c r="C11" s="117"/>
      <c r="D11" s="26">
        <f>SUM(D9:D10)</f>
        <v>0</v>
      </c>
      <c r="E11" s="10">
        <f>SUM(E9:E10)</f>
        <v>0</v>
      </c>
      <c r="F11" s="75"/>
      <c r="G11" s="111"/>
      <c r="H11" s="116" t="s">
        <v>8</v>
      </c>
      <c r="I11" s="117"/>
      <c r="J11" s="26">
        <f>SUM(J9:J10)</f>
        <v>0</v>
      </c>
      <c r="K11" s="10">
        <f>SUM(K9:K10)</f>
        <v>0</v>
      </c>
      <c r="L11" s="75"/>
      <c r="M11" s="111"/>
      <c r="N11" s="116" t="s">
        <v>8</v>
      </c>
      <c r="O11" s="117"/>
      <c r="P11" s="26">
        <f>SUM(P9:P10)</f>
        <v>0</v>
      </c>
      <c r="Q11" s="10">
        <f>SUM(Q9:Q10)</f>
        <v>0</v>
      </c>
      <c r="R11" s="75"/>
      <c r="S11" s="111"/>
      <c r="T11" s="116" t="s">
        <v>8</v>
      </c>
      <c r="U11" s="117"/>
      <c r="V11" s="26">
        <f>SUM(V9:V10)</f>
        <v>0</v>
      </c>
      <c r="W11" s="10">
        <f>SUM(W9:W10)</f>
        <v>0</v>
      </c>
      <c r="X11" s="75"/>
      <c r="Y11" s="111"/>
      <c r="Z11" s="116" t="s">
        <v>8</v>
      </c>
      <c r="AA11" s="117"/>
      <c r="AB11" s="26">
        <f>SUM(AB9:AB10)</f>
        <v>0</v>
      </c>
      <c r="AC11" s="10">
        <f>SUM(AC9:AC10)</f>
        <v>0</v>
      </c>
      <c r="AD11" s="75"/>
      <c r="AE11" s="111"/>
      <c r="AF11" s="116" t="s">
        <v>8</v>
      </c>
      <c r="AG11" s="117"/>
      <c r="AH11" s="26">
        <f>SUM(AH9:AH10)</f>
        <v>0</v>
      </c>
      <c r="AI11" s="10">
        <f>SUM(AI9:AI10)</f>
        <v>0</v>
      </c>
      <c r="AJ11" s="75"/>
      <c r="AK11" s="111"/>
      <c r="AL11" s="116" t="s">
        <v>8</v>
      </c>
      <c r="AM11" s="117"/>
      <c r="AN11" s="26">
        <f>SUM(AN9:AN10)</f>
        <v>0</v>
      </c>
      <c r="AO11" s="10">
        <f>SUM(AO9:AO10)</f>
        <v>0</v>
      </c>
      <c r="AP11" s="75"/>
      <c r="AQ11" s="111"/>
      <c r="AR11" s="116" t="s">
        <v>8</v>
      </c>
      <c r="AS11" s="117"/>
      <c r="AT11" s="97">
        <f t="shared" ref="AT11:AU11" si="1">SUM(AT9:AT10)</f>
        <v>0</v>
      </c>
      <c r="AU11" s="97">
        <f t="shared" si="1"/>
        <v>0</v>
      </c>
      <c r="AV11" s="75"/>
      <c r="AW11" s="111"/>
      <c r="AX11" s="116" t="s">
        <v>8</v>
      </c>
      <c r="AY11" s="117"/>
      <c r="AZ11" s="26">
        <f>SUM(AZ9:AZ10)</f>
        <v>0</v>
      </c>
      <c r="BA11" s="10">
        <f>SUM(BA9:BA10)</f>
        <v>0</v>
      </c>
      <c r="BB11" s="75"/>
      <c r="BC11" s="111"/>
      <c r="BD11" s="116" t="s">
        <v>8</v>
      </c>
      <c r="BE11" s="117"/>
      <c r="BF11" s="26">
        <f>SUM(BF9:BF10)</f>
        <v>0</v>
      </c>
      <c r="BG11" s="10">
        <f>SUM(BG9:BG10)</f>
        <v>0</v>
      </c>
      <c r="BH11" s="75"/>
      <c r="BI11" s="111"/>
      <c r="BJ11" s="116" t="s">
        <v>8</v>
      </c>
      <c r="BK11" s="117"/>
      <c r="BL11" s="26">
        <f>SUM(BL9:BL10)</f>
        <v>0</v>
      </c>
      <c r="BM11" s="10">
        <f>SUM(BM9:BM10)</f>
        <v>0</v>
      </c>
      <c r="BN11" s="75"/>
      <c r="BO11" s="111"/>
      <c r="BP11" s="116" t="s">
        <v>8</v>
      </c>
      <c r="BQ11" s="117"/>
      <c r="BR11" s="26">
        <f>SUM(BR9:BR10)</f>
        <v>0</v>
      </c>
      <c r="BS11" s="10">
        <f>SUM(BS9:BS10)</f>
        <v>0</v>
      </c>
      <c r="BT11" s="75"/>
      <c r="BU11" s="111"/>
      <c r="BV11" s="114" t="s">
        <v>8</v>
      </c>
      <c r="BW11" s="115"/>
      <c r="BX11" s="10">
        <f>SUM(BX9:BX10)</f>
        <v>0</v>
      </c>
      <c r="BY11" s="11">
        <f>SUM(BY9:BY10)</f>
        <v>0</v>
      </c>
      <c r="BZ11" s="3"/>
    </row>
    <row r="12" spans="1:78" ht="20.100000000000001" customHeight="1" thickBot="1" x14ac:dyDescent="0.25">
      <c r="A12" s="13"/>
      <c r="B12" s="106" t="s">
        <v>9</v>
      </c>
      <c r="C12" s="107"/>
      <c r="D12" s="27">
        <f>SUM(D8+D11)</f>
        <v>0</v>
      </c>
      <c r="E12" s="14">
        <f>SUM(E8+E11)</f>
        <v>0</v>
      </c>
      <c r="F12" s="75"/>
      <c r="G12" s="13"/>
      <c r="H12" s="106" t="s">
        <v>9</v>
      </c>
      <c r="I12" s="107"/>
      <c r="J12" s="27">
        <f>SUM(J8+J11)</f>
        <v>0</v>
      </c>
      <c r="K12" s="14">
        <f>SUM(K8+K11)</f>
        <v>0</v>
      </c>
      <c r="L12" s="75"/>
      <c r="M12" s="13"/>
      <c r="N12" s="106" t="s">
        <v>9</v>
      </c>
      <c r="O12" s="107"/>
      <c r="P12" s="27">
        <f>SUM(P8+P11)</f>
        <v>0</v>
      </c>
      <c r="Q12" s="14">
        <f>SUM(Q8+Q11)</f>
        <v>0</v>
      </c>
      <c r="R12" s="75"/>
      <c r="S12" s="13"/>
      <c r="T12" s="106" t="s">
        <v>9</v>
      </c>
      <c r="U12" s="107"/>
      <c r="V12" s="27">
        <f>SUM(V8+V11)</f>
        <v>0</v>
      </c>
      <c r="W12" s="14">
        <f>SUM(W8+W11)</f>
        <v>0</v>
      </c>
      <c r="X12" s="75"/>
      <c r="Y12" s="13"/>
      <c r="Z12" s="106" t="s">
        <v>9</v>
      </c>
      <c r="AA12" s="107"/>
      <c r="AB12" s="27">
        <f>SUM(AB8+AB11)</f>
        <v>0</v>
      </c>
      <c r="AC12" s="14">
        <f>SUM(AC8+AC11)</f>
        <v>0</v>
      </c>
      <c r="AD12" s="75"/>
      <c r="AE12" s="13"/>
      <c r="AF12" s="106" t="s">
        <v>9</v>
      </c>
      <c r="AG12" s="107"/>
      <c r="AH12" s="27">
        <f>SUM(AH8+AH11)</f>
        <v>0</v>
      </c>
      <c r="AI12" s="14">
        <f>SUM(AI8+AI11)</f>
        <v>0</v>
      </c>
      <c r="AJ12" s="75"/>
      <c r="AK12" s="13"/>
      <c r="AL12" s="106" t="s">
        <v>9</v>
      </c>
      <c r="AM12" s="107"/>
      <c r="AN12" s="27">
        <f>SUM(AN8+AN11)</f>
        <v>0</v>
      </c>
      <c r="AO12" s="14">
        <f>SUM(AO8+AO11)</f>
        <v>0</v>
      </c>
      <c r="AP12" s="75"/>
      <c r="AQ12" s="13"/>
      <c r="AR12" s="106" t="s">
        <v>9</v>
      </c>
      <c r="AS12" s="107"/>
      <c r="AT12" s="98">
        <f t="shared" ref="AT12:AU12" si="2">SUM(AT8+AT11)</f>
        <v>0</v>
      </c>
      <c r="AU12" s="99">
        <f t="shared" si="2"/>
        <v>0</v>
      </c>
      <c r="AV12" s="75"/>
      <c r="AW12" s="13"/>
      <c r="AX12" s="106" t="s">
        <v>9</v>
      </c>
      <c r="AY12" s="107"/>
      <c r="AZ12" s="27">
        <f>SUM(AZ8+AZ11)</f>
        <v>0</v>
      </c>
      <c r="BA12" s="14">
        <f>SUM(BA8+BA11)</f>
        <v>0</v>
      </c>
      <c r="BB12" s="75"/>
      <c r="BC12" s="13"/>
      <c r="BD12" s="106" t="s">
        <v>9</v>
      </c>
      <c r="BE12" s="107"/>
      <c r="BF12" s="27">
        <f>SUM(BF8+BF11)</f>
        <v>0</v>
      </c>
      <c r="BG12" s="14">
        <f>SUM(BG8+BG11)</f>
        <v>0</v>
      </c>
      <c r="BH12" s="75"/>
      <c r="BI12" s="13"/>
      <c r="BJ12" s="106" t="s">
        <v>9</v>
      </c>
      <c r="BK12" s="107"/>
      <c r="BL12" s="27">
        <f>SUM(BL8+BL11)</f>
        <v>0</v>
      </c>
      <c r="BM12" s="14">
        <f>SUM(BM8+BM11)</f>
        <v>0</v>
      </c>
      <c r="BN12" s="75"/>
      <c r="BO12" s="13"/>
      <c r="BP12" s="106" t="s">
        <v>9</v>
      </c>
      <c r="BQ12" s="107"/>
      <c r="BR12" s="27">
        <f>SUM(BR8+BR11)</f>
        <v>0</v>
      </c>
      <c r="BS12" s="14">
        <f>SUM(BS8+BS11)</f>
        <v>0</v>
      </c>
      <c r="BT12" s="75"/>
      <c r="BU12" s="13"/>
      <c r="BV12" s="106" t="s">
        <v>9</v>
      </c>
      <c r="BW12" s="108"/>
      <c r="BX12" s="14">
        <f>SUM(BX8+BX11)</f>
        <v>0</v>
      </c>
      <c r="BY12" s="20">
        <f>SUM(BY8+BY11)</f>
        <v>0</v>
      </c>
      <c r="BZ12" s="3"/>
    </row>
    <row r="13" spans="1:78" ht="20.100000000000001" customHeight="1" x14ac:dyDescent="0.2">
      <c r="A13" s="109" t="s">
        <v>22</v>
      </c>
      <c r="B13" s="112" t="s">
        <v>1</v>
      </c>
      <c r="C13" s="4" t="s">
        <v>4</v>
      </c>
      <c r="D13" s="24">
        <v>0</v>
      </c>
      <c r="E13" s="70">
        <v>0</v>
      </c>
      <c r="F13" s="75"/>
      <c r="G13" s="109" t="s">
        <v>22</v>
      </c>
      <c r="H13" s="112" t="s">
        <v>1</v>
      </c>
      <c r="I13" s="4" t="s">
        <v>4</v>
      </c>
      <c r="J13" s="24">
        <v>0</v>
      </c>
      <c r="K13" s="70">
        <v>0</v>
      </c>
      <c r="L13" s="75"/>
      <c r="M13" s="109" t="s">
        <v>22</v>
      </c>
      <c r="N13" s="112" t="s">
        <v>1</v>
      </c>
      <c r="O13" s="4" t="s">
        <v>4</v>
      </c>
      <c r="P13" s="24">
        <v>0</v>
      </c>
      <c r="Q13" s="70">
        <v>0</v>
      </c>
      <c r="R13" s="75"/>
      <c r="S13" s="109" t="s">
        <v>22</v>
      </c>
      <c r="T13" s="112" t="s">
        <v>1</v>
      </c>
      <c r="U13" s="4" t="s">
        <v>4</v>
      </c>
      <c r="V13" s="24">
        <v>0</v>
      </c>
      <c r="W13" s="70">
        <v>0</v>
      </c>
      <c r="X13" s="75"/>
      <c r="Y13" s="109" t="s">
        <v>22</v>
      </c>
      <c r="Z13" s="112" t="s">
        <v>1</v>
      </c>
      <c r="AA13" s="4" t="s">
        <v>4</v>
      </c>
      <c r="AB13" s="24">
        <v>0</v>
      </c>
      <c r="AC13" s="70">
        <v>0</v>
      </c>
      <c r="AD13" s="75"/>
      <c r="AE13" s="109" t="s">
        <v>22</v>
      </c>
      <c r="AF13" s="112" t="s">
        <v>1</v>
      </c>
      <c r="AG13" s="4" t="s">
        <v>4</v>
      </c>
      <c r="AH13" s="24">
        <v>0</v>
      </c>
      <c r="AI13" s="70">
        <v>0</v>
      </c>
      <c r="AJ13" s="75"/>
      <c r="AK13" s="109" t="s">
        <v>22</v>
      </c>
      <c r="AL13" s="112" t="s">
        <v>1</v>
      </c>
      <c r="AM13" s="4" t="s">
        <v>4</v>
      </c>
      <c r="AN13" s="24">
        <v>0</v>
      </c>
      <c r="AO13" s="70">
        <v>0</v>
      </c>
      <c r="AP13" s="75"/>
      <c r="AQ13" s="109" t="s">
        <v>22</v>
      </c>
      <c r="AR13" s="112" t="s">
        <v>1</v>
      </c>
      <c r="AS13" s="4" t="s">
        <v>4</v>
      </c>
      <c r="AT13" s="93">
        <v>0</v>
      </c>
      <c r="AU13" s="94">
        <v>0</v>
      </c>
      <c r="AV13" s="75"/>
      <c r="AW13" s="109" t="s">
        <v>22</v>
      </c>
      <c r="AX13" s="112" t="s">
        <v>1</v>
      </c>
      <c r="AY13" s="4" t="s">
        <v>4</v>
      </c>
      <c r="AZ13" s="24">
        <v>0</v>
      </c>
      <c r="BA13" s="70">
        <v>0</v>
      </c>
      <c r="BB13" s="75"/>
      <c r="BC13" s="109" t="s">
        <v>22</v>
      </c>
      <c r="BD13" s="112" t="s">
        <v>1</v>
      </c>
      <c r="BE13" s="4" t="s">
        <v>4</v>
      </c>
      <c r="BF13" s="24">
        <v>0</v>
      </c>
      <c r="BG13" s="70">
        <v>0</v>
      </c>
      <c r="BH13" s="75"/>
      <c r="BI13" s="109" t="s">
        <v>22</v>
      </c>
      <c r="BJ13" s="112" t="s">
        <v>1</v>
      </c>
      <c r="BK13" s="4" t="s">
        <v>4</v>
      </c>
      <c r="BL13" s="24">
        <v>0</v>
      </c>
      <c r="BM13" s="70">
        <v>0</v>
      </c>
      <c r="BN13" s="75"/>
      <c r="BO13" s="109" t="s">
        <v>22</v>
      </c>
      <c r="BP13" s="112" t="s">
        <v>1</v>
      </c>
      <c r="BQ13" s="4" t="s">
        <v>4</v>
      </c>
      <c r="BR13" s="24">
        <v>0</v>
      </c>
      <c r="BS13" s="70">
        <v>0</v>
      </c>
      <c r="BT13" s="75"/>
      <c r="BU13" s="109" t="str">
        <f>BO13</f>
        <v>الجامعة</v>
      </c>
      <c r="BV13" s="112" t="s">
        <v>1</v>
      </c>
      <c r="BW13" s="4" t="s">
        <v>4</v>
      </c>
      <c r="BX13" s="5">
        <f>SUM(D13+J13+P13+V13+AB13+AH13+AN13+AT13+AZ13+BF13+BL13+BR13)</f>
        <v>0</v>
      </c>
      <c r="BY13" s="6">
        <f>SUM(E13+K13+Q13+W13+AC13+AI13+AO13+AU13+BA13+BG13+BM13+BS13)</f>
        <v>0</v>
      </c>
      <c r="BZ13" s="3"/>
    </row>
    <row r="14" spans="1:78" ht="20.100000000000001" customHeight="1" thickBot="1" x14ac:dyDescent="0.25">
      <c r="A14" s="110"/>
      <c r="B14" s="113"/>
      <c r="C14" s="7" t="s">
        <v>5</v>
      </c>
      <c r="D14" s="25">
        <v>0</v>
      </c>
      <c r="E14" s="71">
        <v>0</v>
      </c>
      <c r="F14" s="75"/>
      <c r="G14" s="110"/>
      <c r="H14" s="113"/>
      <c r="I14" s="7" t="s">
        <v>5</v>
      </c>
      <c r="J14" s="25">
        <v>0</v>
      </c>
      <c r="K14" s="71">
        <v>0</v>
      </c>
      <c r="L14" s="75"/>
      <c r="M14" s="110"/>
      <c r="N14" s="113"/>
      <c r="O14" s="7" t="s">
        <v>5</v>
      </c>
      <c r="P14" s="25">
        <v>0</v>
      </c>
      <c r="Q14" s="71">
        <v>0</v>
      </c>
      <c r="R14" s="75"/>
      <c r="S14" s="110"/>
      <c r="T14" s="113"/>
      <c r="U14" s="7" t="s">
        <v>5</v>
      </c>
      <c r="V14" s="25">
        <v>0</v>
      </c>
      <c r="W14" s="71">
        <v>0</v>
      </c>
      <c r="X14" s="75"/>
      <c r="Y14" s="110"/>
      <c r="Z14" s="113"/>
      <c r="AA14" s="7" t="s">
        <v>5</v>
      </c>
      <c r="AB14" s="25">
        <v>0</v>
      </c>
      <c r="AC14" s="71">
        <v>0</v>
      </c>
      <c r="AD14" s="75"/>
      <c r="AE14" s="110"/>
      <c r="AF14" s="113"/>
      <c r="AG14" s="7" t="s">
        <v>5</v>
      </c>
      <c r="AH14" s="25">
        <v>0</v>
      </c>
      <c r="AI14" s="71">
        <v>0</v>
      </c>
      <c r="AJ14" s="75"/>
      <c r="AK14" s="110"/>
      <c r="AL14" s="113"/>
      <c r="AM14" s="7" t="s">
        <v>5</v>
      </c>
      <c r="AN14" s="25">
        <v>0</v>
      </c>
      <c r="AO14" s="71">
        <v>0</v>
      </c>
      <c r="AP14" s="75"/>
      <c r="AQ14" s="110"/>
      <c r="AR14" s="113"/>
      <c r="AS14" s="7" t="s">
        <v>5</v>
      </c>
      <c r="AT14" s="95">
        <v>0</v>
      </c>
      <c r="AU14" s="96">
        <v>0</v>
      </c>
      <c r="AV14" s="75"/>
      <c r="AW14" s="110"/>
      <c r="AX14" s="113"/>
      <c r="AY14" s="7" t="s">
        <v>5</v>
      </c>
      <c r="AZ14" s="25">
        <v>0</v>
      </c>
      <c r="BA14" s="71">
        <v>0</v>
      </c>
      <c r="BB14" s="75"/>
      <c r="BC14" s="110"/>
      <c r="BD14" s="113"/>
      <c r="BE14" s="7" t="s">
        <v>5</v>
      </c>
      <c r="BF14" s="25">
        <v>0</v>
      </c>
      <c r="BG14" s="71">
        <v>0</v>
      </c>
      <c r="BH14" s="75"/>
      <c r="BI14" s="110"/>
      <c r="BJ14" s="113"/>
      <c r="BK14" s="7" t="s">
        <v>5</v>
      </c>
      <c r="BL14" s="25">
        <v>0</v>
      </c>
      <c r="BM14" s="71">
        <v>0</v>
      </c>
      <c r="BN14" s="75"/>
      <c r="BO14" s="110"/>
      <c r="BP14" s="113"/>
      <c r="BQ14" s="7" t="s">
        <v>5</v>
      </c>
      <c r="BR14" s="25">
        <v>0</v>
      </c>
      <c r="BS14" s="71">
        <v>0</v>
      </c>
      <c r="BT14" s="75"/>
      <c r="BU14" s="110"/>
      <c r="BV14" s="113"/>
      <c r="BW14" s="7" t="s">
        <v>5</v>
      </c>
      <c r="BX14" s="8">
        <f>SUM(D14+J14+P14+V14+AB14+AH14+AN14+AT14+AZ14+BF14+BL14+BR14)</f>
        <v>0</v>
      </c>
      <c r="BY14" s="9">
        <f>SUM(E14+K14+Q14+W14+AC14+AI14+AO14+AU14+BA14+BG14+BM14+BS14)</f>
        <v>0</v>
      </c>
      <c r="BZ14" s="3"/>
    </row>
    <row r="15" spans="1:78" ht="20.100000000000001" customHeight="1" thickBot="1" x14ac:dyDescent="0.25">
      <c r="A15" s="110"/>
      <c r="B15" s="114" t="s">
        <v>6</v>
      </c>
      <c r="C15" s="118"/>
      <c r="D15" s="26">
        <f>SUM(D13:D14)</f>
        <v>0</v>
      </c>
      <c r="E15" s="10">
        <f>SUM(E13:E14)</f>
        <v>0</v>
      </c>
      <c r="F15" s="75"/>
      <c r="G15" s="110"/>
      <c r="H15" s="114" t="s">
        <v>6</v>
      </c>
      <c r="I15" s="118"/>
      <c r="J15" s="26">
        <f>SUM(J13:J14)</f>
        <v>0</v>
      </c>
      <c r="K15" s="10">
        <f>SUM(K13:K14)</f>
        <v>0</v>
      </c>
      <c r="L15" s="75"/>
      <c r="M15" s="110"/>
      <c r="N15" s="114" t="s">
        <v>6</v>
      </c>
      <c r="O15" s="118"/>
      <c r="P15" s="26">
        <f>SUM(P13:P14)</f>
        <v>0</v>
      </c>
      <c r="Q15" s="10">
        <f>SUM(Q13:Q14)</f>
        <v>0</v>
      </c>
      <c r="R15" s="75"/>
      <c r="S15" s="110"/>
      <c r="T15" s="114" t="s">
        <v>6</v>
      </c>
      <c r="U15" s="118"/>
      <c r="V15" s="26">
        <f>SUM(V13:V14)</f>
        <v>0</v>
      </c>
      <c r="W15" s="10">
        <f>SUM(W13:W14)</f>
        <v>0</v>
      </c>
      <c r="X15" s="75"/>
      <c r="Y15" s="110"/>
      <c r="Z15" s="114" t="s">
        <v>6</v>
      </c>
      <c r="AA15" s="118"/>
      <c r="AB15" s="26">
        <f>SUM(AB13:AB14)</f>
        <v>0</v>
      </c>
      <c r="AC15" s="10">
        <f>SUM(AC13:AC14)</f>
        <v>0</v>
      </c>
      <c r="AD15" s="75"/>
      <c r="AE15" s="110"/>
      <c r="AF15" s="114" t="s">
        <v>6</v>
      </c>
      <c r="AG15" s="118"/>
      <c r="AH15" s="26">
        <f>SUM(AH13:AH14)</f>
        <v>0</v>
      </c>
      <c r="AI15" s="10">
        <f>SUM(AI13:AI14)</f>
        <v>0</v>
      </c>
      <c r="AJ15" s="75"/>
      <c r="AK15" s="110"/>
      <c r="AL15" s="114" t="s">
        <v>6</v>
      </c>
      <c r="AM15" s="118"/>
      <c r="AN15" s="26">
        <f>SUM(AN13:AN14)</f>
        <v>0</v>
      </c>
      <c r="AO15" s="10">
        <f>SUM(AO13:AO14)</f>
        <v>0</v>
      </c>
      <c r="AP15" s="75"/>
      <c r="AQ15" s="110"/>
      <c r="AR15" s="114" t="s">
        <v>6</v>
      </c>
      <c r="AS15" s="118"/>
      <c r="AT15" s="97">
        <f t="shared" ref="AT15:AU15" si="3">SUM(AT13:AT14)</f>
        <v>0</v>
      </c>
      <c r="AU15" s="97">
        <f t="shared" si="3"/>
        <v>0</v>
      </c>
      <c r="AV15" s="75"/>
      <c r="AW15" s="110"/>
      <c r="AX15" s="114" t="s">
        <v>6</v>
      </c>
      <c r="AY15" s="118"/>
      <c r="AZ15" s="26">
        <f>SUM(AZ13:AZ14)</f>
        <v>0</v>
      </c>
      <c r="BA15" s="10">
        <f>SUM(BA13:BA14)</f>
        <v>0</v>
      </c>
      <c r="BB15" s="75"/>
      <c r="BC15" s="110"/>
      <c r="BD15" s="114" t="s">
        <v>6</v>
      </c>
      <c r="BE15" s="118"/>
      <c r="BF15" s="26">
        <f>SUM(BF13:BF14)</f>
        <v>0</v>
      </c>
      <c r="BG15" s="10">
        <f>SUM(BG13:BG14)</f>
        <v>0</v>
      </c>
      <c r="BH15" s="75"/>
      <c r="BI15" s="110"/>
      <c r="BJ15" s="114" t="s">
        <v>6</v>
      </c>
      <c r="BK15" s="118"/>
      <c r="BL15" s="26">
        <f>SUM(BL13:BL14)</f>
        <v>0</v>
      </c>
      <c r="BM15" s="10">
        <f>SUM(BM13:BM14)</f>
        <v>0</v>
      </c>
      <c r="BN15" s="75"/>
      <c r="BO15" s="110"/>
      <c r="BP15" s="114" t="s">
        <v>6</v>
      </c>
      <c r="BQ15" s="118"/>
      <c r="BR15" s="26">
        <f>SUM(BR13:BR14)</f>
        <v>0</v>
      </c>
      <c r="BS15" s="10">
        <f>SUM(BS13:BS14)</f>
        <v>0</v>
      </c>
      <c r="BT15" s="75"/>
      <c r="BU15" s="110"/>
      <c r="BV15" s="114" t="s">
        <v>6</v>
      </c>
      <c r="BW15" s="115"/>
      <c r="BX15" s="12">
        <f>SUM(BX13:BX14)</f>
        <v>0</v>
      </c>
      <c r="BY15" s="17">
        <f>SUM(BY13:BY14)</f>
        <v>0</v>
      </c>
      <c r="BZ15" s="3"/>
    </row>
    <row r="16" spans="1:78" ht="20.100000000000001" customHeight="1" x14ac:dyDescent="0.2">
      <c r="A16" s="110"/>
      <c r="B16" s="119" t="s">
        <v>7</v>
      </c>
      <c r="C16" s="4" t="s">
        <v>4</v>
      </c>
      <c r="D16" s="24">
        <v>0</v>
      </c>
      <c r="E16" s="70">
        <v>0</v>
      </c>
      <c r="F16" s="75"/>
      <c r="G16" s="110"/>
      <c r="H16" s="119" t="s">
        <v>7</v>
      </c>
      <c r="I16" s="4" t="s">
        <v>4</v>
      </c>
      <c r="J16" s="24">
        <v>0</v>
      </c>
      <c r="K16" s="70">
        <v>0</v>
      </c>
      <c r="L16" s="75"/>
      <c r="M16" s="110"/>
      <c r="N16" s="119" t="s">
        <v>7</v>
      </c>
      <c r="O16" s="4" t="s">
        <v>4</v>
      </c>
      <c r="P16" s="24">
        <v>0</v>
      </c>
      <c r="Q16" s="70">
        <v>0</v>
      </c>
      <c r="R16" s="75"/>
      <c r="S16" s="110"/>
      <c r="T16" s="119" t="s">
        <v>7</v>
      </c>
      <c r="U16" s="4" t="s">
        <v>4</v>
      </c>
      <c r="V16" s="24">
        <v>0</v>
      </c>
      <c r="W16" s="70">
        <v>0</v>
      </c>
      <c r="X16" s="75"/>
      <c r="Y16" s="110"/>
      <c r="Z16" s="119" t="s">
        <v>7</v>
      </c>
      <c r="AA16" s="4" t="s">
        <v>4</v>
      </c>
      <c r="AB16" s="24">
        <v>0</v>
      </c>
      <c r="AC16" s="70">
        <v>0</v>
      </c>
      <c r="AD16" s="75"/>
      <c r="AE16" s="110"/>
      <c r="AF16" s="119" t="s">
        <v>7</v>
      </c>
      <c r="AG16" s="4" t="s">
        <v>4</v>
      </c>
      <c r="AH16" s="24">
        <v>0</v>
      </c>
      <c r="AI16" s="70">
        <v>0</v>
      </c>
      <c r="AJ16" s="75"/>
      <c r="AK16" s="110"/>
      <c r="AL16" s="119" t="s">
        <v>7</v>
      </c>
      <c r="AM16" s="4" t="s">
        <v>4</v>
      </c>
      <c r="AN16" s="24">
        <v>0</v>
      </c>
      <c r="AO16" s="70">
        <v>0</v>
      </c>
      <c r="AP16" s="75"/>
      <c r="AQ16" s="110"/>
      <c r="AR16" s="119" t="s">
        <v>7</v>
      </c>
      <c r="AS16" s="4" t="s">
        <v>4</v>
      </c>
      <c r="AT16" s="93">
        <v>0</v>
      </c>
      <c r="AU16" s="94">
        <v>0</v>
      </c>
      <c r="AV16" s="75"/>
      <c r="AW16" s="110"/>
      <c r="AX16" s="119" t="s">
        <v>7</v>
      </c>
      <c r="AY16" s="4" t="s">
        <v>4</v>
      </c>
      <c r="AZ16" s="24">
        <v>0</v>
      </c>
      <c r="BA16" s="70">
        <v>0</v>
      </c>
      <c r="BB16" s="75"/>
      <c r="BC16" s="110"/>
      <c r="BD16" s="119" t="s">
        <v>7</v>
      </c>
      <c r="BE16" s="4" t="s">
        <v>4</v>
      </c>
      <c r="BF16" s="24">
        <v>0</v>
      </c>
      <c r="BG16" s="70">
        <v>0</v>
      </c>
      <c r="BH16" s="75"/>
      <c r="BI16" s="110"/>
      <c r="BJ16" s="119" t="s">
        <v>7</v>
      </c>
      <c r="BK16" s="4" t="s">
        <v>4</v>
      </c>
      <c r="BL16" s="24">
        <v>0</v>
      </c>
      <c r="BM16" s="70">
        <v>0</v>
      </c>
      <c r="BN16" s="75"/>
      <c r="BO16" s="110"/>
      <c r="BP16" s="119" t="s">
        <v>7</v>
      </c>
      <c r="BQ16" s="4" t="s">
        <v>4</v>
      </c>
      <c r="BR16" s="24">
        <v>0</v>
      </c>
      <c r="BS16" s="70">
        <v>0</v>
      </c>
      <c r="BT16" s="75"/>
      <c r="BU16" s="110"/>
      <c r="BV16" s="121" t="s">
        <v>7</v>
      </c>
      <c r="BW16" s="4" t="s">
        <v>4</v>
      </c>
      <c r="BX16" s="5">
        <f>SUM(D16+J16+P16+V16+AB16+AH16+AN16+AT16+AZ16+BF16+BL16+BR16)</f>
        <v>0</v>
      </c>
      <c r="BY16" s="6">
        <f>SUM(E16+K16+Q16+W16+AC16+AI16+AO16+AU16+BA16+BG16+BM16+BS16)</f>
        <v>0</v>
      </c>
      <c r="BZ16" s="3"/>
    </row>
    <row r="17" spans="1:78" ht="20.100000000000001" customHeight="1" thickBot="1" x14ac:dyDescent="0.25">
      <c r="A17" s="110"/>
      <c r="B17" s="120"/>
      <c r="C17" s="7" t="s">
        <v>5</v>
      </c>
      <c r="D17" s="25">
        <v>0</v>
      </c>
      <c r="E17" s="71">
        <v>0</v>
      </c>
      <c r="F17" s="75"/>
      <c r="G17" s="110"/>
      <c r="H17" s="120"/>
      <c r="I17" s="7" t="s">
        <v>5</v>
      </c>
      <c r="J17" s="25">
        <v>0</v>
      </c>
      <c r="K17" s="71">
        <v>0</v>
      </c>
      <c r="L17" s="75"/>
      <c r="M17" s="110"/>
      <c r="N17" s="120"/>
      <c r="O17" s="7" t="s">
        <v>5</v>
      </c>
      <c r="P17" s="25">
        <v>0</v>
      </c>
      <c r="Q17" s="71">
        <v>0</v>
      </c>
      <c r="R17" s="75"/>
      <c r="S17" s="110"/>
      <c r="T17" s="120"/>
      <c r="U17" s="7" t="s">
        <v>5</v>
      </c>
      <c r="V17" s="25">
        <v>0</v>
      </c>
      <c r="W17" s="71">
        <v>0</v>
      </c>
      <c r="X17" s="75"/>
      <c r="Y17" s="110"/>
      <c r="Z17" s="120"/>
      <c r="AA17" s="7" t="s">
        <v>5</v>
      </c>
      <c r="AB17" s="25">
        <v>0</v>
      </c>
      <c r="AC17" s="71">
        <v>0</v>
      </c>
      <c r="AD17" s="75"/>
      <c r="AE17" s="110"/>
      <c r="AF17" s="120"/>
      <c r="AG17" s="7" t="s">
        <v>5</v>
      </c>
      <c r="AH17" s="25">
        <v>0</v>
      </c>
      <c r="AI17" s="71">
        <v>0</v>
      </c>
      <c r="AJ17" s="75"/>
      <c r="AK17" s="110"/>
      <c r="AL17" s="120"/>
      <c r="AM17" s="7" t="s">
        <v>5</v>
      </c>
      <c r="AN17" s="25">
        <v>0</v>
      </c>
      <c r="AO17" s="71">
        <v>0</v>
      </c>
      <c r="AP17" s="75"/>
      <c r="AQ17" s="110"/>
      <c r="AR17" s="120"/>
      <c r="AS17" s="7" t="s">
        <v>5</v>
      </c>
      <c r="AT17" s="95">
        <v>0</v>
      </c>
      <c r="AU17" s="96">
        <v>0</v>
      </c>
      <c r="AV17" s="75"/>
      <c r="AW17" s="110"/>
      <c r="AX17" s="120"/>
      <c r="AY17" s="7" t="s">
        <v>5</v>
      </c>
      <c r="AZ17" s="25">
        <v>0</v>
      </c>
      <c r="BA17" s="71">
        <v>0</v>
      </c>
      <c r="BB17" s="75"/>
      <c r="BC17" s="110"/>
      <c r="BD17" s="120"/>
      <c r="BE17" s="7" t="s">
        <v>5</v>
      </c>
      <c r="BF17" s="25">
        <v>0</v>
      </c>
      <c r="BG17" s="71">
        <v>0</v>
      </c>
      <c r="BH17" s="75"/>
      <c r="BI17" s="110"/>
      <c r="BJ17" s="120"/>
      <c r="BK17" s="7" t="s">
        <v>5</v>
      </c>
      <c r="BL17" s="25">
        <v>0</v>
      </c>
      <c r="BM17" s="71">
        <v>0</v>
      </c>
      <c r="BN17" s="75"/>
      <c r="BO17" s="110"/>
      <c r="BP17" s="120"/>
      <c r="BQ17" s="7" t="s">
        <v>5</v>
      </c>
      <c r="BR17" s="25">
        <v>0</v>
      </c>
      <c r="BS17" s="71">
        <v>0</v>
      </c>
      <c r="BT17" s="75"/>
      <c r="BU17" s="110"/>
      <c r="BV17" s="122"/>
      <c r="BW17" s="7" t="s">
        <v>5</v>
      </c>
      <c r="BX17" s="8">
        <f>SUM(D17+J17+P17+V17+AB17+AH17+AN17+AT17+AZ17+BF17+BL17+BR17)</f>
        <v>0</v>
      </c>
      <c r="BY17" s="9">
        <f>SUM(E17+K17+Q17+W17+AC17+AI17+AO17+AU17+BA17+BG17+BM17+BS17)</f>
        <v>0</v>
      </c>
      <c r="BZ17" s="3"/>
    </row>
    <row r="18" spans="1:78" ht="20.100000000000001" customHeight="1" thickBot="1" x14ac:dyDescent="0.25">
      <c r="A18" s="111"/>
      <c r="B18" s="116" t="s">
        <v>8</v>
      </c>
      <c r="C18" s="117"/>
      <c r="D18" s="26">
        <f>SUM(D16:D17)</f>
        <v>0</v>
      </c>
      <c r="E18" s="10">
        <f>SUM(E16:E17)</f>
        <v>0</v>
      </c>
      <c r="F18" s="75"/>
      <c r="G18" s="111"/>
      <c r="H18" s="116" t="s">
        <v>8</v>
      </c>
      <c r="I18" s="117"/>
      <c r="J18" s="26">
        <f>SUM(J16:J17)</f>
        <v>0</v>
      </c>
      <c r="K18" s="10">
        <f>SUM(K16:K17)</f>
        <v>0</v>
      </c>
      <c r="L18" s="75"/>
      <c r="M18" s="111"/>
      <c r="N18" s="116" t="s">
        <v>8</v>
      </c>
      <c r="O18" s="117"/>
      <c r="P18" s="26">
        <f>SUM(P16:P17)</f>
        <v>0</v>
      </c>
      <c r="Q18" s="10">
        <f>SUM(Q16:Q17)</f>
        <v>0</v>
      </c>
      <c r="R18" s="75"/>
      <c r="S18" s="111"/>
      <c r="T18" s="116" t="s">
        <v>8</v>
      </c>
      <c r="U18" s="117"/>
      <c r="V18" s="26">
        <f>SUM(V16:V17)</f>
        <v>0</v>
      </c>
      <c r="W18" s="10">
        <f>SUM(W16:W17)</f>
        <v>0</v>
      </c>
      <c r="X18" s="75"/>
      <c r="Y18" s="111"/>
      <c r="Z18" s="116" t="s">
        <v>8</v>
      </c>
      <c r="AA18" s="117"/>
      <c r="AB18" s="26">
        <f>SUM(AB16:AB17)</f>
        <v>0</v>
      </c>
      <c r="AC18" s="10">
        <f>SUM(AC16:AC17)</f>
        <v>0</v>
      </c>
      <c r="AD18" s="75"/>
      <c r="AE18" s="111"/>
      <c r="AF18" s="116" t="s">
        <v>8</v>
      </c>
      <c r="AG18" s="117"/>
      <c r="AH18" s="26">
        <f>SUM(AH16:AH17)</f>
        <v>0</v>
      </c>
      <c r="AI18" s="10">
        <f>SUM(AI16:AI17)</f>
        <v>0</v>
      </c>
      <c r="AJ18" s="75"/>
      <c r="AK18" s="111"/>
      <c r="AL18" s="116" t="s">
        <v>8</v>
      </c>
      <c r="AM18" s="117"/>
      <c r="AN18" s="26">
        <f>SUM(AN16:AN17)</f>
        <v>0</v>
      </c>
      <c r="AO18" s="10">
        <f>SUM(AO16:AO17)</f>
        <v>0</v>
      </c>
      <c r="AP18" s="75"/>
      <c r="AQ18" s="111"/>
      <c r="AR18" s="116" t="s">
        <v>8</v>
      </c>
      <c r="AS18" s="117"/>
      <c r="AT18" s="97">
        <f t="shared" ref="AT18:AU18" si="4">SUM(AT16:AT17)</f>
        <v>0</v>
      </c>
      <c r="AU18" s="97">
        <f t="shared" si="4"/>
        <v>0</v>
      </c>
      <c r="AV18" s="75"/>
      <c r="AW18" s="111"/>
      <c r="AX18" s="116" t="s">
        <v>8</v>
      </c>
      <c r="AY18" s="117"/>
      <c r="AZ18" s="26">
        <f>SUM(AZ16:AZ17)</f>
        <v>0</v>
      </c>
      <c r="BA18" s="10">
        <f>SUM(BA16:BA17)</f>
        <v>0</v>
      </c>
      <c r="BB18" s="75"/>
      <c r="BC18" s="111"/>
      <c r="BD18" s="116" t="s">
        <v>8</v>
      </c>
      <c r="BE18" s="117"/>
      <c r="BF18" s="26">
        <f>SUM(BF16:BF17)</f>
        <v>0</v>
      </c>
      <c r="BG18" s="10">
        <f>SUM(BG16:BG17)</f>
        <v>0</v>
      </c>
      <c r="BH18" s="75"/>
      <c r="BI18" s="111"/>
      <c r="BJ18" s="116" t="s">
        <v>8</v>
      </c>
      <c r="BK18" s="117"/>
      <c r="BL18" s="26">
        <f>SUM(BL16:BL17)</f>
        <v>0</v>
      </c>
      <c r="BM18" s="10">
        <f>SUM(BM16:BM17)</f>
        <v>0</v>
      </c>
      <c r="BN18" s="75"/>
      <c r="BO18" s="111"/>
      <c r="BP18" s="116" t="s">
        <v>8</v>
      </c>
      <c r="BQ18" s="117"/>
      <c r="BR18" s="26">
        <f>SUM(BR16:BR17)</f>
        <v>0</v>
      </c>
      <c r="BS18" s="10">
        <f>SUM(BS16:BS17)</f>
        <v>0</v>
      </c>
      <c r="BT18" s="75"/>
      <c r="BU18" s="111"/>
      <c r="BV18" s="114" t="s">
        <v>8</v>
      </c>
      <c r="BW18" s="115"/>
      <c r="BX18" s="10">
        <f>SUM(BX16:BX17)</f>
        <v>0</v>
      </c>
      <c r="BY18" s="11">
        <f>SUM(BY16:BY17)</f>
        <v>0</v>
      </c>
      <c r="BZ18" s="3"/>
    </row>
    <row r="19" spans="1:78" ht="20.100000000000001" customHeight="1" thickBot="1" x14ac:dyDescent="0.25">
      <c r="A19" s="13"/>
      <c r="B19" s="106" t="s">
        <v>9</v>
      </c>
      <c r="C19" s="107"/>
      <c r="D19" s="27">
        <f>SUM(D15+D18)</f>
        <v>0</v>
      </c>
      <c r="E19" s="14">
        <f>SUM(E15+E18)</f>
        <v>0</v>
      </c>
      <c r="F19" s="75"/>
      <c r="G19" s="13"/>
      <c r="H19" s="106" t="s">
        <v>9</v>
      </c>
      <c r="I19" s="107"/>
      <c r="J19" s="27">
        <f>SUM(J15+J18)</f>
        <v>0</v>
      </c>
      <c r="K19" s="14">
        <f>SUM(K15+K18)</f>
        <v>0</v>
      </c>
      <c r="L19" s="75"/>
      <c r="M19" s="13"/>
      <c r="N19" s="106" t="s">
        <v>9</v>
      </c>
      <c r="O19" s="107"/>
      <c r="P19" s="27">
        <f>SUM(P15+P18)</f>
        <v>0</v>
      </c>
      <c r="Q19" s="14">
        <f>SUM(Q15+Q18)</f>
        <v>0</v>
      </c>
      <c r="R19" s="75"/>
      <c r="S19" s="13"/>
      <c r="T19" s="106" t="s">
        <v>9</v>
      </c>
      <c r="U19" s="107"/>
      <c r="V19" s="27">
        <f>SUM(V15+V18)</f>
        <v>0</v>
      </c>
      <c r="W19" s="14">
        <f>SUM(W15+W18)</f>
        <v>0</v>
      </c>
      <c r="X19" s="75"/>
      <c r="Y19" s="13"/>
      <c r="Z19" s="106" t="s">
        <v>9</v>
      </c>
      <c r="AA19" s="107"/>
      <c r="AB19" s="27">
        <f>SUM(AB15+AB18)</f>
        <v>0</v>
      </c>
      <c r="AC19" s="14">
        <f>SUM(AC15+AC18)</f>
        <v>0</v>
      </c>
      <c r="AD19" s="75"/>
      <c r="AE19" s="13"/>
      <c r="AF19" s="106" t="s">
        <v>9</v>
      </c>
      <c r="AG19" s="107"/>
      <c r="AH19" s="27">
        <f>SUM(AH15+AH18)</f>
        <v>0</v>
      </c>
      <c r="AI19" s="14">
        <f>SUM(AI15+AI18)</f>
        <v>0</v>
      </c>
      <c r="AJ19" s="75"/>
      <c r="AK19" s="13"/>
      <c r="AL19" s="106" t="s">
        <v>9</v>
      </c>
      <c r="AM19" s="107"/>
      <c r="AN19" s="27">
        <f>SUM(AN15+AN18)</f>
        <v>0</v>
      </c>
      <c r="AO19" s="14">
        <f>SUM(AO15+AO18)</f>
        <v>0</v>
      </c>
      <c r="AP19" s="75"/>
      <c r="AQ19" s="13"/>
      <c r="AR19" s="106" t="s">
        <v>9</v>
      </c>
      <c r="AS19" s="107"/>
      <c r="AT19" s="98">
        <f t="shared" ref="AT19:AU19" si="5">SUM(AT15+AT18)</f>
        <v>0</v>
      </c>
      <c r="AU19" s="99">
        <f t="shared" si="5"/>
        <v>0</v>
      </c>
      <c r="AV19" s="75"/>
      <c r="AW19" s="13"/>
      <c r="AX19" s="106" t="s">
        <v>9</v>
      </c>
      <c r="AY19" s="107"/>
      <c r="AZ19" s="27">
        <f>SUM(AZ15+AZ18)</f>
        <v>0</v>
      </c>
      <c r="BA19" s="14">
        <f>SUM(BA15+BA18)</f>
        <v>0</v>
      </c>
      <c r="BB19" s="75"/>
      <c r="BC19" s="13"/>
      <c r="BD19" s="106" t="s">
        <v>9</v>
      </c>
      <c r="BE19" s="107"/>
      <c r="BF19" s="27">
        <f>SUM(BF15+BF18)</f>
        <v>0</v>
      </c>
      <c r="BG19" s="14">
        <f>SUM(BG15+BG18)</f>
        <v>0</v>
      </c>
      <c r="BH19" s="75"/>
      <c r="BI19" s="13"/>
      <c r="BJ19" s="106" t="s">
        <v>9</v>
      </c>
      <c r="BK19" s="107"/>
      <c r="BL19" s="27">
        <f>SUM(BL15+BL18)</f>
        <v>0</v>
      </c>
      <c r="BM19" s="14">
        <f>SUM(BM15+BM18)</f>
        <v>0</v>
      </c>
      <c r="BN19" s="75"/>
      <c r="BO19" s="13"/>
      <c r="BP19" s="106" t="s">
        <v>9</v>
      </c>
      <c r="BQ19" s="107"/>
      <c r="BR19" s="27">
        <f>SUM(BR15+BR18)</f>
        <v>0</v>
      </c>
      <c r="BS19" s="14">
        <f>SUM(BS15+BS18)</f>
        <v>0</v>
      </c>
      <c r="BT19" s="75"/>
      <c r="BU19" s="13"/>
      <c r="BV19" s="106" t="s">
        <v>9</v>
      </c>
      <c r="BW19" s="108"/>
      <c r="BX19" s="14">
        <f>SUM(BX15+BX18)</f>
        <v>0</v>
      </c>
      <c r="BY19" s="20">
        <f>SUM(BY15+BY18)</f>
        <v>0</v>
      </c>
      <c r="BZ19" s="3"/>
    </row>
    <row r="20" spans="1:78" ht="20.100000000000001" customHeight="1" thickTop="1" thickBot="1" x14ac:dyDescent="0.3">
      <c r="A20" s="109" t="s">
        <v>23</v>
      </c>
      <c r="B20" s="112" t="s">
        <v>1</v>
      </c>
      <c r="C20" s="4" t="s">
        <v>4</v>
      </c>
      <c r="D20" s="24">
        <v>510</v>
      </c>
      <c r="E20" s="70">
        <v>0</v>
      </c>
      <c r="F20" s="75"/>
      <c r="G20" s="109" t="s">
        <v>23</v>
      </c>
      <c r="H20" s="112" t="s">
        <v>1</v>
      </c>
      <c r="I20" s="4" t="s">
        <v>4</v>
      </c>
      <c r="J20" s="24">
        <v>873</v>
      </c>
      <c r="K20" s="70">
        <v>0</v>
      </c>
      <c r="L20" s="75"/>
      <c r="M20" s="109" t="s">
        <v>23</v>
      </c>
      <c r="N20" s="112" t="s">
        <v>1</v>
      </c>
      <c r="O20" s="4" t="s">
        <v>4</v>
      </c>
      <c r="P20" s="24">
        <v>0</v>
      </c>
      <c r="Q20" s="70">
        <v>0</v>
      </c>
      <c r="R20" s="75"/>
      <c r="S20" s="109" t="s">
        <v>23</v>
      </c>
      <c r="T20" s="112" t="s">
        <v>1</v>
      </c>
      <c r="U20" s="4" t="s">
        <v>4</v>
      </c>
      <c r="V20" s="24">
        <v>0</v>
      </c>
      <c r="W20" s="70">
        <v>0</v>
      </c>
      <c r="X20" s="75"/>
      <c r="Y20" s="109" t="s">
        <v>23</v>
      </c>
      <c r="Z20" s="112" t="s">
        <v>1</v>
      </c>
      <c r="AA20" s="4" t="s">
        <v>4</v>
      </c>
      <c r="AB20" s="24">
        <v>0</v>
      </c>
      <c r="AC20" s="70">
        <v>0</v>
      </c>
      <c r="AD20" s="75"/>
      <c r="AE20" s="109" t="s">
        <v>23</v>
      </c>
      <c r="AF20" s="112" t="s">
        <v>1</v>
      </c>
      <c r="AG20" s="4" t="s">
        <v>4</v>
      </c>
      <c r="AH20" s="24">
        <v>0</v>
      </c>
      <c r="AI20" s="70">
        <v>0</v>
      </c>
      <c r="AJ20" s="75"/>
      <c r="AK20" s="109" t="s">
        <v>23</v>
      </c>
      <c r="AL20" s="112" t="s">
        <v>1</v>
      </c>
      <c r="AM20" s="4" t="s">
        <v>4</v>
      </c>
      <c r="AN20" s="24">
        <v>0</v>
      </c>
      <c r="AO20" s="70">
        <v>0</v>
      </c>
      <c r="AP20" s="75"/>
      <c r="AQ20" s="109" t="s">
        <v>23</v>
      </c>
      <c r="AR20" s="112" t="s">
        <v>1</v>
      </c>
      <c r="AS20" s="4" t="s">
        <v>4</v>
      </c>
      <c r="AT20" s="93">
        <v>0</v>
      </c>
      <c r="AU20" s="94">
        <v>0</v>
      </c>
      <c r="AV20" s="75"/>
      <c r="AW20" s="109" t="s">
        <v>23</v>
      </c>
      <c r="AX20" s="112" t="s">
        <v>1</v>
      </c>
      <c r="AY20" s="4" t="s">
        <v>4</v>
      </c>
      <c r="AZ20" s="93">
        <v>57</v>
      </c>
      <c r="BA20" s="94">
        <v>57</v>
      </c>
      <c r="BB20" s="75"/>
      <c r="BC20" s="109" t="s">
        <v>23</v>
      </c>
      <c r="BD20" s="112" t="s">
        <v>1</v>
      </c>
      <c r="BE20" s="4" t="s">
        <v>4</v>
      </c>
      <c r="BF20" s="148">
        <v>510</v>
      </c>
      <c r="BG20" s="149">
        <v>0</v>
      </c>
      <c r="BH20" s="75"/>
      <c r="BI20" s="109" t="s">
        <v>23</v>
      </c>
      <c r="BJ20" s="112" t="s">
        <v>1</v>
      </c>
      <c r="BK20" s="4" t="s">
        <v>4</v>
      </c>
      <c r="BL20" s="24">
        <v>0</v>
      </c>
      <c r="BM20" s="70">
        <v>0</v>
      </c>
      <c r="BN20" s="75"/>
      <c r="BO20" s="109" t="s">
        <v>23</v>
      </c>
      <c r="BP20" s="112" t="s">
        <v>1</v>
      </c>
      <c r="BQ20" s="4" t="s">
        <v>4</v>
      </c>
      <c r="BR20" s="24">
        <v>0</v>
      </c>
      <c r="BS20" s="70">
        <v>0</v>
      </c>
      <c r="BT20" s="75"/>
      <c r="BU20" s="109" t="str">
        <f>BO20</f>
        <v>السليمانية</v>
      </c>
      <c r="BV20" s="112" t="s">
        <v>1</v>
      </c>
      <c r="BW20" s="4" t="s">
        <v>4</v>
      </c>
      <c r="BX20" s="5">
        <f>SUM(D20+J20+P20+V20+AB20+AH20+AN20+AT20+AZ20+BF20+BL20+BR20)</f>
        <v>1950</v>
      </c>
      <c r="BY20" s="6">
        <f>SUM(E20+K20+Q20+W20+AC20+AI20+AO20+AU20+BA20+BG20+BM20+BS20)</f>
        <v>57</v>
      </c>
      <c r="BZ20" s="3"/>
    </row>
    <row r="21" spans="1:78" ht="20.100000000000001" customHeight="1" thickBot="1" x14ac:dyDescent="0.3">
      <c r="A21" s="110"/>
      <c r="B21" s="113"/>
      <c r="C21" s="7" t="s">
        <v>5</v>
      </c>
      <c r="D21" s="25">
        <v>445</v>
      </c>
      <c r="E21" s="71">
        <v>0</v>
      </c>
      <c r="F21" s="75"/>
      <c r="G21" s="110"/>
      <c r="H21" s="113"/>
      <c r="I21" s="7" t="s">
        <v>5</v>
      </c>
      <c r="J21" s="25">
        <v>238</v>
      </c>
      <c r="K21" s="71">
        <v>0</v>
      </c>
      <c r="L21" s="75"/>
      <c r="M21" s="110"/>
      <c r="N21" s="113"/>
      <c r="O21" s="7" t="s">
        <v>5</v>
      </c>
      <c r="P21" s="25">
        <v>0</v>
      </c>
      <c r="Q21" s="71">
        <v>0</v>
      </c>
      <c r="R21" s="75"/>
      <c r="S21" s="110"/>
      <c r="T21" s="113"/>
      <c r="U21" s="7" t="s">
        <v>5</v>
      </c>
      <c r="V21" s="25">
        <v>0</v>
      </c>
      <c r="W21" s="71">
        <v>0</v>
      </c>
      <c r="X21" s="75"/>
      <c r="Y21" s="110"/>
      <c r="Z21" s="113"/>
      <c r="AA21" s="7" t="s">
        <v>5</v>
      </c>
      <c r="AB21" s="25">
        <v>0</v>
      </c>
      <c r="AC21" s="71">
        <v>0</v>
      </c>
      <c r="AD21" s="75"/>
      <c r="AE21" s="110"/>
      <c r="AF21" s="113"/>
      <c r="AG21" s="7" t="s">
        <v>5</v>
      </c>
      <c r="AH21" s="25">
        <v>0</v>
      </c>
      <c r="AI21" s="71">
        <v>0</v>
      </c>
      <c r="AJ21" s="75"/>
      <c r="AK21" s="110"/>
      <c r="AL21" s="113"/>
      <c r="AM21" s="7" t="s">
        <v>5</v>
      </c>
      <c r="AN21" s="25">
        <v>0</v>
      </c>
      <c r="AO21" s="71">
        <v>0</v>
      </c>
      <c r="AP21" s="75"/>
      <c r="AQ21" s="110"/>
      <c r="AR21" s="113"/>
      <c r="AS21" s="7" t="s">
        <v>5</v>
      </c>
      <c r="AT21" s="95">
        <v>0</v>
      </c>
      <c r="AU21" s="96">
        <v>0</v>
      </c>
      <c r="AV21" s="75"/>
      <c r="AW21" s="110"/>
      <c r="AX21" s="113"/>
      <c r="AY21" s="7" t="s">
        <v>5</v>
      </c>
      <c r="AZ21" s="95">
        <v>74</v>
      </c>
      <c r="BA21" s="96">
        <v>74</v>
      </c>
      <c r="BB21" s="75"/>
      <c r="BC21" s="110"/>
      <c r="BD21" s="113"/>
      <c r="BE21" s="7" t="s">
        <v>5</v>
      </c>
      <c r="BF21" s="150">
        <v>445</v>
      </c>
      <c r="BG21" s="151">
        <v>0</v>
      </c>
      <c r="BH21" s="75"/>
      <c r="BI21" s="110"/>
      <c r="BJ21" s="113"/>
      <c r="BK21" s="7" t="s">
        <v>5</v>
      </c>
      <c r="BL21" s="25">
        <v>0</v>
      </c>
      <c r="BM21" s="71">
        <v>0</v>
      </c>
      <c r="BN21" s="75"/>
      <c r="BO21" s="110"/>
      <c r="BP21" s="113"/>
      <c r="BQ21" s="7" t="s">
        <v>5</v>
      </c>
      <c r="BR21" s="25">
        <v>0</v>
      </c>
      <c r="BS21" s="71">
        <v>0</v>
      </c>
      <c r="BT21" s="75"/>
      <c r="BU21" s="110"/>
      <c r="BV21" s="113"/>
      <c r="BW21" s="7" t="s">
        <v>5</v>
      </c>
      <c r="BX21" s="8">
        <f>SUM(D21+J21+P21+V21+AB21+AH21+AN21+AT21+AZ21+BF21+BL21+BR21)</f>
        <v>1202</v>
      </c>
      <c r="BY21" s="9">
        <f>SUM(E21+K21+Q21+W21+AC21+AI21+AO21+AU21+BA21+BG21+BM21+BS21)</f>
        <v>74</v>
      </c>
      <c r="BZ21" s="3"/>
    </row>
    <row r="22" spans="1:78" ht="20.100000000000001" customHeight="1" thickBot="1" x14ac:dyDescent="0.3">
      <c r="A22" s="110"/>
      <c r="B22" s="114" t="s">
        <v>6</v>
      </c>
      <c r="C22" s="118"/>
      <c r="D22" s="26">
        <f>SUM(D20:D21)</f>
        <v>955</v>
      </c>
      <c r="E22" s="10">
        <f>SUM(E20:E21)</f>
        <v>0</v>
      </c>
      <c r="F22" s="75"/>
      <c r="G22" s="110"/>
      <c r="H22" s="114" t="s">
        <v>6</v>
      </c>
      <c r="I22" s="118"/>
      <c r="J22" s="26">
        <f>SUM(J20:J21)</f>
        <v>1111</v>
      </c>
      <c r="K22" s="10">
        <f>SUM(K20:K21)</f>
        <v>0</v>
      </c>
      <c r="L22" s="75"/>
      <c r="M22" s="110"/>
      <c r="N22" s="114" t="s">
        <v>6</v>
      </c>
      <c r="O22" s="118"/>
      <c r="P22" s="26">
        <f>SUM(P20:P21)</f>
        <v>0</v>
      </c>
      <c r="Q22" s="10">
        <f>SUM(Q20:Q21)</f>
        <v>0</v>
      </c>
      <c r="R22" s="75"/>
      <c r="S22" s="110"/>
      <c r="T22" s="114" t="s">
        <v>6</v>
      </c>
      <c r="U22" s="118"/>
      <c r="V22" s="26">
        <f>SUM(V20:V21)</f>
        <v>0</v>
      </c>
      <c r="W22" s="10">
        <f>SUM(W20:W21)</f>
        <v>0</v>
      </c>
      <c r="X22" s="75"/>
      <c r="Y22" s="110"/>
      <c r="Z22" s="114" t="s">
        <v>6</v>
      </c>
      <c r="AA22" s="118"/>
      <c r="AB22" s="26">
        <f>SUM(AB20:AB21)</f>
        <v>0</v>
      </c>
      <c r="AC22" s="10">
        <f>SUM(AC20:AC21)</f>
        <v>0</v>
      </c>
      <c r="AD22" s="75"/>
      <c r="AE22" s="110"/>
      <c r="AF22" s="114" t="s">
        <v>6</v>
      </c>
      <c r="AG22" s="118"/>
      <c r="AH22" s="26">
        <f>SUM(AH20:AH21)</f>
        <v>0</v>
      </c>
      <c r="AI22" s="10">
        <f>SUM(AI20:AI21)</f>
        <v>0</v>
      </c>
      <c r="AJ22" s="75"/>
      <c r="AK22" s="110"/>
      <c r="AL22" s="114" t="s">
        <v>6</v>
      </c>
      <c r="AM22" s="118"/>
      <c r="AN22" s="26">
        <f>SUM(AN20:AN21)</f>
        <v>0</v>
      </c>
      <c r="AO22" s="10">
        <f>SUM(AO20:AO21)</f>
        <v>0</v>
      </c>
      <c r="AP22" s="75"/>
      <c r="AQ22" s="110"/>
      <c r="AR22" s="114" t="s">
        <v>6</v>
      </c>
      <c r="AS22" s="118"/>
      <c r="AT22" s="97">
        <f t="shared" ref="AT22:AU22" si="6">SUM(AT20:AT21)</f>
        <v>0</v>
      </c>
      <c r="AU22" s="97">
        <f t="shared" si="6"/>
        <v>0</v>
      </c>
      <c r="AV22" s="75"/>
      <c r="AW22" s="110"/>
      <c r="AX22" s="114" t="s">
        <v>6</v>
      </c>
      <c r="AY22" s="118"/>
      <c r="AZ22" s="97">
        <f t="shared" ref="AZ22:BA22" si="7">SUM(AZ20:AZ21)</f>
        <v>131</v>
      </c>
      <c r="BA22" s="97">
        <f t="shared" si="7"/>
        <v>131</v>
      </c>
      <c r="BB22" s="75"/>
      <c r="BC22" s="110"/>
      <c r="BD22" s="114" t="s">
        <v>6</v>
      </c>
      <c r="BE22" s="118"/>
      <c r="BF22" s="152">
        <v>955</v>
      </c>
      <c r="BG22" s="153">
        <v>0</v>
      </c>
      <c r="BH22" s="75"/>
      <c r="BI22" s="110"/>
      <c r="BJ22" s="114" t="s">
        <v>6</v>
      </c>
      <c r="BK22" s="118"/>
      <c r="BL22" s="26">
        <f>SUM(BL20:BL21)</f>
        <v>0</v>
      </c>
      <c r="BM22" s="10">
        <f>SUM(BM20:BM21)</f>
        <v>0</v>
      </c>
      <c r="BN22" s="75"/>
      <c r="BO22" s="110"/>
      <c r="BP22" s="114" t="s">
        <v>6</v>
      </c>
      <c r="BQ22" s="118"/>
      <c r="BR22" s="26">
        <f>SUM(BR20:BR21)</f>
        <v>0</v>
      </c>
      <c r="BS22" s="10">
        <f>SUM(BS20:BS21)</f>
        <v>0</v>
      </c>
      <c r="BT22" s="75"/>
      <c r="BU22" s="110"/>
      <c r="BV22" s="114" t="s">
        <v>6</v>
      </c>
      <c r="BW22" s="115"/>
      <c r="BX22" s="12">
        <f>SUM(BX20:BX21)</f>
        <v>3152</v>
      </c>
      <c r="BY22" s="17">
        <f>SUM(BY20:BY21)</f>
        <v>131</v>
      </c>
      <c r="BZ22" s="3"/>
    </row>
    <row r="23" spans="1:78" ht="20.100000000000001" customHeight="1" thickBot="1" x14ac:dyDescent="0.3">
      <c r="A23" s="110"/>
      <c r="B23" s="119" t="s">
        <v>7</v>
      </c>
      <c r="C23" s="4" t="s">
        <v>4</v>
      </c>
      <c r="D23" s="24">
        <v>10</v>
      </c>
      <c r="E23" s="70">
        <v>0</v>
      </c>
      <c r="F23" s="75"/>
      <c r="G23" s="110"/>
      <c r="H23" s="119" t="s">
        <v>7</v>
      </c>
      <c r="I23" s="4" t="s">
        <v>4</v>
      </c>
      <c r="J23" s="24">
        <v>54</v>
      </c>
      <c r="K23" s="70">
        <v>0</v>
      </c>
      <c r="L23" s="75"/>
      <c r="M23" s="110"/>
      <c r="N23" s="119" t="s">
        <v>7</v>
      </c>
      <c r="O23" s="4" t="s">
        <v>4</v>
      </c>
      <c r="P23" s="24">
        <v>0</v>
      </c>
      <c r="Q23" s="70">
        <v>0</v>
      </c>
      <c r="R23" s="75"/>
      <c r="S23" s="110"/>
      <c r="T23" s="119" t="s">
        <v>7</v>
      </c>
      <c r="U23" s="4" t="s">
        <v>4</v>
      </c>
      <c r="V23" s="24">
        <v>0</v>
      </c>
      <c r="W23" s="70">
        <v>0</v>
      </c>
      <c r="X23" s="75"/>
      <c r="Y23" s="110"/>
      <c r="Z23" s="119" t="s">
        <v>7</v>
      </c>
      <c r="AA23" s="4" t="s">
        <v>4</v>
      </c>
      <c r="AB23" s="24">
        <v>0</v>
      </c>
      <c r="AC23" s="70">
        <v>0</v>
      </c>
      <c r="AD23" s="75"/>
      <c r="AE23" s="110"/>
      <c r="AF23" s="119" t="s">
        <v>7</v>
      </c>
      <c r="AG23" s="4" t="s">
        <v>4</v>
      </c>
      <c r="AH23" s="24">
        <v>0</v>
      </c>
      <c r="AI23" s="70">
        <v>0</v>
      </c>
      <c r="AJ23" s="75"/>
      <c r="AK23" s="110"/>
      <c r="AL23" s="119" t="s">
        <v>7</v>
      </c>
      <c r="AM23" s="4" t="s">
        <v>4</v>
      </c>
      <c r="AN23" s="24">
        <v>0</v>
      </c>
      <c r="AO23" s="70">
        <v>0</v>
      </c>
      <c r="AP23" s="75"/>
      <c r="AQ23" s="110"/>
      <c r="AR23" s="119" t="s">
        <v>7</v>
      </c>
      <c r="AS23" s="4" t="s">
        <v>4</v>
      </c>
      <c r="AT23" s="93">
        <v>0</v>
      </c>
      <c r="AU23" s="94">
        <v>0</v>
      </c>
      <c r="AV23" s="75"/>
      <c r="AW23" s="110"/>
      <c r="AX23" s="119" t="s">
        <v>7</v>
      </c>
      <c r="AY23" s="4" t="s">
        <v>4</v>
      </c>
      <c r="AZ23" s="93">
        <v>15</v>
      </c>
      <c r="BA23" s="94">
        <v>15</v>
      </c>
      <c r="BB23" s="75"/>
      <c r="BC23" s="110"/>
      <c r="BD23" s="119" t="s">
        <v>7</v>
      </c>
      <c r="BE23" s="4" t="s">
        <v>4</v>
      </c>
      <c r="BF23" s="150">
        <v>10</v>
      </c>
      <c r="BG23" s="151">
        <v>0</v>
      </c>
      <c r="BH23" s="75"/>
      <c r="BI23" s="110"/>
      <c r="BJ23" s="119" t="s">
        <v>7</v>
      </c>
      <c r="BK23" s="4" t="s">
        <v>4</v>
      </c>
      <c r="BL23" s="24">
        <v>0</v>
      </c>
      <c r="BM23" s="70">
        <v>0</v>
      </c>
      <c r="BN23" s="75"/>
      <c r="BO23" s="110"/>
      <c r="BP23" s="119" t="s">
        <v>7</v>
      </c>
      <c r="BQ23" s="4" t="s">
        <v>4</v>
      </c>
      <c r="BR23" s="24">
        <v>0</v>
      </c>
      <c r="BS23" s="70">
        <v>0</v>
      </c>
      <c r="BT23" s="75"/>
      <c r="BU23" s="110"/>
      <c r="BV23" s="121" t="s">
        <v>7</v>
      </c>
      <c r="BW23" s="4" t="s">
        <v>4</v>
      </c>
      <c r="BX23" s="5">
        <f>SUM(D23+J23+P23+V23+AB23+AH23+AN23+AT23+AZ23+BF23+BL23+BR23)</f>
        <v>89</v>
      </c>
      <c r="BY23" s="6">
        <f>SUM(E23+K23+Q23+W23+AC23+AI23+AO23+AU23+BA23+BG23+BM23+BS23)</f>
        <v>15</v>
      </c>
      <c r="BZ23" s="3"/>
    </row>
    <row r="24" spans="1:78" ht="20.100000000000001" customHeight="1" thickBot="1" x14ac:dyDescent="0.3">
      <c r="A24" s="110"/>
      <c r="B24" s="120"/>
      <c r="C24" s="7" t="s">
        <v>5</v>
      </c>
      <c r="D24" s="25">
        <v>9</v>
      </c>
      <c r="E24" s="71">
        <v>0</v>
      </c>
      <c r="F24" s="75"/>
      <c r="G24" s="110"/>
      <c r="H24" s="120"/>
      <c r="I24" s="7" t="s">
        <v>5</v>
      </c>
      <c r="J24" s="25">
        <v>18</v>
      </c>
      <c r="K24" s="71">
        <v>0</v>
      </c>
      <c r="L24" s="75"/>
      <c r="M24" s="110"/>
      <c r="N24" s="120"/>
      <c r="O24" s="7" t="s">
        <v>5</v>
      </c>
      <c r="P24" s="25">
        <v>0</v>
      </c>
      <c r="Q24" s="71">
        <v>0</v>
      </c>
      <c r="R24" s="75"/>
      <c r="S24" s="110"/>
      <c r="T24" s="120"/>
      <c r="U24" s="7" t="s">
        <v>5</v>
      </c>
      <c r="V24" s="25">
        <v>0</v>
      </c>
      <c r="W24" s="71">
        <v>0</v>
      </c>
      <c r="X24" s="75"/>
      <c r="Y24" s="110"/>
      <c r="Z24" s="120"/>
      <c r="AA24" s="7" t="s">
        <v>5</v>
      </c>
      <c r="AB24" s="25">
        <v>0</v>
      </c>
      <c r="AC24" s="71">
        <v>0</v>
      </c>
      <c r="AD24" s="75"/>
      <c r="AE24" s="110"/>
      <c r="AF24" s="120"/>
      <c r="AG24" s="7" t="s">
        <v>5</v>
      </c>
      <c r="AH24" s="25">
        <v>0</v>
      </c>
      <c r="AI24" s="71">
        <v>0</v>
      </c>
      <c r="AJ24" s="75"/>
      <c r="AK24" s="110"/>
      <c r="AL24" s="120"/>
      <c r="AM24" s="7" t="s">
        <v>5</v>
      </c>
      <c r="AN24" s="25">
        <v>0</v>
      </c>
      <c r="AO24" s="71">
        <v>0</v>
      </c>
      <c r="AP24" s="75"/>
      <c r="AQ24" s="110"/>
      <c r="AR24" s="120"/>
      <c r="AS24" s="7" t="s">
        <v>5</v>
      </c>
      <c r="AT24" s="95">
        <v>0</v>
      </c>
      <c r="AU24" s="96">
        <v>0</v>
      </c>
      <c r="AV24" s="75"/>
      <c r="AW24" s="110"/>
      <c r="AX24" s="120"/>
      <c r="AY24" s="7" t="s">
        <v>5</v>
      </c>
      <c r="AZ24" s="95">
        <v>11</v>
      </c>
      <c r="BA24" s="96">
        <v>11</v>
      </c>
      <c r="BB24" s="75"/>
      <c r="BC24" s="110"/>
      <c r="BD24" s="120"/>
      <c r="BE24" s="7" t="s">
        <v>5</v>
      </c>
      <c r="BF24" s="154">
        <v>9</v>
      </c>
      <c r="BG24" s="155">
        <v>0</v>
      </c>
      <c r="BH24" s="75"/>
      <c r="BI24" s="110"/>
      <c r="BJ24" s="120"/>
      <c r="BK24" s="7" t="s">
        <v>5</v>
      </c>
      <c r="BL24" s="25">
        <v>0</v>
      </c>
      <c r="BM24" s="71">
        <v>0</v>
      </c>
      <c r="BN24" s="75"/>
      <c r="BO24" s="110"/>
      <c r="BP24" s="120"/>
      <c r="BQ24" s="7" t="s">
        <v>5</v>
      </c>
      <c r="BR24" s="25">
        <v>0</v>
      </c>
      <c r="BS24" s="71">
        <v>0</v>
      </c>
      <c r="BT24" s="75"/>
      <c r="BU24" s="110"/>
      <c r="BV24" s="122"/>
      <c r="BW24" s="7" t="s">
        <v>5</v>
      </c>
      <c r="BX24" s="8">
        <f>SUM(D24+J24+P24+V24+AB24+AH24+AN24+AT24+AZ24+BF24+BL24+BR24)</f>
        <v>47</v>
      </c>
      <c r="BY24" s="9">
        <f>SUM(E24+K24+Q24+W24+AC24+AI24+AO24+AU24+BA24+BG24+BM24+BS24)</f>
        <v>11</v>
      </c>
      <c r="BZ24" s="3"/>
    </row>
    <row r="25" spans="1:78" ht="20.100000000000001" customHeight="1" thickBot="1" x14ac:dyDescent="0.25">
      <c r="A25" s="111"/>
      <c r="B25" s="116" t="s">
        <v>8</v>
      </c>
      <c r="C25" s="117"/>
      <c r="D25" s="26">
        <f>SUM(D23:D24)</f>
        <v>19</v>
      </c>
      <c r="E25" s="10">
        <f>SUM(E23:E24)</f>
        <v>0</v>
      </c>
      <c r="F25" s="75"/>
      <c r="G25" s="111"/>
      <c r="H25" s="116" t="s">
        <v>8</v>
      </c>
      <c r="I25" s="117"/>
      <c r="J25" s="26">
        <f>SUM(J23:J24)</f>
        <v>72</v>
      </c>
      <c r="K25" s="10">
        <f>SUM(K23:K24)</f>
        <v>0</v>
      </c>
      <c r="L25" s="75"/>
      <c r="M25" s="111"/>
      <c r="N25" s="116" t="s">
        <v>8</v>
      </c>
      <c r="O25" s="117"/>
      <c r="P25" s="26">
        <f>SUM(P23:P24)</f>
        <v>0</v>
      </c>
      <c r="Q25" s="10">
        <f>SUM(Q23:Q24)</f>
        <v>0</v>
      </c>
      <c r="R25" s="75"/>
      <c r="S25" s="111"/>
      <c r="T25" s="116" t="s">
        <v>8</v>
      </c>
      <c r="U25" s="117"/>
      <c r="V25" s="26">
        <f>SUM(V23:V24)</f>
        <v>0</v>
      </c>
      <c r="W25" s="10">
        <f>SUM(W23:W24)</f>
        <v>0</v>
      </c>
      <c r="X25" s="75"/>
      <c r="Y25" s="111"/>
      <c r="Z25" s="116" t="s">
        <v>8</v>
      </c>
      <c r="AA25" s="117"/>
      <c r="AB25" s="26">
        <f>SUM(AB23:AB24)</f>
        <v>0</v>
      </c>
      <c r="AC25" s="10">
        <f>SUM(AC23:AC24)</f>
        <v>0</v>
      </c>
      <c r="AD25" s="75"/>
      <c r="AE25" s="111"/>
      <c r="AF25" s="116" t="s">
        <v>8</v>
      </c>
      <c r="AG25" s="117"/>
      <c r="AH25" s="26">
        <f>SUM(AH23:AH24)</f>
        <v>0</v>
      </c>
      <c r="AI25" s="10">
        <f>SUM(AI23:AI24)</f>
        <v>0</v>
      </c>
      <c r="AJ25" s="75"/>
      <c r="AK25" s="111"/>
      <c r="AL25" s="116" t="s">
        <v>8</v>
      </c>
      <c r="AM25" s="117"/>
      <c r="AN25" s="26">
        <f>SUM(AN23:AN24)</f>
        <v>0</v>
      </c>
      <c r="AO25" s="10">
        <f>SUM(AO23:AO24)</f>
        <v>0</v>
      </c>
      <c r="AP25" s="75"/>
      <c r="AQ25" s="111"/>
      <c r="AR25" s="116" t="s">
        <v>8</v>
      </c>
      <c r="AS25" s="117"/>
      <c r="AT25" s="97">
        <f t="shared" ref="AT25:AU25" si="8">SUM(AT23:AT24)</f>
        <v>0</v>
      </c>
      <c r="AU25" s="97">
        <f t="shared" si="8"/>
        <v>0</v>
      </c>
      <c r="AV25" s="75"/>
      <c r="AW25" s="111"/>
      <c r="AX25" s="116" t="s">
        <v>8</v>
      </c>
      <c r="AY25" s="117"/>
      <c r="AZ25" s="97">
        <f t="shared" ref="AZ25:BA25" si="9">SUM(AZ23:AZ24)</f>
        <v>26</v>
      </c>
      <c r="BA25" s="97">
        <f t="shared" si="9"/>
        <v>26</v>
      </c>
      <c r="BB25" s="75"/>
      <c r="BC25" s="111"/>
      <c r="BD25" s="116" t="s">
        <v>8</v>
      </c>
      <c r="BE25" s="117"/>
      <c r="BF25" s="156">
        <v>19</v>
      </c>
      <c r="BG25" s="157">
        <v>0</v>
      </c>
      <c r="BH25" s="75"/>
      <c r="BI25" s="111"/>
      <c r="BJ25" s="116" t="s">
        <v>8</v>
      </c>
      <c r="BK25" s="117"/>
      <c r="BL25" s="26">
        <f>SUM(BL23:BL24)</f>
        <v>0</v>
      </c>
      <c r="BM25" s="10">
        <f>SUM(BM23:BM24)</f>
        <v>0</v>
      </c>
      <c r="BN25" s="75"/>
      <c r="BO25" s="111"/>
      <c r="BP25" s="116" t="s">
        <v>8</v>
      </c>
      <c r="BQ25" s="117"/>
      <c r="BR25" s="26">
        <f>SUM(BR23:BR24)</f>
        <v>0</v>
      </c>
      <c r="BS25" s="10">
        <f>SUM(BS23:BS24)</f>
        <v>0</v>
      </c>
      <c r="BT25" s="75"/>
      <c r="BU25" s="111"/>
      <c r="BV25" s="114" t="s">
        <v>8</v>
      </c>
      <c r="BW25" s="115"/>
      <c r="BX25" s="10">
        <f>SUM(BX23:BX24)</f>
        <v>136</v>
      </c>
      <c r="BY25" s="11">
        <f>SUM(BY23:BY24)</f>
        <v>26</v>
      </c>
      <c r="BZ25" s="3"/>
    </row>
    <row r="26" spans="1:78" ht="20.100000000000001" customHeight="1" thickBot="1" x14ac:dyDescent="0.25">
      <c r="A26" s="13"/>
      <c r="B26" s="106" t="s">
        <v>9</v>
      </c>
      <c r="C26" s="107"/>
      <c r="D26" s="27">
        <f>SUM(D22+D25)</f>
        <v>974</v>
      </c>
      <c r="E26" s="14">
        <f>SUM(E22+E25)</f>
        <v>0</v>
      </c>
      <c r="F26" s="75"/>
      <c r="G26" s="13"/>
      <c r="H26" s="106" t="s">
        <v>9</v>
      </c>
      <c r="I26" s="107"/>
      <c r="J26" s="27">
        <f>SUM(J22+J25)</f>
        <v>1183</v>
      </c>
      <c r="K26" s="14">
        <f>SUM(K22+K25)</f>
        <v>0</v>
      </c>
      <c r="L26" s="75"/>
      <c r="M26" s="13"/>
      <c r="N26" s="106" t="s">
        <v>9</v>
      </c>
      <c r="O26" s="107"/>
      <c r="P26" s="27">
        <f>SUM(P22+P25)</f>
        <v>0</v>
      </c>
      <c r="Q26" s="14">
        <f>SUM(Q22+Q25)</f>
        <v>0</v>
      </c>
      <c r="R26" s="75"/>
      <c r="S26" s="13"/>
      <c r="T26" s="106" t="s">
        <v>9</v>
      </c>
      <c r="U26" s="107"/>
      <c r="V26" s="27">
        <f>SUM(V22+V25)</f>
        <v>0</v>
      </c>
      <c r="W26" s="14">
        <f>SUM(W22+W25)</f>
        <v>0</v>
      </c>
      <c r="X26" s="75"/>
      <c r="Y26" s="13"/>
      <c r="Z26" s="106" t="s">
        <v>9</v>
      </c>
      <c r="AA26" s="107"/>
      <c r="AB26" s="27">
        <f>SUM(AB22+AB25)</f>
        <v>0</v>
      </c>
      <c r="AC26" s="14">
        <f>SUM(AC22+AC25)</f>
        <v>0</v>
      </c>
      <c r="AD26" s="75"/>
      <c r="AE26" s="13"/>
      <c r="AF26" s="106" t="s">
        <v>9</v>
      </c>
      <c r="AG26" s="107"/>
      <c r="AH26" s="27">
        <f>SUM(AH22+AH25)</f>
        <v>0</v>
      </c>
      <c r="AI26" s="14">
        <f>SUM(AI22+AI25)</f>
        <v>0</v>
      </c>
      <c r="AJ26" s="75"/>
      <c r="AK26" s="13"/>
      <c r="AL26" s="106" t="s">
        <v>9</v>
      </c>
      <c r="AM26" s="107"/>
      <c r="AN26" s="27">
        <f>SUM(AN22+AN25)</f>
        <v>0</v>
      </c>
      <c r="AO26" s="14">
        <f>SUM(AO22+AO25)</f>
        <v>0</v>
      </c>
      <c r="AP26" s="75"/>
      <c r="AQ26" s="13"/>
      <c r="AR26" s="106" t="s">
        <v>9</v>
      </c>
      <c r="AS26" s="107"/>
      <c r="AT26" s="98">
        <f t="shared" ref="AT26:AU26" si="10">SUM(AT22+AT25)</f>
        <v>0</v>
      </c>
      <c r="AU26" s="99">
        <f t="shared" si="10"/>
        <v>0</v>
      </c>
      <c r="AV26" s="75"/>
      <c r="AW26" s="13"/>
      <c r="AX26" s="106" t="s">
        <v>9</v>
      </c>
      <c r="AY26" s="107"/>
      <c r="AZ26" s="98">
        <f t="shared" ref="AZ26:BA26" si="11">SUM(AZ22+AZ25)</f>
        <v>157</v>
      </c>
      <c r="BA26" s="99">
        <f t="shared" si="11"/>
        <v>157</v>
      </c>
      <c r="BB26" s="75"/>
      <c r="BC26" s="13"/>
      <c r="BD26" s="106" t="s">
        <v>9</v>
      </c>
      <c r="BE26" s="107"/>
      <c r="BF26" s="158">
        <v>974</v>
      </c>
      <c r="BG26" s="159">
        <v>0</v>
      </c>
      <c r="BH26" s="75"/>
      <c r="BI26" s="13"/>
      <c r="BJ26" s="106" t="s">
        <v>9</v>
      </c>
      <c r="BK26" s="107"/>
      <c r="BL26" s="27">
        <f>SUM(BL22+BL25)</f>
        <v>0</v>
      </c>
      <c r="BM26" s="14">
        <f>SUM(BM22+BM25)</f>
        <v>0</v>
      </c>
      <c r="BN26" s="75"/>
      <c r="BO26" s="13"/>
      <c r="BP26" s="106" t="s">
        <v>9</v>
      </c>
      <c r="BQ26" s="107"/>
      <c r="BR26" s="27">
        <f>SUM(BR22+BR25)</f>
        <v>0</v>
      </c>
      <c r="BS26" s="14">
        <f>SUM(BS22+BS25)</f>
        <v>0</v>
      </c>
      <c r="BT26" s="75"/>
      <c r="BU26" s="13"/>
      <c r="BV26" s="106" t="s">
        <v>9</v>
      </c>
      <c r="BW26" s="108"/>
      <c r="BX26" s="14">
        <f>SUM(BX22+BX25)</f>
        <v>3288</v>
      </c>
      <c r="BY26" s="20">
        <f>SUM(BY22+BY25)</f>
        <v>157</v>
      </c>
      <c r="BZ26" s="3"/>
    </row>
    <row r="27" spans="1:78" ht="20.100000000000001" customHeight="1" thickBot="1" x14ac:dyDescent="0.25">
      <c r="A27" s="109" t="s">
        <v>24</v>
      </c>
      <c r="B27" s="112" t="s">
        <v>1</v>
      </c>
      <c r="C27" s="4" t="s">
        <v>4</v>
      </c>
      <c r="D27" s="24">
        <v>0</v>
      </c>
      <c r="E27" s="70">
        <v>0</v>
      </c>
      <c r="F27" s="75"/>
      <c r="G27" s="109" t="s">
        <v>24</v>
      </c>
      <c r="H27" s="112" t="s">
        <v>1</v>
      </c>
      <c r="I27" s="4" t="s">
        <v>4</v>
      </c>
      <c r="J27" s="24">
        <v>0</v>
      </c>
      <c r="K27" s="70">
        <v>0</v>
      </c>
      <c r="L27" s="75"/>
      <c r="M27" s="109" t="s">
        <v>24</v>
      </c>
      <c r="N27" s="112" t="s">
        <v>1</v>
      </c>
      <c r="O27" s="4" t="s">
        <v>4</v>
      </c>
      <c r="P27" s="24">
        <v>0</v>
      </c>
      <c r="Q27" s="70">
        <v>0</v>
      </c>
      <c r="R27" s="75"/>
      <c r="S27" s="109" t="s">
        <v>24</v>
      </c>
      <c r="T27" s="112" t="s">
        <v>1</v>
      </c>
      <c r="U27" s="4" t="s">
        <v>4</v>
      </c>
      <c r="V27" s="24">
        <v>0</v>
      </c>
      <c r="W27" s="70">
        <v>0</v>
      </c>
      <c r="X27" s="75"/>
      <c r="Y27" s="109" t="s">
        <v>24</v>
      </c>
      <c r="Z27" s="112" t="s">
        <v>1</v>
      </c>
      <c r="AA27" s="4" t="s">
        <v>4</v>
      </c>
      <c r="AB27" s="24">
        <v>0</v>
      </c>
      <c r="AC27" s="70">
        <v>0</v>
      </c>
      <c r="AD27" s="75"/>
      <c r="AE27" s="109" t="s">
        <v>24</v>
      </c>
      <c r="AF27" s="112" t="s">
        <v>1</v>
      </c>
      <c r="AG27" s="4" t="s">
        <v>4</v>
      </c>
      <c r="AH27" s="24">
        <v>0</v>
      </c>
      <c r="AI27" s="70">
        <v>0</v>
      </c>
      <c r="AJ27" s="75"/>
      <c r="AK27" s="109" t="s">
        <v>24</v>
      </c>
      <c r="AL27" s="112" t="s">
        <v>1</v>
      </c>
      <c r="AM27" s="4" t="s">
        <v>4</v>
      </c>
      <c r="AN27" s="24">
        <v>0</v>
      </c>
      <c r="AO27" s="70">
        <v>0</v>
      </c>
      <c r="AP27" s="75"/>
      <c r="AQ27" s="109" t="s">
        <v>24</v>
      </c>
      <c r="AR27" s="112" t="s">
        <v>1</v>
      </c>
      <c r="AS27" s="4" t="s">
        <v>4</v>
      </c>
      <c r="AT27" s="93">
        <v>0</v>
      </c>
      <c r="AU27" s="94">
        <v>0</v>
      </c>
      <c r="AV27" s="75"/>
      <c r="AW27" s="109" t="s">
        <v>24</v>
      </c>
      <c r="AX27" s="112" t="s">
        <v>1</v>
      </c>
      <c r="AY27" s="4" t="s">
        <v>4</v>
      </c>
      <c r="AZ27" s="24">
        <v>0</v>
      </c>
      <c r="BA27" s="70">
        <v>0</v>
      </c>
      <c r="BB27" s="75"/>
      <c r="BC27" s="109" t="s">
        <v>24</v>
      </c>
      <c r="BD27" s="112" t="s">
        <v>1</v>
      </c>
      <c r="BE27" s="4" t="s">
        <v>4</v>
      </c>
      <c r="BF27" s="160">
        <v>0</v>
      </c>
      <c r="BG27" s="161">
        <v>0</v>
      </c>
      <c r="BH27" s="75"/>
      <c r="BI27" s="109" t="s">
        <v>24</v>
      </c>
      <c r="BJ27" s="112" t="s">
        <v>1</v>
      </c>
      <c r="BK27" s="4" t="s">
        <v>4</v>
      </c>
      <c r="BL27" s="24">
        <v>0</v>
      </c>
      <c r="BM27" s="70">
        <v>0</v>
      </c>
      <c r="BN27" s="75"/>
      <c r="BO27" s="109" t="s">
        <v>24</v>
      </c>
      <c r="BP27" s="112" t="s">
        <v>1</v>
      </c>
      <c r="BQ27" s="4" t="s">
        <v>4</v>
      </c>
      <c r="BR27" s="24">
        <v>0</v>
      </c>
      <c r="BS27" s="70">
        <v>0</v>
      </c>
      <c r="BT27" s="75"/>
      <c r="BU27" s="109" t="str">
        <f>BO27</f>
        <v>المطار القديم</v>
      </c>
      <c r="BV27" s="112" t="s">
        <v>1</v>
      </c>
      <c r="BW27" s="4" t="s">
        <v>4</v>
      </c>
      <c r="BX27" s="5">
        <f>SUM(D27+J27+P27+V27+AB27+AH27+AN27+AT27+AZ27+BF27+BL27+BR27)</f>
        <v>0</v>
      </c>
      <c r="BY27" s="6">
        <f>SUM(E27+K27+Q27+W27+AC27+AI27+AO27+AU27+BA27+BG27+BM27+BS27)</f>
        <v>0</v>
      </c>
      <c r="BZ27" s="3"/>
    </row>
    <row r="28" spans="1:78" ht="20.100000000000001" customHeight="1" thickBot="1" x14ac:dyDescent="0.25">
      <c r="A28" s="110"/>
      <c r="B28" s="113"/>
      <c r="C28" s="7" t="s">
        <v>5</v>
      </c>
      <c r="D28" s="25">
        <v>0</v>
      </c>
      <c r="E28" s="71">
        <v>0</v>
      </c>
      <c r="F28" s="75"/>
      <c r="G28" s="110"/>
      <c r="H28" s="113"/>
      <c r="I28" s="7" t="s">
        <v>5</v>
      </c>
      <c r="J28" s="25">
        <v>0</v>
      </c>
      <c r="K28" s="71">
        <v>0</v>
      </c>
      <c r="L28" s="75"/>
      <c r="M28" s="110"/>
      <c r="N28" s="113"/>
      <c r="O28" s="7" t="s">
        <v>5</v>
      </c>
      <c r="P28" s="25">
        <v>0</v>
      </c>
      <c r="Q28" s="71">
        <v>0</v>
      </c>
      <c r="R28" s="75"/>
      <c r="S28" s="110"/>
      <c r="T28" s="113"/>
      <c r="U28" s="7" t="s">
        <v>5</v>
      </c>
      <c r="V28" s="25">
        <v>0</v>
      </c>
      <c r="W28" s="71">
        <v>0</v>
      </c>
      <c r="X28" s="75"/>
      <c r="Y28" s="110"/>
      <c r="Z28" s="113"/>
      <c r="AA28" s="7" t="s">
        <v>5</v>
      </c>
      <c r="AB28" s="25">
        <v>0</v>
      </c>
      <c r="AC28" s="71">
        <v>0</v>
      </c>
      <c r="AD28" s="75"/>
      <c r="AE28" s="110"/>
      <c r="AF28" s="113"/>
      <c r="AG28" s="7" t="s">
        <v>5</v>
      </c>
      <c r="AH28" s="25">
        <v>0</v>
      </c>
      <c r="AI28" s="71">
        <v>0</v>
      </c>
      <c r="AJ28" s="75"/>
      <c r="AK28" s="110"/>
      <c r="AL28" s="113"/>
      <c r="AM28" s="7" t="s">
        <v>5</v>
      </c>
      <c r="AN28" s="25">
        <v>0</v>
      </c>
      <c r="AO28" s="71">
        <v>0</v>
      </c>
      <c r="AP28" s="75"/>
      <c r="AQ28" s="110"/>
      <c r="AR28" s="113"/>
      <c r="AS28" s="7" t="s">
        <v>5</v>
      </c>
      <c r="AT28" s="95">
        <v>0</v>
      </c>
      <c r="AU28" s="96">
        <v>0</v>
      </c>
      <c r="AV28" s="75"/>
      <c r="AW28" s="110"/>
      <c r="AX28" s="113"/>
      <c r="AY28" s="7" t="s">
        <v>5</v>
      </c>
      <c r="AZ28" s="25">
        <v>0</v>
      </c>
      <c r="BA28" s="71">
        <v>0</v>
      </c>
      <c r="BB28" s="75"/>
      <c r="BC28" s="110"/>
      <c r="BD28" s="113"/>
      <c r="BE28" s="7" t="s">
        <v>5</v>
      </c>
      <c r="BF28" s="162">
        <v>0</v>
      </c>
      <c r="BG28" s="163">
        <v>0</v>
      </c>
      <c r="BH28" s="75"/>
      <c r="BI28" s="110"/>
      <c r="BJ28" s="113"/>
      <c r="BK28" s="7" t="s">
        <v>5</v>
      </c>
      <c r="BL28" s="25">
        <v>0</v>
      </c>
      <c r="BM28" s="71">
        <v>0</v>
      </c>
      <c r="BN28" s="75"/>
      <c r="BO28" s="110"/>
      <c r="BP28" s="113"/>
      <c r="BQ28" s="7" t="s">
        <v>5</v>
      </c>
      <c r="BR28" s="25">
        <v>0</v>
      </c>
      <c r="BS28" s="71">
        <v>0</v>
      </c>
      <c r="BT28" s="75"/>
      <c r="BU28" s="110"/>
      <c r="BV28" s="113"/>
      <c r="BW28" s="7" t="s">
        <v>5</v>
      </c>
      <c r="BX28" s="8">
        <f>SUM(D28+J28+P28+V28+AB28+AH28+AN28+AT28+AZ28+BF28+BL28+BR28)</f>
        <v>0</v>
      </c>
      <c r="BY28" s="9">
        <f>SUM(E28+K28+Q28+W28+AC28+AI28+AO28+AU28+BA28+BG28+BM28+BS28)</f>
        <v>0</v>
      </c>
      <c r="BZ28" s="3"/>
    </row>
    <row r="29" spans="1:78" ht="20.100000000000001" customHeight="1" thickBot="1" x14ac:dyDescent="0.25">
      <c r="A29" s="110"/>
      <c r="B29" s="114" t="s">
        <v>6</v>
      </c>
      <c r="C29" s="118"/>
      <c r="D29" s="26">
        <f>SUM(D27:D28)</f>
        <v>0</v>
      </c>
      <c r="E29" s="10">
        <f>SUM(E27:E28)</f>
        <v>0</v>
      </c>
      <c r="F29" s="75"/>
      <c r="G29" s="110"/>
      <c r="H29" s="114" t="s">
        <v>6</v>
      </c>
      <c r="I29" s="118"/>
      <c r="J29" s="26">
        <f>SUM(J27:J28)</f>
        <v>0</v>
      </c>
      <c r="K29" s="10">
        <f>SUM(K27:K28)</f>
        <v>0</v>
      </c>
      <c r="L29" s="75"/>
      <c r="M29" s="110"/>
      <c r="N29" s="114" t="s">
        <v>6</v>
      </c>
      <c r="O29" s="118"/>
      <c r="P29" s="26">
        <f>SUM(P27:P28)</f>
        <v>0</v>
      </c>
      <c r="Q29" s="10">
        <f>SUM(Q27:Q28)</f>
        <v>0</v>
      </c>
      <c r="R29" s="75"/>
      <c r="S29" s="110"/>
      <c r="T29" s="114" t="s">
        <v>6</v>
      </c>
      <c r="U29" s="118"/>
      <c r="V29" s="26">
        <f>SUM(V27:V28)</f>
        <v>0</v>
      </c>
      <c r="W29" s="10">
        <f>SUM(W27:W28)</f>
        <v>0</v>
      </c>
      <c r="X29" s="75"/>
      <c r="Y29" s="110"/>
      <c r="Z29" s="114" t="s">
        <v>6</v>
      </c>
      <c r="AA29" s="118"/>
      <c r="AB29" s="26">
        <f>SUM(AB27:AB28)</f>
        <v>0</v>
      </c>
      <c r="AC29" s="10">
        <f>SUM(AC27:AC28)</f>
        <v>0</v>
      </c>
      <c r="AD29" s="75"/>
      <c r="AE29" s="110"/>
      <c r="AF29" s="114" t="s">
        <v>6</v>
      </c>
      <c r="AG29" s="118"/>
      <c r="AH29" s="26">
        <f>SUM(AH27:AH28)</f>
        <v>0</v>
      </c>
      <c r="AI29" s="10">
        <f>SUM(AI27:AI28)</f>
        <v>0</v>
      </c>
      <c r="AJ29" s="75"/>
      <c r="AK29" s="110"/>
      <c r="AL29" s="114" t="s">
        <v>6</v>
      </c>
      <c r="AM29" s="118"/>
      <c r="AN29" s="26">
        <f>SUM(AN27:AN28)</f>
        <v>0</v>
      </c>
      <c r="AO29" s="10">
        <f>SUM(AO27:AO28)</f>
        <v>0</v>
      </c>
      <c r="AP29" s="75"/>
      <c r="AQ29" s="110"/>
      <c r="AR29" s="114" t="s">
        <v>6</v>
      </c>
      <c r="AS29" s="118"/>
      <c r="AT29" s="97">
        <f t="shared" ref="AT29:AU29" si="12">SUM(AT27:AT28)</f>
        <v>0</v>
      </c>
      <c r="AU29" s="97">
        <f t="shared" si="12"/>
        <v>0</v>
      </c>
      <c r="AV29" s="75"/>
      <c r="AW29" s="110"/>
      <c r="AX29" s="114" t="s">
        <v>6</v>
      </c>
      <c r="AY29" s="118"/>
      <c r="AZ29" s="26">
        <f>SUM(AZ27:AZ28)</f>
        <v>0</v>
      </c>
      <c r="BA29" s="10">
        <f>SUM(BA27:BA28)</f>
        <v>0</v>
      </c>
      <c r="BB29" s="75"/>
      <c r="BC29" s="110"/>
      <c r="BD29" s="114" t="s">
        <v>6</v>
      </c>
      <c r="BE29" s="118"/>
      <c r="BF29" s="156">
        <v>0</v>
      </c>
      <c r="BG29" s="157">
        <v>0</v>
      </c>
      <c r="BH29" s="75"/>
      <c r="BI29" s="110"/>
      <c r="BJ29" s="114" t="s">
        <v>6</v>
      </c>
      <c r="BK29" s="118"/>
      <c r="BL29" s="26">
        <f>SUM(BL27:BL28)</f>
        <v>0</v>
      </c>
      <c r="BM29" s="10">
        <f>SUM(BM27:BM28)</f>
        <v>0</v>
      </c>
      <c r="BN29" s="75"/>
      <c r="BO29" s="110"/>
      <c r="BP29" s="114" t="s">
        <v>6</v>
      </c>
      <c r="BQ29" s="118"/>
      <c r="BR29" s="26">
        <f>SUM(BR27:BR28)</f>
        <v>0</v>
      </c>
      <c r="BS29" s="10">
        <f>SUM(BS27:BS28)</f>
        <v>0</v>
      </c>
      <c r="BT29" s="75"/>
      <c r="BU29" s="110"/>
      <c r="BV29" s="114" t="s">
        <v>6</v>
      </c>
      <c r="BW29" s="115"/>
      <c r="BX29" s="12">
        <f>SUM(BX27:BX28)</f>
        <v>0</v>
      </c>
      <c r="BY29" s="17">
        <f>SUM(BY27:BY28)</f>
        <v>0</v>
      </c>
      <c r="BZ29" s="3"/>
    </row>
    <row r="30" spans="1:78" ht="20.100000000000001" customHeight="1" thickBot="1" x14ac:dyDescent="0.25">
      <c r="A30" s="110"/>
      <c r="B30" s="119" t="s">
        <v>7</v>
      </c>
      <c r="C30" s="4" t="s">
        <v>4</v>
      </c>
      <c r="D30" s="24">
        <v>0</v>
      </c>
      <c r="E30" s="70">
        <v>0</v>
      </c>
      <c r="F30" s="75"/>
      <c r="G30" s="110"/>
      <c r="H30" s="119" t="s">
        <v>7</v>
      </c>
      <c r="I30" s="4" t="s">
        <v>4</v>
      </c>
      <c r="J30" s="24">
        <v>0</v>
      </c>
      <c r="K30" s="70">
        <v>0</v>
      </c>
      <c r="L30" s="75"/>
      <c r="M30" s="110"/>
      <c r="N30" s="119" t="s">
        <v>7</v>
      </c>
      <c r="O30" s="4" t="s">
        <v>4</v>
      </c>
      <c r="P30" s="24">
        <v>0</v>
      </c>
      <c r="Q30" s="70">
        <v>0</v>
      </c>
      <c r="R30" s="75"/>
      <c r="S30" s="110"/>
      <c r="T30" s="119" t="s">
        <v>7</v>
      </c>
      <c r="U30" s="4" t="s">
        <v>4</v>
      </c>
      <c r="V30" s="24">
        <v>0</v>
      </c>
      <c r="W30" s="70">
        <v>0</v>
      </c>
      <c r="X30" s="75"/>
      <c r="Y30" s="110"/>
      <c r="Z30" s="119" t="s">
        <v>7</v>
      </c>
      <c r="AA30" s="4" t="s">
        <v>4</v>
      </c>
      <c r="AB30" s="24">
        <v>0</v>
      </c>
      <c r="AC30" s="70">
        <v>0</v>
      </c>
      <c r="AD30" s="75"/>
      <c r="AE30" s="110"/>
      <c r="AF30" s="119" t="s">
        <v>7</v>
      </c>
      <c r="AG30" s="4" t="s">
        <v>4</v>
      </c>
      <c r="AH30" s="24">
        <v>0</v>
      </c>
      <c r="AI30" s="70">
        <v>0</v>
      </c>
      <c r="AJ30" s="75"/>
      <c r="AK30" s="110"/>
      <c r="AL30" s="119" t="s">
        <v>7</v>
      </c>
      <c r="AM30" s="4" t="s">
        <v>4</v>
      </c>
      <c r="AN30" s="24">
        <v>0</v>
      </c>
      <c r="AO30" s="70">
        <v>0</v>
      </c>
      <c r="AP30" s="75"/>
      <c r="AQ30" s="110"/>
      <c r="AR30" s="119" t="s">
        <v>7</v>
      </c>
      <c r="AS30" s="4" t="s">
        <v>4</v>
      </c>
      <c r="AT30" s="93">
        <v>0</v>
      </c>
      <c r="AU30" s="94">
        <v>0</v>
      </c>
      <c r="AV30" s="75"/>
      <c r="AW30" s="110"/>
      <c r="AX30" s="119" t="s">
        <v>7</v>
      </c>
      <c r="AY30" s="4" t="s">
        <v>4</v>
      </c>
      <c r="AZ30" s="24">
        <v>0</v>
      </c>
      <c r="BA30" s="70">
        <v>0</v>
      </c>
      <c r="BB30" s="75"/>
      <c r="BC30" s="110"/>
      <c r="BD30" s="119" t="s">
        <v>7</v>
      </c>
      <c r="BE30" s="4" t="s">
        <v>4</v>
      </c>
      <c r="BF30" s="160">
        <v>0</v>
      </c>
      <c r="BG30" s="161">
        <v>0</v>
      </c>
      <c r="BH30" s="75"/>
      <c r="BI30" s="110"/>
      <c r="BJ30" s="119" t="s">
        <v>7</v>
      </c>
      <c r="BK30" s="4" t="s">
        <v>4</v>
      </c>
      <c r="BL30" s="24">
        <v>0</v>
      </c>
      <c r="BM30" s="70">
        <v>0</v>
      </c>
      <c r="BN30" s="75"/>
      <c r="BO30" s="110"/>
      <c r="BP30" s="119" t="s">
        <v>7</v>
      </c>
      <c r="BQ30" s="4" t="s">
        <v>4</v>
      </c>
      <c r="BR30" s="24">
        <v>0</v>
      </c>
      <c r="BS30" s="70">
        <v>0</v>
      </c>
      <c r="BT30" s="75"/>
      <c r="BU30" s="110"/>
      <c r="BV30" s="121" t="s">
        <v>7</v>
      </c>
      <c r="BW30" s="4" t="s">
        <v>4</v>
      </c>
      <c r="BX30" s="5">
        <f>SUM(D30+J30+P30+V30+AB30+AH30+AN30+AT30+AZ30+BF30+BL30+BR30)</f>
        <v>0</v>
      </c>
      <c r="BY30" s="6">
        <f>SUM(E30+K30+Q30+W30+AC30+AI30+AO30+AU30+BA30+BG30+BM30+BS30)</f>
        <v>0</v>
      </c>
      <c r="BZ30" s="3"/>
    </row>
    <row r="31" spans="1:78" ht="20.100000000000001" customHeight="1" thickBot="1" x14ac:dyDescent="0.25">
      <c r="A31" s="110"/>
      <c r="B31" s="120"/>
      <c r="C31" s="7" t="s">
        <v>5</v>
      </c>
      <c r="D31" s="25">
        <v>0</v>
      </c>
      <c r="E31" s="71">
        <v>0</v>
      </c>
      <c r="F31" s="75"/>
      <c r="G31" s="110"/>
      <c r="H31" s="120"/>
      <c r="I31" s="7" t="s">
        <v>5</v>
      </c>
      <c r="J31" s="25">
        <v>0</v>
      </c>
      <c r="K31" s="71">
        <v>0</v>
      </c>
      <c r="L31" s="75"/>
      <c r="M31" s="110"/>
      <c r="N31" s="120"/>
      <c r="O31" s="7" t="s">
        <v>5</v>
      </c>
      <c r="P31" s="25">
        <v>0</v>
      </c>
      <c r="Q31" s="71">
        <v>0</v>
      </c>
      <c r="R31" s="75"/>
      <c r="S31" s="110"/>
      <c r="T31" s="120"/>
      <c r="U31" s="7" t="s">
        <v>5</v>
      </c>
      <c r="V31" s="25">
        <v>0</v>
      </c>
      <c r="W31" s="71">
        <v>0</v>
      </c>
      <c r="X31" s="75"/>
      <c r="Y31" s="110"/>
      <c r="Z31" s="120"/>
      <c r="AA31" s="7" t="s">
        <v>5</v>
      </c>
      <c r="AB31" s="25">
        <v>0</v>
      </c>
      <c r="AC31" s="71">
        <v>0</v>
      </c>
      <c r="AD31" s="75"/>
      <c r="AE31" s="110"/>
      <c r="AF31" s="120"/>
      <c r="AG31" s="7" t="s">
        <v>5</v>
      </c>
      <c r="AH31" s="25">
        <v>0</v>
      </c>
      <c r="AI31" s="71">
        <v>0</v>
      </c>
      <c r="AJ31" s="75"/>
      <c r="AK31" s="110"/>
      <c r="AL31" s="120"/>
      <c r="AM31" s="7" t="s">
        <v>5</v>
      </c>
      <c r="AN31" s="25">
        <v>0</v>
      </c>
      <c r="AO31" s="71">
        <v>0</v>
      </c>
      <c r="AP31" s="75"/>
      <c r="AQ31" s="110"/>
      <c r="AR31" s="120"/>
      <c r="AS31" s="7" t="s">
        <v>5</v>
      </c>
      <c r="AT31" s="95">
        <v>0</v>
      </c>
      <c r="AU31" s="96">
        <v>0</v>
      </c>
      <c r="AV31" s="75"/>
      <c r="AW31" s="110"/>
      <c r="AX31" s="120"/>
      <c r="AY31" s="7" t="s">
        <v>5</v>
      </c>
      <c r="AZ31" s="25">
        <v>0</v>
      </c>
      <c r="BA31" s="71">
        <v>0</v>
      </c>
      <c r="BB31" s="75"/>
      <c r="BC31" s="110"/>
      <c r="BD31" s="120"/>
      <c r="BE31" s="7" t="s">
        <v>5</v>
      </c>
      <c r="BF31" s="162">
        <v>0</v>
      </c>
      <c r="BG31" s="163">
        <v>0</v>
      </c>
      <c r="BH31" s="75"/>
      <c r="BI31" s="110"/>
      <c r="BJ31" s="120"/>
      <c r="BK31" s="7" t="s">
        <v>5</v>
      </c>
      <c r="BL31" s="25">
        <v>0</v>
      </c>
      <c r="BM31" s="71">
        <v>0</v>
      </c>
      <c r="BN31" s="75"/>
      <c r="BO31" s="110"/>
      <c r="BP31" s="120"/>
      <c r="BQ31" s="7" t="s">
        <v>5</v>
      </c>
      <c r="BR31" s="25">
        <v>0</v>
      </c>
      <c r="BS31" s="71">
        <v>0</v>
      </c>
      <c r="BT31" s="75"/>
      <c r="BU31" s="110"/>
      <c r="BV31" s="122"/>
      <c r="BW31" s="7" t="s">
        <v>5</v>
      </c>
      <c r="BX31" s="8">
        <f>SUM(D31+J31+P31+V31+AB31+AH31+AN31+AT31+AZ31+BF31+BL31+BR31)</f>
        <v>0</v>
      </c>
      <c r="BY31" s="9">
        <f>SUM(E31+K31+Q31+W31+AC31+AI31+AO31+AU31+BA31+BG31+BM31+BS31)</f>
        <v>0</v>
      </c>
      <c r="BZ31" s="3"/>
    </row>
    <row r="32" spans="1:78" ht="20.100000000000001" customHeight="1" thickBot="1" x14ac:dyDescent="0.25">
      <c r="A32" s="111"/>
      <c r="B32" s="116" t="s">
        <v>8</v>
      </c>
      <c r="C32" s="117"/>
      <c r="D32" s="26">
        <f>SUM(D30:D31)</f>
        <v>0</v>
      </c>
      <c r="E32" s="10">
        <f>SUM(E30:E31)</f>
        <v>0</v>
      </c>
      <c r="F32" s="75"/>
      <c r="G32" s="111"/>
      <c r="H32" s="116" t="s">
        <v>8</v>
      </c>
      <c r="I32" s="117"/>
      <c r="J32" s="26">
        <f>SUM(J30:J31)</f>
        <v>0</v>
      </c>
      <c r="K32" s="10">
        <f>SUM(K30:K31)</f>
        <v>0</v>
      </c>
      <c r="L32" s="75"/>
      <c r="M32" s="111"/>
      <c r="N32" s="116" t="s">
        <v>8</v>
      </c>
      <c r="O32" s="117"/>
      <c r="P32" s="26">
        <f>SUM(P30:P31)</f>
        <v>0</v>
      </c>
      <c r="Q32" s="10">
        <f>SUM(Q30:Q31)</f>
        <v>0</v>
      </c>
      <c r="R32" s="75"/>
      <c r="S32" s="111"/>
      <c r="T32" s="116" t="s">
        <v>8</v>
      </c>
      <c r="U32" s="117"/>
      <c r="V32" s="26">
        <f>SUM(V30:V31)</f>
        <v>0</v>
      </c>
      <c r="W32" s="10">
        <f>SUM(W30:W31)</f>
        <v>0</v>
      </c>
      <c r="X32" s="75"/>
      <c r="Y32" s="111"/>
      <c r="Z32" s="116" t="s">
        <v>8</v>
      </c>
      <c r="AA32" s="117"/>
      <c r="AB32" s="26">
        <f>SUM(AB30:AB31)</f>
        <v>0</v>
      </c>
      <c r="AC32" s="10">
        <f>SUM(AC30:AC31)</f>
        <v>0</v>
      </c>
      <c r="AD32" s="75"/>
      <c r="AE32" s="111"/>
      <c r="AF32" s="116" t="s">
        <v>8</v>
      </c>
      <c r="AG32" s="117"/>
      <c r="AH32" s="26">
        <f>SUM(AH30:AH31)</f>
        <v>0</v>
      </c>
      <c r="AI32" s="10">
        <f>SUM(AI30:AI31)</f>
        <v>0</v>
      </c>
      <c r="AJ32" s="75"/>
      <c r="AK32" s="111"/>
      <c r="AL32" s="116" t="s">
        <v>8</v>
      </c>
      <c r="AM32" s="117"/>
      <c r="AN32" s="26">
        <f>SUM(AN30:AN31)</f>
        <v>0</v>
      </c>
      <c r="AO32" s="10">
        <f>SUM(AO30:AO31)</f>
        <v>0</v>
      </c>
      <c r="AP32" s="75"/>
      <c r="AQ32" s="111"/>
      <c r="AR32" s="116" t="s">
        <v>8</v>
      </c>
      <c r="AS32" s="117"/>
      <c r="AT32" s="97">
        <f t="shared" ref="AT32:AU32" si="13">SUM(AT30:AT31)</f>
        <v>0</v>
      </c>
      <c r="AU32" s="97">
        <f t="shared" si="13"/>
        <v>0</v>
      </c>
      <c r="AV32" s="75"/>
      <c r="AW32" s="111"/>
      <c r="AX32" s="116" t="s">
        <v>8</v>
      </c>
      <c r="AY32" s="117"/>
      <c r="AZ32" s="26">
        <f>SUM(AZ30:AZ31)</f>
        <v>0</v>
      </c>
      <c r="BA32" s="10">
        <f>SUM(BA30:BA31)</f>
        <v>0</v>
      </c>
      <c r="BB32" s="75"/>
      <c r="BC32" s="111"/>
      <c r="BD32" s="116" t="s">
        <v>8</v>
      </c>
      <c r="BE32" s="117"/>
      <c r="BF32" s="156">
        <v>0</v>
      </c>
      <c r="BG32" s="157">
        <v>0</v>
      </c>
      <c r="BH32" s="75"/>
      <c r="BI32" s="111"/>
      <c r="BJ32" s="116" t="s">
        <v>8</v>
      </c>
      <c r="BK32" s="117"/>
      <c r="BL32" s="26">
        <f>SUM(BL30:BL31)</f>
        <v>0</v>
      </c>
      <c r="BM32" s="10">
        <f>SUM(BM30:BM31)</f>
        <v>0</v>
      </c>
      <c r="BN32" s="75"/>
      <c r="BO32" s="111"/>
      <c r="BP32" s="116" t="s">
        <v>8</v>
      </c>
      <c r="BQ32" s="117"/>
      <c r="BR32" s="26">
        <f>SUM(BR30:BR31)</f>
        <v>0</v>
      </c>
      <c r="BS32" s="10">
        <f>SUM(BS30:BS31)</f>
        <v>0</v>
      </c>
      <c r="BT32" s="75"/>
      <c r="BU32" s="111"/>
      <c r="BV32" s="114" t="s">
        <v>8</v>
      </c>
      <c r="BW32" s="115"/>
      <c r="BX32" s="10">
        <f>SUM(BX30:BX31)</f>
        <v>0</v>
      </c>
      <c r="BY32" s="11">
        <f>SUM(BY30:BY31)</f>
        <v>0</v>
      </c>
      <c r="BZ32" s="3"/>
    </row>
    <row r="33" spans="1:78" ht="20.100000000000001" customHeight="1" thickBot="1" x14ac:dyDescent="0.25">
      <c r="A33" s="13"/>
      <c r="B33" s="106" t="s">
        <v>9</v>
      </c>
      <c r="C33" s="107"/>
      <c r="D33" s="27">
        <f>SUM(D29+D32)</f>
        <v>0</v>
      </c>
      <c r="E33" s="14">
        <f>SUM(E29+E32)</f>
        <v>0</v>
      </c>
      <c r="F33" s="75"/>
      <c r="G33" s="13"/>
      <c r="H33" s="106" t="s">
        <v>9</v>
      </c>
      <c r="I33" s="107"/>
      <c r="J33" s="27">
        <f>SUM(J29+J32)</f>
        <v>0</v>
      </c>
      <c r="K33" s="14">
        <f>SUM(K29+K32)</f>
        <v>0</v>
      </c>
      <c r="L33" s="75"/>
      <c r="M33" s="13"/>
      <c r="N33" s="106" t="s">
        <v>9</v>
      </c>
      <c r="O33" s="107"/>
      <c r="P33" s="27">
        <f>SUM(P29+P32)</f>
        <v>0</v>
      </c>
      <c r="Q33" s="14">
        <f>SUM(Q29+Q32)</f>
        <v>0</v>
      </c>
      <c r="R33" s="75"/>
      <c r="S33" s="13"/>
      <c r="T33" s="106" t="s">
        <v>9</v>
      </c>
      <c r="U33" s="107"/>
      <c r="V33" s="27">
        <f>SUM(V29+V32)</f>
        <v>0</v>
      </c>
      <c r="W33" s="14">
        <f>SUM(W29+W32)</f>
        <v>0</v>
      </c>
      <c r="X33" s="75"/>
      <c r="Y33" s="13"/>
      <c r="Z33" s="106" t="s">
        <v>9</v>
      </c>
      <c r="AA33" s="107"/>
      <c r="AB33" s="27">
        <f>SUM(AB29+AB32)</f>
        <v>0</v>
      </c>
      <c r="AC33" s="14">
        <f>SUM(AC29+AC32)</f>
        <v>0</v>
      </c>
      <c r="AD33" s="75"/>
      <c r="AE33" s="13"/>
      <c r="AF33" s="106" t="s">
        <v>9</v>
      </c>
      <c r="AG33" s="107"/>
      <c r="AH33" s="27">
        <f>SUM(AH29+AH32)</f>
        <v>0</v>
      </c>
      <c r="AI33" s="14">
        <f>SUM(AI29+AI32)</f>
        <v>0</v>
      </c>
      <c r="AJ33" s="75"/>
      <c r="AK33" s="13"/>
      <c r="AL33" s="106" t="s">
        <v>9</v>
      </c>
      <c r="AM33" s="107"/>
      <c r="AN33" s="27">
        <f>SUM(AN29+AN32)</f>
        <v>0</v>
      </c>
      <c r="AO33" s="14">
        <f>SUM(AO29+AO32)</f>
        <v>0</v>
      </c>
      <c r="AP33" s="75"/>
      <c r="AQ33" s="13"/>
      <c r="AR33" s="106" t="s">
        <v>9</v>
      </c>
      <c r="AS33" s="107"/>
      <c r="AT33" s="98">
        <f t="shared" ref="AT33:AU33" si="14">SUM(AT29+AT32)</f>
        <v>0</v>
      </c>
      <c r="AU33" s="99">
        <f t="shared" si="14"/>
        <v>0</v>
      </c>
      <c r="AV33" s="75"/>
      <c r="AW33" s="13"/>
      <c r="AX33" s="106" t="s">
        <v>9</v>
      </c>
      <c r="AY33" s="107"/>
      <c r="AZ33" s="27">
        <f>SUM(AZ29+AZ32)</f>
        <v>0</v>
      </c>
      <c r="BA33" s="14">
        <f>SUM(BA29+BA32)</f>
        <v>0</v>
      </c>
      <c r="BB33" s="75"/>
      <c r="BC33" s="13"/>
      <c r="BD33" s="106" t="s">
        <v>9</v>
      </c>
      <c r="BE33" s="107"/>
      <c r="BF33" s="158">
        <v>0</v>
      </c>
      <c r="BG33" s="159">
        <v>0</v>
      </c>
      <c r="BH33" s="75"/>
      <c r="BI33" s="13"/>
      <c r="BJ33" s="106" t="s">
        <v>9</v>
      </c>
      <c r="BK33" s="107"/>
      <c r="BL33" s="27">
        <f>SUM(BL29+BL32)</f>
        <v>0</v>
      </c>
      <c r="BM33" s="14">
        <f>SUM(BM29+BM32)</f>
        <v>0</v>
      </c>
      <c r="BN33" s="75"/>
      <c r="BO33" s="13"/>
      <c r="BP33" s="106" t="s">
        <v>9</v>
      </c>
      <c r="BQ33" s="107"/>
      <c r="BR33" s="27">
        <f>SUM(BR29+BR32)</f>
        <v>0</v>
      </c>
      <c r="BS33" s="14">
        <f>SUM(BS29+BS32)</f>
        <v>0</v>
      </c>
      <c r="BT33" s="75"/>
      <c r="BU33" s="13"/>
      <c r="BV33" s="106" t="s">
        <v>9</v>
      </c>
      <c r="BW33" s="108"/>
      <c r="BX33" s="14">
        <f>SUM(BX29+BX32)</f>
        <v>0</v>
      </c>
      <c r="BY33" s="20">
        <f>SUM(BY29+BY32)</f>
        <v>0</v>
      </c>
      <c r="BZ33" s="3"/>
    </row>
    <row r="34" spans="1:78" ht="20.100000000000001" customHeight="1" thickBot="1" x14ac:dyDescent="0.25">
      <c r="A34" s="109" t="s">
        <v>25</v>
      </c>
      <c r="B34" s="112" t="s">
        <v>1</v>
      </c>
      <c r="C34" s="4" t="s">
        <v>4</v>
      </c>
      <c r="D34" s="24">
        <v>0</v>
      </c>
      <c r="E34" s="70">
        <v>0</v>
      </c>
      <c r="F34" s="75"/>
      <c r="G34" s="109" t="s">
        <v>25</v>
      </c>
      <c r="H34" s="112" t="s">
        <v>1</v>
      </c>
      <c r="I34" s="4" t="s">
        <v>4</v>
      </c>
      <c r="J34" s="24">
        <v>0</v>
      </c>
      <c r="K34" s="70">
        <v>0</v>
      </c>
      <c r="L34" s="75"/>
      <c r="M34" s="109" t="s">
        <v>25</v>
      </c>
      <c r="N34" s="112" t="s">
        <v>1</v>
      </c>
      <c r="O34" s="4" t="s">
        <v>4</v>
      </c>
      <c r="P34" s="24">
        <v>0</v>
      </c>
      <c r="Q34" s="70">
        <v>0</v>
      </c>
      <c r="R34" s="75"/>
      <c r="S34" s="109" t="s">
        <v>25</v>
      </c>
      <c r="T34" s="112" t="s">
        <v>1</v>
      </c>
      <c r="U34" s="4" t="s">
        <v>4</v>
      </c>
      <c r="V34" s="24">
        <v>0</v>
      </c>
      <c r="W34" s="70">
        <v>0</v>
      </c>
      <c r="X34" s="75"/>
      <c r="Y34" s="109" t="s">
        <v>25</v>
      </c>
      <c r="Z34" s="112" t="s">
        <v>1</v>
      </c>
      <c r="AA34" s="4" t="s">
        <v>4</v>
      </c>
      <c r="AB34" s="24">
        <v>0</v>
      </c>
      <c r="AC34" s="70">
        <v>0</v>
      </c>
      <c r="AD34" s="75"/>
      <c r="AE34" s="109" t="s">
        <v>25</v>
      </c>
      <c r="AF34" s="112" t="s">
        <v>1</v>
      </c>
      <c r="AG34" s="4" t="s">
        <v>4</v>
      </c>
      <c r="AH34" s="24">
        <v>0</v>
      </c>
      <c r="AI34" s="70">
        <v>0</v>
      </c>
      <c r="AJ34" s="75"/>
      <c r="AK34" s="109" t="s">
        <v>25</v>
      </c>
      <c r="AL34" s="112" t="s">
        <v>1</v>
      </c>
      <c r="AM34" s="4" t="s">
        <v>4</v>
      </c>
      <c r="AN34" s="24">
        <v>0</v>
      </c>
      <c r="AO34" s="70">
        <v>0</v>
      </c>
      <c r="AP34" s="75"/>
      <c r="AQ34" s="109" t="s">
        <v>25</v>
      </c>
      <c r="AR34" s="112" t="s">
        <v>1</v>
      </c>
      <c r="AS34" s="4" t="s">
        <v>4</v>
      </c>
      <c r="AT34" s="93">
        <v>0</v>
      </c>
      <c r="AU34" s="94">
        <v>0</v>
      </c>
      <c r="AV34" s="75"/>
      <c r="AW34" s="109" t="s">
        <v>25</v>
      </c>
      <c r="AX34" s="112" t="s">
        <v>1</v>
      </c>
      <c r="AY34" s="4" t="s">
        <v>4</v>
      </c>
      <c r="AZ34" s="24">
        <v>0</v>
      </c>
      <c r="BA34" s="70">
        <v>0</v>
      </c>
      <c r="BB34" s="75"/>
      <c r="BC34" s="109" t="s">
        <v>25</v>
      </c>
      <c r="BD34" s="112" t="s">
        <v>1</v>
      </c>
      <c r="BE34" s="4" t="s">
        <v>4</v>
      </c>
      <c r="BF34" s="160">
        <v>0</v>
      </c>
      <c r="BG34" s="161">
        <v>0</v>
      </c>
      <c r="BH34" s="75"/>
      <c r="BI34" s="109" t="s">
        <v>25</v>
      </c>
      <c r="BJ34" s="112" t="s">
        <v>1</v>
      </c>
      <c r="BK34" s="4" t="s">
        <v>4</v>
      </c>
      <c r="BL34" s="24">
        <v>0</v>
      </c>
      <c r="BM34" s="70">
        <v>0</v>
      </c>
      <c r="BN34" s="75"/>
      <c r="BO34" s="109" t="s">
        <v>25</v>
      </c>
      <c r="BP34" s="112" t="s">
        <v>1</v>
      </c>
      <c r="BQ34" s="4" t="s">
        <v>4</v>
      </c>
      <c r="BR34" s="24">
        <v>0</v>
      </c>
      <c r="BS34" s="70">
        <v>0</v>
      </c>
      <c r="BT34" s="75"/>
      <c r="BU34" s="109" t="str">
        <f>BO34</f>
        <v>الروابي</v>
      </c>
      <c r="BV34" s="112" t="s">
        <v>1</v>
      </c>
      <c r="BW34" s="4" t="s">
        <v>4</v>
      </c>
      <c r="BX34" s="5">
        <f>SUM(D34+J34+P34+V34+AB34+AH34+AN34+AT34+AZ34+BF34+BL34+BR34)</f>
        <v>0</v>
      </c>
      <c r="BY34" s="6">
        <f>SUM(E34+K34+Q34+W34+AC34+AI34+AO34+AU34+BA34+BG34+BM34+BS34)</f>
        <v>0</v>
      </c>
      <c r="BZ34" s="3"/>
    </row>
    <row r="35" spans="1:78" ht="20.100000000000001" customHeight="1" thickBot="1" x14ac:dyDescent="0.25">
      <c r="A35" s="110"/>
      <c r="B35" s="113"/>
      <c r="C35" s="7" t="s">
        <v>5</v>
      </c>
      <c r="D35" s="25">
        <v>0</v>
      </c>
      <c r="E35" s="71">
        <v>0</v>
      </c>
      <c r="F35" s="75"/>
      <c r="G35" s="110"/>
      <c r="H35" s="113"/>
      <c r="I35" s="7" t="s">
        <v>5</v>
      </c>
      <c r="J35" s="25">
        <v>0</v>
      </c>
      <c r="K35" s="71">
        <v>0</v>
      </c>
      <c r="L35" s="75"/>
      <c r="M35" s="110"/>
      <c r="N35" s="113"/>
      <c r="O35" s="7" t="s">
        <v>5</v>
      </c>
      <c r="P35" s="25">
        <v>0</v>
      </c>
      <c r="Q35" s="71">
        <v>0</v>
      </c>
      <c r="R35" s="75"/>
      <c r="S35" s="110"/>
      <c r="T35" s="113"/>
      <c r="U35" s="7" t="s">
        <v>5</v>
      </c>
      <c r="V35" s="25">
        <v>0</v>
      </c>
      <c r="W35" s="71">
        <v>0</v>
      </c>
      <c r="X35" s="75"/>
      <c r="Y35" s="110"/>
      <c r="Z35" s="113"/>
      <c r="AA35" s="7" t="s">
        <v>5</v>
      </c>
      <c r="AB35" s="25">
        <v>0</v>
      </c>
      <c r="AC35" s="71">
        <v>0</v>
      </c>
      <c r="AD35" s="75"/>
      <c r="AE35" s="110"/>
      <c r="AF35" s="113"/>
      <c r="AG35" s="7" t="s">
        <v>5</v>
      </c>
      <c r="AH35" s="25">
        <v>0</v>
      </c>
      <c r="AI35" s="71">
        <v>0</v>
      </c>
      <c r="AJ35" s="75"/>
      <c r="AK35" s="110"/>
      <c r="AL35" s="113"/>
      <c r="AM35" s="7" t="s">
        <v>5</v>
      </c>
      <c r="AN35" s="25">
        <v>0</v>
      </c>
      <c r="AO35" s="71">
        <v>0</v>
      </c>
      <c r="AP35" s="75"/>
      <c r="AQ35" s="110"/>
      <c r="AR35" s="113"/>
      <c r="AS35" s="7" t="s">
        <v>5</v>
      </c>
      <c r="AT35" s="95">
        <v>0</v>
      </c>
      <c r="AU35" s="96">
        <v>0</v>
      </c>
      <c r="AV35" s="75"/>
      <c r="AW35" s="110"/>
      <c r="AX35" s="113"/>
      <c r="AY35" s="7" t="s">
        <v>5</v>
      </c>
      <c r="AZ35" s="25">
        <v>0</v>
      </c>
      <c r="BA35" s="71">
        <v>0</v>
      </c>
      <c r="BB35" s="75"/>
      <c r="BC35" s="110"/>
      <c r="BD35" s="113"/>
      <c r="BE35" s="7" t="s">
        <v>5</v>
      </c>
      <c r="BF35" s="162">
        <v>0</v>
      </c>
      <c r="BG35" s="163">
        <v>0</v>
      </c>
      <c r="BH35" s="75"/>
      <c r="BI35" s="110"/>
      <c r="BJ35" s="113"/>
      <c r="BK35" s="7" t="s">
        <v>5</v>
      </c>
      <c r="BL35" s="25">
        <v>0</v>
      </c>
      <c r="BM35" s="71">
        <v>0</v>
      </c>
      <c r="BN35" s="75"/>
      <c r="BO35" s="110"/>
      <c r="BP35" s="113"/>
      <c r="BQ35" s="7" t="s">
        <v>5</v>
      </c>
      <c r="BR35" s="25">
        <v>0</v>
      </c>
      <c r="BS35" s="71">
        <v>0</v>
      </c>
      <c r="BT35" s="75"/>
      <c r="BU35" s="110"/>
      <c r="BV35" s="113"/>
      <c r="BW35" s="7" t="s">
        <v>5</v>
      </c>
      <c r="BX35" s="8">
        <f>SUM(D35+J35+P35+V35+AB35+AH35+AN35+AT35+AZ35+BF35+BL35+BR35)</f>
        <v>0</v>
      </c>
      <c r="BY35" s="9">
        <f>SUM(E35+K35+Q35+W35+AC35+AI35+AO35+AU35+BA35+BG35+BM35+BS35)</f>
        <v>0</v>
      </c>
      <c r="BZ35" s="3"/>
    </row>
    <row r="36" spans="1:78" ht="20.100000000000001" customHeight="1" thickBot="1" x14ac:dyDescent="0.25">
      <c r="A36" s="110"/>
      <c r="B36" s="114" t="s">
        <v>6</v>
      </c>
      <c r="C36" s="118"/>
      <c r="D36" s="26">
        <f>SUM(D34:D35)</f>
        <v>0</v>
      </c>
      <c r="E36" s="10">
        <f>SUM(E34:E35)</f>
        <v>0</v>
      </c>
      <c r="F36" s="75"/>
      <c r="G36" s="110"/>
      <c r="H36" s="114" t="s">
        <v>6</v>
      </c>
      <c r="I36" s="118"/>
      <c r="J36" s="26">
        <f>SUM(J34:J35)</f>
        <v>0</v>
      </c>
      <c r="K36" s="10">
        <f>SUM(K34:K35)</f>
        <v>0</v>
      </c>
      <c r="L36" s="75"/>
      <c r="M36" s="110"/>
      <c r="N36" s="114" t="s">
        <v>6</v>
      </c>
      <c r="O36" s="118"/>
      <c r="P36" s="26">
        <f>SUM(P34:P35)</f>
        <v>0</v>
      </c>
      <c r="Q36" s="10">
        <f>SUM(Q34:Q35)</f>
        <v>0</v>
      </c>
      <c r="R36" s="75"/>
      <c r="S36" s="110"/>
      <c r="T36" s="114" t="s">
        <v>6</v>
      </c>
      <c r="U36" s="118"/>
      <c r="V36" s="26">
        <f>SUM(V34:V35)</f>
        <v>0</v>
      </c>
      <c r="W36" s="10">
        <f>SUM(W34:W35)</f>
        <v>0</v>
      </c>
      <c r="X36" s="75"/>
      <c r="Y36" s="110"/>
      <c r="Z36" s="114" t="s">
        <v>6</v>
      </c>
      <c r="AA36" s="118"/>
      <c r="AB36" s="26">
        <f>SUM(AB34:AB35)</f>
        <v>0</v>
      </c>
      <c r="AC36" s="10">
        <f>SUM(AC34:AC35)</f>
        <v>0</v>
      </c>
      <c r="AD36" s="75"/>
      <c r="AE36" s="110"/>
      <c r="AF36" s="114" t="s">
        <v>6</v>
      </c>
      <c r="AG36" s="118"/>
      <c r="AH36" s="26">
        <f>SUM(AH34:AH35)</f>
        <v>0</v>
      </c>
      <c r="AI36" s="10">
        <f>SUM(AI34:AI35)</f>
        <v>0</v>
      </c>
      <c r="AJ36" s="75"/>
      <c r="AK36" s="110"/>
      <c r="AL36" s="114" t="s">
        <v>6</v>
      </c>
      <c r="AM36" s="118"/>
      <c r="AN36" s="26">
        <f>SUM(AN34:AN35)</f>
        <v>0</v>
      </c>
      <c r="AO36" s="10">
        <f>SUM(AO34:AO35)</f>
        <v>0</v>
      </c>
      <c r="AP36" s="75"/>
      <c r="AQ36" s="110"/>
      <c r="AR36" s="114" t="s">
        <v>6</v>
      </c>
      <c r="AS36" s="118"/>
      <c r="AT36" s="97">
        <f t="shared" ref="AT36:AU36" si="15">SUM(AT34:AT35)</f>
        <v>0</v>
      </c>
      <c r="AU36" s="97">
        <f t="shared" si="15"/>
        <v>0</v>
      </c>
      <c r="AV36" s="75"/>
      <c r="AW36" s="110"/>
      <c r="AX36" s="114" t="s">
        <v>6</v>
      </c>
      <c r="AY36" s="118"/>
      <c r="AZ36" s="26">
        <f>SUM(AZ34:AZ35)</f>
        <v>0</v>
      </c>
      <c r="BA36" s="10">
        <f>SUM(BA34:BA35)</f>
        <v>0</v>
      </c>
      <c r="BB36" s="75"/>
      <c r="BC36" s="110"/>
      <c r="BD36" s="114" t="s">
        <v>6</v>
      </c>
      <c r="BE36" s="118"/>
      <c r="BF36" s="156">
        <v>0</v>
      </c>
      <c r="BG36" s="157">
        <v>0</v>
      </c>
      <c r="BH36" s="75"/>
      <c r="BI36" s="110"/>
      <c r="BJ36" s="114" t="s">
        <v>6</v>
      </c>
      <c r="BK36" s="118"/>
      <c r="BL36" s="26">
        <f>SUM(BL34:BL35)</f>
        <v>0</v>
      </c>
      <c r="BM36" s="10">
        <f>SUM(BM34:BM35)</f>
        <v>0</v>
      </c>
      <c r="BN36" s="75"/>
      <c r="BO36" s="110"/>
      <c r="BP36" s="114" t="s">
        <v>6</v>
      </c>
      <c r="BQ36" s="118"/>
      <c r="BR36" s="26">
        <f>SUM(BR34:BR35)</f>
        <v>0</v>
      </c>
      <c r="BS36" s="10">
        <f>SUM(BS34:BS35)</f>
        <v>0</v>
      </c>
      <c r="BT36" s="75"/>
      <c r="BU36" s="110"/>
      <c r="BV36" s="114" t="s">
        <v>6</v>
      </c>
      <c r="BW36" s="115"/>
      <c r="BX36" s="12">
        <f>SUM(BX34:BX35)</f>
        <v>0</v>
      </c>
      <c r="BY36" s="17">
        <f>SUM(BY34:BY35)</f>
        <v>0</v>
      </c>
      <c r="BZ36" s="3"/>
    </row>
    <row r="37" spans="1:78" ht="20.100000000000001" customHeight="1" thickBot="1" x14ac:dyDescent="0.25">
      <c r="A37" s="110"/>
      <c r="B37" s="119" t="s">
        <v>7</v>
      </c>
      <c r="C37" s="4" t="s">
        <v>4</v>
      </c>
      <c r="D37" s="24">
        <v>0</v>
      </c>
      <c r="E37" s="70">
        <v>0</v>
      </c>
      <c r="F37" s="75"/>
      <c r="G37" s="110"/>
      <c r="H37" s="119" t="s">
        <v>7</v>
      </c>
      <c r="I37" s="4" t="s">
        <v>4</v>
      </c>
      <c r="J37" s="24">
        <v>0</v>
      </c>
      <c r="K37" s="70">
        <v>0</v>
      </c>
      <c r="L37" s="75"/>
      <c r="M37" s="110"/>
      <c r="N37" s="119" t="s">
        <v>7</v>
      </c>
      <c r="O37" s="4" t="s">
        <v>4</v>
      </c>
      <c r="P37" s="24">
        <v>0</v>
      </c>
      <c r="Q37" s="70">
        <v>0</v>
      </c>
      <c r="R37" s="75"/>
      <c r="S37" s="110"/>
      <c r="T37" s="119" t="s">
        <v>7</v>
      </c>
      <c r="U37" s="4" t="s">
        <v>4</v>
      </c>
      <c r="V37" s="24">
        <v>0</v>
      </c>
      <c r="W37" s="70">
        <v>0</v>
      </c>
      <c r="X37" s="75"/>
      <c r="Y37" s="110"/>
      <c r="Z37" s="119" t="s">
        <v>7</v>
      </c>
      <c r="AA37" s="4" t="s">
        <v>4</v>
      </c>
      <c r="AB37" s="24">
        <v>0</v>
      </c>
      <c r="AC37" s="70">
        <v>0</v>
      </c>
      <c r="AD37" s="75"/>
      <c r="AE37" s="110"/>
      <c r="AF37" s="119" t="s">
        <v>7</v>
      </c>
      <c r="AG37" s="4" t="s">
        <v>4</v>
      </c>
      <c r="AH37" s="24">
        <v>0</v>
      </c>
      <c r="AI37" s="70">
        <v>0</v>
      </c>
      <c r="AJ37" s="75"/>
      <c r="AK37" s="110"/>
      <c r="AL37" s="119" t="s">
        <v>7</v>
      </c>
      <c r="AM37" s="4" t="s">
        <v>4</v>
      </c>
      <c r="AN37" s="24">
        <v>0</v>
      </c>
      <c r="AO37" s="70">
        <v>0</v>
      </c>
      <c r="AP37" s="75"/>
      <c r="AQ37" s="110"/>
      <c r="AR37" s="119" t="s">
        <v>7</v>
      </c>
      <c r="AS37" s="4" t="s">
        <v>4</v>
      </c>
      <c r="AT37" s="93">
        <v>0</v>
      </c>
      <c r="AU37" s="94">
        <v>0</v>
      </c>
      <c r="AV37" s="75"/>
      <c r="AW37" s="110"/>
      <c r="AX37" s="119" t="s">
        <v>7</v>
      </c>
      <c r="AY37" s="4" t="s">
        <v>4</v>
      </c>
      <c r="AZ37" s="24">
        <v>0</v>
      </c>
      <c r="BA37" s="70">
        <v>0</v>
      </c>
      <c r="BB37" s="75"/>
      <c r="BC37" s="110"/>
      <c r="BD37" s="119" t="s">
        <v>7</v>
      </c>
      <c r="BE37" s="4" t="s">
        <v>4</v>
      </c>
      <c r="BF37" s="160">
        <v>0</v>
      </c>
      <c r="BG37" s="161">
        <v>0</v>
      </c>
      <c r="BH37" s="75"/>
      <c r="BI37" s="110"/>
      <c r="BJ37" s="119" t="s">
        <v>7</v>
      </c>
      <c r="BK37" s="4" t="s">
        <v>4</v>
      </c>
      <c r="BL37" s="24">
        <v>0</v>
      </c>
      <c r="BM37" s="70">
        <v>0</v>
      </c>
      <c r="BN37" s="75"/>
      <c r="BO37" s="110"/>
      <c r="BP37" s="119" t="s">
        <v>7</v>
      </c>
      <c r="BQ37" s="4" t="s">
        <v>4</v>
      </c>
      <c r="BR37" s="24">
        <v>0</v>
      </c>
      <c r="BS37" s="70">
        <v>0</v>
      </c>
      <c r="BT37" s="75"/>
      <c r="BU37" s="110"/>
      <c r="BV37" s="121" t="s">
        <v>7</v>
      </c>
      <c r="BW37" s="4" t="s">
        <v>4</v>
      </c>
      <c r="BX37" s="5">
        <f>SUM(D37+J37+P37+V37+AB37+AH37+AN37+AT37+AZ37+BF37+BL37+BR37)</f>
        <v>0</v>
      </c>
      <c r="BY37" s="6">
        <f>SUM(E37+K37+Q37+W37+AC37+AI37+AO37+AU37+BA37+BG37+BM37+BS37)</f>
        <v>0</v>
      </c>
      <c r="BZ37" s="3"/>
    </row>
    <row r="38" spans="1:78" ht="20.100000000000001" customHeight="1" thickBot="1" x14ac:dyDescent="0.25">
      <c r="A38" s="110"/>
      <c r="B38" s="120"/>
      <c r="C38" s="7" t="s">
        <v>5</v>
      </c>
      <c r="D38" s="25">
        <v>0</v>
      </c>
      <c r="E38" s="71">
        <v>0</v>
      </c>
      <c r="F38" s="75"/>
      <c r="G38" s="110"/>
      <c r="H38" s="120"/>
      <c r="I38" s="7" t="s">
        <v>5</v>
      </c>
      <c r="J38" s="25">
        <v>0</v>
      </c>
      <c r="K38" s="71">
        <v>0</v>
      </c>
      <c r="L38" s="75"/>
      <c r="M38" s="110"/>
      <c r="N38" s="120"/>
      <c r="O38" s="7" t="s">
        <v>5</v>
      </c>
      <c r="P38" s="25">
        <v>0</v>
      </c>
      <c r="Q38" s="71">
        <v>0</v>
      </c>
      <c r="R38" s="75"/>
      <c r="S38" s="110"/>
      <c r="T38" s="120"/>
      <c r="U38" s="7" t="s">
        <v>5</v>
      </c>
      <c r="V38" s="25">
        <v>0</v>
      </c>
      <c r="W38" s="71">
        <v>0</v>
      </c>
      <c r="X38" s="75"/>
      <c r="Y38" s="110"/>
      <c r="Z38" s="120"/>
      <c r="AA38" s="7" t="s">
        <v>5</v>
      </c>
      <c r="AB38" s="25">
        <v>0</v>
      </c>
      <c r="AC38" s="71">
        <v>0</v>
      </c>
      <c r="AD38" s="75"/>
      <c r="AE38" s="110"/>
      <c r="AF38" s="120"/>
      <c r="AG38" s="7" t="s">
        <v>5</v>
      </c>
      <c r="AH38" s="25">
        <v>0</v>
      </c>
      <c r="AI38" s="71">
        <v>0</v>
      </c>
      <c r="AJ38" s="75"/>
      <c r="AK38" s="110"/>
      <c r="AL38" s="120"/>
      <c r="AM38" s="7" t="s">
        <v>5</v>
      </c>
      <c r="AN38" s="25">
        <v>0</v>
      </c>
      <c r="AO38" s="71">
        <v>0</v>
      </c>
      <c r="AP38" s="75"/>
      <c r="AQ38" s="110"/>
      <c r="AR38" s="120"/>
      <c r="AS38" s="7" t="s">
        <v>5</v>
      </c>
      <c r="AT38" s="95">
        <v>0</v>
      </c>
      <c r="AU38" s="96">
        <v>0</v>
      </c>
      <c r="AV38" s="75"/>
      <c r="AW38" s="110"/>
      <c r="AX38" s="120"/>
      <c r="AY38" s="7" t="s">
        <v>5</v>
      </c>
      <c r="AZ38" s="25">
        <v>0</v>
      </c>
      <c r="BA38" s="71">
        <v>0</v>
      </c>
      <c r="BB38" s="75"/>
      <c r="BC38" s="110"/>
      <c r="BD38" s="120"/>
      <c r="BE38" s="7" t="s">
        <v>5</v>
      </c>
      <c r="BF38" s="162">
        <v>0</v>
      </c>
      <c r="BG38" s="163">
        <v>0</v>
      </c>
      <c r="BH38" s="75"/>
      <c r="BI38" s="110"/>
      <c r="BJ38" s="120"/>
      <c r="BK38" s="7" t="s">
        <v>5</v>
      </c>
      <c r="BL38" s="25">
        <v>0</v>
      </c>
      <c r="BM38" s="71">
        <v>0</v>
      </c>
      <c r="BN38" s="75"/>
      <c r="BO38" s="110"/>
      <c r="BP38" s="120"/>
      <c r="BQ38" s="7" t="s">
        <v>5</v>
      </c>
      <c r="BR38" s="25">
        <v>0</v>
      </c>
      <c r="BS38" s="71">
        <v>0</v>
      </c>
      <c r="BT38" s="75"/>
      <c r="BU38" s="110"/>
      <c r="BV38" s="122"/>
      <c r="BW38" s="7" t="s">
        <v>5</v>
      </c>
      <c r="BX38" s="8">
        <f>SUM(D38+J38+P38+V38+AB38+AH38+AN38+AT38+AZ38+BF38+BL38+BR38)</f>
        <v>0</v>
      </c>
      <c r="BY38" s="9">
        <f>SUM(E38+K38+Q38+W38+AC38+AI38+AO38+AU38+BA38+BG38+BM38+BS38)</f>
        <v>0</v>
      </c>
      <c r="BZ38" s="3"/>
    </row>
    <row r="39" spans="1:78" ht="20.100000000000001" customHeight="1" thickBot="1" x14ac:dyDescent="0.25">
      <c r="A39" s="111"/>
      <c r="B39" s="116" t="s">
        <v>8</v>
      </c>
      <c r="C39" s="117"/>
      <c r="D39" s="26">
        <f>SUM(D37:D38)</f>
        <v>0</v>
      </c>
      <c r="E39" s="10">
        <f>SUM(E37:E38)</f>
        <v>0</v>
      </c>
      <c r="F39" s="75"/>
      <c r="G39" s="111"/>
      <c r="H39" s="116" t="s">
        <v>8</v>
      </c>
      <c r="I39" s="117"/>
      <c r="J39" s="26">
        <f>SUM(J37:J38)</f>
        <v>0</v>
      </c>
      <c r="K39" s="10">
        <f>SUM(K37:K38)</f>
        <v>0</v>
      </c>
      <c r="L39" s="75"/>
      <c r="M39" s="111"/>
      <c r="N39" s="116" t="s">
        <v>8</v>
      </c>
      <c r="O39" s="117"/>
      <c r="P39" s="26">
        <f>SUM(P37:P38)</f>
        <v>0</v>
      </c>
      <c r="Q39" s="10">
        <f>SUM(Q37:Q38)</f>
        <v>0</v>
      </c>
      <c r="R39" s="75"/>
      <c r="S39" s="111"/>
      <c r="T39" s="116" t="s">
        <v>8</v>
      </c>
      <c r="U39" s="117"/>
      <c r="V39" s="26">
        <f>SUM(V37:V38)</f>
        <v>0</v>
      </c>
      <c r="W39" s="10">
        <f>SUM(W37:W38)</f>
        <v>0</v>
      </c>
      <c r="X39" s="75"/>
      <c r="Y39" s="111"/>
      <c r="Z39" s="116" t="s">
        <v>8</v>
      </c>
      <c r="AA39" s="117"/>
      <c r="AB39" s="26">
        <f>SUM(AB37:AB38)</f>
        <v>0</v>
      </c>
      <c r="AC39" s="10">
        <f>SUM(AC37:AC38)</f>
        <v>0</v>
      </c>
      <c r="AD39" s="75"/>
      <c r="AE39" s="111"/>
      <c r="AF39" s="116" t="s">
        <v>8</v>
      </c>
      <c r="AG39" s="117"/>
      <c r="AH39" s="26">
        <f>SUM(AH37:AH38)</f>
        <v>0</v>
      </c>
      <c r="AI39" s="10">
        <f>SUM(AI37:AI38)</f>
        <v>0</v>
      </c>
      <c r="AJ39" s="75"/>
      <c r="AK39" s="111"/>
      <c r="AL39" s="116" t="s">
        <v>8</v>
      </c>
      <c r="AM39" s="117"/>
      <c r="AN39" s="26">
        <f>SUM(AN37:AN38)</f>
        <v>0</v>
      </c>
      <c r="AO39" s="10">
        <f>SUM(AO37:AO38)</f>
        <v>0</v>
      </c>
      <c r="AP39" s="75"/>
      <c r="AQ39" s="111"/>
      <c r="AR39" s="116" t="s">
        <v>8</v>
      </c>
      <c r="AS39" s="117"/>
      <c r="AT39" s="97">
        <f t="shared" ref="AT39:AU39" si="16">SUM(AT37:AT38)</f>
        <v>0</v>
      </c>
      <c r="AU39" s="97">
        <f t="shared" si="16"/>
        <v>0</v>
      </c>
      <c r="AV39" s="75"/>
      <c r="AW39" s="111"/>
      <c r="AX39" s="116" t="s">
        <v>8</v>
      </c>
      <c r="AY39" s="117"/>
      <c r="AZ39" s="26">
        <f>SUM(AZ37:AZ38)</f>
        <v>0</v>
      </c>
      <c r="BA39" s="10">
        <f>SUM(BA37:BA38)</f>
        <v>0</v>
      </c>
      <c r="BB39" s="75"/>
      <c r="BC39" s="111"/>
      <c r="BD39" s="116" t="s">
        <v>8</v>
      </c>
      <c r="BE39" s="117"/>
      <c r="BF39" s="156">
        <v>0</v>
      </c>
      <c r="BG39" s="157">
        <v>0</v>
      </c>
      <c r="BH39" s="75"/>
      <c r="BI39" s="111"/>
      <c r="BJ39" s="116" t="s">
        <v>8</v>
      </c>
      <c r="BK39" s="117"/>
      <c r="BL39" s="26">
        <f>SUM(BL37:BL38)</f>
        <v>0</v>
      </c>
      <c r="BM39" s="10">
        <f>SUM(BM37:BM38)</f>
        <v>0</v>
      </c>
      <c r="BN39" s="75"/>
      <c r="BO39" s="111"/>
      <c r="BP39" s="116" t="s">
        <v>8</v>
      </c>
      <c r="BQ39" s="117"/>
      <c r="BR39" s="26">
        <f>SUM(BR37:BR38)</f>
        <v>0</v>
      </c>
      <c r="BS39" s="10">
        <f>SUM(BS37:BS38)</f>
        <v>0</v>
      </c>
      <c r="BT39" s="75"/>
      <c r="BU39" s="111"/>
      <c r="BV39" s="114" t="s">
        <v>8</v>
      </c>
      <c r="BW39" s="115"/>
      <c r="BX39" s="10">
        <f>SUM(BX37:BX38)</f>
        <v>0</v>
      </c>
      <c r="BY39" s="11">
        <f>SUM(BY37:BY38)</f>
        <v>0</v>
      </c>
      <c r="BZ39" s="3"/>
    </row>
    <row r="40" spans="1:78" ht="20.100000000000001" customHeight="1" thickBot="1" x14ac:dyDescent="0.25">
      <c r="A40" s="13"/>
      <c r="B40" s="106" t="s">
        <v>9</v>
      </c>
      <c r="C40" s="107"/>
      <c r="D40" s="27">
        <f>SUM(D36+D39)</f>
        <v>0</v>
      </c>
      <c r="E40" s="14">
        <f>SUM(E36+E39)</f>
        <v>0</v>
      </c>
      <c r="F40" s="75"/>
      <c r="G40" s="13"/>
      <c r="H40" s="106" t="s">
        <v>9</v>
      </c>
      <c r="I40" s="107"/>
      <c r="J40" s="27">
        <f>SUM(J36+J39)</f>
        <v>0</v>
      </c>
      <c r="K40" s="14">
        <f>SUM(K36+K39)</f>
        <v>0</v>
      </c>
      <c r="L40" s="75"/>
      <c r="M40" s="13"/>
      <c r="N40" s="106" t="s">
        <v>9</v>
      </c>
      <c r="O40" s="107"/>
      <c r="P40" s="27">
        <f>SUM(P36+P39)</f>
        <v>0</v>
      </c>
      <c r="Q40" s="14">
        <f>SUM(Q36+Q39)</f>
        <v>0</v>
      </c>
      <c r="R40" s="75"/>
      <c r="S40" s="13"/>
      <c r="T40" s="106" t="s">
        <v>9</v>
      </c>
      <c r="U40" s="107"/>
      <c r="V40" s="27">
        <f>SUM(V36+V39)</f>
        <v>0</v>
      </c>
      <c r="W40" s="14">
        <f>SUM(W36+W39)</f>
        <v>0</v>
      </c>
      <c r="X40" s="75"/>
      <c r="Y40" s="13"/>
      <c r="Z40" s="106" t="s">
        <v>9</v>
      </c>
      <c r="AA40" s="107"/>
      <c r="AB40" s="27">
        <f>SUM(AB36+AB39)</f>
        <v>0</v>
      </c>
      <c r="AC40" s="14">
        <f>SUM(AC36+AC39)</f>
        <v>0</v>
      </c>
      <c r="AD40" s="75"/>
      <c r="AE40" s="13"/>
      <c r="AF40" s="106" t="s">
        <v>9</v>
      </c>
      <c r="AG40" s="107"/>
      <c r="AH40" s="27">
        <f>SUM(AH36+AH39)</f>
        <v>0</v>
      </c>
      <c r="AI40" s="14">
        <f>SUM(AI36+AI39)</f>
        <v>0</v>
      </c>
      <c r="AJ40" s="75"/>
      <c r="AK40" s="13"/>
      <c r="AL40" s="106" t="s">
        <v>9</v>
      </c>
      <c r="AM40" s="107"/>
      <c r="AN40" s="27">
        <f>SUM(AN36+AN39)</f>
        <v>0</v>
      </c>
      <c r="AO40" s="14">
        <f>SUM(AO36+AO39)</f>
        <v>0</v>
      </c>
      <c r="AP40" s="75"/>
      <c r="AQ40" s="13"/>
      <c r="AR40" s="106" t="s">
        <v>9</v>
      </c>
      <c r="AS40" s="107"/>
      <c r="AT40" s="98">
        <f t="shared" ref="AT40:AU40" si="17">SUM(AT36+AT39)</f>
        <v>0</v>
      </c>
      <c r="AU40" s="99">
        <f t="shared" si="17"/>
        <v>0</v>
      </c>
      <c r="AV40" s="75"/>
      <c r="AW40" s="13"/>
      <c r="AX40" s="106" t="s">
        <v>9</v>
      </c>
      <c r="AY40" s="107"/>
      <c r="AZ40" s="27">
        <f>SUM(AZ36+AZ39)</f>
        <v>0</v>
      </c>
      <c r="BA40" s="14">
        <f>SUM(BA36+BA39)</f>
        <v>0</v>
      </c>
      <c r="BB40" s="75"/>
      <c r="BC40" s="13"/>
      <c r="BD40" s="106" t="s">
        <v>9</v>
      </c>
      <c r="BE40" s="107"/>
      <c r="BF40" s="158">
        <v>0</v>
      </c>
      <c r="BG40" s="159">
        <v>0</v>
      </c>
      <c r="BH40" s="75"/>
      <c r="BI40" s="13"/>
      <c r="BJ40" s="106" t="s">
        <v>9</v>
      </c>
      <c r="BK40" s="107"/>
      <c r="BL40" s="27">
        <f>SUM(BL36+BL39)</f>
        <v>0</v>
      </c>
      <c r="BM40" s="14">
        <f>SUM(BM36+BM39)</f>
        <v>0</v>
      </c>
      <c r="BN40" s="75"/>
      <c r="BO40" s="13"/>
      <c r="BP40" s="106" t="s">
        <v>9</v>
      </c>
      <c r="BQ40" s="107"/>
      <c r="BR40" s="27">
        <f>SUM(BR36+BR39)</f>
        <v>0</v>
      </c>
      <c r="BS40" s="14">
        <f>SUM(BS36+BS39)</f>
        <v>0</v>
      </c>
      <c r="BT40" s="75"/>
      <c r="BU40" s="13"/>
      <c r="BV40" s="106" t="s">
        <v>9</v>
      </c>
      <c r="BW40" s="108"/>
      <c r="BX40" s="14">
        <f>SUM(BX36+BX39)</f>
        <v>0</v>
      </c>
      <c r="BY40" s="20">
        <f>SUM(BY36+BY39)</f>
        <v>0</v>
      </c>
      <c r="BZ40" s="3"/>
    </row>
    <row r="41" spans="1:78" ht="20.100000000000001" customHeight="1" thickBot="1" x14ac:dyDescent="0.3">
      <c r="A41" s="109" t="s">
        <v>26</v>
      </c>
      <c r="B41" s="112" t="s">
        <v>1</v>
      </c>
      <c r="C41" s="4" t="s">
        <v>4</v>
      </c>
      <c r="D41" s="24">
        <v>18</v>
      </c>
      <c r="E41" s="70">
        <v>19</v>
      </c>
      <c r="F41" s="75"/>
      <c r="G41" s="109" t="s">
        <v>26</v>
      </c>
      <c r="H41" s="112" t="s">
        <v>1</v>
      </c>
      <c r="I41" s="4" t="s">
        <v>4</v>
      </c>
      <c r="J41" s="24">
        <v>19</v>
      </c>
      <c r="K41" s="70">
        <v>22</v>
      </c>
      <c r="L41" s="75"/>
      <c r="M41" s="109" t="s">
        <v>26</v>
      </c>
      <c r="N41" s="112" t="s">
        <v>1</v>
      </c>
      <c r="O41" s="4" t="s">
        <v>4</v>
      </c>
      <c r="P41" s="24">
        <v>14</v>
      </c>
      <c r="Q41" s="70">
        <v>17</v>
      </c>
      <c r="R41" s="75"/>
      <c r="S41" s="109" t="s">
        <v>26</v>
      </c>
      <c r="T41" s="112" t="s">
        <v>1</v>
      </c>
      <c r="U41" s="4" t="s">
        <v>4</v>
      </c>
      <c r="V41" s="24">
        <v>0</v>
      </c>
      <c r="W41" s="70">
        <v>0</v>
      </c>
      <c r="X41" s="75"/>
      <c r="Y41" s="109" t="s">
        <v>26</v>
      </c>
      <c r="Z41" s="112" t="s">
        <v>1</v>
      </c>
      <c r="AA41" s="4" t="s">
        <v>4</v>
      </c>
      <c r="AB41" s="24">
        <v>0</v>
      </c>
      <c r="AC41" s="70">
        <v>0</v>
      </c>
      <c r="AD41" s="75"/>
      <c r="AE41" s="109" t="s">
        <v>26</v>
      </c>
      <c r="AF41" s="112" t="s">
        <v>1</v>
      </c>
      <c r="AG41" s="4" t="s">
        <v>4</v>
      </c>
      <c r="AH41" s="24">
        <v>0</v>
      </c>
      <c r="AI41" s="70">
        <v>0</v>
      </c>
      <c r="AJ41" s="75"/>
      <c r="AK41" s="109" t="s">
        <v>26</v>
      </c>
      <c r="AL41" s="112" t="s">
        <v>1</v>
      </c>
      <c r="AM41" s="4" t="s">
        <v>4</v>
      </c>
      <c r="AN41" s="24">
        <v>0</v>
      </c>
      <c r="AO41" s="70">
        <v>0</v>
      </c>
      <c r="AP41" s="75"/>
      <c r="AQ41" s="109" t="s">
        <v>26</v>
      </c>
      <c r="AR41" s="112" t="s">
        <v>1</v>
      </c>
      <c r="AS41" s="4" t="s">
        <v>4</v>
      </c>
      <c r="AT41" s="93">
        <v>9</v>
      </c>
      <c r="AU41" s="94">
        <v>11</v>
      </c>
      <c r="AV41" s="75"/>
      <c r="AW41" s="109" t="s">
        <v>26</v>
      </c>
      <c r="AX41" s="112" t="s">
        <v>1</v>
      </c>
      <c r="AY41" s="4" t="s">
        <v>4</v>
      </c>
      <c r="AZ41" s="100">
        <v>2</v>
      </c>
      <c r="BA41" s="101">
        <v>2</v>
      </c>
      <c r="BB41" s="75"/>
      <c r="BC41" s="109" t="s">
        <v>26</v>
      </c>
      <c r="BD41" s="112" t="s">
        <v>1</v>
      </c>
      <c r="BE41" s="4" t="s">
        <v>4</v>
      </c>
      <c r="BF41" s="160">
        <v>18</v>
      </c>
      <c r="BG41" s="161">
        <v>19</v>
      </c>
      <c r="BH41" s="75"/>
      <c r="BI41" s="109" t="s">
        <v>26</v>
      </c>
      <c r="BJ41" s="112" t="s">
        <v>1</v>
      </c>
      <c r="BK41" s="4" t="s">
        <v>4</v>
      </c>
      <c r="BL41" s="24">
        <v>0</v>
      </c>
      <c r="BM41" s="70">
        <v>0</v>
      </c>
      <c r="BN41" s="75"/>
      <c r="BO41" s="109" t="s">
        <v>26</v>
      </c>
      <c r="BP41" s="112" t="s">
        <v>1</v>
      </c>
      <c r="BQ41" s="4" t="s">
        <v>4</v>
      </c>
      <c r="BR41" s="24">
        <v>0</v>
      </c>
      <c r="BS41" s="70">
        <v>0</v>
      </c>
      <c r="BT41" s="75"/>
      <c r="BU41" s="109" t="str">
        <f>BO41</f>
        <v>قويزة</v>
      </c>
      <c r="BV41" s="112" t="s">
        <v>1</v>
      </c>
      <c r="BW41" s="4" t="s">
        <v>4</v>
      </c>
      <c r="BX41" s="5">
        <f>SUM(D41+J41+P41+V41+AB41+AH41+AN41+AT41+AZ41+BF41+BL41+BR41)</f>
        <v>80</v>
      </c>
      <c r="BY41" s="6">
        <f>SUM(E41+K41+Q41+W41+AC41+AI41+AO41+AU41+BA41+BG41+BM41+BS41)</f>
        <v>90</v>
      </c>
      <c r="BZ41" s="3"/>
    </row>
    <row r="42" spans="1:78" ht="20.100000000000001" customHeight="1" thickBot="1" x14ac:dyDescent="0.3">
      <c r="A42" s="110"/>
      <c r="B42" s="113"/>
      <c r="C42" s="7" t="s">
        <v>5</v>
      </c>
      <c r="D42" s="25">
        <v>16</v>
      </c>
      <c r="E42" s="71">
        <v>19</v>
      </c>
      <c r="F42" s="75"/>
      <c r="G42" s="110"/>
      <c r="H42" s="113"/>
      <c r="I42" s="7" t="s">
        <v>5</v>
      </c>
      <c r="J42" s="25">
        <v>16</v>
      </c>
      <c r="K42" s="71">
        <v>20</v>
      </c>
      <c r="L42" s="75"/>
      <c r="M42" s="110"/>
      <c r="N42" s="113"/>
      <c r="O42" s="7" t="s">
        <v>5</v>
      </c>
      <c r="P42" s="25">
        <v>16</v>
      </c>
      <c r="Q42" s="71">
        <v>19</v>
      </c>
      <c r="R42" s="75"/>
      <c r="S42" s="110"/>
      <c r="T42" s="113"/>
      <c r="U42" s="7" t="s">
        <v>5</v>
      </c>
      <c r="V42" s="25">
        <v>0</v>
      </c>
      <c r="W42" s="71">
        <v>0</v>
      </c>
      <c r="X42" s="75"/>
      <c r="Y42" s="110"/>
      <c r="Z42" s="113"/>
      <c r="AA42" s="7" t="s">
        <v>5</v>
      </c>
      <c r="AB42" s="25">
        <v>0</v>
      </c>
      <c r="AC42" s="71">
        <v>0</v>
      </c>
      <c r="AD42" s="75"/>
      <c r="AE42" s="110"/>
      <c r="AF42" s="113"/>
      <c r="AG42" s="7" t="s">
        <v>5</v>
      </c>
      <c r="AH42" s="25">
        <v>0</v>
      </c>
      <c r="AI42" s="71">
        <v>0</v>
      </c>
      <c r="AJ42" s="75"/>
      <c r="AK42" s="110"/>
      <c r="AL42" s="113"/>
      <c r="AM42" s="7" t="s">
        <v>5</v>
      </c>
      <c r="AN42" s="25">
        <v>0</v>
      </c>
      <c r="AO42" s="71">
        <v>0</v>
      </c>
      <c r="AP42" s="75"/>
      <c r="AQ42" s="110"/>
      <c r="AR42" s="113"/>
      <c r="AS42" s="7" t="s">
        <v>5</v>
      </c>
      <c r="AT42" s="95">
        <v>11</v>
      </c>
      <c r="AU42" s="96">
        <v>13</v>
      </c>
      <c r="AV42" s="75"/>
      <c r="AW42" s="110"/>
      <c r="AX42" s="113"/>
      <c r="AY42" s="7" t="s">
        <v>5</v>
      </c>
      <c r="AZ42" s="100">
        <v>1</v>
      </c>
      <c r="BA42" s="101">
        <v>1</v>
      </c>
      <c r="BB42" s="75"/>
      <c r="BC42" s="110"/>
      <c r="BD42" s="113"/>
      <c r="BE42" s="7" t="s">
        <v>5</v>
      </c>
      <c r="BF42" s="162">
        <v>16</v>
      </c>
      <c r="BG42" s="163">
        <v>19</v>
      </c>
      <c r="BH42" s="75"/>
      <c r="BI42" s="110"/>
      <c r="BJ42" s="113"/>
      <c r="BK42" s="7" t="s">
        <v>5</v>
      </c>
      <c r="BL42" s="25">
        <v>0</v>
      </c>
      <c r="BM42" s="71">
        <v>0</v>
      </c>
      <c r="BN42" s="75"/>
      <c r="BO42" s="110"/>
      <c r="BP42" s="113"/>
      <c r="BQ42" s="7" t="s">
        <v>5</v>
      </c>
      <c r="BR42" s="25">
        <v>0</v>
      </c>
      <c r="BS42" s="71">
        <v>0</v>
      </c>
      <c r="BT42" s="75"/>
      <c r="BU42" s="110"/>
      <c r="BV42" s="113"/>
      <c r="BW42" s="7" t="s">
        <v>5</v>
      </c>
      <c r="BX42" s="8">
        <f>SUM(D42+J42+P42+V42+AB42+AH42+AN42+AT42+AZ42+BF42+BL42+BR42)</f>
        <v>76</v>
      </c>
      <c r="BY42" s="9">
        <f>SUM(E42+K42+Q42+W42+AC42+AI42+AO42+AU42+BA42+BG42+BM42+BS42)</f>
        <v>91</v>
      </c>
      <c r="BZ42" s="3"/>
    </row>
    <row r="43" spans="1:78" ht="20.100000000000001" customHeight="1" thickBot="1" x14ac:dyDescent="0.3">
      <c r="A43" s="110"/>
      <c r="B43" s="114" t="s">
        <v>6</v>
      </c>
      <c r="C43" s="118"/>
      <c r="D43" s="26">
        <f>SUM(D41:D42)</f>
        <v>34</v>
      </c>
      <c r="E43" s="10">
        <f>SUM(E41:E42)</f>
        <v>38</v>
      </c>
      <c r="F43" s="75"/>
      <c r="G43" s="110"/>
      <c r="H43" s="114" t="s">
        <v>6</v>
      </c>
      <c r="I43" s="118"/>
      <c r="J43" s="26">
        <f>SUM(J41:J42)</f>
        <v>35</v>
      </c>
      <c r="K43" s="10">
        <f>SUM(K41:K42)</f>
        <v>42</v>
      </c>
      <c r="L43" s="75"/>
      <c r="M43" s="110"/>
      <c r="N43" s="114" t="s">
        <v>6</v>
      </c>
      <c r="O43" s="118"/>
      <c r="P43" s="26">
        <f>SUM(P41:P42)</f>
        <v>30</v>
      </c>
      <c r="Q43" s="10">
        <f>SUM(Q41:Q42)</f>
        <v>36</v>
      </c>
      <c r="R43" s="75"/>
      <c r="S43" s="110"/>
      <c r="T43" s="114" t="s">
        <v>6</v>
      </c>
      <c r="U43" s="118"/>
      <c r="V43" s="26">
        <f>SUM(V41:V42)</f>
        <v>0</v>
      </c>
      <c r="W43" s="10">
        <f>SUM(W41:W42)</f>
        <v>0</v>
      </c>
      <c r="X43" s="75"/>
      <c r="Y43" s="110"/>
      <c r="Z43" s="114" t="s">
        <v>6</v>
      </c>
      <c r="AA43" s="118"/>
      <c r="AB43" s="26">
        <f>SUM(AB41:AB42)</f>
        <v>0</v>
      </c>
      <c r="AC43" s="10">
        <f>SUM(AC41:AC42)</f>
        <v>0</v>
      </c>
      <c r="AD43" s="75"/>
      <c r="AE43" s="110"/>
      <c r="AF43" s="114" t="s">
        <v>6</v>
      </c>
      <c r="AG43" s="118"/>
      <c r="AH43" s="26">
        <f>SUM(AH41:AH42)</f>
        <v>0</v>
      </c>
      <c r="AI43" s="10">
        <f>SUM(AI41:AI42)</f>
        <v>0</v>
      </c>
      <c r="AJ43" s="75"/>
      <c r="AK43" s="110"/>
      <c r="AL43" s="114" t="s">
        <v>6</v>
      </c>
      <c r="AM43" s="118"/>
      <c r="AN43" s="26">
        <f>SUM(AN41:AN42)</f>
        <v>0</v>
      </c>
      <c r="AO43" s="10">
        <f>SUM(AO41:AO42)</f>
        <v>0</v>
      </c>
      <c r="AP43" s="75"/>
      <c r="AQ43" s="110"/>
      <c r="AR43" s="114" t="s">
        <v>6</v>
      </c>
      <c r="AS43" s="118"/>
      <c r="AT43" s="97">
        <f t="shared" ref="AT43:AU43" si="18">SUM(AT41:AT42)</f>
        <v>20</v>
      </c>
      <c r="AU43" s="97">
        <f t="shared" si="18"/>
        <v>24</v>
      </c>
      <c r="AV43" s="75"/>
      <c r="AW43" s="110"/>
      <c r="AX43" s="114" t="s">
        <v>6</v>
      </c>
      <c r="AY43" s="118"/>
      <c r="AZ43" s="102">
        <f t="shared" ref="AZ43:BA43" si="19">SUM(AZ41:AZ42)</f>
        <v>3</v>
      </c>
      <c r="BA43" s="102">
        <f t="shared" si="19"/>
        <v>3</v>
      </c>
      <c r="BB43" s="75"/>
      <c r="BC43" s="110"/>
      <c r="BD43" s="114" t="s">
        <v>6</v>
      </c>
      <c r="BE43" s="118"/>
      <c r="BF43" s="156">
        <v>34</v>
      </c>
      <c r="BG43" s="157">
        <v>38</v>
      </c>
      <c r="BH43" s="75"/>
      <c r="BI43" s="110"/>
      <c r="BJ43" s="114" t="s">
        <v>6</v>
      </c>
      <c r="BK43" s="118"/>
      <c r="BL43" s="26">
        <f>SUM(BL41:BL42)</f>
        <v>0</v>
      </c>
      <c r="BM43" s="10">
        <f>SUM(BM41:BM42)</f>
        <v>0</v>
      </c>
      <c r="BN43" s="75"/>
      <c r="BO43" s="110"/>
      <c r="BP43" s="114" t="s">
        <v>6</v>
      </c>
      <c r="BQ43" s="118"/>
      <c r="BR43" s="26">
        <f>SUM(BR41:BR42)</f>
        <v>0</v>
      </c>
      <c r="BS43" s="10">
        <f>SUM(BS41:BS42)</f>
        <v>0</v>
      </c>
      <c r="BT43" s="75"/>
      <c r="BU43" s="110"/>
      <c r="BV43" s="114" t="s">
        <v>6</v>
      </c>
      <c r="BW43" s="115"/>
      <c r="BX43" s="12">
        <f>SUM(BX41:BX42)</f>
        <v>156</v>
      </c>
      <c r="BY43" s="17">
        <f>SUM(BY41:BY42)</f>
        <v>181</v>
      </c>
      <c r="BZ43" s="3"/>
    </row>
    <row r="44" spans="1:78" ht="20.100000000000001" customHeight="1" thickBot="1" x14ac:dyDescent="0.3">
      <c r="A44" s="110"/>
      <c r="B44" s="119" t="s">
        <v>7</v>
      </c>
      <c r="C44" s="4" t="s">
        <v>4</v>
      </c>
      <c r="D44" s="24">
        <v>0</v>
      </c>
      <c r="E44" s="70">
        <v>0</v>
      </c>
      <c r="F44" s="75"/>
      <c r="G44" s="110"/>
      <c r="H44" s="119" t="s">
        <v>7</v>
      </c>
      <c r="I44" s="4" t="s">
        <v>4</v>
      </c>
      <c r="J44" s="24">
        <v>0</v>
      </c>
      <c r="K44" s="70">
        <v>0</v>
      </c>
      <c r="L44" s="75"/>
      <c r="M44" s="110"/>
      <c r="N44" s="119" t="s">
        <v>7</v>
      </c>
      <c r="O44" s="4" t="s">
        <v>4</v>
      </c>
      <c r="P44" s="24">
        <v>0</v>
      </c>
      <c r="Q44" s="70">
        <v>0</v>
      </c>
      <c r="R44" s="75"/>
      <c r="S44" s="110"/>
      <c r="T44" s="119" t="s">
        <v>7</v>
      </c>
      <c r="U44" s="4" t="s">
        <v>4</v>
      </c>
      <c r="V44" s="24">
        <v>0</v>
      </c>
      <c r="W44" s="70">
        <v>0</v>
      </c>
      <c r="X44" s="75"/>
      <c r="Y44" s="110"/>
      <c r="Z44" s="119" t="s">
        <v>7</v>
      </c>
      <c r="AA44" s="4" t="s">
        <v>4</v>
      </c>
      <c r="AB44" s="24">
        <v>0</v>
      </c>
      <c r="AC44" s="70">
        <v>0</v>
      </c>
      <c r="AD44" s="75"/>
      <c r="AE44" s="110"/>
      <c r="AF44" s="119" t="s">
        <v>7</v>
      </c>
      <c r="AG44" s="4" t="s">
        <v>4</v>
      </c>
      <c r="AH44" s="24">
        <v>0</v>
      </c>
      <c r="AI44" s="70">
        <v>0</v>
      </c>
      <c r="AJ44" s="75"/>
      <c r="AK44" s="110"/>
      <c r="AL44" s="119" t="s">
        <v>7</v>
      </c>
      <c r="AM44" s="4" t="s">
        <v>4</v>
      </c>
      <c r="AN44" s="24">
        <v>0</v>
      </c>
      <c r="AO44" s="70">
        <v>0</v>
      </c>
      <c r="AP44" s="75"/>
      <c r="AQ44" s="110"/>
      <c r="AR44" s="119" t="s">
        <v>7</v>
      </c>
      <c r="AS44" s="4" t="s">
        <v>4</v>
      </c>
      <c r="AT44" s="93">
        <v>0</v>
      </c>
      <c r="AU44" s="94">
        <v>0</v>
      </c>
      <c r="AV44" s="75"/>
      <c r="AW44" s="110"/>
      <c r="AX44" s="119" t="s">
        <v>7</v>
      </c>
      <c r="AY44" s="4" t="s">
        <v>4</v>
      </c>
      <c r="AZ44" s="100">
        <v>0</v>
      </c>
      <c r="BA44" s="101">
        <v>0</v>
      </c>
      <c r="BB44" s="75"/>
      <c r="BC44" s="110"/>
      <c r="BD44" s="119" t="s">
        <v>7</v>
      </c>
      <c r="BE44" s="4" t="s">
        <v>4</v>
      </c>
      <c r="BF44" s="160">
        <v>0</v>
      </c>
      <c r="BG44" s="161">
        <v>0</v>
      </c>
      <c r="BH44" s="75"/>
      <c r="BI44" s="110"/>
      <c r="BJ44" s="119" t="s">
        <v>7</v>
      </c>
      <c r="BK44" s="4" t="s">
        <v>4</v>
      </c>
      <c r="BL44" s="24">
        <v>0</v>
      </c>
      <c r="BM44" s="70">
        <v>0</v>
      </c>
      <c r="BN44" s="75"/>
      <c r="BO44" s="110"/>
      <c r="BP44" s="119" t="s">
        <v>7</v>
      </c>
      <c r="BQ44" s="4" t="s">
        <v>4</v>
      </c>
      <c r="BR44" s="24">
        <v>0</v>
      </c>
      <c r="BS44" s="70">
        <v>0</v>
      </c>
      <c r="BT44" s="75"/>
      <c r="BU44" s="110"/>
      <c r="BV44" s="121" t="s">
        <v>7</v>
      </c>
      <c r="BW44" s="4" t="s">
        <v>4</v>
      </c>
      <c r="BX44" s="5">
        <f>SUM(D44+J44+P44+V44+AB44+AH44+AN44+AT44+AZ44+BF44+BL44+BR44)</f>
        <v>0</v>
      </c>
      <c r="BY44" s="6">
        <f>SUM(E44+K44+Q44+W44+AC44+AI44+AO44+AU44+BA44+BG44+BM44+BS44)</f>
        <v>0</v>
      </c>
      <c r="BZ44" s="3"/>
    </row>
    <row r="45" spans="1:78" ht="20.100000000000001" customHeight="1" thickBot="1" x14ac:dyDescent="0.3">
      <c r="A45" s="110"/>
      <c r="B45" s="120"/>
      <c r="C45" s="7" t="s">
        <v>5</v>
      </c>
      <c r="D45" s="25">
        <v>0</v>
      </c>
      <c r="E45" s="71">
        <v>0</v>
      </c>
      <c r="F45" s="75"/>
      <c r="G45" s="110"/>
      <c r="H45" s="120"/>
      <c r="I45" s="7" t="s">
        <v>5</v>
      </c>
      <c r="J45" s="25">
        <v>0</v>
      </c>
      <c r="K45" s="71">
        <v>0</v>
      </c>
      <c r="L45" s="75"/>
      <c r="M45" s="110"/>
      <c r="N45" s="120"/>
      <c r="O45" s="7" t="s">
        <v>5</v>
      </c>
      <c r="P45" s="25">
        <v>0</v>
      </c>
      <c r="Q45" s="71">
        <v>0</v>
      </c>
      <c r="R45" s="75"/>
      <c r="S45" s="110"/>
      <c r="T45" s="120"/>
      <c r="U45" s="7" t="s">
        <v>5</v>
      </c>
      <c r="V45" s="25">
        <v>0</v>
      </c>
      <c r="W45" s="71">
        <v>0</v>
      </c>
      <c r="X45" s="75"/>
      <c r="Y45" s="110"/>
      <c r="Z45" s="120"/>
      <c r="AA45" s="7" t="s">
        <v>5</v>
      </c>
      <c r="AB45" s="25">
        <v>0</v>
      </c>
      <c r="AC45" s="71">
        <v>0</v>
      </c>
      <c r="AD45" s="75"/>
      <c r="AE45" s="110"/>
      <c r="AF45" s="120"/>
      <c r="AG45" s="7" t="s">
        <v>5</v>
      </c>
      <c r="AH45" s="25">
        <v>0</v>
      </c>
      <c r="AI45" s="71">
        <v>0</v>
      </c>
      <c r="AJ45" s="75"/>
      <c r="AK45" s="110"/>
      <c r="AL45" s="120"/>
      <c r="AM45" s="7" t="s">
        <v>5</v>
      </c>
      <c r="AN45" s="25">
        <v>0</v>
      </c>
      <c r="AO45" s="71">
        <v>0</v>
      </c>
      <c r="AP45" s="75"/>
      <c r="AQ45" s="110"/>
      <c r="AR45" s="120"/>
      <c r="AS45" s="7" t="s">
        <v>5</v>
      </c>
      <c r="AT45" s="95">
        <v>0</v>
      </c>
      <c r="AU45" s="96">
        <v>0</v>
      </c>
      <c r="AV45" s="75"/>
      <c r="AW45" s="110"/>
      <c r="AX45" s="120"/>
      <c r="AY45" s="7" t="s">
        <v>5</v>
      </c>
      <c r="AZ45" s="100">
        <v>0</v>
      </c>
      <c r="BA45" s="101">
        <v>0</v>
      </c>
      <c r="BB45" s="75"/>
      <c r="BC45" s="110"/>
      <c r="BD45" s="120"/>
      <c r="BE45" s="7" t="s">
        <v>5</v>
      </c>
      <c r="BF45" s="162">
        <v>0</v>
      </c>
      <c r="BG45" s="163">
        <v>0</v>
      </c>
      <c r="BH45" s="75"/>
      <c r="BI45" s="110"/>
      <c r="BJ45" s="120"/>
      <c r="BK45" s="7" t="s">
        <v>5</v>
      </c>
      <c r="BL45" s="25">
        <v>0</v>
      </c>
      <c r="BM45" s="71">
        <v>0</v>
      </c>
      <c r="BN45" s="75"/>
      <c r="BO45" s="110"/>
      <c r="BP45" s="120"/>
      <c r="BQ45" s="7" t="s">
        <v>5</v>
      </c>
      <c r="BR45" s="25">
        <v>0</v>
      </c>
      <c r="BS45" s="71">
        <v>0</v>
      </c>
      <c r="BT45" s="75"/>
      <c r="BU45" s="110"/>
      <c r="BV45" s="122"/>
      <c r="BW45" s="7" t="s">
        <v>5</v>
      </c>
      <c r="BX45" s="8">
        <f>SUM(D45+J45+P45+V45+AB45+AH45+AN45+AT45+AZ45+BF45+BL45+BR45)</f>
        <v>0</v>
      </c>
      <c r="BY45" s="9">
        <f>SUM(E45+K45+Q45+W45+AC45+AI45+AO45+AU45+BA45+BG45+BM45+BS45)</f>
        <v>0</v>
      </c>
      <c r="BZ45" s="3"/>
    </row>
    <row r="46" spans="1:78" ht="20.100000000000001" customHeight="1" thickBot="1" x14ac:dyDescent="0.3">
      <c r="A46" s="111"/>
      <c r="B46" s="116" t="s">
        <v>8</v>
      </c>
      <c r="C46" s="117"/>
      <c r="D46" s="26">
        <f>SUM(D44:D45)</f>
        <v>0</v>
      </c>
      <c r="E46" s="10">
        <f>SUM(E44:E45)</f>
        <v>0</v>
      </c>
      <c r="F46" s="75"/>
      <c r="G46" s="111"/>
      <c r="H46" s="116" t="s">
        <v>8</v>
      </c>
      <c r="I46" s="117"/>
      <c r="J46" s="26">
        <f>SUM(J44:J45)</f>
        <v>0</v>
      </c>
      <c r="K46" s="10">
        <f>SUM(K44:K45)</f>
        <v>0</v>
      </c>
      <c r="L46" s="75"/>
      <c r="M46" s="111"/>
      <c r="N46" s="116" t="s">
        <v>8</v>
      </c>
      <c r="O46" s="117"/>
      <c r="P46" s="26">
        <f>SUM(P44:P45)</f>
        <v>0</v>
      </c>
      <c r="Q46" s="10">
        <f>SUM(Q44:Q45)</f>
        <v>0</v>
      </c>
      <c r="R46" s="75"/>
      <c r="S46" s="111"/>
      <c r="T46" s="116" t="s">
        <v>8</v>
      </c>
      <c r="U46" s="117"/>
      <c r="V46" s="26">
        <f>SUM(V44:V45)</f>
        <v>0</v>
      </c>
      <c r="W46" s="10">
        <f>SUM(W44:W45)</f>
        <v>0</v>
      </c>
      <c r="X46" s="75"/>
      <c r="Y46" s="111"/>
      <c r="Z46" s="116" t="s">
        <v>8</v>
      </c>
      <c r="AA46" s="117"/>
      <c r="AB46" s="26">
        <f>SUM(AB44:AB45)</f>
        <v>0</v>
      </c>
      <c r="AC46" s="10">
        <f>SUM(AC44:AC45)</f>
        <v>0</v>
      </c>
      <c r="AD46" s="75"/>
      <c r="AE46" s="111"/>
      <c r="AF46" s="116" t="s">
        <v>8</v>
      </c>
      <c r="AG46" s="117"/>
      <c r="AH46" s="26">
        <f>SUM(AH44:AH45)</f>
        <v>0</v>
      </c>
      <c r="AI46" s="10">
        <f>SUM(AI44:AI45)</f>
        <v>0</v>
      </c>
      <c r="AJ46" s="75"/>
      <c r="AK46" s="111"/>
      <c r="AL46" s="116" t="s">
        <v>8</v>
      </c>
      <c r="AM46" s="117"/>
      <c r="AN46" s="26">
        <f>SUM(AN44:AN45)</f>
        <v>0</v>
      </c>
      <c r="AO46" s="10">
        <f>SUM(AO44:AO45)</f>
        <v>0</v>
      </c>
      <c r="AP46" s="75"/>
      <c r="AQ46" s="111"/>
      <c r="AR46" s="116" t="s">
        <v>8</v>
      </c>
      <c r="AS46" s="117"/>
      <c r="AT46" s="97">
        <f t="shared" ref="AT46:AU46" si="20">SUM(AT44:AT45)</f>
        <v>0</v>
      </c>
      <c r="AU46" s="97">
        <f t="shared" si="20"/>
        <v>0</v>
      </c>
      <c r="AV46" s="75"/>
      <c r="AW46" s="111"/>
      <c r="AX46" s="116" t="s">
        <v>8</v>
      </c>
      <c r="AY46" s="117"/>
      <c r="AZ46" s="102">
        <f t="shared" ref="AZ46:BA46" si="21">SUM(AZ44:AZ45)</f>
        <v>0</v>
      </c>
      <c r="BA46" s="102">
        <f t="shared" si="21"/>
        <v>0</v>
      </c>
      <c r="BB46" s="75"/>
      <c r="BC46" s="111"/>
      <c r="BD46" s="116" t="s">
        <v>8</v>
      </c>
      <c r="BE46" s="117"/>
      <c r="BF46" s="156">
        <v>0</v>
      </c>
      <c r="BG46" s="157">
        <v>0</v>
      </c>
      <c r="BH46" s="75"/>
      <c r="BI46" s="111"/>
      <c r="BJ46" s="116" t="s">
        <v>8</v>
      </c>
      <c r="BK46" s="117"/>
      <c r="BL46" s="26">
        <f>SUM(BL44:BL45)</f>
        <v>0</v>
      </c>
      <c r="BM46" s="10">
        <f>SUM(BM44:BM45)</f>
        <v>0</v>
      </c>
      <c r="BN46" s="75"/>
      <c r="BO46" s="111"/>
      <c r="BP46" s="116" t="s">
        <v>8</v>
      </c>
      <c r="BQ46" s="117"/>
      <c r="BR46" s="26">
        <f>SUM(BR44:BR45)</f>
        <v>0</v>
      </c>
      <c r="BS46" s="10">
        <f>SUM(BS44:BS45)</f>
        <v>0</v>
      </c>
      <c r="BT46" s="75"/>
      <c r="BU46" s="111"/>
      <c r="BV46" s="114" t="s">
        <v>8</v>
      </c>
      <c r="BW46" s="115"/>
      <c r="BX46" s="10">
        <f>SUM(BX44:BX45)</f>
        <v>0</v>
      </c>
      <c r="BY46" s="11">
        <f>SUM(BY44:BY45)</f>
        <v>0</v>
      </c>
      <c r="BZ46" s="3"/>
    </row>
    <row r="47" spans="1:78" ht="20.100000000000001" customHeight="1" thickBot="1" x14ac:dyDescent="0.3">
      <c r="A47" s="13"/>
      <c r="B47" s="106" t="s">
        <v>9</v>
      </c>
      <c r="C47" s="107"/>
      <c r="D47" s="27">
        <f>SUM(D43+D46)</f>
        <v>34</v>
      </c>
      <c r="E47" s="14">
        <f>SUM(E43+E46)</f>
        <v>38</v>
      </c>
      <c r="F47" s="75"/>
      <c r="G47" s="13"/>
      <c r="H47" s="106" t="s">
        <v>9</v>
      </c>
      <c r="I47" s="107"/>
      <c r="J47" s="27">
        <f>SUM(J43+J46)</f>
        <v>35</v>
      </c>
      <c r="K47" s="14">
        <f>SUM(K43+K46)</f>
        <v>42</v>
      </c>
      <c r="L47" s="75"/>
      <c r="M47" s="13"/>
      <c r="N47" s="106" t="s">
        <v>9</v>
      </c>
      <c r="O47" s="107"/>
      <c r="P47" s="27">
        <f>SUM(P43+P46)</f>
        <v>30</v>
      </c>
      <c r="Q47" s="14">
        <f>SUM(Q43+Q46)</f>
        <v>36</v>
      </c>
      <c r="R47" s="75"/>
      <c r="S47" s="13"/>
      <c r="T47" s="106" t="s">
        <v>9</v>
      </c>
      <c r="U47" s="107"/>
      <c r="V47" s="27">
        <f>SUM(V43+V46)</f>
        <v>0</v>
      </c>
      <c r="W47" s="14">
        <f>SUM(W43+W46)</f>
        <v>0</v>
      </c>
      <c r="X47" s="75"/>
      <c r="Y47" s="13"/>
      <c r="Z47" s="106" t="s">
        <v>9</v>
      </c>
      <c r="AA47" s="107"/>
      <c r="AB47" s="27">
        <f>SUM(AB43+AB46)</f>
        <v>0</v>
      </c>
      <c r="AC47" s="14">
        <f>SUM(AC43+AC46)</f>
        <v>0</v>
      </c>
      <c r="AD47" s="75"/>
      <c r="AE47" s="13"/>
      <c r="AF47" s="106" t="s">
        <v>9</v>
      </c>
      <c r="AG47" s="107"/>
      <c r="AH47" s="27">
        <f>SUM(AH43+AH46)</f>
        <v>0</v>
      </c>
      <c r="AI47" s="14">
        <f>SUM(AI43+AI46)</f>
        <v>0</v>
      </c>
      <c r="AJ47" s="75"/>
      <c r="AK47" s="13"/>
      <c r="AL47" s="106" t="s">
        <v>9</v>
      </c>
      <c r="AM47" s="107"/>
      <c r="AN47" s="27">
        <f>SUM(AN43+AN46)</f>
        <v>0</v>
      </c>
      <c r="AO47" s="14">
        <f>SUM(AO43+AO46)</f>
        <v>0</v>
      </c>
      <c r="AP47" s="75"/>
      <c r="AQ47" s="13"/>
      <c r="AR47" s="106" t="s">
        <v>9</v>
      </c>
      <c r="AS47" s="107"/>
      <c r="AT47" s="98">
        <f t="shared" ref="AT47:AU47" si="22">SUM(AT43+AT46)</f>
        <v>20</v>
      </c>
      <c r="AU47" s="99">
        <f t="shared" si="22"/>
        <v>24</v>
      </c>
      <c r="AV47" s="75"/>
      <c r="AW47" s="13"/>
      <c r="AX47" s="106" t="s">
        <v>9</v>
      </c>
      <c r="AY47" s="107"/>
      <c r="AZ47" s="103">
        <f t="shared" ref="AZ47:BA47" si="23">SUM(AZ43+AZ46)</f>
        <v>3</v>
      </c>
      <c r="BA47" s="104">
        <f t="shared" si="23"/>
        <v>3</v>
      </c>
      <c r="BB47" s="75"/>
      <c r="BC47" s="13"/>
      <c r="BD47" s="106" t="s">
        <v>9</v>
      </c>
      <c r="BE47" s="107"/>
      <c r="BF47" s="158">
        <v>34</v>
      </c>
      <c r="BG47" s="159">
        <v>38</v>
      </c>
      <c r="BH47" s="75"/>
      <c r="BI47" s="13"/>
      <c r="BJ47" s="106" t="s">
        <v>9</v>
      </c>
      <c r="BK47" s="107"/>
      <c r="BL47" s="27">
        <f>SUM(BL43+BL46)</f>
        <v>0</v>
      </c>
      <c r="BM47" s="14">
        <f>SUM(BM43+BM46)</f>
        <v>0</v>
      </c>
      <c r="BN47" s="75"/>
      <c r="BO47" s="13"/>
      <c r="BP47" s="106" t="s">
        <v>9</v>
      </c>
      <c r="BQ47" s="107"/>
      <c r="BR47" s="27">
        <f>SUM(BR43+BR46)</f>
        <v>0</v>
      </c>
      <c r="BS47" s="14">
        <f>SUM(BS43+BS46)</f>
        <v>0</v>
      </c>
      <c r="BT47" s="75"/>
      <c r="BU47" s="13"/>
      <c r="BV47" s="106" t="s">
        <v>9</v>
      </c>
      <c r="BW47" s="108"/>
      <c r="BX47" s="14">
        <f>SUM(BX43+BX46)</f>
        <v>156</v>
      </c>
      <c r="BY47" s="20">
        <f>SUM(BY43+BY46)</f>
        <v>181</v>
      </c>
      <c r="BZ47" s="3"/>
    </row>
    <row r="48" spans="1:78" ht="20.100000000000001" customHeight="1" thickBot="1" x14ac:dyDescent="0.25">
      <c r="A48" s="109" t="s">
        <v>27</v>
      </c>
      <c r="B48" s="112" t="s">
        <v>1</v>
      </c>
      <c r="C48" s="4" t="s">
        <v>4</v>
      </c>
      <c r="D48" s="24">
        <v>0</v>
      </c>
      <c r="E48" s="70">
        <v>0</v>
      </c>
      <c r="F48" s="75"/>
      <c r="G48" s="109" t="s">
        <v>27</v>
      </c>
      <c r="H48" s="112" t="s">
        <v>1</v>
      </c>
      <c r="I48" s="4" t="s">
        <v>4</v>
      </c>
      <c r="J48" s="24">
        <v>0</v>
      </c>
      <c r="K48" s="70">
        <v>0</v>
      </c>
      <c r="L48" s="75"/>
      <c r="M48" s="109" t="s">
        <v>27</v>
      </c>
      <c r="N48" s="112" t="s">
        <v>1</v>
      </c>
      <c r="O48" s="4" t="s">
        <v>4</v>
      </c>
      <c r="P48" s="24">
        <v>0</v>
      </c>
      <c r="Q48" s="70">
        <v>0</v>
      </c>
      <c r="R48" s="75"/>
      <c r="S48" s="109" t="s">
        <v>27</v>
      </c>
      <c r="T48" s="112" t="s">
        <v>1</v>
      </c>
      <c r="U48" s="4" t="s">
        <v>4</v>
      </c>
      <c r="V48" s="24">
        <v>0</v>
      </c>
      <c r="W48" s="70">
        <v>0</v>
      </c>
      <c r="X48" s="75"/>
      <c r="Y48" s="109" t="s">
        <v>27</v>
      </c>
      <c r="Z48" s="112" t="s">
        <v>1</v>
      </c>
      <c r="AA48" s="4" t="s">
        <v>4</v>
      </c>
      <c r="AB48" s="24">
        <v>0</v>
      </c>
      <c r="AC48" s="70">
        <v>0</v>
      </c>
      <c r="AD48" s="75"/>
      <c r="AE48" s="109" t="s">
        <v>27</v>
      </c>
      <c r="AF48" s="112" t="s">
        <v>1</v>
      </c>
      <c r="AG48" s="4" t="s">
        <v>4</v>
      </c>
      <c r="AH48" s="24">
        <v>0</v>
      </c>
      <c r="AI48" s="70">
        <v>0</v>
      </c>
      <c r="AJ48" s="75"/>
      <c r="AK48" s="109" t="s">
        <v>27</v>
      </c>
      <c r="AL48" s="112" t="s">
        <v>1</v>
      </c>
      <c r="AM48" s="4" t="s">
        <v>4</v>
      </c>
      <c r="AN48" s="24">
        <v>0</v>
      </c>
      <c r="AO48" s="70">
        <v>0</v>
      </c>
      <c r="AP48" s="75"/>
      <c r="AQ48" s="109" t="s">
        <v>27</v>
      </c>
      <c r="AR48" s="112" t="s">
        <v>1</v>
      </c>
      <c r="AS48" s="4" t="s">
        <v>4</v>
      </c>
      <c r="AT48" s="93">
        <v>0</v>
      </c>
      <c r="AU48" s="94">
        <v>0</v>
      </c>
      <c r="AV48" s="75"/>
      <c r="AW48" s="109" t="s">
        <v>27</v>
      </c>
      <c r="AX48" s="112" t="s">
        <v>1</v>
      </c>
      <c r="AY48" s="4" t="s">
        <v>4</v>
      </c>
      <c r="AZ48" s="24">
        <v>0</v>
      </c>
      <c r="BA48" s="70">
        <v>0</v>
      </c>
      <c r="BB48" s="75"/>
      <c r="BC48" s="109" t="s">
        <v>27</v>
      </c>
      <c r="BD48" s="112" t="s">
        <v>1</v>
      </c>
      <c r="BE48" s="4" t="s">
        <v>4</v>
      </c>
      <c r="BF48" s="160">
        <v>0</v>
      </c>
      <c r="BG48" s="161">
        <v>0</v>
      </c>
      <c r="BH48" s="75"/>
      <c r="BI48" s="109" t="s">
        <v>27</v>
      </c>
      <c r="BJ48" s="112" t="s">
        <v>1</v>
      </c>
      <c r="BK48" s="4" t="s">
        <v>4</v>
      </c>
      <c r="BL48" s="24">
        <v>0</v>
      </c>
      <c r="BM48" s="70">
        <v>0</v>
      </c>
      <c r="BN48" s="75"/>
      <c r="BO48" s="109" t="s">
        <v>27</v>
      </c>
      <c r="BP48" s="112" t="s">
        <v>1</v>
      </c>
      <c r="BQ48" s="4" t="s">
        <v>4</v>
      </c>
      <c r="BR48" s="24">
        <v>0</v>
      </c>
      <c r="BS48" s="70">
        <v>0</v>
      </c>
      <c r="BT48" s="75"/>
      <c r="BU48" s="109" t="str">
        <f>BO48</f>
        <v>الرغامة</v>
      </c>
      <c r="BV48" s="112" t="s">
        <v>1</v>
      </c>
      <c r="BW48" s="4" t="s">
        <v>4</v>
      </c>
      <c r="BX48" s="5">
        <f>SUM(D48+J48+P48+V48+AB48+AH48+AN48+AT48+AZ48+BF48+BL48+BR48)</f>
        <v>0</v>
      </c>
      <c r="BY48" s="6">
        <f>SUM(E48+K48+Q48+W48+AC48+AI48+AO48+AU48+BA48+BG48+BM48+BS48)</f>
        <v>0</v>
      </c>
      <c r="BZ48" s="3"/>
    </row>
    <row r="49" spans="1:78" ht="20.100000000000001" customHeight="1" thickBot="1" x14ac:dyDescent="0.25">
      <c r="A49" s="110"/>
      <c r="B49" s="113"/>
      <c r="C49" s="7" t="s">
        <v>5</v>
      </c>
      <c r="D49" s="25">
        <v>0</v>
      </c>
      <c r="E49" s="71">
        <v>0</v>
      </c>
      <c r="F49" s="75"/>
      <c r="G49" s="110"/>
      <c r="H49" s="113"/>
      <c r="I49" s="7" t="s">
        <v>5</v>
      </c>
      <c r="J49" s="25">
        <v>0</v>
      </c>
      <c r="K49" s="71">
        <v>0</v>
      </c>
      <c r="L49" s="75"/>
      <c r="M49" s="110"/>
      <c r="N49" s="113"/>
      <c r="O49" s="7" t="s">
        <v>5</v>
      </c>
      <c r="P49" s="25">
        <v>0</v>
      </c>
      <c r="Q49" s="71">
        <v>0</v>
      </c>
      <c r="R49" s="75"/>
      <c r="S49" s="110"/>
      <c r="T49" s="113"/>
      <c r="U49" s="7" t="s">
        <v>5</v>
      </c>
      <c r="V49" s="25">
        <v>0</v>
      </c>
      <c r="W49" s="71">
        <v>0</v>
      </c>
      <c r="X49" s="75"/>
      <c r="Y49" s="110"/>
      <c r="Z49" s="113"/>
      <c r="AA49" s="7" t="s">
        <v>5</v>
      </c>
      <c r="AB49" s="25">
        <v>0</v>
      </c>
      <c r="AC49" s="71">
        <v>0</v>
      </c>
      <c r="AD49" s="75"/>
      <c r="AE49" s="110"/>
      <c r="AF49" s="113"/>
      <c r="AG49" s="7" t="s">
        <v>5</v>
      </c>
      <c r="AH49" s="25">
        <v>0</v>
      </c>
      <c r="AI49" s="71">
        <v>0</v>
      </c>
      <c r="AJ49" s="75"/>
      <c r="AK49" s="110"/>
      <c r="AL49" s="113"/>
      <c r="AM49" s="7" t="s">
        <v>5</v>
      </c>
      <c r="AN49" s="25">
        <v>0</v>
      </c>
      <c r="AO49" s="71">
        <v>0</v>
      </c>
      <c r="AP49" s="75"/>
      <c r="AQ49" s="110"/>
      <c r="AR49" s="113"/>
      <c r="AS49" s="7" t="s">
        <v>5</v>
      </c>
      <c r="AT49" s="95">
        <v>0</v>
      </c>
      <c r="AU49" s="96">
        <v>0</v>
      </c>
      <c r="AV49" s="75"/>
      <c r="AW49" s="110"/>
      <c r="AX49" s="113"/>
      <c r="AY49" s="7" t="s">
        <v>5</v>
      </c>
      <c r="AZ49" s="25">
        <v>0</v>
      </c>
      <c r="BA49" s="71">
        <v>0</v>
      </c>
      <c r="BB49" s="75"/>
      <c r="BC49" s="110"/>
      <c r="BD49" s="113"/>
      <c r="BE49" s="7" t="s">
        <v>5</v>
      </c>
      <c r="BF49" s="162">
        <v>0</v>
      </c>
      <c r="BG49" s="163">
        <v>0</v>
      </c>
      <c r="BH49" s="75"/>
      <c r="BI49" s="110"/>
      <c r="BJ49" s="113"/>
      <c r="BK49" s="7" t="s">
        <v>5</v>
      </c>
      <c r="BL49" s="25">
        <v>0</v>
      </c>
      <c r="BM49" s="71">
        <v>0</v>
      </c>
      <c r="BN49" s="75"/>
      <c r="BO49" s="110"/>
      <c r="BP49" s="113"/>
      <c r="BQ49" s="7" t="s">
        <v>5</v>
      </c>
      <c r="BR49" s="25">
        <v>0</v>
      </c>
      <c r="BS49" s="71">
        <v>0</v>
      </c>
      <c r="BT49" s="75"/>
      <c r="BU49" s="110"/>
      <c r="BV49" s="113"/>
      <c r="BW49" s="7" t="s">
        <v>5</v>
      </c>
      <c r="BX49" s="8">
        <f>SUM(D49+J49+P49+V49+AB49+AH49+AN49+AT49+AZ49+BF49+BL49+BR49)</f>
        <v>0</v>
      </c>
      <c r="BY49" s="9">
        <f>SUM(E49+K49+Q49+W49+AC49+AI49+AO49+AU49+BA49+BG49+BM49+BS49)</f>
        <v>0</v>
      </c>
      <c r="BZ49" s="3"/>
    </row>
    <row r="50" spans="1:78" ht="20.100000000000001" customHeight="1" thickBot="1" x14ac:dyDescent="0.25">
      <c r="A50" s="110"/>
      <c r="B50" s="114" t="s">
        <v>6</v>
      </c>
      <c r="C50" s="118"/>
      <c r="D50" s="26">
        <f>SUM(D48:D49)</f>
        <v>0</v>
      </c>
      <c r="E50" s="10">
        <f>SUM(E48:E49)</f>
        <v>0</v>
      </c>
      <c r="F50" s="75"/>
      <c r="G50" s="110"/>
      <c r="H50" s="114" t="s">
        <v>6</v>
      </c>
      <c r="I50" s="118"/>
      <c r="J50" s="26">
        <f>SUM(J48:J49)</f>
        <v>0</v>
      </c>
      <c r="K50" s="10">
        <f>SUM(K48:K49)</f>
        <v>0</v>
      </c>
      <c r="L50" s="75"/>
      <c r="M50" s="110"/>
      <c r="N50" s="114" t="s">
        <v>6</v>
      </c>
      <c r="O50" s="118"/>
      <c r="P50" s="26">
        <f>SUM(P48:P49)</f>
        <v>0</v>
      </c>
      <c r="Q50" s="10">
        <f>SUM(Q48:Q49)</f>
        <v>0</v>
      </c>
      <c r="R50" s="75"/>
      <c r="S50" s="110"/>
      <c r="T50" s="114" t="s">
        <v>6</v>
      </c>
      <c r="U50" s="118"/>
      <c r="V50" s="26">
        <f>SUM(V48:V49)</f>
        <v>0</v>
      </c>
      <c r="W50" s="10">
        <f>SUM(W48:W49)</f>
        <v>0</v>
      </c>
      <c r="X50" s="75"/>
      <c r="Y50" s="110"/>
      <c r="Z50" s="114" t="s">
        <v>6</v>
      </c>
      <c r="AA50" s="118"/>
      <c r="AB50" s="26">
        <f>SUM(AB48:AB49)</f>
        <v>0</v>
      </c>
      <c r="AC50" s="10">
        <f>SUM(AC48:AC49)</f>
        <v>0</v>
      </c>
      <c r="AD50" s="75"/>
      <c r="AE50" s="110"/>
      <c r="AF50" s="114" t="s">
        <v>6</v>
      </c>
      <c r="AG50" s="118"/>
      <c r="AH50" s="26">
        <f>SUM(AH48:AH49)</f>
        <v>0</v>
      </c>
      <c r="AI50" s="10">
        <f>SUM(AI48:AI49)</f>
        <v>0</v>
      </c>
      <c r="AJ50" s="75"/>
      <c r="AK50" s="110"/>
      <c r="AL50" s="114" t="s">
        <v>6</v>
      </c>
      <c r="AM50" s="118"/>
      <c r="AN50" s="26">
        <f>SUM(AN48:AN49)</f>
        <v>0</v>
      </c>
      <c r="AO50" s="10">
        <f>SUM(AO48:AO49)</f>
        <v>0</v>
      </c>
      <c r="AP50" s="75"/>
      <c r="AQ50" s="110"/>
      <c r="AR50" s="114" t="s">
        <v>6</v>
      </c>
      <c r="AS50" s="118"/>
      <c r="AT50" s="97">
        <f t="shared" ref="AT50:AU50" si="24">SUM(AT48:AT49)</f>
        <v>0</v>
      </c>
      <c r="AU50" s="97">
        <f t="shared" si="24"/>
        <v>0</v>
      </c>
      <c r="AV50" s="75"/>
      <c r="AW50" s="110"/>
      <c r="AX50" s="114" t="s">
        <v>6</v>
      </c>
      <c r="AY50" s="118"/>
      <c r="AZ50" s="26">
        <f>SUM(AZ48:AZ49)</f>
        <v>0</v>
      </c>
      <c r="BA50" s="10">
        <f>SUM(BA48:BA49)</f>
        <v>0</v>
      </c>
      <c r="BB50" s="75"/>
      <c r="BC50" s="110"/>
      <c r="BD50" s="114" t="s">
        <v>6</v>
      </c>
      <c r="BE50" s="118"/>
      <c r="BF50" s="26">
        <f>SUM(BF48:BF49)</f>
        <v>0</v>
      </c>
      <c r="BG50" s="10">
        <f>SUM(BG48:BG49)</f>
        <v>0</v>
      </c>
      <c r="BH50" s="75"/>
      <c r="BI50" s="110"/>
      <c r="BJ50" s="114" t="s">
        <v>6</v>
      </c>
      <c r="BK50" s="118"/>
      <c r="BL50" s="26">
        <f>SUM(BL48:BL49)</f>
        <v>0</v>
      </c>
      <c r="BM50" s="10">
        <f>SUM(BM48:BM49)</f>
        <v>0</v>
      </c>
      <c r="BN50" s="75"/>
      <c r="BO50" s="110"/>
      <c r="BP50" s="114" t="s">
        <v>6</v>
      </c>
      <c r="BQ50" s="118"/>
      <c r="BR50" s="26">
        <f>SUM(BR48:BR49)</f>
        <v>0</v>
      </c>
      <c r="BS50" s="10">
        <f>SUM(BS48:BS49)</f>
        <v>0</v>
      </c>
      <c r="BT50" s="75"/>
      <c r="BU50" s="110"/>
      <c r="BV50" s="114" t="s">
        <v>6</v>
      </c>
      <c r="BW50" s="115"/>
      <c r="BX50" s="12">
        <f>SUM(BX48:BX49)</f>
        <v>0</v>
      </c>
      <c r="BY50" s="17">
        <f>SUM(BY48:BY49)</f>
        <v>0</v>
      </c>
      <c r="BZ50" s="3"/>
    </row>
    <row r="51" spans="1:78" ht="20.100000000000001" customHeight="1" x14ac:dyDescent="0.2">
      <c r="A51" s="110"/>
      <c r="B51" s="119" t="s">
        <v>7</v>
      </c>
      <c r="C51" s="4" t="s">
        <v>4</v>
      </c>
      <c r="D51" s="24">
        <v>0</v>
      </c>
      <c r="E51" s="70">
        <v>0</v>
      </c>
      <c r="F51" s="75"/>
      <c r="G51" s="110"/>
      <c r="H51" s="119" t="s">
        <v>7</v>
      </c>
      <c r="I51" s="4" t="s">
        <v>4</v>
      </c>
      <c r="J51" s="24">
        <v>0</v>
      </c>
      <c r="K51" s="70">
        <v>0</v>
      </c>
      <c r="L51" s="75"/>
      <c r="M51" s="110"/>
      <c r="N51" s="119" t="s">
        <v>7</v>
      </c>
      <c r="O51" s="4" t="s">
        <v>4</v>
      </c>
      <c r="P51" s="24">
        <v>0</v>
      </c>
      <c r="Q51" s="70">
        <v>0</v>
      </c>
      <c r="R51" s="75"/>
      <c r="S51" s="110"/>
      <c r="T51" s="119" t="s">
        <v>7</v>
      </c>
      <c r="U51" s="4" t="s">
        <v>4</v>
      </c>
      <c r="V51" s="24">
        <v>0</v>
      </c>
      <c r="W51" s="70">
        <v>0</v>
      </c>
      <c r="X51" s="75"/>
      <c r="Y51" s="110"/>
      <c r="Z51" s="119" t="s">
        <v>7</v>
      </c>
      <c r="AA51" s="4" t="s">
        <v>4</v>
      </c>
      <c r="AB51" s="24">
        <v>0</v>
      </c>
      <c r="AC51" s="70">
        <v>0</v>
      </c>
      <c r="AD51" s="75"/>
      <c r="AE51" s="110"/>
      <c r="AF51" s="119" t="s">
        <v>7</v>
      </c>
      <c r="AG51" s="4" t="s">
        <v>4</v>
      </c>
      <c r="AH51" s="24">
        <v>0</v>
      </c>
      <c r="AI51" s="70">
        <v>0</v>
      </c>
      <c r="AJ51" s="75"/>
      <c r="AK51" s="110"/>
      <c r="AL51" s="119" t="s">
        <v>7</v>
      </c>
      <c r="AM51" s="4" t="s">
        <v>4</v>
      </c>
      <c r="AN51" s="24">
        <v>0</v>
      </c>
      <c r="AO51" s="70">
        <v>0</v>
      </c>
      <c r="AP51" s="75"/>
      <c r="AQ51" s="110"/>
      <c r="AR51" s="119" t="s">
        <v>7</v>
      </c>
      <c r="AS51" s="4" t="s">
        <v>4</v>
      </c>
      <c r="AT51" s="93">
        <v>0</v>
      </c>
      <c r="AU51" s="94">
        <v>0</v>
      </c>
      <c r="AV51" s="75"/>
      <c r="AW51" s="110"/>
      <c r="AX51" s="119" t="s">
        <v>7</v>
      </c>
      <c r="AY51" s="4" t="s">
        <v>4</v>
      </c>
      <c r="AZ51" s="24">
        <v>0</v>
      </c>
      <c r="BA51" s="70">
        <v>0</v>
      </c>
      <c r="BB51" s="75"/>
      <c r="BC51" s="110"/>
      <c r="BD51" s="119" t="s">
        <v>7</v>
      </c>
      <c r="BE51" s="4" t="s">
        <v>4</v>
      </c>
      <c r="BF51" s="24">
        <v>0</v>
      </c>
      <c r="BG51" s="70">
        <v>0</v>
      </c>
      <c r="BH51" s="75"/>
      <c r="BI51" s="110"/>
      <c r="BJ51" s="119" t="s">
        <v>7</v>
      </c>
      <c r="BK51" s="4" t="s">
        <v>4</v>
      </c>
      <c r="BL51" s="24">
        <v>0</v>
      </c>
      <c r="BM51" s="70">
        <v>0</v>
      </c>
      <c r="BN51" s="75"/>
      <c r="BO51" s="110"/>
      <c r="BP51" s="119" t="s">
        <v>7</v>
      </c>
      <c r="BQ51" s="4" t="s">
        <v>4</v>
      </c>
      <c r="BR51" s="24">
        <v>0</v>
      </c>
      <c r="BS51" s="70">
        <v>0</v>
      </c>
      <c r="BT51" s="75"/>
      <c r="BU51" s="110"/>
      <c r="BV51" s="121" t="s">
        <v>7</v>
      </c>
      <c r="BW51" s="4" t="s">
        <v>4</v>
      </c>
      <c r="BX51" s="5">
        <f>SUM(D51+J51+P51+V51+AB51+AH51+AN51+AT51+AZ51+BF51+BL51+BR51)</f>
        <v>0</v>
      </c>
      <c r="BY51" s="6">
        <f>SUM(E51+K51+Q51+W51+AC51+AI51+AO51+AU51+BA51+BG51+BM51+BS51)</f>
        <v>0</v>
      </c>
      <c r="BZ51" s="3"/>
    </row>
    <row r="52" spans="1:78" ht="20.100000000000001" customHeight="1" thickBot="1" x14ac:dyDescent="0.25">
      <c r="A52" s="110"/>
      <c r="B52" s="120"/>
      <c r="C52" s="7" t="s">
        <v>5</v>
      </c>
      <c r="D52" s="25">
        <v>0</v>
      </c>
      <c r="E52" s="71">
        <v>0</v>
      </c>
      <c r="F52" s="75"/>
      <c r="G52" s="110"/>
      <c r="H52" s="120"/>
      <c r="I52" s="7" t="s">
        <v>5</v>
      </c>
      <c r="J52" s="25">
        <v>0</v>
      </c>
      <c r="K52" s="71">
        <v>0</v>
      </c>
      <c r="L52" s="75"/>
      <c r="M52" s="110"/>
      <c r="N52" s="120"/>
      <c r="O52" s="7" t="s">
        <v>5</v>
      </c>
      <c r="P52" s="25">
        <v>0</v>
      </c>
      <c r="Q52" s="71">
        <v>0</v>
      </c>
      <c r="R52" s="75"/>
      <c r="S52" s="110"/>
      <c r="T52" s="120"/>
      <c r="U52" s="7" t="s">
        <v>5</v>
      </c>
      <c r="V52" s="25">
        <v>0</v>
      </c>
      <c r="W52" s="71">
        <v>0</v>
      </c>
      <c r="X52" s="75"/>
      <c r="Y52" s="110"/>
      <c r="Z52" s="120"/>
      <c r="AA52" s="7" t="s">
        <v>5</v>
      </c>
      <c r="AB52" s="25">
        <v>0</v>
      </c>
      <c r="AC52" s="71">
        <v>0</v>
      </c>
      <c r="AD52" s="75"/>
      <c r="AE52" s="110"/>
      <c r="AF52" s="120"/>
      <c r="AG52" s="7" t="s">
        <v>5</v>
      </c>
      <c r="AH52" s="25">
        <v>0</v>
      </c>
      <c r="AI52" s="71">
        <v>0</v>
      </c>
      <c r="AJ52" s="75"/>
      <c r="AK52" s="110"/>
      <c r="AL52" s="120"/>
      <c r="AM52" s="7" t="s">
        <v>5</v>
      </c>
      <c r="AN52" s="25">
        <v>0</v>
      </c>
      <c r="AO52" s="71">
        <v>0</v>
      </c>
      <c r="AP52" s="75"/>
      <c r="AQ52" s="110"/>
      <c r="AR52" s="120"/>
      <c r="AS52" s="7" t="s">
        <v>5</v>
      </c>
      <c r="AT52" s="95">
        <v>0</v>
      </c>
      <c r="AU52" s="96">
        <v>0</v>
      </c>
      <c r="AV52" s="75"/>
      <c r="AW52" s="110"/>
      <c r="AX52" s="120"/>
      <c r="AY52" s="7" t="s">
        <v>5</v>
      </c>
      <c r="AZ52" s="25">
        <v>0</v>
      </c>
      <c r="BA52" s="71">
        <v>0</v>
      </c>
      <c r="BB52" s="75"/>
      <c r="BC52" s="110"/>
      <c r="BD52" s="120"/>
      <c r="BE52" s="7" t="s">
        <v>5</v>
      </c>
      <c r="BF52" s="25">
        <v>0</v>
      </c>
      <c r="BG52" s="71">
        <v>0</v>
      </c>
      <c r="BH52" s="75"/>
      <c r="BI52" s="110"/>
      <c r="BJ52" s="120"/>
      <c r="BK52" s="7" t="s">
        <v>5</v>
      </c>
      <c r="BL52" s="25">
        <v>0</v>
      </c>
      <c r="BM52" s="71">
        <v>0</v>
      </c>
      <c r="BN52" s="75"/>
      <c r="BO52" s="110"/>
      <c r="BP52" s="120"/>
      <c r="BQ52" s="7" t="s">
        <v>5</v>
      </c>
      <c r="BR52" s="25">
        <v>0</v>
      </c>
      <c r="BS52" s="71">
        <v>0</v>
      </c>
      <c r="BT52" s="75"/>
      <c r="BU52" s="110"/>
      <c r="BV52" s="122"/>
      <c r="BW52" s="7" t="s">
        <v>5</v>
      </c>
      <c r="BX52" s="8">
        <f>SUM(D52+J52+P52+V52+AB52+AH52+AN52+AT52+AZ52+BF52+BL52+BR52)</f>
        <v>0</v>
      </c>
      <c r="BY52" s="9">
        <f>SUM(E52+K52+Q52+W52+AC52+AI52+AO52+AU52+BA52+BG52+BM52+BS52)</f>
        <v>0</v>
      </c>
      <c r="BZ52" s="3"/>
    </row>
    <row r="53" spans="1:78" ht="20.100000000000001" customHeight="1" thickBot="1" x14ac:dyDescent="0.25">
      <c r="A53" s="111"/>
      <c r="B53" s="116" t="s">
        <v>8</v>
      </c>
      <c r="C53" s="117"/>
      <c r="D53" s="26">
        <f>SUM(D51:D52)</f>
        <v>0</v>
      </c>
      <c r="E53" s="10">
        <f>SUM(E51:E52)</f>
        <v>0</v>
      </c>
      <c r="F53" s="75"/>
      <c r="G53" s="111"/>
      <c r="H53" s="116" t="s">
        <v>8</v>
      </c>
      <c r="I53" s="117"/>
      <c r="J53" s="26">
        <f>SUM(J51:J52)</f>
        <v>0</v>
      </c>
      <c r="K53" s="10">
        <f>SUM(K51:K52)</f>
        <v>0</v>
      </c>
      <c r="L53" s="75"/>
      <c r="M53" s="111"/>
      <c r="N53" s="116" t="s">
        <v>8</v>
      </c>
      <c r="O53" s="117"/>
      <c r="P53" s="26">
        <f>SUM(P51:P52)</f>
        <v>0</v>
      </c>
      <c r="Q53" s="10">
        <f>SUM(Q51:Q52)</f>
        <v>0</v>
      </c>
      <c r="R53" s="75"/>
      <c r="S53" s="111"/>
      <c r="T53" s="116" t="s">
        <v>8</v>
      </c>
      <c r="U53" s="117"/>
      <c r="V53" s="26">
        <f>SUM(V51:V52)</f>
        <v>0</v>
      </c>
      <c r="W53" s="10">
        <f>SUM(W51:W52)</f>
        <v>0</v>
      </c>
      <c r="X53" s="75"/>
      <c r="Y53" s="111"/>
      <c r="Z53" s="116" t="s">
        <v>8</v>
      </c>
      <c r="AA53" s="117"/>
      <c r="AB53" s="26">
        <f>SUM(AB51:AB52)</f>
        <v>0</v>
      </c>
      <c r="AC53" s="10">
        <f>SUM(AC51:AC52)</f>
        <v>0</v>
      </c>
      <c r="AD53" s="75"/>
      <c r="AE53" s="111"/>
      <c r="AF53" s="116" t="s">
        <v>8</v>
      </c>
      <c r="AG53" s="117"/>
      <c r="AH53" s="26">
        <f>SUM(AH51:AH52)</f>
        <v>0</v>
      </c>
      <c r="AI53" s="10">
        <f>SUM(AI51:AI52)</f>
        <v>0</v>
      </c>
      <c r="AJ53" s="75"/>
      <c r="AK53" s="111"/>
      <c r="AL53" s="116" t="s">
        <v>8</v>
      </c>
      <c r="AM53" s="117"/>
      <c r="AN53" s="26">
        <f>SUM(AN51:AN52)</f>
        <v>0</v>
      </c>
      <c r="AO53" s="10">
        <f>SUM(AO51:AO52)</f>
        <v>0</v>
      </c>
      <c r="AP53" s="75"/>
      <c r="AQ53" s="111"/>
      <c r="AR53" s="116" t="s">
        <v>8</v>
      </c>
      <c r="AS53" s="117"/>
      <c r="AT53" s="97">
        <f t="shared" ref="AT53:AU53" si="25">SUM(AT51:AT52)</f>
        <v>0</v>
      </c>
      <c r="AU53" s="97">
        <f t="shared" si="25"/>
        <v>0</v>
      </c>
      <c r="AV53" s="75"/>
      <c r="AW53" s="111"/>
      <c r="AX53" s="116" t="s">
        <v>8</v>
      </c>
      <c r="AY53" s="117"/>
      <c r="AZ53" s="26">
        <f>SUM(AZ51:AZ52)</f>
        <v>0</v>
      </c>
      <c r="BA53" s="10">
        <f>SUM(BA51:BA52)</f>
        <v>0</v>
      </c>
      <c r="BB53" s="75"/>
      <c r="BC53" s="111"/>
      <c r="BD53" s="116" t="s">
        <v>8</v>
      </c>
      <c r="BE53" s="117"/>
      <c r="BF53" s="26">
        <f>SUM(BF51:BF52)</f>
        <v>0</v>
      </c>
      <c r="BG53" s="10">
        <f>SUM(BG51:BG52)</f>
        <v>0</v>
      </c>
      <c r="BH53" s="75"/>
      <c r="BI53" s="111"/>
      <c r="BJ53" s="116" t="s">
        <v>8</v>
      </c>
      <c r="BK53" s="117"/>
      <c r="BL53" s="26">
        <f>SUM(BL51:BL52)</f>
        <v>0</v>
      </c>
      <c r="BM53" s="10">
        <f>SUM(BM51:BM52)</f>
        <v>0</v>
      </c>
      <c r="BN53" s="75"/>
      <c r="BO53" s="111"/>
      <c r="BP53" s="116" t="s">
        <v>8</v>
      </c>
      <c r="BQ53" s="117"/>
      <c r="BR53" s="26">
        <f>SUM(BR51:BR52)</f>
        <v>0</v>
      </c>
      <c r="BS53" s="10">
        <f>SUM(BS51:BS52)</f>
        <v>0</v>
      </c>
      <c r="BT53" s="75"/>
      <c r="BU53" s="111"/>
      <c r="BV53" s="114" t="s">
        <v>8</v>
      </c>
      <c r="BW53" s="115"/>
      <c r="BX53" s="10">
        <f>SUM(BX51:BX52)</f>
        <v>0</v>
      </c>
      <c r="BY53" s="11">
        <f>SUM(BY51:BY52)</f>
        <v>0</v>
      </c>
      <c r="BZ53" s="3"/>
    </row>
    <row r="54" spans="1:78" ht="20.100000000000001" customHeight="1" thickBot="1" x14ac:dyDescent="0.25">
      <c r="A54" s="13"/>
      <c r="B54" s="106" t="s">
        <v>9</v>
      </c>
      <c r="C54" s="107"/>
      <c r="D54" s="27">
        <f>SUM(D50+D53)</f>
        <v>0</v>
      </c>
      <c r="E54" s="14">
        <f>SUM(E50+E53)</f>
        <v>0</v>
      </c>
      <c r="F54" s="75"/>
      <c r="G54" s="13"/>
      <c r="H54" s="106" t="s">
        <v>9</v>
      </c>
      <c r="I54" s="107"/>
      <c r="J54" s="27">
        <f>SUM(J50+J53)</f>
        <v>0</v>
      </c>
      <c r="K54" s="14">
        <f>SUM(K50+K53)</f>
        <v>0</v>
      </c>
      <c r="L54" s="75"/>
      <c r="M54" s="13"/>
      <c r="N54" s="106" t="s">
        <v>9</v>
      </c>
      <c r="O54" s="107"/>
      <c r="P54" s="27">
        <f>SUM(P50+P53)</f>
        <v>0</v>
      </c>
      <c r="Q54" s="14">
        <f>SUM(Q50+Q53)</f>
        <v>0</v>
      </c>
      <c r="R54" s="75"/>
      <c r="S54" s="13"/>
      <c r="T54" s="106" t="s">
        <v>9</v>
      </c>
      <c r="U54" s="107"/>
      <c r="V54" s="27">
        <f>SUM(V50+V53)</f>
        <v>0</v>
      </c>
      <c r="W54" s="14">
        <f>SUM(W50+W53)</f>
        <v>0</v>
      </c>
      <c r="X54" s="75"/>
      <c r="Y54" s="13"/>
      <c r="Z54" s="106" t="s">
        <v>9</v>
      </c>
      <c r="AA54" s="107"/>
      <c r="AB54" s="27">
        <f>SUM(AB50+AB53)</f>
        <v>0</v>
      </c>
      <c r="AC54" s="14">
        <f>SUM(AC50+AC53)</f>
        <v>0</v>
      </c>
      <c r="AD54" s="75"/>
      <c r="AE54" s="13"/>
      <c r="AF54" s="106" t="s">
        <v>9</v>
      </c>
      <c r="AG54" s="107"/>
      <c r="AH54" s="27">
        <f>SUM(AH50+AH53)</f>
        <v>0</v>
      </c>
      <c r="AI54" s="14">
        <f>SUM(AI50+AI53)</f>
        <v>0</v>
      </c>
      <c r="AJ54" s="75"/>
      <c r="AK54" s="13"/>
      <c r="AL54" s="106" t="s">
        <v>9</v>
      </c>
      <c r="AM54" s="107"/>
      <c r="AN54" s="27">
        <f>SUM(AN50+AN53)</f>
        <v>0</v>
      </c>
      <c r="AO54" s="14">
        <f>SUM(AO50+AO53)</f>
        <v>0</v>
      </c>
      <c r="AP54" s="75"/>
      <c r="AQ54" s="13"/>
      <c r="AR54" s="106" t="s">
        <v>9</v>
      </c>
      <c r="AS54" s="107"/>
      <c r="AT54" s="98">
        <f t="shared" ref="AT54:AU54" si="26">SUM(AT50+AT53)</f>
        <v>0</v>
      </c>
      <c r="AU54" s="99">
        <f t="shared" si="26"/>
        <v>0</v>
      </c>
      <c r="AV54" s="75"/>
      <c r="AW54" s="13"/>
      <c r="AX54" s="106" t="s">
        <v>9</v>
      </c>
      <c r="AY54" s="107"/>
      <c r="AZ54" s="27">
        <f>SUM(AZ50+AZ53)</f>
        <v>0</v>
      </c>
      <c r="BA54" s="14">
        <f>SUM(BA50+BA53)</f>
        <v>0</v>
      </c>
      <c r="BB54" s="75"/>
      <c r="BC54" s="13"/>
      <c r="BD54" s="106" t="s">
        <v>9</v>
      </c>
      <c r="BE54" s="107"/>
      <c r="BF54" s="27">
        <f>SUM(BF50+BF53)</f>
        <v>0</v>
      </c>
      <c r="BG54" s="14">
        <f>SUM(BG50+BG53)</f>
        <v>0</v>
      </c>
      <c r="BH54" s="75"/>
      <c r="BI54" s="13"/>
      <c r="BJ54" s="106" t="s">
        <v>9</v>
      </c>
      <c r="BK54" s="107"/>
      <c r="BL54" s="27">
        <f>SUM(BL50+BL53)</f>
        <v>0</v>
      </c>
      <c r="BM54" s="14">
        <f>SUM(BM50+BM53)</f>
        <v>0</v>
      </c>
      <c r="BN54" s="75"/>
      <c r="BO54" s="13"/>
      <c r="BP54" s="106" t="s">
        <v>9</v>
      </c>
      <c r="BQ54" s="107"/>
      <c r="BR54" s="27">
        <f>SUM(BR50+BR53)</f>
        <v>0</v>
      </c>
      <c r="BS54" s="14">
        <f>SUM(BS50+BS53)</f>
        <v>0</v>
      </c>
      <c r="BT54" s="75"/>
      <c r="BU54" s="13"/>
      <c r="BV54" s="106" t="s">
        <v>9</v>
      </c>
      <c r="BW54" s="108"/>
      <c r="BX54" s="14">
        <f>SUM(BX50+BX53)</f>
        <v>0</v>
      </c>
      <c r="BY54" s="20">
        <f>SUM(BY50+BY53)</f>
        <v>0</v>
      </c>
      <c r="BZ54" s="3"/>
    </row>
    <row r="55" spans="1:78" ht="20.100000000000001" customHeight="1" x14ac:dyDescent="0.2">
      <c r="A55" s="109" t="s">
        <v>30</v>
      </c>
      <c r="B55" s="112" t="s">
        <v>1</v>
      </c>
      <c r="C55" s="4" t="s">
        <v>4</v>
      </c>
      <c r="D55" s="24">
        <v>0</v>
      </c>
      <c r="E55" s="70">
        <v>0</v>
      </c>
      <c r="F55" s="75"/>
      <c r="G55" s="109" t="s">
        <v>30</v>
      </c>
      <c r="H55" s="112" t="s">
        <v>1</v>
      </c>
      <c r="I55" s="4" t="s">
        <v>4</v>
      </c>
      <c r="J55" s="24">
        <v>0</v>
      </c>
      <c r="K55" s="70">
        <v>0</v>
      </c>
      <c r="L55" s="75"/>
      <c r="M55" s="109" t="s">
        <v>30</v>
      </c>
      <c r="N55" s="112" t="s">
        <v>1</v>
      </c>
      <c r="O55" s="4" t="s">
        <v>4</v>
      </c>
      <c r="P55" s="24">
        <v>0</v>
      </c>
      <c r="Q55" s="70">
        <v>0</v>
      </c>
      <c r="R55" s="75"/>
      <c r="S55" s="109" t="s">
        <v>30</v>
      </c>
      <c r="T55" s="112" t="s">
        <v>1</v>
      </c>
      <c r="U55" s="4" t="s">
        <v>4</v>
      </c>
      <c r="V55" s="24">
        <v>0</v>
      </c>
      <c r="W55" s="70">
        <v>0</v>
      </c>
      <c r="X55" s="75"/>
      <c r="Y55" s="109" t="s">
        <v>30</v>
      </c>
      <c r="Z55" s="112" t="s">
        <v>1</v>
      </c>
      <c r="AA55" s="4" t="s">
        <v>4</v>
      </c>
      <c r="AB55" s="24">
        <v>0</v>
      </c>
      <c r="AC55" s="70">
        <v>0</v>
      </c>
      <c r="AD55" s="75"/>
      <c r="AE55" s="109" t="s">
        <v>30</v>
      </c>
      <c r="AF55" s="112" t="s">
        <v>1</v>
      </c>
      <c r="AG55" s="4" t="s">
        <v>4</v>
      </c>
      <c r="AH55" s="24">
        <v>0</v>
      </c>
      <c r="AI55" s="70">
        <v>0</v>
      </c>
      <c r="AJ55" s="75"/>
      <c r="AK55" s="109" t="s">
        <v>30</v>
      </c>
      <c r="AL55" s="112" t="s">
        <v>1</v>
      </c>
      <c r="AM55" s="4" t="s">
        <v>4</v>
      </c>
      <c r="AN55" s="24">
        <v>0</v>
      </c>
      <c r="AO55" s="70">
        <v>0</v>
      </c>
      <c r="AP55" s="75"/>
      <c r="AQ55" s="109" t="s">
        <v>30</v>
      </c>
      <c r="AR55" s="112" t="s">
        <v>1</v>
      </c>
      <c r="AS55" s="4" t="s">
        <v>4</v>
      </c>
      <c r="AT55" s="93">
        <v>0</v>
      </c>
      <c r="AU55" s="94">
        <v>0</v>
      </c>
      <c r="AV55" s="75"/>
      <c r="AW55" s="109" t="s">
        <v>30</v>
      </c>
      <c r="AX55" s="112" t="s">
        <v>1</v>
      </c>
      <c r="AY55" s="4" t="s">
        <v>4</v>
      </c>
      <c r="AZ55" s="24">
        <v>0</v>
      </c>
      <c r="BA55" s="70">
        <v>0</v>
      </c>
      <c r="BB55" s="75"/>
      <c r="BC55" s="109" t="s">
        <v>30</v>
      </c>
      <c r="BD55" s="112" t="s">
        <v>1</v>
      </c>
      <c r="BE55" s="4" t="s">
        <v>4</v>
      </c>
      <c r="BF55" s="24">
        <v>0</v>
      </c>
      <c r="BG55" s="70">
        <v>0</v>
      </c>
      <c r="BH55" s="75"/>
      <c r="BI55" s="109" t="s">
        <v>30</v>
      </c>
      <c r="BJ55" s="112" t="s">
        <v>1</v>
      </c>
      <c r="BK55" s="4" t="s">
        <v>4</v>
      </c>
      <c r="BL55" s="24">
        <v>0</v>
      </c>
      <c r="BM55" s="70">
        <v>0</v>
      </c>
      <c r="BN55" s="75"/>
      <c r="BO55" s="109" t="s">
        <v>30</v>
      </c>
      <c r="BP55" s="112" t="s">
        <v>1</v>
      </c>
      <c r="BQ55" s="4" t="s">
        <v>4</v>
      </c>
      <c r="BR55" s="24">
        <v>0</v>
      </c>
      <c r="BS55" s="70">
        <v>0</v>
      </c>
      <c r="BT55" s="75"/>
      <c r="BU55" s="109" t="str">
        <f>BO55</f>
        <v>الواحة</v>
      </c>
      <c r="BV55" s="112" t="s">
        <v>1</v>
      </c>
      <c r="BW55" s="4" t="s">
        <v>4</v>
      </c>
      <c r="BX55" s="5">
        <f>SUM(D55+J55+P55+V55+AB55+AH55+AN55+AT55+AZ55+BF55+BL55+BR55)</f>
        <v>0</v>
      </c>
      <c r="BY55" s="6">
        <f>SUM(E55+K55+Q55+W55+AC55+AI55+AO55+AU55+BA55+BG55+BM55+BS55)</f>
        <v>0</v>
      </c>
      <c r="BZ55" s="3"/>
    </row>
    <row r="56" spans="1:78" ht="20.100000000000001" customHeight="1" thickBot="1" x14ac:dyDescent="0.25">
      <c r="A56" s="110"/>
      <c r="B56" s="113"/>
      <c r="C56" s="7" t="s">
        <v>5</v>
      </c>
      <c r="D56" s="25">
        <v>0</v>
      </c>
      <c r="E56" s="71">
        <v>0</v>
      </c>
      <c r="F56" s="75"/>
      <c r="G56" s="110"/>
      <c r="H56" s="113"/>
      <c r="I56" s="7" t="s">
        <v>5</v>
      </c>
      <c r="J56" s="25">
        <v>0</v>
      </c>
      <c r="K56" s="71">
        <v>0</v>
      </c>
      <c r="L56" s="75"/>
      <c r="M56" s="110"/>
      <c r="N56" s="113"/>
      <c r="O56" s="7" t="s">
        <v>5</v>
      </c>
      <c r="P56" s="25">
        <v>0</v>
      </c>
      <c r="Q56" s="71">
        <v>0</v>
      </c>
      <c r="R56" s="75"/>
      <c r="S56" s="110"/>
      <c r="T56" s="113"/>
      <c r="U56" s="7" t="s">
        <v>5</v>
      </c>
      <c r="V56" s="25">
        <v>0</v>
      </c>
      <c r="W56" s="71">
        <v>0</v>
      </c>
      <c r="X56" s="75"/>
      <c r="Y56" s="110"/>
      <c r="Z56" s="113"/>
      <c r="AA56" s="7" t="s">
        <v>5</v>
      </c>
      <c r="AB56" s="25">
        <v>0</v>
      </c>
      <c r="AC56" s="71">
        <v>0</v>
      </c>
      <c r="AD56" s="75"/>
      <c r="AE56" s="110"/>
      <c r="AF56" s="113"/>
      <c r="AG56" s="7" t="s">
        <v>5</v>
      </c>
      <c r="AH56" s="25">
        <v>0</v>
      </c>
      <c r="AI56" s="71">
        <v>0</v>
      </c>
      <c r="AJ56" s="75"/>
      <c r="AK56" s="110"/>
      <c r="AL56" s="113"/>
      <c r="AM56" s="7" t="s">
        <v>5</v>
      </c>
      <c r="AN56" s="25">
        <v>0</v>
      </c>
      <c r="AO56" s="71">
        <v>0</v>
      </c>
      <c r="AP56" s="75"/>
      <c r="AQ56" s="110"/>
      <c r="AR56" s="113"/>
      <c r="AS56" s="7" t="s">
        <v>5</v>
      </c>
      <c r="AT56" s="95">
        <v>0</v>
      </c>
      <c r="AU56" s="96">
        <v>0</v>
      </c>
      <c r="AV56" s="75"/>
      <c r="AW56" s="110"/>
      <c r="AX56" s="113"/>
      <c r="AY56" s="7" t="s">
        <v>5</v>
      </c>
      <c r="AZ56" s="25">
        <v>0</v>
      </c>
      <c r="BA56" s="71">
        <v>0</v>
      </c>
      <c r="BB56" s="75"/>
      <c r="BC56" s="110"/>
      <c r="BD56" s="113"/>
      <c r="BE56" s="7" t="s">
        <v>5</v>
      </c>
      <c r="BF56" s="25">
        <v>0</v>
      </c>
      <c r="BG56" s="71">
        <v>0</v>
      </c>
      <c r="BH56" s="75"/>
      <c r="BI56" s="110"/>
      <c r="BJ56" s="113"/>
      <c r="BK56" s="7" t="s">
        <v>5</v>
      </c>
      <c r="BL56" s="25">
        <v>0</v>
      </c>
      <c r="BM56" s="71">
        <v>0</v>
      </c>
      <c r="BN56" s="75"/>
      <c r="BO56" s="110"/>
      <c r="BP56" s="113"/>
      <c r="BQ56" s="7" t="s">
        <v>5</v>
      </c>
      <c r="BR56" s="25">
        <v>0</v>
      </c>
      <c r="BS56" s="71">
        <v>0</v>
      </c>
      <c r="BT56" s="75"/>
      <c r="BU56" s="110"/>
      <c r="BV56" s="113"/>
      <c r="BW56" s="7" t="s">
        <v>5</v>
      </c>
      <c r="BX56" s="8">
        <f>SUM(D56+J56+P56+V56+AB56+AH56+AN56+AT56+AZ56+BF56+BL56+BR56)</f>
        <v>0</v>
      </c>
      <c r="BY56" s="9">
        <f>SUM(E56+K56+Q56+W56+AC56+AI56+AO56+AU56+BA56+BG56+BM56+BS56)</f>
        <v>0</v>
      </c>
      <c r="BZ56" s="3"/>
    </row>
    <row r="57" spans="1:78" ht="20.100000000000001" customHeight="1" thickBot="1" x14ac:dyDescent="0.25">
      <c r="A57" s="110"/>
      <c r="B57" s="114" t="s">
        <v>6</v>
      </c>
      <c r="C57" s="118"/>
      <c r="D57" s="26">
        <f>SUM(D55:D56)</f>
        <v>0</v>
      </c>
      <c r="E57" s="10">
        <f>SUM(E55:E56)</f>
        <v>0</v>
      </c>
      <c r="F57" s="75"/>
      <c r="G57" s="110"/>
      <c r="H57" s="114" t="s">
        <v>6</v>
      </c>
      <c r="I57" s="118"/>
      <c r="J57" s="26">
        <f>SUM(J55:J56)</f>
        <v>0</v>
      </c>
      <c r="K57" s="10">
        <f>SUM(K55:K56)</f>
        <v>0</v>
      </c>
      <c r="L57" s="75"/>
      <c r="M57" s="110"/>
      <c r="N57" s="114" t="s">
        <v>6</v>
      </c>
      <c r="O57" s="118"/>
      <c r="P57" s="26">
        <f>SUM(P55:P56)</f>
        <v>0</v>
      </c>
      <c r="Q57" s="10">
        <f>SUM(Q55:Q56)</f>
        <v>0</v>
      </c>
      <c r="R57" s="75"/>
      <c r="S57" s="110"/>
      <c r="T57" s="114" t="s">
        <v>6</v>
      </c>
      <c r="U57" s="118"/>
      <c r="V57" s="26">
        <f>SUM(V55:V56)</f>
        <v>0</v>
      </c>
      <c r="W57" s="10">
        <f>SUM(W55:W56)</f>
        <v>0</v>
      </c>
      <c r="X57" s="75"/>
      <c r="Y57" s="110"/>
      <c r="Z57" s="114" t="s">
        <v>6</v>
      </c>
      <c r="AA57" s="118"/>
      <c r="AB57" s="26">
        <f>SUM(AB55:AB56)</f>
        <v>0</v>
      </c>
      <c r="AC57" s="10">
        <f>SUM(AC55:AC56)</f>
        <v>0</v>
      </c>
      <c r="AD57" s="75"/>
      <c r="AE57" s="110"/>
      <c r="AF57" s="114" t="s">
        <v>6</v>
      </c>
      <c r="AG57" s="118"/>
      <c r="AH57" s="26">
        <f>SUM(AH55:AH56)</f>
        <v>0</v>
      </c>
      <c r="AI57" s="10">
        <f>SUM(AI55:AI56)</f>
        <v>0</v>
      </c>
      <c r="AJ57" s="75"/>
      <c r="AK57" s="110"/>
      <c r="AL57" s="114" t="s">
        <v>6</v>
      </c>
      <c r="AM57" s="118"/>
      <c r="AN57" s="26">
        <f>SUM(AN55:AN56)</f>
        <v>0</v>
      </c>
      <c r="AO57" s="10">
        <f>SUM(AO55:AO56)</f>
        <v>0</v>
      </c>
      <c r="AP57" s="75"/>
      <c r="AQ57" s="110"/>
      <c r="AR57" s="114" t="s">
        <v>6</v>
      </c>
      <c r="AS57" s="118"/>
      <c r="AT57" s="97">
        <f t="shared" ref="AT57:AU57" si="27">SUM(AT55:AT56)</f>
        <v>0</v>
      </c>
      <c r="AU57" s="97">
        <f t="shared" si="27"/>
        <v>0</v>
      </c>
      <c r="AV57" s="75"/>
      <c r="AW57" s="110"/>
      <c r="AX57" s="114" t="s">
        <v>6</v>
      </c>
      <c r="AY57" s="118"/>
      <c r="AZ57" s="26">
        <f>SUM(AZ55:AZ56)</f>
        <v>0</v>
      </c>
      <c r="BA57" s="10">
        <f>SUM(BA55:BA56)</f>
        <v>0</v>
      </c>
      <c r="BB57" s="75"/>
      <c r="BC57" s="110"/>
      <c r="BD57" s="114" t="s">
        <v>6</v>
      </c>
      <c r="BE57" s="118"/>
      <c r="BF57" s="26">
        <f>SUM(BF55:BF56)</f>
        <v>0</v>
      </c>
      <c r="BG57" s="10">
        <f>SUM(BG55:BG56)</f>
        <v>0</v>
      </c>
      <c r="BH57" s="75"/>
      <c r="BI57" s="110"/>
      <c r="BJ57" s="114" t="s">
        <v>6</v>
      </c>
      <c r="BK57" s="118"/>
      <c r="BL57" s="26">
        <f>SUM(BL55:BL56)</f>
        <v>0</v>
      </c>
      <c r="BM57" s="10">
        <f>SUM(BM55:BM56)</f>
        <v>0</v>
      </c>
      <c r="BN57" s="75"/>
      <c r="BO57" s="110"/>
      <c r="BP57" s="114" t="s">
        <v>6</v>
      </c>
      <c r="BQ57" s="118"/>
      <c r="BR57" s="26">
        <f>SUM(BR55:BR56)</f>
        <v>0</v>
      </c>
      <c r="BS57" s="10">
        <f>SUM(BS55:BS56)</f>
        <v>0</v>
      </c>
      <c r="BT57" s="75"/>
      <c r="BU57" s="110"/>
      <c r="BV57" s="114" t="s">
        <v>6</v>
      </c>
      <c r="BW57" s="115"/>
      <c r="BX57" s="12">
        <f>SUM(BX55:BX56)</f>
        <v>0</v>
      </c>
      <c r="BY57" s="17">
        <f>SUM(BY55:BY56)</f>
        <v>0</v>
      </c>
      <c r="BZ57" s="3"/>
    </row>
    <row r="58" spans="1:78" ht="20.100000000000001" customHeight="1" x14ac:dyDescent="0.2">
      <c r="A58" s="110"/>
      <c r="B58" s="119" t="s">
        <v>7</v>
      </c>
      <c r="C58" s="4" t="s">
        <v>4</v>
      </c>
      <c r="D58" s="24">
        <v>0</v>
      </c>
      <c r="E58" s="70">
        <v>0</v>
      </c>
      <c r="F58" s="75"/>
      <c r="G58" s="110"/>
      <c r="H58" s="119" t="s">
        <v>7</v>
      </c>
      <c r="I58" s="4" t="s">
        <v>4</v>
      </c>
      <c r="J58" s="24">
        <v>0</v>
      </c>
      <c r="K58" s="70">
        <v>0</v>
      </c>
      <c r="L58" s="75"/>
      <c r="M58" s="110"/>
      <c r="N58" s="119" t="s">
        <v>7</v>
      </c>
      <c r="O58" s="4" t="s">
        <v>4</v>
      </c>
      <c r="P58" s="24">
        <v>0</v>
      </c>
      <c r="Q58" s="70">
        <v>0</v>
      </c>
      <c r="R58" s="75"/>
      <c r="S58" s="110"/>
      <c r="T58" s="119" t="s">
        <v>7</v>
      </c>
      <c r="U58" s="4" t="s">
        <v>4</v>
      </c>
      <c r="V58" s="24">
        <v>0</v>
      </c>
      <c r="W58" s="70">
        <v>0</v>
      </c>
      <c r="X58" s="75"/>
      <c r="Y58" s="110"/>
      <c r="Z58" s="119" t="s">
        <v>7</v>
      </c>
      <c r="AA58" s="4" t="s">
        <v>4</v>
      </c>
      <c r="AB58" s="24">
        <v>0</v>
      </c>
      <c r="AC58" s="70">
        <v>0</v>
      </c>
      <c r="AD58" s="75"/>
      <c r="AE58" s="110"/>
      <c r="AF58" s="119" t="s">
        <v>7</v>
      </c>
      <c r="AG58" s="4" t="s">
        <v>4</v>
      </c>
      <c r="AH58" s="24">
        <v>0</v>
      </c>
      <c r="AI58" s="70">
        <v>0</v>
      </c>
      <c r="AJ58" s="75"/>
      <c r="AK58" s="110"/>
      <c r="AL58" s="119" t="s">
        <v>7</v>
      </c>
      <c r="AM58" s="4" t="s">
        <v>4</v>
      </c>
      <c r="AN58" s="24">
        <v>0</v>
      </c>
      <c r="AO58" s="70">
        <v>0</v>
      </c>
      <c r="AP58" s="75"/>
      <c r="AQ58" s="110"/>
      <c r="AR58" s="119" t="s">
        <v>7</v>
      </c>
      <c r="AS58" s="4" t="s">
        <v>4</v>
      </c>
      <c r="AT58" s="93">
        <v>0</v>
      </c>
      <c r="AU58" s="94">
        <v>0</v>
      </c>
      <c r="AV58" s="75"/>
      <c r="AW58" s="110"/>
      <c r="AX58" s="119" t="s">
        <v>7</v>
      </c>
      <c r="AY58" s="4" t="s">
        <v>4</v>
      </c>
      <c r="AZ58" s="24">
        <v>0</v>
      </c>
      <c r="BA58" s="70">
        <v>0</v>
      </c>
      <c r="BB58" s="75"/>
      <c r="BC58" s="110"/>
      <c r="BD58" s="119" t="s">
        <v>7</v>
      </c>
      <c r="BE58" s="4" t="s">
        <v>4</v>
      </c>
      <c r="BF58" s="24">
        <v>0</v>
      </c>
      <c r="BG58" s="70">
        <v>0</v>
      </c>
      <c r="BH58" s="75"/>
      <c r="BI58" s="110"/>
      <c r="BJ58" s="119" t="s">
        <v>7</v>
      </c>
      <c r="BK58" s="4" t="s">
        <v>4</v>
      </c>
      <c r="BL58" s="24">
        <v>0</v>
      </c>
      <c r="BM58" s="70">
        <v>0</v>
      </c>
      <c r="BN58" s="75"/>
      <c r="BO58" s="110"/>
      <c r="BP58" s="119" t="s">
        <v>7</v>
      </c>
      <c r="BQ58" s="4" t="s">
        <v>4</v>
      </c>
      <c r="BR58" s="24">
        <v>0</v>
      </c>
      <c r="BS58" s="70">
        <v>0</v>
      </c>
      <c r="BT58" s="75"/>
      <c r="BU58" s="110"/>
      <c r="BV58" s="121" t="s">
        <v>7</v>
      </c>
      <c r="BW58" s="4" t="s">
        <v>4</v>
      </c>
      <c r="BX58" s="5">
        <f>SUM(D58+J58+P58+V58+AB58+AH58+AN58+AT58+AZ58+BF58+BL58+BR58)</f>
        <v>0</v>
      </c>
      <c r="BY58" s="6">
        <f>SUM(E58+K58+Q58+W58+AC58+AI58+AO58+AU58+BA58+BG58+BM58+BS58)</f>
        <v>0</v>
      </c>
      <c r="BZ58" s="3"/>
    </row>
    <row r="59" spans="1:78" ht="20.100000000000001" customHeight="1" thickBot="1" x14ac:dyDescent="0.25">
      <c r="A59" s="110"/>
      <c r="B59" s="120"/>
      <c r="C59" s="7" t="s">
        <v>5</v>
      </c>
      <c r="D59" s="25">
        <v>0</v>
      </c>
      <c r="E59" s="71">
        <v>0</v>
      </c>
      <c r="F59" s="75"/>
      <c r="G59" s="110"/>
      <c r="H59" s="120"/>
      <c r="I59" s="7" t="s">
        <v>5</v>
      </c>
      <c r="J59" s="25">
        <v>0</v>
      </c>
      <c r="K59" s="71">
        <v>0</v>
      </c>
      <c r="L59" s="75"/>
      <c r="M59" s="110"/>
      <c r="N59" s="120"/>
      <c r="O59" s="7" t="s">
        <v>5</v>
      </c>
      <c r="P59" s="25">
        <v>0</v>
      </c>
      <c r="Q59" s="71">
        <v>0</v>
      </c>
      <c r="R59" s="75"/>
      <c r="S59" s="110"/>
      <c r="T59" s="120"/>
      <c r="U59" s="7" t="s">
        <v>5</v>
      </c>
      <c r="V59" s="25">
        <v>0</v>
      </c>
      <c r="W59" s="71">
        <v>0</v>
      </c>
      <c r="X59" s="75"/>
      <c r="Y59" s="110"/>
      <c r="Z59" s="120"/>
      <c r="AA59" s="7" t="s">
        <v>5</v>
      </c>
      <c r="AB59" s="25">
        <v>0</v>
      </c>
      <c r="AC59" s="71">
        <v>0</v>
      </c>
      <c r="AD59" s="75"/>
      <c r="AE59" s="110"/>
      <c r="AF59" s="120"/>
      <c r="AG59" s="7" t="s">
        <v>5</v>
      </c>
      <c r="AH59" s="25">
        <v>0</v>
      </c>
      <c r="AI59" s="71">
        <v>0</v>
      </c>
      <c r="AJ59" s="75"/>
      <c r="AK59" s="110"/>
      <c r="AL59" s="120"/>
      <c r="AM59" s="7" t="s">
        <v>5</v>
      </c>
      <c r="AN59" s="25">
        <v>0</v>
      </c>
      <c r="AO59" s="71">
        <v>0</v>
      </c>
      <c r="AP59" s="75"/>
      <c r="AQ59" s="110"/>
      <c r="AR59" s="120"/>
      <c r="AS59" s="7" t="s">
        <v>5</v>
      </c>
      <c r="AT59" s="95">
        <v>0</v>
      </c>
      <c r="AU59" s="96">
        <v>0</v>
      </c>
      <c r="AV59" s="75"/>
      <c r="AW59" s="110"/>
      <c r="AX59" s="120"/>
      <c r="AY59" s="7" t="s">
        <v>5</v>
      </c>
      <c r="AZ59" s="25">
        <v>0</v>
      </c>
      <c r="BA59" s="71">
        <v>0</v>
      </c>
      <c r="BB59" s="75"/>
      <c r="BC59" s="110"/>
      <c r="BD59" s="120"/>
      <c r="BE59" s="7" t="s">
        <v>5</v>
      </c>
      <c r="BF59" s="25">
        <v>0</v>
      </c>
      <c r="BG59" s="71">
        <v>0</v>
      </c>
      <c r="BH59" s="75"/>
      <c r="BI59" s="110"/>
      <c r="BJ59" s="120"/>
      <c r="BK59" s="7" t="s">
        <v>5</v>
      </c>
      <c r="BL59" s="25">
        <v>0</v>
      </c>
      <c r="BM59" s="71">
        <v>0</v>
      </c>
      <c r="BN59" s="75"/>
      <c r="BO59" s="110"/>
      <c r="BP59" s="120"/>
      <c r="BQ59" s="7" t="s">
        <v>5</v>
      </c>
      <c r="BR59" s="25">
        <v>0</v>
      </c>
      <c r="BS59" s="71">
        <v>0</v>
      </c>
      <c r="BT59" s="75"/>
      <c r="BU59" s="110"/>
      <c r="BV59" s="122"/>
      <c r="BW59" s="7" t="s">
        <v>5</v>
      </c>
      <c r="BX59" s="8">
        <f>SUM(D59+J59+P59+V59+AB59+AH59+AN59+AT59+AZ59+BF59+BL59+BR59)</f>
        <v>0</v>
      </c>
      <c r="BY59" s="9">
        <f>SUM(E59+K59+Q59+W59+AC59+AI59+AO59+AU59+BA59+BG59+BM59+BS59)</f>
        <v>0</v>
      </c>
      <c r="BZ59" s="3"/>
    </row>
    <row r="60" spans="1:78" ht="20.100000000000001" customHeight="1" thickBot="1" x14ac:dyDescent="0.25">
      <c r="A60" s="111"/>
      <c r="B60" s="116" t="s">
        <v>8</v>
      </c>
      <c r="C60" s="117"/>
      <c r="D60" s="26">
        <f>SUM(D58:D59)</f>
        <v>0</v>
      </c>
      <c r="E60" s="10">
        <f>SUM(E58:E59)</f>
        <v>0</v>
      </c>
      <c r="F60" s="75"/>
      <c r="G60" s="111"/>
      <c r="H60" s="116" t="s">
        <v>8</v>
      </c>
      <c r="I60" s="117"/>
      <c r="J60" s="26">
        <f>SUM(J58:J59)</f>
        <v>0</v>
      </c>
      <c r="K60" s="10">
        <f>SUM(K58:K59)</f>
        <v>0</v>
      </c>
      <c r="L60" s="75"/>
      <c r="M60" s="111"/>
      <c r="N60" s="116" t="s">
        <v>8</v>
      </c>
      <c r="O60" s="117"/>
      <c r="P60" s="26">
        <f>SUM(P58:P59)</f>
        <v>0</v>
      </c>
      <c r="Q60" s="10">
        <f>SUM(Q58:Q59)</f>
        <v>0</v>
      </c>
      <c r="R60" s="75"/>
      <c r="S60" s="111"/>
      <c r="T60" s="116" t="s">
        <v>8</v>
      </c>
      <c r="U60" s="117"/>
      <c r="V60" s="26">
        <f>SUM(V58:V59)</f>
        <v>0</v>
      </c>
      <c r="W60" s="10">
        <f>SUM(W58:W59)</f>
        <v>0</v>
      </c>
      <c r="X60" s="75"/>
      <c r="Y60" s="111"/>
      <c r="Z60" s="116" t="s">
        <v>8</v>
      </c>
      <c r="AA60" s="117"/>
      <c r="AB60" s="26">
        <f>SUM(AB58:AB59)</f>
        <v>0</v>
      </c>
      <c r="AC60" s="10">
        <f>SUM(AC58:AC59)</f>
        <v>0</v>
      </c>
      <c r="AD60" s="75"/>
      <c r="AE60" s="111"/>
      <c r="AF60" s="116" t="s">
        <v>8</v>
      </c>
      <c r="AG60" s="117"/>
      <c r="AH60" s="26">
        <f>SUM(AH58:AH59)</f>
        <v>0</v>
      </c>
      <c r="AI60" s="10">
        <f>SUM(AI58:AI59)</f>
        <v>0</v>
      </c>
      <c r="AJ60" s="75"/>
      <c r="AK60" s="111"/>
      <c r="AL60" s="116" t="s">
        <v>8</v>
      </c>
      <c r="AM60" s="117"/>
      <c r="AN60" s="26">
        <f>SUM(AN58:AN59)</f>
        <v>0</v>
      </c>
      <c r="AO60" s="10">
        <f>SUM(AO58:AO59)</f>
        <v>0</v>
      </c>
      <c r="AP60" s="75"/>
      <c r="AQ60" s="111"/>
      <c r="AR60" s="116" t="s">
        <v>8</v>
      </c>
      <c r="AS60" s="117"/>
      <c r="AT60" s="97">
        <f t="shared" ref="AT60:AU60" si="28">SUM(AT58:AT59)</f>
        <v>0</v>
      </c>
      <c r="AU60" s="97">
        <f t="shared" si="28"/>
        <v>0</v>
      </c>
      <c r="AV60" s="75"/>
      <c r="AW60" s="111"/>
      <c r="AX60" s="116" t="s">
        <v>8</v>
      </c>
      <c r="AY60" s="117"/>
      <c r="AZ60" s="26">
        <f>SUM(AZ58:AZ59)</f>
        <v>0</v>
      </c>
      <c r="BA60" s="10">
        <f>SUM(BA58:BA59)</f>
        <v>0</v>
      </c>
      <c r="BB60" s="75"/>
      <c r="BC60" s="111"/>
      <c r="BD60" s="116" t="s">
        <v>8</v>
      </c>
      <c r="BE60" s="117"/>
      <c r="BF60" s="26">
        <f>SUM(BF58:BF59)</f>
        <v>0</v>
      </c>
      <c r="BG60" s="10">
        <f>SUM(BG58:BG59)</f>
        <v>0</v>
      </c>
      <c r="BH60" s="75"/>
      <c r="BI60" s="111"/>
      <c r="BJ60" s="116" t="s">
        <v>8</v>
      </c>
      <c r="BK60" s="117"/>
      <c r="BL60" s="26">
        <f>SUM(BL58:BL59)</f>
        <v>0</v>
      </c>
      <c r="BM60" s="10">
        <f>SUM(BM58:BM59)</f>
        <v>0</v>
      </c>
      <c r="BN60" s="75"/>
      <c r="BO60" s="111"/>
      <c r="BP60" s="116" t="s">
        <v>8</v>
      </c>
      <c r="BQ60" s="117"/>
      <c r="BR60" s="26">
        <f>SUM(BR58:BR59)</f>
        <v>0</v>
      </c>
      <c r="BS60" s="10">
        <f>SUM(BS58:BS59)</f>
        <v>0</v>
      </c>
      <c r="BT60" s="75"/>
      <c r="BU60" s="111"/>
      <c r="BV60" s="114" t="s">
        <v>8</v>
      </c>
      <c r="BW60" s="115"/>
      <c r="BX60" s="10">
        <f>SUM(BX58:BX59)</f>
        <v>0</v>
      </c>
      <c r="BY60" s="11">
        <f>SUM(BY58:BY59)</f>
        <v>0</v>
      </c>
      <c r="BZ60" s="3"/>
    </row>
    <row r="61" spans="1:78" ht="20.100000000000001" customHeight="1" thickBot="1" x14ac:dyDescent="0.25">
      <c r="A61" s="13"/>
      <c r="B61" s="106" t="s">
        <v>9</v>
      </c>
      <c r="C61" s="107"/>
      <c r="D61" s="27">
        <f>SUM(D57+D60)</f>
        <v>0</v>
      </c>
      <c r="E61" s="14">
        <f>SUM(E57+E60)</f>
        <v>0</v>
      </c>
      <c r="F61" s="75"/>
      <c r="G61" s="13"/>
      <c r="H61" s="106" t="s">
        <v>9</v>
      </c>
      <c r="I61" s="107"/>
      <c r="J61" s="27">
        <f>SUM(J57+J60)</f>
        <v>0</v>
      </c>
      <c r="K61" s="14">
        <f>SUM(K57+K60)</f>
        <v>0</v>
      </c>
      <c r="L61" s="75"/>
      <c r="M61" s="13"/>
      <c r="N61" s="106" t="s">
        <v>9</v>
      </c>
      <c r="O61" s="107"/>
      <c r="P61" s="27">
        <f>SUM(P57+P60)</f>
        <v>0</v>
      </c>
      <c r="Q61" s="14">
        <f>SUM(Q57+Q60)</f>
        <v>0</v>
      </c>
      <c r="R61" s="75"/>
      <c r="S61" s="13"/>
      <c r="T61" s="106" t="s">
        <v>9</v>
      </c>
      <c r="U61" s="107"/>
      <c r="V61" s="27">
        <f>SUM(V57+V60)</f>
        <v>0</v>
      </c>
      <c r="W61" s="14">
        <f>SUM(W57+W60)</f>
        <v>0</v>
      </c>
      <c r="X61" s="75"/>
      <c r="Y61" s="13"/>
      <c r="Z61" s="106" t="s">
        <v>9</v>
      </c>
      <c r="AA61" s="107"/>
      <c r="AB61" s="27">
        <f>SUM(AB57+AB60)</f>
        <v>0</v>
      </c>
      <c r="AC61" s="14">
        <f>SUM(AC57+AC60)</f>
        <v>0</v>
      </c>
      <c r="AD61" s="75"/>
      <c r="AE61" s="13"/>
      <c r="AF61" s="106" t="s">
        <v>9</v>
      </c>
      <c r="AG61" s="107"/>
      <c r="AH61" s="27">
        <f>SUM(AH57+AH60)</f>
        <v>0</v>
      </c>
      <c r="AI61" s="14">
        <f>SUM(AI57+AI60)</f>
        <v>0</v>
      </c>
      <c r="AJ61" s="75"/>
      <c r="AK61" s="13"/>
      <c r="AL61" s="106" t="s">
        <v>9</v>
      </c>
      <c r="AM61" s="107"/>
      <c r="AN61" s="27">
        <f>SUM(AN57+AN60)</f>
        <v>0</v>
      </c>
      <c r="AO61" s="14">
        <f>SUM(AO57+AO60)</f>
        <v>0</v>
      </c>
      <c r="AP61" s="75"/>
      <c r="AQ61" s="13"/>
      <c r="AR61" s="106" t="s">
        <v>9</v>
      </c>
      <c r="AS61" s="107"/>
      <c r="AT61" s="98">
        <f t="shared" ref="AT61:AU61" si="29">SUM(AT57+AT60)</f>
        <v>0</v>
      </c>
      <c r="AU61" s="99">
        <f t="shared" si="29"/>
        <v>0</v>
      </c>
      <c r="AV61" s="75"/>
      <c r="AW61" s="13"/>
      <c r="AX61" s="106" t="s">
        <v>9</v>
      </c>
      <c r="AY61" s="107"/>
      <c r="AZ61" s="27">
        <f>SUM(AZ57+AZ60)</f>
        <v>0</v>
      </c>
      <c r="BA61" s="14">
        <f>SUM(BA57+BA60)</f>
        <v>0</v>
      </c>
      <c r="BB61" s="75"/>
      <c r="BC61" s="13"/>
      <c r="BD61" s="106" t="s">
        <v>9</v>
      </c>
      <c r="BE61" s="107"/>
      <c r="BF61" s="27">
        <f>SUM(BF57+BF60)</f>
        <v>0</v>
      </c>
      <c r="BG61" s="14">
        <f>SUM(BG57+BG60)</f>
        <v>0</v>
      </c>
      <c r="BH61" s="75"/>
      <c r="BI61" s="13"/>
      <c r="BJ61" s="106" t="s">
        <v>9</v>
      </c>
      <c r="BK61" s="107"/>
      <c r="BL61" s="27">
        <f>SUM(BL57+BL60)</f>
        <v>0</v>
      </c>
      <c r="BM61" s="14">
        <f>SUM(BM57+BM60)</f>
        <v>0</v>
      </c>
      <c r="BN61" s="75"/>
      <c r="BO61" s="13"/>
      <c r="BP61" s="106" t="s">
        <v>9</v>
      </c>
      <c r="BQ61" s="107"/>
      <c r="BR61" s="27">
        <f>SUM(BR57+BR60)</f>
        <v>0</v>
      </c>
      <c r="BS61" s="14">
        <f>SUM(BS57+BS60)</f>
        <v>0</v>
      </c>
      <c r="BT61" s="75"/>
      <c r="BU61" s="13"/>
      <c r="BV61" s="106" t="s">
        <v>9</v>
      </c>
      <c r="BW61" s="108"/>
      <c r="BX61" s="14">
        <f>SUM(BX57+BX60)</f>
        <v>0</v>
      </c>
      <c r="BY61" s="20">
        <f>SUM(BY57+BY60)</f>
        <v>0</v>
      </c>
      <c r="BZ61" s="3"/>
    </row>
    <row r="62" spans="1:78" ht="20.100000000000001" customHeight="1" x14ac:dyDescent="0.2">
      <c r="A62" s="109">
        <v>0</v>
      </c>
      <c r="B62" s="112" t="s">
        <v>1</v>
      </c>
      <c r="C62" s="4" t="s">
        <v>4</v>
      </c>
      <c r="D62" s="24">
        <v>0</v>
      </c>
      <c r="E62" s="70">
        <v>0</v>
      </c>
      <c r="F62" s="75"/>
      <c r="G62" s="109">
        <v>0</v>
      </c>
      <c r="H62" s="112" t="s">
        <v>1</v>
      </c>
      <c r="I62" s="4" t="s">
        <v>4</v>
      </c>
      <c r="J62" s="24">
        <v>0</v>
      </c>
      <c r="K62" s="70">
        <v>0</v>
      </c>
      <c r="L62" s="75"/>
      <c r="M62" s="109">
        <v>0</v>
      </c>
      <c r="N62" s="112" t="s">
        <v>1</v>
      </c>
      <c r="O62" s="4" t="s">
        <v>4</v>
      </c>
      <c r="P62" s="24">
        <v>0</v>
      </c>
      <c r="Q62" s="70">
        <v>0</v>
      </c>
      <c r="R62" s="75"/>
      <c r="S62" s="109">
        <v>0</v>
      </c>
      <c r="T62" s="112" t="s">
        <v>1</v>
      </c>
      <c r="U62" s="4" t="s">
        <v>4</v>
      </c>
      <c r="V62" s="24">
        <v>0</v>
      </c>
      <c r="W62" s="70">
        <v>0</v>
      </c>
      <c r="X62" s="75"/>
      <c r="Y62" s="109">
        <v>0</v>
      </c>
      <c r="Z62" s="112" t="s">
        <v>1</v>
      </c>
      <c r="AA62" s="4" t="s">
        <v>4</v>
      </c>
      <c r="AB62" s="24">
        <v>0</v>
      </c>
      <c r="AC62" s="70">
        <v>0</v>
      </c>
      <c r="AD62" s="75"/>
      <c r="AE62" s="109">
        <v>0</v>
      </c>
      <c r="AF62" s="112" t="s">
        <v>1</v>
      </c>
      <c r="AG62" s="4" t="s">
        <v>4</v>
      </c>
      <c r="AH62" s="24">
        <v>0</v>
      </c>
      <c r="AI62" s="70">
        <v>0</v>
      </c>
      <c r="AJ62" s="75"/>
      <c r="AK62" s="109">
        <v>0</v>
      </c>
      <c r="AL62" s="112" t="s">
        <v>1</v>
      </c>
      <c r="AM62" s="4" t="s">
        <v>4</v>
      </c>
      <c r="AN62" s="24">
        <v>0</v>
      </c>
      <c r="AO62" s="70">
        <v>0</v>
      </c>
      <c r="AP62" s="75"/>
      <c r="AQ62" s="109">
        <v>0</v>
      </c>
      <c r="AR62" s="112" t="s">
        <v>1</v>
      </c>
      <c r="AS62" s="4" t="s">
        <v>4</v>
      </c>
      <c r="AT62" s="93">
        <v>0</v>
      </c>
      <c r="AU62" s="94">
        <v>0</v>
      </c>
      <c r="AV62" s="75"/>
      <c r="AW62" s="109">
        <v>0</v>
      </c>
      <c r="AX62" s="112" t="s">
        <v>1</v>
      </c>
      <c r="AY62" s="4" t="s">
        <v>4</v>
      </c>
      <c r="AZ62" s="24">
        <v>0</v>
      </c>
      <c r="BA62" s="70">
        <v>0</v>
      </c>
      <c r="BB62" s="75"/>
      <c r="BC62" s="109">
        <v>0</v>
      </c>
      <c r="BD62" s="112" t="s">
        <v>1</v>
      </c>
      <c r="BE62" s="4" t="s">
        <v>4</v>
      </c>
      <c r="BF62" s="24">
        <v>0</v>
      </c>
      <c r="BG62" s="70">
        <v>0</v>
      </c>
      <c r="BH62" s="75"/>
      <c r="BI62" s="109">
        <v>0</v>
      </c>
      <c r="BJ62" s="112" t="s">
        <v>1</v>
      </c>
      <c r="BK62" s="4" t="s">
        <v>4</v>
      </c>
      <c r="BL62" s="24">
        <v>0</v>
      </c>
      <c r="BM62" s="70">
        <v>0</v>
      </c>
      <c r="BN62" s="75"/>
      <c r="BO62" s="109">
        <v>0</v>
      </c>
      <c r="BP62" s="112" t="s">
        <v>1</v>
      </c>
      <c r="BQ62" s="4" t="s">
        <v>4</v>
      </c>
      <c r="BR62" s="24">
        <v>0</v>
      </c>
      <c r="BS62" s="70">
        <v>0</v>
      </c>
      <c r="BT62" s="75"/>
      <c r="BU62" s="109">
        <f>BO62</f>
        <v>0</v>
      </c>
      <c r="BV62" s="112" t="s">
        <v>1</v>
      </c>
      <c r="BW62" s="4" t="s">
        <v>4</v>
      </c>
      <c r="BX62" s="5">
        <f>SUM(D62+J62+P62+V62+AB62+AH62+AN62+AT62+AZ62+BF62+BL62+BR62)</f>
        <v>0</v>
      </c>
      <c r="BY62" s="6">
        <f>SUM(E62+K62+Q62+W62+AC62+AI62+AO62+AU62+BA62+BG62+BM62+BS62)</f>
        <v>0</v>
      </c>
      <c r="BZ62" s="3"/>
    </row>
    <row r="63" spans="1:78" ht="20.100000000000001" customHeight="1" thickBot="1" x14ac:dyDescent="0.25">
      <c r="A63" s="110"/>
      <c r="B63" s="113"/>
      <c r="C63" s="7" t="s">
        <v>5</v>
      </c>
      <c r="D63" s="25">
        <v>0</v>
      </c>
      <c r="E63" s="71">
        <v>0</v>
      </c>
      <c r="F63" s="75"/>
      <c r="G63" s="110"/>
      <c r="H63" s="113"/>
      <c r="I63" s="7" t="s">
        <v>5</v>
      </c>
      <c r="J63" s="25">
        <v>0</v>
      </c>
      <c r="K63" s="71">
        <v>0</v>
      </c>
      <c r="L63" s="75"/>
      <c r="M63" s="110"/>
      <c r="N63" s="113"/>
      <c r="O63" s="7" t="s">
        <v>5</v>
      </c>
      <c r="P63" s="25">
        <v>0</v>
      </c>
      <c r="Q63" s="71">
        <v>0</v>
      </c>
      <c r="R63" s="75"/>
      <c r="S63" s="110"/>
      <c r="T63" s="113"/>
      <c r="U63" s="7" t="s">
        <v>5</v>
      </c>
      <c r="V63" s="25">
        <v>0</v>
      </c>
      <c r="W63" s="71">
        <v>0</v>
      </c>
      <c r="X63" s="75"/>
      <c r="Y63" s="110"/>
      <c r="Z63" s="113"/>
      <c r="AA63" s="7" t="s">
        <v>5</v>
      </c>
      <c r="AB63" s="25">
        <v>0</v>
      </c>
      <c r="AC63" s="71">
        <v>0</v>
      </c>
      <c r="AD63" s="75"/>
      <c r="AE63" s="110"/>
      <c r="AF63" s="113"/>
      <c r="AG63" s="7" t="s">
        <v>5</v>
      </c>
      <c r="AH63" s="25">
        <v>0</v>
      </c>
      <c r="AI63" s="71">
        <v>0</v>
      </c>
      <c r="AJ63" s="75"/>
      <c r="AK63" s="110"/>
      <c r="AL63" s="113"/>
      <c r="AM63" s="7" t="s">
        <v>5</v>
      </c>
      <c r="AN63" s="25">
        <v>0</v>
      </c>
      <c r="AO63" s="71">
        <v>0</v>
      </c>
      <c r="AP63" s="75"/>
      <c r="AQ63" s="110"/>
      <c r="AR63" s="113"/>
      <c r="AS63" s="7" t="s">
        <v>5</v>
      </c>
      <c r="AT63" s="95">
        <v>0</v>
      </c>
      <c r="AU63" s="96">
        <v>0</v>
      </c>
      <c r="AV63" s="75"/>
      <c r="AW63" s="110"/>
      <c r="AX63" s="113"/>
      <c r="AY63" s="7" t="s">
        <v>5</v>
      </c>
      <c r="AZ63" s="25">
        <v>0</v>
      </c>
      <c r="BA63" s="71">
        <v>0</v>
      </c>
      <c r="BB63" s="75"/>
      <c r="BC63" s="110"/>
      <c r="BD63" s="113"/>
      <c r="BE63" s="7" t="s">
        <v>5</v>
      </c>
      <c r="BF63" s="25">
        <v>0</v>
      </c>
      <c r="BG63" s="71">
        <v>0</v>
      </c>
      <c r="BH63" s="75"/>
      <c r="BI63" s="110"/>
      <c r="BJ63" s="113"/>
      <c r="BK63" s="7" t="s">
        <v>5</v>
      </c>
      <c r="BL63" s="25">
        <v>0</v>
      </c>
      <c r="BM63" s="71">
        <v>0</v>
      </c>
      <c r="BN63" s="75"/>
      <c r="BO63" s="110"/>
      <c r="BP63" s="113"/>
      <c r="BQ63" s="7" t="s">
        <v>5</v>
      </c>
      <c r="BR63" s="25">
        <v>0</v>
      </c>
      <c r="BS63" s="71">
        <v>0</v>
      </c>
      <c r="BT63" s="75"/>
      <c r="BU63" s="110"/>
      <c r="BV63" s="113"/>
      <c r="BW63" s="7" t="s">
        <v>5</v>
      </c>
      <c r="BX63" s="8">
        <f>SUM(D63+J63+P63+V63+AB63+AH63+AN63+AT63+AZ63+BF63+BL63+BR63)</f>
        <v>0</v>
      </c>
      <c r="BY63" s="9">
        <f>SUM(E63+K63+Q63+W63+AC63+AI63+AO63+AU63+BA63+BG63+BM63+BS63)</f>
        <v>0</v>
      </c>
      <c r="BZ63" s="3"/>
    </row>
    <row r="64" spans="1:78" ht="20.100000000000001" customHeight="1" thickBot="1" x14ac:dyDescent="0.25">
      <c r="A64" s="110"/>
      <c r="B64" s="114" t="s">
        <v>6</v>
      </c>
      <c r="C64" s="118"/>
      <c r="D64" s="26">
        <f>SUM(D62:D63)</f>
        <v>0</v>
      </c>
      <c r="E64" s="10">
        <f>SUM(E62:E63)</f>
        <v>0</v>
      </c>
      <c r="F64" s="75"/>
      <c r="G64" s="110"/>
      <c r="H64" s="114" t="s">
        <v>6</v>
      </c>
      <c r="I64" s="118"/>
      <c r="J64" s="26">
        <f>SUM(J62:J63)</f>
        <v>0</v>
      </c>
      <c r="K64" s="10">
        <f>SUM(K62:K63)</f>
        <v>0</v>
      </c>
      <c r="L64" s="75"/>
      <c r="M64" s="110"/>
      <c r="N64" s="114" t="s">
        <v>6</v>
      </c>
      <c r="O64" s="118"/>
      <c r="P64" s="26">
        <f>SUM(P62:P63)</f>
        <v>0</v>
      </c>
      <c r="Q64" s="10">
        <f>SUM(Q62:Q63)</f>
        <v>0</v>
      </c>
      <c r="R64" s="75"/>
      <c r="S64" s="110"/>
      <c r="T64" s="114" t="s">
        <v>6</v>
      </c>
      <c r="U64" s="118"/>
      <c r="V64" s="26">
        <f>SUM(V62:V63)</f>
        <v>0</v>
      </c>
      <c r="W64" s="10">
        <f>SUM(W62:W63)</f>
        <v>0</v>
      </c>
      <c r="X64" s="75"/>
      <c r="Y64" s="110"/>
      <c r="Z64" s="114" t="s">
        <v>6</v>
      </c>
      <c r="AA64" s="118"/>
      <c r="AB64" s="26">
        <f>SUM(AB62:AB63)</f>
        <v>0</v>
      </c>
      <c r="AC64" s="10">
        <f>SUM(AC62:AC63)</f>
        <v>0</v>
      </c>
      <c r="AD64" s="75"/>
      <c r="AE64" s="110"/>
      <c r="AF64" s="114" t="s">
        <v>6</v>
      </c>
      <c r="AG64" s="118"/>
      <c r="AH64" s="26">
        <f>SUM(AH62:AH63)</f>
        <v>0</v>
      </c>
      <c r="AI64" s="10">
        <f>SUM(AI62:AI63)</f>
        <v>0</v>
      </c>
      <c r="AJ64" s="75"/>
      <c r="AK64" s="110"/>
      <c r="AL64" s="114" t="s">
        <v>6</v>
      </c>
      <c r="AM64" s="118"/>
      <c r="AN64" s="26">
        <f>SUM(AN62:AN63)</f>
        <v>0</v>
      </c>
      <c r="AO64" s="10">
        <f>SUM(AO62:AO63)</f>
        <v>0</v>
      </c>
      <c r="AP64" s="75"/>
      <c r="AQ64" s="110"/>
      <c r="AR64" s="114" t="s">
        <v>6</v>
      </c>
      <c r="AS64" s="118"/>
      <c r="AT64" s="97">
        <f t="shared" ref="AT64:AU64" si="30">SUM(AT62:AT63)</f>
        <v>0</v>
      </c>
      <c r="AU64" s="97">
        <f t="shared" si="30"/>
        <v>0</v>
      </c>
      <c r="AV64" s="75"/>
      <c r="AW64" s="110"/>
      <c r="AX64" s="114" t="s">
        <v>6</v>
      </c>
      <c r="AY64" s="118"/>
      <c r="AZ64" s="26">
        <f>SUM(AZ62:AZ63)</f>
        <v>0</v>
      </c>
      <c r="BA64" s="10">
        <f>SUM(BA62:BA63)</f>
        <v>0</v>
      </c>
      <c r="BB64" s="75"/>
      <c r="BC64" s="110"/>
      <c r="BD64" s="114" t="s">
        <v>6</v>
      </c>
      <c r="BE64" s="118"/>
      <c r="BF64" s="26">
        <f>SUM(BF62:BF63)</f>
        <v>0</v>
      </c>
      <c r="BG64" s="10">
        <f>SUM(BG62:BG63)</f>
        <v>0</v>
      </c>
      <c r="BH64" s="75"/>
      <c r="BI64" s="110"/>
      <c r="BJ64" s="114" t="s">
        <v>6</v>
      </c>
      <c r="BK64" s="118"/>
      <c r="BL64" s="26">
        <f>SUM(BL62:BL63)</f>
        <v>0</v>
      </c>
      <c r="BM64" s="10">
        <f>SUM(BM62:BM63)</f>
        <v>0</v>
      </c>
      <c r="BN64" s="75"/>
      <c r="BO64" s="110"/>
      <c r="BP64" s="114" t="s">
        <v>6</v>
      </c>
      <c r="BQ64" s="118"/>
      <c r="BR64" s="26">
        <f>SUM(BR62:BR63)</f>
        <v>0</v>
      </c>
      <c r="BS64" s="10">
        <f>SUM(BS62:BS63)</f>
        <v>0</v>
      </c>
      <c r="BT64" s="75"/>
      <c r="BU64" s="110"/>
      <c r="BV64" s="114" t="s">
        <v>6</v>
      </c>
      <c r="BW64" s="115"/>
      <c r="BX64" s="12">
        <f>SUM(BX62:BX63)</f>
        <v>0</v>
      </c>
      <c r="BY64" s="17">
        <f>SUM(BY62:BY63)</f>
        <v>0</v>
      </c>
      <c r="BZ64" s="3"/>
    </row>
    <row r="65" spans="1:78" ht="20.100000000000001" customHeight="1" x14ac:dyDescent="0.2">
      <c r="A65" s="110"/>
      <c r="B65" s="119" t="s">
        <v>7</v>
      </c>
      <c r="C65" s="4" t="s">
        <v>4</v>
      </c>
      <c r="D65" s="24">
        <v>0</v>
      </c>
      <c r="E65" s="70">
        <v>0</v>
      </c>
      <c r="F65" s="75"/>
      <c r="G65" s="110"/>
      <c r="H65" s="119" t="s">
        <v>7</v>
      </c>
      <c r="I65" s="4" t="s">
        <v>4</v>
      </c>
      <c r="J65" s="24">
        <v>0</v>
      </c>
      <c r="K65" s="70">
        <v>0</v>
      </c>
      <c r="L65" s="75"/>
      <c r="M65" s="110"/>
      <c r="N65" s="119" t="s">
        <v>7</v>
      </c>
      <c r="O65" s="4" t="s">
        <v>4</v>
      </c>
      <c r="P65" s="24">
        <v>0</v>
      </c>
      <c r="Q65" s="70">
        <v>0</v>
      </c>
      <c r="R65" s="75"/>
      <c r="S65" s="110"/>
      <c r="T65" s="119" t="s">
        <v>7</v>
      </c>
      <c r="U65" s="4" t="s">
        <v>4</v>
      </c>
      <c r="V65" s="24">
        <v>0</v>
      </c>
      <c r="W65" s="70">
        <v>0</v>
      </c>
      <c r="X65" s="75"/>
      <c r="Y65" s="110"/>
      <c r="Z65" s="119" t="s">
        <v>7</v>
      </c>
      <c r="AA65" s="4" t="s">
        <v>4</v>
      </c>
      <c r="AB65" s="24">
        <v>0</v>
      </c>
      <c r="AC65" s="70">
        <v>0</v>
      </c>
      <c r="AD65" s="75"/>
      <c r="AE65" s="110"/>
      <c r="AF65" s="119" t="s">
        <v>7</v>
      </c>
      <c r="AG65" s="4" t="s">
        <v>4</v>
      </c>
      <c r="AH65" s="24">
        <v>0</v>
      </c>
      <c r="AI65" s="70">
        <v>0</v>
      </c>
      <c r="AJ65" s="75"/>
      <c r="AK65" s="110"/>
      <c r="AL65" s="119" t="s">
        <v>7</v>
      </c>
      <c r="AM65" s="4" t="s">
        <v>4</v>
      </c>
      <c r="AN65" s="24">
        <v>0</v>
      </c>
      <c r="AO65" s="70">
        <v>0</v>
      </c>
      <c r="AP65" s="75"/>
      <c r="AQ65" s="110"/>
      <c r="AR65" s="119" t="s">
        <v>7</v>
      </c>
      <c r="AS65" s="4" t="s">
        <v>4</v>
      </c>
      <c r="AT65" s="93">
        <v>0</v>
      </c>
      <c r="AU65" s="94">
        <v>0</v>
      </c>
      <c r="AV65" s="75"/>
      <c r="AW65" s="110"/>
      <c r="AX65" s="119" t="s">
        <v>7</v>
      </c>
      <c r="AY65" s="4" t="s">
        <v>4</v>
      </c>
      <c r="AZ65" s="24">
        <v>0</v>
      </c>
      <c r="BA65" s="70">
        <v>0</v>
      </c>
      <c r="BB65" s="75"/>
      <c r="BC65" s="110"/>
      <c r="BD65" s="119" t="s">
        <v>7</v>
      </c>
      <c r="BE65" s="4" t="s">
        <v>4</v>
      </c>
      <c r="BF65" s="24">
        <v>0</v>
      </c>
      <c r="BG65" s="70">
        <v>0</v>
      </c>
      <c r="BH65" s="75"/>
      <c r="BI65" s="110"/>
      <c r="BJ65" s="119" t="s">
        <v>7</v>
      </c>
      <c r="BK65" s="4" t="s">
        <v>4</v>
      </c>
      <c r="BL65" s="24">
        <v>0</v>
      </c>
      <c r="BM65" s="70">
        <v>0</v>
      </c>
      <c r="BN65" s="75"/>
      <c r="BO65" s="110"/>
      <c r="BP65" s="119" t="s">
        <v>7</v>
      </c>
      <c r="BQ65" s="4" t="s">
        <v>4</v>
      </c>
      <c r="BR65" s="24">
        <v>0</v>
      </c>
      <c r="BS65" s="70">
        <v>0</v>
      </c>
      <c r="BT65" s="75"/>
      <c r="BU65" s="110"/>
      <c r="BV65" s="121" t="s">
        <v>7</v>
      </c>
      <c r="BW65" s="4" t="s">
        <v>4</v>
      </c>
      <c r="BX65" s="5">
        <f>SUM(D65+J65+P65+V65+AB65+AH65+AN65+AT65+AZ65+BF65+BL65+BR65)</f>
        <v>0</v>
      </c>
      <c r="BY65" s="6">
        <f>SUM(E65+K65+Q65+W65+AC65+AI65+AO65+AU65+BA65+BG65+BM65+BS65)</f>
        <v>0</v>
      </c>
      <c r="BZ65" s="3"/>
    </row>
    <row r="66" spans="1:78" ht="20.100000000000001" customHeight="1" thickBot="1" x14ac:dyDescent="0.25">
      <c r="A66" s="110"/>
      <c r="B66" s="120"/>
      <c r="C66" s="7" t="s">
        <v>5</v>
      </c>
      <c r="D66" s="25">
        <v>0</v>
      </c>
      <c r="E66" s="71">
        <v>0</v>
      </c>
      <c r="F66" s="75"/>
      <c r="G66" s="110"/>
      <c r="H66" s="120"/>
      <c r="I66" s="7" t="s">
        <v>5</v>
      </c>
      <c r="J66" s="25">
        <v>0</v>
      </c>
      <c r="K66" s="71">
        <v>0</v>
      </c>
      <c r="L66" s="75"/>
      <c r="M66" s="110"/>
      <c r="N66" s="120"/>
      <c r="O66" s="7" t="s">
        <v>5</v>
      </c>
      <c r="P66" s="25">
        <v>0</v>
      </c>
      <c r="Q66" s="71">
        <v>0</v>
      </c>
      <c r="R66" s="75"/>
      <c r="S66" s="110"/>
      <c r="T66" s="120"/>
      <c r="U66" s="7" t="s">
        <v>5</v>
      </c>
      <c r="V66" s="25">
        <v>0</v>
      </c>
      <c r="W66" s="71">
        <v>0</v>
      </c>
      <c r="X66" s="75"/>
      <c r="Y66" s="110"/>
      <c r="Z66" s="120"/>
      <c r="AA66" s="7" t="s">
        <v>5</v>
      </c>
      <c r="AB66" s="25">
        <v>0</v>
      </c>
      <c r="AC66" s="71">
        <v>0</v>
      </c>
      <c r="AD66" s="75"/>
      <c r="AE66" s="110"/>
      <c r="AF66" s="120"/>
      <c r="AG66" s="7" t="s">
        <v>5</v>
      </c>
      <c r="AH66" s="25">
        <v>0</v>
      </c>
      <c r="AI66" s="71">
        <v>0</v>
      </c>
      <c r="AJ66" s="75"/>
      <c r="AK66" s="110"/>
      <c r="AL66" s="120"/>
      <c r="AM66" s="7" t="s">
        <v>5</v>
      </c>
      <c r="AN66" s="25">
        <v>0</v>
      </c>
      <c r="AO66" s="71">
        <v>0</v>
      </c>
      <c r="AP66" s="75"/>
      <c r="AQ66" s="110"/>
      <c r="AR66" s="120"/>
      <c r="AS66" s="7" t="s">
        <v>5</v>
      </c>
      <c r="AT66" s="95">
        <v>0</v>
      </c>
      <c r="AU66" s="96">
        <v>0</v>
      </c>
      <c r="AV66" s="75"/>
      <c r="AW66" s="110"/>
      <c r="AX66" s="120"/>
      <c r="AY66" s="7" t="s">
        <v>5</v>
      </c>
      <c r="AZ66" s="25">
        <v>0</v>
      </c>
      <c r="BA66" s="71">
        <v>0</v>
      </c>
      <c r="BB66" s="75"/>
      <c r="BC66" s="110"/>
      <c r="BD66" s="120"/>
      <c r="BE66" s="7" t="s">
        <v>5</v>
      </c>
      <c r="BF66" s="25">
        <v>0</v>
      </c>
      <c r="BG66" s="71">
        <v>0</v>
      </c>
      <c r="BH66" s="75"/>
      <c r="BI66" s="110"/>
      <c r="BJ66" s="120"/>
      <c r="BK66" s="7" t="s">
        <v>5</v>
      </c>
      <c r="BL66" s="25">
        <v>0</v>
      </c>
      <c r="BM66" s="71">
        <v>0</v>
      </c>
      <c r="BN66" s="75"/>
      <c r="BO66" s="110"/>
      <c r="BP66" s="120"/>
      <c r="BQ66" s="7" t="s">
        <v>5</v>
      </c>
      <c r="BR66" s="25">
        <v>0</v>
      </c>
      <c r="BS66" s="71">
        <v>0</v>
      </c>
      <c r="BT66" s="75"/>
      <c r="BU66" s="110"/>
      <c r="BV66" s="122"/>
      <c r="BW66" s="7" t="s">
        <v>5</v>
      </c>
      <c r="BX66" s="8">
        <f>SUM(D66+J66+P66+V66+AB66+AH66+AN66+AT66+AZ66+BF66+BL66+BR66)</f>
        <v>0</v>
      </c>
      <c r="BY66" s="9">
        <f>SUM(E66+K66+Q66+W66+AC66+AI66+AO66+AU66+BA66+BG66+BM66+BS66)</f>
        <v>0</v>
      </c>
      <c r="BZ66" s="3"/>
    </row>
    <row r="67" spans="1:78" ht="20.100000000000001" customHeight="1" thickBot="1" x14ac:dyDescent="0.25">
      <c r="A67" s="111"/>
      <c r="B67" s="116" t="s">
        <v>8</v>
      </c>
      <c r="C67" s="117"/>
      <c r="D67" s="26">
        <f>SUM(D65:D66)</f>
        <v>0</v>
      </c>
      <c r="E67" s="10">
        <f>SUM(E65:E66)</f>
        <v>0</v>
      </c>
      <c r="F67" s="75"/>
      <c r="G67" s="111"/>
      <c r="H67" s="116" t="s">
        <v>8</v>
      </c>
      <c r="I67" s="117"/>
      <c r="J67" s="26">
        <f>SUM(J65:J66)</f>
        <v>0</v>
      </c>
      <c r="K67" s="10">
        <f>SUM(K65:K66)</f>
        <v>0</v>
      </c>
      <c r="L67" s="75"/>
      <c r="M67" s="111"/>
      <c r="N67" s="116" t="s">
        <v>8</v>
      </c>
      <c r="O67" s="117"/>
      <c r="P67" s="26">
        <f>SUM(P65:P66)</f>
        <v>0</v>
      </c>
      <c r="Q67" s="10">
        <f>SUM(Q65:Q66)</f>
        <v>0</v>
      </c>
      <c r="R67" s="75"/>
      <c r="S67" s="111"/>
      <c r="T67" s="116" t="s">
        <v>8</v>
      </c>
      <c r="U67" s="117"/>
      <c r="V67" s="26">
        <f>SUM(V65:V66)</f>
        <v>0</v>
      </c>
      <c r="W67" s="10">
        <f>SUM(W65:W66)</f>
        <v>0</v>
      </c>
      <c r="X67" s="75"/>
      <c r="Y67" s="111"/>
      <c r="Z67" s="116" t="s">
        <v>8</v>
      </c>
      <c r="AA67" s="117"/>
      <c r="AB67" s="26">
        <f>SUM(AB65:AB66)</f>
        <v>0</v>
      </c>
      <c r="AC67" s="10">
        <f>SUM(AC65:AC66)</f>
        <v>0</v>
      </c>
      <c r="AD67" s="75"/>
      <c r="AE67" s="111"/>
      <c r="AF67" s="116" t="s">
        <v>8</v>
      </c>
      <c r="AG67" s="117"/>
      <c r="AH67" s="26">
        <f>SUM(AH65:AH66)</f>
        <v>0</v>
      </c>
      <c r="AI67" s="10">
        <f>SUM(AI65:AI66)</f>
        <v>0</v>
      </c>
      <c r="AJ67" s="75"/>
      <c r="AK67" s="111"/>
      <c r="AL67" s="116" t="s">
        <v>8</v>
      </c>
      <c r="AM67" s="117"/>
      <c r="AN67" s="26">
        <f>SUM(AN65:AN66)</f>
        <v>0</v>
      </c>
      <c r="AO67" s="10">
        <f>SUM(AO65:AO66)</f>
        <v>0</v>
      </c>
      <c r="AP67" s="75"/>
      <c r="AQ67" s="111"/>
      <c r="AR67" s="116" t="s">
        <v>8</v>
      </c>
      <c r="AS67" s="117"/>
      <c r="AT67" s="97">
        <f t="shared" ref="AT67:AU67" si="31">SUM(AT65:AT66)</f>
        <v>0</v>
      </c>
      <c r="AU67" s="97">
        <f t="shared" si="31"/>
        <v>0</v>
      </c>
      <c r="AV67" s="75"/>
      <c r="AW67" s="111"/>
      <c r="AX67" s="116" t="s">
        <v>8</v>
      </c>
      <c r="AY67" s="117"/>
      <c r="AZ67" s="26">
        <f>SUM(AZ65:AZ66)</f>
        <v>0</v>
      </c>
      <c r="BA67" s="10">
        <f>SUM(BA65:BA66)</f>
        <v>0</v>
      </c>
      <c r="BB67" s="75"/>
      <c r="BC67" s="111"/>
      <c r="BD67" s="116" t="s">
        <v>8</v>
      </c>
      <c r="BE67" s="117"/>
      <c r="BF67" s="26">
        <f>SUM(BF65:BF66)</f>
        <v>0</v>
      </c>
      <c r="BG67" s="10">
        <f>SUM(BG65:BG66)</f>
        <v>0</v>
      </c>
      <c r="BH67" s="75"/>
      <c r="BI67" s="111"/>
      <c r="BJ67" s="116" t="s">
        <v>8</v>
      </c>
      <c r="BK67" s="117"/>
      <c r="BL67" s="26">
        <f>SUM(BL65:BL66)</f>
        <v>0</v>
      </c>
      <c r="BM67" s="10">
        <f>SUM(BM65:BM66)</f>
        <v>0</v>
      </c>
      <c r="BN67" s="75"/>
      <c r="BO67" s="111"/>
      <c r="BP67" s="116" t="s">
        <v>8</v>
      </c>
      <c r="BQ67" s="117"/>
      <c r="BR67" s="26">
        <f>SUM(BR65:BR66)</f>
        <v>0</v>
      </c>
      <c r="BS67" s="10">
        <f>SUM(BS65:BS66)</f>
        <v>0</v>
      </c>
      <c r="BT67" s="75"/>
      <c r="BU67" s="111"/>
      <c r="BV67" s="114" t="s">
        <v>8</v>
      </c>
      <c r="BW67" s="115"/>
      <c r="BX67" s="10">
        <f>SUM(BX65:BX66)</f>
        <v>0</v>
      </c>
      <c r="BY67" s="11">
        <f>SUM(BY65:BY66)</f>
        <v>0</v>
      </c>
      <c r="BZ67" s="3"/>
    </row>
    <row r="68" spans="1:78" ht="20.100000000000001" customHeight="1" thickBot="1" x14ac:dyDescent="0.25">
      <c r="A68" s="13"/>
      <c r="B68" s="106" t="s">
        <v>9</v>
      </c>
      <c r="C68" s="107"/>
      <c r="D68" s="27">
        <f>SUM(D64+D67)</f>
        <v>0</v>
      </c>
      <c r="E68" s="14">
        <f>SUM(E64+E67)</f>
        <v>0</v>
      </c>
      <c r="F68" s="75"/>
      <c r="G68" s="13"/>
      <c r="H68" s="106" t="s">
        <v>9</v>
      </c>
      <c r="I68" s="107"/>
      <c r="J68" s="27">
        <f>SUM(J64+J67)</f>
        <v>0</v>
      </c>
      <c r="K68" s="14">
        <f>SUM(K64+K67)</f>
        <v>0</v>
      </c>
      <c r="L68" s="75"/>
      <c r="M68" s="13"/>
      <c r="N68" s="106" t="s">
        <v>9</v>
      </c>
      <c r="O68" s="107"/>
      <c r="P68" s="27">
        <f>SUM(P64+P67)</f>
        <v>0</v>
      </c>
      <c r="Q68" s="14">
        <f>SUM(Q64+Q67)</f>
        <v>0</v>
      </c>
      <c r="R68" s="75"/>
      <c r="S68" s="13"/>
      <c r="T68" s="106" t="s">
        <v>9</v>
      </c>
      <c r="U68" s="107"/>
      <c r="V68" s="27">
        <f>SUM(V64+V67)</f>
        <v>0</v>
      </c>
      <c r="W68" s="14">
        <f>SUM(W64+W67)</f>
        <v>0</v>
      </c>
      <c r="X68" s="75"/>
      <c r="Y68" s="13"/>
      <c r="Z68" s="106" t="s">
        <v>9</v>
      </c>
      <c r="AA68" s="107"/>
      <c r="AB68" s="27">
        <f>SUM(AB64+AB67)</f>
        <v>0</v>
      </c>
      <c r="AC68" s="14">
        <f>SUM(AC64+AC67)</f>
        <v>0</v>
      </c>
      <c r="AD68" s="75"/>
      <c r="AE68" s="13"/>
      <c r="AF68" s="106" t="s">
        <v>9</v>
      </c>
      <c r="AG68" s="107"/>
      <c r="AH68" s="27">
        <f>SUM(AH64+AH67)</f>
        <v>0</v>
      </c>
      <c r="AI68" s="14">
        <f>SUM(AI64+AI67)</f>
        <v>0</v>
      </c>
      <c r="AJ68" s="75"/>
      <c r="AK68" s="13"/>
      <c r="AL68" s="106" t="s">
        <v>9</v>
      </c>
      <c r="AM68" s="107"/>
      <c r="AN68" s="27">
        <f>SUM(AN64+AN67)</f>
        <v>0</v>
      </c>
      <c r="AO68" s="14">
        <f>SUM(AO64+AO67)</f>
        <v>0</v>
      </c>
      <c r="AP68" s="75"/>
      <c r="AQ68" s="13"/>
      <c r="AR68" s="106" t="s">
        <v>9</v>
      </c>
      <c r="AS68" s="107"/>
      <c r="AT68" s="98">
        <f t="shared" ref="AT68:AU68" si="32">SUM(AT64+AT67)</f>
        <v>0</v>
      </c>
      <c r="AU68" s="99">
        <f t="shared" si="32"/>
        <v>0</v>
      </c>
      <c r="AV68" s="75"/>
      <c r="AW68" s="13"/>
      <c r="AX68" s="106" t="s">
        <v>9</v>
      </c>
      <c r="AY68" s="107"/>
      <c r="AZ68" s="27">
        <f>SUM(AZ64+AZ67)</f>
        <v>0</v>
      </c>
      <c r="BA68" s="14">
        <f>SUM(BA64+BA67)</f>
        <v>0</v>
      </c>
      <c r="BB68" s="75"/>
      <c r="BC68" s="13"/>
      <c r="BD68" s="106" t="s">
        <v>9</v>
      </c>
      <c r="BE68" s="107"/>
      <c r="BF68" s="27">
        <f>SUM(BF64+BF67)</f>
        <v>0</v>
      </c>
      <c r="BG68" s="14">
        <f>SUM(BG64+BG67)</f>
        <v>0</v>
      </c>
      <c r="BH68" s="75"/>
      <c r="BI68" s="13"/>
      <c r="BJ68" s="106" t="s">
        <v>9</v>
      </c>
      <c r="BK68" s="107"/>
      <c r="BL68" s="27">
        <f>SUM(BL64+BL67)</f>
        <v>0</v>
      </c>
      <c r="BM68" s="14">
        <f>SUM(BM64+BM67)</f>
        <v>0</v>
      </c>
      <c r="BN68" s="75"/>
      <c r="BO68" s="13"/>
      <c r="BP68" s="106" t="s">
        <v>9</v>
      </c>
      <c r="BQ68" s="107"/>
      <c r="BR68" s="27">
        <f>SUM(BR64+BR67)</f>
        <v>0</v>
      </c>
      <c r="BS68" s="14">
        <f>SUM(BS64+BS67)</f>
        <v>0</v>
      </c>
      <c r="BT68" s="75"/>
      <c r="BU68" s="13"/>
      <c r="BV68" s="106" t="s">
        <v>9</v>
      </c>
      <c r="BW68" s="108"/>
      <c r="BX68" s="14">
        <f>SUM(BX64+BX67)</f>
        <v>0</v>
      </c>
      <c r="BY68" s="20">
        <f>SUM(BY64+BY67)</f>
        <v>0</v>
      </c>
      <c r="BZ68" s="3"/>
    </row>
    <row r="69" spans="1:78" ht="20.100000000000001" customHeight="1" x14ac:dyDescent="0.2">
      <c r="A69" s="109">
        <v>0</v>
      </c>
      <c r="B69" s="112" t="s">
        <v>1</v>
      </c>
      <c r="C69" s="4" t="s">
        <v>4</v>
      </c>
      <c r="D69" s="24">
        <v>0</v>
      </c>
      <c r="E69" s="70">
        <v>0</v>
      </c>
      <c r="F69" s="75"/>
      <c r="G69" s="109">
        <v>0</v>
      </c>
      <c r="H69" s="112" t="s">
        <v>1</v>
      </c>
      <c r="I69" s="4" t="s">
        <v>4</v>
      </c>
      <c r="J69" s="24">
        <v>0</v>
      </c>
      <c r="K69" s="70">
        <v>0</v>
      </c>
      <c r="L69" s="75"/>
      <c r="M69" s="109">
        <v>0</v>
      </c>
      <c r="N69" s="112" t="s">
        <v>1</v>
      </c>
      <c r="O69" s="4" t="s">
        <v>4</v>
      </c>
      <c r="P69" s="24">
        <v>0</v>
      </c>
      <c r="Q69" s="70">
        <v>0</v>
      </c>
      <c r="R69" s="75"/>
      <c r="S69" s="109">
        <v>0</v>
      </c>
      <c r="T69" s="112" t="s">
        <v>1</v>
      </c>
      <c r="U69" s="4" t="s">
        <v>4</v>
      </c>
      <c r="V69" s="24">
        <v>0</v>
      </c>
      <c r="W69" s="70">
        <v>0</v>
      </c>
      <c r="X69" s="75"/>
      <c r="Y69" s="109">
        <v>0</v>
      </c>
      <c r="Z69" s="112" t="s">
        <v>1</v>
      </c>
      <c r="AA69" s="4" t="s">
        <v>4</v>
      </c>
      <c r="AB69" s="24">
        <v>0</v>
      </c>
      <c r="AC69" s="70">
        <v>0</v>
      </c>
      <c r="AD69" s="75"/>
      <c r="AE69" s="109">
        <v>0</v>
      </c>
      <c r="AF69" s="112" t="s">
        <v>1</v>
      </c>
      <c r="AG69" s="4" t="s">
        <v>4</v>
      </c>
      <c r="AH69" s="24">
        <v>0</v>
      </c>
      <c r="AI69" s="70">
        <v>0</v>
      </c>
      <c r="AJ69" s="75"/>
      <c r="AK69" s="109">
        <v>0</v>
      </c>
      <c r="AL69" s="112" t="s">
        <v>1</v>
      </c>
      <c r="AM69" s="4" t="s">
        <v>4</v>
      </c>
      <c r="AN69" s="24">
        <v>0</v>
      </c>
      <c r="AO69" s="70">
        <v>0</v>
      </c>
      <c r="AP69" s="75"/>
      <c r="AQ69" s="109">
        <v>0</v>
      </c>
      <c r="AR69" s="112" t="s">
        <v>1</v>
      </c>
      <c r="AS69" s="4" t="s">
        <v>4</v>
      </c>
      <c r="AT69" s="93">
        <v>0</v>
      </c>
      <c r="AU69" s="94">
        <v>0</v>
      </c>
      <c r="AV69" s="75"/>
      <c r="AW69" s="109">
        <v>0</v>
      </c>
      <c r="AX69" s="112" t="s">
        <v>1</v>
      </c>
      <c r="AY69" s="4" t="s">
        <v>4</v>
      </c>
      <c r="AZ69" s="24">
        <v>0</v>
      </c>
      <c r="BA69" s="70">
        <v>0</v>
      </c>
      <c r="BB69" s="75"/>
      <c r="BC69" s="109">
        <v>0</v>
      </c>
      <c r="BD69" s="112" t="s">
        <v>1</v>
      </c>
      <c r="BE69" s="4" t="s">
        <v>4</v>
      </c>
      <c r="BF69" s="24">
        <v>0</v>
      </c>
      <c r="BG69" s="70">
        <v>0</v>
      </c>
      <c r="BH69" s="75"/>
      <c r="BI69" s="109">
        <v>0</v>
      </c>
      <c r="BJ69" s="112" t="s">
        <v>1</v>
      </c>
      <c r="BK69" s="4" t="s">
        <v>4</v>
      </c>
      <c r="BL69" s="24">
        <v>0</v>
      </c>
      <c r="BM69" s="70">
        <v>0</v>
      </c>
      <c r="BN69" s="75"/>
      <c r="BO69" s="109">
        <v>0</v>
      </c>
      <c r="BP69" s="112" t="s">
        <v>1</v>
      </c>
      <c r="BQ69" s="4" t="s">
        <v>4</v>
      </c>
      <c r="BR69" s="24">
        <v>0</v>
      </c>
      <c r="BS69" s="70">
        <v>0</v>
      </c>
      <c r="BT69" s="75"/>
      <c r="BU69" s="109">
        <f>BO69</f>
        <v>0</v>
      </c>
      <c r="BV69" s="112" t="s">
        <v>1</v>
      </c>
      <c r="BW69" s="4" t="s">
        <v>4</v>
      </c>
      <c r="BX69" s="5">
        <f>SUM(D69+J69+P69+V69+AB69+AH69+AN69+AT69+AZ69+BF69+BL69+BR69)</f>
        <v>0</v>
      </c>
      <c r="BY69" s="6">
        <f>SUM(E69+K69+Q69+W69+AC69+AI69+AO69+AU69+BA69+BG69+BM69+BS69)</f>
        <v>0</v>
      </c>
      <c r="BZ69" s="3"/>
    </row>
    <row r="70" spans="1:78" ht="20.100000000000001" customHeight="1" thickBot="1" x14ac:dyDescent="0.25">
      <c r="A70" s="110"/>
      <c r="B70" s="113"/>
      <c r="C70" s="7" t="s">
        <v>5</v>
      </c>
      <c r="D70" s="25">
        <v>0</v>
      </c>
      <c r="E70" s="71">
        <v>0</v>
      </c>
      <c r="F70" s="75"/>
      <c r="G70" s="110"/>
      <c r="H70" s="113"/>
      <c r="I70" s="7" t="s">
        <v>5</v>
      </c>
      <c r="J70" s="25">
        <v>0</v>
      </c>
      <c r="K70" s="71">
        <v>0</v>
      </c>
      <c r="L70" s="75"/>
      <c r="M70" s="110"/>
      <c r="N70" s="113"/>
      <c r="O70" s="7" t="s">
        <v>5</v>
      </c>
      <c r="P70" s="25">
        <v>0</v>
      </c>
      <c r="Q70" s="71">
        <v>0</v>
      </c>
      <c r="R70" s="75"/>
      <c r="S70" s="110"/>
      <c r="T70" s="113"/>
      <c r="U70" s="7" t="s">
        <v>5</v>
      </c>
      <c r="V70" s="25">
        <v>0</v>
      </c>
      <c r="W70" s="71">
        <v>0</v>
      </c>
      <c r="X70" s="75"/>
      <c r="Y70" s="110"/>
      <c r="Z70" s="113"/>
      <c r="AA70" s="7" t="s">
        <v>5</v>
      </c>
      <c r="AB70" s="25">
        <v>0</v>
      </c>
      <c r="AC70" s="71">
        <v>0</v>
      </c>
      <c r="AD70" s="75"/>
      <c r="AE70" s="110"/>
      <c r="AF70" s="113"/>
      <c r="AG70" s="7" t="s">
        <v>5</v>
      </c>
      <c r="AH70" s="25">
        <v>0</v>
      </c>
      <c r="AI70" s="71">
        <v>0</v>
      </c>
      <c r="AJ70" s="75"/>
      <c r="AK70" s="110"/>
      <c r="AL70" s="113"/>
      <c r="AM70" s="7" t="s">
        <v>5</v>
      </c>
      <c r="AN70" s="25">
        <v>0</v>
      </c>
      <c r="AO70" s="71">
        <v>0</v>
      </c>
      <c r="AP70" s="75"/>
      <c r="AQ70" s="110"/>
      <c r="AR70" s="113"/>
      <c r="AS70" s="7" t="s">
        <v>5</v>
      </c>
      <c r="AT70" s="95">
        <v>0</v>
      </c>
      <c r="AU70" s="96">
        <v>0</v>
      </c>
      <c r="AV70" s="75"/>
      <c r="AW70" s="110"/>
      <c r="AX70" s="113"/>
      <c r="AY70" s="7" t="s">
        <v>5</v>
      </c>
      <c r="AZ70" s="25">
        <v>0</v>
      </c>
      <c r="BA70" s="71">
        <v>0</v>
      </c>
      <c r="BB70" s="75"/>
      <c r="BC70" s="110"/>
      <c r="BD70" s="113"/>
      <c r="BE70" s="7" t="s">
        <v>5</v>
      </c>
      <c r="BF70" s="25">
        <v>0</v>
      </c>
      <c r="BG70" s="71">
        <v>0</v>
      </c>
      <c r="BH70" s="75"/>
      <c r="BI70" s="110"/>
      <c r="BJ70" s="113"/>
      <c r="BK70" s="7" t="s">
        <v>5</v>
      </c>
      <c r="BL70" s="25">
        <v>0</v>
      </c>
      <c r="BM70" s="71">
        <v>0</v>
      </c>
      <c r="BN70" s="75"/>
      <c r="BO70" s="110"/>
      <c r="BP70" s="113"/>
      <c r="BQ70" s="7" t="s">
        <v>5</v>
      </c>
      <c r="BR70" s="25">
        <v>0</v>
      </c>
      <c r="BS70" s="71">
        <v>0</v>
      </c>
      <c r="BT70" s="75"/>
      <c r="BU70" s="110"/>
      <c r="BV70" s="113"/>
      <c r="BW70" s="7" t="s">
        <v>5</v>
      </c>
      <c r="BX70" s="8">
        <f>SUM(D70+J70+P70+V70+AB70+AH70+AN70+AT70+AZ70+BF70+BL70+BR70)</f>
        <v>0</v>
      </c>
      <c r="BY70" s="9">
        <f>SUM(E70+K70+Q70+W70+AC70+AI70+AO70+AU70+BA70+BG70+BM70+BS70)</f>
        <v>0</v>
      </c>
      <c r="BZ70" s="3"/>
    </row>
    <row r="71" spans="1:78" ht="20.100000000000001" customHeight="1" thickBot="1" x14ac:dyDescent="0.25">
      <c r="A71" s="110"/>
      <c r="B71" s="114" t="s">
        <v>6</v>
      </c>
      <c r="C71" s="118"/>
      <c r="D71" s="26">
        <f>SUM(D69:D70)</f>
        <v>0</v>
      </c>
      <c r="E71" s="10">
        <f>SUM(E69:E70)</f>
        <v>0</v>
      </c>
      <c r="F71" s="75"/>
      <c r="G71" s="110"/>
      <c r="H71" s="114" t="s">
        <v>6</v>
      </c>
      <c r="I71" s="118"/>
      <c r="J71" s="26">
        <f>SUM(J69:J70)</f>
        <v>0</v>
      </c>
      <c r="K71" s="10">
        <f>SUM(K69:K70)</f>
        <v>0</v>
      </c>
      <c r="L71" s="75"/>
      <c r="M71" s="110"/>
      <c r="N71" s="114" t="s">
        <v>6</v>
      </c>
      <c r="O71" s="118"/>
      <c r="P71" s="26">
        <f>SUM(P69:P70)</f>
        <v>0</v>
      </c>
      <c r="Q71" s="10">
        <f>SUM(Q69:Q70)</f>
        <v>0</v>
      </c>
      <c r="R71" s="75"/>
      <c r="S71" s="110"/>
      <c r="T71" s="114" t="s">
        <v>6</v>
      </c>
      <c r="U71" s="118"/>
      <c r="V71" s="26">
        <f>SUM(V69:V70)</f>
        <v>0</v>
      </c>
      <c r="W71" s="10">
        <f>SUM(W69:W70)</f>
        <v>0</v>
      </c>
      <c r="X71" s="75"/>
      <c r="Y71" s="110"/>
      <c r="Z71" s="114" t="s">
        <v>6</v>
      </c>
      <c r="AA71" s="118"/>
      <c r="AB71" s="26">
        <f>SUM(AB69:AB70)</f>
        <v>0</v>
      </c>
      <c r="AC71" s="10">
        <f>SUM(AC69:AC70)</f>
        <v>0</v>
      </c>
      <c r="AD71" s="75"/>
      <c r="AE71" s="110"/>
      <c r="AF71" s="114" t="s">
        <v>6</v>
      </c>
      <c r="AG71" s="118"/>
      <c r="AH71" s="26">
        <f>SUM(AH69:AH70)</f>
        <v>0</v>
      </c>
      <c r="AI71" s="10">
        <f>SUM(AI69:AI70)</f>
        <v>0</v>
      </c>
      <c r="AJ71" s="75"/>
      <c r="AK71" s="110"/>
      <c r="AL71" s="114" t="s">
        <v>6</v>
      </c>
      <c r="AM71" s="118"/>
      <c r="AN71" s="26">
        <f>SUM(AN69:AN70)</f>
        <v>0</v>
      </c>
      <c r="AO71" s="10">
        <f>SUM(AO69:AO70)</f>
        <v>0</v>
      </c>
      <c r="AP71" s="75"/>
      <c r="AQ71" s="110"/>
      <c r="AR71" s="114" t="s">
        <v>6</v>
      </c>
      <c r="AS71" s="118"/>
      <c r="AT71" s="97">
        <f t="shared" ref="AT71:AU71" si="33">SUM(AT69:AT70)</f>
        <v>0</v>
      </c>
      <c r="AU71" s="97">
        <f t="shared" si="33"/>
        <v>0</v>
      </c>
      <c r="AV71" s="75"/>
      <c r="AW71" s="110"/>
      <c r="AX71" s="114" t="s">
        <v>6</v>
      </c>
      <c r="AY71" s="118"/>
      <c r="AZ71" s="26">
        <f>SUM(AZ69:AZ70)</f>
        <v>0</v>
      </c>
      <c r="BA71" s="10">
        <f>SUM(BA69:BA70)</f>
        <v>0</v>
      </c>
      <c r="BB71" s="75"/>
      <c r="BC71" s="110"/>
      <c r="BD71" s="114" t="s">
        <v>6</v>
      </c>
      <c r="BE71" s="118"/>
      <c r="BF71" s="26">
        <f>SUM(BF69:BF70)</f>
        <v>0</v>
      </c>
      <c r="BG71" s="10">
        <f>SUM(BG69:BG70)</f>
        <v>0</v>
      </c>
      <c r="BH71" s="75"/>
      <c r="BI71" s="110"/>
      <c r="BJ71" s="114" t="s">
        <v>6</v>
      </c>
      <c r="BK71" s="118"/>
      <c r="BL71" s="26">
        <f>SUM(BL69:BL70)</f>
        <v>0</v>
      </c>
      <c r="BM71" s="10">
        <f>SUM(BM69:BM70)</f>
        <v>0</v>
      </c>
      <c r="BN71" s="75"/>
      <c r="BO71" s="110"/>
      <c r="BP71" s="114" t="s">
        <v>6</v>
      </c>
      <c r="BQ71" s="118"/>
      <c r="BR71" s="26">
        <f>SUM(BR69:BR70)</f>
        <v>0</v>
      </c>
      <c r="BS71" s="10">
        <f>SUM(BS69:BS70)</f>
        <v>0</v>
      </c>
      <c r="BT71" s="75"/>
      <c r="BU71" s="110"/>
      <c r="BV71" s="114" t="s">
        <v>6</v>
      </c>
      <c r="BW71" s="115"/>
      <c r="BX71" s="12">
        <f>SUM(BX69:BX70)</f>
        <v>0</v>
      </c>
      <c r="BY71" s="17">
        <f>SUM(BY69:BY70)</f>
        <v>0</v>
      </c>
      <c r="BZ71" s="3"/>
    </row>
    <row r="72" spans="1:78" ht="20.100000000000001" customHeight="1" x14ac:dyDescent="0.2">
      <c r="A72" s="110"/>
      <c r="B72" s="119" t="s">
        <v>7</v>
      </c>
      <c r="C72" s="4" t="s">
        <v>4</v>
      </c>
      <c r="D72" s="24">
        <v>0</v>
      </c>
      <c r="E72" s="70">
        <v>0</v>
      </c>
      <c r="F72" s="75"/>
      <c r="G72" s="110"/>
      <c r="H72" s="119" t="s">
        <v>7</v>
      </c>
      <c r="I72" s="4" t="s">
        <v>4</v>
      </c>
      <c r="J72" s="24">
        <v>0</v>
      </c>
      <c r="K72" s="70">
        <v>0</v>
      </c>
      <c r="L72" s="75"/>
      <c r="M72" s="110"/>
      <c r="N72" s="119" t="s">
        <v>7</v>
      </c>
      <c r="O72" s="4" t="s">
        <v>4</v>
      </c>
      <c r="P72" s="24">
        <v>0</v>
      </c>
      <c r="Q72" s="70">
        <v>0</v>
      </c>
      <c r="R72" s="75"/>
      <c r="S72" s="110"/>
      <c r="T72" s="119" t="s">
        <v>7</v>
      </c>
      <c r="U72" s="4" t="s">
        <v>4</v>
      </c>
      <c r="V72" s="24">
        <v>0</v>
      </c>
      <c r="W72" s="70">
        <v>0</v>
      </c>
      <c r="X72" s="75"/>
      <c r="Y72" s="110"/>
      <c r="Z72" s="119" t="s">
        <v>7</v>
      </c>
      <c r="AA72" s="4" t="s">
        <v>4</v>
      </c>
      <c r="AB72" s="24">
        <v>0</v>
      </c>
      <c r="AC72" s="70">
        <v>0</v>
      </c>
      <c r="AD72" s="75"/>
      <c r="AE72" s="110"/>
      <c r="AF72" s="119" t="s">
        <v>7</v>
      </c>
      <c r="AG72" s="4" t="s">
        <v>4</v>
      </c>
      <c r="AH72" s="24">
        <v>0</v>
      </c>
      <c r="AI72" s="70">
        <v>0</v>
      </c>
      <c r="AJ72" s="75"/>
      <c r="AK72" s="110"/>
      <c r="AL72" s="119" t="s">
        <v>7</v>
      </c>
      <c r="AM72" s="4" t="s">
        <v>4</v>
      </c>
      <c r="AN72" s="24">
        <v>0</v>
      </c>
      <c r="AO72" s="70">
        <v>0</v>
      </c>
      <c r="AP72" s="75"/>
      <c r="AQ72" s="110"/>
      <c r="AR72" s="119" t="s">
        <v>7</v>
      </c>
      <c r="AS72" s="4" t="s">
        <v>4</v>
      </c>
      <c r="AT72" s="93">
        <v>0</v>
      </c>
      <c r="AU72" s="94">
        <v>0</v>
      </c>
      <c r="AV72" s="75"/>
      <c r="AW72" s="110"/>
      <c r="AX72" s="119" t="s">
        <v>7</v>
      </c>
      <c r="AY72" s="4" t="s">
        <v>4</v>
      </c>
      <c r="AZ72" s="24">
        <v>0</v>
      </c>
      <c r="BA72" s="70">
        <v>0</v>
      </c>
      <c r="BB72" s="75"/>
      <c r="BC72" s="110"/>
      <c r="BD72" s="119" t="s">
        <v>7</v>
      </c>
      <c r="BE72" s="4" t="s">
        <v>4</v>
      </c>
      <c r="BF72" s="24">
        <v>0</v>
      </c>
      <c r="BG72" s="70">
        <v>0</v>
      </c>
      <c r="BH72" s="75"/>
      <c r="BI72" s="110"/>
      <c r="BJ72" s="119" t="s">
        <v>7</v>
      </c>
      <c r="BK72" s="4" t="s">
        <v>4</v>
      </c>
      <c r="BL72" s="24">
        <v>0</v>
      </c>
      <c r="BM72" s="70">
        <v>0</v>
      </c>
      <c r="BN72" s="75"/>
      <c r="BO72" s="110"/>
      <c r="BP72" s="119" t="s">
        <v>7</v>
      </c>
      <c r="BQ72" s="4" t="s">
        <v>4</v>
      </c>
      <c r="BR72" s="24">
        <v>0</v>
      </c>
      <c r="BS72" s="70">
        <v>0</v>
      </c>
      <c r="BT72" s="75"/>
      <c r="BU72" s="110"/>
      <c r="BV72" s="121" t="s">
        <v>7</v>
      </c>
      <c r="BW72" s="4" t="s">
        <v>4</v>
      </c>
      <c r="BX72" s="5">
        <f>SUM(D72+J72+P72+V72+AB72+AH72+AN72+AT72+AZ72+BF72+BL72+BR72)</f>
        <v>0</v>
      </c>
      <c r="BY72" s="6">
        <f>SUM(E72+K72+Q72+W72+AC72+AI72+AO72+AU72+BA72+BG72+BM72+BS72)</f>
        <v>0</v>
      </c>
      <c r="BZ72" s="3"/>
    </row>
    <row r="73" spans="1:78" ht="20.100000000000001" customHeight="1" thickBot="1" x14ac:dyDescent="0.25">
      <c r="A73" s="110"/>
      <c r="B73" s="120"/>
      <c r="C73" s="7" t="s">
        <v>5</v>
      </c>
      <c r="D73" s="25">
        <v>0</v>
      </c>
      <c r="E73" s="71">
        <v>0</v>
      </c>
      <c r="F73" s="75"/>
      <c r="G73" s="110"/>
      <c r="H73" s="120"/>
      <c r="I73" s="7" t="s">
        <v>5</v>
      </c>
      <c r="J73" s="25">
        <v>0</v>
      </c>
      <c r="K73" s="71">
        <v>0</v>
      </c>
      <c r="L73" s="75"/>
      <c r="M73" s="110"/>
      <c r="N73" s="120"/>
      <c r="O73" s="7" t="s">
        <v>5</v>
      </c>
      <c r="P73" s="25">
        <v>0</v>
      </c>
      <c r="Q73" s="71">
        <v>0</v>
      </c>
      <c r="R73" s="75"/>
      <c r="S73" s="110"/>
      <c r="T73" s="120"/>
      <c r="U73" s="7" t="s">
        <v>5</v>
      </c>
      <c r="V73" s="25">
        <v>0</v>
      </c>
      <c r="W73" s="71">
        <v>0</v>
      </c>
      <c r="X73" s="75"/>
      <c r="Y73" s="110"/>
      <c r="Z73" s="120"/>
      <c r="AA73" s="7" t="s">
        <v>5</v>
      </c>
      <c r="AB73" s="25">
        <v>0</v>
      </c>
      <c r="AC73" s="71">
        <v>0</v>
      </c>
      <c r="AD73" s="75"/>
      <c r="AE73" s="110"/>
      <c r="AF73" s="120"/>
      <c r="AG73" s="7" t="s">
        <v>5</v>
      </c>
      <c r="AH73" s="25">
        <v>0</v>
      </c>
      <c r="AI73" s="71">
        <v>0</v>
      </c>
      <c r="AJ73" s="75"/>
      <c r="AK73" s="110"/>
      <c r="AL73" s="120"/>
      <c r="AM73" s="7" t="s">
        <v>5</v>
      </c>
      <c r="AN73" s="25">
        <v>0</v>
      </c>
      <c r="AO73" s="71">
        <v>0</v>
      </c>
      <c r="AP73" s="75"/>
      <c r="AQ73" s="110"/>
      <c r="AR73" s="120"/>
      <c r="AS73" s="7" t="s">
        <v>5</v>
      </c>
      <c r="AT73" s="95">
        <v>0</v>
      </c>
      <c r="AU73" s="96">
        <v>0</v>
      </c>
      <c r="AV73" s="75"/>
      <c r="AW73" s="110"/>
      <c r="AX73" s="120"/>
      <c r="AY73" s="7" t="s">
        <v>5</v>
      </c>
      <c r="AZ73" s="25">
        <v>0</v>
      </c>
      <c r="BA73" s="71">
        <v>0</v>
      </c>
      <c r="BB73" s="75"/>
      <c r="BC73" s="110"/>
      <c r="BD73" s="120"/>
      <c r="BE73" s="7" t="s">
        <v>5</v>
      </c>
      <c r="BF73" s="25">
        <v>0</v>
      </c>
      <c r="BG73" s="71">
        <v>0</v>
      </c>
      <c r="BH73" s="75"/>
      <c r="BI73" s="110"/>
      <c r="BJ73" s="120"/>
      <c r="BK73" s="7" t="s">
        <v>5</v>
      </c>
      <c r="BL73" s="25">
        <v>0</v>
      </c>
      <c r="BM73" s="71">
        <v>0</v>
      </c>
      <c r="BN73" s="75"/>
      <c r="BO73" s="110"/>
      <c r="BP73" s="120"/>
      <c r="BQ73" s="7" t="s">
        <v>5</v>
      </c>
      <c r="BR73" s="25">
        <v>0</v>
      </c>
      <c r="BS73" s="71">
        <v>0</v>
      </c>
      <c r="BT73" s="75"/>
      <c r="BU73" s="110"/>
      <c r="BV73" s="122"/>
      <c r="BW73" s="7" t="s">
        <v>5</v>
      </c>
      <c r="BX73" s="8">
        <f>SUM(D73+J73+P73+V73+AB73+AH73+AN73+AT73+AZ73+BF73+BL73+BR73)</f>
        <v>0</v>
      </c>
      <c r="BY73" s="9">
        <f>SUM(E73+K73+Q73+W73+AC73+AI73+AO73+AU73+BA73+BG73+BM73+BS73)</f>
        <v>0</v>
      </c>
      <c r="BZ73" s="3"/>
    </row>
    <row r="74" spans="1:78" ht="20.100000000000001" customHeight="1" thickBot="1" x14ac:dyDescent="0.25">
      <c r="A74" s="111"/>
      <c r="B74" s="116" t="s">
        <v>8</v>
      </c>
      <c r="C74" s="117"/>
      <c r="D74" s="26">
        <f>SUM(D72:D73)</f>
        <v>0</v>
      </c>
      <c r="E74" s="10">
        <f>SUM(E72:E73)</f>
        <v>0</v>
      </c>
      <c r="F74" s="75"/>
      <c r="G74" s="111"/>
      <c r="H74" s="116" t="s">
        <v>8</v>
      </c>
      <c r="I74" s="117"/>
      <c r="J74" s="26">
        <f>SUM(J72:J73)</f>
        <v>0</v>
      </c>
      <c r="K74" s="10">
        <f>SUM(K72:K73)</f>
        <v>0</v>
      </c>
      <c r="L74" s="75"/>
      <c r="M74" s="111"/>
      <c r="N74" s="116" t="s">
        <v>8</v>
      </c>
      <c r="O74" s="117"/>
      <c r="P74" s="26">
        <f>SUM(P72:P73)</f>
        <v>0</v>
      </c>
      <c r="Q74" s="10">
        <f>SUM(Q72:Q73)</f>
        <v>0</v>
      </c>
      <c r="R74" s="75"/>
      <c r="S74" s="111"/>
      <c r="T74" s="116" t="s">
        <v>8</v>
      </c>
      <c r="U74" s="117"/>
      <c r="V74" s="26">
        <f>SUM(V72:V73)</f>
        <v>0</v>
      </c>
      <c r="W74" s="10">
        <f>SUM(W72:W73)</f>
        <v>0</v>
      </c>
      <c r="X74" s="75"/>
      <c r="Y74" s="111"/>
      <c r="Z74" s="116" t="s">
        <v>8</v>
      </c>
      <c r="AA74" s="117"/>
      <c r="AB74" s="26">
        <f>SUM(AB72:AB73)</f>
        <v>0</v>
      </c>
      <c r="AC74" s="10">
        <f>SUM(AC72:AC73)</f>
        <v>0</v>
      </c>
      <c r="AD74" s="75"/>
      <c r="AE74" s="111"/>
      <c r="AF74" s="116" t="s">
        <v>8</v>
      </c>
      <c r="AG74" s="117"/>
      <c r="AH74" s="26">
        <f>SUM(AH72:AH73)</f>
        <v>0</v>
      </c>
      <c r="AI74" s="10">
        <f>SUM(AI72:AI73)</f>
        <v>0</v>
      </c>
      <c r="AJ74" s="75"/>
      <c r="AK74" s="111"/>
      <c r="AL74" s="116" t="s">
        <v>8</v>
      </c>
      <c r="AM74" s="117"/>
      <c r="AN74" s="26">
        <f>SUM(AN72:AN73)</f>
        <v>0</v>
      </c>
      <c r="AO74" s="10">
        <f>SUM(AO72:AO73)</f>
        <v>0</v>
      </c>
      <c r="AP74" s="75"/>
      <c r="AQ74" s="111"/>
      <c r="AR74" s="116" t="s">
        <v>8</v>
      </c>
      <c r="AS74" s="117"/>
      <c r="AT74" s="97">
        <f t="shared" ref="AT74:AU74" si="34">SUM(AT72:AT73)</f>
        <v>0</v>
      </c>
      <c r="AU74" s="97">
        <f t="shared" si="34"/>
        <v>0</v>
      </c>
      <c r="AV74" s="75"/>
      <c r="AW74" s="111"/>
      <c r="AX74" s="116" t="s">
        <v>8</v>
      </c>
      <c r="AY74" s="117"/>
      <c r="AZ74" s="26">
        <f>SUM(AZ72:AZ73)</f>
        <v>0</v>
      </c>
      <c r="BA74" s="10">
        <f>SUM(BA72:BA73)</f>
        <v>0</v>
      </c>
      <c r="BB74" s="75"/>
      <c r="BC74" s="111"/>
      <c r="BD74" s="116" t="s">
        <v>8</v>
      </c>
      <c r="BE74" s="117"/>
      <c r="BF74" s="26">
        <f>SUM(BF72:BF73)</f>
        <v>0</v>
      </c>
      <c r="BG74" s="10">
        <f>SUM(BG72:BG73)</f>
        <v>0</v>
      </c>
      <c r="BH74" s="75"/>
      <c r="BI74" s="111"/>
      <c r="BJ74" s="116" t="s">
        <v>8</v>
      </c>
      <c r="BK74" s="117"/>
      <c r="BL74" s="26">
        <f>SUM(BL72:BL73)</f>
        <v>0</v>
      </c>
      <c r="BM74" s="10">
        <f>SUM(BM72:BM73)</f>
        <v>0</v>
      </c>
      <c r="BN74" s="75"/>
      <c r="BO74" s="111"/>
      <c r="BP74" s="116" t="s">
        <v>8</v>
      </c>
      <c r="BQ74" s="117"/>
      <c r="BR74" s="26">
        <f>SUM(BR72:BR73)</f>
        <v>0</v>
      </c>
      <c r="BS74" s="10">
        <f>SUM(BS72:BS73)</f>
        <v>0</v>
      </c>
      <c r="BT74" s="75"/>
      <c r="BU74" s="111"/>
      <c r="BV74" s="114" t="s">
        <v>8</v>
      </c>
      <c r="BW74" s="115"/>
      <c r="BX74" s="10">
        <f>SUM(BX72:BX73)</f>
        <v>0</v>
      </c>
      <c r="BY74" s="11">
        <f>SUM(BY72:BY73)</f>
        <v>0</v>
      </c>
      <c r="BZ74" s="3"/>
    </row>
    <row r="75" spans="1:78" ht="20.100000000000001" customHeight="1" thickBot="1" x14ac:dyDescent="0.25">
      <c r="A75" s="13"/>
      <c r="B75" s="106" t="s">
        <v>9</v>
      </c>
      <c r="C75" s="107"/>
      <c r="D75" s="27">
        <f>SUM(D71+D74)</f>
        <v>0</v>
      </c>
      <c r="E75" s="14">
        <f>SUM(E71+E74)</f>
        <v>0</v>
      </c>
      <c r="F75" s="75"/>
      <c r="G75" s="13"/>
      <c r="H75" s="106" t="s">
        <v>9</v>
      </c>
      <c r="I75" s="107"/>
      <c r="J75" s="27">
        <f>SUM(J71+J74)</f>
        <v>0</v>
      </c>
      <c r="K75" s="14">
        <f>SUM(K71+K74)</f>
        <v>0</v>
      </c>
      <c r="L75" s="75"/>
      <c r="M75" s="13"/>
      <c r="N75" s="106" t="s">
        <v>9</v>
      </c>
      <c r="O75" s="107"/>
      <c r="P75" s="27">
        <f>SUM(P71+P74)</f>
        <v>0</v>
      </c>
      <c r="Q75" s="14">
        <f>SUM(Q71+Q74)</f>
        <v>0</v>
      </c>
      <c r="R75" s="75"/>
      <c r="S75" s="13"/>
      <c r="T75" s="106" t="s">
        <v>9</v>
      </c>
      <c r="U75" s="107"/>
      <c r="V75" s="27">
        <f>SUM(V71+V74)</f>
        <v>0</v>
      </c>
      <c r="W75" s="14">
        <f>SUM(W71+W74)</f>
        <v>0</v>
      </c>
      <c r="X75" s="75"/>
      <c r="Y75" s="13"/>
      <c r="Z75" s="106" t="s">
        <v>9</v>
      </c>
      <c r="AA75" s="107"/>
      <c r="AB75" s="27">
        <f>SUM(AB71+AB74)</f>
        <v>0</v>
      </c>
      <c r="AC75" s="14">
        <f>SUM(AC71+AC74)</f>
        <v>0</v>
      </c>
      <c r="AD75" s="75"/>
      <c r="AE75" s="13"/>
      <c r="AF75" s="106" t="s">
        <v>9</v>
      </c>
      <c r="AG75" s="107"/>
      <c r="AH75" s="27">
        <f>SUM(AH71+AH74)</f>
        <v>0</v>
      </c>
      <c r="AI75" s="14">
        <f>SUM(AI71+AI74)</f>
        <v>0</v>
      </c>
      <c r="AJ75" s="75"/>
      <c r="AK75" s="13"/>
      <c r="AL75" s="106" t="s">
        <v>9</v>
      </c>
      <c r="AM75" s="107"/>
      <c r="AN75" s="27">
        <f>SUM(AN71+AN74)</f>
        <v>0</v>
      </c>
      <c r="AO75" s="14">
        <f>SUM(AO71+AO74)</f>
        <v>0</v>
      </c>
      <c r="AP75" s="75"/>
      <c r="AQ75" s="13"/>
      <c r="AR75" s="106" t="s">
        <v>9</v>
      </c>
      <c r="AS75" s="107"/>
      <c r="AT75" s="98">
        <f t="shared" ref="AT75:AU75" si="35">SUM(AT71+AT74)</f>
        <v>0</v>
      </c>
      <c r="AU75" s="99">
        <f t="shared" si="35"/>
        <v>0</v>
      </c>
      <c r="AV75" s="75"/>
      <c r="AW75" s="13"/>
      <c r="AX75" s="106" t="s">
        <v>9</v>
      </c>
      <c r="AY75" s="107"/>
      <c r="AZ75" s="27">
        <f>SUM(AZ71+AZ74)</f>
        <v>0</v>
      </c>
      <c r="BA75" s="14">
        <f>SUM(BA71+BA74)</f>
        <v>0</v>
      </c>
      <c r="BB75" s="75"/>
      <c r="BC75" s="13"/>
      <c r="BD75" s="106" t="s">
        <v>9</v>
      </c>
      <c r="BE75" s="107"/>
      <c r="BF75" s="27">
        <f>SUM(BF71+BF74)</f>
        <v>0</v>
      </c>
      <c r="BG75" s="14">
        <f>SUM(BG71+BG74)</f>
        <v>0</v>
      </c>
      <c r="BH75" s="75"/>
      <c r="BI75" s="13"/>
      <c r="BJ75" s="106" t="s">
        <v>9</v>
      </c>
      <c r="BK75" s="107"/>
      <c r="BL75" s="27">
        <f>SUM(BL71+BL74)</f>
        <v>0</v>
      </c>
      <c r="BM75" s="14">
        <f>SUM(BM71+BM74)</f>
        <v>0</v>
      </c>
      <c r="BN75" s="75"/>
      <c r="BO75" s="13"/>
      <c r="BP75" s="106" t="s">
        <v>9</v>
      </c>
      <c r="BQ75" s="107"/>
      <c r="BR75" s="27">
        <f>SUM(BR71+BR74)</f>
        <v>0</v>
      </c>
      <c r="BS75" s="14">
        <f>SUM(BS71+BS74)</f>
        <v>0</v>
      </c>
      <c r="BT75" s="75"/>
      <c r="BU75" s="13"/>
      <c r="BV75" s="106" t="s">
        <v>9</v>
      </c>
      <c r="BW75" s="108"/>
      <c r="BX75" s="14">
        <f>SUM(BX71+BX74)</f>
        <v>0</v>
      </c>
      <c r="BY75" s="20">
        <f>SUM(BY71+BY74)</f>
        <v>0</v>
      </c>
      <c r="BZ75" s="3"/>
    </row>
    <row r="76" spans="1:78" ht="20.100000000000001" customHeight="1" x14ac:dyDescent="0.2">
      <c r="A76" s="109">
        <v>0</v>
      </c>
      <c r="B76" s="112" t="s">
        <v>1</v>
      </c>
      <c r="C76" s="4" t="s">
        <v>4</v>
      </c>
      <c r="D76" s="24">
        <v>0</v>
      </c>
      <c r="E76" s="70">
        <v>0</v>
      </c>
      <c r="F76" s="75"/>
      <c r="G76" s="109">
        <v>0</v>
      </c>
      <c r="H76" s="112" t="s">
        <v>1</v>
      </c>
      <c r="I76" s="4" t="s">
        <v>4</v>
      </c>
      <c r="J76" s="24">
        <v>0</v>
      </c>
      <c r="K76" s="70">
        <v>0</v>
      </c>
      <c r="L76" s="75"/>
      <c r="M76" s="109">
        <v>0</v>
      </c>
      <c r="N76" s="112" t="s">
        <v>1</v>
      </c>
      <c r="O76" s="4" t="s">
        <v>4</v>
      </c>
      <c r="P76" s="24">
        <v>0</v>
      </c>
      <c r="Q76" s="70">
        <v>0</v>
      </c>
      <c r="R76" s="75"/>
      <c r="S76" s="109">
        <v>0</v>
      </c>
      <c r="T76" s="112" t="s">
        <v>1</v>
      </c>
      <c r="U76" s="4" t="s">
        <v>4</v>
      </c>
      <c r="V76" s="24">
        <v>0</v>
      </c>
      <c r="W76" s="70">
        <v>0</v>
      </c>
      <c r="X76" s="75"/>
      <c r="Y76" s="109">
        <v>0</v>
      </c>
      <c r="Z76" s="112" t="s">
        <v>1</v>
      </c>
      <c r="AA76" s="4" t="s">
        <v>4</v>
      </c>
      <c r="AB76" s="24">
        <v>0</v>
      </c>
      <c r="AC76" s="70">
        <v>0</v>
      </c>
      <c r="AD76" s="75"/>
      <c r="AE76" s="109">
        <v>0</v>
      </c>
      <c r="AF76" s="112" t="s">
        <v>1</v>
      </c>
      <c r="AG76" s="4" t="s">
        <v>4</v>
      </c>
      <c r="AH76" s="24">
        <v>0</v>
      </c>
      <c r="AI76" s="70">
        <v>0</v>
      </c>
      <c r="AJ76" s="75"/>
      <c r="AK76" s="109">
        <v>0</v>
      </c>
      <c r="AL76" s="112" t="s">
        <v>1</v>
      </c>
      <c r="AM76" s="4" t="s">
        <v>4</v>
      </c>
      <c r="AN76" s="24">
        <v>0</v>
      </c>
      <c r="AO76" s="70">
        <v>0</v>
      </c>
      <c r="AP76" s="75"/>
      <c r="AQ76" s="109">
        <v>0</v>
      </c>
      <c r="AR76" s="112" t="s">
        <v>1</v>
      </c>
      <c r="AS76" s="4" t="s">
        <v>4</v>
      </c>
      <c r="AT76" s="93">
        <v>0</v>
      </c>
      <c r="AU76" s="94">
        <v>0</v>
      </c>
      <c r="AV76" s="75"/>
      <c r="AW76" s="109">
        <v>0</v>
      </c>
      <c r="AX76" s="112" t="s">
        <v>1</v>
      </c>
      <c r="AY76" s="4" t="s">
        <v>4</v>
      </c>
      <c r="AZ76" s="24">
        <v>0</v>
      </c>
      <c r="BA76" s="70">
        <v>0</v>
      </c>
      <c r="BB76" s="75"/>
      <c r="BC76" s="109">
        <v>0</v>
      </c>
      <c r="BD76" s="112" t="s">
        <v>1</v>
      </c>
      <c r="BE76" s="4" t="s">
        <v>4</v>
      </c>
      <c r="BF76" s="24">
        <v>0</v>
      </c>
      <c r="BG76" s="70">
        <v>0</v>
      </c>
      <c r="BH76" s="75"/>
      <c r="BI76" s="109">
        <v>0</v>
      </c>
      <c r="BJ76" s="112" t="s">
        <v>1</v>
      </c>
      <c r="BK76" s="4" t="s">
        <v>4</v>
      </c>
      <c r="BL76" s="24">
        <v>0</v>
      </c>
      <c r="BM76" s="70">
        <v>0</v>
      </c>
      <c r="BN76" s="75"/>
      <c r="BO76" s="109">
        <v>0</v>
      </c>
      <c r="BP76" s="112" t="s">
        <v>1</v>
      </c>
      <c r="BQ76" s="4" t="s">
        <v>4</v>
      </c>
      <c r="BR76" s="24">
        <v>0</v>
      </c>
      <c r="BS76" s="70">
        <v>0</v>
      </c>
      <c r="BT76" s="75"/>
      <c r="BU76" s="109">
        <f>BO76</f>
        <v>0</v>
      </c>
      <c r="BV76" s="112" t="s">
        <v>1</v>
      </c>
      <c r="BW76" s="4" t="s">
        <v>4</v>
      </c>
      <c r="BX76" s="5">
        <f>SUM(D76+J76+P76+V76+AB76+AH76+AN76+AT76+AZ76+BF76+BL76+BR76)</f>
        <v>0</v>
      </c>
      <c r="BY76" s="6">
        <f>SUM(E76+K76+Q76+W76+AC76+AI76+AO76+AU76+BA76+BG76+BM76+BS76)</f>
        <v>0</v>
      </c>
      <c r="BZ76" s="3"/>
    </row>
    <row r="77" spans="1:78" ht="20.100000000000001" customHeight="1" thickBot="1" x14ac:dyDescent="0.25">
      <c r="A77" s="110"/>
      <c r="B77" s="113"/>
      <c r="C77" s="7" t="s">
        <v>5</v>
      </c>
      <c r="D77" s="25">
        <v>0</v>
      </c>
      <c r="E77" s="71">
        <v>0</v>
      </c>
      <c r="F77" s="75"/>
      <c r="G77" s="110"/>
      <c r="H77" s="113"/>
      <c r="I77" s="7" t="s">
        <v>5</v>
      </c>
      <c r="J77" s="25">
        <v>0</v>
      </c>
      <c r="K77" s="71">
        <v>0</v>
      </c>
      <c r="L77" s="75"/>
      <c r="M77" s="110"/>
      <c r="N77" s="113"/>
      <c r="O77" s="7" t="s">
        <v>5</v>
      </c>
      <c r="P77" s="25">
        <v>0</v>
      </c>
      <c r="Q77" s="71">
        <v>0</v>
      </c>
      <c r="R77" s="75"/>
      <c r="S77" s="110"/>
      <c r="T77" s="113"/>
      <c r="U77" s="7" t="s">
        <v>5</v>
      </c>
      <c r="V77" s="25">
        <v>0</v>
      </c>
      <c r="W77" s="71">
        <v>0</v>
      </c>
      <c r="X77" s="75"/>
      <c r="Y77" s="110"/>
      <c r="Z77" s="113"/>
      <c r="AA77" s="7" t="s">
        <v>5</v>
      </c>
      <c r="AB77" s="25">
        <v>0</v>
      </c>
      <c r="AC77" s="71">
        <v>0</v>
      </c>
      <c r="AD77" s="75"/>
      <c r="AE77" s="110"/>
      <c r="AF77" s="113"/>
      <c r="AG77" s="7" t="s">
        <v>5</v>
      </c>
      <c r="AH77" s="25">
        <v>0</v>
      </c>
      <c r="AI77" s="71">
        <v>0</v>
      </c>
      <c r="AJ77" s="75"/>
      <c r="AK77" s="110"/>
      <c r="AL77" s="113"/>
      <c r="AM77" s="7" t="s">
        <v>5</v>
      </c>
      <c r="AN77" s="25">
        <v>0</v>
      </c>
      <c r="AO77" s="71">
        <v>0</v>
      </c>
      <c r="AP77" s="75"/>
      <c r="AQ77" s="110"/>
      <c r="AR77" s="113"/>
      <c r="AS77" s="7" t="s">
        <v>5</v>
      </c>
      <c r="AT77" s="95">
        <v>0</v>
      </c>
      <c r="AU77" s="96">
        <v>0</v>
      </c>
      <c r="AV77" s="75"/>
      <c r="AW77" s="110"/>
      <c r="AX77" s="113"/>
      <c r="AY77" s="7" t="s">
        <v>5</v>
      </c>
      <c r="AZ77" s="25">
        <v>0</v>
      </c>
      <c r="BA77" s="71">
        <v>0</v>
      </c>
      <c r="BB77" s="75"/>
      <c r="BC77" s="110"/>
      <c r="BD77" s="113"/>
      <c r="BE77" s="7" t="s">
        <v>5</v>
      </c>
      <c r="BF77" s="25">
        <v>0</v>
      </c>
      <c r="BG77" s="71">
        <v>0</v>
      </c>
      <c r="BH77" s="75"/>
      <c r="BI77" s="110"/>
      <c r="BJ77" s="113"/>
      <c r="BK77" s="7" t="s">
        <v>5</v>
      </c>
      <c r="BL77" s="25">
        <v>0</v>
      </c>
      <c r="BM77" s="71">
        <v>0</v>
      </c>
      <c r="BN77" s="75"/>
      <c r="BO77" s="110"/>
      <c r="BP77" s="113"/>
      <c r="BQ77" s="7" t="s">
        <v>5</v>
      </c>
      <c r="BR77" s="25">
        <v>0</v>
      </c>
      <c r="BS77" s="71">
        <v>0</v>
      </c>
      <c r="BT77" s="75"/>
      <c r="BU77" s="110"/>
      <c r="BV77" s="113"/>
      <c r="BW77" s="7" t="s">
        <v>5</v>
      </c>
      <c r="BX77" s="8">
        <f>SUM(D77+J77+P77+V77+AB77+AH77+AN77+AT77+AZ77+BF77+BL77+BR77)</f>
        <v>0</v>
      </c>
      <c r="BY77" s="9">
        <f>SUM(E77+K77+Q77+W77+AC77+AI77+AO77+AU77+BA77+BG77+BM77+BS77)</f>
        <v>0</v>
      </c>
      <c r="BZ77" s="3"/>
    </row>
    <row r="78" spans="1:78" ht="20.100000000000001" customHeight="1" thickBot="1" x14ac:dyDescent="0.25">
      <c r="A78" s="110"/>
      <c r="B78" s="114" t="s">
        <v>6</v>
      </c>
      <c r="C78" s="118"/>
      <c r="D78" s="26">
        <f>SUM(D76:D77)</f>
        <v>0</v>
      </c>
      <c r="E78" s="10">
        <f>SUM(E76:E77)</f>
        <v>0</v>
      </c>
      <c r="F78" s="75"/>
      <c r="G78" s="110"/>
      <c r="H78" s="114" t="s">
        <v>6</v>
      </c>
      <c r="I78" s="118"/>
      <c r="J78" s="26">
        <f>SUM(J76:J77)</f>
        <v>0</v>
      </c>
      <c r="K78" s="10">
        <f>SUM(K76:K77)</f>
        <v>0</v>
      </c>
      <c r="L78" s="75"/>
      <c r="M78" s="110"/>
      <c r="N78" s="114" t="s">
        <v>6</v>
      </c>
      <c r="O78" s="118"/>
      <c r="P78" s="26">
        <f>SUM(P76:P77)</f>
        <v>0</v>
      </c>
      <c r="Q78" s="10">
        <f>SUM(Q76:Q77)</f>
        <v>0</v>
      </c>
      <c r="R78" s="75"/>
      <c r="S78" s="110"/>
      <c r="T78" s="114" t="s">
        <v>6</v>
      </c>
      <c r="U78" s="118"/>
      <c r="V78" s="26">
        <f>SUM(V76:V77)</f>
        <v>0</v>
      </c>
      <c r="W78" s="10">
        <f>SUM(W76:W77)</f>
        <v>0</v>
      </c>
      <c r="X78" s="75"/>
      <c r="Y78" s="110"/>
      <c r="Z78" s="114" t="s">
        <v>6</v>
      </c>
      <c r="AA78" s="118"/>
      <c r="AB78" s="26">
        <f>SUM(AB76:AB77)</f>
        <v>0</v>
      </c>
      <c r="AC78" s="10">
        <f>SUM(AC76:AC77)</f>
        <v>0</v>
      </c>
      <c r="AD78" s="75"/>
      <c r="AE78" s="110"/>
      <c r="AF78" s="114" t="s">
        <v>6</v>
      </c>
      <c r="AG78" s="118"/>
      <c r="AH78" s="26">
        <f>SUM(AH76:AH77)</f>
        <v>0</v>
      </c>
      <c r="AI78" s="10">
        <f>SUM(AI76:AI77)</f>
        <v>0</v>
      </c>
      <c r="AJ78" s="75"/>
      <c r="AK78" s="110"/>
      <c r="AL78" s="114" t="s">
        <v>6</v>
      </c>
      <c r="AM78" s="118"/>
      <c r="AN78" s="26">
        <f>SUM(AN76:AN77)</f>
        <v>0</v>
      </c>
      <c r="AO78" s="10">
        <f>SUM(AO76:AO77)</f>
        <v>0</v>
      </c>
      <c r="AP78" s="75"/>
      <c r="AQ78" s="110"/>
      <c r="AR78" s="114" t="s">
        <v>6</v>
      </c>
      <c r="AS78" s="118"/>
      <c r="AT78" s="97">
        <f t="shared" ref="AT78:AU78" si="36">SUM(AT76:AT77)</f>
        <v>0</v>
      </c>
      <c r="AU78" s="97">
        <f t="shared" si="36"/>
        <v>0</v>
      </c>
      <c r="AV78" s="75"/>
      <c r="AW78" s="110"/>
      <c r="AX78" s="114" t="s">
        <v>6</v>
      </c>
      <c r="AY78" s="118"/>
      <c r="AZ78" s="26">
        <f>SUM(AZ76:AZ77)</f>
        <v>0</v>
      </c>
      <c r="BA78" s="10">
        <f>SUM(BA76:BA77)</f>
        <v>0</v>
      </c>
      <c r="BB78" s="75"/>
      <c r="BC78" s="110"/>
      <c r="BD78" s="114" t="s">
        <v>6</v>
      </c>
      <c r="BE78" s="118"/>
      <c r="BF78" s="26">
        <f>SUM(BF76:BF77)</f>
        <v>0</v>
      </c>
      <c r="BG78" s="10">
        <f>SUM(BG76:BG77)</f>
        <v>0</v>
      </c>
      <c r="BH78" s="75"/>
      <c r="BI78" s="110"/>
      <c r="BJ78" s="114" t="s">
        <v>6</v>
      </c>
      <c r="BK78" s="118"/>
      <c r="BL78" s="26">
        <f>SUM(BL76:BL77)</f>
        <v>0</v>
      </c>
      <c r="BM78" s="10">
        <f>SUM(BM76:BM77)</f>
        <v>0</v>
      </c>
      <c r="BN78" s="75"/>
      <c r="BO78" s="110"/>
      <c r="BP78" s="114" t="s">
        <v>6</v>
      </c>
      <c r="BQ78" s="118"/>
      <c r="BR78" s="26">
        <f>SUM(BR76:BR77)</f>
        <v>0</v>
      </c>
      <c r="BS78" s="10">
        <f>SUM(BS76:BS77)</f>
        <v>0</v>
      </c>
      <c r="BT78" s="75"/>
      <c r="BU78" s="110"/>
      <c r="BV78" s="114" t="s">
        <v>6</v>
      </c>
      <c r="BW78" s="115"/>
      <c r="BX78" s="12">
        <f>SUM(BX76:BX77)</f>
        <v>0</v>
      </c>
      <c r="BY78" s="17">
        <f>SUM(BY76:BY77)</f>
        <v>0</v>
      </c>
      <c r="BZ78" s="3"/>
    </row>
    <row r="79" spans="1:78" ht="20.100000000000001" customHeight="1" x14ac:dyDescent="0.2">
      <c r="A79" s="110"/>
      <c r="B79" s="119" t="s">
        <v>7</v>
      </c>
      <c r="C79" s="4" t="s">
        <v>4</v>
      </c>
      <c r="D79" s="24">
        <v>0</v>
      </c>
      <c r="E79" s="70">
        <v>0</v>
      </c>
      <c r="F79" s="75"/>
      <c r="G79" s="110"/>
      <c r="H79" s="119" t="s">
        <v>7</v>
      </c>
      <c r="I79" s="4" t="s">
        <v>4</v>
      </c>
      <c r="J79" s="24">
        <v>0</v>
      </c>
      <c r="K79" s="70">
        <v>0</v>
      </c>
      <c r="L79" s="75"/>
      <c r="M79" s="110"/>
      <c r="N79" s="119" t="s">
        <v>7</v>
      </c>
      <c r="O79" s="4" t="s">
        <v>4</v>
      </c>
      <c r="P79" s="24">
        <v>0</v>
      </c>
      <c r="Q79" s="70">
        <v>0</v>
      </c>
      <c r="R79" s="75"/>
      <c r="S79" s="110"/>
      <c r="T79" s="119" t="s">
        <v>7</v>
      </c>
      <c r="U79" s="4" t="s">
        <v>4</v>
      </c>
      <c r="V79" s="24">
        <v>0</v>
      </c>
      <c r="W79" s="70">
        <v>0</v>
      </c>
      <c r="X79" s="75"/>
      <c r="Y79" s="110"/>
      <c r="Z79" s="119" t="s">
        <v>7</v>
      </c>
      <c r="AA79" s="4" t="s">
        <v>4</v>
      </c>
      <c r="AB79" s="24">
        <v>0</v>
      </c>
      <c r="AC79" s="70">
        <v>0</v>
      </c>
      <c r="AD79" s="75"/>
      <c r="AE79" s="110"/>
      <c r="AF79" s="119" t="s">
        <v>7</v>
      </c>
      <c r="AG79" s="4" t="s">
        <v>4</v>
      </c>
      <c r="AH79" s="24">
        <v>0</v>
      </c>
      <c r="AI79" s="70">
        <v>0</v>
      </c>
      <c r="AJ79" s="75"/>
      <c r="AK79" s="110"/>
      <c r="AL79" s="119" t="s">
        <v>7</v>
      </c>
      <c r="AM79" s="4" t="s">
        <v>4</v>
      </c>
      <c r="AN79" s="24">
        <v>0</v>
      </c>
      <c r="AO79" s="70">
        <v>0</v>
      </c>
      <c r="AP79" s="75"/>
      <c r="AQ79" s="110"/>
      <c r="AR79" s="119" t="s">
        <v>7</v>
      </c>
      <c r="AS79" s="4" t="s">
        <v>4</v>
      </c>
      <c r="AT79" s="93">
        <v>0</v>
      </c>
      <c r="AU79" s="94">
        <v>0</v>
      </c>
      <c r="AV79" s="75"/>
      <c r="AW79" s="110"/>
      <c r="AX79" s="119" t="s">
        <v>7</v>
      </c>
      <c r="AY79" s="4" t="s">
        <v>4</v>
      </c>
      <c r="AZ79" s="24">
        <v>0</v>
      </c>
      <c r="BA79" s="70">
        <v>0</v>
      </c>
      <c r="BB79" s="75"/>
      <c r="BC79" s="110"/>
      <c r="BD79" s="119" t="s">
        <v>7</v>
      </c>
      <c r="BE79" s="4" t="s">
        <v>4</v>
      </c>
      <c r="BF79" s="24">
        <v>0</v>
      </c>
      <c r="BG79" s="70">
        <v>0</v>
      </c>
      <c r="BH79" s="75"/>
      <c r="BI79" s="110"/>
      <c r="BJ79" s="119" t="s">
        <v>7</v>
      </c>
      <c r="BK79" s="4" t="s">
        <v>4</v>
      </c>
      <c r="BL79" s="24">
        <v>0</v>
      </c>
      <c r="BM79" s="70">
        <v>0</v>
      </c>
      <c r="BN79" s="75"/>
      <c r="BO79" s="110"/>
      <c r="BP79" s="119" t="s">
        <v>7</v>
      </c>
      <c r="BQ79" s="4" t="s">
        <v>4</v>
      </c>
      <c r="BR79" s="24">
        <v>0</v>
      </c>
      <c r="BS79" s="70">
        <v>0</v>
      </c>
      <c r="BT79" s="75"/>
      <c r="BU79" s="110"/>
      <c r="BV79" s="121" t="s">
        <v>7</v>
      </c>
      <c r="BW79" s="4" t="s">
        <v>4</v>
      </c>
      <c r="BX79" s="5">
        <f>SUM(D79+J79+P79+V79+AB79+AH79+AN79+AT79+AZ79+BF79+BL79+BR79)</f>
        <v>0</v>
      </c>
      <c r="BY79" s="6">
        <f>SUM(E79+K79+Q79+W79+AC79+AI79+AO79+AU79+BA79+BG79+BM79+BS79)</f>
        <v>0</v>
      </c>
      <c r="BZ79" s="3"/>
    </row>
    <row r="80" spans="1:78" ht="20.100000000000001" customHeight="1" thickBot="1" x14ac:dyDescent="0.25">
      <c r="A80" s="110"/>
      <c r="B80" s="120"/>
      <c r="C80" s="7" t="s">
        <v>5</v>
      </c>
      <c r="D80" s="25">
        <v>0</v>
      </c>
      <c r="E80" s="71">
        <v>0</v>
      </c>
      <c r="F80" s="75"/>
      <c r="G80" s="110"/>
      <c r="H80" s="120"/>
      <c r="I80" s="7" t="s">
        <v>5</v>
      </c>
      <c r="J80" s="25">
        <v>0</v>
      </c>
      <c r="K80" s="71">
        <v>0</v>
      </c>
      <c r="L80" s="75"/>
      <c r="M80" s="110"/>
      <c r="N80" s="120"/>
      <c r="O80" s="7" t="s">
        <v>5</v>
      </c>
      <c r="P80" s="25">
        <v>0</v>
      </c>
      <c r="Q80" s="71">
        <v>0</v>
      </c>
      <c r="R80" s="75"/>
      <c r="S80" s="110"/>
      <c r="T80" s="120"/>
      <c r="U80" s="7" t="s">
        <v>5</v>
      </c>
      <c r="V80" s="25">
        <v>0</v>
      </c>
      <c r="W80" s="71">
        <v>0</v>
      </c>
      <c r="X80" s="75"/>
      <c r="Y80" s="110"/>
      <c r="Z80" s="120"/>
      <c r="AA80" s="7" t="s">
        <v>5</v>
      </c>
      <c r="AB80" s="25">
        <v>0</v>
      </c>
      <c r="AC80" s="71">
        <v>0</v>
      </c>
      <c r="AD80" s="75"/>
      <c r="AE80" s="110"/>
      <c r="AF80" s="120"/>
      <c r="AG80" s="7" t="s">
        <v>5</v>
      </c>
      <c r="AH80" s="25">
        <v>0</v>
      </c>
      <c r="AI80" s="71">
        <v>0</v>
      </c>
      <c r="AJ80" s="75"/>
      <c r="AK80" s="110"/>
      <c r="AL80" s="120"/>
      <c r="AM80" s="7" t="s">
        <v>5</v>
      </c>
      <c r="AN80" s="25">
        <v>0</v>
      </c>
      <c r="AO80" s="71">
        <v>0</v>
      </c>
      <c r="AP80" s="75"/>
      <c r="AQ80" s="110"/>
      <c r="AR80" s="120"/>
      <c r="AS80" s="7" t="s">
        <v>5</v>
      </c>
      <c r="AT80" s="95">
        <v>0</v>
      </c>
      <c r="AU80" s="96">
        <v>0</v>
      </c>
      <c r="AV80" s="75"/>
      <c r="AW80" s="110"/>
      <c r="AX80" s="120"/>
      <c r="AY80" s="7" t="s">
        <v>5</v>
      </c>
      <c r="AZ80" s="25">
        <v>0</v>
      </c>
      <c r="BA80" s="71">
        <v>0</v>
      </c>
      <c r="BB80" s="75"/>
      <c r="BC80" s="110"/>
      <c r="BD80" s="120"/>
      <c r="BE80" s="7" t="s">
        <v>5</v>
      </c>
      <c r="BF80" s="25">
        <v>0</v>
      </c>
      <c r="BG80" s="71">
        <v>0</v>
      </c>
      <c r="BH80" s="75"/>
      <c r="BI80" s="110"/>
      <c r="BJ80" s="120"/>
      <c r="BK80" s="7" t="s">
        <v>5</v>
      </c>
      <c r="BL80" s="25">
        <v>0</v>
      </c>
      <c r="BM80" s="71">
        <v>0</v>
      </c>
      <c r="BN80" s="75"/>
      <c r="BO80" s="110"/>
      <c r="BP80" s="120"/>
      <c r="BQ80" s="7" t="s">
        <v>5</v>
      </c>
      <c r="BR80" s="25">
        <v>0</v>
      </c>
      <c r="BS80" s="71">
        <v>0</v>
      </c>
      <c r="BT80" s="75"/>
      <c r="BU80" s="110"/>
      <c r="BV80" s="122"/>
      <c r="BW80" s="7" t="s">
        <v>5</v>
      </c>
      <c r="BX80" s="8">
        <f>SUM(D80+J80+P80+V80+AB80+AH80+AN80+AT80+AZ80+BF80+BL80+BR80)</f>
        <v>0</v>
      </c>
      <c r="BY80" s="9">
        <f>SUM(E80+K80+Q80+W80+AC80+AI80+AO80+AU80+BA80+BG80+BM80+BS80)</f>
        <v>0</v>
      </c>
      <c r="BZ80" s="3"/>
    </row>
    <row r="81" spans="1:78" ht="20.100000000000001" customHeight="1" thickBot="1" x14ac:dyDescent="0.25">
      <c r="A81" s="111"/>
      <c r="B81" s="116" t="s">
        <v>8</v>
      </c>
      <c r="C81" s="117"/>
      <c r="D81" s="26">
        <f>SUM(D79:D80)</f>
        <v>0</v>
      </c>
      <c r="E81" s="10">
        <f>SUM(E79:E80)</f>
        <v>0</v>
      </c>
      <c r="F81" s="75"/>
      <c r="G81" s="111"/>
      <c r="H81" s="116" t="s">
        <v>8</v>
      </c>
      <c r="I81" s="117"/>
      <c r="J81" s="26">
        <f>SUM(J79:J80)</f>
        <v>0</v>
      </c>
      <c r="K81" s="10">
        <f>SUM(K79:K80)</f>
        <v>0</v>
      </c>
      <c r="L81" s="75"/>
      <c r="M81" s="111"/>
      <c r="N81" s="116" t="s">
        <v>8</v>
      </c>
      <c r="O81" s="117"/>
      <c r="P81" s="26">
        <f>SUM(P79:P80)</f>
        <v>0</v>
      </c>
      <c r="Q81" s="10">
        <f>SUM(Q79:Q80)</f>
        <v>0</v>
      </c>
      <c r="R81" s="75"/>
      <c r="S81" s="111"/>
      <c r="T81" s="116" t="s">
        <v>8</v>
      </c>
      <c r="U81" s="117"/>
      <c r="V81" s="26">
        <f>SUM(V79:V80)</f>
        <v>0</v>
      </c>
      <c r="W81" s="10">
        <f>SUM(W79:W80)</f>
        <v>0</v>
      </c>
      <c r="X81" s="75"/>
      <c r="Y81" s="111"/>
      <c r="Z81" s="116" t="s">
        <v>8</v>
      </c>
      <c r="AA81" s="117"/>
      <c r="AB81" s="26">
        <f>SUM(AB79:AB80)</f>
        <v>0</v>
      </c>
      <c r="AC81" s="10">
        <f>SUM(AC79:AC80)</f>
        <v>0</v>
      </c>
      <c r="AD81" s="75"/>
      <c r="AE81" s="111"/>
      <c r="AF81" s="116" t="s">
        <v>8</v>
      </c>
      <c r="AG81" s="117"/>
      <c r="AH81" s="26">
        <f>SUM(AH79:AH80)</f>
        <v>0</v>
      </c>
      <c r="AI81" s="10">
        <f>SUM(AI79:AI80)</f>
        <v>0</v>
      </c>
      <c r="AJ81" s="75"/>
      <c r="AK81" s="111"/>
      <c r="AL81" s="116" t="s">
        <v>8</v>
      </c>
      <c r="AM81" s="117"/>
      <c r="AN81" s="26">
        <f>SUM(AN79:AN80)</f>
        <v>0</v>
      </c>
      <c r="AO81" s="10">
        <f>SUM(AO79:AO80)</f>
        <v>0</v>
      </c>
      <c r="AP81" s="75"/>
      <c r="AQ81" s="111"/>
      <c r="AR81" s="116" t="s">
        <v>8</v>
      </c>
      <c r="AS81" s="117"/>
      <c r="AT81" s="97">
        <f t="shared" ref="AT81:AU81" si="37">SUM(AT79:AT80)</f>
        <v>0</v>
      </c>
      <c r="AU81" s="97">
        <f t="shared" si="37"/>
        <v>0</v>
      </c>
      <c r="AV81" s="75"/>
      <c r="AW81" s="111"/>
      <c r="AX81" s="116" t="s">
        <v>8</v>
      </c>
      <c r="AY81" s="117"/>
      <c r="AZ81" s="26">
        <f>SUM(AZ79:AZ80)</f>
        <v>0</v>
      </c>
      <c r="BA81" s="10">
        <f>SUM(BA79:BA80)</f>
        <v>0</v>
      </c>
      <c r="BB81" s="75"/>
      <c r="BC81" s="111"/>
      <c r="BD81" s="116" t="s">
        <v>8</v>
      </c>
      <c r="BE81" s="117"/>
      <c r="BF81" s="26">
        <f>SUM(BF79:BF80)</f>
        <v>0</v>
      </c>
      <c r="BG81" s="10">
        <f>SUM(BG79:BG80)</f>
        <v>0</v>
      </c>
      <c r="BH81" s="75"/>
      <c r="BI81" s="111"/>
      <c r="BJ81" s="116" t="s">
        <v>8</v>
      </c>
      <c r="BK81" s="117"/>
      <c r="BL81" s="26">
        <f>SUM(BL79:BL80)</f>
        <v>0</v>
      </c>
      <c r="BM81" s="10">
        <f>SUM(BM79:BM80)</f>
        <v>0</v>
      </c>
      <c r="BN81" s="75"/>
      <c r="BO81" s="111"/>
      <c r="BP81" s="116" t="s">
        <v>8</v>
      </c>
      <c r="BQ81" s="117"/>
      <c r="BR81" s="26">
        <f>SUM(BR79:BR80)</f>
        <v>0</v>
      </c>
      <c r="BS81" s="10">
        <f>SUM(BS79:BS80)</f>
        <v>0</v>
      </c>
      <c r="BT81" s="75"/>
      <c r="BU81" s="111"/>
      <c r="BV81" s="114" t="s">
        <v>8</v>
      </c>
      <c r="BW81" s="115"/>
      <c r="BX81" s="10">
        <f>SUM(BX79:BX80)</f>
        <v>0</v>
      </c>
      <c r="BY81" s="11">
        <f>SUM(BY79:BY80)</f>
        <v>0</v>
      </c>
      <c r="BZ81" s="3"/>
    </row>
    <row r="82" spans="1:78" ht="20.100000000000001" customHeight="1" thickBot="1" x14ac:dyDescent="0.25">
      <c r="A82" s="13"/>
      <c r="B82" s="106" t="s">
        <v>9</v>
      </c>
      <c r="C82" s="107"/>
      <c r="D82" s="27">
        <f>SUM(D78+D81)</f>
        <v>0</v>
      </c>
      <c r="E82" s="14">
        <f>SUM(E78+E81)</f>
        <v>0</v>
      </c>
      <c r="F82" s="75"/>
      <c r="G82" s="13"/>
      <c r="H82" s="106" t="s">
        <v>9</v>
      </c>
      <c r="I82" s="107"/>
      <c r="J82" s="27">
        <f>SUM(J78+J81)</f>
        <v>0</v>
      </c>
      <c r="K82" s="14">
        <f>SUM(K78+K81)</f>
        <v>0</v>
      </c>
      <c r="L82" s="75"/>
      <c r="M82" s="13"/>
      <c r="N82" s="106" t="s">
        <v>9</v>
      </c>
      <c r="O82" s="107"/>
      <c r="P82" s="27">
        <f>SUM(P78+P81)</f>
        <v>0</v>
      </c>
      <c r="Q82" s="14">
        <f>SUM(Q78+Q81)</f>
        <v>0</v>
      </c>
      <c r="R82" s="75"/>
      <c r="S82" s="13"/>
      <c r="T82" s="106" t="s">
        <v>9</v>
      </c>
      <c r="U82" s="107"/>
      <c r="V82" s="27">
        <f>SUM(V78+V81)</f>
        <v>0</v>
      </c>
      <c r="W82" s="14">
        <f>SUM(W78+W81)</f>
        <v>0</v>
      </c>
      <c r="X82" s="75"/>
      <c r="Y82" s="13"/>
      <c r="Z82" s="106" t="s">
        <v>9</v>
      </c>
      <c r="AA82" s="107"/>
      <c r="AB82" s="27">
        <f>SUM(AB78+AB81)</f>
        <v>0</v>
      </c>
      <c r="AC82" s="14">
        <f>SUM(AC78+AC81)</f>
        <v>0</v>
      </c>
      <c r="AD82" s="75"/>
      <c r="AE82" s="13"/>
      <c r="AF82" s="106" t="s">
        <v>9</v>
      </c>
      <c r="AG82" s="107"/>
      <c r="AH82" s="27">
        <f>SUM(AH78+AH81)</f>
        <v>0</v>
      </c>
      <c r="AI82" s="14">
        <f>SUM(AI78+AI81)</f>
        <v>0</v>
      </c>
      <c r="AJ82" s="75"/>
      <c r="AK82" s="13"/>
      <c r="AL82" s="106" t="s">
        <v>9</v>
      </c>
      <c r="AM82" s="107"/>
      <c r="AN82" s="27">
        <f>SUM(AN78+AN81)</f>
        <v>0</v>
      </c>
      <c r="AO82" s="14">
        <f>SUM(AO78+AO81)</f>
        <v>0</v>
      </c>
      <c r="AP82" s="75"/>
      <c r="AQ82" s="13"/>
      <c r="AR82" s="106" t="s">
        <v>9</v>
      </c>
      <c r="AS82" s="107"/>
      <c r="AT82" s="98">
        <f t="shared" ref="AT82:AU82" si="38">SUM(AT78+AT81)</f>
        <v>0</v>
      </c>
      <c r="AU82" s="99">
        <f t="shared" si="38"/>
        <v>0</v>
      </c>
      <c r="AV82" s="75"/>
      <c r="AW82" s="13"/>
      <c r="AX82" s="106" t="s">
        <v>9</v>
      </c>
      <c r="AY82" s="107"/>
      <c r="AZ82" s="27">
        <f>SUM(AZ78+AZ81)</f>
        <v>0</v>
      </c>
      <c r="BA82" s="14">
        <f>SUM(BA78+BA81)</f>
        <v>0</v>
      </c>
      <c r="BB82" s="75"/>
      <c r="BC82" s="13"/>
      <c r="BD82" s="106" t="s">
        <v>9</v>
      </c>
      <c r="BE82" s="107"/>
      <c r="BF82" s="27">
        <f>SUM(BF78+BF81)</f>
        <v>0</v>
      </c>
      <c r="BG82" s="14">
        <f>SUM(BG78+BG81)</f>
        <v>0</v>
      </c>
      <c r="BH82" s="75"/>
      <c r="BI82" s="13"/>
      <c r="BJ82" s="106" t="s">
        <v>9</v>
      </c>
      <c r="BK82" s="107"/>
      <c r="BL82" s="27">
        <f>SUM(BL78+BL81)</f>
        <v>0</v>
      </c>
      <c r="BM82" s="14">
        <f>SUM(BM78+BM81)</f>
        <v>0</v>
      </c>
      <c r="BN82" s="75"/>
      <c r="BO82" s="13"/>
      <c r="BP82" s="106" t="s">
        <v>9</v>
      </c>
      <c r="BQ82" s="107"/>
      <c r="BR82" s="27">
        <f>SUM(BR78+BR81)</f>
        <v>0</v>
      </c>
      <c r="BS82" s="14">
        <f>SUM(BS78+BS81)</f>
        <v>0</v>
      </c>
      <c r="BT82" s="75"/>
      <c r="BU82" s="13"/>
      <c r="BV82" s="106" t="s">
        <v>9</v>
      </c>
      <c r="BW82" s="108"/>
      <c r="BX82" s="14">
        <f>SUM(BX78+BX81)</f>
        <v>0</v>
      </c>
      <c r="BY82" s="20">
        <f>SUM(BY78+BY81)</f>
        <v>0</v>
      </c>
      <c r="BZ82" s="3"/>
    </row>
    <row r="83" spans="1:78" ht="20.100000000000001" customHeight="1" x14ac:dyDescent="0.2">
      <c r="A83" s="109">
        <v>0</v>
      </c>
      <c r="B83" s="112" t="s">
        <v>1</v>
      </c>
      <c r="C83" s="4" t="s">
        <v>4</v>
      </c>
      <c r="D83" s="24">
        <v>0</v>
      </c>
      <c r="E83" s="70">
        <v>0</v>
      </c>
      <c r="F83" s="75"/>
      <c r="G83" s="109">
        <v>0</v>
      </c>
      <c r="H83" s="112" t="s">
        <v>1</v>
      </c>
      <c r="I83" s="4" t="s">
        <v>4</v>
      </c>
      <c r="J83" s="24">
        <v>0</v>
      </c>
      <c r="K83" s="70">
        <v>0</v>
      </c>
      <c r="L83" s="75"/>
      <c r="M83" s="109">
        <v>0</v>
      </c>
      <c r="N83" s="112" t="s">
        <v>1</v>
      </c>
      <c r="O83" s="4" t="s">
        <v>4</v>
      </c>
      <c r="P83" s="24">
        <v>0</v>
      </c>
      <c r="Q83" s="70">
        <v>0</v>
      </c>
      <c r="R83" s="75"/>
      <c r="S83" s="109">
        <v>0</v>
      </c>
      <c r="T83" s="112" t="s">
        <v>1</v>
      </c>
      <c r="U83" s="4" t="s">
        <v>4</v>
      </c>
      <c r="V83" s="24">
        <v>0</v>
      </c>
      <c r="W83" s="70">
        <v>0</v>
      </c>
      <c r="X83" s="75"/>
      <c r="Y83" s="109">
        <v>0</v>
      </c>
      <c r="Z83" s="112" t="s">
        <v>1</v>
      </c>
      <c r="AA83" s="4" t="s">
        <v>4</v>
      </c>
      <c r="AB83" s="24">
        <v>0</v>
      </c>
      <c r="AC83" s="70">
        <v>0</v>
      </c>
      <c r="AD83" s="75"/>
      <c r="AE83" s="109">
        <v>0</v>
      </c>
      <c r="AF83" s="112" t="s">
        <v>1</v>
      </c>
      <c r="AG83" s="4" t="s">
        <v>4</v>
      </c>
      <c r="AH83" s="24">
        <v>0</v>
      </c>
      <c r="AI83" s="70">
        <v>0</v>
      </c>
      <c r="AJ83" s="75"/>
      <c r="AK83" s="109">
        <v>0</v>
      </c>
      <c r="AL83" s="112" t="s">
        <v>1</v>
      </c>
      <c r="AM83" s="4" t="s">
        <v>4</v>
      </c>
      <c r="AN83" s="24">
        <v>0</v>
      </c>
      <c r="AO83" s="70">
        <v>0</v>
      </c>
      <c r="AP83" s="75"/>
      <c r="AQ83" s="109">
        <v>0</v>
      </c>
      <c r="AR83" s="112" t="s">
        <v>1</v>
      </c>
      <c r="AS83" s="4" t="s">
        <v>4</v>
      </c>
      <c r="AT83" s="93">
        <v>0</v>
      </c>
      <c r="AU83" s="94">
        <v>0</v>
      </c>
      <c r="AV83" s="75"/>
      <c r="AW83" s="109">
        <v>0</v>
      </c>
      <c r="AX83" s="112" t="s">
        <v>1</v>
      </c>
      <c r="AY83" s="4" t="s">
        <v>4</v>
      </c>
      <c r="AZ83" s="24">
        <v>0</v>
      </c>
      <c r="BA83" s="70">
        <v>0</v>
      </c>
      <c r="BB83" s="75"/>
      <c r="BC83" s="109">
        <v>0</v>
      </c>
      <c r="BD83" s="112" t="s">
        <v>1</v>
      </c>
      <c r="BE83" s="4" t="s">
        <v>4</v>
      </c>
      <c r="BF83" s="24">
        <v>0</v>
      </c>
      <c r="BG83" s="70">
        <v>0</v>
      </c>
      <c r="BH83" s="75"/>
      <c r="BI83" s="109">
        <v>0</v>
      </c>
      <c r="BJ83" s="112" t="s">
        <v>1</v>
      </c>
      <c r="BK83" s="4" t="s">
        <v>4</v>
      </c>
      <c r="BL83" s="24">
        <v>0</v>
      </c>
      <c r="BM83" s="70">
        <v>0</v>
      </c>
      <c r="BN83" s="75"/>
      <c r="BO83" s="109">
        <v>0</v>
      </c>
      <c r="BP83" s="112" t="s">
        <v>1</v>
      </c>
      <c r="BQ83" s="4" t="s">
        <v>4</v>
      </c>
      <c r="BR83" s="24">
        <v>0</v>
      </c>
      <c r="BS83" s="70">
        <v>0</v>
      </c>
      <c r="BT83" s="75"/>
      <c r="BU83" s="109">
        <f>BO83</f>
        <v>0</v>
      </c>
      <c r="BV83" s="112" t="s">
        <v>1</v>
      </c>
      <c r="BW83" s="4" t="s">
        <v>4</v>
      </c>
      <c r="BX83" s="5">
        <f>SUM(D83+J83+P83+V83+AB83+AH83+AN83+AT83+AZ83+BF83+BL83+BR83)</f>
        <v>0</v>
      </c>
      <c r="BY83" s="6">
        <f>SUM(E83+K83+Q83+W83+AC83+AI83+AO83+AU83+BA83+BG83+BM83+BS83)</f>
        <v>0</v>
      </c>
      <c r="BZ83" s="3"/>
    </row>
    <row r="84" spans="1:78" ht="20.100000000000001" customHeight="1" thickBot="1" x14ac:dyDescent="0.25">
      <c r="A84" s="110"/>
      <c r="B84" s="113"/>
      <c r="C84" s="7" t="s">
        <v>5</v>
      </c>
      <c r="D84" s="25">
        <v>0</v>
      </c>
      <c r="E84" s="71">
        <v>0</v>
      </c>
      <c r="F84" s="75"/>
      <c r="G84" s="110"/>
      <c r="H84" s="113"/>
      <c r="I84" s="7" t="s">
        <v>5</v>
      </c>
      <c r="J84" s="25">
        <v>0</v>
      </c>
      <c r="K84" s="71">
        <v>0</v>
      </c>
      <c r="L84" s="75"/>
      <c r="M84" s="110"/>
      <c r="N84" s="113"/>
      <c r="O84" s="7" t="s">
        <v>5</v>
      </c>
      <c r="P84" s="25">
        <v>0</v>
      </c>
      <c r="Q84" s="71">
        <v>0</v>
      </c>
      <c r="R84" s="75"/>
      <c r="S84" s="110"/>
      <c r="T84" s="113"/>
      <c r="U84" s="7" t="s">
        <v>5</v>
      </c>
      <c r="V84" s="25">
        <v>0</v>
      </c>
      <c r="W84" s="71">
        <v>0</v>
      </c>
      <c r="X84" s="75"/>
      <c r="Y84" s="110"/>
      <c r="Z84" s="113"/>
      <c r="AA84" s="7" t="s">
        <v>5</v>
      </c>
      <c r="AB84" s="25">
        <v>0</v>
      </c>
      <c r="AC84" s="71">
        <v>0</v>
      </c>
      <c r="AD84" s="75"/>
      <c r="AE84" s="110"/>
      <c r="AF84" s="113"/>
      <c r="AG84" s="7" t="s">
        <v>5</v>
      </c>
      <c r="AH84" s="25">
        <v>0</v>
      </c>
      <c r="AI84" s="71">
        <v>0</v>
      </c>
      <c r="AJ84" s="75"/>
      <c r="AK84" s="110"/>
      <c r="AL84" s="113"/>
      <c r="AM84" s="7" t="s">
        <v>5</v>
      </c>
      <c r="AN84" s="25">
        <v>0</v>
      </c>
      <c r="AO84" s="71">
        <v>0</v>
      </c>
      <c r="AP84" s="75"/>
      <c r="AQ84" s="110"/>
      <c r="AR84" s="113"/>
      <c r="AS84" s="7" t="s">
        <v>5</v>
      </c>
      <c r="AT84" s="95">
        <v>0</v>
      </c>
      <c r="AU84" s="96">
        <v>0</v>
      </c>
      <c r="AV84" s="75"/>
      <c r="AW84" s="110"/>
      <c r="AX84" s="113"/>
      <c r="AY84" s="7" t="s">
        <v>5</v>
      </c>
      <c r="AZ84" s="25">
        <v>0</v>
      </c>
      <c r="BA84" s="71">
        <v>0</v>
      </c>
      <c r="BB84" s="75"/>
      <c r="BC84" s="110"/>
      <c r="BD84" s="113"/>
      <c r="BE84" s="7" t="s">
        <v>5</v>
      </c>
      <c r="BF84" s="25">
        <v>0</v>
      </c>
      <c r="BG84" s="71">
        <v>0</v>
      </c>
      <c r="BH84" s="75"/>
      <c r="BI84" s="110"/>
      <c r="BJ84" s="113"/>
      <c r="BK84" s="7" t="s">
        <v>5</v>
      </c>
      <c r="BL84" s="25">
        <v>0</v>
      </c>
      <c r="BM84" s="71">
        <v>0</v>
      </c>
      <c r="BN84" s="75"/>
      <c r="BO84" s="110"/>
      <c r="BP84" s="113"/>
      <c r="BQ84" s="7" t="s">
        <v>5</v>
      </c>
      <c r="BR84" s="25">
        <v>0</v>
      </c>
      <c r="BS84" s="71">
        <v>0</v>
      </c>
      <c r="BT84" s="75"/>
      <c r="BU84" s="110"/>
      <c r="BV84" s="113"/>
      <c r="BW84" s="7" t="s">
        <v>5</v>
      </c>
      <c r="BX84" s="8">
        <f>SUM(D84+J84+P84+V84+AB84+AH84+AN84+AT84+AZ84+BF84+BL84+BR84)</f>
        <v>0</v>
      </c>
      <c r="BY84" s="9">
        <f>SUM(E84+K84+Q84+W84+AC84+AI84+AO84+AU84+BA84+BG84+BM84+BS84)</f>
        <v>0</v>
      </c>
      <c r="BZ84" s="3"/>
    </row>
    <row r="85" spans="1:78" ht="20.100000000000001" customHeight="1" thickBot="1" x14ac:dyDescent="0.25">
      <c r="A85" s="110"/>
      <c r="B85" s="114" t="s">
        <v>6</v>
      </c>
      <c r="C85" s="118"/>
      <c r="D85" s="26">
        <f>SUM(D83:D84)</f>
        <v>0</v>
      </c>
      <c r="E85" s="10">
        <f>SUM(E83:E84)</f>
        <v>0</v>
      </c>
      <c r="F85" s="75"/>
      <c r="G85" s="110"/>
      <c r="H85" s="114" t="s">
        <v>6</v>
      </c>
      <c r="I85" s="118"/>
      <c r="J85" s="26">
        <f>SUM(J83:J84)</f>
        <v>0</v>
      </c>
      <c r="K85" s="10">
        <f>SUM(K83:K84)</f>
        <v>0</v>
      </c>
      <c r="L85" s="75"/>
      <c r="M85" s="110"/>
      <c r="N85" s="114" t="s">
        <v>6</v>
      </c>
      <c r="O85" s="118"/>
      <c r="P85" s="26">
        <f>SUM(P83:P84)</f>
        <v>0</v>
      </c>
      <c r="Q85" s="10">
        <f>SUM(Q83:Q84)</f>
        <v>0</v>
      </c>
      <c r="R85" s="75"/>
      <c r="S85" s="110"/>
      <c r="T85" s="114" t="s">
        <v>6</v>
      </c>
      <c r="U85" s="118"/>
      <c r="V85" s="26">
        <f>SUM(V83:V84)</f>
        <v>0</v>
      </c>
      <c r="W85" s="10">
        <f>SUM(W83:W84)</f>
        <v>0</v>
      </c>
      <c r="X85" s="75"/>
      <c r="Y85" s="110"/>
      <c r="Z85" s="114" t="s">
        <v>6</v>
      </c>
      <c r="AA85" s="118"/>
      <c r="AB85" s="26">
        <f>SUM(AB83:AB84)</f>
        <v>0</v>
      </c>
      <c r="AC85" s="10">
        <f>SUM(AC83:AC84)</f>
        <v>0</v>
      </c>
      <c r="AD85" s="75"/>
      <c r="AE85" s="110"/>
      <c r="AF85" s="114" t="s">
        <v>6</v>
      </c>
      <c r="AG85" s="118"/>
      <c r="AH85" s="26">
        <f>SUM(AH83:AH84)</f>
        <v>0</v>
      </c>
      <c r="AI85" s="10">
        <f>SUM(AI83:AI84)</f>
        <v>0</v>
      </c>
      <c r="AJ85" s="75"/>
      <c r="AK85" s="110"/>
      <c r="AL85" s="114" t="s">
        <v>6</v>
      </c>
      <c r="AM85" s="118"/>
      <c r="AN85" s="26">
        <f>SUM(AN83:AN84)</f>
        <v>0</v>
      </c>
      <c r="AO85" s="10">
        <f>SUM(AO83:AO84)</f>
        <v>0</v>
      </c>
      <c r="AP85" s="75"/>
      <c r="AQ85" s="110"/>
      <c r="AR85" s="114" t="s">
        <v>6</v>
      </c>
      <c r="AS85" s="118"/>
      <c r="AT85" s="97">
        <f t="shared" ref="AT85:AU85" si="39">SUM(AT83:AT84)</f>
        <v>0</v>
      </c>
      <c r="AU85" s="97">
        <f t="shared" si="39"/>
        <v>0</v>
      </c>
      <c r="AV85" s="75"/>
      <c r="AW85" s="110"/>
      <c r="AX85" s="114" t="s">
        <v>6</v>
      </c>
      <c r="AY85" s="118"/>
      <c r="AZ85" s="26">
        <f>SUM(AZ83:AZ84)</f>
        <v>0</v>
      </c>
      <c r="BA85" s="10">
        <f>SUM(BA83:BA84)</f>
        <v>0</v>
      </c>
      <c r="BB85" s="75"/>
      <c r="BC85" s="110"/>
      <c r="BD85" s="114" t="s">
        <v>6</v>
      </c>
      <c r="BE85" s="118"/>
      <c r="BF85" s="26">
        <f>SUM(BF83:BF84)</f>
        <v>0</v>
      </c>
      <c r="BG85" s="10">
        <f>SUM(BG83:BG84)</f>
        <v>0</v>
      </c>
      <c r="BH85" s="75"/>
      <c r="BI85" s="110"/>
      <c r="BJ85" s="114" t="s">
        <v>6</v>
      </c>
      <c r="BK85" s="118"/>
      <c r="BL85" s="26">
        <f>SUM(BL83:BL84)</f>
        <v>0</v>
      </c>
      <c r="BM85" s="10">
        <f>SUM(BM83:BM84)</f>
        <v>0</v>
      </c>
      <c r="BN85" s="75"/>
      <c r="BO85" s="110"/>
      <c r="BP85" s="114" t="s">
        <v>6</v>
      </c>
      <c r="BQ85" s="118"/>
      <c r="BR85" s="26">
        <f>SUM(BR83:BR84)</f>
        <v>0</v>
      </c>
      <c r="BS85" s="10">
        <f>SUM(BS83:BS84)</f>
        <v>0</v>
      </c>
      <c r="BT85" s="75"/>
      <c r="BU85" s="110"/>
      <c r="BV85" s="114" t="s">
        <v>6</v>
      </c>
      <c r="BW85" s="115"/>
      <c r="BX85" s="12">
        <f>SUM(BX83:BX84)</f>
        <v>0</v>
      </c>
      <c r="BY85" s="17">
        <f>SUM(BY83:BY84)</f>
        <v>0</v>
      </c>
      <c r="BZ85" s="3"/>
    </row>
    <row r="86" spans="1:78" ht="20.100000000000001" customHeight="1" x14ac:dyDescent="0.2">
      <c r="A86" s="110"/>
      <c r="B86" s="119" t="s">
        <v>7</v>
      </c>
      <c r="C86" s="4" t="s">
        <v>4</v>
      </c>
      <c r="D86" s="24">
        <v>0</v>
      </c>
      <c r="E86" s="70">
        <v>0</v>
      </c>
      <c r="F86" s="75"/>
      <c r="G86" s="110"/>
      <c r="H86" s="119" t="s">
        <v>7</v>
      </c>
      <c r="I86" s="4" t="s">
        <v>4</v>
      </c>
      <c r="J86" s="24">
        <v>0</v>
      </c>
      <c r="K86" s="70">
        <v>0</v>
      </c>
      <c r="L86" s="75"/>
      <c r="M86" s="110"/>
      <c r="N86" s="119" t="s">
        <v>7</v>
      </c>
      <c r="O86" s="4" t="s">
        <v>4</v>
      </c>
      <c r="P86" s="24">
        <v>0</v>
      </c>
      <c r="Q86" s="70">
        <v>0</v>
      </c>
      <c r="R86" s="75"/>
      <c r="S86" s="110"/>
      <c r="T86" s="119" t="s">
        <v>7</v>
      </c>
      <c r="U86" s="4" t="s">
        <v>4</v>
      </c>
      <c r="V86" s="24">
        <v>0</v>
      </c>
      <c r="W86" s="70">
        <v>0</v>
      </c>
      <c r="X86" s="75"/>
      <c r="Y86" s="110"/>
      <c r="Z86" s="119" t="s">
        <v>7</v>
      </c>
      <c r="AA86" s="4" t="s">
        <v>4</v>
      </c>
      <c r="AB86" s="24">
        <v>0</v>
      </c>
      <c r="AC86" s="70">
        <v>0</v>
      </c>
      <c r="AD86" s="75"/>
      <c r="AE86" s="110"/>
      <c r="AF86" s="119" t="s">
        <v>7</v>
      </c>
      <c r="AG86" s="4" t="s">
        <v>4</v>
      </c>
      <c r="AH86" s="24">
        <v>0</v>
      </c>
      <c r="AI86" s="70">
        <v>0</v>
      </c>
      <c r="AJ86" s="75"/>
      <c r="AK86" s="110"/>
      <c r="AL86" s="119" t="s">
        <v>7</v>
      </c>
      <c r="AM86" s="4" t="s">
        <v>4</v>
      </c>
      <c r="AN86" s="24">
        <v>0</v>
      </c>
      <c r="AO86" s="70">
        <v>0</v>
      </c>
      <c r="AP86" s="75"/>
      <c r="AQ86" s="110"/>
      <c r="AR86" s="119" t="s">
        <v>7</v>
      </c>
      <c r="AS86" s="4" t="s">
        <v>4</v>
      </c>
      <c r="AT86" s="93">
        <v>0</v>
      </c>
      <c r="AU86" s="94">
        <v>0</v>
      </c>
      <c r="AV86" s="75"/>
      <c r="AW86" s="110"/>
      <c r="AX86" s="119" t="s">
        <v>7</v>
      </c>
      <c r="AY86" s="4" t="s">
        <v>4</v>
      </c>
      <c r="AZ86" s="24">
        <v>0</v>
      </c>
      <c r="BA86" s="70">
        <v>0</v>
      </c>
      <c r="BB86" s="75"/>
      <c r="BC86" s="110"/>
      <c r="BD86" s="119" t="s">
        <v>7</v>
      </c>
      <c r="BE86" s="4" t="s">
        <v>4</v>
      </c>
      <c r="BF86" s="24">
        <v>0</v>
      </c>
      <c r="BG86" s="70">
        <v>0</v>
      </c>
      <c r="BH86" s="75"/>
      <c r="BI86" s="110"/>
      <c r="BJ86" s="119" t="s">
        <v>7</v>
      </c>
      <c r="BK86" s="4" t="s">
        <v>4</v>
      </c>
      <c r="BL86" s="24">
        <v>0</v>
      </c>
      <c r="BM86" s="70">
        <v>0</v>
      </c>
      <c r="BN86" s="75"/>
      <c r="BO86" s="110"/>
      <c r="BP86" s="119" t="s">
        <v>7</v>
      </c>
      <c r="BQ86" s="4" t="s">
        <v>4</v>
      </c>
      <c r="BR86" s="24">
        <v>0</v>
      </c>
      <c r="BS86" s="70">
        <v>0</v>
      </c>
      <c r="BT86" s="75"/>
      <c r="BU86" s="110"/>
      <c r="BV86" s="121" t="s">
        <v>7</v>
      </c>
      <c r="BW86" s="4" t="s">
        <v>4</v>
      </c>
      <c r="BX86" s="5">
        <f>SUM(D86+J86+P86+V86+AB86+AH86+AN86+AT86+AZ86+BF86+BL86+BR86)</f>
        <v>0</v>
      </c>
      <c r="BY86" s="6">
        <f>SUM(E86+K86+Q86+W86+AC86+AI86+AO86+AU86+BA86+BG86+BM86+BS86)</f>
        <v>0</v>
      </c>
      <c r="BZ86" s="3"/>
    </row>
    <row r="87" spans="1:78" ht="20.100000000000001" customHeight="1" thickBot="1" x14ac:dyDescent="0.25">
      <c r="A87" s="110"/>
      <c r="B87" s="120"/>
      <c r="C87" s="7" t="s">
        <v>5</v>
      </c>
      <c r="D87" s="25">
        <v>0</v>
      </c>
      <c r="E87" s="71">
        <v>0</v>
      </c>
      <c r="F87" s="75"/>
      <c r="G87" s="110"/>
      <c r="H87" s="120"/>
      <c r="I87" s="7" t="s">
        <v>5</v>
      </c>
      <c r="J87" s="25">
        <v>0</v>
      </c>
      <c r="K87" s="71">
        <v>0</v>
      </c>
      <c r="L87" s="75"/>
      <c r="M87" s="110"/>
      <c r="N87" s="120"/>
      <c r="O87" s="7" t="s">
        <v>5</v>
      </c>
      <c r="P87" s="25">
        <v>0</v>
      </c>
      <c r="Q87" s="71">
        <v>0</v>
      </c>
      <c r="R87" s="75"/>
      <c r="S87" s="110"/>
      <c r="T87" s="120"/>
      <c r="U87" s="7" t="s">
        <v>5</v>
      </c>
      <c r="V87" s="25">
        <v>0</v>
      </c>
      <c r="W87" s="71">
        <v>0</v>
      </c>
      <c r="X87" s="75"/>
      <c r="Y87" s="110"/>
      <c r="Z87" s="120"/>
      <c r="AA87" s="7" t="s">
        <v>5</v>
      </c>
      <c r="AB87" s="25">
        <v>0</v>
      </c>
      <c r="AC87" s="71">
        <v>0</v>
      </c>
      <c r="AD87" s="75"/>
      <c r="AE87" s="110"/>
      <c r="AF87" s="120"/>
      <c r="AG87" s="7" t="s">
        <v>5</v>
      </c>
      <c r="AH87" s="25">
        <v>0</v>
      </c>
      <c r="AI87" s="71">
        <v>0</v>
      </c>
      <c r="AJ87" s="75"/>
      <c r="AK87" s="110"/>
      <c r="AL87" s="120"/>
      <c r="AM87" s="7" t="s">
        <v>5</v>
      </c>
      <c r="AN87" s="25">
        <v>0</v>
      </c>
      <c r="AO87" s="71">
        <v>0</v>
      </c>
      <c r="AP87" s="75"/>
      <c r="AQ87" s="110"/>
      <c r="AR87" s="120"/>
      <c r="AS87" s="7" t="s">
        <v>5</v>
      </c>
      <c r="AT87" s="95">
        <v>0</v>
      </c>
      <c r="AU87" s="96">
        <v>0</v>
      </c>
      <c r="AV87" s="75"/>
      <c r="AW87" s="110"/>
      <c r="AX87" s="120"/>
      <c r="AY87" s="7" t="s">
        <v>5</v>
      </c>
      <c r="AZ87" s="25">
        <v>0</v>
      </c>
      <c r="BA87" s="71">
        <v>0</v>
      </c>
      <c r="BB87" s="75"/>
      <c r="BC87" s="110"/>
      <c r="BD87" s="120"/>
      <c r="BE87" s="7" t="s">
        <v>5</v>
      </c>
      <c r="BF87" s="25">
        <v>0</v>
      </c>
      <c r="BG87" s="71">
        <v>0</v>
      </c>
      <c r="BH87" s="75"/>
      <c r="BI87" s="110"/>
      <c r="BJ87" s="120"/>
      <c r="BK87" s="7" t="s">
        <v>5</v>
      </c>
      <c r="BL87" s="25">
        <v>0</v>
      </c>
      <c r="BM87" s="71">
        <v>0</v>
      </c>
      <c r="BN87" s="75"/>
      <c r="BO87" s="110"/>
      <c r="BP87" s="120"/>
      <c r="BQ87" s="7" t="s">
        <v>5</v>
      </c>
      <c r="BR87" s="25">
        <v>0</v>
      </c>
      <c r="BS87" s="71">
        <v>0</v>
      </c>
      <c r="BT87" s="75"/>
      <c r="BU87" s="110"/>
      <c r="BV87" s="122"/>
      <c r="BW87" s="7" t="s">
        <v>5</v>
      </c>
      <c r="BX87" s="8">
        <f>SUM(D87+J87+P87+V87+AB87+AH87+AN87+AT87+AZ87+BF87+BL87+BR87)</f>
        <v>0</v>
      </c>
      <c r="BY87" s="9">
        <f>SUM(E87+K87+Q87+W87+AC87+AI87+AO87+AU87+BA87+BG87+BM87+BS87)</f>
        <v>0</v>
      </c>
      <c r="BZ87" s="3"/>
    </row>
    <row r="88" spans="1:78" ht="20.100000000000001" customHeight="1" thickBot="1" x14ac:dyDescent="0.25">
      <c r="A88" s="111"/>
      <c r="B88" s="116" t="s">
        <v>8</v>
      </c>
      <c r="C88" s="117"/>
      <c r="D88" s="26">
        <f>SUM(D86:D87)</f>
        <v>0</v>
      </c>
      <c r="E88" s="10">
        <f>SUM(E86:E87)</f>
        <v>0</v>
      </c>
      <c r="F88" s="75"/>
      <c r="G88" s="111"/>
      <c r="H88" s="116" t="s">
        <v>8</v>
      </c>
      <c r="I88" s="117"/>
      <c r="J88" s="26">
        <f>SUM(J86:J87)</f>
        <v>0</v>
      </c>
      <c r="K88" s="10">
        <f>SUM(K86:K87)</f>
        <v>0</v>
      </c>
      <c r="L88" s="75"/>
      <c r="M88" s="111"/>
      <c r="N88" s="116" t="s">
        <v>8</v>
      </c>
      <c r="O88" s="117"/>
      <c r="P88" s="26">
        <f>SUM(P86:P87)</f>
        <v>0</v>
      </c>
      <c r="Q88" s="10">
        <f>SUM(Q86:Q87)</f>
        <v>0</v>
      </c>
      <c r="R88" s="75"/>
      <c r="S88" s="111"/>
      <c r="T88" s="116" t="s">
        <v>8</v>
      </c>
      <c r="U88" s="117"/>
      <c r="V88" s="26">
        <f>SUM(V86:V87)</f>
        <v>0</v>
      </c>
      <c r="W88" s="10">
        <f>SUM(W86:W87)</f>
        <v>0</v>
      </c>
      <c r="X88" s="75"/>
      <c r="Y88" s="111"/>
      <c r="Z88" s="116" t="s">
        <v>8</v>
      </c>
      <c r="AA88" s="117"/>
      <c r="AB88" s="26">
        <f>SUM(AB86:AB87)</f>
        <v>0</v>
      </c>
      <c r="AC88" s="10">
        <f>SUM(AC86:AC87)</f>
        <v>0</v>
      </c>
      <c r="AD88" s="75"/>
      <c r="AE88" s="111"/>
      <c r="AF88" s="116" t="s">
        <v>8</v>
      </c>
      <c r="AG88" s="117"/>
      <c r="AH88" s="26">
        <f>SUM(AH86:AH87)</f>
        <v>0</v>
      </c>
      <c r="AI88" s="10">
        <f>SUM(AI86:AI87)</f>
        <v>0</v>
      </c>
      <c r="AJ88" s="75"/>
      <c r="AK88" s="111"/>
      <c r="AL88" s="116" t="s">
        <v>8</v>
      </c>
      <c r="AM88" s="117"/>
      <c r="AN88" s="26">
        <f>SUM(AN86:AN87)</f>
        <v>0</v>
      </c>
      <c r="AO88" s="10">
        <f>SUM(AO86:AO87)</f>
        <v>0</v>
      </c>
      <c r="AP88" s="75"/>
      <c r="AQ88" s="111"/>
      <c r="AR88" s="116" t="s">
        <v>8</v>
      </c>
      <c r="AS88" s="117"/>
      <c r="AT88" s="26">
        <f>SUM(AT86:AT87)</f>
        <v>0</v>
      </c>
      <c r="AU88" s="10">
        <f>SUM(AU86:AU87)</f>
        <v>0</v>
      </c>
      <c r="AV88" s="75"/>
      <c r="AW88" s="111"/>
      <c r="AX88" s="116" t="s">
        <v>8</v>
      </c>
      <c r="AY88" s="117"/>
      <c r="AZ88" s="26">
        <f>SUM(AZ86:AZ87)</f>
        <v>0</v>
      </c>
      <c r="BA88" s="10">
        <f>SUM(BA86:BA87)</f>
        <v>0</v>
      </c>
      <c r="BB88" s="75"/>
      <c r="BC88" s="111"/>
      <c r="BD88" s="116" t="s">
        <v>8</v>
      </c>
      <c r="BE88" s="117"/>
      <c r="BF88" s="26">
        <f>SUM(BF86:BF87)</f>
        <v>0</v>
      </c>
      <c r="BG88" s="10">
        <f>SUM(BG86:BG87)</f>
        <v>0</v>
      </c>
      <c r="BH88" s="75"/>
      <c r="BI88" s="111"/>
      <c r="BJ88" s="116" t="s">
        <v>8</v>
      </c>
      <c r="BK88" s="117"/>
      <c r="BL88" s="26">
        <f>SUM(BL86:BL87)</f>
        <v>0</v>
      </c>
      <c r="BM88" s="10">
        <f>SUM(BM86:BM87)</f>
        <v>0</v>
      </c>
      <c r="BN88" s="75"/>
      <c r="BO88" s="111"/>
      <c r="BP88" s="116" t="s">
        <v>8</v>
      </c>
      <c r="BQ88" s="117"/>
      <c r="BR88" s="26">
        <f>SUM(BR86:BR87)</f>
        <v>0</v>
      </c>
      <c r="BS88" s="10">
        <f>SUM(BS86:BS87)</f>
        <v>0</v>
      </c>
      <c r="BT88" s="75"/>
      <c r="BU88" s="111"/>
      <c r="BV88" s="114" t="s">
        <v>8</v>
      </c>
      <c r="BW88" s="115"/>
      <c r="BX88" s="10">
        <f>SUM(BX86:BX87)</f>
        <v>0</v>
      </c>
      <c r="BY88" s="11">
        <f>SUM(BY86:BY87)</f>
        <v>0</v>
      </c>
      <c r="BZ88" s="3"/>
    </row>
    <row r="89" spans="1:78" ht="20.100000000000001" customHeight="1" thickBot="1" x14ac:dyDescent="0.25">
      <c r="A89" s="92"/>
      <c r="B89" s="106" t="s">
        <v>9</v>
      </c>
      <c r="C89" s="107"/>
      <c r="D89" s="27">
        <f>SUM(D85+D88)</f>
        <v>0</v>
      </c>
      <c r="E89" s="14">
        <f>SUM(E85+E88)</f>
        <v>0</v>
      </c>
      <c r="F89" s="75"/>
      <c r="G89" s="92"/>
      <c r="H89" s="106" t="s">
        <v>9</v>
      </c>
      <c r="I89" s="107"/>
      <c r="J89" s="27">
        <f>SUM(J85+J88)</f>
        <v>0</v>
      </c>
      <c r="K89" s="14">
        <f>SUM(K85+K88)</f>
        <v>0</v>
      </c>
      <c r="L89" s="75"/>
      <c r="M89" s="92"/>
      <c r="N89" s="106" t="s">
        <v>9</v>
      </c>
      <c r="O89" s="107"/>
      <c r="P89" s="27">
        <f>SUM(P85+P88)</f>
        <v>0</v>
      </c>
      <c r="Q89" s="14">
        <f>SUM(Q85+Q88)</f>
        <v>0</v>
      </c>
      <c r="R89" s="75"/>
      <c r="S89" s="92"/>
      <c r="T89" s="106" t="s">
        <v>9</v>
      </c>
      <c r="U89" s="107"/>
      <c r="V89" s="27">
        <f>SUM(V85+V88)</f>
        <v>0</v>
      </c>
      <c r="W89" s="14">
        <f>SUM(W85+W88)</f>
        <v>0</v>
      </c>
      <c r="X89" s="75"/>
      <c r="Y89" s="92"/>
      <c r="Z89" s="106" t="s">
        <v>9</v>
      </c>
      <c r="AA89" s="107"/>
      <c r="AB89" s="27">
        <f>SUM(AB85+AB88)</f>
        <v>0</v>
      </c>
      <c r="AC89" s="14">
        <f>SUM(AC85+AC88)</f>
        <v>0</v>
      </c>
      <c r="AD89" s="75"/>
      <c r="AE89" s="92"/>
      <c r="AF89" s="106" t="s">
        <v>9</v>
      </c>
      <c r="AG89" s="107"/>
      <c r="AH89" s="27">
        <f>SUM(AH85+AH88)</f>
        <v>0</v>
      </c>
      <c r="AI89" s="14">
        <f>SUM(AI85+AI88)</f>
        <v>0</v>
      </c>
      <c r="AJ89" s="75"/>
      <c r="AK89" s="92"/>
      <c r="AL89" s="106" t="s">
        <v>9</v>
      </c>
      <c r="AM89" s="107"/>
      <c r="AN89" s="27">
        <f>SUM(AN85+AN88)</f>
        <v>0</v>
      </c>
      <c r="AO89" s="14">
        <f>SUM(AO85+AO88)</f>
        <v>0</v>
      </c>
      <c r="AP89" s="75"/>
      <c r="AQ89" s="92"/>
      <c r="AR89" s="106" t="s">
        <v>9</v>
      </c>
      <c r="AS89" s="107"/>
      <c r="AT89" s="27">
        <f>SUM(AT85+AT88)</f>
        <v>0</v>
      </c>
      <c r="AU89" s="14">
        <f>SUM(AU85+AU88)</f>
        <v>0</v>
      </c>
      <c r="AV89" s="75"/>
      <c r="AW89" s="92"/>
      <c r="AX89" s="106" t="s">
        <v>9</v>
      </c>
      <c r="AY89" s="107"/>
      <c r="AZ89" s="27">
        <f>SUM(AZ85+AZ88)</f>
        <v>0</v>
      </c>
      <c r="BA89" s="14">
        <f>SUM(BA85+BA88)</f>
        <v>0</v>
      </c>
      <c r="BB89" s="75"/>
      <c r="BC89" s="92"/>
      <c r="BD89" s="106" t="s">
        <v>9</v>
      </c>
      <c r="BE89" s="107"/>
      <c r="BF89" s="27">
        <f>SUM(BF85+BF88)</f>
        <v>0</v>
      </c>
      <c r="BG89" s="14">
        <f>SUM(BG85+BG88)</f>
        <v>0</v>
      </c>
      <c r="BH89" s="75"/>
      <c r="BI89" s="92"/>
      <c r="BJ89" s="106" t="s">
        <v>9</v>
      </c>
      <c r="BK89" s="107"/>
      <c r="BL89" s="27">
        <f>SUM(BL85+BL88)</f>
        <v>0</v>
      </c>
      <c r="BM89" s="14">
        <f>SUM(BM85+BM88)</f>
        <v>0</v>
      </c>
      <c r="BN89" s="75"/>
      <c r="BO89" s="92"/>
      <c r="BP89" s="106" t="s">
        <v>9</v>
      </c>
      <c r="BQ89" s="107"/>
      <c r="BR89" s="27">
        <f>SUM(BR85+BR88)</f>
        <v>0</v>
      </c>
      <c r="BS89" s="14">
        <f>SUM(BS85+BS88)</f>
        <v>0</v>
      </c>
      <c r="BT89" s="75"/>
      <c r="BU89" s="92"/>
      <c r="BV89" s="106" t="s">
        <v>9</v>
      </c>
      <c r="BW89" s="108"/>
      <c r="BX89" s="14">
        <f>SUM(BX85+BX88)</f>
        <v>0</v>
      </c>
      <c r="BY89" s="20">
        <f>SUM(BY85+BY88)</f>
        <v>0</v>
      </c>
      <c r="BZ89" s="3"/>
    </row>
    <row r="90" spans="1:78" ht="20.100000000000001" customHeight="1" x14ac:dyDescent="0.25">
      <c r="A90" s="76"/>
      <c r="B90" s="79"/>
      <c r="C90" s="79"/>
      <c r="D90" s="79"/>
      <c r="E90" s="80"/>
      <c r="F90" s="80"/>
      <c r="G90" s="76"/>
      <c r="H90" s="79"/>
      <c r="I90" s="79"/>
      <c r="J90" s="79"/>
      <c r="K90" s="80"/>
      <c r="L90" s="80"/>
      <c r="M90" s="76"/>
      <c r="N90" s="79"/>
      <c r="O90" s="79"/>
      <c r="P90" s="79"/>
      <c r="Q90" s="80"/>
      <c r="R90" s="80"/>
      <c r="S90" s="76"/>
      <c r="T90" s="79"/>
      <c r="U90" s="79"/>
      <c r="V90" s="79"/>
      <c r="W90" s="80"/>
      <c r="X90" s="80"/>
      <c r="Y90" s="76"/>
      <c r="Z90" s="79"/>
      <c r="AA90" s="79"/>
      <c r="AB90" s="79"/>
      <c r="AC90" s="80"/>
      <c r="AD90" s="80"/>
      <c r="AE90" s="76"/>
      <c r="AF90" s="79"/>
      <c r="AG90" s="79"/>
      <c r="AH90" s="79"/>
      <c r="AI90" s="80"/>
      <c r="AJ90" s="80"/>
      <c r="AK90" s="76"/>
      <c r="AL90" s="79"/>
      <c r="AM90" s="79"/>
      <c r="AN90" s="79"/>
      <c r="AO90" s="80"/>
      <c r="AP90" s="80"/>
      <c r="AQ90" s="76"/>
      <c r="AR90" s="79"/>
      <c r="AS90" s="79"/>
      <c r="AT90" s="79"/>
      <c r="AU90" s="80"/>
      <c r="AV90" s="80"/>
      <c r="AW90" s="76"/>
      <c r="AX90" s="79"/>
      <c r="AY90" s="79"/>
      <c r="AZ90" s="79"/>
      <c r="BA90" s="80"/>
      <c r="BB90" s="80"/>
      <c r="BC90" s="76"/>
      <c r="BD90" s="79"/>
      <c r="BE90" s="79"/>
      <c r="BF90" s="79"/>
      <c r="BG90" s="80"/>
      <c r="BH90" s="80"/>
      <c r="BI90" s="76"/>
      <c r="BJ90" s="79"/>
      <c r="BK90" s="79"/>
      <c r="BL90" s="79"/>
      <c r="BM90" s="80"/>
      <c r="BN90" s="80"/>
      <c r="BO90" s="76"/>
      <c r="BP90" s="79"/>
      <c r="BQ90" s="79"/>
      <c r="BR90" s="79"/>
      <c r="BS90" s="80"/>
      <c r="BT90" s="80"/>
      <c r="BU90" s="22"/>
      <c r="BV90" s="1"/>
      <c r="BW90" s="1"/>
    </row>
    <row r="91" spans="1:78" s="2" customFormat="1" ht="20.100000000000001" customHeight="1" thickBot="1" x14ac:dyDescent="0.3">
      <c r="A91" s="131" t="s">
        <v>14</v>
      </c>
      <c r="B91" s="131"/>
      <c r="C91" s="131"/>
      <c r="D91" s="77">
        <f>SUM(D2)</f>
        <v>1</v>
      </c>
      <c r="E91" s="78">
        <f>SUM(E2)</f>
        <v>1447</v>
      </c>
      <c r="F91" s="80"/>
      <c r="G91" s="131" t="s">
        <v>14</v>
      </c>
      <c r="H91" s="131"/>
      <c r="I91" s="131"/>
      <c r="J91" s="77">
        <f>SUM(J2)</f>
        <v>2</v>
      </c>
      <c r="K91" s="78">
        <f>SUM(K2)</f>
        <v>1447</v>
      </c>
      <c r="L91" s="80"/>
      <c r="M91" s="131" t="s">
        <v>14</v>
      </c>
      <c r="N91" s="131"/>
      <c r="O91" s="131"/>
      <c r="P91" s="77">
        <f>SUM(P2)</f>
        <v>3</v>
      </c>
      <c r="Q91" s="78">
        <f>SUM(Q2)</f>
        <v>1447</v>
      </c>
      <c r="R91" s="80"/>
      <c r="S91" s="131" t="s">
        <v>14</v>
      </c>
      <c r="T91" s="131"/>
      <c r="U91" s="131"/>
      <c r="V91" s="77">
        <f>SUM(V2)</f>
        <v>4</v>
      </c>
      <c r="W91" s="78">
        <f>SUM(W2)</f>
        <v>1447</v>
      </c>
      <c r="X91" s="80"/>
      <c r="Y91" s="131" t="s">
        <v>14</v>
      </c>
      <c r="Z91" s="131"/>
      <c r="AA91" s="131"/>
      <c r="AB91" s="77">
        <f>SUM(AB2)</f>
        <v>5</v>
      </c>
      <c r="AC91" s="78">
        <f>SUM(AC2)</f>
        <v>1447</v>
      </c>
      <c r="AD91" s="80"/>
      <c r="AE91" s="131" t="s">
        <v>14</v>
      </c>
      <c r="AF91" s="131"/>
      <c r="AG91" s="131"/>
      <c r="AH91" s="77">
        <f>SUM(AH2)</f>
        <v>6</v>
      </c>
      <c r="AI91" s="78">
        <f>SUM(AI2)</f>
        <v>1447</v>
      </c>
      <c r="AJ91" s="80"/>
      <c r="AK91" s="131" t="s">
        <v>14</v>
      </c>
      <c r="AL91" s="131"/>
      <c r="AM91" s="131"/>
      <c r="AN91" s="77">
        <f>SUM(AN2)</f>
        <v>7</v>
      </c>
      <c r="AO91" s="78">
        <f>SUM(AO2)</f>
        <v>1447</v>
      </c>
      <c r="AP91" s="80"/>
      <c r="AQ91" s="131" t="s">
        <v>14</v>
      </c>
      <c r="AR91" s="131"/>
      <c r="AS91" s="131"/>
      <c r="AT91" s="77">
        <f>SUM(AT2)</f>
        <v>8</v>
      </c>
      <c r="AU91" s="78">
        <f>SUM(AU2)</f>
        <v>1447</v>
      </c>
      <c r="AV91" s="80"/>
      <c r="AW91" s="131" t="s">
        <v>14</v>
      </c>
      <c r="AX91" s="131"/>
      <c r="AY91" s="131"/>
      <c r="AZ91" s="77">
        <f>SUM(AZ2)</f>
        <v>9</v>
      </c>
      <c r="BA91" s="78">
        <f>SUM(BA2)</f>
        <v>1447</v>
      </c>
      <c r="BB91" s="80"/>
      <c r="BC91" s="131" t="s">
        <v>14</v>
      </c>
      <c r="BD91" s="131"/>
      <c r="BE91" s="131"/>
      <c r="BF91" s="77">
        <f>SUM(BF2)</f>
        <v>10</v>
      </c>
      <c r="BG91" s="78">
        <f>SUM(BG2)</f>
        <v>1447</v>
      </c>
      <c r="BH91" s="80"/>
      <c r="BI91" s="131" t="s">
        <v>14</v>
      </c>
      <c r="BJ91" s="131"/>
      <c r="BK91" s="131"/>
      <c r="BL91" s="77">
        <f>SUM(BL2)</f>
        <v>11</v>
      </c>
      <c r="BM91" s="78">
        <f>SUM(BM2)</f>
        <v>1447</v>
      </c>
      <c r="BN91" s="80"/>
      <c r="BO91" s="131" t="s">
        <v>14</v>
      </c>
      <c r="BP91" s="131"/>
      <c r="BQ91" s="131"/>
      <c r="BR91" s="77">
        <f>SUM(BR2)</f>
        <v>12</v>
      </c>
      <c r="BS91" s="78">
        <f>SUM(BS2)</f>
        <v>1447</v>
      </c>
      <c r="BT91" s="80"/>
      <c r="BU91" s="132"/>
      <c r="BV91" s="132"/>
      <c r="BW91" s="132"/>
      <c r="BX91" s="32" t="s">
        <v>2</v>
      </c>
      <c r="BY91" s="33">
        <f>SUM(BS91)</f>
        <v>1447</v>
      </c>
    </row>
    <row r="92" spans="1:78" ht="20.100000000000001" customHeight="1" thickBot="1" x14ac:dyDescent="0.25">
      <c r="A92" s="81"/>
      <c r="B92" s="82"/>
      <c r="C92" s="82"/>
      <c r="D92" s="82"/>
      <c r="E92" s="83"/>
      <c r="F92" s="74"/>
      <c r="G92" s="81"/>
      <c r="H92" s="82"/>
      <c r="I92" s="82"/>
      <c r="J92" s="82"/>
      <c r="K92" s="83"/>
      <c r="L92" s="74"/>
      <c r="M92" s="81"/>
      <c r="N92" s="82"/>
      <c r="O92" s="82"/>
      <c r="P92" s="82"/>
      <c r="Q92" s="83"/>
      <c r="R92" s="74"/>
      <c r="S92" s="81"/>
      <c r="T92" s="82"/>
      <c r="U92" s="82"/>
      <c r="V92" s="82"/>
      <c r="W92" s="83"/>
      <c r="X92" s="74"/>
      <c r="Y92" s="81"/>
      <c r="Z92" s="82"/>
      <c r="AA92" s="82"/>
      <c r="AB92" s="82"/>
      <c r="AC92" s="83"/>
      <c r="AD92" s="74"/>
      <c r="AE92" s="81"/>
      <c r="AF92" s="82"/>
      <c r="AG92" s="82"/>
      <c r="AH92" s="82"/>
      <c r="AI92" s="83"/>
      <c r="AJ92" s="74"/>
      <c r="AK92" s="81"/>
      <c r="AL92" s="82"/>
      <c r="AM92" s="82"/>
      <c r="AN92" s="82"/>
      <c r="AO92" s="83"/>
      <c r="AP92" s="74"/>
      <c r="AQ92" s="81"/>
      <c r="AR92" s="82"/>
      <c r="AS92" s="82"/>
      <c r="AT92" s="82"/>
      <c r="AU92" s="83"/>
      <c r="AV92" s="74"/>
      <c r="AW92" s="81"/>
      <c r="AX92" s="82"/>
      <c r="AY92" s="82"/>
      <c r="AZ92" s="82"/>
      <c r="BA92" s="83"/>
      <c r="BB92" s="74"/>
      <c r="BC92" s="81"/>
      <c r="BD92" s="82"/>
      <c r="BE92" s="82"/>
      <c r="BF92" s="82"/>
      <c r="BG92" s="83"/>
      <c r="BH92" s="74"/>
      <c r="BI92" s="81"/>
      <c r="BJ92" s="82"/>
      <c r="BK92" s="82"/>
      <c r="BL92" s="82"/>
      <c r="BM92" s="83"/>
      <c r="BN92" s="74"/>
      <c r="BO92" s="81"/>
      <c r="BP92" s="82"/>
      <c r="BQ92" s="82"/>
      <c r="BR92" s="82"/>
      <c r="BS92" s="83"/>
      <c r="BT92" s="74"/>
      <c r="BU92" s="87"/>
      <c r="BV92" s="69"/>
      <c r="BW92" s="69"/>
      <c r="BX92" s="88"/>
      <c r="BY92" s="89"/>
      <c r="BZ92" s="16"/>
    </row>
    <row r="93" spans="1:78" ht="20.100000000000001" customHeight="1" x14ac:dyDescent="0.2">
      <c r="A93" s="140" t="s">
        <v>19</v>
      </c>
      <c r="B93" s="127" t="s">
        <v>11</v>
      </c>
      <c r="C93" s="128"/>
      <c r="D93" s="136" t="s">
        <v>13</v>
      </c>
      <c r="E93" s="123" t="s">
        <v>12</v>
      </c>
      <c r="F93" s="75"/>
      <c r="G93" s="140" t="s">
        <v>19</v>
      </c>
      <c r="H93" s="127" t="s">
        <v>11</v>
      </c>
      <c r="I93" s="128"/>
      <c r="J93" s="136" t="s">
        <v>13</v>
      </c>
      <c r="K93" s="123" t="s">
        <v>12</v>
      </c>
      <c r="L93" s="75"/>
      <c r="M93" s="140" t="s">
        <v>19</v>
      </c>
      <c r="N93" s="127" t="s">
        <v>11</v>
      </c>
      <c r="O93" s="128"/>
      <c r="P93" s="136" t="s">
        <v>13</v>
      </c>
      <c r="Q93" s="123" t="s">
        <v>12</v>
      </c>
      <c r="R93" s="75"/>
      <c r="S93" s="140" t="s">
        <v>19</v>
      </c>
      <c r="T93" s="127" t="s">
        <v>11</v>
      </c>
      <c r="U93" s="128"/>
      <c r="V93" s="136" t="s">
        <v>13</v>
      </c>
      <c r="W93" s="123" t="s">
        <v>12</v>
      </c>
      <c r="X93" s="75"/>
      <c r="Y93" s="140" t="s">
        <v>19</v>
      </c>
      <c r="Z93" s="127" t="s">
        <v>11</v>
      </c>
      <c r="AA93" s="128"/>
      <c r="AB93" s="136" t="s">
        <v>13</v>
      </c>
      <c r="AC93" s="123" t="s">
        <v>12</v>
      </c>
      <c r="AD93" s="75"/>
      <c r="AE93" s="140" t="s">
        <v>19</v>
      </c>
      <c r="AF93" s="127" t="s">
        <v>11</v>
      </c>
      <c r="AG93" s="128"/>
      <c r="AH93" s="136" t="s">
        <v>13</v>
      </c>
      <c r="AI93" s="123" t="s">
        <v>12</v>
      </c>
      <c r="AJ93" s="75"/>
      <c r="AK93" s="140" t="s">
        <v>19</v>
      </c>
      <c r="AL93" s="127" t="s">
        <v>11</v>
      </c>
      <c r="AM93" s="128"/>
      <c r="AN93" s="136" t="s">
        <v>13</v>
      </c>
      <c r="AO93" s="123" t="s">
        <v>12</v>
      </c>
      <c r="AP93" s="75"/>
      <c r="AQ93" s="140" t="s">
        <v>19</v>
      </c>
      <c r="AR93" s="127" t="s">
        <v>11</v>
      </c>
      <c r="AS93" s="128"/>
      <c r="AT93" s="136" t="s">
        <v>13</v>
      </c>
      <c r="AU93" s="123" t="s">
        <v>12</v>
      </c>
      <c r="AV93" s="75"/>
      <c r="AW93" s="140" t="s">
        <v>19</v>
      </c>
      <c r="AX93" s="127" t="s">
        <v>11</v>
      </c>
      <c r="AY93" s="128"/>
      <c r="AZ93" s="136" t="s">
        <v>13</v>
      </c>
      <c r="BA93" s="123" t="s">
        <v>12</v>
      </c>
      <c r="BB93" s="75"/>
      <c r="BC93" s="140" t="s">
        <v>19</v>
      </c>
      <c r="BD93" s="127" t="s">
        <v>11</v>
      </c>
      <c r="BE93" s="128"/>
      <c r="BF93" s="136" t="s">
        <v>13</v>
      </c>
      <c r="BG93" s="123" t="s">
        <v>12</v>
      </c>
      <c r="BH93" s="75"/>
      <c r="BI93" s="140" t="s">
        <v>19</v>
      </c>
      <c r="BJ93" s="127" t="s">
        <v>11</v>
      </c>
      <c r="BK93" s="128"/>
      <c r="BL93" s="136" t="s">
        <v>13</v>
      </c>
      <c r="BM93" s="123" t="s">
        <v>12</v>
      </c>
      <c r="BN93" s="75"/>
      <c r="BO93" s="140" t="s">
        <v>19</v>
      </c>
      <c r="BP93" s="127" t="s">
        <v>11</v>
      </c>
      <c r="BQ93" s="128"/>
      <c r="BR93" s="136" t="s">
        <v>13</v>
      </c>
      <c r="BS93" s="123" t="s">
        <v>12</v>
      </c>
      <c r="BT93" s="75"/>
      <c r="BU93" s="138" t="s">
        <v>3</v>
      </c>
      <c r="BV93" s="127" t="s">
        <v>11</v>
      </c>
      <c r="BW93" s="128"/>
      <c r="BX93" s="142" t="s">
        <v>13</v>
      </c>
      <c r="BY93" s="121" t="s">
        <v>12</v>
      </c>
      <c r="BZ93" s="16"/>
    </row>
    <row r="94" spans="1:78" ht="20.100000000000001" customHeight="1" thickBot="1" x14ac:dyDescent="0.25">
      <c r="A94" s="141"/>
      <c r="B94" s="129" t="s">
        <v>10</v>
      </c>
      <c r="C94" s="130"/>
      <c r="D94" s="137"/>
      <c r="E94" s="124"/>
      <c r="F94" s="75"/>
      <c r="G94" s="141"/>
      <c r="H94" s="129" t="s">
        <v>10</v>
      </c>
      <c r="I94" s="130"/>
      <c r="J94" s="137"/>
      <c r="K94" s="124"/>
      <c r="L94" s="75"/>
      <c r="M94" s="141"/>
      <c r="N94" s="129" t="s">
        <v>10</v>
      </c>
      <c r="O94" s="130"/>
      <c r="P94" s="137"/>
      <c r="Q94" s="124"/>
      <c r="R94" s="75"/>
      <c r="S94" s="141"/>
      <c r="T94" s="129" t="s">
        <v>10</v>
      </c>
      <c r="U94" s="130"/>
      <c r="V94" s="137"/>
      <c r="W94" s="124"/>
      <c r="X94" s="75"/>
      <c r="Y94" s="141"/>
      <c r="Z94" s="129" t="s">
        <v>10</v>
      </c>
      <c r="AA94" s="130"/>
      <c r="AB94" s="137"/>
      <c r="AC94" s="124"/>
      <c r="AD94" s="75"/>
      <c r="AE94" s="141"/>
      <c r="AF94" s="129" t="s">
        <v>10</v>
      </c>
      <c r="AG94" s="130"/>
      <c r="AH94" s="137"/>
      <c r="AI94" s="124"/>
      <c r="AJ94" s="75"/>
      <c r="AK94" s="141"/>
      <c r="AL94" s="129" t="s">
        <v>10</v>
      </c>
      <c r="AM94" s="130"/>
      <c r="AN94" s="137"/>
      <c r="AO94" s="124"/>
      <c r="AP94" s="75"/>
      <c r="AQ94" s="141"/>
      <c r="AR94" s="129" t="s">
        <v>10</v>
      </c>
      <c r="AS94" s="130"/>
      <c r="AT94" s="137"/>
      <c r="AU94" s="124"/>
      <c r="AV94" s="75"/>
      <c r="AW94" s="141"/>
      <c r="AX94" s="129" t="s">
        <v>10</v>
      </c>
      <c r="AY94" s="130"/>
      <c r="AZ94" s="137"/>
      <c r="BA94" s="124"/>
      <c r="BB94" s="75"/>
      <c r="BC94" s="141"/>
      <c r="BD94" s="129" t="s">
        <v>10</v>
      </c>
      <c r="BE94" s="130"/>
      <c r="BF94" s="137"/>
      <c r="BG94" s="124"/>
      <c r="BH94" s="75"/>
      <c r="BI94" s="141"/>
      <c r="BJ94" s="129" t="s">
        <v>10</v>
      </c>
      <c r="BK94" s="130"/>
      <c r="BL94" s="137"/>
      <c r="BM94" s="124"/>
      <c r="BN94" s="75"/>
      <c r="BO94" s="141"/>
      <c r="BP94" s="129" t="s">
        <v>10</v>
      </c>
      <c r="BQ94" s="130"/>
      <c r="BR94" s="137"/>
      <c r="BS94" s="124"/>
      <c r="BT94" s="75"/>
      <c r="BU94" s="139"/>
      <c r="BV94" s="129" t="s">
        <v>10</v>
      </c>
      <c r="BW94" s="130"/>
      <c r="BX94" s="137"/>
      <c r="BY94" s="122"/>
    </row>
    <row r="95" spans="1:78" ht="20.100000000000001" customHeight="1" thickBot="1" x14ac:dyDescent="0.25">
      <c r="A95" s="109" t="s">
        <v>28</v>
      </c>
      <c r="B95" s="112" t="s">
        <v>1</v>
      </c>
      <c r="C95" s="4" t="s">
        <v>4</v>
      </c>
      <c r="D95" s="28">
        <f>SUM(D6+D13+D20+D27+D34+D41+D48+D55+D62+D69+D76+D83)</f>
        <v>528</v>
      </c>
      <c r="E95" s="28">
        <f>SUM(E6+E13+E20+E27+E34+E41+E48+E55+E62+E69+E76+E83)</f>
        <v>19</v>
      </c>
      <c r="F95" s="75"/>
      <c r="G95" s="109" t="s">
        <v>28</v>
      </c>
      <c r="H95" s="112" t="s">
        <v>1</v>
      </c>
      <c r="I95" s="4" t="s">
        <v>4</v>
      </c>
      <c r="J95" s="28">
        <f>SUM(J6+J13+J20+J27+J34+J41+J48+J55+J62+J69+J76+J83)</f>
        <v>892</v>
      </c>
      <c r="K95" s="28">
        <f>SUM(K6+K13+K20+K27+K34+K41+K48+K55+K62+K69+K76+K83)</f>
        <v>22</v>
      </c>
      <c r="L95" s="75"/>
      <c r="M95" s="109" t="s">
        <v>28</v>
      </c>
      <c r="N95" s="112" t="s">
        <v>1</v>
      </c>
      <c r="O95" s="4" t="s">
        <v>4</v>
      </c>
      <c r="P95" s="28">
        <f>SUM(P6+P13+P20+P27+P34+P41+P48+P55+P62+P69+P76+P83)</f>
        <v>14</v>
      </c>
      <c r="Q95" s="28">
        <f>SUM(Q6+Q13+Q20+Q27+Q34+Q41+Q48+Q55+Q62+Q69+Q76+Q83)</f>
        <v>17</v>
      </c>
      <c r="R95" s="75"/>
      <c r="S95" s="109" t="s">
        <v>28</v>
      </c>
      <c r="T95" s="112" t="s">
        <v>1</v>
      </c>
      <c r="U95" s="4" t="s">
        <v>4</v>
      </c>
      <c r="V95" s="28">
        <f>SUM(V6+V13+V20+V27+V34+V41+V48+V55+V62+V69+V76+V83)</f>
        <v>0</v>
      </c>
      <c r="W95" s="28">
        <f>SUM(W6+W13+W20+W27+W34+W41+W48+W55+W62+W69+W76+W83)</f>
        <v>0</v>
      </c>
      <c r="X95" s="75"/>
      <c r="Y95" s="109" t="s">
        <v>28</v>
      </c>
      <c r="Z95" s="112" t="s">
        <v>1</v>
      </c>
      <c r="AA95" s="4" t="s">
        <v>4</v>
      </c>
      <c r="AB95" s="28">
        <f>SUM(AB6+AB13+AB20+AB27+AB34+AB41+AB48+AB55+AB62+AB69+AB76+AB83)</f>
        <v>0</v>
      </c>
      <c r="AC95" s="28">
        <f>SUM(AC6+AC13+AC20+AC27+AC34+AC41+AC48+AC55+AC62+AC69+AC76+AC83)</f>
        <v>0</v>
      </c>
      <c r="AD95" s="75"/>
      <c r="AE95" s="109" t="s">
        <v>28</v>
      </c>
      <c r="AF95" s="112" t="s">
        <v>1</v>
      </c>
      <c r="AG95" s="4" t="s">
        <v>4</v>
      </c>
      <c r="AH95" s="28">
        <f>SUM(AH6+AH13+AH20+AH27+AH34+AH41+AH48+AH55+AH62+AH69+AH76+AH83)</f>
        <v>0</v>
      </c>
      <c r="AI95" s="28">
        <f>SUM(AI6+AI13+AI20+AI27+AI34+AI41+AI48+AI55+AI62+AI69+AI76+AI83)</f>
        <v>0</v>
      </c>
      <c r="AJ95" s="75"/>
      <c r="AK95" s="109" t="s">
        <v>28</v>
      </c>
      <c r="AL95" s="112" t="s">
        <v>1</v>
      </c>
      <c r="AM95" s="4" t="s">
        <v>4</v>
      </c>
      <c r="AN95" s="28">
        <f>SUM(AN6+AN13+AN20+AN27+AN34+AN41+AN48+AN55+AN62+AN69+AN76+AN83)</f>
        <v>0</v>
      </c>
      <c r="AO95" s="28">
        <f>SUM(AO6+AO13+AO20+AO27+AO34+AO41+AO48+AO55+AO62+AO69+AO76+AO83)</f>
        <v>0</v>
      </c>
      <c r="AP95" s="75"/>
      <c r="AQ95" s="109" t="s">
        <v>28</v>
      </c>
      <c r="AR95" s="112" t="s">
        <v>1</v>
      </c>
      <c r="AS95" s="4" t="s">
        <v>4</v>
      </c>
      <c r="AT95" s="28">
        <f>SUM(AT6+AT13+AT20+AT27+AT34+AT41+AT48+AT55+AT62+AT69+AT76+AT83)</f>
        <v>9</v>
      </c>
      <c r="AU95" s="28">
        <f>SUM(AU6+AU13+AU20+AU27+AU34+AU41+AU48+AU55+AU62+AU69+AU76+AU83)</f>
        <v>11</v>
      </c>
      <c r="AV95" s="75"/>
      <c r="AW95" s="109" t="s">
        <v>28</v>
      </c>
      <c r="AX95" s="112" t="s">
        <v>1</v>
      </c>
      <c r="AY95" s="4" t="s">
        <v>4</v>
      </c>
      <c r="AZ95" s="28">
        <f>SUM(AZ6+AZ13+AZ20+AZ27+AZ34+AZ41+AZ48+AZ55+AZ62+AZ69+AZ76+AZ83)</f>
        <v>59</v>
      </c>
      <c r="BA95" s="28">
        <f>SUM(BA6+BA13+BA20+BA27+BA34+BA41+BA48+BA55+BA62+BA69+BA76+BA83)</f>
        <v>59</v>
      </c>
      <c r="BB95" s="75"/>
      <c r="BC95" s="109" t="s">
        <v>28</v>
      </c>
      <c r="BD95" s="112" t="s">
        <v>1</v>
      </c>
      <c r="BE95" s="4" t="s">
        <v>4</v>
      </c>
      <c r="BF95" s="28">
        <f>SUM(BF6+BF13+BF20+BF27+BF34+BF41+BF48+BF55+BF62+BF69+BF76+BF83)</f>
        <v>528</v>
      </c>
      <c r="BG95" s="28">
        <f>SUM(BG6+BG13+BG20+BG27+BG34+BG41+BG48+BG55+BG62+BG69+BG76+BG83)</f>
        <v>19</v>
      </c>
      <c r="BH95" s="75"/>
      <c r="BI95" s="109" t="s">
        <v>28</v>
      </c>
      <c r="BJ95" s="112" t="s">
        <v>1</v>
      </c>
      <c r="BK95" s="4" t="s">
        <v>4</v>
      </c>
      <c r="BL95" s="28">
        <f>SUM(BL6+BL13+BL20+BL27+BL34+BL41+BL48+BL55+BL62+BL69+BL76+BL83)</f>
        <v>0</v>
      </c>
      <c r="BM95" s="28">
        <f>SUM(BM6+BM13+BM20+BM27+BM34+BM41+BM48+BM55+BM62+BM69+BM76+BM83)</f>
        <v>0</v>
      </c>
      <c r="BN95" s="75"/>
      <c r="BO95" s="109" t="s">
        <v>28</v>
      </c>
      <c r="BP95" s="112" t="s">
        <v>1</v>
      </c>
      <c r="BQ95" s="4" t="s">
        <v>4</v>
      </c>
      <c r="BR95" s="28">
        <f>SUM(BR6+BR13+BR20+BR27+BR34+BR41+BR48+BR55+BR62+BR69+BR76+BR83)</f>
        <v>0</v>
      </c>
      <c r="BS95" s="28">
        <f>SUM(BS6+BS13+BS20+BS27+BS34+BS41+BS48+BS55+BS62+BS69+BS76+BS83)</f>
        <v>0</v>
      </c>
      <c r="BT95" s="75"/>
      <c r="BU95" s="109" t="str">
        <f>(BO95)</f>
        <v>إجمالي مراكز مستشفى شرق جدة</v>
      </c>
      <c r="BV95" s="112" t="s">
        <v>1</v>
      </c>
      <c r="BW95" s="4" t="s">
        <v>4</v>
      </c>
      <c r="BX95" s="28">
        <f>SUM(BX6+BX13+BX20+BX27+BX34+BX41+BX48+BX55+BX62+BX69+BX76+BX83)</f>
        <v>2030</v>
      </c>
      <c r="BY95" s="28">
        <f>SUM(BY6+BY13+BY20+BY27+BY34+BY41+BY48+BY55+BY62+BY69+BY76+BY83)</f>
        <v>147</v>
      </c>
      <c r="BZ95" s="16"/>
    </row>
    <row r="96" spans="1:78" ht="20.100000000000001" customHeight="1" thickBot="1" x14ac:dyDescent="0.25">
      <c r="A96" s="110"/>
      <c r="B96" s="113"/>
      <c r="C96" s="7" t="s">
        <v>5</v>
      </c>
      <c r="D96" s="28">
        <f>SUM(D7+D14+D21+D28+D35+D42+D49+D56+D63+D70+D77+D84)</f>
        <v>461</v>
      </c>
      <c r="E96" s="28">
        <f>SUM(E7+E14+E21+E28+E35+E42+E49+E56+E63+E70+E77+E84)</f>
        <v>19</v>
      </c>
      <c r="F96" s="75"/>
      <c r="G96" s="110"/>
      <c r="H96" s="113"/>
      <c r="I96" s="7" t="s">
        <v>5</v>
      </c>
      <c r="J96" s="28">
        <f>SUM(J7+J14+J21+J28+J35+J42+J49+J56+J63+J70+J77+J84)</f>
        <v>254</v>
      </c>
      <c r="K96" s="28">
        <f>SUM(K7+K14+K21+K28+K35+K42+K49+K56+K63+K70+K77+K84)</f>
        <v>20</v>
      </c>
      <c r="L96" s="75"/>
      <c r="M96" s="110"/>
      <c r="N96" s="113"/>
      <c r="O96" s="7" t="s">
        <v>5</v>
      </c>
      <c r="P96" s="28">
        <f>SUM(P7+P14+P21+P28+P35+P42+P49+P56+P63+P70+P77+P84)</f>
        <v>16</v>
      </c>
      <c r="Q96" s="28">
        <f>SUM(Q7+Q14+Q21+Q28+Q35+Q42+Q49+Q56+Q63+Q70+Q77+Q84)</f>
        <v>19</v>
      </c>
      <c r="R96" s="75"/>
      <c r="S96" s="110"/>
      <c r="T96" s="113"/>
      <c r="U96" s="7" t="s">
        <v>5</v>
      </c>
      <c r="V96" s="28">
        <f>SUM(V7+V14+V21+V28+V35+V42+V49+V56+V63+V70+V77+V84)</f>
        <v>0</v>
      </c>
      <c r="W96" s="28">
        <f>SUM(W7+W14+W21+W28+W35+W42+W49+W56+W63+W70+W77+W84)</f>
        <v>0</v>
      </c>
      <c r="X96" s="75"/>
      <c r="Y96" s="110"/>
      <c r="Z96" s="113"/>
      <c r="AA96" s="7" t="s">
        <v>5</v>
      </c>
      <c r="AB96" s="28">
        <f>SUM(AB7+AB14+AB21+AB28+AB35+AB42+AB49+AB56+AB63+AB70+AB77+AB84)</f>
        <v>0</v>
      </c>
      <c r="AC96" s="28">
        <f>SUM(AC7+AC14+AC21+AC28+AC35+AC42+AC49+AC56+AC63+AC70+AC77+AC84)</f>
        <v>0</v>
      </c>
      <c r="AD96" s="75"/>
      <c r="AE96" s="110"/>
      <c r="AF96" s="113"/>
      <c r="AG96" s="7" t="s">
        <v>5</v>
      </c>
      <c r="AH96" s="28">
        <f>SUM(AH7+AH14+AH21+AH28+AH35+AH42+AH49+AH56+AH63+AH70+AH77+AH84)</f>
        <v>0</v>
      </c>
      <c r="AI96" s="28">
        <f>SUM(AI7+AI14+AI21+AI28+AI35+AI42+AI49+AI56+AI63+AI70+AI77+AI84)</f>
        <v>0</v>
      </c>
      <c r="AJ96" s="75"/>
      <c r="AK96" s="110"/>
      <c r="AL96" s="113"/>
      <c r="AM96" s="7" t="s">
        <v>5</v>
      </c>
      <c r="AN96" s="28">
        <f>SUM(AN7+AN14+AN21+AN28+AN35+AN42+AN49+AN56+AN63+AN70+AN77+AN84)</f>
        <v>0</v>
      </c>
      <c r="AO96" s="28">
        <f>SUM(AO7+AO14+AO21+AO28+AO35+AO42+AO49+AO56+AO63+AO70+AO77+AO84)</f>
        <v>0</v>
      </c>
      <c r="AP96" s="75"/>
      <c r="AQ96" s="110"/>
      <c r="AR96" s="113"/>
      <c r="AS96" s="7" t="s">
        <v>5</v>
      </c>
      <c r="AT96" s="28">
        <f>SUM(AT7+AT14+AT21+AT28+AT35+AT42+AT49+AT56+AT63+AT70+AT77+AT84)</f>
        <v>11</v>
      </c>
      <c r="AU96" s="28">
        <f>SUM(AU7+AU14+AU21+AU28+AU35+AU42+AU49+AU56+AU63+AU70+AU77+AU84)</f>
        <v>13</v>
      </c>
      <c r="AV96" s="75"/>
      <c r="AW96" s="110"/>
      <c r="AX96" s="113"/>
      <c r="AY96" s="7" t="s">
        <v>5</v>
      </c>
      <c r="AZ96" s="28">
        <f>SUM(AZ7+AZ14+AZ21+AZ28+AZ35+AZ42+AZ49+AZ56+AZ63+AZ70+AZ77+AZ84)</f>
        <v>75</v>
      </c>
      <c r="BA96" s="28">
        <f>SUM(BA7+BA14+BA21+BA28+BA35+BA42+BA49+BA56+BA63+BA70+BA77+BA84)</f>
        <v>75</v>
      </c>
      <c r="BB96" s="75"/>
      <c r="BC96" s="110"/>
      <c r="BD96" s="113"/>
      <c r="BE96" s="7" t="s">
        <v>5</v>
      </c>
      <c r="BF96" s="28">
        <f>SUM(BF7+BF14+BF21+BF28+BF35+BF42+BF49+BF56+BF63+BF70+BF77+BF84)</f>
        <v>461</v>
      </c>
      <c r="BG96" s="28">
        <f>SUM(BG7+BG14+BG21+BG28+BG35+BG42+BG49+BG56+BG63+BG70+BG77+BG84)</f>
        <v>19</v>
      </c>
      <c r="BH96" s="75"/>
      <c r="BI96" s="110"/>
      <c r="BJ96" s="113"/>
      <c r="BK96" s="7" t="s">
        <v>5</v>
      </c>
      <c r="BL96" s="28">
        <f>SUM(BL7+BL14+BL21+BL28+BL35+BL42+BL49+BL56+BL63+BL70+BL77+BL84)</f>
        <v>0</v>
      </c>
      <c r="BM96" s="28">
        <f>SUM(BM7+BM14+BM21+BM28+BM35+BM42+BM49+BM56+BM63+BM70+BM77+BM84)</f>
        <v>0</v>
      </c>
      <c r="BN96" s="75"/>
      <c r="BO96" s="110"/>
      <c r="BP96" s="113"/>
      <c r="BQ96" s="7" t="s">
        <v>5</v>
      </c>
      <c r="BR96" s="28">
        <f>SUM(BR7+BR14+BR21+BR28+BR35+BR42+BR49+BR56+BR63+BR70+BR77+BR84)</f>
        <v>0</v>
      </c>
      <c r="BS96" s="28">
        <f>SUM(BS7+BS14+BS21+BS28+BS35+BS42+BS49+BS56+BS63+BS70+BS77+BS84)</f>
        <v>0</v>
      </c>
      <c r="BT96" s="75"/>
      <c r="BU96" s="110"/>
      <c r="BV96" s="113"/>
      <c r="BW96" s="7" t="s">
        <v>5</v>
      </c>
      <c r="BX96" s="28">
        <f>SUM(BX7+BX14+BX21+BX28+BX35+BX42+BX49+BX56+BX63+BX70+BX77+BX84)</f>
        <v>1278</v>
      </c>
      <c r="BY96" s="28">
        <f>SUM(BY7+BY14+BY21+BY28+BY35+BY42+BY49+BY56+BY63+BY70+BY77+BY84)</f>
        <v>165</v>
      </c>
      <c r="BZ96" s="16"/>
    </row>
    <row r="97" spans="1:78" ht="20.100000000000001" customHeight="1" thickBot="1" x14ac:dyDescent="0.25">
      <c r="A97" s="110"/>
      <c r="B97" s="114" t="s">
        <v>6</v>
      </c>
      <c r="C97" s="118"/>
      <c r="D97" s="30">
        <f>SUM(D95:D96)</f>
        <v>989</v>
      </c>
      <c r="E97" s="72">
        <f>SUM(E95:E96)</f>
        <v>38</v>
      </c>
      <c r="F97" s="75"/>
      <c r="G97" s="110"/>
      <c r="H97" s="114" t="s">
        <v>6</v>
      </c>
      <c r="I97" s="118"/>
      <c r="J97" s="30">
        <f>SUM(J95:J96)</f>
        <v>1146</v>
      </c>
      <c r="K97" s="72">
        <f>SUM(K95:K96)</f>
        <v>42</v>
      </c>
      <c r="L97" s="75"/>
      <c r="M97" s="110"/>
      <c r="N97" s="114" t="s">
        <v>6</v>
      </c>
      <c r="O97" s="118"/>
      <c r="P97" s="30">
        <f>SUM(P95:P96)</f>
        <v>30</v>
      </c>
      <c r="Q97" s="72">
        <f>SUM(Q95:Q96)</f>
        <v>36</v>
      </c>
      <c r="R97" s="75"/>
      <c r="S97" s="110"/>
      <c r="T97" s="114" t="s">
        <v>6</v>
      </c>
      <c r="U97" s="118"/>
      <c r="V97" s="30">
        <f>SUM(V95:V96)</f>
        <v>0</v>
      </c>
      <c r="W97" s="72">
        <f>SUM(W95:W96)</f>
        <v>0</v>
      </c>
      <c r="X97" s="75"/>
      <c r="Y97" s="110"/>
      <c r="Z97" s="114" t="s">
        <v>6</v>
      </c>
      <c r="AA97" s="118"/>
      <c r="AB97" s="30">
        <f>SUM(AB95:AB96)</f>
        <v>0</v>
      </c>
      <c r="AC97" s="72">
        <f>SUM(AC95:AC96)</f>
        <v>0</v>
      </c>
      <c r="AD97" s="75"/>
      <c r="AE97" s="110"/>
      <c r="AF97" s="114" t="s">
        <v>6</v>
      </c>
      <c r="AG97" s="118"/>
      <c r="AH97" s="30">
        <f>SUM(AH95:AH96)</f>
        <v>0</v>
      </c>
      <c r="AI97" s="72">
        <f>SUM(AI95:AI96)</f>
        <v>0</v>
      </c>
      <c r="AJ97" s="75"/>
      <c r="AK97" s="110"/>
      <c r="AL97" s="114" t="s">
        <v>6</v>
      </c>
      <c r="AM97" s="118"/>
      <c r="AN97" s="30">
        <f>SUM(AN95:AN96)</f>
        <v>0</v>
      </c>
      <c r="AO97" s="72">
        <f>SUM(AO95:AO96)</f>
        <v>0</v>
      </c>
      <c r="AP97" s="75"/>
      <c r="AQ97" s="110"/>
      <c r="AR97" s="114" t="s">
        <v>6</v>
      </c>
      <c r="AS97" s="118"/>
      <c r="AT97" s="30">
        <f>SUM(AT95:AT96)</f>
        <v>20</v>
      </c>
      <c r="AU97" s="72">
        <f>SUM(AU95:AU96)</f>
        <v>24</v>
      </c>
      <c r="AV97" s="75"/>
      <c r="AW97" s="110"/>
      <c r="AX97" s="114" t="s">
        <v>6</v>
      </c>
      <c r="AY97" s="118"/>
      <c r="AZ97" s="30">
        <f>SUM(AZ95:AZ96)</f>
        <v>134</v>
      </c>
      <c r="BA97" s="72">
        <f>SUM(BA95:BA96)</f>
        <v>134</v>
      </c>
      <c r="BB97" s="75"/>
      <c r="BC97" s="110"/>
      <c r="BD97" s="114" t="s">
        <v>6</v>
      </c>
      <c r="BE97" s="118"/>
      <c r="BF97" s="30">
        <f>SUM(BF95:BF96)</f>
        <v>989</v>
      </c>
      <c r="BG97" s="72">
        <f>SUM(BG95:BG96)</f>
        <v>38</v>
      </c>
      <c r="BH97" s="75"/>
      <c r="BI97" s="110"/>
      <c r="BJ97" s="114" t="s">
        <v>6</v>
      </c>
      <c r="BK97" s="118"/>
      <c r="BL97" s="30">
        <f>SUM(BL95:BL96)</f>
        <v>0</v>
      </c>
      <c r="BM97" s="72">
        <f>SUM(BM95:BM96)</f>
        <v>0</v>
      </c>
      <c r="BN97" s="75"/>
      <c r="BO97" s="110"/>
      <c r="BP97" s="114" t="s">
        <v>6</v>
      </c>
      <c r="BQ97" s="118"/>
      <c r="BR97" s="30">
        <f>SUM(BR95:BR96)</f>
        <v>0</v>
      </c>
      <c r="BS97" s="72">
        <f>SUM(BS95:BS96)</f>
        <v>0</v>
      </c>
      <c r="BT97" s="75"/>
      <c r="BU97" s="110"/>
      <c r="BV97" s="114" t="s">
        <v>6</v>
      </c>
      <c r="BW97" s="115"/>
      <c r="BX97" s="30">
        <f>SUM(BX95:BX96)</f>
        <v>3308</v>
      </c>
      <c r="BY97" s="72">
        <f>SUM(BY95:BY96)</f>
        <v>312</v>
      </c>
      <c r="BZ97" s="16"/>
    </row>
    <row r="98" spans="1:78" ht="20.100000000000001" customHeight="1" thickBot="1" x14ac:dyDescent="0.25">
      <c r="A98" s="110"/>
      <c r="B98" s="119" t="s">
        <v>7</v>
      </c>
      <c r="C98" s="4" t="s">
        <v>4</v>
      </c>
      <c r="D98" s="28">
        <f>SUM(D9+D16+D23+D30+D37+D44+D51+D58+D65+D72+D79+D86)</f>
        <v>10</v>
      </c>
      <c r="E98" s="28">
        <f>SUM(E9+E16+E23+E30+E37+E44+E51+E58+E65+E72+E79+E86)</f>
        <v>0</v>
      </c>
      <c r="F98" s="75"/>
      <c r="G98" s="110"/>
      <c r="H98" s="119" t="s">
        <v>7</v>
      </c>
      <c r="I98" s="4" t="s">
        <v>4</v>
      </c>
      <c r="J98" s="28">
        <f>SUM(J9+J16+J23+J30+J37+J44+J51+J58+J65+J72+J79+J86)</f>
        <v>54</v>
      </c>
      <c r="K98" s="28">
        <f>SUM(K9+K16+K23+K30+K37+K44+K51+K58+K65+K72+K79+K86)</f>
        <v>0</v>
      </c>
      <c r="L98" s="75"/>
      <c r="M98" s="110"/>
      <c r="N98" s="119" t="s">
        <v>7</v>
      </c>
      <c r="O98" s="4" t="s">
        <v>4</v>
      </c>
      <c r="P98" s="28">
        <f>SUM(P9+P16+P23+P30+P37+P44+P51+P58+P65+P72+P79+P86)</f>
        <v>0</v>
      </c>
      <c r="Q98" s="28">
        <f>SUM(Q9+Q16+Q23+Q30+Q37+Q44+Q51+Q58+Q65+Q72+Q79+Q86)</f>
        <v>0</v>
      </c>
      <c r="R98" s="75"/>
      <c r="S98" s="110"/>
      <c r="T98" s="119" t="s">
        <v>7</v>
      </c>
      <c r="U98" s="4" t="s">
        <v>4</v>
      </c>
      <c r="V98" s="28">
        <f>SUM(V9+V16+V23+V30+V37+V44+V51+V58+V65+V72+V79+V86)</f>
        <v>0</v>
      </c>
      <c r="W98" s="28">
        <f>SUM(W9+W16+W23+W30+W37+W44+W51+W58+W65+W72+W79+W86)</f>
        <v>0</v>
      </c>
      <c r="X98" s="75"/>
      <c r="Y98" s="110"/>
      <c r="Z98" s="119" t="s">
        <v>7</v>
      </c>
      <c r="AA98" s="4" t="s">
        <v>4</v>
      </c>
      <c r="AB98" s="28">
        <f>SUM(AB9+AB16+AB23+AB30+AB37+AB44+AB51+AB58+AB65+AB72+AB79+AB86)</f>
        <v>0</v>
      </c>
      <c r="AC98" s="28">
        <f>SUM(AC9+AC16+AC23+AC30+AC37+AC44+AC51+AC58+AC65+AC72+AC79+AC86)</f>
        <v>0</v>
      </c>
      <c r="AD98" s="75"/>
      <c r="AE98" s="110"/>
      <c r="AF98" s="119" t="s">
        <v>7</v>
      </c>
      <c r="AG98" s="4" t="s">
        <v>4</v>
      </c>
      <c r="AH98" s="28">
        <f>SUM(AH9+AH16+AH23+AH30+AH37+AH44+AH51+AH58+AH65+AH72+AH79+AH86)</f>
        <v>0</v>
      </c>
      <c r="AI98" s="28">
        <f>SUM(AI9+AI16+AI23+AI30+AI37+AI44+AI51+AI58+AI65+AI72+AI79+AI86)</f>
        <v>0</v>
      </c>
      <c r="AJ98" s="75"/>
      <c r="AK98" s="110"/>
      <c r="AL98" s="119" t="s">
        <v>7</v>
      </c>
      <c r="AM98" s="4" t="s">
        <v>4</v>
      </c>
      <c r="AN98" s="28">
        <f>SUM(AN9+AN16+AN23+AN30+AN37+AN44+AN51+AN58+AN65+AN72+AN79+AN86)</f>
        <v>0</v>
      </c>
      <c r="AO98" s="28">
        <f>SUM(AO9+AO16+AO23+AO30+AO37+AO44+AO51+AO58+AO65+AO72+AO79+AO86)</f>
        <v>0</v>
      </c>
      <c r="AP98" s="75"/>
      <c r="AQ98" s="110"/>
      <c r="AR98" s="119" t="s">
        <v>7</v>
      </c>
      <c r="AS98" s="4" t="s">
        <v>4</v>
      </c>
      <c r="AT98" s="28">
        <f>SUM(AT9+AT16+AT23+AT30+AT37+AT44+AT51+AT58+AT65+AT72+AT79+AT86)</f>
        <v>0</v>
      </c>
      <c r="AU98" s="28">
        <f>SUM(AU9+AU16+AU23+AU30+AU37+AU44+AU51+AU58+AU65+AU72+AU79+AU86)</f>
        <v>0</v>
      </c>
      <c r="AV98" s="75"/>
      <c r="AW98" s="110"/>
      <c r="AX98" s="119" t="s">
        <v>7</v>
      </c>
      <c r="AY98" s="4" t="s">
        <v>4</v>
      </c>
      <c r="AZ98" s="28">
        <f>SUM(AZ9+AZ16+AZ23+AZ30+AZ37+AZ44+AZ51+AZ58+AZ65+AZ72+AZ79+AZ86)</f>
        <v>15</v>
      </c>
      <c r="BA98" s="28">
        <f>SUM(BA9+BA16+BA23+BA30+BA37+BA44+BA51+BA58+BA65+BA72+BA79+BA86)</f>
        <v>15</v>
      </c>
      <c r="BB98" s="75"/>
      <c r="BC98" s="110"/>
      <c r="BD98" s="119" t="s">
        <v>7</v>
      </c>
      <c r="BE98" s="4" t="s">
        <v>4</v>
      </c>
      <c r="BF98" s="28">
        <f>SUM(BF9+BF16+BF23+BF30+BF37+BF44+BF51+BF58+BF65+BF72+BF79+BF86)</f>
        <v>10</v>
      </c>
      <c r="BG98" s="28">
        <f>SUM(BG9+BG16+BG23+BG30+BG37+BG44+BG51+BG58+BG65+BG72+BG79+BG86)</f>
        <v>0</v>
      </c>
      <c r="BH98" s="75"/>
      <c r="BI98" s="110"/>
      <c r="BJ98" s="119" t="s">
        <v>7</v>
      </c>
      <c r="BK98" s="4" t="s">
        <v>4</v>
      </c>
      <c r="BL98" s="28">
        <f>SUM(BL9+BL16+BL23+BL30+BL37+BL44+BL51+BL58+BL65+BL72+BL79+BL86)</f>
        <v>0</v>
      </c>
      <c r="BM98" s="28">
        <f>SUM(BM9+BM16+BM23+BM30+BM37+BM44+BM51+BM58+BM65+BM72+BM79+BM86)</f>
        <v>0</v>
      </c>
      <c r="BN98" s="75"/>
      <c r="BO98" s="110"/>
      <c r="BP98" s="119" t="s">
        <v>7</v>
      </c>
      <c r="BQ98" s="4" t="s">
        <v>4</v>
      </c>
      <c r="BR98" s="28">
        <f>SUM(BR9+BR16+BR23+BR30+BR37+BR44+BR51+BR58+BR65+BR72+BR79+BR86)</f>
        <v>0</v>
      </c>
      <c r="BS98" s="28">
        <f>SUM(BS9+BS16+BS23+BS30+BS37+BS44+BS51+BS58+BS65+BS72+BS79+BS86)</f>
        <v>0</v>
      </c>
      <c r="BT98" s="75"/>
      <c r="BU98" s="110"/>
      <c r="BV98" s="121" t="s">
        <v>7</v>
      </c>
      <c r="BW98" s="4" t="s">
        <v>4</v>
      </c>
      <c r="BX98" s="28">
        <f>SUM(BX9+BX16+BX23+BX30+BX37+BX44+BX51+BX58+BX65+BX72+BX79+BX86)</f>
        <v>89</v>
      </c>
      <c r="BY98" s="28">
        <f>SUM(BY9+BY16+BY23+BY30+BY37+BY44+BY51+BY58+BY65+BY72+BY79+BY86)</f>
        <v>15</v>
      </c>
      <c r="BZ98" s="16"/>
    </row>
    <row r="99" spans="1:78" ht="20.100000000000001" customHeight="1" thickBot="1" x14ac:dyDescent="0.25">
      <c r="A99" s="110"/>
      <c r="B99" s="120"/>
      <c r="C99" s="7" t="s">
        <v>5</v>
      </c>
      <c r="D99" s="28">
        <f>SUM(D10+D17+D24+D31+D38+D45+D52+D59+D66+D73+D80+D87)</f>
        <v>9</v>
      </c>
      <c r="E99" s="28">
        <f>SUM(E10+E17+E24+E31+E38+E45+E52+E59+E66+E73+E80+E87)</f>
        <v>0</v>
      </c>
      <c r="F99" s="75"/>
      <c r="G99" s="110"/>
      <c r="H99" s="120"/>
      <c r="I99" s="7" t="s">
        <v>5</v>
      </c>
      <c r="J99" s="28">
        <f>SUM(J10+J17+J24+J31+J38+J45+J52+J59+J66+J73+J80+J87)</f>
        <v>18</v>
      </c>
      <c r="K99" s="28">
        <f>SUM(K10+K17+K24+K31+K38+K45+K52+K59+K66+K73+K80+K87)</f>
        <v>0</v>
      </c>
      <c r="L99" s="75"/>
      <c r="M99" s="110"/>
      <c r="N99" s="120"/>
      <c r="O99" s="7" t="s">
        <v>5</v>
      </c>
      <c r="P99" s="28">
        <f>SUM(P10+P17+P24+P31+P38+P45+P52+P59+P66+P73+P80+P87)</f>
        <v>0</v>
      </c>
      <c r="Q99" s="28">
        <f>SUM(Q10+Q17+Q24+Q31+Q38+Q45+Q52+Q59+Q66+Q73+Q80+Q87)</f>
        <v>0</v>
      </c>
      <c r="R99" s="75"/>
      <c r="S99" s="110"/>
      <c r="T99" s="120"/>
      <c r="U99" s="7" t="s">
        <v>5</v>
      </c>
      <c r="V99" s="28">
        <f>SUM(V10+V17+V24+V31+V38+V45+V52+V59+V66+V73+V80+V87)</f>
        <v>0</v>
      </c>
      <c r="W99" s="28">
        <f>SUM(W10+W17+W24+W31+W38+W45+W52+W59+W66+W73+W80+W87)</f>
        <v>0</v>
      </c>
      <c r="X99" s="75"/>
      <c r="Y99" s="110"/>
      <c r="Z99" s="120"/>
      <c r="AA99" s="7" t="s">
        <v>5</v>
      </c>
      <c r="AB99" s="28">
        <f>SUM(AB10+AB17+AB24+AB31+AB38+AB45+AB52+AB59+AB66+AB73+AB80+AB87)</f>
        <v>0</v>
      </c>
      <c r="AC99" s="28">
        <f>SUM(AC10+AC17+AC24+AC31+AC38+AC45+AC52+AC59+AC66+AC73+AC80+AC87)</f>
        <v>0</v>
      </c>
      <c r="AD99" s="75"/>
      <c r="AE99" s="110"/>
      <c r="AF99" s="120"/>
      <c r="AG99" s="7" t="s">
        <v>5</v>
      </c>
      <c r="AH99" s="28">
        <f>SUM(AH10+AH17+AH24+AH31+AH38+AH45+AH52+AH59+AH66+AH73+AH80+AH87)</f>
        <v>0</v>
      </c>
      <c r="AI99" s="28">
        <f>SUM(AI10+AI17+AI24+AI31+AI38+AI45+AI52+AI59+AI66+AI73+AI80+AI87)</f>
        <v>0</v>
      </c>
      <c r="AJ99" s="75"/>
      <c r="AK99" s="110"/>
      <c r="AL99" s="120"/>
      <c r="AM99" s="7" t="s">
        <v>5</v>
      </c>
      <c r="AN99" s="28">
        <f>SUM(AN10+AN17+AN24+AN31+AN38+AN45+AN52+AN59+AN66+AN73+AN80+AN87)</f>
        <v>0</v>
      </c>
      <c r="AO99" s="28">
        <f>SUM(AO10+AO17+AO24+AO31+AO38+AO45+AO52+AO59+AO66+AO73+AO80+AO87)</f>
        <v>0</v>
      </c>
      <c r="AP99" s="75"/>
      <c r="AQ99" s="110"/>
      <c r="AR99" s="120"/>
      <c r="AS99" s="7" t="s">
        <v>5</v>
      </c>
      <c r="AT99" s="28">
        <f>SUM(AT10+AT17+AT24+AT31+AT38+AT45+AT52+AT59+AT66+AT73+AT80+AT87)</f>
        <v>0</v>
      </c>
      <c r="AU99" s="28">
        <f>SUM(AU10+AU17+AU24+AU31+AU38+AU45+AU52+AU59+AU66+AU73+AU80+AU87)</f>
        <v>0</v>
      </c>
      <c r="AV99" s="75"/>
      <c r="AW99" s="110"/>
      <c r="AX99" s="120"/>
      <c r="AY99" s="7" t="s">
        <v>5</v>
      </c>
      <c r="AZ99" s="28">
        <f>SUM(AZ10+AZ17+AZ24+AZ31+AZ38+AZ45+AZ52+AZ59+AZ66+AZ73+AZ80+AZ87)</f>
        <v>11</v>
      </c>
      <c r="BA99" s="28">
        <f>SUM(BA10+BA17+BA24+BA31+BA38+BA45+BA52+BA59+BA66+BA73+BA80+BA87)</f>
        <v>11</v>
      </c>
      <c r="BB99" s="75"/>
      <c r="BC99" s="110"/>
      <c r="BD99" s="120"/>
      <c r="BE99" s="7" t="s">
        <v>5</v>
      </c>
      <c r="BF99" s="28">
        <f>SUM(BF10+BF17+BF24+BF31+BF38+BF45+BF52+BF59+BF66+BF73+BF80+BF87)</f>
        <v>9</v>
      </c>
      <c r="BG99" s="28">
        <f>SUM(BG10+BG17+BG24+BG31+BG38+BG45+BG52+BG59+BG66+BG73+BG80+BG87)</f>
        <v>0</v>
      </c>
      <c r="BH99" s="75"/>
      <c r="BI99" s="110"/>
      <c r="BJ99" s="120"/>
      <c r="BK99" s="7" t="s">
        <v>5</v>
      </c>
      <c r="BL99" s="28">
        <f>SUM(BL10+BL17+BL24+BL31+BL38+BL45+BL52+BL59+BL66+BL73+BL80+BL87)</f>
        <v>0</v>
      </c>
      <c r="BM99" s="28">
        <f>SUM(BM10+BM17+BM24+BM31+BM38+BM45+BM52+BM59+BM66+BM73+BM80+BM87)</f>
        <v>0</v>
      </c>
      <c r="BN99" s="75"/>
      <c r="BO99" s="110"/>
      <c r="BP99" s="120"/>
      <c r="BQ99" s="7" t="s">
        <v>5</v>
      </c>
      <c r="BR99" s="28">
        <f>SUM(BR10+BR17+BR24+BR31+BR38+BR45+BR52+BR59+BR66+BR73+BR80+BR87)</f>
        <v>0</v>
      </c>
      <c r="BS99" s="28">
        <f>SUM(BS10+BS17+BS24+BS31+BS38+BS45+BS52+BS59+BS66+BS73+BS80+BS87)</f>
        <v>0</v>
      </c>
      <c r="BT99" s="75"/>
      <c r="BU99" s="110"/>
      <c r="BV99" s="122"/>
      <c r="BW99" s="7" t="s">
        <v>5</v>
      </c>
      <c r="BX99" s="28">
        <f>SUM(BX10+BX17+BX24+BX31+BX38+BX45+BX52+BX59+BX66+BX73+BX80+BX87)</f>
        <v>47</v>
      </c>
      <c r="BY99" s="28">
        <f>SUM(BY10+BY17+BY24+BY31+BY38+BY45+BY52+BY59+BY66+BY73+BY80+BY87)</f>
        <v>11</v>
      </c>
      <c r="BZ99" s="16"/>
    </row>
    <row r="100" spans="1:78" ht="20.100000000000001" customHeight="1" thickBot="1" x14ac:dyDescent="0.25">
      <c r="A100" s="110"/>
      <c r="B100" s="116" t="s">
        <v>8</v>
      </c>
      <c r="C100" s="117"/>
      <c r="D100" s="40">
        <f>SUM(D98:D99)</f>
        <v>19</v>
      </c>
      <c r="E100" s="84">
        <f>SUM(E98:E99)</f>
        <v>0</v>
      </c>
      <c r="F100" s="75"/>
      <c r="G100" s="110"/>
      <c r="H100" s="116" t="s">
        <v>8</v>
      </c>
      <c r="I100" s="117"/>
      <c r="J100" s="40">
        <f>SUM(J98:J99)</f>
        <v>72</v>
      </c>
      <c r="K100" s="84">
        <f>SUM(K98:K99)</f>
        <v>0</v>
      </c>
      <c r="L100" s="75"/>
      <c r="M100" s="110"/>
      <c r="N100" s="116" t="s">
        <v>8</v>
      </c>
      <c r="O100" s="117"/>
      <c r="P100" s="40">
        <f>SUM(P98:P99)</f>
        <v>0</v>
      </c>
      <c r="Q100" s="84">
        <f>SUM(Q98:Q99)</f>
        <v>0</v>
      </c>
      <c r="R100" s="75"/>
      <c r="S100" s="110"/>
      <c r="T100" s="116" t="s">
        <v>8</v>
      </c>
      <c r="U100" s="117"/>
      <c r="V100" s="40">
        <f>SUM(V98:V99)</f>
        <v>0</v>
      </c>
      <c r="W100" s="84">
        <f>SUM(W98:W99)</f>
        <v>0</v>
      </c>
      <c r="X100" s="75"/>
      <c r="Y100" s="110"/>
      <c r="Z100" s="116" t="s">
        <v>8</v>
      </c>
      <c r="AA100" s="117"/>
      <c r="AB100" s="40">
        <f>SUM(AB98:AB99)</f>
        <v>0</v>
      </c>
      <c r="AC100" s="84">
        <f>SUM(AC98:AC99)</f>
        <v>0</v>
      </c>
      <c r="AD100" s="75"/>
      <c r="AE100" s="110"/>
      <c r="AF100" s="116" t="s">
        <v>8</v>
      </c>
      <c r="AG100" s="117"/>
      <c r="AH100" s="40">
        <f>SUM(AH98:AH99)</f>
        <v>0</v>
      </c>
      <c r="AI100" s="84">
        <f>SUM(AI98:AI99)</f>
        <v>0</v>
      </c>
      <c r="AJ100" s="75"/>
      <c r="AK100" s="110"/>
      <c r="AL100" s="116" t="s">
        <v>8</v>
      </c>
      <c r="AM100" s="117"/>
      <c r="AN100" s="40">
        <f>SUM(AN98:AN99)</f>
        <v>0</v>
      </c>
      <c r="AO100" s="84">
        <f>SUM(AO98:AO99)</f>
        <v>0</v>
      </c>
      <c r="AP100" s="75"/>
      <c r="AQ100" s="110"/>
      <c r="AR100" s="116" t="s">
        <v>8</v>
      </c>
      <c r="AS100" s="117"/>
      <c r="AT100" s="40">
        <f>SUM(AT98:AT99)</f>
        <v>0</v>
      </c>
      <c r="AU100" s="84">
        <f>SUM(AU98:AU99)</f>
        <v>0</v>
      </c>
      <c r="AV100" s="75"/>
      <c r="AW100" s="110"/>
      <c r="AX100" s="116" t="s">
        <v>8</v>
      </c>
      <c r="AY100" s="117"/>
      <c r="AZ100" s="40">
        <f>SUM(AZ98:AZ99)</f>
        <v>26</v>
      </c>
      <c r="BA100" s="84">
        <f>SUM(BA98:BA99)</f>
        <v>26</v>
      </c>
      <c r="BB100" s="75"/>
      <c r="BC100" s="110"/>
      <c r="BD100" s="116" t="s">
        <v>8</v>
      </c>
      <c r="BE100" s="117"/>
      <c r="BF100" s="40">
        <f>SUM(BF98:BF99)</f>
        <v>19</v>
      </c>
      <c r="BG100" s="84">
        <f>SUM(BG98:BG99)</f>
        <v>0</v>
      </c>
      <c r="BH100" s="75"/>
      <c r="BI100" s="110"/>
      <c r="BJ100" s="116" t="s">
        <v>8</v>
      </c>
      <c r="BK100" s="117"/>
      <c r="BL100" s="40">
        <f>SUM(BL98:BL99)</f>
        <v>0</v>
      </c>
      <c r="BM100" s="84">
        <f>SUM(BM98:BM99)</f>
        <v>0</v>
      </c>
      <c r="BN100" s="75"/>
      <c r="BO100" s="110"/>
      <c r="BP100" s="116" t="s">
        <v>8</v>
      </c>
      <c r="BQ100" s="117"/>
      <c r="BR100" s="40">
        <f>SUM(BR98:BR99)</f>
        <v>0</v>
      </c>
      <c r="BS100" s="84">
        <f>SUM(BS98:BS99)</f>
        <v>0</v>
      </c>
      <c r="BT100" s="75"/>
      <c r="BU100" s="111"/>
      <c r="BV100" s="114" t="s">
        <v>8</v>
      </c>
      <c r="BW100" s="115"/>
      <c r="BX100" s="30">
        <f>SUM(BX98:BX99)</f>
        <v>136</v>
      </c>
      <c r="BY100" s="18">
        <f>SUM(BY98:BY99)</f>
        <v>26</v>
      </c>
      <c r="BZ100" s="16"/>
    </row>
    <row r="101" spans="1:78" ht="20.100000000000001" customHeight="1" thickBot="1" x14ac:dyDescent="0.25">
      <c r="A101" s="85"/>
      <c r="B101" s="143" t="s">
        <v>9</v>
      </c>
      <c r="C101" s="144"/>
      <c r="D101" s="31">
        <f>SUM(D97+D100)</f>
        <v>1008</v>
      </c>
      <c r="E101" s="73">
        <f>SUM(E97+E100)</f>
        <v>38</v>
      </c>
      <c r="F101" s="75"/>
      <c r="G101" s="85"/>
      <c r="H101" s="143" t="s">
        <v>9</v>
      </c>
      <c r="I101" s="144"/>
      <c r="J101" s="31">
        <f>SUM(J97+J100)</f>
        <v>1218</v>
      </c>
      <c r="K101" s="73">
        <f>SUM(K97+K100)</f>
        <v>42</v>
      </c>
      <c r="L101" s="75"/>
      <c r="M101" s="85"/>
      <c r="N101" s="143" t="s">
        <v>9</v>
      </c>
      <c r="O101" s="144"/>
      <c r="P101" s="31">
        <f>SUM(P97+P100)</f>
        <v>30</v>
      </c>
      <c r="Q101" s="73">
        <f>SUM(Q97+Q100)</f>
        <v>36</v>
      </c>
      <c r="R101" s="75"/>
      <c r="S101" s="85"/>
      <c r="T101" s="143" t="s">
        <v>9</v>
      </c>
      <c r="U101" s="144"/>
      <c r="V101" s="31">
        <f>SUM(V97+V100)</f>
        <v>0</v>
      </c>
      <c r="W101" s="73">
        <f>SUM(W97+W100)</f>
        <v>0</v>
      </c>
      <c r="X101" s="75"/>
      <c r="Y101" s="85"/>
      <c r="Z101" s="143" t="s">
        <v>9</v>
      </c>
      <c r="AA101" s="144"/>
      <c r="AB101" s="31">
        <f>SUM(AB97+AB100)</f>
        <v>0</v>
      </c>
      <c r="AC101" s="73">
        <f>SUM(AC97+AC100)</f>
        <v>0</v>
      </c>
      <c r="AD101" s="75"/>
      <c r="AE101" s="85"/>
      <c r="AF101" s="143" t="s">
        <v>9</v>
      </c>
      <c r="AG101" s="144"/>
      <c r="AH101" s="31">
        <f>SUM(AH97+AH100)</f>
        <v>0</v>
      </c>
      <c r="AI101" s="73">
        <f>SUM(AI97+AI100)</f>
        <v>0</v>
      </c>
      <c r="AJ101" s="75"/>
      <c r="AK101" s="85"/>
      <c r="AL101" s="143" t="s">
        <v>9</v>
      </c>
      <c r="AM101" s="144"/>
      <c r="AN101" s="31">
        <f>SUM(AN97+AN100)</f>
        <v>0</v>
      </c>
      <c r="AO101" s="73">
        <f>SUM(AO97+AO100)</f>
        <v>0</v>
      </c>
      <c r="AP101" s="75"/>
      <c r="AQ101" s="85"/>
      <c r="AR101" s="143" t="s">
        <v>9</v>
      </c>
      <c r="AS101" s="144"/>
      <c r="AT101" s="31">
        <f>SUM(AT97+AT100)</f>
        <v>20</v>
      </c>
      <c r="AU101" s="73">
        <f>SUM(AU97+AU100)</f>
        <v>24</v>
      </c>
      <c r="AV101" s="75"/>
      <c r="AW101" s="85"/>
      <c r="AX101" s="143" t="s">
        <v>9</v>
      </c>
      <c r="AY101" s="144"/>
      <c r="AZ101" s="31">
        <f>SUM(AZ97+AZ100)</f>
        <v>160</v>
      </c>
      <c r="BA101" s="73">
        <f>SUM(BA97+BA100)</f>
        <v>160</v>
      </c>
      <c r="BB101" s="75"/>
      <c r="BC101" s="85"/>
      <c r="BD101" s="143" t="s">
        <v>9</v>
      </c>
      <c r="BE101" s="144"/>
      <c r="BF101" s="31">
        <f>SUM(BF97+BF100)</f>
        <v>1008</v>
      </c>
      <c r="BG101" s="73">
        <f>SUM(BG97+BG100)</f>
        <v>38</v>
      </c>
      <c r="BH101" s="75"/>
      <c r="BI101" s="85"/>
      <c r="BJ101" s="143" t="s">
        <v>9</v>
      </c>
      <c r="BK101" s="144"/>
      <c r="BL101" s="31">
        <f>SUM(BL97+BL100)</f>
        <v>0</v>
      </c>
      <c r="BM101" s="73">
        <f>SUM(BM97+BM100)</f>
        <v>0</v>
      </c>
      <c r="BN101" s="75"/>
      <c r="BO101" s="85"/>
      <c r="BP101" s="143" t="s">
        <v>9</v>
      </c>
      <c r="BQ101" s="144"/>
      <c r="BR101" s="31">
        <f>SUM(BR97+BR100)</f>
        <v>0</v>
      </c>
      <c r="BS101" s="73">
        <f>SUM(BS97+BS100)</f>
        <v>0</v>
      </c>
      <c r="BT101" s="75"/>
      <c r="BU101" s="91"/>
      <c r="BV101" s="143" t="s">
        <v>9</v>
      </c>
      <c r="BW101" s="145"/>
      <c r="BX101" s="31">
        <f>SUM(BX97+BX100)</f>
        <v>3444</v>
      </c>
      <c r="BY101" s="21">
        <f>SUM(BY97+BY100)</f>
        <v>338</v>
      </c>
      <c r="BZ101" s="16"/>
    </row>
    <row r="102" spans="1:78" ht="20.100000000000001" customHeight="1" x14ac:dyDescent="0.25">
      <c r="A102" s="86"/>
    </row>
    <row r="103" spans="1:78" ht="20.100000000000001" customHeight="1" x14ac:dyDescent="0.25">
      <c r="A103"/>
      <c r="G103" s="19"/>
      <c r="M103" s="19"/>
      <c r="S103" s="19"/>
      <c r="Y103" s="19"/>
      <c r="AE103" s="19"/>
      <c r="AK103" s="19"/>
      <c r="AQ103" s="19"/>
      <c r="AW103" s="19"/>
      <c r="BC103" s="19"/>
      <c r="BI103" s="19"/>
      <c r="BO103" s="19"/>
      <c r="BU103" s="19"/>
    </row>
    <row r="104" spans="1:78" ht="20.100000000000001" customHeight="1" x14ac:dyDescent="0.25">
      <c r="A104"/>
      <c r="G104" s="19"/>
      <c r="M104" s="19"/>
      <c r="S104" s="19"/>
      <c r="Y104" s="19"/>
      <c r="AE104" s="19"/>
      <c r="AK104" s="19"/>
      <c r="AQ104" s="19"/>
      <c r="AW104" s="19"/>
      <c r="BC104" s="19"/>
      <c r="BI104" s="19"/>
      <c r="BO104" s="19"/>
      <c r="BU104" s="19"/>
    </row>
    <row r="105" spans="1:78" ht="20.100000000000001" customHeight="1" x14ac:dyDescent="0.25">
      <c r="A105"/>
      <c r="G105" s="19"/>
      <c r="M105" s="19"/>
      <c r="S105" s="19"/>
      <c r="Y105" s="19"/>
      <c r="AE105" s="19"/>
      <c r="AK105" s="19"/>
      <c r="AQ105" s="19"/>
      <c r="AW105" s="19"/>
      <c r="BC105" s="19"/>
      <c r="BI105" s="19"/>
      <c r="BO105" s="19"/>
      <c r="BU105" s="19"/>
    </row>
    <row r="106" spans="1:78" ht="20.100000000000001" customHeight="1" x14ac:dyDescent="0.25">
      <c r="A106"/>
      <c r="G106" s="19"/>
      <c r="M106" s="19"/>
      <c r="S106" s="19"/>
      <c r="Y106" s="19"/>
      <c r="AE106" s="19"/>
      <c r="AK106" s="19"/>
      <c r="AQ106" s="19"/>
      <c r="AW106" s="19"/>
      <c r="BC106" s="19"/>
      <c r="BI106" s="19"/>
      <c r="BO106" s="19"/>
      <c r="BU106" s="19"/>
    </row>
    <row r="107" spans="1:78" ht="20.100000000000001" customHeight="1" x14ac:dyDescent="0.25">
      <c r="A107"/>
      <c r="G107" s="19"/>
      <c r="M107" s="19"/>
      <c r="S107" s="19"/>
      <c r="Y107" s="19"/>
      <c r="AE107" s="19"/>
      <c r="AK107" s="19"/>
      <c r="AQ107" s="19"/>
      <c r="AW107" s="19"/>
      <c r="BC107" s="19"/>
      <c r="BI107" s="19"/>
      <c r="BO107" s="19"/>
      <c r="BU107" s="19"/>
    </row>
    <row r="108" spans="1:78" ht="20.100000000000001" customHeight="1" x14ac:dyDescent="0.25">
      <c r="A108"/>
      <c r="G108" s="19"/>
      <c r="M108" s="19"/>
      <c r="S108" s="19"/>
      <c r="Y108" s="19"/>
      <c r="AE108" s="19"/>
      <c r="AK108" s="19"/>
      <c r="AQ108" s="19"/>
      <c r="AW108" s="19"/>
      <c r="BC108" s="19"/>
      <c r="BI108" s="19"/>
      <c r="BO108" s="19"/>
      <c r="BU108" s="19"/>
    </row>
    <row r="109" spans="1:78" ht="20.100000000000001" customHeight="1" x14ac:dyDescent="0.25">
      <c r="A109"/>
      <c r="G109" s="19"/>
      <c r="M109" s="19"/>
      <c r="S109" s="19"/>
      <c r="Y109" s="19"/>
      <c r="AE109" s="19"/>
      <c r="AK109" s="19"/>
      <c r="AQ109" s="19"/>
      <c r="AW109" s="19"/>
      <c r="BC109" s="19"/>
      <c r="BI109" s="19"/>
      <c r="BO109" s="19"/>
      <c r="BU109" s="19"/>
    </row>
    <row r="110" spans="1:78" ht="20.100000000000001" customHeight="1" x14ac:dyDescent="0.25">
      <c r="A110"/>
      <c r="G110" s="19"/>
      <c r="M110" s="19"/>
      <c r="S110" s="19"/>
      <c r="Y110" s="19"/>
      <c r="AE110" s="19"/>
      <c r="AK110" s="19"/>
      <c r="AQ110" s="19"/>
      <c r="AW110" s="19"/>
      <c r="BC110" s="19"/>
      <c r="BI110" s="19"/>
      <c r="BO110" s="19"/>
      <c r="BU110" s="19"/>
    </row>
    <row r="111" spans="1:78" ht="20.100000000000001" customHeight="1" x14ac:dyDescent="0.25">
      <c r="A111"/>
      <c r="G111" s="19"/>
      <c r="M111" s="19"/>
      <c r="S111" s="19"/>
      <c r="Y111" s="19"/>
      <c r="AE111" s="19"/>
      <c r="AK111" s="19"/>
      <c r="AQ111" s="19"/>
      <c r="AW111" s="19"/>
      <c r="BC111" s="19"/>
      <c r="BI111" s="19"/>
      <c r="BO111" s="19"/>
      <c r="BU111" s="19"/>
    </row>
    <row r="112" spans="1:78" ht="20.100000000000001" customHeight="1" x14ac:dyDescent="0.25">
      <c r="A112"/>
      <c r="G112" s="19"/>
      <c r="M112" s="19"/>
      <c r="S112" s="19"/>
      <c r="Y112" s="19"/>
      <c r="AE112" s="19"/>
      <c r="AK112" s="19"/>
      <c r="AQ112" s="19"/>
      <c r="AW112" s="19"/>
      <c r="BC112" s="19"/>
      <c r="BI112" s="19"/>
      <c r="BO112" s="19"/>
      <c r="BU112" s="19"/>
    </row>
    <row r="113" spans="1:73" ht="20.100000000000001" customHeight="1" x14ac:dyDescent="0.25">
      <c r="A113"/>
      <c r="G113" s="19"/>
      <c r="M113" s="19"/>
      <c r="S113" s="19"/>
      <c r="Y113" s="19"/>
      <c r="AE113" s="19"/>
      <c r="AK113" s="19"/>
      <c r="AQ113" s="19"/>
      <c r="AW113" s="19"/>
      <c r="BC113" s="19"/>
      <c r="BI113" s="19"/>
      <c r="BO113" s="19"/>
      <c r="BU113" s="19"/>
    </row>
    <row r="114" spans="1:73" ht="20.100000000000001" customHeight="1" x14ac:dyDescent="0.25">
      <c r="A114"/>
      <c r="G114" s="19"/>
      <c r="M114" s="19"/>
      <c r="S114" s="19"/>
      <c r="Y114" s="19"/>
      <c r="AE114" s="19"/>
      <c r="AK114" s="19"/>
      <c r="AQ114" s="19"/>
      <c r="AW114" s="19"/>
      <c r="BC114" s="19"/>
      <c r="BI114" s="19"/>
      <c r="BO114" s="19"/>
      <c r="BU114" s="19"/>
    </row>
    <row r="115" spans="1:73" ht="20.100000000000001" customHeight="1" x14ac:dyDescent="0.25">
      <c r="A115"/>
      <c r="G115" s="19"/>
      <c r="M115" s="19"/>
      <c r="S115" s="19"/>
      <c r="Y115" s="19"/>
      <c r="AE115" s="19"/>
      <c r="AK115" s="19"/>
      <c r="AQ115" s="19"/>
      <c r="AW115" s="19"/>
      <c r="BC115" s="19"/>
      <c r="BI115" s="19"/>
      <c r="BO115" s="19"/>
      <c r="BU115" s="19"/>
    </row>
    <row r="116" spans="1:73" ht="20.100000000000001" customHeight="1" x14ac:dyDescent="0.25">
      <c r="A116"/>
      <c r="G116" s="19"/>
      <c r="M116" s="19"/>
      <c r="S116" s="19"/>
      <c r="Y116" s="19"/>
      <c r="AE116" s="19"/>
      <c r="AK116" s="19"/>
      <c r="AQ116" s="19"/>
      <c r="AW116" s="19"/>
      <c r="BC116" s="19"/>
      <c r="BI116" s="19"/>
      <c r="BO116" s="19"/>
      <c r="BU116" s="19"/>
    </row>
    <row r="117" spans="1:73" ht="20.100000000000001" customHeight="1" x14ac:dyDescent="0.25">
      <c r="A117"/>
      <c r="G117" s="19"/>
      <c r="M117" s="19"/>
      <c r="S117" s="19"/>
      <c r="Y117" s="19"/>
      <c r="AE117" s="19"/>
      <c r="AK117" s="19"/>
      <c r="AQ117" s="19"/>
      <c r="AW117" s="19"/>
      <c r="BC117" s="19"/>
      <c r="BI117" s="19"/>
      <c r="BO117" s="19"/>
      <c r="BU117" s="19"/>
    </row>
    <row r="118" spans="1:73" ht="20.100000000000001" customHeight="1" x14ac:dyDescent="0.25">
      <c r="A118"/>
      <c r="G118" s="19"/>
      <c r="M118" s="19"/>
      <c r="S118" s="19"/>
      <c r="Y118" s="19"/>
      <c r="AE118" s="19"/>
      <c r="AK118" s="19"/>
      <c r="AQ118" s="19"/>
      <c r="AW118" s="19"/>
      <c r="BC118" s="19"/>
      <c r="BI118" s="19"/>
      <c r="BO118" s="19"/>
      <c r="BU118" s="19"/>
    </row>
    <row r="119" spans="1:73" ht="20.100000000000001" customHeight="1" x14ac:dyDescent="0.25">
      <c r="A119"/>
      <c r="G119" s="19"/>
      <c r="M119" s="19"/>
      <c r="S119" s="19"/>
      <c r="Y119" s="19"/>
      <c r="AE119" s="19"/>
      <c r="AK119" s="19"/>
      <c r="AQ119" s="19"/>
      <c r="AW119" s="19"/>
      <c r="BC119" s="19"/>
      <c r="BI119" s="19"/>
      <c r="BO119" s="19"/>
      <c r="BU119" s="19"/>
    </row>
    <row r="120" spans="1:73" ht="20.100000000000001" customHeight="1" x14ac:dyDescent="0.25">
      <c r="A120"/>
      <c r="G120" s="19"/>
      <c r="M120" s="19"/>
      <c r="S120" s="19"/>
      <c r="Y120" s="19"/>
      <c r="AE120" s="19"/>
      <c r="AK120" s="19"/>
      <c r="AQ120" s="19"/>
      <c r="AW120" s="19"/>
      <c r="BC120" s="19"/>
      <c r="BI120" s="19"/>
      <c r="BO120" s="19"/>
      <c r="BU120" s="19"/>
    </row>
    <row r="121" spans="1:73" ht="20.100000000000001" customHeight="1" x14ac:dyDescent="0.25">
      <c r="A121"/>
      <c r="G121" s="19"/>
      <c r="M121" s="19"/>
      <c r="S121" s="19"/>
      <c r="Y121" s="19"/>
      <c r="AE121" s="19"/>
      <c r="AK121" s="19"/>
      <c r="AQ121" s="19"/>
      <c r="AW121" s="19"/>
      <c r="BC121" s="19"/>
      <c r="BI121" s="19"/>
      <c r="BO121" s="19"/>
      <c r="BU121" s="19"/>
    </row>
    <row r="122" spans="1:73" ht="20.100000000000001" customHeight="1" x14ac:dyDescent="0.25">
      <c r="A122"/>
      <c r="G122" s="19"/>
      <c r="M122" s="19"/>
      <c r="S122" s="19"/>
      <c r="Y122" s="19"/>
      <c r="AE122" s="19"/>
      <c r="AK122" s="19"/>
      <c r="AQ122" s="19"/>
      <c r="AW122" s="19"/>
      <c r="BC122" s="19"/>
      <c r="BI122" s="19"/>
      <c r="BO122" s="19"/>
      <c r="BU122" s="19"/>
    </row>
    <row r="123" spans="1:73" ht="20.100000000000001" customHeight="1" x14ac:dyDescent="0.25">
      <c r="A123"/>
      <c r="G123" s="19"/>
      <c r="M123" s="19"/>
      <c r="S123" s="19"/>
      <c r="Y123" s="19"/>
      <c r="AE123" s="19"/>
      <c r="AK123" s="19"/>
      <c r="AQ123" s="19"/>
      <c r="AW123" s="19"/>
      <c r="BC123" s="19"/>
      <c r="BI123" s="19"/>
      <c r="BO123" s="19"/>
      <c r="BU123" s="19"/>
    </row>
    <row r="124" spans="1:73" ht="20.100000000000001" customHeight="1" x14ac:dyDescent="0.2">
      <c r="A124"/>
      <c r="G124" s="52"/>
      <c r="M124" s="52"/>
      <c r="S124" s="52"/>
      <c r="Y124" s="52"/>
      <c r="AE124" s="52"/>
      <c r="AK124" s="52"/>
      <c r="AQ124" s="52"/>
      <c r="AW124" s="52"/>
      <c r="BC124" s="52"/>
      <c r="BI124" s="52"/>
      <c r="BO124" s="52"/>
      <c r="BU124" s="52"/>
    </row>
    <row r="125" spans="1:73" ht="20.100000000000001" customHeight="1" x14ac:dyDescent="0.25">
      <c r="A125"/>
      <c r="G125" s="19"/>
      <c r="M125" s="19"/>
      <c r="S125" s="19"/>
      <c r="Y125" s="19"/>
      <c r="AE125" s="19"/>
      <c r="AK125" s="19"/>
      <c r="AQ125" s="19"/>
      <c r="AW125" s="19"/>
      <c r="BC125" s="19"/>
      <c r="BI125" s="19"/>
      <c r="BO125" s="19"/>
      <c r="BU125" s="19"/>
    </row>
    <row r="126" spans="1:73" ht="20.100000000000001" customHeight="1" x14ac:dyDescent="0.25">
      <c r="A126"/>
      <c r="G126" s="19"/>
      <c r="M126" s="19"/>
      <c r="S126" s="19"/>
      <c r="Y126" s="19"/>
      <c r="AE126" s="19"/>
      <c r="AK126" s="19"/>
      <c r="AQ126" s="19"/>
      <c r="AW126" s="19"/>
      <c r="BC126" s="19"/>
      <c r="BI126" s="19"/>
      <c r="BO126" s="19"/>
      <c r="BU126" s="19"/>
    </row>
    <row r="127" spans="1:73" ht="20.100000000000001" customHeight="1" x14ac:dyDescent="0.25">
      <c r="A127"/>
      <c r="G127" s="19"/>
      <c r="M127" s="19"/>
      <c r="S127" s="19"/>
      <c r="Y127" s="19"/>
      <c r="AE127" s="19"/>
      <c r="AK127" s="19"/>
      <c r="AQ127" s="19"/>
      <c r="AW127" s="19"/>
      <c r="BC127" s="19"/>
      <c r="BI127" s="19"/>
      <c r="BO127" s="19"/>
      <c r="BU127" s="19"/>
    </row>
    <row r="128" spans="1:73" ht="20.100000000000001" customHeight="1" x14ac:dyDescent="0.25">
      <c r="A128"/>
      <c r="G128" s="19"/>
      <c r="M128" s="19"/>
      <c r="S128" s="19"/>
      <c r="Y128" s="19"/>
      <c r="AE128" s="19"/>
      <c r="AK128" s="19"/>
      <c r="AQ128" s="19"/>
      <c r="AW128" s="19"/>
      <c r="BC128" s="19"/>
      <c r="BI128" s="19"/>
      <c r="BO128" s="19"/>
      <c r="BU128" s="19"/>
    </row>
    <row r="129" spans="1:73" ht="20.100000000000001" customHeight="1" x14ac:dyDescent="0.25">
      <c r="A129"/>
      <c r="G129" s="19"/>
      <c r="M129" s="19"/>
      <c r="S129" s="19"/>
      <c r="Y129" s="19"/>
      <c r="AE129" s="19"/>
      <c r="AK129" s="19"/>
      <c r="AQ129" s="19"/>
      <c r="AW129" s="19"/>
      <c r="BC129" s="19"/>
      <c r="BI129" s="19"/>
      <c r="BO129" s="19"/>
      <c r="BU129" s="19"/>
    </row>
    <row r="130" spans="1:73" ht="20.100000000000001" customHeight="1" x14ac:dyDescent="0.25">
      <c r="A130"/>
      <c r="G130" s="19"/>
      <c r="M130" s="19"/>
      <c r="S130" s="19"/>
      <c r="Y130" s="19"/>
      <c r="AE130" s="19"/>
      <c r="AK130" s="19"/>
      <c r="AQ130" s="19"/>
      <c r="AW130" s="19"/>
      <c r="BC130" s="19"/>
      <c r="BI130" s="19"/>
      <c r="BO130" s="19"/>
      <c r="BU130" s="19"/>
    </row>
    <row r="131" spans="1:73" ht="20.100000000000001" customHeight="1" x14ac:dyDescent="0.25">
      <c r="A131"/>
      <c r="G131" s="19"/>
      <c r="M131" s="19"/>
      <c r="S131" s="19"/>
      <c r="Y131" s="19"/>
      <c r="AE131" s="19"/>
      <c r="AK131" s="19"/>
      <c r="AQ131" s="19"/>
      <c r="AW131" s="19"/>
      <c r="BC131" s="19"/>
      <c r="BI131" s="19"/>
      <c r="BO131" s="19"/>
      <c r="BU131" s="19"/>
    </row>
    <row r="132" spans="1:73" ht="20.100000000000001" customHeight="1" x14ac:dyDescent="0.25">
      <c r="A132"/>
      <c r="G132" s="19"/>
      <c r="M132" s="19"/>
      <c r="S132" s="19"/>
      <c r="Y132" s="19"/>
      <c r="AE132" s="19"/>
      <c r="AK132" s="19"/>
      <c r="AQ132" s="19"/>
      <c r="AW132" s="19"/>
      <c r="BC132" s="19"/>
      <c r="BI132" s="19"/>
      <c r="BO132" s="19"/>
      <c r="BU132" s="19"/>
    </row>
    <row r="133" spans="1:73" ht="20.100000000000001" customHeight="1" x14ac:dyDescent="0.25">
      <c r="A133"/>
      <c r="G133" s="19"/>
      <c r="M133" s="19"/>
      <c r="S133" s="19"/>
      <c r="Y133" s="19"/>
      <c r="AE133" s="19"/>
      <c r="AK133" s="19"/>
      <c r="AQ133" s="19"/>
      <c r="AW133" s="19"/>
      <c r="BC133" s="19"/>
      <c r="BI133" s="19"/>
      <c r="BO133" s="19"/>
      <c r="BU133" s="19"/>
    </row>
    <row r="134" spans="1:73" ht="20.100000000000001" customHeight="1" x14ac:dyDescent="0.25">
      <c r="A134"/>
      <c r="G134" s="19"/>
      <c r="M134" s="19"/>
      <c r="S134" s="19"/>
      <c r="Y134" s="19"/>
      <c r="AE134" s="19"/>
      <c r="AK134" s="19"/>
      <c r="AQ134" s="19"/>
      <c r="AW134" s="19"/>
      <c r="BC134" s="19"/>
      <c r="BI134" s="19"/>
      <c r="BO134" s="19"/>
      <c r="BU134" s="19"/>
    </row>
    <row r="135" spans="1:73" ht="20.100000000000001" customHeight="1" x14ac:dyDescent="0.25">
      <c r="A135"/>
      <c r="G135" s="19"/>
      <c r="M135" s="19"/>
      <c r="S135" s="19"/>
      <c r="Y135" s="19"/>
      <c r="AE135" s="19"/>
      <c r="AK135" s="19"/>
      <c r="AQ135" s="19"/>
      <c r="AW135" s="19"/>
      <c r="BC135" s="19"/>
      <c r="BI135" s="19"/>
      <c r="BO135" s="19"/>
      <c r="BU135" s="19"/>
    </row>
    <row r="136" spans="1:73" ht="20.100000000000001" customHeight="1" x14ac:dyDescent="0.25">
      <c r="A136"/>
      <c r="G136" s="19"/>
      <c r="M136" s="19"/>
      <c r="S136" s="19"/>
      <c r="Y136" s="19"/>
      <c r="AE136" s="19"/>
      <c r="AK136" s="19"/>
      <c r="AQ136" s="19"/>
      <c r="AW136" s="19"/>
      <c r="BC136" s="19"/>
      <c r="BI136" s="19"/>
      <c r="BO136" s="19"/>
      <c r="BU136" s="19"/>
    </row>
    <row r="137" spans="1:73" ht="20.100000000000001" customHeight="1" x14ac:dyDescent="0.25">
      <c r="A137"/>
    </row>
    <row r="138" spans="1:73" ht="20.100000000000001" customHeight="1" x14ac:dyDescent="0.25">
      <c r="A138"/>
    </row>
    <row r="139" spans="1:73" ht="20.100000000000001" customHeight="1" x14ac:dyDescent="0.25">
      <c r="A139"/>
    </row>
    <row r="140" spans="1:73" ht="20.100000000000001" customHeight="1" x14ac:dyDescent="0.25">
      <c r="A140"/>
    </row>
    <row r="141" spans="1:73" ht="20.100000000000001" customHeight="1" x14ac:dyDescent="0.25">
      <c r="A141"/>
    </row>
    <row r="142" spans="1:73" ht="20.100000000000001" customHeight="1" x14ac:dyDescent="0.25">
      <c r="A142"/>
    </row>
    <row r="143" spans="1:73" ht="20.100000000000001" customHeight="1" x14ac:dyDescent="0.25">
      <c r="A143"/>
    </row>
    <row r="144" spans="1:73" ht="20.100000000000001" customHeight="1" x14ac:dyDescent="0.25">
      <c r="A144"/>
    </row>
    <row r="145" spans="1:1" ht="20.100000000000001" customHeight="1" x14ac:dyDescent="0.25">
      <c r="A145"/>
    </row>
    <row r="146" spans="1:1" ht="20.100000000000001" customHeight="1" x14ac:dyDescent="0.25">
      <c r="A146"/>
    </row>
    <row r="147" spans="1:1" ht="20.100000000000001" customHeight="1" x14ac:dyDescent="0.25">
      <c r="A147"/>
    </row>
    <row r="148" spans="1:1" ht="20.100000000000001" customHeight="1" x14ac:dyDescent="0.25">
      <c r="A148"/>
    </row>
    <row r="149" spans="1:1" ht="20.100000000000001" customHeight="1" x14ac:dyDescent="0.25">
      <c r="A149"/>
    </row>
    <row r="150" spans="1:1" ht="20.100000000000001" customHeight="1" x14ac:dyDescent="0.25">
      <c r="A150"/>
    </row>
    <row r="151" spans="1:1" ht="20.100000000000001" customHeight="1" x14ac:dyDescent="0.25">
      <c r="A151"/>
    </row>
    <row r="152" spans="1:1" ht="20.100000000000001" customHeight="1" x14ac:dyDescent="0.25">
      <c r="A152"/>
    </row>
    <row r="153" spans="1:1" ht="20.100000000000001" customHeight="1" x14ac:dyDescent="0.25">
      <c r="A153"/>
    </row>
    <row r="154" spans="1:1" ht="20.100000000000001" customHeight="1" x14ac:dyDescent="0.25">
      <c r="A154"/>
    </row>
    <row r="155" spans="1:1" ht="20.100000000000001" customHeight="1" x14ac:dyDescent="0.25">
      <c r="A155"/>
    </row>
    <row r="156" spans="1:1" ht="20.100000000000001" customHeight="1" x14ac:dyDescent="0.25">
      <c r="A156"/>
    </row>
    <row r="157" spans="1:1" ht="20.100000000000001" customHeight="1" x14ac:dyDescent="0.25">
      <c r="A157"/>
    </row>
    <row r="158" spans="1:1" ht="20.100000000000001" customHeight="1" x14ac:dyDescent="0.25">
      <c r="A158"/>
    </row>
    <row r="159" spans="1:1" ht="20.100000000000001" customHeight="1" x14ac:dyDescent="0.25">
      <c r="A159"/>
    </row>
    <row r="160" spans="1:1" ht="20.100000000000001" customHeight="1" x14ac:dyDescent="0.25">
      <c r="A160"/>
    </row>
    <row r="161" spans="1:1" ht="20.100000000000001" customHeight="1" x14ac:dyDescent="0.25">
      <c r="A161"/>
    </row>
    <row r="162" spans="1:1" ht="20.100000000000001" customHeight="1" x14ac:dyDescent="0.25">
      <c r="A162"/>
    </row>
    <row r="163" spans="1:1" ht="20.100000000000001" customHeight="1" x14ac:dyDescent="0.25">
      <c r="A163"/>
    </row>
    <row r="164" spans="1:1" ht="20.100000000000001" customHeight="1" x14ac:dyDescent="0.25">
      <c r="A164"/>
    </row>
    <row r="165" spans="1:1" ht="20.100000000000001" customHeight="1" x14ac:dyDescent="0.25">
      <c r="A165"/>
    </row>
    <row r="166" spans="1:1" ht="20.100000000000001" customHeight="1" x14ac:dyDescent="0.25">
      <c r="A166"/>
    </row>
    <row r="167" spans="1:1" ht="20.100000000000001" customHeight="1" x14ac:dyDescent="0.25">
      <c r="A167"/>
    </row>
    <row r="168" spans="1:1" ht="20.100000000000001" customHeight="1" x14ac:dyDescent="0.25">
      <c r="A168"/>
    </row>
    <row r="169" spans="1:1" ht="20.100000000000001" customHeight="1" x14ac:dyDescent="0.25">
      <c r="A169"/>
    </row>
    <row r="170" spans="1:1" ht="20.100000000000001" customHeight="1" x14ac:dyDescent="0.25">
      <c r="A170"/>
    </row>
    <row r="171" spans="1:1" ht="20.100000000000001" customHeight="1" x14ac:dyDescent="0.25">
      <c r="A171"/>
    </row>
    <row r="172" spans="1:1" ht="20.100000000000001" customHeight="1" x14ac:dyDescent="0.25">
      <c r="A172"/>
    </row>
    <row r="173" spans="1:1" ht="20.100000000000001" customHeight="1" x14ac:dyDescent="0.25">
      <c r="A173"/>
    </row>
    <row r="174" spans="1:1" ht="20.100000000000001" customHeight="1" x14ac:dyDescent="0.25">
      <c r="A174"/>
    </row>
    <row r="175" spans="1:1" ht="20.100000000000001" customHeight="1" x14ac:dyDescent="0.25">
      <c r="A175"/>
    </row>
    <row r="176" spans="1:1" ht="20.100000000000001" customHeight="1" x14ac:dyDescent="0.25">
      <c r="A176"/>
    </row>
    <row r="177" spans="1:1" ht="20.100000000000001" customHeight="1" x14ac:dyDescent="0.25">
      <c r="A177"/>
    </row>
    <row r="178" spans="1:1" ht="20.100000000000001" customHeight="1" x14ac:dyDescent="0.25">
      <c r="A178"/>
    </row>
    <row r="179" spans="1:1" ht="20.100000000000001" customHeight="1" x14ac:dyDescent="0.25">
      <c r="A179"/>
    </row>
    <row r="180" spans="1:1" ht="20.100000000000001" customHeight="1" x14ac:dyDescent="0.25">
      <c r="A180"/>
    </row>
    <row r="181" spans="1:1" ht="20.100000000000001" customHeight="1" x14ac:dyDescent="0.25">
      <c r="A181"/>
    </row>
    <row r="182" spans="1:1" ht="20.100000000000001" customHeight="1" x14ac:dyDescent="0.25">
      <c r="A182"/>
    </row>
    <row r="183" spans="1:1" ht="20.100000000000001" customHeight="1" x14ac:dyDescent="0.25">
      <c r="A183"/>
    </row>
    <row r="184" spans="1:1" ht="20.100000000000001" customHeight="1" x14ac:dyDescent="0.25">
      <c r="A184"/>
    </row>
    <row r="185" spans="1:1" ht="20.100000000000001" customHeight="1" x14ac:dyDescent="0.25">
      <c r="A185"/>
    </row>
    <row r="186" spans="1:1" ht="20.100000000000001" customHeight="1" x14ac:dyDescent="0.25">
      <c r="A186"/>
    </row>
    <row r="187" spans="1:1" ht="20.100000000000001" customHeight="1" x14ac:dyDescent="0.25">
      <c r="A187"/>
    </row>
    <row r="188" spans="1:1" ht="20.100000000000001" customHeight="1" x14ac:dyDescent="0.25">
      <c r="A188"/>
    </row>
    <row r="189" spans="1:1" ht="20.100000000000001" customHeight="1" x14ac:dyDescent="0.25">
      <c r="A189"/>
    </row>
    <row r="190" spans="1:1" ht="20.100000000000001" customHeight="1" x14ac:dyDescent="0.25">
      <c r="A190"/>
    </row>
    <row r="191" spans="1:1" ht="20.100000000000001" customHeight="1" x14ac:dyDescent="0.25">
      <c r="A191"/>
    </row>
    <row r="192" spans="1:1" ht="20.100000000000001" customHeight="1" x14ac:dyDescent="0.25">
      <c r="A192"/>
    </row>
    <row r="193" spans="1:1" ht="20.100000000000001" customHeight="1" x14ac:dyDescent="0.25">
      <c r="A193"/>
    </row>
    <row r="194" spans="1:1" ht="20.100000000000001" customHeight="1" x14ac:dyDescent="0.25">
      <c r="A194"/>
    </row>
    <row r="195" spans="1:1" ht="20.100000000000001" customHeight="1" x14ac:dyDescent="0.25">
      <c r="A195"/>
    </row>
    <row r="196" spans="1:1" ht="20.100000000000001" customHeight="1" x14ac:dyDescent="0.25">
      <c r="A196"/>
    </row>
    <row r="197" spans="1:1" ht="20.100000000000001" customHeight="1" x14ac:dyDescent="0.25">
      <c r="A197"/>
    </row>
    <row r="198" spans="1:1" ht="20.100000000000001" customHeight="1" x14ac:dyDescent="0.25">
      <c r="A198"/>
    </row>
    <row r="199" spans="1:1" ht="20.100000000000001" customHeight="1" x14ac:dyDescent="0.25">
      <c r="A199"/>
    </row>
    <row r="200" spans="1:1" ht="20.100000000000001" customHeight="1" x14ac:dyDescent="0.25">
      <c r="A200"/>
    </row>
    <row r="201" spans="1:1" ht="20.100000000000001" customHeight="1" x14ac:dyDescent="0.25">
      <c r="A201"/>
    </row>
    <row r="202" spans="1:1" ht="20.100000000000001" customHeight="1" x14ac:dyDescent="0.25">
      <c r="A202"/>
    </row>
    <row r="203" spans="1:1" ht="20.100000000000001" customHeight="1" x14ac:dyDescent="0.25">
      <c r="A203"/>
    </row>
    <row r="204" spans="1:1" ht="20.100000000000001" customHeight="1" x14ac:dyDescent="0.25">
      <c r="A204"/>
    </row>
    <row r="205" spans="1:1" ht="20.100000000000001" customHeight="1" x14ac:dyDescent="0.25">
      <c r="A205"/>
    </row>
    <row r="206" spans="1:1" ht="20.100000000000001" customHeight="1" x14ac:dyDescent="0.25">
      <c r="A206"/>
    </row>
    <row r="207" spans="1:1" ht="20.100000000000001" customHeight="1" x14ac:dyDescent="0.25">
      <c r="A207"/>
    </row>
    <row r="208" spans="1:1" ht="20.100000000000001" customHeight="1" x14ac:dyDescent="0.25">
      <c r="A208"/>
    </row>
    <row r="209" spans="1:1" ht="20.100000000000001" customHeight="1" x14ac:dyDescent="0.25">
      <c r="A209"/>
    </row>
    <row r="210" spans="1:1" ht="20.100000000000001" customHeight="1" x14ac:dyDescent="0.25">
      <c r="A210"/>
    </row>
    <row r="211" spans="1:1" ht="20.100000000000001" customHeight="1" x14ac:dyDescent="0.25">
      <c r="A211"/>
    </row>
    <row r="212" spans="1:1" ht="20.100000000000001" customHeight="1" x14ac:dyDescent="0.25">
      <c r="A212"/>
    </row>
    <row r="213" spans="1:1" ht="20.100000000000001" customHeight="1" x14ac:dyDescent="0.25">
      <c r="A213"/>
    </row>
    <row r="214" spans="1:1" ht="20.100000000000001" customHeight="1" x14ac:dyDescent="0.25">
      <c r="A214"/>
    </row>
    <row r="215" spans="1:1" ht="20.100000000000001" customHeight="1" x14ac:dyDescent="0.25">
      <c r="A215"/>
    </row>
    <row r="216" spans="1:1" ht="20.100000000000001" customHeight="1" x14ac:dyDescent="0.25">
      <c r="A216"/>
    </row>
    <row r="217" spans="1:1" ht="20.100000000000001" customHeight="1" x14ac:dyDescent="0.25">
      <c r="A217"/>
    </row>
    <row r="218" spans="1:1" ht="20.100000000000001" customHeight="1" x14ac:dyDescent="0.25">
      <c r="A218"/>
    </row>
    <row r="219" spans="1:1" ht="20.100000000000001" customHeight="1" x14ac:dyDescent="0.25">
      <c r="A219"/>
    </row>
    <row r="220" spans="1:1" ht="20.100000000000001" customHeight="1" x14ac:dyDescent="0.25">
      <c r="A220"/>
    </row>
    <row r="221" spans="1:1" ht="20.100000000000001" customHeight="1" x14ac:dyDescent="0.25">
      <c r="A221"/>
    </row>
    <row r="222" spans="1:1" ht="20.100000000000001" customHeight="1" x14ac:dyDescent="0.25">
      <c r="A222"/>
    </row>
    <row r="223" spans="1:1" ht="20.100000000000001" customHeight="1" x14ac:dyDescent="0.25">
      <c r="A223"/>
    </row>
    <row r="224" spans="1:1" ht="20.100000000000001" customHeight="1" x14ac:dyDescent="0.25">
      <c r="A224"/>
    </row>
    <row r="225" spans="1:1" ht="20.100000000000001" customHeight="1" x14ac:dyDescent="0.25">
      <c r="A225"/>
    </row>
    <row r="226" spans="1:1" ht="20.100000000000001" customHeight="1" x14ac:dyDescent="0.25">
      <c r="A226"/>
    </row>
    <row r="227" spans="1:1" ht="20.100000000000001" customHeight="1" x14ac:dyDescent="0.25">
      <c r="A227"/>
    </row>
    <row r="228" spans="1:1" ht="20.100000000000001" customHeight="1" x14ac:dyDescent="0.25">
      <c r="A228"/>
    </row>
    <row r="229" spans="1:1" ht="20.100000000000001" customHeight="1" x14ac:dyDescent="0.25">
      <c r="A229"/>
    </row>
    <row r="230" spans="1:1" ht="20.100000000000001" customHeight="1" x14ac:dyDescent="0.25">
      <c r="A230"/>
    </row>
    <row r="231" spans="1:1" ht="20.100000000000001" customHeight="1" x14ac:dyDescent="0.25">
      <c r="A231"/>
    </row>
    <row r="232" spans="1:1" ht="20.100000000000001" customHeight="1" x14ac:dyDescent="0.25">
      <c r="A232"/>
    </row>
    <row r="233" spans="1:1" ht="20.100000000000001" customHeight="1" x14ac:dyDescent="0.25">
      <c r="A233"/>
    </row>
    <row r="234" spans="1:1" ht="20.100000000000001" customHeight="1" x14ac:dyDescent="0.25">
      <c r="A234"/>
    </row>
    <row r="235" spans="1:1" ht="20.100000000000001" customHeight="1" x14ac:dyDescent="0.25">
      <c r="A235"/>
    </row>
    <row r="236" spans="1:1" ht="20.100000000000001" customHeight="1" x14ac:dyDescent="0.25">
      <c r="A236"/>
    </row>
    <row r="237" spans="1:1" ht="20.100000000000001" customHeight="1" x14ac:dyDescent="0.25">
      <c r="A237"/>
    </row>
    <row r="238" spans="1:1" ht="20.100000000000001" customHeight="1" x14ac:dyDescent="0.25">
      <c r="A238"/>
    </row>
    <row r="239" spans="1:1" ht="20.100000000000001" customHeight="1" x14ac:dyDescent="0.25">
      <c r="A239"/>
    </row>
    <row r="240" spans="1:1" ht="20.100000000000001" customHeight="1" x14ac:dyDescent="0.25">
      <c r="A240"/>
    </row>
    <row r="241" spans="1:1" ht="20.100000000000001" customHeight="1" x14ac:dyDescent="0.25">
      <c r="A241"/>
    </row>
    <row r="242" spans="1:1" ht="20.100000000000001" customHeight="1" x14ac:dyDescent="0.25">
      <c r="A242"/>
    </row>
    <row r="243" spans="1:1" ht="20.100000000000001" customHeight="1" x14ac:dyDescent="0.25">
      <c r="A243"/>
    </row>
    <row r="244" spans="1:1" ht="20.100000000000001" customHeight="1" x14ac:dyDescent="0.25">
      <c r="A244"/>
    </row>
    <row r="245" spans="1:1" ht="20.100000000000001" customHeight="1" x14ac:dyDescent="0.25">
      <c r="A245"/>
    </row>
    <row r="246" spans="1:1" ht="20.100000000000001" customHeight="1" x14ac:dyDescent="0.25">
      <c r="A246"/>
    </row>
    <row r="247" spans="1:1" ht="20.100000000000001" customHeight="1" x14ac:dyDescent="0.25">
      <c r="A247"/>
    </row>
    <row r="248" spans="1:1" ht="20.100000000000001" customHeight="1" x14ac:dyDescent="0.25">
      <c r="A248"/>
    </row>
    <row r="249" spans="1:1" ht="20.100000000000001" customHeight="1" x14ac:dyDescent="0.25">
      <c r="A249"/>
    </row>
    <row r="250" spans="1:1" ht="20.100000000000001" customHeight="1" x14ac:dyDescent="0.25">
      <c r="A250"/>
    </row>
    <row r="251" spans="1:1" ht="20.100000000000001" customHeight="1" x14ac:dyDescent="0.25">
      <c r="A251"/>
    </row>
    <row r="252" spans="1:1" ht="20.100000000000001" customHeight="1" x14ac:dyDescent="0.25">
      <c r="A252"/>
    </row>
    <row r="253" spans="1:1" ht="20.100000000000001" customHeight="1" x14ac:dyDescent="0.25">
      <c r="A253"/>
    </row>
    <row r="254" spans="1:1" ht="20.100000000000001" customHeight="1" x14ac:dyDescent="0.25">
      <c r="A254"/>
    </row>
    <row r="255" spans="1:1" ht="20.100000000000001" customHeight="1" x14ac:dyDescent="0.25">
      <c r="A255"/>
    </row>
    <row r="256" spans="1:1" ht="20.100000000000001" customHeight="1" x14ac:dyDescent="0.25">
      <c r="A256"/>
    </row>
    <row r="257" spans="1:1" ht="20.100000000000001" customHeight="1" x14ac:dyDescent="0.25">
      <c r="A257"/>
    </row>
    <row r="258" spans="1:1" ht="20.100000000000001" customHeight="1" x14ac:dyDescent="0.25">
      <c r="A258"/>
    </row>
    <row r="259" spans="1:1" ht="20.100000000000001" customHeight="1" x14ac:dyDescent="0.25">
      <c r="A259"/>
    </row>
    <row r="260" spans="1:1" ht="20.100000000000001" customHeight="1" x14ac:dyDescent="0.25">
      <c r="A260"/>
    </row>
    <row r="261" spans="1:1" ht="20.100000000000001" customHeight="1" x14ac:dyDescent="0.25">
      <c r="A261"/>
    </row>
    <row r="262" spans="1:1" ht="20.100000000000001" customHeight="1" x14ac:dyDescent="0.25">
      <c r="A262"/>
    </row>
    <row r="263" spans="1:1" ht="20.100000000000001" customHeight="1" x14ac:dyDescent="0.25">
      <c r="A263"/>
    </row>
    <row r="264" spans="1:1" ht="20.100000000000001" customHeight="1" x14ac:dyDescent="0.25">
      <c r="A264"/>
    </row>
    <row r="265" spans="1:1" ht="20.100000000000001" customHeight="1" x14ac:dyDescent="0.25">
      <c r="A265"/>
    </row>
    <row r="266" spans="1:1" ht="20.100000000000001" customHeight="1" x14ac:dyDescent="0.25">
      <c r="A266"/>
    </row>
    <row r="267" spans="1:1" ht="20.100000000000001" customHeight="1" x14ac:dyDescent="0.25">
      <c r="A267"/>
    </row>
    <row r="268" spans="1:1" ht="20.100000000000001" customHeight="1" x14ac:dyDescent="0.25">
      <c r="A268"/>
    </row>
    <row r="269" spans="1:1" ht="20.100000000000001" customHeight="1" x14ac:dyDescent="0.25">
      <c r="A269"/>
    </row>
    <row r="270" spans="1:1" ht="20.100000000000001" customHeight="1" x14ac:dyDescent="0.25">
      <c r="A270"/>
    </row>
    <row r="271" spans="1:1" ht="20.100000000000001" customHeight="1" x14ac:dyDescent="0.25">
      <c r="A271"/>
    </row>
    <row r="272" spans="1:1" ht="20.100000000000001" customHeight="1" x14ac:dyDescent="0.25">
      <c r="A272"/>
    </row>
    <row r="273" spans="1:1" ht="20.100000000000001" customHeight="1" x14ac:dyDescent="0.25">
      <c r="A273"/>
    </row>
    <row r="274" spans="1:1" ht="20.100000000000001" customHeight="1" x14ac:dyDescent="0.25">
      <c r="A274"/>
    </row>
    <row r="275" spans="1:1" ht="20.100000000000001" customHeight="1" x14ac:dyDescent="0.25">
      <c r="A275"/>
    </row>
    <row r="276" spans="1:1" ht="20.100000000000001" customHeight="1" x14ac:dyDescent="0.25">
      <c r="A276"/>
    </row>
    <row r="277" spans="1:1" ht="20.100000000000001" customHeight="1" x14ac:dyDescent="0.25">
      <c r="A277"/>
    </row>
    <row r="278" spans="1:1" ht="20.100000000000001" customHeight="1" x14ac:dyDescent="0.25">
      <c r="A278"/>
    </row>
    <row r="279" spans="1:1" ht="20.100000000000001" customHeight="1" x14ac:dyDescent="0.25">
      <c r="A279"/>
    </row>
    <row r="280" spans="1:1" ht="20.100000000000001" customHeight="1" x14ac:dyDescent="0.25">
      <c r="A280"/>
    </row>
    <row r="281" spans="1:1" ht="20.100000000000001" customHeight="1" x14ac:dyDescent="0.25">
      <c r="A281"/>
    </row>
    <row r="282" spans="1:1" ht="20.100000000000001" customHeight="1" x14ac:dyDescent="0.25">
      <c r="A282"/>
    </row>
    <row r="283" spans="1:1" ht="20.100000000000001" customHeight="1" x14ac:dyDescent="0.25">
      <c r="A283"/>
    </row>
    <row r="284" spans="1:1" ht="20.100000000000001" customHeight="1" x14ac:dyDescent="0.25">
      <c r="A284"/>
    </row>
    <row r="285" spans="1:1" ht="20.100000000000001" customHeight="1" x14ac:dyDescent="0.25">
      <c r="A285"/>
    </row>
    <row r="286" spans="1:1" ht="20.100000000000001" customHeight="1" x14ac:dyDescent="0.25">
      <c r="A286"/>
    </row>
    <row r="287" spans="1:1" ht="20.100000000000001" customHeight="1" x14ac:dyDescent="0.25">
      <c r="A287"/>
    </row>
    <row r="288" spans="1:1" ht="20.100000000000001" customHeight="1" x14ac:dyDescent="0.25">
      <c r="A288"/>
    </row>
    <row r="289" spans="1:1" ht="20.100000000000001" customHeight="1" x14ac:dyDescent="0.25">
      <c r="A289"/>
    </row>
    <row r="290" spans="1:1" ht="20.100000000000001" customHeight="1" x14ac:dyDescent="0.25">
      <c r="A290"/>
    </row>
    <row r="291" spans="1:1" ht="20.100000000000001" customHeight="1" x14ac:dyDescent="0.25">
      <c r="A291"/>
    </row>
    <row r="292" spans="1:1" ht="20.100000000000001" customHeight="1" x14ac:dyDescent="0.25">
      <c r="A292"/>
    </row>
    <row r="293" spans="1:1" ht="20.100000000000001" customHeight="1" x14ac:dyDescent="0.25">
      <c r="A293"/>
    </row>
    <row r="294" spans="1:1" ht="20.100000000000001" customHeight="1" x14ac:dyDescent="0.25">
      <c r="A294"/>
    </row>
    <row r="295" spans="1:1" ht="20.100000000000001" customHeight="1" x14ac:dyDescent="0.25">
      <c r="A295"/>
    </row>
    <row r="296" spans="1:1" ht="20.100000000000001" customHeight="1" x14ac:dyDescent="0.25">
      <c r="A296"/>
    </row>
    <row r="297" spans="1:1" ht="20.100000000000001" customHeight="1" x14ac:dyDescent="0.25">
      <c r="A297"/>
    </row>
    <row r="298" spans="1:1" ht="20.100000000000001" customHeight="1" x14ac:dyDescent="0.25">
      <c r="A298"/>
    </row>
    <row r="299" spans="1:1" ht="20.100000000000001" customHeight="1" x14ac:dyDescent="0.25">
      <c r="A299"/>
    </row>
    <row r="300" spans="1:1" ht="20.100000000000001" customHeight="1" x14ac:dyDescent="0.25">
      <c r="A300"/>
    </row>
    <row r="301" spans="1:1" ht="20.100000000000001" customHeight="1" x14ac:dyDescent="0.25">
      <c r="A301"/>
    </row>
    <row r="302" spans="1:1" ht="20.100000000000001" customHeight="1" x14ac:dyDescent="0.25">
      <c r="A302"/>
    </row>
    <row r="303" spans="1:1" ht="20.100000000000001" customHeight="1" x14ac:dyDescent="0.25">
      <c r="A303"/>
    </row>
    <row r="304" spans="1:1" ht="20.100000000000001" customHeight="1" x14ac:dyDescent="0.25">
      <c r="A304"/>
    </row>
    <row r="305" spans="1:1" ht="20.100000000000001" customHeight="1" x14ac:dyDescent="0.25">
      <c r="A305"/>
    </row>
    <row r="306" spans="1:1" ht="20.100000000000001" customHeight="1" x14ac:dyDescent="0.25">
      <c r="A306"/>
    </row>
    <row r="307" spans="1:1" ht="20.100000000000001" customHeight="1" x14ac:dyDescent="0.25">
      <c r="A307"/>
    </row>
    <row r="308" spans="1:1" ht="20.100000000000001" customHeight="1" x14ac:dyDescent="0.25">
      <c r="A308"/>
    </row>
    <row r="309" spans="1:1" ht="20.100000000000001" customHeight="1" x14ac:dyDescent="0.25">
      <c r="A309"/>
    </row>
    <row r="310" spans="1:1" ht="20.100000000000001" customHeight="1" x14ac:dyDescent="0.25">
      <c r="A310"/>
    </row>
    <row r="311" spans="1:1" ht="20.100000000000001" customHeight="1" x14ac:dyDescent="0.25">
      <c r="A311"/>
    </row>
    <row r="312" spans="1:1" ht="20.100000000000001" customHeight="1" x14ac:dyDescent="0.25">
      <c r="A312"/>
    </row>
    <row r="313" spans="1:1" ht="20.100000000000001" customHeight="1" x14ac:dyDescent="0.25">
      <c r="A313"/>
    </row>
    <row r="314" spans="1:1" ht="20.100000000000001" customHeight="1" x14ac:dyDescent="0.25">
      <c r="A314"/>
    </row>
    <row r="315" spans="1:1" ht="20.100000000000001" customHeight="1" x14ac:dyDescent="0.25">
      <c r="A315"/>
    </row>
    <row r="316" spans="1:1" ht="20.100000000000001" customHeight="1" x14ac:dyDescent="0.25">
      <c r="A316"/>
    </row>
    <row r="317" spans="1:1" ht="20.100000000000001" customHeight="1" x14ac:dyDescent="0.25">
      <c r="A317"/>
    </row>
    <row r="318" spans="1:1" ht="20.100000000000001" customHeight="1" x14ac:dyDescent="0.25">
      <c r="A318"/>
    </row>
    <row r="319" spans="1:1" ht="20.100000000000001" customHeight="1" x14ac:dyDescent="0.25">
      <c r="A319"/>
    </row>
    <row r="320" spans="1:1" ht="20.100000000000001" customHeight="1" x14ac:dyDescent="0.25">
      <c r="A320"/>
    </row>
    <row r="321" spans="1:1" ht="20.100000000000001" customHeight="1" x14ac:dyDescent="0.25">
      <c r="A321"/>
    </row>
    <row r="322" spans="1:1" ht="20.100000000000001" customHeight="1" x14ac:dyDescent="0.25">
      <c r="A322"/>
    </row>
    <row r="323" spans="1:1" ht="20.100000000000001" customHeight="1" x14ac:dyDescent="0.25">
      <c r="A323"/>
    </row>
    <row r="324" spans="1:1" ht="20.100000000000001" customHeight="1" x14ac:dyDescent="0.25">
      <c r="A324"/>
    </row>
    <row r="325" spans="1:1" ht="20.100000000000001" customHeight="1" x14ac:dyDescent="0.25">
      <c r="A325"/>
    </row>
    <row r="326" spans="1:1" ht="20.100000000000001" customHeight="1" x14ac:dyDescent="0.25">
      <c r="A326"/>
    </row>
    <row r="327" spans="1:1" ht="20.100000000000001" customHeight="1" x14ac:dyDescent="0.25">
      <c r="A327"/>
    </row>
    <row r="328" spans="1:1" ht="20.100000000000001" customHeight="1" x14ac:dyDescent="0.25">
      <c r="A328"/>
    </row>
    <row r="329" spans="1:1" ht="20.100000000000001" customHeight="1" x14ac:dyDescent="0.25">
      <c r="A329"/>
    </row>
    <row r="330" spans="1:1" ht="20.100000000000001" customHeight="1" x14ac:dyDescent="0.25">
      <c r="A330"/>
    </row>
    <row r="331" spans="1:1" ht="20.100000000000001" customHeight="1" x14ac:dyDescent="0.25">
      <c r="A331"/>
    </row>
    <row r="332" spans="1:1" ht="20.100000000000001" customHeight="1" x14ac:dyDescent="0.25">
      <c r="A332"/>
    </row>
    <row r="333" spans="1:1" ht="20.100000000000001" customHeight="1" x14ac:dyDescent="0.25">
      <c r="A333"/>
    </row>
    <row r="334" spans="1:1" ht="20.100000000000001" customHeight="1" x14ac:dyDescent="0.25">
      <c r="A334"/>
    </row>
    <row r="335" spans="1:1" ht="20.100000000000001" customHeight="1" x14ac:dyDescent="0.25">
      <c r="A335"/>
    </row>
    <row r="336" spans="1:1" ht="20.100000000000001" customHeight="1" x14ac:dyDescent="0.25">
      <c r="A336"/>
    </row>
    <row r="337" spans="1:1" ht="20.100000000000001" customHeight="1" x14ac:dyDescent="0.25">
      <c r="A337"/>
    </row>
    <row r="338" spans="1:1" ht="20.100000000000001" customHeight="1" x14ac:dyDescent="0.25">
      <c r="A338"/>
    </row>
    <row r="339" spans="1:1" ht="20.100000000000001" customHeight="1" x14ac:dyDescent="0.25">
      <c r="A339"/>
    </row>
    <row r="340" spans="1:1" ht="20.100000000000001" customHeight="1" x14ac:dyDescent="0.25">
      <c r="A340"/>
    </row>
    <row r="341" spans="1:1" ht="20.100000000000001" customHeight="1" x14ac:dyDescent="0.25">
      <c r="A341"/>
    </row>
    <row r="342" spans="1:1" ht="20.100000000000001" customHeight="1" x14ac:dyDescent="0.25">
      <c r="A342"/>
    </row>
    <row r="343" spans="1:1" ht="20.100000000000001" customHeight="1" x14ac:dyDescent="0.25">
      <c r="A343"/>
    </row>
    <row r="344" spans="1:1" ht="20.100000000000001" customHeight="1" x14ac:dyDescent="0.25">
      <c r="A344"/>
    </row>
    <row r="345" spans="1:1" ht="20.100000000000001" customHeight="1" x14ac:dyDescent="0.25">
      <c r="A345"/>
    </row>
    <row r="346" spans="1:1" ht="20.100000000000001" customHeight="1" x14ac:dyDescent="0.25">
      <c r="A346"/>
    </row>
    <row r="347" spans="1:1" ht="20.100000000000001" customHeight="1" x14ac:dyDescent="0.25">
      <c r="A347"/>
    </row>
    <row r="348" spans="1:1" ht="20.100000000000001" customHeight="1" x14ac:dyDescent="0.25">
      <c r="A348"/>
    </row>
    <row r="349" spans="1:1" ht="20.100000000000001" customHeight="1" x14ac:dyDescent="0.25">
      <c r="A349"/>
    </row>
    <row r="350" spans="1:1" ht="20.100000000000001" customHeight="1" x14ac:dyDescent="0.25">
      <c r="A350"/>
    </row>
    <row r="351" spans="1:1" ht="20.100000000000001" customHeight="1" x14ac:dyDescent="0.25">
      <c r="A351"/>
    </row>
    <row r="352" spans="1:1" ht="20.100000000000001" customHeight="1" x14ac:dyDescent="0.25">
      <c r="A352"/>
    </row>
    <row r="353" spans="1:1" ht="20.100000000000001" customHeight="1" x14ac:dyDescent="0.25">
      <c r="A353"/>
    </row>
    <row r="354" spans="1:1" ht="20.100000000000001" customHeight="1" x14ac:dyDescent="0.25">
      <c r="A354"/>
    </row>
    <row r="355" spans="1:1" ht="20.100000000000001" customHeight="1" x14ac:dyDescent="0.25">
      <c r="A355"/>
    </row>
    <row r="356" spans="1:1" ht="20.100000000000001" customHeight="1" x14ac:dyDescent="0.25">
      <c r="A356"/>
    </row>
    <row r="357" spans="1:1" ht="20.100000000000001" customHeight="1" x14ac:dyDescent="0.25">
      <c r="A357"/>
    </row>
    <row r="358" spans="1:1" ht="20.100000000000001" customHeight="1" x14ac:dyDescent="0.25">
      <c r="A358"/>
    </row>
    <row r="359" spans="1:1" ht="20.100000000000001" customHeight="1" x14ac:dyDescent="0.25">
      <c r="A359"/>
    </row>
    <row r="360" spans="1:1" ht="20.100000000000001" customHeight="1" x14ac:dyDescent="0.25">
      <c r="A360"/>
    </row>
    <row r="361" spans="1:1" ht="20.100000000000001" customHeight="1" x14ac:dyDescent="0.25">
      <c r="A361"/>
    </row>
    <row r="362" spans="1:1" ht="20.100000000000001" customHeight="1" x14ac:dyDescent="0.25">
      <c r="A362"/>
    </row>
    <row r="363" spans="1:1" ht="20.100000000000001" customHeight="1" x14ac:dyDescent="0.25">
      <c r="A363"/>
    </row>
    <row r="364" spans="1:1" ht="20.100000000000001" customHeight="1" x14ac:dyDescent="0.25">
      <c r="A364"/>
    </row>
    <row r="365" spans="1:1" ht="20.100000000000001" customHeight="1" x14ac:dyDescent="0.25">
      <c r="A365"/>
    </row>
    <row r="366" spans="1:1" ht="20.100000000000001" customHeight="1" x14ac:dyDescent="0.25">
      <c r="A366"/>
    </row>
    <row r="367" spans="1:1" ht="20.100000000000001" customHeight="1" x14ac:dyDescent="0.25">
      <c r="A367"/>
    </row>
    <row r="368" spans="1:1" ht="20.100000000000001" customHeight="1" x14ac:dyDescent="0.25">
      <c r="A368"/>
    </row>
    <row r="369" spans="1:1" ht="20.100000000000001" customHeight="1" x14ac:dyDescent="0.25">
      <c r="A369"/>
    </row>
    <row r="370" spans="1:1" ht="20.100000000000001" customHeight="1" x14ac:dyDescent="0.25">
      <c r="A370"/>
    </row>
    <row r="371" spans="1:1" ht="20.100000000000001" customHeight="1" x14ac:dyDescent="0.25">
      <c r="A371"/>
    </row>
    <row r="372" spans="1:1" ht="20.100000000000001" customHeight="1" x14ac:dyDescent="0.25">
      <c r="A372"/>
    </row>
    <row r="373" spans="1:1" ht="20.100000000000001" customHeight="1" x14ac:dyDescent="0.25">
      <c r="A373"/>
    </row>
    <row r="374" spans="1:1" ht="20.100000000000001" customHeight="1" x14ac:dyDescent="0.25">
      <c r="A374"/>
    </row>
    <row r="375" spans="1:1" ht="20.100000000000001" customHeight="1" x14ac:dyDescent="0.25">
      <c r="A375"/>
    </row>
    <row r="376" spans="1:1" ht="20.100000000000001" customHeight="1" x14ac:dyDescent="0.25">
      <c r="A376"/>
    </row>
    <row r="377" spans="1:1" ht="20.100000000000001" customHeight="1" x14ac:dyDescent="0.25">
      <c r="A377"/>
    </row>
    <row r="378" spans="1:1" ht="20.100000000000001" customHeight="1" x14ac:dyDescent="0.25">
      <c r="A378"/>
    </row>
    <row r="379" spans="1:1" ht="20.100000000000001" customHeight="1" x14ac:dyDescent="0.25">
      <c r="A379"/>
    </row>
    <row r="380" spans="1:1" ht="20.100000000000001" customHeight="1" x14ac:dyDescent="0.25">
      <c r="A380"/>
    </row>
    <row r="381" spans="1:1" ht="20.100000000000001" customHeight="1" x14ac:dyDescent="0.25">
      <c r="A381"/>
    </row>
    <row r="382" spans="1:1" ht="20.100000000000001" customHeight="1" x14ac:dyDescent="0.25">
      <c r="A382"/>
    </row>
    <row r="383" spans="1:1" ht="20.100000000000001" customHeight="1" x14ac:dyDescent="0.25">
      <c r="A383"/>
    </row>
    <row r="384" spans="1:1" ht="20.100000000000001" customHeight="1" x14ac:dyDescent="0.25">
      <c r="A384"/>
    </row>
    <row r="385" spans="1:1" ht="20.100000000000001" customHeight="1" x14ac:dyDescent="0.25">
      <c r="A385"/>
    </row>
    <row r="386" spans="1:1" ht="20.100000000000001" customHeight="1" x14ac:dyDescent="0.25">
      <c r="A386"/>
    </row>
    <row r="387" spans="1:1" ht="20.100000000000001" customHeight="1" x14ac:dyDescent="0.25">
      <c r="A387"/>
    </row>
    <row r="388" spans="1:1" ht="20.100000000000001" customHeight="1" x14ac:dyDescent="0.25">
      <c r="A388"/>
    </row>
    <row r="389" spans="1:1" ht="20.100000000000001" customHeight="1" x14ac:dyDescent="0.25">
      <c r="A389"/>
    </row>
    <row r="390" spans="1:1" ht="20.100000000000001" customHeight="1" x14ac:dyDescent="0.25">
      <c r="A390"/>
    </row>
    <row r="391" spans="1:1" ht="20.100000000000001" customHeight="1" x14ac:dyDescent="0.25">
      <c r="A391"/>
    </row>
    <row r="392" spans="1:1" ht="20.100000000000001" customHeight="1" x14ac:dyDescent="0.25">
      <c r="A392"/>
    </row>
    <row r="393" spans="1:1" ht="20.100000000000001" customHeight="1" x14ac:dyDescent="0.25">
      <c r="A393"/>
    </row>
    <row r="394" spans="1:1" ht="20.100000000000001" customHeight="1" x14ac:dyDescent="0.25">
      <c r="A394"/>
    </row>
    <row r="395" spans="1:1" ht="20.100000000000001" customHeight="1" x14ac:dyDescent="0.25">
      <c r="A395"/>
    </row>
    <row r="396" spans="1:1" ht="20.100000000000001" customHeight="1" x14ac:dyDescent="0.25">
      <c r="A396"/>
    </row>
    <row r="397" spans="1:1" ht="20.100000000000001" customHeight="1" x14ac:dyDescent="0.25">
      <c r="A397"/>
    </row>
    <row r="398" spans="1:1" ht="20.100000000000001" customHeight="1" x14ac:dyDescent="0.25">
      <c r="A398"/>
    </row>
    <row r="399" spans="1:1" ht="20.100000000000001" customHeight="1" x14ac:dyDescent="0.25">
      <c r="A399"/>
    </row>
    <row r="400" spans="1:1" ht="20.100000000000001" customHeight="1" x14ac:dyDescent="0.25">
      <c r="A400"/>
    </row>
    <row r="401" spans="1:1" ht="20.100000000000001" customHeight="1" x14ac:dyDescent="0.25">
      <c r="A401"/>
    </row>
    <row r="402" spans="1:1" ht="20.100000000000001" customHeight="1" x14ac:dyDescent="0.25">
      <c r="A402"/>
    </row>
    <row r="403" spans="1:1" ht="20.100000000000001" customHeight="1" x14ac:dyDescent="0.25">
      <c r="A403"/>
    </row>
    <row r="404" spans="1:1" ht="20.100000000000001" customHeight="1" x14ac:dyDescent="0.25">
      <c r="A404"/>
    </row>
    <row r="405" spans="1:1" ht="20.100000000000001" customHeight="1" x14ac:dyDescent="0.25">
      <c r="A405"/>
    </row>
    <row r="406" spans="1:1" ht="20.100000000000001" customHeight="1" x14ac:dyDescent="0.25">
      <c r="A406"/>
    </row>
    <row r="407" spans="1:1" ht="20.100000000000001" customHeight="1" x14ac:dyDescent="0.25">
      <c r="A407"/>
    </row>
    <row r="408" spans="1:1" ht="20.100000000000001" customHeight="1" x14ac:dyDescent="0.25">
      <c r="A408"/>
    </row>
    <row r="409" spans="1:1" ht="20.100000000000001" customHeight="1" x14ac:dyDescent="0.25">
      <c r="A409"/>
    </row>
    <row r="410" spans="1:1" ht="20.100000000000001" customHeight="1" x14ac:dyDescent="0.25">
      <c r="A410"/>
    </row>
    <row r="411" spans="1:1" ht="20.100000000000001" customHeight="1" x14ac:dyDescent="0.25">
      <c r="A411"/>
    </row>
    <row r="412" spans="1:1" ht="20.100000000000001" customHeight="1" x14ac:dyDescent="0.25">
      <c r="A412"/>
    </row>
    <row r="413" spans="1:1" ht="20.100000000000001" customHeight="1" x14ac:dyDescent="0.25">
      <c r="A413"/>
    </row>
    <row r="414" spans="1:1" ht="20.100000000000001" customHeight="1" x14ac:dyDescent="0.25">
      <c r="A414"/>
    </row>
    <row r="415" spans="1:1" ht="20.100000000000001" customHeight="1" x14ac:dyDescent="0.25">
      <c r="A415"/>
    </row>
    <row r="416" spans="1:1" ht="20.100000000000001" customHeight="1" x14ac:dyDescent="0.25">
      <c r="A416"/>
    </row>
    <row r="417" spans="1:1" ht="20.100000000000001" customHeight="1" x14ac:dyDescent="0.25">
      <c r="A417"/>
    </row>
    <row r="418" spans="1:1" ht="20.100000000000001" customHeight="1" x14ac:dyDescent="0.25">
      <c r="A418"/>
    </row>
    <row r="419" spans="1:1" ht="20.100000000000001" customHeight="1" x14ac:dyDescent="0.25">
      <c r="A419"/>
    </row>
    <row r="420" spans="1:1" ht="20.100000000000001" customHeight="1" x14ac:dyDescent="0.25">
      <c r="A420"/>
    </row>
    <row r="421" spans="1:1" ht="20.100000000000001" customHeight="1" x14ac:dyDescent="0.25">
      <c r="A421"/>
    </row>
    <row r="422" spans="1:1" ht="20.100000000000001" customHeight="1" x14ac:dyDescent="0.25">
      <c r="A422"/>
    </row>
    <row r="423" spans="1:1" ht="20.100000000000001" customHeight="1" x14ac:dyDescent="0.25">
      <c r="A423"/>
    </row>
    <row r="424" spans="1:1" ht="20.100000000000001" customHeight="1" x14ac:dyDescent="0.25">
      <c r="A424"/>
    </row>
    <row r="425" spans="1:1" ht="20.100000000000001" customHeight="1" x14ac:dyDescent="0.25">
      <c r="A425"/>
    </row>
    <row r="426" spans="1:1" ht="20.100000000000001" customHeight="1" x14ac:dyDescent="0.25">
      <c r="A426"/>
    </row>
    <row r="427" spans="1:1" ht="20.100000000000001" customHeight="1" x14ac:dyDescent="0.25">
      <c r="A427"/>
    </row>
    <row r="428" spans="1:1" ht="20.100000000000001" customHeight="1" x14ac:dyDescent="0.25">
      <c r="A428"/>
    </row>
    <row r="429" spans="1:1" ht="20.100000000000001" customHeight="1" x14ac:dyDescent="0.25">
      <c r="A429"/>
    </row>
    <row r="430" spans="1:1" ht="20.100000000000001" customHeight="1" x14ac:dyDescent="0.25">
      <c r="A430"/>
    </row>
    <row r="431" spans="1:1" ht="20.100000000000001" customHeight="1" x14ac:dyDescent="0.25">
      <c r="A431"/>
    </row>
    <row r="432" spans="1:1" ht="20.100000000000001" customHeight="1" x14ac:dyDescent="0.25">
      <c r="A432"/>
    </row>
    <row r="433" spans="1:1" ht="20.100000000000001" customHeight="1" x14ac:dyDescent="0.25">
      <c r="A433"/>
    </row>
    <row r="434" spans="1:1" ht="20.100000000000001" customHeight="1" x14ac:dyDescent="0.25">
      <c r="A434"/>
    </row>
    <row r="435" spans="1:1" ht="20.100000000000001" customHeight="1" x14ac:dyDescent="0.25">
      <c r="A435"/>
    </row>
    <row r="436" spans="1:1" ht="20.100000000000001" customHeight="1" x14ac:dyDescent="0.25">
      <c r="A436"/>
    </row>
    <row r="437" spans="1:1" ht="20.100000000000001" customHeight="1" x14ac:dyDescent="0.25">
      <c r="A437"/>
    </row>
    <row r="438" spans="1:1" ht="20.100000000000001" customHeight="1" x14ac:dyDescent="0.25">
      <c r="A438"/>
    </row>
    <row r="439" spans="1:1" ht="20.100000000000001" customHeight="1" x14ac:dyDescent="0.25">
      <c r="A439"/>
    </row>
    <row r="440" spans="1:1" ht="20.100000000000001" customHeight="1" x14ac:dyDescent="0.25">
      <c r="A440"/>
    </row>
    <row r="441" spans="1:1" ht="20.100000000000001" customHeight="1" x14ac:dyDescent="0.25">
      <c r="A441"/>
    </row>
    <row r="442" spans="1:1" ht="20.100000000000001" customHeight="1" x14ac:dyDescent="0.25">
      <c r="A442"/>
    </row>
    <row r="443" spans="1:1" ht="20.100000000000001" customHeight="1" x14ac:dyDescent="0.25">
      <c r="A443"/>
    </row>
  </sheetData>
  <mergeCells count="1182">
    <mergeCell ref="BP54:BQ54"/>
    <mergeCell ref="BV54:BW54"/>
    <mergeCell ref="BC48:BC53"/>
    <mergeCell ref="BD48:BD49"/>
    <mergeCell ref="AX50:AY50"/>
    <mergeCell ref="BD50:BE50"/>
    <mergeCell ref="AK93:AK94"/>
    <mergeCell ref="AQ93:AQ94"/>
    <mergeCell ref="A93:A94"/>
    <mergeCell ref="BO93:BO94"/>
    <mergeCell ref="G93:G94"/>
    <mergeCell ref="M93:M94"/>
    <mergeCell ref="S93:S94"/>
    <mergeCell ref="Y93:Y94"/>
    <mergeCell ref="AE93:AE94"/>
    <mergeCell ref="AF54:AG54"/>
    <mergeCell ref="AL54:AM54"/>
    <mergeCell ref="AR54:AS54"/>
    <mergeCell ref="AX54:AY54"/>
    <mergeCell ref="BV51:BV52"/>
    <mergeCell ref="B53:C53"/>
    <mergeCell ref="H53:I53"/>
    <mergeCell ref="N53:O53"/>
    <mergeCell ref="T53:U53"/>
    <mergeCell ref="Z53:AA53"/>
    <mergeCell ref="AF53:AG53"/>
    <mergeCell ref="AL53:AM53"/>
    <mergeCell ref="AR53:AS53"/>
    <mergeCell ref="BU48:BU53"/>
    <mergeCell ref="BV48:BV49"/>
    <mergeCell ref="AX53:AY53"/>
    <mergeCell ref="BV50:BW50"/>
    <mergeCell ref="BI48:BI53"/>
    <mergeCell ref="BJ48:BJ49"/>
    <mergeCell ref="BO48:BO53"/>
    <mergeCell ref="BJ50:BK50"/>
    <mergeCell ref="BJ51:BJ52"/>
    <mergeCell ref="BP51:BP52"/>
    <mergeCell ref="BJ53:BK53"/>
    <mergeCell ref="BP53:BQ53"/>
    <mergeCell ref="AW48:AW53"/>
    <mergeCell ref="AX48:AX49"/>
    <mergeCell ref="BV53:BW53"/>
    <mergeCell ref="BP48:BP49"/>
    <mergeCell ref="BP50:BQ50"/>
    <mergeCell ref="BD54:BE54"/>
    <mergeCell ref="BJ54:BK54"/>
    <mergeCell ref="BJ4:BK4"/>
    <mergeCell ref="BJ5:BK5"/>
    <mergeCell ref="BD4:BE4"/>
    <mergeCell ref="BD5:BE5"/>
    <mergeCell ref="BJ40:BK40"/>
    <mergeCell ref="BP40:BQ40"/>
    <mergeCell ref="BV40:BW40"/>
    <mergeCell ref="BV39:BW39"/>
    <mergeCell ref="BV41:BV42"/>
    <mergeCell ref="BV43:BW43"/>
    <mergeCell ref="BV37:BV38"/>
    <mergeCell ref="BJ37:BJ38"/>
    <mergeCell ref="BP37:BP38"/>
    <mergeCell ref="BJ39:BK39"/>
    <mergeCell ref="BP39:BQ39"/>
    <mergeCell ref="AX34:AX35"/>
    <mergeCell ref="BC34:BC39"/>
    <mergeCell ref="N48:N49"/>
    <mergeCell ref="S48:S53"/>
    <mergeCell ref="T48:T49"/>
    <mergeCell ref="N50:O50"/>
    <mergeCell ref="T50:U50"/>
    <mergeCell ref="N51:N52"/>
    <mergeCell ref="T51:T52"/>
    <mergeCell ref="B48:B49"/>
    <mergeCell ref="G48:G53"/>
    <mergeCell ref="H48:H49"/>
    <mergeCell ref="B50:C50"/>
    <mergeCell ref="H50:I50"/>
    <mergeCell ref="B51:B52"/>
    <mergeCell ref="H51:H52"/>
    <mergeCell ref="M48:M53"/>
    <mergeCell ref="BD51:BD52"/>
    <mergeCell ref="BD53:BE53"/>
    <mergeCell ref="AX51:AX52"/>
    <mergeCell ref="AK48:AK53"/>
    <mergeCell ref="AL48:AL49"/>
    <mergeCell ref="AQ48:AQ53"/>
    <mergeCell ref="AR48:AR49"/>
    <mergeCell ref="AR50:AS50"/>
    <mergeCell ref="AL50:AM50"/>
    <mergeCell ref="AL51:AL52"/>
    <mergeCell ref="AR51:AR52"/>
    <mergeCell ref="Y48:Y53"/>
    <mergeCell ref="Z48:Z49"/>
    <mergeCell ref="H4:I4"/>
    <mergeCell ref="H5:I5"/>
    <mergeCell ref="H93:I93"/>
    <mergeCell ref="H94:I94"/>
    <mergeCell ref="B5:C5"/>
    <mergeCell ref="B4:C4"/>
    <mergeCell ref="B93:C93"/>
    <mergeCell ref="B94:C94"/>
    <mergeCell ref="Y4:Y5"/>
    <mergeCell ref="AE4:AE5"/>
    <mergeCell ref="AK4:AK5"/>
    <mergeCell ref="AQ4:AQ5"/>
    <mergeCell ref="AL4:AM4"/>
    <mergeCell ref="AL5:AM5"/>
    <mergeCell ref="AH4:AH5"/>
    <mergeCell ref="AI4:AI5"/>
    <mergeCell ref="M4:M5"/>
    <mergeCell ref="S4:S5"/>
    <mergeCell ref="N4:O4"/>
    <mergeCell ref="N5:O5"/>
    <mergeCell ref="N93:O93"/>
    <mergeCell ref="AE48:AE53"/>
    <mergeCell ref="AF48:AF49"/>
    <mergeCell ref="Z50:AA50"/>
    <mergeCell ref="AF50:AG50"/>
    <mergeCell ref="Z51:Z52"/>
    <mergeCell ref="AF51:AF52"/>
    <mergeCell ref="B54:C54"/>
    <mergeCell ref="H54:I54"/>
    <mergeCell ref="N54:O54"/>
    <mergeCell ref="T54:U54"/>
    <mergeCell ref="Z54:AA54"/>
    <mergeCell ref="B101:C101"/>
    <mergeCell ref="H101:I101"/>
    <mergeCell ref="N101:O101"/>
    <mergeCell ref="T101:U101"/>
    <mergeCell ref="Z101:AA101"/>
    <mergeCell ref="AF101:AG101"/>
    <mergeCell ref="BP98:BP99"/>
    <mergeCell ref="BV98:BV99"/>
    <mergeCell ref="B100:C100"/>
    <mergeCell ref="H100:I100"/>
    <mergeCell ref="N100:O100"/>
    <mergeCell ref="T100:U100"/>
    <mergeCell ref="Z100:AA100"/>
    <mergeCell ref="AF100:AG100"/>
    <mergeCell ref="AL100:AM100"/>
    <mergeCell ref="AR100:AS100"/>
    <mergeCell ref="T95:T96"/>
    <mergeCell ref="Y95:Y100"/>
    <mergeCell ref="Z95:Z96"/>
    <mergeCell ref="AE95:AE100"/>
    <mergeCell ref="B95:B96"/>
    <mergeCell ref="G95:G100"/>
    <mergeCell ref="H95:H96"/>
    <mergeCell ref="BV101:BW101"/>
    <mergeCell ref="AX101:AY101"/>
    <mergeCell ref="BD101:BE101"/>
    <mergeCell ref="AL101:AM101"/>
    <mergeCell ref="AR101:AS101"/>
    <mergeCell ref="BJ101:BK101"/>
    <mergeCell ref="BP101:BQ101"/>
    <mergeCell ref="B98:B99"/>
    <mergeCell ref="H98:H99"/>
    <mergeCell ref="N98:N99"/>
    <mergeCell ref="T98:T99"/>
    <mergeCell ref="Z98:Z99"/>
    <mergeCell ref="AF98:AF99"/>
    <mergeCell ref="AL98:AL99"/>
    <mergeCell ref="AR98:AR99"/>
    <mergeCell ref="BP95:BP96"/>
    <mergeCell ref="BU95:BU100"/>
    <mergeCell ref="BV95:BV96"/>
    <mergeCell ref="B97:C97"/>
    <mergeCell ref="H97:I97"/>
    <mergeCell ref="N97:O97"/>
    <mergeCell ref="T97:U97"/>
    <mergeCell ref="Z97:AA97"/>
    <mergeCell ref="AF97:AG97"/>
    <mergeCell ref="AL97:AM97"/>
    <mergeCell ref="BD95:BD96"/>
    <mergeCell ref="BI95:BI100"/>
    <mergeCell ref="BJ95:BJ96"/>
    <mergeCell ref="BO95:BO100"/>
    <mergeCell ref="BD97:BE97"/>
    <mergeCell ref="BJ97:BK97"/>
    <mergeCell ref="BD98:BD99"/>
    <mergeCell ref="BJ98:BJ99"/>
    <mergeCell ref="BD100:BE100"/>
    <mergeCell ref="BJ100:BK100"/>
    <mergeCell ref="AR95:AR96"/>
    <mergeCell ref="AW95:AW100"/>
    <mergeCell ref="BP100:BQ100"/>
    <mergeCell ref="BV100:BW100"/>
    <mergeCell ref="M95:M100"/>
    <mergeCell ref="N95:N96"/>
    <mergeCell ref="S95:S100"/>
    <mergeCell ref="BX93:BX94"/>
    <mergeCell ref="BP93:BQ93"/>
    <mergeCell ref="BP94:BQ94"/>
    <mergeCell ref="BL93:BL94"/>
    <mergeCell ref="BM93:BM94"/>
    <mergeCell ref="BJ93:BK93"/>
    <mergeCell ref="BJ94:BK94"/>
    <mergeCell ref="AH93:AH94"/>
    <mergeCell ref="AI93:AI94"/>
    <mergeCell ref="AF93:AG93"/>
    <mergeCell ref="AF94:AG94"/>
    <mergeCell ref="AX95:AX96"/>
    <mergeCell ref="BC95:BC100"/>
    <mergeCell ref="AR97:AS97"/>
    <mergeCell ref="AX97:AY97"/>
    <mergeCell ref="AX98:AX99"/>
    <mergeCell ref="AX100:AY100"/>
    <mergeCell ref="AF95:AF96"/>
    <mergeCell ref="AK95:AK100"/>
    <mergeCell ref="AL95:AL96"/>
    <mergeCell ref="AQ95:AQ100"/>
    <mergeCell ref="BP97:BQ97"/>
    <mergeCell ref="BV97:BW97"/>
    <mergeCell ref="V93:V94"/>
    <mergeCell ref="W93:W94"/>
    <mergeCell ref="G91:I91"/>
    <mergeCell ref="M91:O91"/>
    <mergeCell ref="S91:U91"/>
    <mergeCell ref="Y91:AA91"/>
    <mergeCell ref="BY93:BY94"/>
    <mergeCell ref="BV93:BW93"/>
    <mergeCell ref="BV94:BW94"/>
    <mergeCell ref="BR93:BR94"/>
    <mergeCell ref="BS93:BS94"/>
    <mergeCell ref="BU93:BU94"/>
    <mergeCell ref="BA93:BA94"/>
    <mergeCell ref="AX93:AY93"/>
    <mergeCell ref="AX94:AY94"/>
    <mergeCell ref="BF93:BF94"/>
    <mergeCell ref="BG93:BG94"/>
    <mergeCell ref="BD93:BE93"/>
    <mergeCell ref="BD94:BE94"/>
    <mergeCell ref="AO93:AO94"/>
    <mergeCell ref="AL93:AM93"/>
    <mergeCell ref="AL94:AM94"/>
    <mergeCell ref="AT93:AT94"/>
    <mergeCell ref="AU93:AU94"/>
    <mergeCell ref="AR93:AS93"/>
    <mergeCell ref="AR94:AS94"/>
    <mergeCell ref="AZ93:AZ94"/>
    <mergeCell ref="AN93:AN94"/>
    <mergeCell ref="BC93:BC94"/>
    <mergeCell ref="AW93:AW94"/>
    <mergeCell ref="BI93:BI94"/>
    <mergeCell ref="B89:C89"/>
    <mergeCell ref="H89:I89"/>
    <mergeCell ref="N89:O89"/>
    <mergeCell ref="T89:U89"/>
    <mergeCell ref="Z89:AA89"/>
    <mergeCell ref="AF89:AG89"/>
    <mergeCell ref="AL89:AM89"/>
    <mergeCell ref="AR89:AS89"/>
    <mergeCell ref="AX89:AY89"/>
    <mergeCell ref="BD89:BE89"/>
    <mergeCell ref="BJ89:BK89"/>
    <mergeCell ref="BI91:BK91"/>
    <mergeCell ref="BU91:BW91"/>
    <mergeCell ref="D93:D94"/>
    <mergeCell ref="E93:E94"/>
    <mergeCell ref="AW91:AY91"/>
    <mergeCell ref="BC91:BE91"/>
    <mergeCell ref="AC93:AC94"/>
    <mergeCell ref="Z93:AA93"/>
    <mergeCell ref="Z94:AA94"/>
    <mergeCell ref="BO91:BQ91"/>
    <mergeCell ref="P93:P94"/>
    <mergeCell ref="Q93:Q94"/>
    <mergeCell ref="AE91:AG91"/>
    <mergeCell ref="AK91:AM91"/>
    <mergeCell ref="AQ91:AS91"/>
    <mergeCell ref="T93:U93"/>
    <mergeCell ref="T94:U94"/>
    <mergeCell ref="AB93:AB94"/>
    <mergeCell ref="J93:J94"/>
    <mergeCell ref="K93:K94"/>
    <mergeCell ref="N94:O94"/>
    <mergeCell ref="BJ75:BK75"/>
    <mergeCell ref="AX76:AX77"/>
    <mergeCell ref="BC76:BC81"/>
    <mergeCell ref="BD76:BD77"/>
    <mergeCell ref="BI76:BI81"/>
    <mergeCell ref="BJ76:BJ77"/>
    <mergeCell ref="AX81:AY81"/>
    <mergeCell ref="BD81:BE81"/>
    <mergeCell ref="BJ81:BK81"/>
    <mergeCell ref="AX83:AX84"/>
    <mergeCell ref="BC83:BC88"/>
    <mergeCell ref="BD83:BD84"/>
    <mergeCell ref="BI83:BI88"/>
    <mergeCell ref="BJ83:BJ84"/>
    <mergeCell ref="N88:O88"/>
    <mergeCell ref="T88:U88"/>
    <mergeCell ref="BJ85:BK85"/>
    <mergeCell ref="AR78:AS78"/>
    <mergeCell ref="AX78:AY78"/>
    <mergeCell ref="BD78:BE78"/>
    <mergeCell ref="BJ78:BK78"/>
    <mergeCell ref="N85:O85"/>
    <mergeCell ref="T85:U85"/>
    <mergeCell ref="Z85:AA85"/>
    <mergeCell ref="AF85:AG85"/>
    <mergeCell ref="AL85:AM85"/>
    <mergeCell ref="AR85:AS85"/>
    <mergeCell ref="AX85:AY85"/>
    <mergeCell ref="BD85:BE85"/>
    <mergeCell ref="Z88:AA88"/>
    <mergeCell ref="Z69:Z70"/>
    <mergeCell ref="AE69:AE74"/>
    <mergeCell ref="AF69:AF70"/>
    <mergeCell ref="AK69:AK74"/>
    <mergeCell ref="BP75:BQ75"/>
    <mergeCell ref="BV75:BW75"/>
    <mergeCell ref="BV74:BW74"/>
    <mergeCell ref="B75:C75"/>
    <mergeCell ref="H75:I75"/>
    <mergeCell ref="N75:O75"/>
    <mergeCell ref="T75:U75"/>
    <mergeCell ref="Z75:AA75"/>
    <mergeCell ref="AL75:AM75"/>
    <mergeCell ref="AR75:AS75"/>
    <mergeCell ref="AX75:AY75"/>
    <mergeCell ref="BV72:BV73"/>
    <mergeCell ref="B74:C74"/>
    <mergeCell ref="H74:I74"/>
    <mergeCell ref="N74:O74"/>
    <mergeCell ref="T74:U74"/>
    <mergeCell ref="Z74:AA74"/>
    <mergeCell ref="BD75:BE75"/>
    <mergeCell ref="B72:B73"/>
    <mergeCell ref="H72:H73"/>
    <mergeCell ref="N72:N73"/>
    <mergeCell ref="T72:T73"/>
    <mergeCell ref="Z72:Z73"/>
    <mergeCell ref="AF75:AG75"/>
    <mergeCell ref="BU69:BU74"/>
    <mergeCell ref="BV69:BV70"/>
    <mergeCell ref="AL71:AM71"/>
    <mergeCell ref="AR71:AS71"/>
    <mergeCell ref="BP69:BP70"/>
    <mergeCell ref="BJ71:BK71"/>
    <mergeCell ref="BP71:BQ71"/>
    <mergeCell ref="BJ72:BJ73"/>
    <mergeCell ref="BP72:BP73"/>
    <mergeCell ref="BJ74:BK74"/>
    <mergeCell ref="BP74:BQ74"/>
    <mergeCell ref="AX69:AX70"/>
    <mergeCell ref="BC69:BC74"/>
    <mergeCell ref="BD69:BD70"/>
    <mergeCell ref="AX71:AY71"/>
    <mergeCell ref="BD71:BE71"/>
    <mergeCell ref="BD72:BD73"/>
    <mergeCell ref="BD74:BE74"/>
    <mergeCell ref="AX72:AX73"/>
    <mergeCell ref="AL69:AL70"/>
    <mergeCell ref="AQ69:AQ74"/>
    <mergeCell ref="AR69:AR70"/>
    <mergeCell ref="AW69:AW74"/>
    <mergeCell ref="BI69:BI74"/>
    <mergeCell ref="BJ69:BJ70"/>
    <mergeCell ref="AL74:AM74"/>
    <mergeCell ref="AR74:AS74"/>
    <mergeCell ref="AR72:AR73"/>
    <mergeCell ref="AF74:AG74"/>
    <mergeCell ref="N69:N70"/>
    <mergeCell ref="S69:S74"/>
    <mergeCell ref="T69:T70"/>
    <mergeCell ref="Y69:Y74"/>
    <mergeCell ref="B69:B70"/>
    <mergeCell ref="G69:G74"/>
    <mergeCell ref="H69:H70"/>
    <mergeCell ref="M69:M74"/>
    <mergeCell ref="B71:C71"/>
    <mergeCell ref="H71:I71"/>
    <mergeCell ref="BJ68:BK68"/>
    <mergeCell ref="BP68:BQ68"/>
    <mergeCell ref="BV68:BW68"/>
    <mergeCell ref="BV67:BW67"/>
    <mergeCell ref="B68:C68"/>
    <mergeCell ref="H68:I68"/>
    <mergeCell ref="N68:O68"/>
    <mergeCell ref="T68:U68"/>
    <mergeCell ref="Z68:AA68"/>
    <mergeCell ref="AL68:AM68"/>
    <mergeCell ref="AR68:AS68"/>
    <mergeCell ref="AX68:AY68"/>
    <mergeCell ref="AX74:AY74"/>
    <mergeCell ref="BV71:BW71"/>
    <mergeCell ref="N71:O71"/>
    <mergeCell ref="T71:U71"/>
    <mergeCell ref="Z71:AA71"/>
    <mergeCell ref="AF71:AG71"/>
    <mergeCell ref="AF72:AF73"/>
    <mergeCell ref="AL72:AL73"/>
    <mergeCell ref="BO69:BO74"/>
    <mergeCell ref="BV65:BV66"/>
    <mergeCell ref="B67:C67"/>
    <mergeCell ref="H67:I67"/>
    <mergeCell ref="N67:O67"/>
    <mergeCell ref="T67:U67"/>
    <mergeCell ref="Z67:AA67"/>
    <mergeCell ref="BD68:BE68"/>
    <mergeCell ref="B65:B66"/>
    <mergeCell ref="H65:H66"/>
    <mergeCell ref="N65:N66"/>
    <mergeCell ref="T65:T66"/>
    <mergeCell ref="Z65:Z66"/>
    <mergeCell ref="AF68:AG68"/>
    <mergeCell ref="BU62:BU67"/>
    <mergeCell ref="BV62:BV63"/>
    <mergeCell ref="AL64:AM64"/>
    <mergeCell ref="AR64:AS64"/>
    <mergeCell ref="BI62:BI67"/>
    <mergeCell ref="BJ62:BJ63"/>
    <mergeCell ref="AL67:AM67"/>
    <mergeCell ref="AR67:AS67"/>
    <mergeCell ref="AX67:AY67"/>
    <mergeCell ref="BV64:BW64"/>
    <mergeCell ref="N64:O64"/>
    <mergeCell ref="T64:U64"/>
    <mergeCell ref="Z64:AA64"/>
    <mergeCell ref="AF64:AG64"/>
    <mergeCell ref="AF65:AF66"/>
    <mergeCell ref="AL65:AL66"/>
    <mergeCell ref="BO62:BO67"/>
    <mergeCell ref="BP62:BP63"/>
    <mergeCell ref="BJ64:BK64"/>
    <mergeCell ref="T62:T63"/>
    <mergeCell ref="Y62:Y67"/>
    <mergeCell ref="B62:B63"/>
    <mergeCell ref="G62:G67"/>
    <mergeCell ref="H62:H63"/>
    <mergeCell ref="M62:M67"/>
    <mergeCell ref="B64:C64"/>
    <mergeCell ref="H64:I64"/>
    <mergeCell ref="BJ61:BK61"/>
    <mergeCell ref="BP64:BQ64"/>
    <mergeCell ref="BJ65:BJ66"/>
    <mergeCell ref="BP65:BP66"/>
    <mergeCell ref="BJ67:BK67"/>
    <mergeCell ref="BP67:BQ67"/>
    <mergeCell ref="AX62:AX63"/>
    <mergeCell ref="BC62:BC67"/>
    <mergeCell ref="BD62:BD63"/>
    <mergeCell ref="AX64:AY64"/>
    <mergeCell ref="BD64:BE64"/>
    <mergeCell ref="BD65:BD66"/>
    <mergeCell ref="BD67:BE67"/>
    <mergeCell ref="AX65:AX66"/>
    <mergeCell ref="AL62:AL63"/>
    <mergeCell ref="AQ62:AQ67"/>
    <mergeCell ref="AR62:AR63"/>
    <mergeCell ref="AW62:AW67"/>
    <mergeCell ref="BP61:BQ61"/>
    <mergeCell ref="BV61:BW61"/>
    <mergeCell ref="BV60:BW60"/>
    <mergeCell ref="B61:C61"/>
    <mergeCell ref="H61:I61"/>
    <mergeCell ref="N61:O61"/>
    <mergeCell ref="T61:U61"/>
    <mergeCell ref="Z61:AA61"/>
    <mergeCell ref="AL61:AM61"/>
    <mergeCell ref="AR61:AS61"/>
    <mergeCell ref="AX61:AY61"/>
    <mergeCell ref="BV58:BV59"/>
    <mergeCell ref="B60:C60"/>
    <mergeCell ref="H60:I60"/>
    <mergeCell ref="N60:O60"/>
    <mergeCell ref="T60:U60"/>
    <mergeCell ref="Z60:AA60"/>
    <mergeCell ref="BD61:BE61"/>
    <mergeCell ref="B58:B59"/>
    <mergeCell ref="H58:H59"/>
    <mergeCell ref="N58:N59"/>
    <mergeCell ref="T58:T59"/>
    <mergeCell ref="Z58:Z59"/>
    <mergeCell ref="AF61:AG61"/>
    <mergeCell ref="BU55:BU60"/>
    <mergeCell ref="BV55:BV56"/>
    <mergeCell ref="AL57:AM57"/>
    <mergeCell ref="AR57:AS57"/>
    <mergeCell ref="BI55:BI60"/>
    <mergeCell ref="BJ55:BJ56"/>
    <mergeCell ref="AL60:AM60"/>
    <mergeCell ref="AR60:AS60"/>
    <mergeCell ref="BO55:BO60"/>
    <mergeCell ref="BP55:BP56"/>
    <mergeCell ref="BJ57:BK57"/>
    <mergeCell ref="BP57:BQ57"/>
    <mergeCell ref="BJ58:BJ59"/>
    <mergeCell ref="BP58:BP59"/>
    <mergeCell ref="BJ60:BK60"/>
    <mergeCell ref="BP60:BQ60"/>
    <mergeCell ref="AX55:AX56"/>
    <mergeCell ref="BC55:BC60"/>
    <mergeCell ref="BD55:BD56"/>
    <mergeCell ref="AX57:AY57"/>
    <mergeCell ref="BD57:BE57"/>
    <mergeCell ref="BD58:BD59"/>
    <mergeCell ref="BD60:BE60"/>
    <mergeCell ref="AX58:AX59"/>
    <mergeCell ref="AL55:AL56"/>
    <mergeCell ref="AQ55:AQ60"/>
    <mergeCell ref="AR55:AR56"/>
    <mergeCell ref="AW55:AW60"/>
    <mergeCell ref="B40:C40"/>
    <mergeCell ref="H40:I40"/>
    <mergeCell ref="N40:O40"/>
    <mergeCell ref="T40:U40"/>
    <mergeCell ref="Z40:AA40"/>
    <mergeCell ref="AL40:AM40"/>
    <mergeCell ref="AR40:AS40"/>
    <mergeCell ref="AX40:AY40"/>
    <mergeCell ref="BO41:BO46"/>
    <mergeCell ref="BP41:BP42"/>
    <mergeCell ref="BJ43:BK43"/>
    <mergeCell ref="BP43:BQ43"/>
    <mergeCell ref="BJ44:BJ45"/>
    <mergeCell ref="BP44:BP45"/>
    <mergeCell ref="BJ46:BK46"/>
    <mergeCell ref="BP46:BQ46"/>
    <mergeCell ref="BU41:BU46"/>
    <mergeCell ref="AL43:AM43"/>
    <mergeCell ref="AR43:AS43"/>
    <mergeCell ref="BI41:BI46"/>
    <mergeCell ref="BJ41:BJ42"/>
    <mergeCell ref="AF46:AG46"/>
    <mergeCell ref="AL46:AM46"/>
    <mergeCell ref="AR46:AS46"/>
    <mergeCell ref="AX46:AY46"/>
    <mergeCell ref="B44:B45"/>
    <mergeCell ref="B39:C39"/>
    <mergeCell ref="H39:I39"/>
    <mergeCell ref="N39:O39"/>
    <mergeCell ref="T39:U39"/>
    <mergeCell ref="Z39:AA39"/>
    <mergeCell ref="BD40:BE40"/>
    <mergeCell ref="B37:B38"/>
    <mergeCell ref="H37:H38"/>
    <mergeCell ref="N37:N38"/>
    <mergeCell ref="T37:T38"/>
    <mergeCell ref="Z37:Z38"/>
    <mergeCell ref="AF40:AG40"/>
    <mergeCell ref="BU34:BU39"/>
    <mergeCell ref="BV34:BV35"/>
    <mergeCell ref="AL36:AM36"/>
    <mergeCell ref="AR36:AS36"/>
    <mergeCell ref="BI34:BI39"/>
    <mergeCell ref="BJ34:BJ35"/>
    <mergeCell ref="AL39:AM39"/>
    <mergeCell ref="AR39:AS39"/>
    <mergeCell ref="AX39:AY39"/>
    <mergeCell ref="BV36:BW36"/>
    <mergeCell ref="N36:O36"/>
    <mergeCell ref="T36:U36"/>
    <mergeCell ref="Z36:AA36"/>
    <mergeCell ref="AF36:AG36"/>
    <mergeCell ref="AF37:AF38"/>
    <mergeCell ref="AL37:AL38"/>
    <mergeCell ref="BO34:BO39"/>
    <mergeCell ref="BP34:BP35"/>
    <mergeCell ref="BJ36:BK36"/>
    <mergeCell ref="BP36:BQ36"/>
    <mergeCell ref="BD34:BD35"/>
    <mergeCell ref="AX36:AY36"/>
    <mergeCell ref="BD36:BE36"/>
    <mergeCell ref="BD37:BD38"/>
    <mergeCell ref="BD39:BE39"/>
    <mergeCell ref="AX37:AX38"/>
    <mergeCell ref="AL34:AL35"/>
    <mergeCell ref="AQ34:AQ39"/>
    <mergeCell ref="AR34:AR35"/>
    <mergeCell ref="AW34:AW39"/>
    <mergeCell ref="Z34:Z35"/>
    <mergeCell ref="AE34:AE39"/>
    <mergeCell ref="AF34:AF35"/>
    <mergeCell ref="AK34:AK39"/>
    <mergeCell ref="AR37:AR38"/>
    <mergeCell ref="AF39:AG39"/>
    <mergeCell ref="N34:N35"/>
    <mergeCell ref="S34:S39"/>
    <mergeCell ref="T34:T35"/>
    <mergeCell ref="Y34:Y39"/>
    <mergeCell ref="B34:B35"/>
    <mergeCell ref="G34:G39"/>
    <mergeCell ref="H34:H35"/>
    <mergeCell ref="M34:M39"/>
    <mergeCell ref="B36:C36"/>
    <mergeCell ref="H36:I36"/>
    <mergeCell ref="BJ33:BK33"/>
    <mergeCell ref="Z27:Z28"/>
    <mergeCell ref="AE27:AE32"/>
    <mergeCell ref="AF27:AF28"/>
    <mergeCell ref="AK27:AK32"/>
    <mergeCell ref="BP33:BQ33"/>
    <mergeCell ref="BV33:BW33"/>
    <mergeCell ref="BV32:BW32"/>
    <mergeCell ref="B33:C33"/>
    <mergeCell ref="H33:I33"/>
    <mergeCell ref="N33:O33"/>
    <mergeCell ref="T33:U33"/>
    <mergeCell ref="Z33:AA33"/>
    <mergeCell ref="AL33:AM33"/>
    <mergeCell ref="AR33:AS33"/>
    <mergeCell ref="AX33:AY33"/>
    <mergeCell ref="BV30:BV31"/>
    <mergeCell ref="B32:C32"/>
    <mergeCell ref="H32:I32"/>
    <mergeCell ref="N32:O32"/>
    <mergeCell ref="T32:U32"/>
    <mergeCell ref="Z32:AA32"/>
    <mergeCell ref="BD33:BE33"/>
    <mergeCell ref="B30:B31"/>
    <mergeCell ref="H30:H31"/>
    <mergeCell ref="N30:N31"/>
    <mergeCell ref="Z30:Z31"/>
    <mergeCell ref="AF33:AG33"/>
    <mergeCell ref="BU27:BU32"/>
    <mergeCell ref="BV27:BV28"/>
    <mergeCell ref="AL29:AM29"/>
    <mergeCell ref="AR29:AS29"/>
    <mergeCell ref="BP27:BP28"/>
    <mergeCell ref="BJ29:BK29"/>
    <mergeCell ref="BP29:BQ29"/>
    <mergeCell ref="BJ30:BJ31"/>
    <mergeCell ref="BP30:BP31"/>
    <mergeCell ref="BJ32:BK32"/>
    <mergeCell ref="BP32:BQ32"/>
    <mergeCell ref="AX27:AX28"/>
    <mergeCell ref="BC27:BC32"/>
    <mergeCell ref="BD27:BD28"/>
    <mergeCell ref="AX29:AY29"/>
    <mergeCell ref="BD29:BE29"/>
    <mergeCell ref="BD30:BD31"/>
    <mergeCell ref="BD32:BE32"/>
    <mergeCell ref="AX30:AX31"/>
    <mergeCell ref="AL27:AL28"/>
    <mergeCell ref="AQ27:AQ32"/>
    <mergeCell ref="AR27:AR28"/>
    <mergeCell ref="AW27:AW32"/>
    <mergeCell ref="BI27:BI32"/>
    <mergeCell ref="BJ27:BJ28"/>
    <mergeCell ref="AL32:AM32"/>
    <mergeCell ref="AR32:AS32"/>
    <mergeCell ref="AR30:AR31"/>
    <mergeCell ref="AF32:AG32"/>
    <mergeCell ref="N27:N28"/>
    <mergeCell ref="S27:S32"/>
    <mergeCell ref="T27:T28"/>
    <mergeCell ref="Y27:Y32"/>
    <mergeCell ref="B27:B28"/>
    <mergeCell ref="G27:G32"/>
    <mergeCell ref="H27:H28"/>
    <mergeCell ref="M27:M32"/>
    <mergeCell ref="B29:C29"/>
    <mergeCell ref="H29:I29"/>
    <mergeCell ref="BJ26:BK26"/>
    <mergeCell ref="BP26:BQ26"/>
    <mergeCell ref="BV26:BW26"/>
    <mergeCell ref="BV25:BW25"/>
    <mergeCell ref="B26:C26"/>
    <mergeCell ref="H26:I26"/>
    <mergeCell ref="N26:O26"/>
    <mergeCell ref="T26:U26"/>
    <mergeCell ref="Z26:AA26"/>
    <mergeCell ref="AL26:AM26"/>
    <mergeCell ref="AR26:AS26"/>
    <mergeCell ref="AX26:AY26"/>
    <mergeCell ref="AX32:AY32"/>
    <mergeCell ref="BV29:BW29"/>
    <mergeCell ref="N29:O29"/>
    <mergeCell ref="T29:U29"/>
    <mergeCell ref="Z29:AA29"/>
    <mergeCell ref="AF29:AG29"/>
    <mergeCell ref="AF30:AF31"/>
    <mergeCell ref="AL30:AL31"/>
    <mergeCell ref="BO27:BO32"/>
    <mergeCell ref="T30:T31"/>
    <mergeCell ref="BV23:BV24"/>
    <mergeCell ref="B25:C25"/>
    <mergeCell ref="H25:I25"/>
    <mergeCell ref="N25:O25"/>
    <mergeCell ref="T25:U25"/>
    <mergeCell ref="Z25:AA25"/>
    <mergeCell ref="BD26:BE26"/>
    <mergeCell ref="B23:B24"/>
    <mergeCell ref="H23:H24"/>
    <mergeCell ref="N23:N24"/>
    <mergeCell ref="T23:T24"/>
    <mergeCell ref="Z23:Z24"/>
    <mergeCell ref="AF26:AG26"/>
    <mergeCell ref="BU20:BU25"/>
    <mergeCell ref="BV20:BV21"/>
    <mergeCell ref="AL22:AM22"/>
    <mergeCell ref="AR22:AS22"/>
    <mergeCell ref="BI20:BI25"/>
    <mergeCell ref="BJ20:BJ21"/>
    <mergeCell ref="AL25:AM25"/>
    <mergeCell ref="AR25:AS25"/>
    <mergeCell ref="AX25:AY25"/>
    <mergeCell ref="BV22:BW22"/>
    <mergeCell ref="N22:O22"/>
    <mergeCell ref="T22:U22"/>
    <mergeCell ref="Z22:AA22"/>
    <mergeCell ref="AF22:AG22"/>
    <mergeCell ref="AF23:AF24"/>
    <mergeCell ref="AL23:AL24"/>
    <mergeCell ref="BO20:BO25"/>
    <mergeCell ref="BP20:BP21"/>
    <mergeCell ref="BJ22:BK22"/>
    <mergeCell ref="BP22:BQ22"/>
    <mergeCell ref="BJ23:BJ24"/>
    <mergeCell ref="BP23:BP24"/>
    <mergeCell ref="BJ25:BK25"/>
    <mergeCell ref="BP25:BQ25"/>
    <mergeCell ref="AX20:AX21"/>
    <mergeCell ref="BC20:BC25"/>
    <mergeCell ref="BD20:BD21"/>
    <mergeCell ref="AX22:AY22"/>
    <mergeCell ref="BD22:BE22"/>
    <mergeCell ref="BD23:BD24"/>
    <mergeCell ref="BD25:BE25"/>
    <mergeCell ref="AX23:AX24"/>
    <mergeCell ref="AL20:AL21"/>
    <mergeCell ref="AQ20:AQ25"/>
    <mergeCell ref="AR20:AR21"/>
    <mergeCell ref="AW20:AW25"/>
    <mergeCell ref="Z20:Z21"/>
    <mergeCell ref="AE20:AE25"/>
    <mergeCell ref="AF20:AF21"/>
    <mergeCell ref="AK20:AK25"/>
    <mergeCell ref="AR23:AR24"/>
    <mergeCell ref="AF25:AG25"/>
    <mergeCell ref="N20:N21"/>
    <mergeCell ref="S20:S25"/>
    <mergeCell ref="T20:T21"/>
    <mergeCell ref="Y20:Y25"/>
    <mergeCell ref="B20:B21"/>
    <mergeCell ref="G20:G25"/>
    <mergeCell ref="H20:H21"/>
    <mergeCell ref="M20:M25"/>
    <mergeCell ref="B22:C22"/>
    <mergeCell ref="H22:I22"/>
    <mergeCell ref="BD19:BE19"/>
    <mergeCell ref="BJ19:BK19"/>
    <mergeCell ref="BP19:BQ19"/>
    <mergeCell ref="BV19:BW19"/>
    <mergeCell ref="BV18:BW18"/>
    <mergeCell ref="B19:C19"/>
    <mergeCell ref="H19:I19"/>
    <mergeCell ref="N19:O19"/>
    <mergeCell ref="T19:U19"/>
    <mergeCell ref="Z19:AA19"/>
    <mergeCell ref="AF19:AG19"/>
    <mergeCell ref="AL19:AM19"/>
    <mergeCell ref="AR19:AS19"/>
    <mergeCell ref="AX19:AY19"/>
    <mergeCell ref="BV16:BV17"/>
    <mergeCell ref="B18:C18"/>
    <mergeCell ref="H18:I18"/>
    <mergeCell ref="N18:O18"/>
    <mergeCell ref="T18:U18"/>
    <mergeCell ref="Z18:AA18"/>
    <mergeCell ref="AF18:AG18"/>
    <mergeCell ref="AL18:AM18"/>
    <mergeCell ref="AR18:AS18"/>
    <mergeCell ref="AX18:AY18"/>
    <mergeCell ref="B16:B17"/>
    <mergeCell ref="H16:H17"/>
    <mergeCell ref="N16:N17"/>
    <mergeCell ref="T16:T17"/>
    <mergeCell ref="Z16:Z17"/>
    <mergeCell ref="B15:C15"/>
    <mergeCell ref="H15:I15"/>
    <mergeCell ref="N15:O15"/>
    <mergeCell ref="T15:U15"/>
    <mergeCell ref="Z15:AA15"/>
    <mergeCell ref="BJ13:BJ14"/>
    <mergeCell ref="BO13:BO18"/>
    <mergeCell ref="BC13:BC18"/>
    <mergeCell ref="BD13:BD14"/>
    <mergeCell ref="BI13:BI18"/>
    <mergeCell ref="BD15:BE15"/>
    <mergeCell ref="BJ18:BK18"/>
    <mergeCell ref="BP18:BQ18"/>
    <mergeCell ref="AF15:AG15"/>
    <mergeCell ref="AL15:AM15"/>
    <mergeCell ref="AR15:AS15"/>
    <mergeCell ref="AX15:AY15"/>
    <mergeCell ref="AF16:AF17"/>
    <mergeCell ref="AL16:AL17"/>
    <mergeCell ref="AR16:AR17"/>
    <mergeCell ref="AX16:AX17"/>
    <mergeCell ref="AQ13:AQ18"/>
    <mergeCell ref="AR13:AR14"/>
    <mergeCell ref="AW13:AW18"/>
    <mergeCell ref="AX13:AX14"/>
    <mergeCell ref="AF6:AF7"/>
    <mergeCell ref="B6:B7"/>
    <mergeCell ref="BP13:BP14"/>
    <mergeCell ref="BU13:BU18"/>
    <mergeCell ref="BJ15:BK15"/>
    <mergeCell ref="BP15:BQ15"/>
    <mergeCell ref="BJ16:BJ17"/>
    <mergeCell ref="BP16:BP17"/>
    <mergeCell ref="AK13:AK18"/>
    <mergeCell ref="AL13:AL14"/>
    <mergeCell ref="BV12:BW12"/>
    <mergeCell ref="B13:B14"/>
    <mergeCell ref="G13:G18"/>
    <mergeCell ref="H13:H14"/>
    <mergeCell ref="M13:M18"/>
    <mergeCell ref="N13:N14"/>
    <mergeCell ref="BD16:BD17"/>
    <mergeCell ref="BD18:BE18"/>
    <mergeCell ref="S13:S18"/>
    <mergeCell ref="T13:T14"/>
    <mergeCell ref="Y13:Y18"/>
    <mergeCell ref="Z13:Z14"/>
    <mergeCell ref="AX12:AY12"/>
    <mergeCell ref="BD12:BE12"/>
    <mergeCell ref="AL12:AM12"/>
    <mergeCell ref="AR12:AS12"/>
    <mergeCell ref="AE13:AE18"/>
    <mergeCell ref="AF13:AF14"/>
    <mergeCell ref="BJ12:BK12"/>
    <mergeCell ref="BP12:BQ12"/>
    <mergeCell ref="BV15:BW15"/>
    <mergeCell ref="BV13:BV14"/>
    <mergeCell ref="AW6:AW11"/>
    <mergeCell ref="AX6:AX7"/>
    <mergeCell ref="BP11:BQ11"/>
    <mergeCell ref="BV11:BW11"/>
    <mergeCell ref="B12:C12"/>
    <mergeCell ref="H12:I12"/>
    <mergeCell ref="N12:O12"/>
    <mergeCell ref="T12:U12"/>
    <mergeCell ref="Z12:AA12"/>
    <mergeCell ref="AF12:AG12"/>
    <mergeCell ref="BP9:BP10"/>
    <mergeCell ref="BV9:BV10"/>
    <mergeCell ref="B11:C11"/>
    <mergeCell ref="H11:I11"/>
    <mergeCell ref="N11:O11"/>
    <mergeCell ref="T11:U11"/>
    <mergeCell ref="Z11:AA11"/>
    <mergeCell ref="AF11:AG11"/>
    <mergeCell ref="AL11:AM11"/>
    <mergeCell ref="AR11:AS11"/>
    <mergeCell ref="BC6:BC11"/>
    <mergeCell ref="AR8:AS8"/>
    <mergeCell ref="AX8:AY8"/>
    <mergeCell ref="AX9:AX10"/>
    <mergeCell ref="AX11:AY11"/>
    <mergeCell ref="AK6:AK11"/>
    <mergeCell ref="AL6:AL7"/>
    <mergeCell ref="AQ6:AQ11"/>
    <mergeCell ref="AR6:AR7"/>
    <mergeCell ref="Y6:Y11"/>
    <mergeCell ref="Z6:Z7"/>
    <mergeCell ref="AE6:AE11"/>
    <mergeCell ref="BG4:BG5"/>
    <mergeCell ref="J4:J5"/>
    <mergeCell ref="BP8:BQ8"/>
    <mergeCell ref="BV8:BW8"/>
    <mergeCell ref="B9:B10"/>
    <mergeCell ref="H9:H10"/>
    <mergeCell ref="N9:N10"/>
    <mergeCell ref="T9:T10"/>
    <mergeCell ref="Z9:Z10"/>
    <mergeCell ref="AF9:AF10"/>
    <mergeCell ref="AL9:AL10"/>
    <mergeCell ref="AR9:AR10"/>
    <mergeCell ref="BP6:BP7"/>
    <mergeCell ref="BU6:BU11"/>
    <mergeCell ref="BV6:BV7"/>
    <mergeCell ref="B8:C8"/>
    <mergeCell ref="H8:I8"/>
    <mergeCell ref="N8:O8"/>
    <mergeCell ref="T8:U8"/>
    <mergeCell ref="Z8:AA8"/>
    <mergeCell ref="AF8:AG8"/>
    <mergeCell ref="AL8:AM8"/>
    <mergeCell ref="BD6:BD7"/>
    <mergeCell ref="BI6:BI11"/>
    <mergeCell ref="BJ6:BJ7"/>
    <mergeCell ref="BO6:BO11"/>
    <mergeCell ref="BD8:BE8"/>
    <mergeCell ref="BJ8:BK8"/>
    <mergeCell ref="BD9:BD10"/>
    <mergeCell ref="BJ9:BJ10"/>
    <mergeCell ref="BD11:BE11"/>
    <mergeCell ref="BJ11:BK11"/>
    <mergeCell ref="Q4:Q5"/>
    <mergeCell ref="BY4:BY5"/>
    <mergeCell ref="BV4:BW4"/>
    <mergeCell ref="BV5:BW5"/>
    <mergeCell ref="BR4:BR5"/>
    <mergeCell ref="BS4:BS5"/>
    <mergeCell ref="BU4:BU5"/>
    <mergeCell ref="BX4:BX5"/>
    <mergeCell ref="AR4:AS4"/>
    <mergeCell ref="AR5:AS5"/>
    <mergeCell ref="AN4:AN5"/>
    <mergeCell ref="AO4:AO5"/>
    <mergeCell ref="AB4:AB5"/>
    <mergeCell ref="AC4:AC5"/>
    <mergeCell ref="BP4:BQ4"/>
    <mergeCell ref="BP5:BQ5"/>
    <mergeCell ref="BL4:BL5"/>
    <mergeCell ref="Z4:AA4"/>
    <mergeCell ref="Z5:AA5"/>
    <mergeCell ref="AZ4:AZ5"/>
    <mergeCell ref="BA4:BA5"/>
    <mergeCell ref="BC4:BC5"/>
    <mergeCell ref="AF4:AG4"/>
    <mergeCell ref="AF5:AG5"/>
    <mergeCell ref="AX4:AY4"/>
    <mergeCell ref="AX5:AY5"/>
    <mergeCell ref="AT4:AT5"/>
    <mergeCell ref="AU4:AU5"/>
    <mergeCell ref="AW4:AW5"/>
    <mergeCell ref="BI4:BI5"/>
    <mergeCell ref="BO4:BO5"/>
    <mergeCell ref="BF4:BF5"/>
    <mergeCell ref="A95:A100"/>
    <mergeCell ref="A91:C91"/>
    <mergeCell ref="A13:A18"/>
    <mergeCell ref="A20:A25"/>
    <mergeCell ref="A27:A32"/>
    <mergeCell ref="A34:A39"/>
    <mergeCell ref="A55:A60"/>
    <mergeCell ref="A48:A53"/>
    <mergeCell ref="K4:K5"/>
    <mergeCell ref="BU2:BW2"/>
    <mergeCell ref="D4:D5"/>
    <mergeCell ref="E4:E5"/>
    <mergeCell ref="AW2:AY2"/>
    <mergeCell ref="BC2:BE2"/>
    <mergeCell ref="BI2:BK2"/>
    <mergeCell ref="BO2:BQ2"/>
    <mergeCell ref="Y2:AA2"/>
    <mergeCell ref="AE2:AG2"/>
    <mergeCell ref="AK2:AM2"/>
    <mergeCell ref="AQ2:AS2"/>
    <mergeCell ref="A2:C2"/>
    <mergeCell ref="G2:I2"/>
    <mergeCell ref="M2:O2"/>
    <mergeCell ref="S2:U2"/>
    <mergeCell ref="A6:A11"/>
    <mergeCell ref="G4:G5"/>
    <mergeCell ref="A4:A5"/>
    <mergeCell ref="G6:G11"/>
    <mergeCell ref="H6:H7"/>
    <mergeCell ref="T6:T7"/>
    <mergeCell ref="M6:M11"/>
    <mergeCell ref="N6:N7"/>
    <mergeCell ref="A69:A74"/>
    <mergeCell ref="AK41:AK46"/>
    <mergeCell ref="AL41:AL42"/>
    <mergeCell ref="AQ41:AQ46"/>
    <mergeCell ref="AR41:AR42"/>
    <mergeCell ref="M41:M46"/>
    <mergeCell ref="N41:N42"/>
    <mergeCell ref="S41:S46"/>
    <mergeCell ref="T41:T42"/>
    <mergeCell ref="Y41:Y46"/>
    <mergeCell ref="Z41:Z42"/>
    <mergeCell ref="AW41:AW46"/>
    <mergeCell ref="AX41:AX42"/>
    <mergeCell ref="BC41:BC46"/>
    <mergeCell ref="BD41:BD42"/>
    <mergeCell ref="AX43:AY43"/>
    <mergeCell ref="BD43:BE43"/>
    <mergeCell ref="BD44:BD45"/>
    <mergeCell ref="BD46:BE46"/>
    <mergeCell ref="B43:C43"/>
    <mergeCell ref="H43:I43"/>
    <mergeCell ref="N43:O43"/>
    <mergeCell ref="T43:U43"/>
    <mergeCell ref="Z43:AA43"/>
    <mergeCell ref="AF43:AG43"/>
    <mergeCell ref="AE41:AE46"/>
    <mergeCell ref="AF41:AF42"/>
    <mergeCell ref="G41:G46"/>
    <mergeCell ref="H41:H42"/>
    <mergeCell ref="AF44:AF45"/>
    <mergeCell ref="AL44:AL45"/>
    <mergeCell ref="AR58:AR59"/>
    <mergeCell ref="A62:A67"/>
    <mergeCell ref="AF60:AG60"/>
    <mergeCell ref="N55:N56"/>
    <mergeCell ref="S55:S60"/>
    <mergeCell ref="T55:T56"/>
    <mergeCell ref="Y55:Y60"/>
    <mergeCell ref="B55:B56"/>
    <mergeCell ref="G55:G60"/>
    <mergeCell ref="H55:H56"/>
    <mergeCell ref="M55:M60"/>
    <mergeCell ref="B57:C57"/>
    <mergeCell ref="H57:I57"/>
    <mergeCell ref="AX60:AY60"/>
    <mergeCell ref="Z47:AA47"/>
    <mergeCell ref="AR44:AR45"/>
    <mergeCell ref="AX44:AX45"/>
    <mergeCell ref="Z57:AA57"/>
    <mergeCell ref="AF57:AG57"/>
    <mergeCell ref="AF58:AF59"/>
    <mergeCell ref="AL58:AL59"/>
    <mergeCell ref="Z55:Z56"/>
    <mergeCell ref="AE55:AE60"/>
    <mergeCell ref="AF55:AF56"/>
    <mergeCell ref="AK55:AK60"/>
    <mergeCell ref="Z62:Z63"/>
    <mergeCell ref="AE62:AE67"/>
    <mergeCell ref="AF62:AF63"/>
    <mergeCell ref="AK62:AK67"/>
    <mergeCell ref="AR65:AR66"/>
    <mergeCell ref="AF67:AG67"/>
    <mergeCell ref="N62:N63"/>
    <mergeCell ref="S62:S67"/>
    <mergeCell ref="AL47:AM47"/>
    <mergeCell ref="AR47:AS47"/>
    <mergeCell ref="AX47:AY47"/>
    <mergeCell ref="BV44:BV45"/>
    <mergeCell ref="B46:C46"/>
    <mergeCell ref="H46:I46"/>
    <mergeCell ref="N46:O46"/>
    <mergeCell ref="T46:U46"/>
    <mergeCell ref="Z46:AA46"/>
    <mergeCell ref="BP47:BQ47"/>
    <mergeCell ref="BV47:BW47"/>
    <mergeCell ref="C1:E1"/>
    <mergeCell ref="A41:A46"/>
    <mergeCell ref="B41:B42"/>
    <mergeCell ref="BV46:BW46"/>
    <mergeCell ref="B47:C47"/>
    <mergeCell ref="BD47:BE47"/>
    <mergeCell ref="BJ47:BK47"/>
    <mergeCell ref="H47:I47"/>
    <mergeCell ref="N47:O47"/>
    <mergeCell ref="T47:U47"/>
    <mergeCell ref="H44:H45"/>
    <mergeCell ref="N44:N45"/>
    <mergeCell ref="T44:T45"/>
    <mergeCell ref="Z44:Z45"/>
    <mergeCell ref="S6:S11"/>
    <mergeCell ref="BM4:BM5"/>
    <mergeCell ref="V4:V5"/>
    <mergeCell ref="W4:W5"/>
    <mergeCell ref="T4:U4"/>
    <mergeCell ref="T5:U5"/>
    <mergeCell ref="P4:P5"/>
    <mergeCell ref="A76:A81"/>
    <mergeCell ref="B76:B77"/>
    <mergeCell ref="G76:G81"/>
    <mergeCell ref="H76:H77"/>
    <mergeCell ref="M76:M81"/>
    <mergeCell ref="N76:N77"/>
    <mergeCell ref="S76:S81"/>
    <mergeCell ref="T76:T77"/>
    <mergeCell ref="Y76:Y81"/>
    <mergeCell ref="Z76:Z77"/>
    <mergeCell ref="AE76:AE81"/>
    <mergeCell ref="AF76:AF77"/>
    <mergeCell ref="AK76:AK81"/>
    <mergeCell ref="AL76:AL77"/>
    <mergeCell ref="AQ76:AQ81"/>
    <mergeCell ref="N81:O81"/>
    <mergeCell ref="T81:U81"/>
    <mergeCell ref="Z81:AA81"/>
    <mergeCell ref="AF81:AG81"/>
    <mergeCell ref="AL81:AM81"/>
    <mergeCell ref="B78:C78"/>
    <mergeCell ref="H78:I78"/>
    <mergeCell ref="N78:O78"/>
    <mergeCell ref="T78:U78"/>
    <mergeCell ref="Z78:AA78"/>
    <mergeCell ref="AF78:AG78"/>
    <mergeCell ref="AL78:AM78"/>
    <mergeCell ref="BP78:BQ78"/>
    <mergeCell ref="BV78:BW78"/>
    <mergeCell ref="B79:B80"/>
    <mergeCell ref="H79:H80"/>
    <mergeCell ref="N79:N80"/>
    <mergeCell ref="T79:T80"/>
    <mergeCell ref="Z79:Z80"/>
    <mergeCell ref="AF79:AF80"/>
    <mergeCell ref="AL79:AL80"/>
    <mergeCell ref="AR79:AR80"/>
    <mergeCell ref="AX79:AX80"/>
    <mergeCell ref="BD79:BD80"/>
    <mergeCell ref="BJ79:BJ80"/>
    <mergeCell ref="BP79:BP80"/>
    <mergeCell ref="BV79:BV80"/>
    <mergeCell ref="AW76:AW81"/>
    <mergeCell ref="AR81:AS81"/>
    <mergeCell ref="B81:C81"/>
    <mergeCell ref="H81:I81"/>
    <mergeCell ref="B82:C82"/>
    <mergeCell ref="H82:I82"/>
    <mergeCell ref="N82:O82"/>
    <mergeCell ref="T82:U82"/>
    <mergeCell ref="Z82:AA82"/>
    <mergeCell ref="AF82:AG82"/>
    <mergeCell ref="AL82:AM82"/>
    <mergeCell ref="AR82:AS82"/>
    <mergeCell ref="AX82:AY82"/>
    <mergeCell ref="BD82:BE82"/>
    <mergeCell ref="BJ82:BK82"/>
    <mergeCell ref="BP82:BQ82"/>
    <mergeCell ref="BV82:BW82"/>
    <mergeCell ref="A83:A88"/>
    <mergeCell ref="B83:B84"/>
    <mergeCell ref="G83:G88"/>
    <mergeCell ref="H83:H84"/>
    <mergeCell ref="M83:M88"/>
    <mergeCell ref="N83:N84"/>
    <mergeCell ref="S83:S88"/>
    <mergeCell ref="T83:T84"/>
    <mergeCell ref="Y83:Y88"/>
    <mergeCell ref="Z83:Z84"/>
    <mergeCell ref="AE83:AE88"/>
    <mergeCell ref="AF83:AF84"/>
    <mergeCell ref="AK83:AK88"/>
    <mergeCell ref="AL83:AL84"/>
    <mergeCell ref="AQ83:AQ88"/>
    <mergeCell ref="AR83:AR84"/>
    <mergeCell ref="AW83:AW88"/>
    <mergeCell ref="B85:C85"/>
    <mergeCell ref="H85:I85"/>
    <mergeCell ref="BP85:BQ85"/>
    <mergeCell ref="BV85:BW85"/>
    <mergeCell ref="B86:B87"/>
    <mergeCell ref="H86:H87"/>
    <mergeCell ref="N86:N87"/>
    <mergeCell ref="T86:T87"/>
    <mergeCell ref="Z86:Z87"/>
    <mergeCell ref="AF86:AF87"/>
    <mergeCell ref="AL86:AL87"/>
    <mergeCell ref="AR86:AR87"/>
    <mergeCell ref="AX86:AX87"/>
    <mergeCell ref="BD86:BD87"/>
    <mergeCell ref="BJ86:BJ87"/>
    <mergeCell ref="BP86:BP87"/>
    <mergeCell ref="BV86:BV87"/>
    <mergeCell ref="B88:C88"/>
    <mergeCell ref="H88:I88"/>
    <mergeCell ref="AX88:AY88"/>
    <mergeCell ref="BD88:BE88"/>
    <mergeCell ref="BJ88:BK88"/>
    <mergeCell ref="BP88:BQ88"/>
    <mergeCell ref="BE1:BG1"/>
    <mergeCell ref="BK1:BM1"/>
    <mergeCell ref="BQ1:BS1"/>
    <mergeCell ref="I1:K1"/>
    <mergeCell ref="O1:Q1"/>
    <mergeCell ref="U1:W1"/>
    <mergeCell ref="AA1:AC1"/>
    <mergeCell ref="AG1:AI1"/>
    <mergeCell ref="AM1:AO1"/>
    <mergeCell ref="AS1:AU1"/>
    <mergeCell ref="AY1:BA1"/>
    <mergeCell ref="BP89:BQ89"/>
    <mergeCell ref="BV89:BW89"/>
    <mergeCell ref="BO83:BO88"/>
    <mergeCell ref="BP83:BP84"/>
    <mergeCell ref="BU83:BU88"/>
    <mergeCell ref="BV83:BV84"/>
    <mergeCell ref="BV88:BW88"/>
    <mergeCell ref="AF88:AG88"/>
    <mergeCell ref="AL88:AM88"/>
    <mergeCell ref="AR88:AS88"/>
    <mergeCell ref="BP81:BQ81"/>
    <mergeCell ref="BV81:BW81"/>
    <mergeCell ref="BO76:BO81"/>
    <mergeCell ref="BP76:BP77"/>
    <mergeCell ref="BU76:BU81"/>
    <mergeCell ref="BV76:BV77"/>
    <mergeCell ref="AR76:AR77"/>
    <mergeCell ref="BV57:BW57"/>
    <mergeCell ref="N57:O57"/>
    <mergeCell ref="T57:U57"/>
    <mergeCell ref="AF47:AG47"/>
  </mergeCells>
  <phoneticPr fontId="13" type="noConversion"/>
  <printOptions horizontalCentered="1"/>
  <pageMargins left="0.74803149606299213" right="0.74803149606299213" top="0.39370078740157483" bottom="0.9842519685039370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66"/>
  <sheetViews>
    <sheetView rightToLeft="1" topLeftCell="BJ1" workbookViewId="0">
      <selection activeCell="BR20" sqref="BR20"/>
    </sheetView>
  </sheetViews>
  <sheetFormatPr defaultRowHeight="12.75" x14ac:dyDescent="0.2"/>
  <cols>
    <col min="1" max="1" width="9" customWidth="1"/>
    <col min="2" max="2" width="7.85546875" customWidth="1"/>
    <col min="3" max="3" width="6.7109375" customWidth="1"/>
    <col min="4" max="4" width="12.5703125" customWidth="1"/>
    <col min="5" max="5" width="12.140625" customWidth="1"/>
    <col min="6" max="6" width="3.5703125" customWidth="1"/>
    <col min="7" max="7" width="10.28515625" customWidth="1"/>
    <col min="8" max="8" width="8.5703125" customWidth="1"/>
    <col min="9" max="9" width="8" customWidth="1"/>
    <col min="10" max="10" width="12.7109375" customWidth="1"/>
    <col min="11" max="11" width="13.42578125" customWidth="1"/>
    <col min="12" max="12" width="4.140625" customWidth="1"/>
    <col min="13" max="13" width="9.5703125" customWidth="1"/>
    <col min="14" max="14" width="8" customWidth="1"/>
    <col min="15" max="15" width="7.85546875" customWidth="1"/>
    <col min="16" max="16" width="12.5703125" customWidth="1"/>
    <col min="17" max="17" width="14.140625" customWidth="1"/>
    <col min="18" max="18" width="4.140625" customWidth="1"/>
    <col min="19" max="19" width="11.42578125" customWidth="1"/>
    <col min="21" max="21" width="7.28515625" customWidth="1"/>
    <col min="22" max="22" width="12.42578125" customWidth="1"/>
    <col min="23" max="23" width="11.5703125" customWidth="1"/>
    <col min="24" max="24" width="4.140625" customWidth="1"/>
    <col min="25" max="25" width="9.5703125" customWidth="1"/>
    <col min="26" max="26" width="8" customWidth="1"/>
    <col min="27" max="27" width="7.85546875" customWidth="1"/>
    <col min="28" max="28" width="12.5703125" customWidth="1"/>
    <col min="29" max="29" width="14.140625" customWidth="1"/>
    <col min="30" max="30" width="4.140625" customWidth="1"/>
    <col min="31" max="31" width="11.42578125" customWidth="1"/>
    <col min="33" max="33" width="7.28515625" customWidth="1"/>
    <col min="34" max="34" width="12.42578125" customWidth="1"/>
    <col min="35" max="35" width="11.5703125" customWidth="1"/>
    <col min="36" max="36" width="4.140625" customWidth="1"/>
    <col min="37" max="37" width="9.5703125" customWidth="1"/>
    <col min="38" max="38" width="8" customWidth="1"/>
    <col min="39" max="39" width="7.85546875" customWidth="1"/>
    <col min="40" max="40" width="12.5703125" customWidth="1"/>
    <col min="41" max="41" width="14.140625" customWidth="1"/>
    <col min="42" max="42" width="4.140625" customWidth="1"/>
    <col min="43" max="43" width="11.42578125" customWidth="1"/>
    <col min="45" max="45" width="7.28515625" customWidth="1"/>
    <col min="46" max="46" width="12.42578125" customWidth="1"/>
    <col min="47" max="47" width="11.5703125" customWidth="1"/>
    <col min="48" max="48" width="4.140625" customWidth="1"/>
    <col min="49" max="49" width="9.5703125" customWidth="1"/>
    <col min="50" max="50" width="8" customWidth="1"/>
    <col min="51" max="51" width="7.85546875" customWidth="1"/>
    <col min="52" max="52" width="12.5703125" customWidth="1"/>
    <col min="53" max="53" width="14.140625" customWidth="1"/>
    <col min="54" max="54" width="4.140625" customWidth="1"/>
    <col min="55" max="55" width="11.42578125" customWidth="1"/>
    <col min="57" max="57" width="7.28515625" customWidth="1"/>
    <col min="58" max="58" width="12.42578125" customWidth="1"/>
    <col min="59" max="59" width="11.5703125" customWidth="1"/>
    <col min="60" max="60" width="4.140625" customWidth="1"/>
    <col min="61" max="61" width="9.5703125" customWidth="1"/>
    <col min="62" max="62" width="8" customWidth="1"/>
    <col min="63" max="63" width="7.85546875" customWidth="1"/>
    <col min="64" max="64" width="12.5703125" customWidth="1"/>
    <col min="65" max="65" width="14.140625" customWidth="1"/>
    <col min="66" max="66" width="4.140625" customWidth="1"/>
    <col min="67" max="67" width="11.42578125" customWidth="1"/>
    <col min="69" max="69" width="7.28515625" customWidth="1"/>
    <col min="70" max="70" width="12.42578125" customWidth="1"/>
    <col min="71" max="71" width="11.5703125" customWidth="1"/>
    <col min="72" max="72" width="4.140625" customWidth="1"/>
    <col min="73" max="73" width="14" customWidth="1"/>
    <col min="74" max="74" width="11.5703125" customWidth="1"/>
    <col min="75" max="75" width="11.28515625" customWidth="1"/>
    <col min="76" max="76" width="18.7109375" customWidth="1"/>
    <col min="77" max="77" width="19.42578125" customWidth="1"/>
    <col min="78" max="78" width="4.140625" customWidth="1"/>
  </cols>
  <sheetData>
    <row r="1" spans="1:78" s="50" customFormat="1" ht="36" x14ac:dyDescent="0.2">
      <c r="A1" s="41" t="s">
        <v>16</v>
      </c>
      <c r="B1" s="42" t="s">
        <v>17</v>
      </c>
      <c r="C1" s="43">
        <v>1</v>
      </c>
      <c r="D1" s="45" t="s">
        <v>2</v>
      </c>
      <c r="E1" s="46">
        <f>SUM(الأشعة!E2)</f>
        <v>1447</v>
      </c>
      <c r="F1" s="47"/>
      <c r="G1" s="41" t="s">
        <v>16</v>
      </c>
      <c r="H1" s="42" t="s">
        <v>17</v>
      </c>
      <c r="I1" s="43">
        <v>2</v>
      </c>
      <c r="J1" s="45" t="s">
        <v>2</v>
      </c>
      <c r="K1" s="46">
        <f>SUM(الأشعة!K2)</f>
        <v>1447</v>
      </c>
      <c r="L1" s="47"/>
      <c r="M1" s="41" t="s">
        <v>16</v>
      </c>
      <c r="N1" s="42" t="s">
        <v>17</v>
      </c>
      <c r="O1" s="43">
        <v>3</v>
      </c>
      <c r="P1" s="45" t="s">
        <v>2</v>
      </c>
      <c r="Q1" s="46">
        <f>SUM(الأشعة!Q2)</f>
        <v>1447</v>
      </c>
      <c r="R1" s="47"/>
      <c r="S1" s="41" t="s">
        <v>16</v>
      </c>
      <c r="T1" s="42" t="s">
        <v>17</v>
      </c>
      <c r="U1" s="43">
        <v>4</v>
      </c>
      <c r="V1" s="45" t="s">
        <v>2</v>
      </c>
      <c r="W1" s="46">
        <f>SUM(الأشعة!W2)</f>
        <v>1447</v>
      </c>
      <c r="X1" s="47"/>
      <c r="Y1" s="41" t="s">
        <v>16</v>
      </c>
      <c r="Z1" s="42" t="s">
        <v>17</v>
      </c>
      <c r="AA1" s="43">
        <v>5</v>
      </c>
      <c r="AB1" s="45" t="s">
        <v>2</v>
      </c>
      <c r="AC1" s="46">
        <f>SUM(الأشعة!AC2)</f>
        <v>1447</v>
      </c>
      <c r="AD1" s="47"/>
      <c r="AE1" s="41" t="s">
        <v>16</v>
      </c>
      <c r="AF1" s="42" t="s">
        <v>17</v>
      </c>
      <c r="AG1" s="43">
        <v>6</v>
      </c>
      <c r="AH1" s="45" t="s">
        <v>2</v>
      </c>
      <c r="AI1" s="46">
        <f>SUM(الأشعة!AI2)</f>
        <v>1447</v>
      </c>
      <c r="AJ1" s="47"/>
      <c r="AK1" s="41" t="s">
        <v>16</v>
      </c>
      <c r="AL1" s="42" t="s">
        <v>17</v>
      </c>
      <c r="AM1" s="43">
        <v>7</v>
      </c>
      <c r="AN1" s="45" t="s">
        <v>2</v>
      </c>
      <c r="AO1" s="46">
        <f>SUM(الأشعة!AO2)</f>
        <v>1447</v>
      </c>
      <c r="AP1" s="47"/>
      <c r="AQ1" s="41" t="s">
        <v>16</v>
      </c>
      <c r="AR1" s="42" t="s">
        <v>17</v>
      </c>
      <c r="AS1" s="43">
        <v>8</v>
      </c>
      <c r="AT1" s="45" t="s">
        <v>2</v>
      </c>
      <c r="AU1" s="46">
        <f>SUM(الأشعة!AU2)</f>
        <v>1447</v>
      </c>
      <c r="AV1" s="47"/>
      <c r="AW1" s="41" t="s">
        <v>16</v>
      </c>
      <c r="AX1" s="42" t="s">
        <v>17</v>
      </c>
      <c r="AY1" s="43">
        <v>9</v>
      </c>
      <c r="AZ1" s="45" t="s">
        <v>2</v>
      </c>
      <c r="BA1" s="46">
        <f>SUM(الأشعة!BA2)</f>
        <v>1447</v>
      </c>
      <c r="BB1" s="47"/>
      <c r="BC1" s="41" t="s">
        <v>16</v>
      </c>
      <c r="BD1" s="42" t="s">
        <v>17</v>
      </c>
      <c r="BE1" s="43">
        <v>10</v>
      </c>
      <c r="BF1" s="45" t="s">
        <v>2</v>
      </c>
      <c r="BG1" s="46">
        <f>SUM(الأشعة!BG2)</f>
        <v>1447</v>
      </c>
      <c r="BH1" s="47"/>
      <c r="BI1" s="41" t="s">
        <v>16</v>
      </c>
      <c r="BJ1" s="42" t="s">
        <v>17</v>
      </c>
      <c r="BK1" s="43">
        <v>11</v>
      </c>
      <c r="BL1" s="45" t="s">
        <v>2</v>
      </c>
      <c r="BM1" s="46">
        <f>SUM(الأشعة!BM2)</f>
        <v>1447</v>
      </c>
      <c r="BN1" s="47"/>
      <c r="BO1" s="41" t="s">
        <v>16</v>
      </c>
      <c r="BP1" s="42" t="s">
        <v>17</v>
      </c>
      <c r="BQ1" s="43">
        <v>12</v>
      </c>
      <c r="BR1" s="45" t="s">
        <v>2</v>
      </c>
      <c r="BS1" s="46">
        <f>SUM(الأشعة!BS2)</f>
        <v>1447</v>
      </c>
      <c r="BT1" s="47"/>
      <c r="BU1" s="41" t="s">
        <v>16</v>
      </c>
      <c r="BV1" s="42"/>
      <c r="BW1" s="43"/>
      <c r="BX1" s="45" t="s">
        <v>2</v>
      </c>
      <c r="BY1" s="48">
        <f>SUM(BS1)</f>
        <v>1447</v>
      </c>
      <c r="BZ1" s="49"/>
    </row>
    <row r="2" spans="1:78" s="59" customFormat="1" ht="16.5" thickBot="1" x14ac:dyDescent="0.25">
      <c r="A2" s="44"/>
      <c r="B2" s="15"/>
      <c r="C2" s="15"/>
      <c r="D2" s="55"/>
      <c r="E2" s="56"/>
      <c r="F2" s="57"/>
      <c r="G2" s="44"/>
      <c r="H2" s="15"/>
      <c r="I2" s="15"/>
      <c r="J2" s="55"/>
      <c r="K2" s="56"/>
      <c r="L2" s="57"/>
      <c r="M2" s="44"/>
      <c r="N2" s="15"/>
      <c r="O2" s="15"/>
      <c r="P2" s="55"/>
      <c r="Q2" s="56"/>
      <c r="R2" s="57"/>
      <c r="S2" s="44"/>
      <c r="T2" s="15"/>
      <c r="U2" s="15"/>
      <c r="V2" s="55"/>
      <c r="W2" s="56"/>
      <c r="X2" s="57"/>
      <c r="Y2" s="44"/>
      <c r="Z2" s="15"/>
      <c r="AA2" s="15"/>
      <c r="AB2" s="55"/>
      <c r="AC2" s="56"/>
      <c r="AD2" s="57"/>
      <c r="AE2" s="44"/>
      <c r="AF2" s="15"/>
      <c r="AG2" s="15"/>
      <c r="AH2" s="55"/>
      <c r="AI2" s="56"/>
      <c r="AJ2" s="57"/>
      <c r="AK2" s="44"/>
      <c r="AL2" s="15"/>
      <c r="AM2" s="15"/>
      <c r="AN2" s="55"/>
      <c r="AO2" s="56"/>
      <c r="AP2" s="57"/>
      <c r="AQ2" s="44"/>
      <c r="AR2" s="15"/>
      <c r="AS2" s="15"/>
      <c r="AT2" s="55"/>
      <c r="AU2" s="56"/>
      <c r="AV2" s="57"/>
      <c r="AW2" s="44"/>
      <c r="AX2" s="15"/>
      <c r="AY2" s="15"/>
      <c r="AZ2" s="55"/>
      <c r="BA2" s="56"/>
      <c r="BB2" s="57"/>
      <c r="BC2" s="44"/>
      <c r="BD2" s="15"/>
      <c r="BE2" s="15"/>
      <c r="BF2" s="55"/>
      <c r="BG2" s="56"/>
      <c r="BH2" s="57"/>
      <c r="BI2" s="44"/>
      <c r="BJ2" s="15"/>
      <c r="BK2" s="15"/>
      <c r="BL2" s="55"/>
      <c r="BM2" s="56"/>
      <c r="BN2" s="57"/>
      <c r="BO2" s="44"/>
      <c r="BP2" s="15"/>
      <c r="BQ2" s="15"/>
      <c r="BR2" s="55"/>
      <c r="BS2" s="56"/>
      <c r="BT2" s="57"/>
      <c r="BU2" s="44"/>
      <c r="BV2" s="15"/>
      <c r="BW2" s="15"/>
      <c r="BX2" s="55"/>
      <c r="BY2" s="58"/>
      <c r="BZ2" s="57"/>
    </row>
    <row r="3" spans="1:78" s="59" customFormat="1" ht="15.75" customHeight="1" x14ac:dyDescent="0.2">
      <c r="A3" s="140" t="s">
        <v>3</v>
      </c>
      <c r="B3" s="127" t="s">
        <v>11</v>
      </c>
      <c r="C3" s="128"/>
      <c r="D3" s="125" t="s">
        <v>13</v>
      </c>
      <c r="E3" s="121" t="s">
        <v>12</v>
      </c>
      <c r="F3" s="57"/>
      <c r="G3" s="140" t="s">
        <v>3</v>
      </c>
      <c r="H3" s="127" t="s">
        <v>11</v>
      </c>
      <c r="I3" s="128"/>
      <c r="J3" s="125" t="s">
        <v>13</v>
      </c>
      <c r="K3" s="121" t="s">
        <v>12</v>
      </c>
      <c r="L3" s="57"/>
      <c r="M3" s="140" t="s">
        <v>3</v>
      </c>
      <c r="N3" s="127" t="s">
        <v>11</v>
      </c>
      <c r="O3" s="128"/>
      <c r="P3" s="125" t="s">
        <v>13</v>
      </c>
      <c r="Q3" s="121" t="s">
        <v>12</v>
      </c>
      <c r="R3" s="57"/>
      <c r="S3" s="140" t="s">
        <v>3</v>
      </c>
      <c r="T3" s="127" t="s">
        <v>11</v>
      </c>
      <c r="U3" s="128"/>
      <c r="V3" s="125" t="s">
        <v>13</v>
      </c>
      <c r="W3" s="121" t="s">
        <v>12</v>
      </c>
      <c r="X3" s="57"/>
      <c r="Y3" s="140" t="s">
        <v>3</v>
      </c>
      <c r="Z3" s="127" t="s">
        <v>11</v>
      </c>
      <c r="AA3" s="128"/>
      <c r="AB3" s="125" t="s">
        <v>13</v>
      </c>
      <c r="AC3" s="121" t="s">
        <v>12</v>
      </c>
      <c r="AD3" s="57"/>
      <c r="AE3" s="140" t="s">
        <v>3</v>
      </c>
      <c r="AF3" s="127" t="s">
        <v>11</v>
      </c>
      <c r="AG3" s="128"/>
      <c r="AH3" s="125" t="s">
        <v>13</v>
      </c>
      <c r="AI3" s="121" t="s">
        <v>12</v>
      </c>
      <c r="AJ3" s="57"/>
      <c r="AK3" s="140" t="s">
        <v>3</v>
      </c>
      <c r="AL3" s="127" t="s">
        <v>11</v>
      </c>
      <c r="AM3" s="128"/>
      <c r="AN3" s="125" t="s">
        <v>13</v>
      </c>
      <c r="AO3" s="121" t="s">
        <v>12</v>
      </c>
      <c r="AP3" s="57"/>
      <c r="AQ3" s="140" t="s">
        <v>3</v>
      </c>
      <c r="AR3" s="127" t="s">
        <v>11</v>
      </c>
      <c r="AS3" s="128"/>
      <c r="AT3" s="125" t="s">
        <v>13</v>
      </c>
      <c r="AU3" s="121" t="s">
        <v>12</v>
      </c>
      <c r="AV3" s="57"/>
      <c r="AW3" s="140" t="s">
        <v>3</v>
      </c>
      <c r="AX3" s="127" t="s">
        <v>11</v>
      </c>
      <c r="AY3" s="128"/>
      <c r="AZ3" s="125" t="s">
        <v>13</v>
      </c>
      <c r="BA3" s="121" t="s">
        <v>12</v>
      </c>
      <c r="BB3" s="57"/>
      <c r="BC3" s="140" t="s">
        <v>3</v>
      </c>
      <c r="BD3" s="127" t="s">
        <v>11</v>
      </c>
      <c r="BE3" s="128"/>
      <c r="BF3" s="125" t="s">
        <v>13</v>
      </c>
      <c r="BG3" s="121" t="s">
        <v>12</v>
      </c>
      <c r="BH3" s="57"/>
      <c r="BI3" s="140" t="s">
        <v>3</v>
      </c>
      <c r="BJ3" s="127" t="s">
        <v>11</v>
      </c>
      <c r="BK3" s="128"/>
      <c r="BL3" s="125" t="s">
        <v>13</v>
      </c>
      <c r="BM3" s="121" t="s">
        <v>12</v>
      </c>
      <c r="BN3" s="57"/>
      <c r="BO3" s="140" t="s">
        <v>3</v>
      </c>
      <c r="BP3" s="127" t="s">
        <v>11</v>
      </c>
      <c r="BQ3" s="128"/>
      <c r="BR3" s="125" t="s">
        <v>13</v>
      </c>
      <c r="BS3" s="121" t="s">
        <v>12</v>
      </c>
      <c r="BT3" s="57"/>
      <c r="BU3" s="140" t="s">
        <v>3</v>
      </c>
      <c r="BV3" s="127" t="s">
        <v>11</v>
      </c>
      <c r="BW3" s="128"/>
      <c r="BX3" s="125" t="s">
        <v>13</v>
      </c>
      <c r="BY3" s="121" t="s">
        <v>12</v>
      </c>
      <c r="BZ3" s="57"/>
    </row>
    <row r="4" spans="1:78" s="59" customFormat="1" ht="16.5" customHeight="1" thickBot="1" x14ac:dyDescent="0.25">
      <c r="A4" s="141"/>
      <c r="B4" s="129" t="s">
        <v>10</v>
      </c>
      <c r="C4" s="130"/>
      <c r="D4" s="147"/>
      <c r="E4" s="146"/>
      <c r="F4" s="57"/>
      <c r="G4" s="141"/>
      <c r="H4" s="129" t="s">
        <v>10</v>
      </c>
      <c r="I4" s="130"/>
      <c r="J4" s="147"/>
      <c r="K4" s="146"/>
      <c r="L4" s="57"/>
      <c r="M4" s="141"/>
      <c r="N4" s="129" t="s">
        <v>10</v>
      </c>
      <c r="O4" s="130"/>
      <c r="P4" s="147"/>
      <c r="Q4" s="146"/>
      <c r="R4" s="57"/>
      <c r="S4" s="141"/>
      <c r="T4" s="129" t="s">
        <v>10</v>
      </c>
      <c r="U4" s="130"/>
      <c r="V4" s="147"/>
      <c r="W4" s="146"/>
      <c r="X4" s="57"/>
      <c r="Y4" s="141"/>
      <c r="Z4" s="129" t="s">
        <v>10</v>
      </c>
      <c r="AA4" s="130"/>
      <c r="AB4" s="147"/>
      <c r="AC4" s="146"/>
      <c r="AD4" s="57"/>
      <c r="AE4" s="141"/>
      <c r="AF4" s="129" t="s">
        <v>10</v>
      </c>
      <c r="AG4" s="130"/>
      <c r="AH4" s="147"/>
      <c r="AI4" s="146"/>
      <c r="AJ4" s="57"/>
      <c r="AK4" s="141"/>
      <c r="AL4" s="129" t="s">
        <v>10</v>
      </c>
      <c r="AM4" s="130"/>
      <c r="AN4" s="147"/>
      <c r="AO4" s="146"/>
      <c r="AP4" s="57"/>
      <c r="AQ4" s="141"/>
      <c r="AR4" s="129" t="s">
        <v>10</v>
      </c>
      <c r="AS4" s="130"/>
      <c r="AT4" s="147"/>
      <c r="AU4" s="146"/>
      <c r="AV4" s="57"/>
      <c r="AW4" s="141"/>
      <c r="AX4" s="129" t="s">
        <v>10</v>
      </c>
      <c r="AY4" s="130"/>
      <c r="AZ4" s="147"/>
      <c r="BA4" s="146"/>
      <c r="BB4" s="57"/>
      <c r="BC4" s="141"/>
      <c r="BD4" s="129" t="s">
        <v>10</v>
      </c>
      <c r="BE4" s="130"/>
      <c r="BF4" s="147"/>
      <c r="BG4" s="146"/>
      <c r="BH4" s="57"/>
      <c r="BI4" s="141"/>
      <c r="BJ4" s="129" t="s">
        <v>10</v>
      </c>
      <c r="BK4" s="130"/>
      <c r="BL4" s="147"/>
      <c r="BM4" s="146"/>
      <c r="BN4" s="57"/>
      <c r="BO4" s="141"/>
      <c r="BP4" s="129" t="s">
        <v>10</v>
      </c>
      <c r="BQ4" s="130"/>
      <c r="BR4" s="147"/>
      <c r="BS4" s="146"/>
      <c r="BT4" s="57"/>
      <c r="BU4" s="141"/>
      <c r="BV4" s="129" t="s">
        <v>10</v>
      </c>
      <c r="BW4" s="130"/>
      <c r="BX4" s="147"/>
      <c r="BY4" s="146"/>
      <c r="BZ4" s="57"/>
    </row>
    <row r="5" spans="1:78" s="59" customFormat="1" ht="18" customHeight="1" x14ac:dyDescent="0.2">
      <c r="A5" s="109" t="s">
        <v>29</v>
      </c>
      <c r="B5" s="112" t="s">
        <v>1</v>
      </c>
      <c r="C5" s="4" t="s">
        <v>4</v>
      </c>
      <c r="D5" s="28">
        <f>SUM(الأشعة!D95)</f>
        <v>528</v>
      </c>
      <c r="E5" s="34">
        <f>SUM(الأشعة!E95)</f>
        <v>19</v>
      </c>
      <c r="F5" s="57"/>
      <c r="G5" s="109" t="s">
        <v>29</v>
      </c>
      <c r="H5" s="112" t="s">
        <v>1</v>
      </c>
      <c r="I5" s="4" t="s">
        <v>4</v>
      </c>
      <c r="J5" s="28">
        <f>SUM(الأشعة!J95)</f>
        <v>892</v>
      </c>
      <c r="K5" s="34">
        <f>SUM(الأشعة!K95)</f>
        <v>22</v>
      </c>
      <c r="L5" s="57"/>
      <c r="M5" s="109" t="s">
        <v>29</v>
      </c>
      <c r="N5" s="112" t="s">
        <v>1</v>
      </c>
      <c r="O5" s="4" t="s">
        <v>4</v>
      </c>
      <c r="P5" s="28">
        <f>SUM(الأشعة!P95)</f>
        <v>14</v>
      </c>
      <c r="Q5" s="34">
        <f>SUM(الأشعة!Q95)</f>
        <v>17</v>
      </c>
      <c r="R5" s="57"/>
      <c r="S5" s="109" t="s">
        <v>29</v>
      </c>
      <c r="T5" s="112" t="s">
        <v>1</v>
      </c>
      <c r="U5" s="4" t="s">
        <v>4</v>
      </c>
      <c r="V5" s="28">
        <f>SUM(الأشعة!V95)</f>
        <v>0</v>
      </c>
      <c r="W5" s="34">
        <f>SUM(الأشعة!W95)</f>
        <v>0</v>
      </c>
      <c r="X5" s="57"/>
      <c r="Y5" s="109" t="s">
        <v>29</v>
      </c>
      <c r="Z5" s="112" t="s">
        <v>1</v>
      </c>
      <c r="AA5" s="4" t="s">
        <v>4</v>
      </c>
      <c r="AB5" s="28">
        <f>SUM(الأشعة!AB95)</f>
        <v>0</v>
      </c>
      <c r="AC5" s="34">
        <f>SUM(الأشعة!AC95)</f>
        <v>0</v>
      </c>
      <c r="AD5" s="57"/>
      <c r="AE5" s="109" t="s">
        <v>29</v>
      </c>
      <c r="AF5" s="112" t="s">
        <v>1</v>
      </c>
      <c r="AG5" s="4" t="s">
        <v>4</v>
      </c>
      <c r="AH5" s="28">
        <f>SUM(الأشعة!AH95)</f>
        <v>0</v>
      </c>
      <c r="AI5" s="34">
        <f>SUM(الأشعة!AI95)</f>
        <v>0</v>
      </c>
      <c r="AJ5" s="57"/>
      <c r="AK5" s="109" t="s">
        <v>29</v>
      </c>
      <c r="AL5" s="112" t="s">
        <v>1</v>
      </c>
      <c r="AM5" s="4" t="s">
        <v>4</v>
      </c>
      <c r="AN5" s="28">
        <f>SUM(الأشعة!AN95)</f>
        <v>0</v>
      </c>
      <c r="AO5" s="34">
        <f>SUM(الأشعة!AO95)</f>
        <v>0</v>
      </c>
      <c r="AP5" s="57"/>
      <c r="AQ5" s="109" t="s">
        <v>29</v>
      </c>
      <c r="AR5" s="112" t="s">
        <v>1</v>
      </c>
      <c r="AS5" s="4" t="s">
        <v>4</v>
      </c>
      <c r="AT5" s="28">
        <f>SUM(الأشعة!AT95)</f>
        <v>9</v>
      </c>
      <c r="AU5" s="34">
        <f>SUM(الأشعة!AU95)</f>
        <v>11</v>
      </c>
      <c r="AV5" s="57"/>
      <c r="AW5" s="109" t="s">
        <v>29</v>
      </c>
      <c r="AX5" s="112" t="s">
        <v>1</v>
      </c>
      <c r="AY5" s="4" t="s">
        <v>4</v>
      </c>
      <c r="AZ5" s="28">
        <f>SUM(الأشعة!AZ95)</f>
        <v>59</v>
      </c>
      <c r="BA5" s="34">
        <f>SUM(الأشعة!BA95)</f>
        <v>59</v>
      </c>
      <c r="BB5" s="57"/>
      <c r="BC5" s="109" t="s">
        <v>29</v>
      </c>
      <c r="BD5" s="112" t="s">
        <v>1</v>
      </c>
      <c r="BE5" s="4" t="s">
        <v>4</v>
      </c>
      <c r="BF5" s="28">
        <f>SUM(الأشعة!BF95)</f>
        <v>528</v>
      </c>
      <c r="BG5" s="34">
        <f>SUM(الأشعة!BG95)</f>
        <v>19</v>
      </c>
      <c r="BH5" s="57"/>
      <c r="BI5" s="109" t="s">
        <v>29</v>
      </c>
      <c r="BJ5" s="112" t="s">
        <v>1</v>
      </c>
      <c r="BK5" s="4" t="s">
        <v>4</v>
      </c>
      <c r="BL5" s="28">
        <f>SUM(الأشعة!BL95)</f>
        <v>0</v>
      </c>
      <c r="BM5" s="34">
        <f>SUM(الأشعة!BM95)</f>
        <v>0</v>
      </c>
      <c r="BN5" s="57"/>
      <c r="BO5" s="109" t="s">
        <v>29</v>
      </c>
      <c r="BP5" s="112" t="s">
        <v>1</v>
      </c>
      <c r="BQ5" s="4" t="s">
        <v>4</v>
      </c>
      <c r="BR5" s="28">
        <f>SUM(الأشعة!BR95)</f>
        <v>0</v>
      </c>
      <c r="BS5" s="34">
        <f>SUM(الأشعة!BS95)</f>
        <v>0</v>
      </c>
      <c r="BT5" s="57"/>
      <c r="BU5" s="109" t="s">
        <v>29</v>
      </c>
      <c r="BV5" s="112" t="s">
        <v>1</v>
      </c>
      <c r="BW5" s="4" t="s">
        <v>4</v>
      </c>
      <c r="BX5" s="28">
        <f>SUM(الأشعة!BX95)</f>
        <v>2030</v>
      </c>
      <c r="BY5" s="34">
        <f>SUM(الأشعة!BY95)</f>
        <v>147</v>
      </c>
      <c r="BZ5" s="57"/>
    </row>
    <row r="6" spans="1:78" s="59" customFormat="1" ht="18.75" thickBot="1" x14ac:dyDescent="0.25">
      <c r="A6" s="110"/>
      <c r="B6" s="113"/>
      <c r="C6" s="7" t="s">
        <v>5</v>
      </c>
      <c r="D6" s="29">
        <f>SUM(الأشعة!D96)</f>
        <v>461</v>
      </c>
      <c r="E6" s="37">
        <f>SUM(الأشعة!E96)</f>
        <v>19</v>
      </c>
      <c r="F6" s="57"/>
      <c r="G6" s="110"/>
      <c r="H6" s="113"/>
      <c r="I6" s="7" t="s">
        <v>5</v>
      </c>
      <c r="J6" s="29">
        <f>SUM(الأشعة!J96)</f>
        <v>254</v>
      </c>
      <c r="K6" s="37">
        <f>SUM(الأشعة!K96)</f>
        <v>20</v>
      </c>
      <c r="L6" s="57"/>
      <c r="M6" s="110"/>
      <c r="N6" s="113"/>
      <c r="O6" s="7" t="s">
        <v>5</v>
      </c>
      <c r="P6" s="29">
        <f>SUM(الأشعة!P96)</f>
        <v>16</v>
      </c>
      <c r="Q6" s="37">
        <f>SUM(الأشعة!Q96)</f>
        <v>19</v>
      </c>
      <c r="R6" s="57"/>
      <c r="S6" s="110"/>
      <c r="T6" s="113"/>
      <c r="U6" s="7" t="s">
        <v>5</v>
      </c>
      <c r="V6" s="29">
        <f>SUM(الأشعة!V96)</f>
        <v>0</v>
      </c>
      <c r="W6" s="37">
        <f>SUM(الأشعة!W96)</f>
        <v>0</v>
      </c>
      <c r="X6" s="57"/>
      <c r="Y6" s="110"/>
      <c r="Z6" s="113"/>
      <c r="AA6" s="7" t="s">
        <v>5</v>
      </c>
      <c r="AB6" s="29">
        <f>SUM(الأشعة!AB96)</f>
        <v>0</v>
      </c>
      <c r="AC6" s="37">
        <f>SUM(الأشعة!AC96)</f>
        <v>0</v>
      </c>
      <c r="AD6" s="57"/>
      <c r="AE6" s="110"/>
      <c r="AF6" s="113"/>
      <c r="AG6" s="7" t="s">
        <v>5</v>
      </c>
      <c r="AH6" s="29">
        <f>SUM(الأشعة!AH96)</f>
        <v>0</v>
      </c>
      <c r="AI6" s="37">
        <f>SUM(الأشعة!AI96)</f>
        <v>0</v>
      </c>
      <c r="AJ6" s="57"/>
      <c r="AK6" s="110"/>
      <c r="AL6" s="113"/>
      <c r="AM6" s="7" t="s">
        <v>5</v>
      </c>
      <c r="AN6" s="29">
        <f>SUM(الأشعة!AN96)</f>
        <v>0</v>
      </c>
      <c r="AO6" s="37">
        <f>SUM(الأشعة!AO96)</f>
        <v>0</v>
      </c>
      <c r="AP6" s="57"/>
      <c r="AQ6" s="110"/>
      <c r="AR6" s="113"/>
      <c r="AS6" s="7" t="s">
        <v>5</v>
      </c>
      <c r="AT6" s="29">
        <f>SUM(الأشعة!AT96)</f>
        <v>11</v>
      </c>
      <c r="AU6" s="37">
        <f>SUM(الأشعة!AU96)</f>
        <v>13</v>
      </c>
      <c r="AV6" s="57"/>
      <c r="AW6" s="110"/>
      <c r="AX6" s="113"/>
      <c r="AY6" s="7" t="s">
        <v>5</v>
      </c>
      <c r="AZ6" s="29">
        <f>SUM(الأشعة!AZ96)</f>
        <v>75</v>
      </c>
      <c r="BA6" s="37">
        <f>SUM(الأشعة!BA96)</f>
        <v>75</v>
      </c>
      <c r="BB6" s="57"/>
      <c r="BC6" s="110"/>
      <c r="BD6" s="113"/>
      <c r="BE6" s="7" t="s">
        <v>5</v>
      </c>
      <c r="BF6" s="29">
        <f>SUM(الأشعة!BF96)</f>
        <v>461</v>
      </c>
      <c r="BG6" s="37">
        <f>SUM(الأشعة!BG96)</f>
        <v>19</v>
      </c>
      <c r="BH6" s="57"/>
      <c r="BI6" s="110"/>
      <c r="BJ6" s="113"/>
      <c r="BK6" s="7" t="s">
        <v>5</v>
      </c>
      <c r="BL6" s="29">
        <f>SUM(الأشعة!BL96)</f>
        <v>0</v>
      </c>
      <c r="BM6" s="37">
        <f>SUM(الأشعة!BM96)</f>
        <v>0</v>
      </c>
      <c r="BN6" s="57"/>
      <c r="BO6" s="110"/>
      <c r="BP6" s="113"/>
      <c r="BQ6" s="7" t="s">
        <v>5</v>
      </c>
      <c r="BR6" s="29">
        <f>SUM(الأشعة!BR96)</f>
        <v>0</v>
      </c>
      <c r="BS6" s="37">
        <f>SUM(الأشعة!BS96)</f>
        <v>0</v>
      </c>
      <c r="BT6" s="57"/>
      <c r="BU6" s="110"/>
      <c r="BV6" s="113"/>
      <c r="BW6" s="7" t="s">
        <v>5</v>
      </c>
      <c r="BX6" s="29">
        <f>SUM(الأشعة!BX96)</f>
        <v>1278</v>
      </c>
      <c r="BY6" s="37">
        <f>SUM(الأشعة!BY96)</f>
        <v>165</v>
      </c>
      <c r="BZ6" s="57"/>
    </row>
    <row r="7" spans="1:78" s="59" customFormat="1" ht="18.75" thickBot="1" x14ac:dyDescent="0.25">
      <c r="A7" s="110"/>
      <c r="B7" s="114" t="s">
        <v>6</v>
      </c>
      <c r="C7" s="118"/>
      <c r="D7" s="30">
        <f>SUM(D5:D6)</f>
        <v>989</v>
      </c>
      <c r="E7" s="18">
        <f>SUM(E5:E6)</f>
        <v>38</v>
      </c>
      <c r="F7" s="57"/>
      <c r="G7" s="110"/>
      <c r="H7" s="114" t="s">
        <v>6</v>
      </c>
      <c r="I7" s="118"/>
      <c r="J7" s="30">
        <f>SUM(J5:J6)</f>
        <v>1146</v>
      </c>
      <c r="K7" s="18">
        <f>SUM(K5:K6)</f>
        <v>42</v>
      </c>
      <c r="L7" s="57"/>
      <c r="M7" s="110"/>
      <c r="N7" s="114" t="s">
        <v>6</v>
      </c>
      <c r="O7" s="118"/>
      <c r="P7" s="30">
        <f>SUM(P5:P6)</f>
        <v>30</v>
      </c>
      <c r="Q7" s="18">
        <f>SUM(Q5:Q6)</f>
        <v>36</v>
      </c>
      <c r="R7" s="57"/>
      <c r="S7" s="110"/>
      <c r="T7" s="114" t="s">
        <v>6</v>
      </c>
      <c r="U7" s="118"/>
      <c r="V7" s="30">
        <f>SUM(V5:V6)</f>
        <v>0</v>
      </c>
      <c r="W7" s="18">
        <f>SUM(W5:W6)</f>
        <v>0</v>
      </c>
      <c r="X7" s="57"/>
      <c r="Y7" s="110"/>
      <c r="Z7" s="114" t="s">
        <v>6</v>
      </c>
      <c r="AA7" s="118"/>
      <c r="AB7" s="30">
        <f>SUM(AB5:AB6)</f>
        <v>0</v>
      </c>
      <c r="AC7" s="18">
        <f>SUM(AC5:AC6)</f>
        <v>0</v>
      </c>
      <c r="AD7" s="57"/>
      <c r="AE7" s="110"/>
      <c r="AF7" s="114" t="s">
        <v>6</v>
      </c>
      <c r="AG7" s="118"/>
      <c r="AH7" s="30">
        <f>SUM(AH5:AH6)</f>
        <v>0</v>
      </c>
      <c r="AI7" s="18">
        <f>SUM(AI5:AI6)</f>
        <v>0</v>
      </c>
      <c r="AJ7" s="57"/>
      <c r="AK7" s="110"/>
      <c r="AL7" s="114" t="s">
        <v>6</v>
      </c>
      <c r="AM7" s="118"/>
      <c r="AN7" s="30">
        <f>SUM(AN5:AN6)</f>
        <v>0</v>
      </c>
      <c r="AO7" s="18">
        <f>SUM(AO5:AO6)</f>
        <v>0</v>
      </c>
      <c r="AP7" s="57"/>
      <c r="AQ7" s="110"/>
      <c r="AR7" s="114" t="s">
        <v>6</v>
      </c>
      <c r="AS7" s="118"/>
      <c r="AT7" s="30">
        <f>SUM(AT5:AT6)</f>
        <v>20</v>
      </c>
      <c r="AU7" s="18">
        <f>SUM(AU5:AU6)</f>
        <v>24</v>
      </c>
      <c r="AV7" s="57"/>
      <c r="AW7" s="110"/>
      <c r="AX7" s="114" t="s">
        <v>6</v>
      </c>
      <c r="AY7" s="118"/>
      <c r="AZ7" s="30">
        <f>SUM(AZ5:AZ6)</f>
        <v>134</v>
      </c>
      <c r="BA7" s="18">
        <f>SUM(BA5:BA6)</f>
        <v>134</v>
      </c>
      <c r="BB7" s="57"/>
      <c r="BC7" s="110"/>
      <c r="BD7" s="114" t="s">
        <v>6</v>
      </c>
      <c r="BE7" s="118"/>
      <c r="BF7" s="30">
        <f>SUM(BF5:BF6)</f>
        <v>989</v>
      </c>
      <c r="BG7" s="18">
        <f>SUM(BG5:BG6)</f>
        <v>38</v>
      </c>
      <c r="BH7" s="57"/>
      <c r="BI7" s="110"/>
      <c r="BJ7" s="114" t="s">
        <v>6</v>
      </c>
      <c r="BK7" s="118"/>
      <c r="BL7" s="30">
        <f>SUM(BL5:BL6)</f>
        <v>0</v>
      </c>
      <c r="BM7" s="18">
        <f>SUM(BM5:BM6)</f>
        <v>0</v>
      </c>
      <c r="BN7" s="57"/>
      <c r="BO7" s="110"/>
      <c r="BP7" s="114" t="s">
        <v>6</v>
      </c>
      <c r="BQ7" s="118"/>
      <c r="BR7" s="30">
        <f>SUM(BR5:BR6)</f>
        <v>0</v>
      </c>
      <c r="BS7" s="18">
        <f>SUM(BS5:BS6)</f>
        <v>0</v>
      </c>
      <c r="BT7" s="57"/>
      <c r="BU7" s="110"/>
      <c r="BV7" s="114" t="s">
        <v>6</v>
      </c>
      <c r="BW7" s="118"/>
      <c r="BX7" s="30">
        <f>SUM(BX5:BX6)</f>
        <v>3308</v>
      </c>
      <c r="BY7" s="18">
        <f>SUM(BY5:BY6)</f>
        <v>312</v>
      </c>
      <c r="BZ7" s="57"/>
    </row>
    <row r="8" spans="1:78" s="59" customFormat="1" ht="18" customHeight="1" x14ac:dyDescent="0.2">
      <c r="A8" s="110"/>
      <c r="B8" s="119" t="s">
        <v>7</v>
      </c>
      <c r="C8" s="4" t="s">
        <v>4</v>
      </c>
      <c r="D8" s="38">
        <f>SUM(الأشعة!D98)</f>
        <v>10</v>
      </c>
      <c r="E8" s="39">
        <f>SUM(الأشعة!E98)</f>
        <v>0</v>
      </c>
      <c r="F8" s="57"/>
      <c r="G8" s="110"/>
      <c r="H8" s="119" t="s">
        <v>7</v>
      </c>
      <c r="I8" s="4" t="s">
        <v>4</v>
      </c>
      <c r="J8" s="38">
        <f>SUM(الأشعة!J98)</f>
        <v>54</v>
      </c>
      <c r="K8" s="39">
        <f>SUM(الأشعة!K98)</f>
        <v>0</v>
      </c>
      <c r="L8" s="57"/>
      <c r="M8" s="110"/>
      <c r="N8" s="119" t="s">
        <v>7</v>
      </c>
      <c r="O8" s="4" t="s">
        <v>4</v>
      </c>
      <c r="P8" s="38">
        <f>SUM(الأشعة!P98)</f>
        <v>0</v>
      </c>
      <c r="Q8" s="39">
        <f>SUM(الأشعة!Q98)</f>
        <v>0</v>
      </c>
      <c r="R8" s="57"/>
      <c r="S8" s="110"/>
      <c r="T8" s="119" t="s">
        <v>7</v>
      </c>
      <c r="U8" s="4" t="s">
        <v>4</v>
      </c>
      <c r="V8" s="38">
        <f>SUM(الأشعة!V98)</f>
        <v>0</v>
      </c>
      <c r="W8" s="39">
        <f>SUM(الأشعة!W98)</f>
        <v>0</v>
      </c>
      <c r="X8" s="57"/>
      <c r="Y8" s="110"/>
      <c r="Z8" s="119" t="s">
        <v>7</v>
      </c>
      <c r="AA8" s="4" t="s">
        <v>4</v>
      </c>
      <c r="AB8" s="38">
        <f>SUM(الأشعة!AB98)</f>
        <v>0</v>
      </c>
      <c r="AC8" s="39">
        <f>SUM(الأشعة!AC98)</f>
        <v>0</v>
      </c>
      <c r="AD8" s="57"/>
      <c r="AE8" s="110"/>
      <c r="AF8" s="119" t="s">
        <v>7</v>
      </c>
      <c r="AG8" s="4" t="s">
        <v>4</v>
      </c>
      <c r="AH8" s="38">
        <f>SUM(الأشعة!AH98)</f>
        <v>0</v>
      </c>
      <c r="AI8" s="39">
        <f>SUM(الأشعة!AI98)</f>
        <v>0</v>
      </c>
      <c r="AJ8" s="57"/>
      <c r="AK8" s="110"/>
      <c r="AL8" s="119" t="s">
        <v>7</v>
      </c>
      <c r="AM8" s="4" t="s">
        <v>4</v>
      </c>
      <c r="AN8" s="38">
        <f>SUM(الأشعة!AN98)</f>
        <v>0</v>
      </c>
      <c r="AO8" s="39">
        <f>SUM(الأشعة!AO98)</f>
        <v>0</v>
      </c>
      <c r="AP8" s="57"/>
      <c r="AQ8" s="110"/>
      <c r="AR8" s="119" t="s">
        <v>7</v>
      </c>
      <c r="AS8" s="4" t="s">
        <v>4</v>
      </c>
      <c r="AT8" s="38">
        <f>SUM(الأشعة!AT98)</f>
        <v>0</v>
      </c>
      <c r="AU8" s="39">
        <f>SUM(الأشعة!AU98)</f>
        <v>0</v>
      </c>
      <c r="AV8" s="57"/>
      <c r="AW8" s="110"/>
      <c r="AX8" s="119" t="s">
        <v>7</v>
      </c>
      <c r="AY8" s="4" t="s">
        <v>4</v>
      </c>
      <c r="AZ8" s="38">
        <f>SUM(الأشعة!AZ98)</f>
        <v>15</v>
      </c>
      <c r="BA8" s="39">
        <f>SUM(الأشعة!BA98)</f>
        <v>15</v>
      </c>
      <c r="BB8" s="57"/>
      <c r="BC8" s="110"/>
      <c r="BD8" s="119" t="s">
        <v>7</v>
      </c>
      <c r="BE8" s="4" t="s">
        <v>4</v>
      </c>
      <c r="BF8" s="38">
        <f>SUM(الأشعة!BF98)</f>
        <v>10</v>
      </c>
      <c r="BG8" s="39">
        <f>SUM(الأشعة!BG98)</f>
        <v>0</v>
      </c>
      <c r="BH8" s="57"/>
      <c r="BI8" s="110"/>
      <c r="BJ8" s="119" t="s">
        <v>7</v>
      </c>
      <c r="BK8" s="4" t="s">
        <v>4</v>
      </c>
      <c r="BL8" s="38">
        <f>SUM(الأشعة!BL98)</f>
        <v>0</v>
      </c>
      <c r="BM8" s="39">
        <f>SUM(الأشعة!BM98)</f>
        <v>0</v>
      </c>
      <c r="BN8" s="57"/>
      <c r="BO8" s="110"/>
      <c r="BP8" s="119" t="s">
        <v>7</v>
      </c>
      <c r="BQ8" s="4" t="s">
        <v>4</v>
      </c>
      <c r="BR8" s="38">
        <f>SUM(الأشعة!BR98)</f>
        <v>0</v>
      </c>
      <c r="BS8" s="39">
        <f>SUM(الأشعة!BS98)</f>
        <v>0</v>
      </c>
      <c r="BT8" s="57"/>
      <c r="BU8" s="110"/>
      <c r="BV8" s="119" t="s">
        <v>7</v>
      </c>
      <c r="BW8" s="4" t="s">
        <v>4</v>
      </c>
      <c r="BX8" s="38">
        <f>SUM(الأشعة!BX98)</f>
        <v>89</v>
      </c>
      <c r="BY8" s="39">
        <f>SUM(الأشعة!BY98)</f>
        <v>15</v>
      </c>
      <c r="BZ8" s="57"/>
    </row>
    <row r="9" spans="1:78" s="59" customFormat="1" ht="18.75" thickBot="1" x14ac:dyDescent="0.25">
      <c r="A9" s="110"/>
      <c r="B9" s="120"/>
      <c r="C9" s="7" t="s">
        <v>5</v>
      </c>
      <c r="D9" s="29">
        <f>SUM(الأشعة!D99)</f>
        <v>9</v>
      </c>
      <c r="E9" s="37">
        <f>SUM(الأشعة!E99)</f>
        <v>0</v>
      </c>
      <c r="F9" s="57"/>
      <c r="G9" s="110"/>
      <c r="H9" s="120"/>
      <c r="I9" s="7" t="s">
        <v>5</v>
      </c>
      <c r="J9" s="29">
        <f>SUM(الأشعة!J99)</f>
        <v>18</v>
      </c>
      <c r="K9" s="37">
        <f>SUM(الأشعة!K99)</f>
        <v>0</v>
      </c>
      <c r="L9" s="57"/>
      <c r="M9" s="110"/>
      <c r="N9" s="120"/>
      <c r="O9" s="7" t="s">
        <v>5</v>
      </c>
      <c r="P9" s="29">
        <f>SUM(الأشعة!P99)</f>
        <v>0</v>
      </c>
      <c r="Q9" s="37">
        <f>SUM(الأشعة!Q99)</f>
        <v>0</v>
      </c>
      <c r="R9" s="57"/>
      <c r="S9" s="110"/>
      <c r="T9" s="120"/>
      <c r="U9" s="7" t="s">
        <v>5</v>
      </c>
      <c r="V9" s="29">
        <f>SUM(الأشعة!V99)</f>
        <v>0</v>
      </c>
      <c r="W9" s="37">
        <f>SUM(الأشعة!W99)</f>
        <v>0</v>
      </c>
      <c r="X9" s="57"/>
      <c r="Y9" s="110"/>
      <c r="Z9" s="120"/>
      <c r="AA9" s="7" t="s">
        <v>5</v>
      </c>
      <c r="AB9" s="29">
        <f>SUM(الأشعة!AB99)</f>
        <v>0</v>
      </c>
      <c r="AC9" s="37">
        <f>SUM(الأشعة!AC99)</f>
        <v>0</v>
      </c>
      <c r="AD9" s="57"/>
      <c r="AE9" s="110"/>
      <c r="AF9" s="120"/>
      <c r="AG9" s="7" t="s">
        <v>5</v>
      </c>
      <c r="AH9" s="29">
        <f>SUM(الأشعة!AH99)</f>
        <v>0</v>
      </c>
      <c r="AI9" s="37">
        <f>SUM(الأشعة!AI99)</f>
        <v>0</v>
      </c>
      <c r="AJ9" s="57"/>
      <c r="AK9" s="110"/>
      <c r="AL9" s="120"/>
      <c r="AM9" s="7" t="s">
        <v>5</v>
      </c>
      <c r="AN9" s="29">
        <f>SUM(الأشعة!AN99)</f>
        <v>0</v>
      </c>
      <c r="AO9" s="37">
        <f>SUM(الأشعة!AO99)</f>
        <v>0</v>
      </c>
      <c r="AP9" s="57"/>
      <c r="AQ9" s="110"/>
      <c r="AR9" s="120"/>
      <c r="AS9" s="7" t="s">
        <v>5</v>
      </c>
      <c r="AT9" s="29">
        <f>SUM(الأشعة!AT99)</f>
        <v>0</v>
      </c>
      <c r="AU9" s="37">
        <f>SUM(الأشعة!AU99)</f>
        <v>0</v>
      </c>
      <c r="AV9" s="57"/>
      <c r="AW9" s="110"/>
      <c r="AX9" s="120"/>
      <c r="AY9" s="7" t="s">
        <v>5</v>
      </c>
      <c r="AZ9" s="29">
        <f>SUM(الأشعة!AZ99)</f>
        <v>11</v>
      </c>
      <c r="BA9" s="37">
        <f>SUM(الأشعة!BA99)</f>
        <v>11</v>
      </c>
      <c r="BB9" s="57"/>
      <c r="BC9" s="110"/>
      <c r="BD9" s="120"/>
      <c r="BE9" s="7" t="s">
        <v>5</v>
      </c>
      <c r="BF9" s="29">
        <f>SUM(الأشعة!BF99)</f>
        <v>9</v>
      </c>
      <c r="BG9" s="37">
        <f>SUM(الأشعة!BG99)</f>
        <v>0</v>
      </c>
      <c r="BH9" s="57"/>
      <c r="BI9" s="110"/>
      <c r="BJ9" s="120"/>
      <c r="BK9" s="7" t="s">
        <v>5</v>
      </c>
      <c r="BL9" s="29">
        <f>SUM(الأشعة!BL99)</f>
        <v>0</v>
      </c>
      <c r="BM9" s="37">
        <f>SUM(الأشعة!BM99)</f>
        <v>0</v>
      </c>
      <c r="BN9" s="57"/>
      <c r="BO9" s="110"/>
      <c r="BP9" s="120"/>
      <c r="BQ9" s="7" t="s">
        <v>5</v>
      </c>
      <c r="BR9" s="29">
        <f>SUM(الأشعة!BR99)</f>
        <v>0</v>
      </c>
      <c r="BS9" s="37">
        <f>SUM(الأشعة!BS99)</f>
        <v>0</v>
      </c>
      <c r="BT9" s="57"/>
      <c r="BU9" s="110"/>
      <c r="BV9" s="120"/>
      <c r="BW9" s="7" t="s">
        <v>5</v>
      </c>
      <c r="BX9" s="29">
        <f>SUM(الأشعة!BX99)</f>
        <v>47</v>
      </c>
      <c r="BY9" s="37">
        <f>SUM(الأشعة!BY99)</f>
        <v>11</v>
      </c>
      <c r="BZ9" s="57"/>
    </row>
    <row r="10" spans="1:78" s="59" customFormat="1" ht="18.75" thickBot="1" x14ac:dyDescent="0.25">
      <c r="A10" s="110"/>
      <c r="B10" s="116" t="s">
        <v>18</v>
      </c>
      <c r="C10" s="117"/>
      <c r="D10" s="30">
        <f>SUM(D8:D9)</f>
        <v>19</v>
      </c>
      <c r="E10" s="18">
        <f>SUM(E8:E9)</f>
        <v>0</v>
      </c>
      <c r="F10" s="57"/>
      <c r="G10" s="110"/>
      <c r="H10" s="116" t="s">
        <v>18</v>
      </c>
      <c r="I10" s="117"/>
      <c r="J10" s="30">
        <f>SUM(J8:J9)</f>
        <v>72</v>
      </c>
      <c r="K10" s="18">
        <f>SUM(K8:K9)</f>
        <v>0</v>
      </c>
      <c r="L10" s="57"/>
      <c r="M10" s="110"/>
      <c r="N10" s="116" t="s">
        <v>18</v>
      </c>
      <c r="O10" s="117"/>
      <c r="P10" s="30">
        <f>SUM(P8:P9)</f>
        <v>0</v>
      </c>
      <c r="Q10" s="18">
        <f>SUM(Q8:Q9)</f>
        <v>0</v>
      </c>
      <c r="R10" s="57"/>
      <c r="S10" s="110"/>
      <c r="T10" s="116" t="s">
        <v>18</v>
      </c>
      <c r="U10" s="117"/>
      <c r="V10" s="30">
        <f>SUM(V8:V9)</f>
        <v>0</v>
      </c>
      <c r="W10" s="18">
        <f>SUM(W8:W9)</f>
        <v>0</v>
      </c>
      <c r="X10" s="57"/>
      <c r="Y10" s="110"/>
      <c r="Z10" s="116" t="s">
        <v>18</v>
      </c>
      <c r="AA10" s="117"/>
      <c r="AB10" s="30">
        <f>SUM(AB8:AB9)</f>
        <v>0</v>
      </c>
      <c r="AC10" s="18">
        <f>SUM(AC8:AC9)</f>
        <v>0</v>
      </c>
      <c r="AD10" s="57"/>
      <c r="AE10" s="110"/>
      <c r="AF10" s="116" t="s">
        <v>18</v>
      </c>
      <c r="AG10" s="117"/>
      <c r="AH10" s="30">
        <f>SUM(AH8:AH9)</f>
        <v>0</v>
      </c>
      <c r="AI10" s="18">
        <f>SUM(AI8:AI9)</f>
        <v>0</v>
      </c>
      <c r="AJ10" s="57"/>
      <c r="AK10" s="110"/>
      <c r="AL10" s="116" t="s">
        <v>18</v>
      </c>
      <c r="AM10" s="117"/>
      <c r="AN10" s="30">
        <f>SUM(AN8:AN9)</f>
        <v>0</v>
      </c>
      <c r="AO10" s="18">
        <f>SUM(AO8:AO9)</f>
        <v>0</v>
      </c>
      <c r="AP10" s="57"/>
      <c r="AQ10" s="110"/>
      <c r="AR10" s="116" t="s">
        <v>18</v>
      </c>
      <c r="AS10" s="117"/>
      <c r="AT10" s="30">
        <f>SUM(AT8:AT9)</f>
        <v>0</v>
      </c>
      <c r="AU10" s="18">
        <f>SUM(AU8:AU9)</f>
        <v>0</v>
      </c>
      <c r="AV10" s="57"/>
      <c r="AW10" s="110"/>
      <c r="AX10" s="116" t="s">
        <v>18</v>
      </c>
      <c r="AY10" s="117"/>
      <c r="AZ10" s="30">
        <f>SUM(AZ8:AZ9)</f>
        <v>26</v>
      </c>
      <c r="BA10" s="18">
        <f>SUM(BA8:BA9)</f>
        <v>26</v>
      </c>
      <c r="BB10" s="57"/>
      <c r="BC10" s="110"/>
      <c r="BD10" s="116" t="s">
        <v>18</v>
      </c>
      <c r="BE10" s="117"/>
      <c r="BF10" s="30">
        <f>SUM(BF8:BF9)</f>
        <v>19</v>
      </c>
      <c r="BG10" s="18">
        <f>SUM(BG8:BG9)</f>
        <v>0</v>
      </c>
      <c r="BH10" s="57"/>
      <c r="BI10" s="110"/>
      <c r="BJ10" s="116" t="s">
        <v>18</v>
      </c>
      <c r="BK10" s="117"/>
      <c r="BL10" s="30">
        <f>SUM(BL8:BL9)</f>
        <v>0</v>
      </c>
      <c r="BM10" s="18">
        <f>SUM(BM8:BM9)</f>
        <v>0</v>
      </c>
      <c r="BN10" s="57"/>
      <c r="BO10" s="110"/>
      <c r="BP10" s="116" t="s">
        <v>18</v>
      </c>
      <c r="BQ10" s="117"/>
      <c r="BR10" s="30">
        <f>SUM(BR8:BR9)</f>
        <v>0</v>
      </c>
      <c r="BS10" s="18">
        <f>SUM(BS8:BS9)</f>
        <v>0</v>
      </c>
      <c r="BT10" s="57"/>
      <c r="BU10" s="110"/>
      <c r="BV10" s="116" t="s">
        <v>18</v>
      </c>
      <c r="BW10" s="117"/>
      <c r="BX10" s="30">
        <f>SUM(BX8:BX9)</f>
        <v>136</v>
      </c>
      <c r="BY10" s="18">
        <f>SUM(BY8:BY9)</f>
        <v>26</v>
      </c>
      <c r="BZ10" s="57"/>
    </row>
    <row r="11" spans="1:78" s="59" customFormat="1" ht="18.75" thickBot="1" x14ac:dyDescent="0.25">
      <c r="A11" s="111"/>
      <c r="B11" s="143" t="s">
        <v>9</v>
      </c>
      <c r="C11" s="144"/>
      <c r="D11" s="35">
        <f>SUM(D7+D10)</f>
        <v>1008</v>
      </c>
      <c r="E11" s="36">
        <f>SUM(E7+E10)</f>
        <v>38</v>
      </c>
      <c r="F11" s="57"/>
      <c r="G11" s="111"/>
      <c r="H11" s="143" t="s">
        <v>9</v>
      </c>
      <c r="I11" s="144"/>
      <c r="J11" s="35">
        <f>SUM(J7+J10)</f>
        <v>1218</v>
      </c>
      <c r="K11" s="36">
        <f>SUM(K7+K10)</f>
        <v>42</v>
      </c>
      <c r="L11" s="57"/>
      <c r="M11" s="111"/>
      <c r="N11" s="143" t="s">
        <v>9</v>
      </c>
      <c r="O11" s="144"/>
      <c r="P11" s="35">
        <f>SUM(P7+P10)</f>
        <v>30</v>
      </c>
      <c r="Q11" s="36">
        <f>SUM(Q7+Q10)</f>
        <v>36</v>
      </c>
      <c r="R11" s="57"/>
      <c r="S11" s="111"/>
      <c r="T11" s="143" t="s">
        <v>9</v>
      </c>
      <c r="U11" s="144"/>
      <c r="V11" s="35">
        <f>SUM(V7+V10)</f>
        <v>0</v>
      </c>
      <c r="W11" s="36">
        <f>SUM(W7+W10)</f>
        <v>0</v>
      </c>
      <c r="X11" s="57"/>
      <c r="Y11" s="111"/>
      <c r="Z11" s="143" t="s">
        <v>9</v>
      </c>
      <c r="AA11" s="144"/>
      <c r="AB11" s="35">
        <f>SUM(AB7+AB10)</f>
        <v>0</v>
      </c>
      <c r="AC11" s="36">
        <f>SUM(AC7+AC10)</f>
        <v>0</v>
      </c>
      <c r="AD11" s="57"/>
      <c r="AE11" s="111"/>
      <c r="AF11" s="143" t="s">
        <v>9</v>
      </c>
      <c r="AG11" s="144"/>
      <c r="AH11" s="35">
        <f>SUM(AH7+AH10)</f>
        <v>0</v>
      </c>
      <c r="AI11" s="36">
        <f>SUM(AI7+AI10)</f>
        <v>0</v>
      </c>
      <c r="AJ11" s="57"/>
      <c r="AK11" s="111"/>
      <c r="AL11" s="143" t="s">
        <v>9</v>
      </c>
      <c r="AM11" s="144"/>
      <c r="AN11" s="35">
        <f>SUM(AN7+AN10)</f>
        <v>0</v>
      </c>
      <c r="AO11" s="36">
        <f>SUM(AO7+AO10)</f>
        <v>0</v>
      </c>
      <c r="AP11" s="57"/>
      <c r="AQ11" s="111"/>
      <c r="AR11" s="143" t="s">
        <v>9</v>
      </c>
      <c r="AS11" s="144"/>
      <c r="AT11" s="35">
        <f>SUM(AT7+AT10)</f>
        <v>20</v>
      </c>
      <c r="AU11" s="36">
        <f>SUM(AU7+AU10)</f>
        <v>24</v>
      </c>
      <c r="AV11" s="57"/>
      <c r="AW11" s="111"/>
      <c r="AX11" s="143" t="s">
        <v>9</v>
      </c>
      <c r="AY11" s="144"/>
      <c r="AZ11" s="35">
        <f>SUM(AZ7+AZ10)</f>
        <v>160</v>
      </c>
      <c r="BA11" s="36">
        <f>SUM(BA7+BA10)</f>
        <v>160</v>
      </c>
      <c r="BB11" s="57"/>
      <c r="BC11" s="111"/>
      <c r="BD11" s="143" t="s">
        <v>9</v>
      </c>
      <c r="BE11" s="144"/>
      <c r="BF11" s="35">
        <f>SUM(BF7+BF10)</f>
        <v>1008</v>
      </c>
      <c r="BG11" s="36">
        <f>SUM(BG7+BG10)</f>
        <v>38</v>
      </c>
      <c r="BH11" s="57"/>
      <c r="BI11" s="111"/>
      <c r="BJ11" s="143" t="s">
        <v>9</v>
      </c>
      <c r="BK11" s="144"/>
      <c r="BL11" s="35">
        <f>SUM(BL7+BL10)</f>
        <v>0</v>
      </c>
      <c r="BM11" s="36">
        <f>SUM(BM7+BM10)</f>
        <v>0</v>
      </c>
      <c r="BN11" s="57"/>
      <c r="BO11" s="111"/>
      <c r="BP11" s="143" t="s">
        <v>9</v>
      </c>
      <c r="BQ11" s="144"/>
      <c r="BR11" s="35">
        <f>SUM(BR7+BR10)</f>
        <v>0</v>
      </c>
      <c r="BS11" s="36">
        <f>SUM(BS7+BS10)</f>
        <v>0</v>
      </c>
      <c r="BT11" s="57"/>
      <c r="BU11" s="111"/>
      <c r="BV11" s="143" t="s">
        <v>9</v>
      </c>
      <c r="BW11" s="144"/>
      <c r="BX11" s="35">
        <f>SUM(BX7+BX10)</f>
        <v>3444</v>
      </c>
      <c r="BY11" s="36">
        <f>SUM(BY7+BY10)</f>
        <v>338</v>
      </c>
      <c r="BZ11" s="57"/>
    </row>
    <row r="12" spans="1:78" s="59" customFormat="1" x14ac:dyDescent="0.2">
      <c r="A12" s="60"/>
      <c r="B12" s="57"/>
      <c r="C12" s="57"/>
      <c r="D12" s="57"/>
      <c r="E12" s="57"/>
      <c r="F12" s="57"/>
      <c r="G12" s="60"/>
      <c r="H12" s="57"/>
      <c r="I12" s="57"/>
      <c r="J12" s="57"/>
      <c r="K12" s="57"/>
      <c r="L12" s="57"/>
      <c r="M12" s="60"/>
      <c r="N12" s="57"/>
      <c r="O12" s="57"/>
      <c r="P12" s="57"/>
      <c r="Q12" s="57"/>
      <c r="R12" s="57"/>
      <c r="S12" s="60"/>
      <c r="T12" s="57"/>
      <c r="U12" s="57"/>
      <c r="V12" s="57"/>
      <c r="W12" s="57"/>
      <c r="X12" s="57"/>
      <c r="Y12" s="60"/>
      <c r="Z12" s="57"/>
      <c r="AA12" s="57"/>
      <c r="AB12" s="57"/>
      <c r="AC12" s="57"/>
      <c r="AD12" s="57"/>
      <c r="AE12" s="60"/>
      <c r="AF12" s="57"/>
      <c r="AG12" s="57"/>
      <c r="AH12" s="57"/>
      <c r="AI12" s="57"/>
      <c r="AJ12" s="57"/>
      <c r="AK12" s="60"/>
      <c r="AL12" s="57"/>
      <c r="AM12" s="57"/>
      <c r="AN12" s="57"/>
      <c r="AO12" s="57"/>
      <c r="AP12" s="57"/>
      <c r="AQ12" s="60"/>
      <c r="AR12" s="57"/>
      <c r="AS12" s="57"/>
      <c r="AT12" s="57"/>
      <c r="AU12" s="57"/>
      <c r="AV12" s="57"/>
      <c r="AW12" s="60"/>
      <c r="AX12" s="57"/>
      <c r="AY12" s="57"/>
      <c r="AZ12" s="57"/>
      <c r="BA12" s="57"/>
      <c r="BB12" s="57"/>
      <c r="BC12" s="60"/>
      <c r="BD12" s="57"/>
      <c r="BE12" s="57"/>
      <c r="BF12" s="57"/>
      <c r="BG12" s="57"/>
      <c r="BH12" s="57"/>
      <c r="BI12" s="60"/>
      <c r="BJ12" s="57"/>
      <c r="BK12" s="57"/>
      <c r="BL12" s="57"/>
      <c r="BM12" s="57"/>
      <c r="BN12" s="57"/>
      <c r="BO12" s="60"/>
      <c r="BP12" s="57"/>
      <c r="BQ12" s="57"/>
      <c r="BR12" s="57"/>
      <c r="BS12" s="57"/>
      <c r="BT12" s="57"/>
      <c r="BU12" s="60"/>
      <c r="BV12" s="57"/>
      <c r="BW12" s="57"/>
      <c r="BX12" s="57"/>
      <c r="BY12" s="61"/>
      <c r="BZ12" s="57"/>
    </row>
    <row r="13" spans="1:78" s="65" customFormat="1" ht="39" customHeight="1" thickBot="1" x14ac:dyDescent="0.25">
      <c r="A13" s="62" t="s">
        <v>20</v>
      </c>
      <c r="B13" s="63"/>
      <c r="C13" s="63"/>
      <c r="D13" s="63"/>
      <c r="E13" s="63"/>
      <c r="F13" s="90"/>
      <c r="G13" s="62" t="s">
        <v>20</v>
      </c>
      <c r="H13" s="63"/>
      <c r="I13" s="63"/>
      <c r="J13" s="63"/>
      <c r="K13" s="63"/>
      <c r="L13" s="90"/>
      <c r="M13" s="62" t="s">
        <v>20</v>
      </c>
      <c r="N13" s="63"/>
      <c r="O13" s="63"/>
      <c r="P13" s="63"/>
      <c r="Q13" s="63"/>
      <c r="R13" s="90"/>
      <c r="S13" s="62" t="s">
        <v>20</v>
      </c>
      <c r="T13" s="63"/>
      <c r="U13" s="63"/>
      <c r="V13" s="63"/>
      <c r="W13" s="63"/>
      <c r="X13" s="90"/>
      <c r="Y13" s="62" t="s">
        <v>20</v>
      </c>
      <c r="Z13" s="63"/>
      <c r="AA13" s="63"/>
      <c r="AB13" s="63"/>
      <c r="AC13" s="63"/>
      <c r="AD13" s="90"/>
      <c r="AE13" s="62" t="s">
        <v>20</v>
      </c>
      <c r="AF13" s="63"/>
      <c r="AG13" s="63"/>
      <c r="AH13" s="63"/>
      <c r="AI13" s="63"/>
      <c r="AJ13" s="90"/>
      <c r="AK13" s="62" t="s">
        <v>20</v>
      </c>
      <c r="AL13" s="63"/>
      <c r="AM13" s="63"/>
      <c r="AN13" s="63"/>
      <c r="AO13" s="63"/>
      <c r="AP13" s="90"/>
      <c r="AQ13" s="62" t="s">
        <v>20</v>
      </c>
      <c r="AR13" s="63"/>
      <c r="AS13" s="63"/>
      <c r="AT13" s="63"/>
      <c r="AU13" s="63"/>
      <c r="AV13" s="90"/>
      <c r="AW13" s="62" t="s">
        <v>20</v>
      </c>
      <c r="AX13" s="63"/>
      <c r="AY13" s="63"/>
      <c r="AZ13" s="63"/>
      <c r="BA13" s="63"/>
      <c r="BB13" s="90"/>
      <c r="BC13" s="62" t="s">
        <v>20</v>
      </c>
      <c r="BD13" s="63"/>
      <c r="BE13" s="63"/>
      <c r="BF13" s="63"/>
      <c r="BG13" s="63"/>
      <c r="BH13" s="90"/>
      <c r="BI13" s="62" t="s">
        <v>20</v>
      </c>
      <c r="BJ13" s="63"/>
      <c r="BK13" s="63"/>
      <c r="BL13" s="63"/>
      <c r="BM13" s="63"/>
      <c r="BN13" s="90"/>
      <c r="BO13" s="62" t="s">
        <v>20</v>
      </c>
      <c r="BP13" s="63"/>
      <c r="BQ13" s="63"/>
      <c r="BR13" s="63"/>
      <c r="BS13" s="63"/>
      <c r="BT13" s="90"/>
      <c r="BU13" s="62" t="s">
        <v>20</v>
      </c>
      <c r="BV13" s="63"/>
      <c r="BW13" s="63"/>
      <c r="BX13" s="63"/>
      <c r="BY13" s="63"/>
      <c r="BZ13" s="64"/>
    </row>
    <row r="14" spans="1:78" s="59" customFormat="1" x14ac:dyDescent="0.2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</row>
    <row r="15" spans="1:78" s="59" customFormat="1" x14ac:dyDescent="0.2"/>
    <row r="16" spans="1:78" s="59" customFormat="1" x14ac:dyDescent="0.2"/>
    <row r="17" s="59" customFormat="1" x14ac:dyDescent="0.2"/>
    <row r="18" s="59" customFormat="1" x14ac:dyDescent="0.2"/>
    <row r="19" s="59" customFormat="1" x14ac:dyDescent="0.2"/>
    <row r="20" s="59" customFormat="1" x14ac:dyDescent="0.2"/>
    <row r="21" s="59" customFormat="1" x14ac:dyDescent="0.2"/>
    <row r="22" s="59" customFormat="1" x14ac:dyDescent="0.2"/>
    <row r="23" s="59" customFormat="1" x14ac:dyDescent="0.2"/>
    <row r="24" s="59" customFormat="1" x14ac:dyDescent="0.2"/>
    <row r="25" s="59" customFormat="1" x14ac:dyDescent="0.2"/>
    <row r="26" s="59" customFormat="1" x14ac:dyDescent="0.2"/>
    <row r="27" s="59" customFormat="1" x14ac:dyDescent="0.2"/>
    <row r="28" s="59" customFormat="1" x14ac:dyDescent="0.2"/>
    <row r="29" s="59" customFormat="1" x14ac:dyDescent="0.2"/>
    <row r="30" s="59" customFormat="1" x14ac:dyDescent="0.2"/>
    <row r="31" s="59" customFormat="1" x14ac:dyDescent="0.2"/>
    <row r="32" s="59" customFormat="1" x14ac:dyDescent="0.2"/>
    <row r="33" s="59" customFormat="1" x14ac:dyDescent="0.2"/>
    <row r="34" s="59" customFormat="1" x14ac:dyDescent="0.2"/>
    <row r="35" s="59" customFormat="1" x14ac:dyDescent="0.2"/>
    <row r="36" s="59" customFormat="1" x14ac:dyDescent="0.2"/>
    <row r="37" s="59" customFormat="1" x14ac:dyDescent="0.2"/>
    <row r="38" s="59" customFormat="1" x14ac:dyDescent="0.2"/>
    <row r="39" s="59" customFormat="1" x14ac:dyDescent="0.2"/>
    <row r="40" s="59" customFormat="1" x14ac:dyDescent="0.2"/>
    <row r="41" s="59" customFormat="1" x14ac:dyDescent="0.2"/>
    <row r="42" s="59" customFormat="1" x14ac:dyDescent="0.2"/>
    <row r="43" s="59" customFormat="1" x14ac:dyDescent="0.2"/>
    <row r="44" s="59" customFormat="1" x14ac:dyDescent="0.2"/>
    <row r="45" s="59" customFormat="1" x14ac:dyDescent="0.2"/>
    <row r="46" s="59" customFormat="1" x14ac:dyDescent="0.2"/>
    <row r="47" s="59" customFormat="1" x14ac:dyDescent="0.2"/>
    <row r="48" s="59" customFormat="1" x14ac:dyDescent="0.2"/>
    <row r="49" s="59" customFormat="1" x14ac:dyDescent="0.2"/>
    <row r="50" s="59" customFormat="1" x14ac:dyDescent="0.2"/>
    <row r="51" s="59" customFormat="1" x14ac:dyDescent="0.2"/>
    <row r="52" s="59" customFormat="1" x14ac:dyDescent="0.2"/>
    <row r="53" s="59" customFormat="1" x14ac:dyDescent="0.2"/>
    <row r="54" s="59" customFormat="1" x14ac:dyDescent="0.2"/>
    <row r="55" s="59" customFormat="1" x14ac:dyDescent="0.2"/>
    <row r="56" s="59" customFormat="1" x14ac:dyDescent="0.2"/>
    <row r="57" s="59" customFormat="1" x14ac:dyDescent="0.2"/>
    <row r="58" s="59" customFormat="1" x14ac:dyDescent="0.2"/>
    <row r="59" s="59" customFormat="1" x14ac:dyDescent="0.2"/>
    <row r="60" s="59" customFormat="1" x14ac:dyDescent="0.2"/>
    <row r="61" s="59" customFormat="1" x14ac:dyDescent="0.2"/>
    <row r="62" s="59" customFormat="1" x14ac:dyDescent="0.2"/>
    <row r="63" s="59" customFormat="1" x14ac:dyDescent="0.2"/>
    <row r="64" s="59" customFormat="1" x14ac:dyDescent="0.2"/>
    <row r="65" s="59" customFormat="1" x14ac:dyDescent="0.2"/>
    <row r="66" s="59" customFormat="1" x14ac:dyDescent="0.2"/>
  </sheetData>
  <mergeCells count="143">
    <mergeCell ref="BO5:BO11"/>
    <mergeCell ref="BY3:BY4"/>
    <mergeCell ref="BV4:BW4"/>
    <mergeCell ref="BV5:BV6"/>
    <mergeCell ref="BV7:BW7"/>
    <mergeCell ref="BV8:BV9"/>
    <mergeCell ref="BV10:BW10"/>
    <mergeCell ref="BU5:BU11"/>
    <mergeCell ref="BO3:BO4"/>
    <mergeCell ref="BP3:BQ3"/>
    <mergeCell ref="BR3:BR4"/>
    <mergeCell ref="BP11:BQ11"/>
    <mergeCell ref="BU3:BU4"/>
    <mergeCell ref="BV3:BW3"/>
    <mergeCell ref="BX3:BX4"/>
    <mergeCell ref="BV11:BW11"/>
    <mergeCell ref="BS3:BS4"/>
    <mergeCell ref="BP4:BQ4"/>
    <mergeCell ref="BP5:BP6"/>
    <mergeCell ref="BP7:BQ7"/>
    <mergeCell ref="BP8:BP9"/>
    <mergeCell ref="BP10:BQ10"/>
    <mergeCell ref="BI3:BI4"/>
    <mergeCell ref="BJ3:BK3"/>
    <mergeCell ref="BL3:BL4"/>
    <mergeCell ref="BJ11:BK11"/>
    <mergeCell ref="BM3:BM4"/>
    <mergeCell ref="BJ4:BK4"/>
    <mergeCell ref="BJ5:BJ6"/>
    <mergeCell ref="BJ7:BK7"/>
    <mergeCell ref="BJ8:BJ9"/>
    <mergeCell ref="BJ10:BK10"/>
    <mergeCell ref="BI5:BI11"/>
    <mergeCell ref="BC3:BC4"/>
    <mergeCell ref="BD3:BE3"/>
    <mergeCell ref="BF3:BF4"/>
    <mergeCell ref="BD11:BE11"/>
    <mergeCell ref="BG3:BG4"/>
    <mergeCell ref="BD4:BE4"/>
    <mergeCell ref="BD5:BD6"/>
    <mergeCell ref="BD7:BE7"/>
    <mergeCell ref="BD8:BD9"/>
    <mergeCell ref="BD10:BE10"/>
    <mergeCell ref="BC5:BC11"/>
    <mergeCell ref="AW3:AW4"/>
    <mergeCell ref="AX3:AY3"/>
    <mergeCell ref="AZ3:AZ4"/>
    <mergeCell ref="AX11:AY11"/>
    <mergeCell ref="BA3:BA4"/>
    <mergeCell ref="AX4:AY4"/>
    <mergeCell ref="AX5:AX6"/>
    <mergeCell ref="AX7:AY7"/>
    <mergeCell ref="AX8:AX9"/>
    <mergeCell ref="AX10:AY10"/>
    <mergeCell ref="AW5:AW11"/>
    <mergeCell ref="AQ3:AQ4"/>
    <mergeCell ref="AR3:AS3"/>
    <mergeCell ref="AT3:AT4"/>
    <mergeCell ref="AR11:AS11"/>
    <mergeCell ref="AU3:AU4"/>
    <mergeCell ref="AR4:AS4"/>
    <mergeCell ref="AR5:AR6"/>
    <mergeCell ref="AR7:AS7"/>
    <mergeCell ref="AR8:AR9"/>
    <mergeCell ref="AR10:AS10"/>
    <mergeCell ref="AQ5:AQ11"/>
    <mergeCell ref="AK3:AK4"/>
    <mergeCell ref="AL3:AM3"/>
    <mergeCell ref="AN3:AN4"/>
    <mergeCell ref="AL11:AM11"/>
    <mergeCell ref="AO3:AO4"/>
    <mergeCell ref="AL4:AM4"/>
    <mergeCell ref="AL5:AL6"/>
    <mergeCell ref="AL7:AM7"/>
    <mergeCell ref="AL8:AL9"/>
    <mergeCell ref="AL10:AM10"/>
    <mergeCell ref="AK5:AK11"/>
    <mergeCell ref="AF3:AG3"/>
    <mergeCell ref="AH3:AH4"/>
    <mergeCell ref="AF11:AG11"/>
    <mergeCell ref="AI3:AI4"/>
    <mergeCell ref="AF4:AG4"/>
    <mergeCell ref="AF5:AF6"/>
    <mergeCell ref="AF7:AG7"/>
    <mergeCell ref="AF8:AF9"/>
    <mergeCell ref="AF10:AG10"/>
    <mergeCell ref="Z11:AA11"/>
    <mergeCell ref="AC3:AC4"/>
    <mergeCell ref="Z4:AA4"/>
    <mergeCell ref="Z5:Z6"/>
    <mergeCell ref="Z7:AA7"/>
    <mergeCell ref="Z8:Z9"/>
    <mergeCell ref="Z10:AA10"/>
    <mergeCell ref="Y5:Y11"/>
    <mergeCell ref="AE3:AE4"/>
    <mergeCell ref="AE5:AE11"/>
    <mergeCell ref="N5:N6"/>
    <mergeCell ref="N7:O7"/>
    <mergeCell ref="N8:N9"/>
    <mergeCell ref="N10:O10"/>
    <mergeCell ref="Y3:Y4"/>
    <mergeCell ref="Z3:AA3"/>
    <mergeCell ref="AB3:AB4"/>
    <mergeCell ref="S3:S4"/>
    <mergeCell ref="T3:U3"/>
    <mergeCell ref="V3:V4"/>
    <mergeCell ref="T11:U11"/>
    <mergeCell ref="W3:W4"/>
    <mergeCell ref="T4:U4"/>
    <mergeCell ref="T5:T6"/>
    <mergeCell ref="T7:U7"/>
    <mergeCell ref="T8:T9"/>
    <mergeCell ref="T10:U10"/>
    <mergeCell ref="S5:S11"/>
    <mergeCell ref="H3:I3"/>
    <mergeCell ref="J3:J4"/>
    <mergeCell ref="H4:I4"/>
    <mergeCell ref="H5:H6"/>
    <mergeCell ref="H7:I7"/>
    <mergeCell ref="H8:H9"/>
    <mergeCell ref="H10:I10"/>
    <mergeCell ref="H11:I11"/>
    <mergeCell ref="P3:P4"/>
    <mergeCell ref="M5:M11"/>
    <mergeCell ref="M3:M4"/>
    <mergeCell ref="N3:O3"/>
    <mergeCell ref="N11:O11"/>
    <mergeCell ref="K3:K4"/>
    <mergeCell ref="Q3:Q4"/>
    <mergeCell ref="N4:O4"/>
    <mergeCell ref="E3:E4"/>
    <mergeCell ref="D3:D4"/>
    <mergeCell ref="G5:G11"/>
    <mergeCell ref="B10:C10"/>
    <mergeCell ref="A5:A11"/>
    <mergeCell ref="A3:A4"/>
    <mergeCell ref="B3:C3"/>
    <mergeCell ref="B4:C4"/>
    <mergeCell ref="B5:B6"/>
    <mergeCell ref="B11:C11"/>
    <mergeCell ref="B7:C7"/>
    <mergeCell ref="B8:B9"/>
    <mergeCell ref="G3:G4"/>
  </mergeCells>
  <phoneticPr fontId="13" type="noConversion"/>
  <printOptions horizontalCentered="1" verticalCentered="1"/>
  <pageMargins left="0.15748031496062992" right="0.19685039370078741" top="0.19685039370078741" bottom="0.19685039370078741" header="0.51181102362204722" footer="0.51181102362204722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الأشعة</vt:lpstr>
      <vt:lpstr>الإجمالي</vt:lpstr>
      <vt:lpstr>الأشعة!Print_Titles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2010-02-08T08:56:54Z</cp:lastPrinted>
  <dcterms:created xsi:type="dcterms:W3CDTF">2001-04-25T05:47:59Z</dcterms:created>
  <dcterms:modified xsi:type="dcterms:W3CDTF">2026-04-16T07:01:11Z</dcterms:modified>
</cp:coreProperties>
</file>