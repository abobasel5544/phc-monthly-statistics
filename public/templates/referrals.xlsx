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65" tabRatio="837"/>
  </bookViews>
  <sheets>
    <sheet name="الإحالات" sheetId="1" r:id="rId1"/>
    <sheet name="إجمالية" sheetId="2" r:id="rId2"/>
  </sheets>
  <definedNames>
    <definedName name="_xlnm.Print_Titles" localSheetId="0">الإحالات!$1:$4</definedName>
  </definedNames>
  <calcPr calcId="152511"/>
</workbook>
</file>

<file path=xl/calcChain.xml><?xml version="1.0" encoding="utf-8"?>
<calcChain xmlns="http://schemas.openxmlformats.org/spreadsheetml/2006/main">
  <c r="CK29" i="1" l="1"/>
  <c r="CI29" i="1"/>
  <c r="CH29" i="1"/>
  <c r="CG29" i="1"/>
  <c r="CJ28" i="1"/>
  <c r="CJ27" i="1"/>
  <c r="CJ26" i="1"/>
  <c r="CJ25" i="1"/>
  <c r="CK54" i="1"/>
  <c r="CI54" i="1"/>
  <c r="CH54" i="1"/>
  <c r="CG54" i="1"/>
  <c r="CJ53" i="1"/>
  <c r="CJ52" i="1"/>
  <c r="CJ51" i="1"/>
  <c r="CJ50" i="1"/>
  <c r="CJ54" i="1" s="1"/>
  <c r="CK49" i="1"/>
  <c r="CI49" i="1"/>
  <c r="CH49" i="1"/>
  <c r="CG49" i="1"/>
  <c r="CJ48" i="1"/>
  <c r="CJ47" i="1"/>
  <c r="CJ46" i="1"/>
  <c r="CJ45" i="1"/>
  <c r="CJ49" i="1" s="1"/>
  <c r="CK44" i="1"/>
  <c r="CI44" i="1"/>
  <c r="CH44" i="1"/>
  <c r="CG44" i="1"/>
  <c r="CJ43" i="1"/>
  <c r="CJ42" i="1"/>
  <c r="CJ41" i="1"/>
  <c r="CJ40" i="1"/>
  <c r="CK39" i="1"/>
  <c r="CI39" i="1"/>
  <c r="CH39" i="1"/>
  <c r="CG39" i="1"/>
  <c r="CJ38" i="1"/>
  <c r="CJ37" i="1"/>
  <c r="CJ36" i="1"/>
  <c r="CJ35" i="1"/>
  <c r="CK34" i="1"/>
  <c r="CI34" i="1"/>
  <c r="CH34" i="1"/>
  <c r="CG34" i="1"/>
  <c r="CJ33" i="1"/>
  <c r="CJ32" i="1"/>
  <c r="CJ31" i="1"/>
  <c r="CJ30" i="1"/>
  <c r="CK24" i="1"/>
  <c r="CI24" i="1"/>
  <c r="CH24" i="1"/>
  <c r="CG24" i="1"/>
  <c r="CJ23" i="1"/>
  <c r="CJ22" i="1"/>
  <c r="CJ21" i="1"/>
  <c r="CJ20" i="1"/>
  <c r="CK19" i="1"/>
  <c r="CI19" i="1"/>
  <c r="CH19" i="1"/>
  <c r="CG19" i="1"/>
  <c r="CJ18" i="1"/>
  <c r="CJ17" i="1"/>
  <c r="CJ16" i="1"/>
  <c r="CJ15" i="1"/>
  <c r="CK9" i="1"/>
  <c r="CI9" i="1"/>
  <c r="CH9" i="1"/>
  <c r="CG9" i="1"/>
  <c r="CJ8" i="1"/>
  <c r="CJ7" i="1"/>
  <c r="CJ6" i="1"/>
  <c r="CJ5" i="1"/>
  <c r="CJ44" i="1" l="1"/>
  <c r="CJ39" i="1"/>
  <c r="CJ34" i="1"/>
  <c r="CJ29" i="1"/>
  <c r="CJ24" i="1"/>
  <c r="CJ9" i="1"/>
  <c r="CB44" i="1"/>
  <c r="BZ44" i="1"/>
  <c r="BY44" i="1"/>
  <c r="BX44" i="1"/>
  <c r="CA43" i="1"/>
  <c r="CA42" i="1"/>
  <c r="CA41" i="1"/>
  <c r="CA44" i="1" s="1"/>
  <c r="CA40" i="1"/>
  <c r="CB39" i="1"/>
  <c r="BZ39" i="1"/>
  <c r="BY39" i="1"/>
  <c r="BX39" i="1"/>
  <c r="CA38" i="1"/>
  <c r="CA37" i="1"/>
  <c r="CA39" i="1" s="1"/>
  <c r="CA36" i="1"/>
  <c r="CA35" i="1"/>
  <c r="CB34" i="1"/>
  <c r="BZ34" i="1"/>
  <c r="BY34" i="1"/>
  <c r="BX34" i="1"/>
  <c r="CA33" i="1"/>
  <c r="CA34" i="1" s="1"/>
  <c r="CA32" i="1"/>
  <c r="CA31" i="1"/>
  <c r="CA30" i="1"/>
  <c r="CB24" i="1"/>
  <c r="BZ24" i="1"/>
  <c r="BY24" i="1"/>
  <c r="BX24" i="1"/>
  <c r="CA23" i="1"/>
  <c r="CA22" i="1"/>
  <c r="CA21" i="1"/>
  <c r="CA20" i="1"/>
  <c r="CA24" i="1" s="1"/>
  <c r="CB19" i="1"/>
  <c r="BZ19" i="1"/>
  <c r="BY19" i="1"/>
  <c r="BX19" i="1"/>
  <c r="CA18" i="1"/>
  <c r="CA17" i="1"/>
  <c r="CA16" i="1"/>
  <c r="CA15" i="1"/>
  <c r="CB14" i="1"/>
  <c r="BZ14" i="1"/>
  <c r="BY14" i="1"/>
  <c r="BX14" i="1"/>
  <c r="CA13" i="1"/>
  <c r="CA12" i="1"/>
  <c r="CA14" i="1" s="1"/>
  <c r="CA11" i="1"/>
  <c r="CA10" i="1"/>
  <c r="CB9" i="1"/>
  <c r="BZ9" i="1"/>
  <c r="BY9" i="1"/>
  <c r="BX9" i="1"/>
  <c r="CA8" i="1"/>
  <c r="CA7" i="1"/>
  <c r="CA6" i="1"/>
  <c r="CA5" i="1"/>
  <c r="CA9" i="1" s="1"/>
  <c r="BR63" i="1" l="1"/>
  <c r="BR62" i="1"/>
  <c r="BR61" i="1"/>
  <c r="BR60" i="1"/>
  <c r="BS59" i="1"/>
  <c r="BQ59" i="1"/>
  <c r="BP59" i="1"/>
  <c r="BO59" i="1"/>
  <c r="BR58" i="1"/>
  <c r="BR57" i="1"/>
  <c r="BR56" i="1"/>
  <c r="BR55" i="1"/>
  <c r="BR59" i="1" s="1"/>
  <c r="BS54" i="1"/>
  <c r="BQ54" i="1"/>
  <c r="BP54" i="1"/>
  <c r="BO54" i="1"/>
  <c r="BR53" i="1"/>
  <c r="BR52" i="1"/>
  <c r="BR51" i="1"/>
  <c r="BR50" i="1"/>
  <c r="BR54" i="1" s="1"/>
  <c r="BS49" i="1"/>
  <c r="BQ49" i="1"/>
  <c r="BP49" i="1"/>
  <c r="BO49" i="1"/>
  <c r="BR48" i="1"/>
  <c r="BR49" i="1" s="1"/>
  <c r="BR47" i="1"/>
  <c r="BR46" i="1"/>
  <c r="BR45" i="1"/>
  <c r="BS44" i="1"/>
  <c r="BQ44" i="1"/>
  <c r="BP44" i="1"/>
  <c r="BO44" i="1"/>
  <c r="BR43" i="1"/>
  <c r="BR42" i="1"/>
  <c r="BR41" i="1"/>
  <c r="BR40" i="1"/>
  <c r="BR44" i="1" s="1"/>
  <c r="BS39" i="1"/>
  <c r="BQ39" i="1"/>
  <c r="BP39" i="1"/>
  <c r="BO39" i="1"/>
  <c r="BR38" i="1"/>
  <c r="BR37" i="1"/>
  <c r="BR36" i="1"/>
  <c r="BR35" i="1"/>
  <c r="BR39" i="1" s="1"/>
  <c r="BS34" i="1"/>
  <c r="BQ34" i="1"/>
  <c r="BP34" i="1"/>
  <c r="BO34" i="1"/>
  <c r="BR33" i="1"/>
  <c r="BR32" i="1"/>
  <c r="BR31" i="1"/>
  <c r="BR30" i="1"/>
  <c r="BR34" i="1" s="1"/>
  <c r="BS29" i="1"/>
  <c r="BQ29" i="1"/>
  <c r="BP29" i="1"/>
  <c r="BO29" i="1"/>
  <c r="BR28" i="1"/>
  <c r="BR29" i="1" s="1"/>
  <c r="BR27" i="1"/>
  <c r="BR26" i="1"/>
  <c r="BR25" i="1"/>
  <c r="BS24" i="1"/>
  <c r="BR24" i="1"/>
  <c r="BQ24" i="1"/>
  <c r="BP24" i="1"/>
  <c r="BO24" i="1"/>
  <c r="BS19" i="1"/>
  <c r="BQ19" i="1"/>
  <c r="BP19" i="1"/>
  <c r="BO19" i="1"/>
  <c r="BR18" i="1"/>
  <c r="BR17" i="1"/>
  <c r="BR16" i="1"/>
  <c r="BR15" i="1"/>
  <c r="BR19" i="1" s="1"/>
  <c r="BS14" i="1"/>
  <c r="BR14" i="1"/>
  <c r="BQ14" i="1"/>
  <c r="BP14" i="1"/>
  <c r="BO14" i="1"/>
  <c r="BS9" i="1"/>
  <c r="BR9" i="1"/>
  <c r="BQ9" i="1"/>
  <c r="BP9" i="1"/>
  <c r="BO9" i="1"/>
  <c r="BR8" i="1"/>
  <c r="BR7" i="1"/>
  <c r="BR6" i="1"/>
  <c r="BR5" i="1"/>
  <c r="AY44" i="1" l="1"/>
  <c r="AX44" i="1"/>
  <c r="AW44" i="1"/>
  <c r="AY39" i="1"/>
  <c r="AX39" i="1"/>
  <c r="AW39" i="1"/>
  <c r="AY34" i="1"/>
  <c r="AX34" i="1"/>
  <c r="AW34" i="1"/>
  <c r="AY29" i="1"/>
  <c r="AX29" i="1"/>
  <c r="AW29" i="1"/>
  <c r="AY24" i="1"/>
  <c r="AX24" i="1"/>
  <c r="AW24" i="1"/>
  <c r="AY19" i="1"/>
  <c r="AX19" i="1"/>
  <c r="AW19" i="1"/>
  <c r="AY14" i="1"/>
  <c r="AX14" i="1"/>
  <c r="AW14" i="1"/>
  <c r="AY9" i="1"/>
  <c r="AX9" i="1"/>
  <c r="AW9" i="1"/>
  <c r="AH7" i="1" l="1"/>
  <c r="AG71" i="1"/>
  <c r="DC72" i="1"/>
  <c r="DA72" i="1"/>
  <c r="CZ72" i="1"/>
  <c r="CY72" i="1"/>
  <c r="DC71" i="1"/>
  <c r="DA71" i="1"/>
  <c r="CZ71" i="1"/>
  <c r="CY71" i="1"/>
  <c r="DC70" i="1"/>
  <c r="DA70" i="1"/>
  <c r="CZ70" i="1"/>
  <c r="CY70" i="1"/>
  <c r="DC69" i="1"/>
  <c r="DA69" i="1"/>
  <c r="CZ69" i="1"/>
  <c r="CZ73" i="1" s="1"/>
  <c r="CY69" i="1"/>
  <c r="DA66" i="1"/>
  <c r="CZ66" i="1"/>
  <c r="DC64" i="1"/>
  <c r="DA64" i="1"/>
  <c r="CZ64" i="1"/>
  <c r="CY64" i="1"/>
  <c r="DB63" i="1"/>
  <c r="DB62" i="1"/>
  <c r="DB61" i="1"/>
  <c r="DB60" i="1"/>
  <c r="DC59" i="1"/>
  <c r="DA59" i="1"/>
  <c r="CZ59" i="1"/>
  <c r="CY59" i="1"/>
  <c r="DB58" i="1"/>
  <c r="DB57" i="1"/>
  <c r="DB56" i="1"/>
  <c r="DB55" i="1"/>
  <c r="DC54" i="1"/>
  <c r="DA54" i="1"/>
  <c r="CZ54" i="1"/>
  <c r="CY54" i="1"/>
  <c r="DB53" i="1"/>
  <c r="DB52" i="1"/>
  <c r="DB51" i="1"/>
  <c r="DB50" i="1"/>
  <c r="DC49" i="1"/>
  <c r="DA49" i="1"/>
  <c r="CZ49" i="1"/>
  <c r="CY49" i="1"/>
  <c r="DB48" i="1"/>
  <c r="DB47" i="1"/>
  <c r="DB46" i="1"/>
  <c r="DB45" i="1"/>
  <c r="DC44" i="1"/>
  <c r="DA44" i="1"/>
  <c r="CZ44" i="1"/>
  <c r="CY44" i="1"/>
  <c r="DB43" i="1"/>
  <c r="DB42" i="1"/>
  <c r="DB41" i="1"/>
  <c r="DB40" i="1"/>
  <c r="DC39" i="1"/>
  <c r="DA39" i="1"/>
  <c r="CZ39" i="1"/>
  <c r="CY39" i="1"/>
  <c r="DB38" i="1"/>
  <c r="DB37" i="1"/>
  <c r="DB36" i="1"/>
  <c r="DB35" i="1"/>
  <c r="DC34" i="1"/>
  <c r="DA34" i="1"/>
  <c r="CZ34" i="1"/>
  <c r="CY34" i="1"/>
  <c r="DB33" i="1"/>
  <c r="DB32" i="1"/>
  <c r="DB31" i="1"/>
  <c r="DB30" i="1"/>
  <c r="DC29" i="1"/>
  <c r="DA29" i="1"/>
  <c r="CZ29" i="1"/>
  <c r="CY29" i="1"/>
  <c r="DB28" i="1"/>
  <c r="DB27" i="1"/>
  <c r="DB26" i="1"/>
  <c r="DB25" i="1"/>
  <c r="DC24" i="1"/>
  <c r="DA24" i="1"/>
  <c r="CZ24" i="1"/>
  <c r="CY24" i="1"/>
  <c r="DB23" i="1"/>
  <c r="DB22" i="1"/>
  <c r="DB21" i="1"/>
  <c r="DB20" i="1"/>
  <c r="DC19" i="1"/>
  <c r="DA19" i="1"/>
  <c r="CZ19" i="1"/>
  <c r="CY19" i="1"/>
  <c r="DB18" i="1"/>
  <c r="DB17" i="1"/>
  <c r="DB16" i="1"/>
  <c r="DB15" i="1"/>
  <c r="DC14" i="1"/>
  <c r="DA14" i="1"/>
  <c r="CZ14" i="1"/>
  <c r="CY14" i="1"/>
  <c r="DB13" i="1"/>
  <c r="DB12" i="1"/>
  <c r="DB11" i="1"/>
  <c r="DB10" i="1"/>
  <c r="DC9" i="1"/>
  <c r="DA9" i="1"/>
  <c r="CZ9" i="1"/>
  <c r="CY9" i="1"/>
  <c r="DB8" i="1"/>
  <c r="DB7" i="1"/>
  <c r="DB6" i="1"/>
  <c r="DB5" i="1"/>
  <c r="CT72" i="1"/>
  <c r="CR72" i="1"/>
  <c r="CQ72" i="1"/>
  <c r="CP72" i="1"/>
  <c r="CT71" i="1"/>
  <c r="CR71" i="1"/>
  <c r="CQ71" i="1"/>
  <c r="CP71" i="1"/>
  <c r="CT70" i="1"/>
  <c r="CR70" i="1"/>
  <c r="CQ70" i="1"/>
  <c r="CP70" i="1"/>
  <c r="CT69" i="1"/>
  <c r="CT73" i="1" s="1"/>
  <c r="CR69" i="1"/>
  <c r="CR73" i="1" s="1"/>
  <c r="CQ69" i="1"/>
  <c r="CQ73" i="1" s="1"/>
  <c r="CP69" i="1"/>
  <c r="CR66" i="1"/>
  <c r="CQ66" i="1"/>
  <c r="CT64" i="1"/>
  <c r="CR64" i="1"/>
  <c r="CQ64" i="1"/>
  <c r="CP64" i="1"/>
  <c r="CS63" i="1"/>
  <c r="CS62" i="1"/>
  <c r="CS61" i="1"/>
  <c r="CS60" i="1"/>
  <c r="CT59" i="1"/>
  <c r="CR59" i="1"/>
  <c r="CQ59" i="1"/>
  <c r="CP59" i="1"/>
  <c r="CS58" i="1"/>
  <c r="CS57" i="1"/>
  <c r="CS56" i="1"/>
  <c r="CS55" i="1"/>
  <c r="CT54" i="1"/>
  <c r="CR54" i="1"/>
  <c r="CQ54" i="1"/>
  <c r="CP54" i="1"/>
  <c r="CS53" i="1"/>
  <c r="CS52" i="1"/>
  <c r="CS51" i="1"/>
  <c r="CS50" i="1"/>
  <c r="CT49" i="1"/>
  <c r="CR49" i="1"/>
  <c r="CQ49" i="1"/>
  <c r="CP49" i="1"/>
  <c r="CS48" i="1"/>
  <c r="CS47" i="1"/>
  <c r="CS46" i="1"/>
  <c r="CS45" i="1"/>
  <c r="CT44" i="1"/>
  <c r="CR44" i="1"/>
  <c r="CQ44" i="1"/>
  <c r="CP44" i="1"/>
  <c r="CS43" i="1"/>
  <c r="CS42" i="1"/>
  <c r="CS41" i="1"/>
  <c r="CS40" i="1"/>
  <c r="CT39" i="1"/>
  <c r="CR39" i="1"/>
  <c r="CQ39" i="1"/>
  <c r="CP39" i="1"/>
  <c r="CS38" i="1"/>
  <c r="CS37" i="1"/>
  <c r="CS36" i="1"/>
  <c r="CS35" i="1"/>
  <c r="CT34" i="1"/>
  <c r="CR34" i="1"/>
  <c r="CQ34" i="1"/>
  <c r="CP34" i="1"/>
  <c r="CS33" i="1"/>
  <c r="CS32" i="1"/>
  <c r="CS31" i="1"/>
  <c r="CS30" i="1"/>
  <c r="CT29" i="1"/>
  <c r="CR29" i="1"/>
  <c r="CQ29" i="1"/>
  <c r="CP29" i="1"/>
  <c r="CS28" i="1"/>
  <c r="CS27" i="1"/>
  <c r="CS26" i="1"/>
  <c r="CS25" i="1"/>
  <c r="CT24" i="1"/>
  <c r="CR24" i="1"/>
  <c r="CQ24" i="1"/>
  <c r="CP24" i="1"/>
  <c r="CS23" i="1"/>
  <c r="CS22" i="1"/>
  <c r="CS21" i="1"/>
  <c r="CS20" i="1"/>
  <c r="CT19" i="1"/>
  <c r="CR19" i="1"/>
  <c r="CQ19" i="1"/>
  <c r="CP19" i="1"/>
  <c r="CS18" i="1"/>
  <c r="CS17" i="1"/>
  <c r="CS16" i="1"/>
  <c r="CS15" i="1"/>
  <c r="CT14" i="1"/>
  <c r="CR14" i="1"/>
  <c r="CQ14" i="1"/>
  <c r="CP14" i="1"/>
  <c r="CS13" i="1"/>
  <c r="CS12" i="1"/>
  <c r="CS11" i="1"/>
  <c r="CS10" i="1"/>
  <c r="CT9" i="1"/>
  <c r="CR9" i="1"/>
  <c r="CQ9" i="1"/>
  <c r="CP9" i="1"/>
  <c r="CS8" i="1"/>
  <c r="CS7" i="1"/>
  <c r="CS6" i="1"/>
  <c r="CS5" i="1"/>
  <c r="CK72" i="1"/>
  <c r="CI72" i="1"/>
  <c r="CH72" i="1"/>
  <c r="CG72" i="1"/>
  <c r="CK71" i="1"/>
  <c r="CI71" i="1"/>
  <c r="CH71" i="1"/>
  <c r="CG71" i="1"/>
  <c r="CK70" i="1"/>
  <c r="CI70" i="1"/>
  <c r="CH70" i="1"/>
  <c r="CG70" i="1"/>
  <c r="CK69" i="1"/>
  <c r="CI69" i="1"/>
  <c r="CH69" i="1"/>
  <c r="CH73" i="1" s="1"/>
  <c r="CG69" i="1"/>
  <c r="CI66" i="1"/>
  <c r="CH66" i="1"/>
  <c r="CK64" i="1"/>
  <c r="CI64" i="1"/>
  <c r="CH64" i="1"/>
  <c r="CG64" i="1"/>
  <c r="CJ63" i="1"/>
  <c r="CJ62" i="1"/>
  <c r="CJ61" i="1"/>
  <c r="CJ60" i="1"/>
  <c r="CK59" i="1"/>
  <c r="CI59" i="1"/>
  <c r="CH59" i="1"/>
  <c r="CG59" i="1"/>
  <c r="CJ58" i="1"/>
  <c r="CJ57" i="1"/>
  <c r="CJ56" i="1"/>
  <c r="CJ55" i="1"/>
  <c r="CB72" i="1"/>
  <c r="BZ72" i="1"/>
  <c r="BY72" i="1"/>
  <c r="BX72" i="1"/>
  <c r="CB71" i="1"/>
  <c r="BZ71" i="1"/>
  <c r="BY71" i="1"/>
  <c r="BX71" i="1"/>
  <c r="CB70" i="1"/>
  <c r="BZ70" i="1"/>
  <c r="BY70" i="1"/>
  <c r="BX70" i="1"/>
  <c r="CB69" i="1"/>
  <c r="CB73" i="1" s="1"/>
  <c r="BZ69" i="1"/>
  <c r="BY69" i="1"/>
  <c r="BX69" i="1"/>
  <c r="BZ66" i="1"/>
  <c r="BY66" i="1"/>
  <c r="CB64" i="1"/>
  <c r="BZ64" i="1"/>
  <c r="BY64" i="1"/>
  <c r="BX64" i="1"/>
  <c r="CA63" i="1"/>
  <c r="CA62" i="1"/>
  <c r="CA61" i="1"/>
  <c r="CA60" i="1"/>
  <c r="CB59" i="1"/>
  <c r="BZ59" i="1"/>
  <c r="BY59" i="1"/>
  <c r="BX59" i="1"/>
  <c r="CA58" i="1"/>
  <c r="CA57" i="1"/>
  <c r="CA56" i="1"/>
  <c r="CA55" i="1"/>
  <c r="CB54" i="1"/>
  <c r="BZ54" i="1"/>
  <c r="BY54" i="1"/>
  <c r="BX54" i="1"/>
  <c r="CA53" i="1"/>
  <c r="CA52" i="1"/>
  <c r="CA51" i="1"/>
  <c r="CA50" i="1"/>
  <c r="CB49" i="1"/>
  <c r="BZ49" i="1"/>
  <c r="BY49" i="1"/>
  <c r="BX49" i="1"/>
  <c r="CA48" i="1"/>
  <c r="CA47" i="1"/>
  <c r="CA46" i="1"/>
  <c r="CA45" i="1"/>
  <c r="CB29" i="1"/>
  <c r="BZ29" i="1"/>
  <c r="BY29" i="1"/>
  <c r="BX29" i="1"/>
  <c r="CA28" i="1"/>
  <c r="CA27" i="1"/>
  <c r="CA26" i="1"/>
  <c r="CA25" i="1"/>
  <c r="BS72" i="1"/>
  <c r="BQ72" i="1"/>
  <c r="BP72" i="1"/>
  <c r="BO72" i="1"/>
  <c r="BS71" i="1"/>
  <c r="BQ71" i="1"/>
  <c r="BP71" i="1"/>
  <c r="BO71" i="1"/>
  <c r="BS70" i="1"/>
  <c r="BQ70" i="1"/>
  <c r="BP70" i="1"/>
  <c r="BO70" i="1"/>
  <c r="BS69" i="1"/>
  <c r="BS73" i="1" s="1"/>
  <c r="BQ69" i="1"/>
  <c r="BQ73" i="1" s="1"/>
  <c r="BP69" i="1"/>
  <c r="BP73" i="1" s="1"/>
  <c r="BO69" i="1"/>
  <c r="BQ66" i="1"/>
  <c r="BP66" i="1"/>
  <c r="BS64" i="1"/>
  <c r="BQ64" i="1"/>
  <c r="BP64" i="1"/>
  <c r="BO64" i="1"/>
  <c r="BJ72" i="1"/>
  <c r="BH72" i="1"/>
  <c r="BG72" i="1"/>
  <c r="BF72" i="1"/>
  <c r="BJ71" i="1"/>
  <c r="BH71" i="1"/>
  <c r="BG71" i="1"/>
  <c r="BF71" i="1"/>
  <c r="BJ70" i="1"/>
  <c r="BH70" i="1"/>
  <c r="BG70" i="1"/>
  <c r="BF70" i="1"/>
  <c r="BJ69" i="1"/>
  <c r="BJ73" i="1" s="1"/>
  <c r="BH69" i="1"/>
  <c r="BH73" i="1" s="1"/>
  <c r="BG69" i="1"/>
  <c r="BG73" i="1" s="1"/>
  <c r="BF69" i="1"/>
  <c r="BF73" i="1" s="1"/>
  <c r="BH66" i="1"/>
  <c r="BG66" i="1"/>
  <c r="BJ64" i="1"/>
  <c r="BH64" i="1"/>
  <c r="BG64" i="1"/>
  <c r="BF64" i="1"/>
  <c r="BI63" i="1"/>
  <c r="BI62" i="1"/>
  <c r="BI61" i="1"/>
  <c r="BI60" i="1"/>
  <c r="BJ59" i="1"/>
  <c r="BH59" i="1"/>
  <c r="BG59" i="1"/>
  <c r="BF59" i="1"/>
  <c r="BJ54" i="1"/>
  <c r="BJ49" i="1"/>
  <c r="BJ44" i="1"/>
  <c r="BJ39" i="1"/>
  <c r="BJ34" i="1"/>
  <c r="BJ29" i="1"/>
  <c r="BJ24" i="1"/>
  <c r="BJ19" i="1"/>
  <c r="BJ14" i="1"/>
  <c r="BJ9" i="1"/>
  <c r="BA72" i="1"/>
  <c r="AY72" i="1"/>
  <c r="AX72" i="1"/>
  <c r="AW72" i="1"/>
  <c r="BA71" i="1"/>
  <c r="AY71" i="1"/>
  <c r="AX71" i="1"/>
  <c r="AW71" i="1"/>
  <c r="BA70" i="1"/>
  <c r="AY70" i="1"/>
  <c r="AX70" i="1"/>
  <c r="AW70" i="1"/>
  <c r="BA69" i="1"/>
  <c r="BA73" i="1" s="1"/>
  <c r="AY69" i="1"/>
  <c r="AX69" i="1"/>
  <c r="AX73" i="1" s="1"/>
  <c r="AW69" i="1"/>
  <c r="AW73" i="1" s="1"/>
  <c r="AY66" i="1"/>
  <c r="AX66" i="1"/>
  <c r="BA64" i="1"/>
  <c r="AY64" i="1"/>
  <c r="AX64" i="1"/>
  <c r="AW64" i="1"/>
  <c r="AZ63" i="1"/>
  <c r="AZ62" i="1"/>
  <c r="AZ61" i="1"/>
  <c r="AZ60" i="1"/>
  <c r="BA59" i="1"/>
  <c r="AY59" i="1"/>
  <c r="AX59" i="1"/>
  <c r="AW59" i="1"/>
  <c r="AZ58" i="1"/>
  <c r="AZ57" i="1"/>
  <c r="AZ56" i="1"/>
  <c r="AZ55" i="1"/>
  <c r="BA54" i="1"/>
  <c r="AY54" i="1"/>
  <c r="AX54" i="1"/>
  <c r="AW54" i="1"/>
  <c r="AZ53" i="1"/>
  <c r="AZ52" i="1"/>
  <c r="AZ51" i="1"/>
  <c r="AZ50" i="1"/>
  <c r="BA49" i="1"/>
  <c r="AY49" i="1"/>
  <c r="AX49" i="1"/>
  <c r="AW49" i="1"/>
  <c r="AZ48" i="1"/>
  <c r="AZ47" i="1"/>
  <c r="AZ46" i="1"/>
  <c r="AZ45" i="1"/>
  <c r="BA44" i="1"/>
  <c r="AZ43" i="1"/>
  <c r="AZ42" i="1"/>
  <c r="AZ41" i="1"/>
  <c r="AZ40" i="1"/>
  <c r="BA39" i="1"/>
  <c r="AZ38" i="1"/>
  <c r="AZ37" i="1"/>
  <c r="AZ36" i="1"/>
  <c r="AZ35" i="1"/>
  <c r="BA34" i="1"/>
  <c r="AZ33" i="1"/>
  <c r="AZ32" i="1"/>
  <c r="AZ31" i="1"/>
  <c r="AZ30" i="1"/>
  <c r="BA29" i="1"/>
  <c r="AZ28" i="1"/>
  <c r="AZ27" i="1"/>
  <c r="AZ26" i="1"/>
  <c r="AZ25" i="1"/>
  <c r="BA24" i="1"/>
  <c r="AZ23" i="1"/>
  <c r="AZ22" i="1"/>
  <c r="AZ21" i="1"/>
  <c r="AZ20" i="1"/>
  <c r="BA19" i="1"/>
  <c r="AZ18" i="1"/>
  <c r="AZ17" i="1"/>
  <c r="AZ16" i="1"/>
  <c r="AZ15" i="1"/>
  <c r="BA14" i="1"/>
  <c r="AZ13" i="1"/>
  <c r="AZ12" i="1"/>
  <c r="AZ11" i="1"/>
  <c r="AZ10" i="1"/>
  <c r="BA9" i="1"/>
  <c r="AZ8" i="1"/>
  <c r="AZ7" i="1"/>
  <c r="AZ6" i="1"/>
  <c r="AZ5" i="1"/>
  <c r="AR72" i="1"/>
  <c r="AP72" i="1"/>
  <c r="AO72" i="1"/>
  <c r="AN72" i="1"/>
  <c r="AR71" i="1"/>
  <c r="AP71" i="1"/>
  <c r="AO71" i="1"/>
  <c r="AN71" i="1"/>
  <c r="AR70" i="1"/>
  <c r="AP70" i="1"/>
  <c r="AO70" i="1"/>
  <c r="AN70" i="1"/>
  <c r="AR69" i="1"/>
  <c r="AR73" i="1" s="1"/>
  <c r="AP69" i="1"/>
  <c r="AP73" i="1" s="1"/>
  <c r="AO69" i="1"/>
  <c r="AN69" i="1"/>
  <c r="AP66" i="1"/>
  <c r="AO66" i="1"/>
  <c r="AR64" i="1"/>
  <c r="AP64" i="1"/>
  <c r="AO64" i="1"/>
  <c r="AN64" i="1"/>
  <c r="AQ63" i="1"/>
  <c r="AQ62" i="1"/>
  <c r="AQ61" i="1"/>
  <c r="AQ60" i="1"/>
  <c r="AR59" i="1"/>
  <c r="AP59" i="1"/>
  <c r="AO59" i="1"/>
  <c r="AN59" i="1"/>
  <c r="AQ58" i="1"/>
  <c r="AQ57" i="1"/>
  <c r="AQ56" i="1"/>
  <c r="AQ55" i="1"/>
  <c r="AR54" i="1"/>
  <c r="AP54" i="1"/>
  <c r="AO54" i="1"/>
  <c r="AN54" i="1"/>
  <c r="AQ53" i="1"/>
  <c r="AQ52" i="1"/>
  <c r="AQ51" i="1"/>
  <c r="AQ50" i="1"/>
  <c r="AR49" i="1"/>
  <c r="AP49" i="1"/>
  <c r="AO49" i="1"/>
  <c r="AN49" i="1"/>
  <c r="AQ48" i="1"/>
  <c r="AQ47" i="1"/>
  <c r="AQ46" i="1"/>
  <c r="AQ45" i="1"/>
  <c r="AR44" i="1"/>
  <c r="AP44" i="1"/>
  <c r="AO44" i="1"/>
  <c r="AN44" i="1"/>
  <c r="AQ43" i="1"/>
  <c r="AQ42" i="1"/>
  <c r="AQ41" i="1"/>
  <c r="AQ40" i="1"/>
  <c r="AR39" i="1"/>
  <c r="AP39" i="1"/>
  <c r="AO39" i="1"/>
  <c r="AN39" i="1"/>
  <c r="AQ38" i="1"/>
  <c r="AQ37" i="1"/>
  <c r="AQ36" i="1"/>
  <c r="AQ35" i="1"/>
  <c r="AR34" i="1"/>
  <c r="AP34" i="1"/>
  <c r="AO34" i="1"/>
  <c r="AN34" i="1"/>
  <c r="AQ33" i="1"/>
  <c r="AQ32" i="1"/>
  <c r="AQ31" i="1"/>
  <c r="AQ30" i="1"/>
  <c r="AR29" i="1"/>
  <c r="AP29" i="1"/>
  <c r="AO29" i="1"/>
  <c r="AN29" i="1"/>
  <c r="AQ28" i="1"/>
  <c r="AQ27" i="1"/>
  <c r="AQ26" i="1"/>
  <c r="AQ25" i="1"/>
  <c r="AR24" i="1"/>
  <c r="AP24" i="1"/>
  <c r="AO24" i="1"/>
  <c r="AN24" i="1"/>
  <c r="AQ23" i="1"/>
  <c r="AQ22" i="1"/>
  <c r="AQ21" i="1"/>
  <c r="AQ20" i="1"/>
  <c r="AR19" i="1"/>
  <c r="AP19" i="1"/>
  <c r="AO19" i="1"/>
  <c r="AN19" i="1"/>
  <c r="AQ18" i="1"/>
  <c r="AQ17" i="1"/>
  <c r="AQ16" i="1"/>
  <c r="AQ15" i="1"/>
  <c r="AR14" i="1"/>
  <c r="AP14" i="1"/>
  <c r="AO14" i="1"/>
  <c r="AN14" i="1"/>
  <c r="AQ13" i="1"/>
  <c r="AQ12" i="1"/>
  <c r="AQ11" i="1"/>
  <c r="AQ10" i="1"/>
  <c r="AR9" i="1"/>
  <c r="AP9" i="1"/>
  <c r="AO9" i="1"/>
  <c r="AN9" i="1"/>
  <c r="AQ8" i="1"/>
  <c r="AQ7" i="1"/>
  <c r="AQ6" i="1"/>
  <c r="AQ5" i="1"/>
  <c r="AI72" i="1"/>
  <c r="AG72" i="1"/>
  <c r="AF72" i="1"/>
  <c r="AE72" i="1"/>
  <c r="AH72" i="1" s="1"/>
  <c r="AI71" i="1"/>
  <c r="AE71" i="1"/>
  <c r="AI70" i="1"/>
  <c r="AG70" i="1"/>
  <c r="AF70" i="1"/>
  <c r="AE70" i="1"/>
  <c r="AI69" i="1"/>
  <c r="AI73" i="1" s="1"/>
  <c r="AG69" i="1"/>
  <c r="AF69" i="1"/>
  <c r="AE69" i="1"/>
  <c r="AG66" i="1"/>
  <c r="AF66" i="1"/>
  <c r="AI64" i="1"/>
  <c r="AG64" i="1"/>
  <c r="AF64" i="1"/>
  <c r="AE64" i="1"/>
  <c r="AH63" i="1"/>
  <c r="AH62" i="1"/>
  <c r="AH61" i="1"/>
  <c r="AH60" i="1"/>
  <c r="AI59" i="1"/>
  <c r="AG59" i="1"/>
  <c r="AF59" i="1"/>
  <c r="AE59" i="1"/>
  <c r="AH58" i="1"/>
  <c r="AH57" i="1"/>
  <c r="AH56" i="1"/>
  <c r="AH55" i="1"/>
  <c r="AI54" i="1"/>
  <c r="AG54" i="1"/>
  <c r="AF54" i="1"/>
  <c r="AE54" i="1"/>
  <c r="AH53" i="1"/>
  <c r="AH52" i="1"/>
  <c r="AH51" i="1"/>
  <c r="AH50" i="1"/>
  <c r="AI49" i="1"/>
  <c r="AG49" i="1"/>
  <c r="AF49" i="1"/>
  <c r="AE49" i="1"/>
  <c r="AH48" i="1"/>
  <c r="AH47" i="1"/>
  <c r="AH46" i="1"/>
  <c r="AH45" i="1"/>
  <c r="AI44" i="1"/>
  <c r="AG44" i="1"/>
  <c r="AF44" i="1"/>
  <c r="AE44" i="1"/>
  <c r="AH43" i="1"/>
  <c r="AH42" i="1"/>
  <c r="AH41" i="1"/>
  <c r="AH40" i="1"/>
  <c r="AI39" i="1"/>
  <c r="AH38" i="1"/>
  <c r="AH37" i="1"/>
  <c r="AH36" i="1"/>
  <c r="AH35" i="1"/>
  <c r="AI34" i="1"/>
  <c r="AH33" i="1"/>
  <c r="AH32" i="1"/>
  <c r="AH31" i="1"/>
  <c r="AH30" i="1"/>
  <c r="AI29" i="1"/>
  <c r="AH28" i="1"/>
  <c r="AH27" i="1"/>
  <c r="AH26" i="1"/>
  <c r="AH25" i="1"/>
  <c r="AI24" i="1"/>
  <c r="AH23" i="1"/>
  <c r="AH22" i="1"/>
  <c r="AH21" i="1"/>
  <c r="AH20" i="1"/>
  <c r="AI19" i="1"/>
  <c r="AH18" i="1"/>
  <c r="AH17" i="1"/>
  <c r="AH16" i="1"/>
  <c r="AH15" i="1"/>
  <c r="AI14" i="1"/>
  <c r="AH13" i="1"/>
  <c r="AH12" i="1"/>
  <c r="AH11" i="1"/>
  <c r="AH10" i="1"/>
  <c r="AI9" i="1"/>
  <c r="AH8" i="1"/>
  <c r="AH6" i="1"/>
  <c r="AH5" i="1"/>
  <c r="Z72" i="1"/>
  <c r="X72" i="1"/>
  <c r="W72" i="1"/>
  <c r="V72" i="1"/>
  <c r="Z71" i="1"/>
  <c r="X71" i="1"/>
  <c r="W71" i="1"/>
  <c r="V71" i="1"/>
  <c r="Z70" i="1"/>
  <c r="X70" i="1"/>
  <c r="W70" i="1"/>
  <c r="V70" i="1"/>
  <c r="Z69" i="1"/>
  <c r="Z73" i="1" s="1"/>
  <c r="X69" i="1"/>
  <c r="W69" i="1"/>
  <c r="V69" i="1"/>
  <c r="X66" i="1"/>
  <c r="W66" i="1"/>
  <c r="Z64" i="1"/>
  <c r="X64" i="1"/>
  <c r="W64" i="1"/>
  <c r="V64" i="1"/>
  <c r="Y63" i="1"/>
  <c r="Y62" i="1"/>
  <c r="Y61" i="1"/>
  <c r="Y60" i="1"/>
  <c r="Z59" i="1"/>
  <c r="X59" i="1"/>
  <c r="W59" i="1"/>
  <c r="V59" i="1"/>
  <c r="Y58" i="1"/>
  <c r="Y57" i="1"/>
  <c r="Y56" i="1"/>
  <c r="Y55" i="1"/>
  <c r="Z54" i="1"/>
  <c r="X54" i="1"/>
  <c r="W54" i="1"/>
  <c r="V54" i="1"/>
  <c r="Y53" i="1"/>
  <c r="Y52" i="1"/>
  <c r="Y51" i="1"/>
  <c r="Y50" i="1"/>
  <c r="Z49" i="1"/>
  <c r="X49" i="1"/>
  <c r="W49" i="1"/>
  <c r="V49" i="1"/>
  <c r="Y48" i="1"/>
  <c r="Y47" i="1"/>
  <c r="Y46" i="1"/>
  <c r="Y45" i="1"/>
  <c r="Z44" i="1"/>
  <c r="X44" i="1"/>
  <c r="W44" i="1"/>
  <c r="V44" i="1"/>
  <c r="Y43" i="1"/>
  <c r="Y42" i="1"/>
  <c r="Y41" i="1"/>
  <c r="Y40" i="1"/>
  <c r="Z39" i="1"/>
  <c r="Y38" i="1"/>
  <c r="Y37" i="1"/>
  <c r="Y36" i="1"/>
  <c r="Y35" i="1"/>
  <c r="Z34" i="1"/>
  <c r="Y33" i="1"/>
  <c r="Y32" i="1"/>
  <c r="Y31" i="1"/>
  <c r="Y30" i="1"/>
  <c r="Z29" i="1"/>
  <c r="Y28" i="1"/>
  <c r="Y27" i="1"/>
  <c r="Y26" i="1"/>
  <c r="Y25" i="1"/>
  <c r="Z24" i="1"/>
  <c r="Y23" i="1"/>
  <c r="Y22" i="1"/>
  <c r="Y21" i="1"/>
  <c r="Y20" i="1"/>
  <c r="Z19" i="1"/>
  <c r="Y18" i="1"/>
  <c r="Y17" i="1"/>
  <c r="Y16" i="1"/>
  <c r="Y15" i="1"/>
  <c r="Z14" i="1"/>
  <c r="Y13" i="1"/>
  <c r="Y12" i="1"/>
  <c r="Y11" i="1"/>
  <c r="Y10" i="1"/>
  <c r="Z9" i="1"/>
  <c r="Y8" i="1"/>
  <c r="Y7" i="1"/>
  <c r="Y6" i="1"/>
  <c r="Y5" i="1"/>
  <c r="Q72" i="1"/>
  <c r="O72" i="1"/>
  <c r="N72" i="1"/>
  <c r="M72" i="1"/>
  <c r="Q71" i="1"/>
  <c r="O71" i="1"/>
  <c r="N71" i="1"/>
  <c r="M71" i="1"/>
  <c r="Q70" i="1"/>
  <c r="O70" i="1"/>
  <c r="N70" i="1"/>
  <c r="M70" i="1"/>
  <c r="Q69" i="1"/>
  <c r="Q73" i="1" s="1"/>
  <c r="O69" i="1"/>
  <c r="O73" i="1" s="1"/>
  <c r="N69" i="1"/>
  <c r="N73" i="1" s="1"/>
  <c r="M69" i="1"/>
  <c r="O66" i="1"/>
  <c r="N66" i="1"/>
  <c r="Q64" i="1"/>
  <c r="O64" i="1"/>
  <c r="N64" i="1"/>
  <c r="M64" i="1"/>
  <c r="P63" i="1"/>
  <c r="P62" i="1"/>
  <c r="P61" i="1"/>
  <c r="P60" i="1"/>
  <c r="Q59" i="1"/>
  <c r="O59" i="1"/>
  <c r="N59" i="1"/>
  <c r="M59" i="1"/>
  <c r="P58" i="1"/>
  <c r="P57" i="1"/>
  <c r="P56" i="1"/>
  <c r="P55" i="1"/>
  <c r="Q54" i="1"/>
  <c r="O54" i="1"/>
  <c r="N54" i="1"/>
  <c r="M54" i="1"/>
  <c r="P53" i="1"/>
  <c r="P52" i="1"/>
  <c r="P51" i="1"/>
  <c r="P50" i="1"/>
  <c r="Q49" i="1"/>
  <c r="O49" i="1"/>
  <c r="N49" i="1"/>
  <c r="M49" i="1"/>
  <c r="P48" i="1"/>
  <c r="P47" i="1"/>
  <c r="P46" i="1"/>
  <c r="P45" i="1"/>
  <c r="Q44" i="1"/>
  <c r="O44" i="1"/>
  <c r="N44" i="1"/>
  <c r="M44" i="1"/>
  <c r="P43" i="1"/>
  <c r="P42" i="1"/>
  <c r="P41" i="1"/>
  <c r="P40" i="1"/>
  <c r="Q39" i="1"/>
  <c r="O39" i="1"/>
  <c r="N39" i="1"/>
  <c r="M39" i="1"/>
  <c r="Q34" i="1"/>
  <c r="O34" i="1"/>
  <c r="N34" i="1"/>
  <c r="M34" i="1"/>
  <c r="P33" i="1"/>
  <c r="P32" i="1"/>
  <c r="P31" i="1"/>
  <c r="P30" i="1"/>
  <c r="Q29" i="1"/>
  <c r="O29" i="1"/>
  <c r="N29" i="1"/>
  <c r="M29" i="1"/>
  <c r="P28" i="1"/>
  <c r="P27" i="1"/>
  <c r="P26" i="1"/>
  <c r="P25" i="1"/>
  <c r="Q24" i="1"/>
  <c r="O24" i="1"/>
  <c r="N24" i="1"/>
  <c r="M24" i="1"/>
  <c r="P23" i="1"/>
  <c r="P22" i="1"/>
  <c r="P21" i="1"/>
  <c r="P20" i="1"/>
  <c r="Q19" i="1"/>
  <c r="O19" i="1"/>
  <c r="N19" i="1"/>
  <c r="M19" i="1"/>
  <c r="P18" i="1"/>
  <c r="P17" i="1"/>
  <c r="P16" i="1"/>
  <c r="P15" i="1"/>
  <c r="Q14" i="1"/>
  <c r="O14" i="1"/>
  <c r="N14" i="1"/>
  <c r="M14" i="1"/>
  <c r="Q9" i="1"/>
  <c r="H70" i="1"/>
  <c r="H71" i="1"/>
  <c r="H72" i="1"/>
  <c r="H69" i="1"/>
  <c r="D70" i="1"/>
  <c r="E70" i="1"/>
  <c r="F70" i="1"/>
  <c r="D71" i="1"/>
  <c r="E71" i="1"/>
  <c r="F71" i="1"/>
  <c r="D72" i="1"/>
  <c r="E72" i="1"/>
  <c r="F72" i="1"/>
  <c r="E69" i="1"/>
  <c r="F69" i="1"/>
  <c r="D69" i="1"/>
  <c r="G63" i="1"/>
  <c r="G62" i="1"/>
  <c r="G61" i="1"/>
  <c r="G60" i="1"/>
  <c r="G58" i="1"/>
  <c r="G57" i="1"/>
  <c r="G56" i="1"/>
  <c r="G55" i="1"/>
  <c r="G53" i="1"/>
  <c r="G52" i="1"/>
  <c r="G51" i="1"/>
  <c r="G50" i="1"/>
  <c r="G48" i="1"/>
  <c r="G47" i="1"/>
  <c r="G46" i="1"/>
  <c r="G45" i="1"/>
  <c r="G43" i="1"/>
  <c r="G42" i="1"/>
  <c r="G41" i="1"/>
  <c r="G40" i="1"/>
  <c r="G38" i="1"/>
  <c r="G37" i="1"/>
  <c r="G36" i="1"/>
  <c r="G35" i="1"/>
  <c r="G28" i="1"/>
  <c r="G27" i="1"/>
  <c r="G26" i="1"/>
  <c r="G25" i="1"/>
  <c r="G23" i="1"/>
  <c r="G22" i="1"/>
  <c r="G21" i="1"/>
  <c r="G20" i="1"/>
  <c r="G18" i="1"/>
  <c r="G17" i="1"/>
  <c r="G16" i="1"/>
  <c r="G15" i="1"/>
  <c r="G13" i="1"/>
  <c r="G12" i="1"/>
  <c r="G11" i="1"/>
  <c r="G10" i="1"/>
  <c r="CG73" i="1" l="1"/>
  <c r="CK73" i="1"/>
  <c r="BX73" i="1"/>
  <c r="BR70" i="1"/>
  <c r="BR71" i="1"/>
  <c r="CJ70" i="1"/>
  <c r="CJ71" i="1"/>
  <c r="CJ72" i="1"/>
  <c r="DA73" i="1"/>
  <c r="AY73" i="1"/>
  <c r="AO73" i="1"/>
  <c r="AF71" i="1"/>
  <c r="AF73" i="1" s="1"/>
  <c r="AH71" i="1"/>
  <c r="AE73" i="1"/>
  <c r="Y44" i="1"/>
  <c r="Y49" i="1"/>
  <c r="Y54" i="1"/>
  <c r="Y64" i="1"/>
  <c r="CS9" i="1"/>
  <c r="CS14" i="1"/>
  <c r="DB70" i="1"/>
  <c r="DB71" i="1"/>
  <c r="DB72" i="1"/>
  <c r="Y24" i="1"/>
  <c r="P70" i="1"/>
  <c r="P71" i="1"/>
  <c r="P72" i="1"/>
  <c r="DC73" i="1"/>
  <c r="X73" i="1"/>
  <c r="Y9" i="1"/>
  <c r="Y29" i="1"/>
  <c r="Y14" i="1"/>
  <c r="Y34" i="1"/>
  <c r="P59" i="1"/>
  <c r="CJ59" i="1"/>
  <c r="P19" i="1"/>
  <c r="P24" i="1"/>
  <c r="P29" i="1"/>
  <c r="P34" i="1"/>
  <c r="P39" i="1"/>
  <c r="AQ69" i="1"/>
  <c r="AQ70" i="1"/>
  <c r="AQ71" i="1"/>
  <c r="AQ72" i="1"/>
  <c r="AZ9" i="1"/>
  <c r="AZ14" i="1"/>
  <c r="AZ24" i="1"/>
  <c r="AZ29" i="1"/>
  <c r="AZ34" i="1"/>
  <c r="AZ44" i="1"/>
  <c r="AZ49" i="1"/>
  <c r="AZ54" i="1"/>
  <c r="AZ64" i="1"/>
  <c r="BI70" i="1"/>
  <c r="BI71" i="1"/>
  <c r="BI72" i="1"/>
  <c r="CS69" i="1"/>
  <c r="CS70" i="1"/>
  <c r="CS71" i="1"/>
  <c r="CS72" i="1"/>
  <c r="DB9" i="1"/>
  <c r="DB14" i="1"/>
  <c r="DB24" i="1"/>
  <c r="DB29" i="1"/>
  <c r="DB34" i="1"/>
  <c r="DB44" i="1"/>
  <c r="DB49" i="1"/>
  <c r="DB54" i="1"/>
  <c r="AQ19" i="1"/>
  <c r="AQ39" i="1"/>
  <c r="AQ59" i="1"/>
  <c r="CS39" i="1"/>
  <c r="CS59" i="1"/>
  <c r="P14" i="1"/>
  <c r="M73" i="1"/>
  <c r="Y59" i="1"/>
  <c r="Y70" i="1"/>
  <c r="Y72" i="1"/>
  <c r="AH14" i="1"/>
  <c r="AH24" i="1"/>
  <c r="AH29" i="1"/>
  <c r="AH34" i="1"/>
  <c r="AH54" i="1"/>
  <c r="P69" i="1"/>
  <c r="V73" i="1"/>
  <c r="AH19" i="1"/>
  <c r="AH39" i="1"/>
  <c r="AH59" i="1"/>
  <c r="AZ70" i="1"/>
  <c r="AZ71" i="1"/>
  <c r="AZ72" i="1"/>
  <c r="BI64" i="1"/>
  <c r="BO73" i="1"/>
  <c r="CA59" i="1"/>
  <c r="BY73" i="1"/>
  <c r="CA70" i="1"/>
  <c r="CA71" i="1"/>
  <c r="CA72" i="1"/>
  <c r="CJ64" i="1"/>
  <c r="CI73" i="1"/>
  <c r="CY73" i="1"/>
  <c r="P44" i="1"/>
  <c r="P49" i="1"/>
  <c r="P54" i="1"/>
  <c r="P64" i="1"/>
  <c r="Y69" i="1"/>
  <c r="AH70" i="1"/>
  <c r="AQ9" i="1"/>
  <c r="AQ14" i="1"/>
  <c r="AQ24" i="1"/>
  <c r="AQ29" i="1"/>
  <c r="AQ34" i="1"/>
  <c r="AQ44" i="1"/>
  <c r="AQ49" i="1"/>
  <c r="AQ54" i="1"/>
  <c r="AQ64" i="1"/>
  <c r="BR69" i="1"/>
  <c r="CS24" i="1"/>
  <c r="CS29" i="1"/>
  <c r="CS34" i="1"/>
  <c r="CS44" i="1"/>
  <c r="CS49" i="1"/>
  <c r="CS54" i="1"/>
  <c r="CS64" i="1"/>
  <c r="DB69" i="1"/>
  <c r="BR64" i="1"/>
  <c r="CA69" i="1"/>
  <c r="DB64" i="1"/>
  <c r="Y19" i="1"/>
  <c r="Y39" i="1"/>
  <c r="W73" i="1"/>
  <c r="Y71" i="1"/>
  <c r="AH9" i="1"/>
  <c r="AH44" i="1"/>
  <c r="AH49" i="1"/>
  <c r="AH64" i="1"/>
  <c r="AG73" i="1"/>
  <c r="AN73" i="1"/>
  <c r="AZ19" i="1"/>
  <c r="AZ39" i="1"/>
  <c r="AZ59" i="1"/>
  <c r="BI59" i="1"/>
  <c r="BR72" i="1"/>
  <c r="CA29" i="1"/>
  <c r="CA49" i="1"/>
  <c r="CA54" i="1"/>
  <c r="CA64" i="1"/>
  <c r="BZ73" i="1"/>
  <c r="CJ69" i="1"/>
  <c r="CS19" i="1"/>
  <c r="CP73" i="1"/>
  <c r="DB19" i="1"/>
  <c r="DB39" i="1"/>
  <c r="DB59" i="1"/>
  <c r="BI69" i="1"/>
  <c r="AZ69" i="1"/>
  <c r="AH69" i="1"/>
  <c r="DE10" i="1"/>
  <c r="DE15" i="1"/>
  <c r="DE20" i="1"/>
  <c r="DE25" i="1"/>
  <c r="DE30" i="1"/>
  <c r="DE35" i="1"/>
  <c r="DE40" i="1"/>
  <c r="DE45" i="1"/>
  <c r="DE50" i="1"/>
  <c r="DE55" i="1"/>
  <c r="DE60" i="1"/>
  <c r="DE5" i="1"/>
  <c r="CJ73" i="1" l="1"/>
  <c r="AH73" i="1"/>
  <c r="CA73" i="1"/>
  <c r="BI73" i="1"/>
  <c r="P73" i="1"/>
  <c r="DB73" i="1"/>
  <c r="AQ73" i="1"/>
  <c r="CS73" i="1"/>
  <c r="BR73" i="1"/>
  <c r="AZ73" i="1"/>
  <c r="Y73" i="1"/>
  <c r="H9" i="1"/>
  <c r="H14" i="1"/>
  <c r="H19" i="1"/>
  <c r="H24" i="1"/>
  <c r="H29" i="1"/>
  <c r="H34" i="1"/>
  <c r="H39" i="1"/>
  <c r="H44" i="1"/>
  <c r="H49" i="1"/>
  <c r="H54" i="1"/>
  <c r="H59" i="1"/>
  <c r="H64" i="1"/>
  <c r="H73" i="1" l="1"/>
  <c r="G33" i="1"/>
  <c r="G32" i="1"/>
  <c r="G31" i="1"/>
  <c r="G30" i="1"/>
  <c r="DC8" i="2" l="1"/>
  <c r="CY8" i="2"/>
  <c r="DC7" i="2"/>
  <c r="DC6" i="2"/>
  <c r="DA2" i="2"/>
  <c r="CT8" i="2"/>
  <c r="CT7" i="2"/>
  <c r="CR2" i="2"/>
  <c r="CI2" i="2"/>
  <c r="BZ2" i="2"/>
  <c r="BQ2" i="2"/>
  <c r="BH2" i="2"/>
  <c r="AY2" i="2"/>
  <c r="AP2" i="2"/>
  <c r="AG2" i="2"/>
  <c r="X2" i="2"/>
  <c r="O2" i="2"/>
  <c r="DA8" i="2"/>
  <c r="DA7" i="2"/>
  <c r="CZ7" i="2"/>
  <c r="CY7" i="2"/>
  <c r="DA6" i="2"/>
  <c r="CY6" i="2"/>
  <c r="CR8" i="2"/>
  <c r="CP8" i="2"/>
  <c r="CR7" i="2"/>
  <c r="CQ7" i="2"/>
  <c r="CP7" i="2"/>
  <c r="CT6" i="2"/>
  <c r="CR6" i="2"/>
  <c r="CQ6" i="2"/>
  <c r="CP6" i="2"/>
  <c r="CK8" i="2"/>
  <c r="CI8" i="2"/>
  <c r="CH8" i="2"/>
  <c r="CG8" i="2"/>
  <c r="CK7" i="2"/>
  <c r="CI7" i="2"/>
  <c r="CH7" i="2"/>
  <c r="CG7" i="2"/>
  <c r="CK6" i="2"/>
  <c r="CI6" i="2"/>
  <c r="CH6" i="2"/>
  <c r="CG6" i="2"/>
  <c r="CB8" i="2"/>
  <c r="BZ8" i="2"/>
  <c r="BX8" i="2"/>
  <c r="CB7" i="2"/>
  <c r="BZ7" i="2"/>
  <c r="BY7" i="2"/>
  <c r="BX7" i="2"/>
  <c r="CB6" i="2"/>
  <c r="BZ6" i="2"/>
  <c r="BX6" i="2"/>
  <c r="BX5" i="2"/>
  <c r="BS8" i="2"/>
  <c r="BQ8" i="2"/>
  <c r="BP8" i="2"/>
  <c r="BO8" i="2"/>
  <c r="BS7" i="2"/>
  <c r="BQ7" i="2"/>
  <c r="BP7" i="2"/>
  <c r="BO7" i="2"/>
  <c r="BS6" i="2"/>
  <c r="BQ6" i="2"/>
  <c r="BP6" i="2"/>
  <c r="BJ8" i="2"/>
  <c r="BH8" i="2"/>
  <c r="BG8" i="2"/>
  <c r="BF8" i="2"/>
  <c r="BJ7" i="2"/>
  <c r="BH7" i="2"/>
  <c r="BG7" i="2"/>
  <c r="BF7" i="2"/>
  <c r="BJ6" i="2"/>
  <c r="BH6" i="2"/>
  <c r="BG6" i="2"/>
  <c r="BA8" i="2"/>
  <c r="AY8" i="2"/>
  <c r="AW8" i="2"/>
  <c r="BA7" i="2"/>
  <c r="AY7" i="2"/>
  <c r="AX7" i="2"/>
  <c r="AW7" i="2"/>
  <c r="BA6" i="2"/>
  <c r="AY6" i="2"/>
  <c r="AX6" i="2"/>
  <c r="AW6" i="2"/>
  <c r="AR8" i="2"/>
  <c r="AP8" i="2"/>
  <c r="AO8" i="2"/>
  <c r="AN8" i="2"/>
  <c r="AR7" i="2"/>
  <c r="AP7" i="2"/>
  <c r="AO7" i="2"/>
  <c r="AN7" i="2"/>
  <c r="AR6" i="2"/>
  <c r="AP6" i="2"/>
  <c r="AN6" i="2"/>
  <c r="AI8" i="2"/>
  <c r="AG8" i="2"/>
  <c r="AF8" i="2"/>
  <c r="AE8" i="2"/>
  <c r="AI7" i="2"/>
  <c r="AG7" i="2"/>
  <c r="AF7" i="2"/>
  <c r="AE7" i="2"/>
  <c r="AI6" i="2"/>
  <c r="AG6" i="2"/>
  <c r="AF6" i="2"/>
  <c r="AE6" i="2"/>
  <c r="Z8" i="2"/>
  <c r="X8" i="2"/>
  <c r="V8" i="2"/>
  <c r="Z7" i="2"/>
  <c r="X7" i="2"/>
  <c r="W7" i="2"/>
  <c r="Z6" i="2"/>
  <c r="X6" i="2"/>
  <c r="W6" i="2"/>
  <c r="Q8" i="2"/>
  <c r="O8" i="2"/>
  <c r="N8" i="2"/>
  <c r="M8" i="2"/>
  <c r="Q7" i="2"/>
  <c r="O7" i="2"/>
  <c r="N7" i="2"/>
  <c r="M7" i="2"/>
  <c r="Q6" i="2"/>
  <c r="O6" i="2"/>
  <c r="N6" i="2"/>
  <c r="M6" i="2"/>
  <c r="CT5" i="2" l="1"/>
  <c r="CY5" i="2"/>
  <c r="CY9" i="2" s="1"/>
  <c r="CZ8" i="2"/>
  <c r="DB7" i="2"/>
  <c r="DC5" i="2"/>
  <c r="CZ6" i="2"/>
  <c r="DB6" i="2" s="1"/>
  <c r="CZ5" i="2"/>
  <c r="DA5" i="2"/>
  <c r="DA9" i="2" s="1"/>
  <c r="CS7" i="2"/>
  <c r="CP5" i="2"/>
  <c r="CP9" i="2" s="1"/>
  <c r="CQ8" i="2"/>
  <c r="CR5" i="2"/>
  <c r="CR9" i="2" s="1"/>
  <c r="CQ5" i="2"/>
  <c r="CB5" i="2"/>
  <c r="CB9" i="2" s="1"/>
  <c r="BS5" i="2"/>
  <c r="BS9" i="2" s="1"/>
  <c r="BJ5" i="2"/>
  <c r="BA5" i="2"/>
  <c r="BA9" i="2" s="1"/>
  <c r="AR5" i="2"/>
  <c r="Z5" i="2"/>
  <c r="Z9" i="2" s="1"/>
  <c r="Q5" i="2"/>
  <c r="Q9" i="2" s="1"/>
  <c r="CK5" i="2"/>
  <c r="CK9" i="2" s="1"/>
  <c r="CJ8" i="2"/>
  <c r="CJ7" i="2"/>
  <c r="CI5" i="2"/>
  <c r="CH5" i="2"/>
  <c r="CH9" i="2" s="1"/>
  <c r="CG5" i="2"/>
  <c r="CG9" i="2" s="1"/>
  <c r="CA7" i="2"/>
  <c r="BY8" i="2"/>
  <c r="BY6" i="2"/>
  <c r="BZ5" i="2"/>
  <c r="BY5" i="2"/>
  <c r="BR8" i="2"/>
  <c r="BR7" i="2"/>
  <c r="BO6" i="2"/>
  <c r="BQ5" i="2"/>
  <c r="BQ9" i="2" s="1"/>
  <c r="BP5" i="2"/>
  <c r="BP9" i="2" s="1"/>
  <c r="BO5" i="2"/>
  <c r="BF5" i="2"/>
  <c r="BI8" i="2"/>
  <c r="BI7" i="2"/>
  <c r="BF6" i="2"/>
  <c r="BH5" i="2"/>
  <c r="BH9" i="2" s="1"/>
  <c r="BG5" i="2"/>
  <c r="BG9" i="2" s="1"/>
  <c r="AZ7" i="2"/>
  <c r="AW5" i="2"/>
  <c r="AX8" i="2"/>
  <c r="AY5" i="2"/>
  <c r="AY9" i="2" s="1"/>
  <c r="AX5" i="2"/>
  <c r="AO5" i="2"/>
  <c r="AQ8" i="2"/>
  <c r="AQ7" i="2"/>
  <c r="AO6" i="2"/>
  <c r="AP5" i="2"/>
  <c r="AP9" i="2" s="1"/>
  <c r="AN5" i="2"/>
  <c r="AN9" i="2" s="1"/>
  <c r="AI5" i="2"/>
  <c r="AE5" i="2"/>
  <c r="AE9" i="2" s="1"/>
  <c r="AF5" i="2"/>
  <c r="AH8" i="2"/>
  <c r="AH7" i="2"/>
  <c r="AG5" i="2"/>
  <c r="AG9" i="2" s="1"/>
  <c r="M5" i="2"/>
  <c r="M9" i="2" s="1"/>
  <c r="P8" i="2"/>
  <c r="P7" i="2"/>
  <c r="O5" i="2"/>
  <c r="N5" i="2"/>
  <c r="X5" i="2"/>
  <c r="W8" i="2"/>
  <c r="W5" i="2"/>
  <c r="V5" i="2"/>
  <c r="V6" i="2"/>
  <c r="V7" i="2"/>
  <c r="CS6" i="2"/>
  <c r="CJ6" i="2"/>
  <c r="BX9" i="2"/>
  <c r="AZ6" i="2"/>
  <c r="AR9" i="2"/>
  <c r="AH6" i="2"/>
  <c r="P6" i="2"/>
  <c r="BO9" i="2" l="1"/>
  <c r="DC9" i="2"/>
  <c r="CT9" i="2"/>
  <c r="BJ9" i="2"/>
  <c r="AI9" i="2"/>
  <c r="CZ9" i="2"/>
  <c r="DB8" i="2"/>
  <c r="DB5" i="2"/>
  <c r="CQ9" i="2"/>
  <c r="CS5" i="2"/>
  <c r="CS8" i="2"/>
  <c r="BR6" i="2"/>
  <c r="BR5" i="2"/>
  <c r="BI6" i="2"/>
  <c r="BF9" i="2"/>
  <c r="AH5" i="2"/>
  <c r="AH9" i="2" s="1"/>
  <c r="AF9" i="2"/>
  <c r="AX9" i="2"/>
  <c r="AO9" i="2"/>
  <c r="AQ6" i="2"/>
  <c r="CJ5" i="2"/>
  <c r="CJ9" i="2" s="1"/>
  <c r="CI9" i="2"/>
  <c r="BY9" i="2"/>
  <c r="CA6" i="2"/>
  <c r="BZ9" i="2"/>
  <c r="CA8" i="2"/>
  <c r="CA5" i="2"/>
  <c r="BI5" i="2"/>
  <c r="AZ5" i="2"/>
  <c r="AW9" i="2"/>
  <c r="AZ8" i="2"/>
  <c r="AQ5" i="2"/>
  <c r="Y6" i="2"/>
  <c r="X9" i="2"/>
  <c r="V9" i="2"/>
  <c r="O9" i="2"/>
  <c r="N9" i="2"/>
  <c r="P5" i="2"/>
  <c r="P9" i="2" s="1"/>
  <c r="Y7" i="2"/>
  <c r="W9" i="2"/>
  <c r="Y8" i="2"/>
  <c r="Y5" i="2"/>
  <c r="AQ9" i="2" l="1"/>
  <c r="BI9" i="2"/>
  <c r="DB9" i="2"/>
  <c r="CS9" i="2"/>
  <c r="BR9" i="2"/>
  <c r="AZ9" i="2"/>
  <c r="CA9" i="2"/>
  <c r="Y9" i="2"/>
  <c r="E66" i="1"/>
  <c r="F66" i="1"/>
  <c r="DI66" i="1"/>
  <c r="DE69" i="1"/>
  <c r="F64" i="1"/>
  <c r="E64" i="1"/>
  <c r="D64" i="1"/>
  <c r="DL63" i="1"/>
  <c r="DJ63" i="1"/>
  <c r="DI63" i="1"/>
  <c r="DH63" i="1"/>
  <c r="DL62" i="1"/>
  <c r="DJ62" i="1"/>
  <c r="DI62" i="1"/>
  <c r="DH62" i="1"/>
  <c r="DL61" i="1"/>
  <c r="DJ61" i="1"/>
  <c r="DI61" i="1"/>
  <c r="DH61" i="1"/>
  <c r="DL60" i="1"/>
  <c r="DJ60" i="1"/>
  <c r="DI60" i="1"/>
  <c r="DH60" i="1"/>
  <c r="F59" i="1"/>
  <c r="E59" i="1"/>
  <c r="D59" i="1"/>
  <c r="DL58" i="1"/>
  <c r="DJ58" i="1"/>
  <c r="DI58" i="1"/>
  <c r="DH58" i="1"/>
  <c r="DL57" i="1"/>
  <c r="DJ57" i="1"/>
  <c r="DI57" i="1"/>
  <c r="DH57" i="1"/>
  <c r="DL56" i="1"/>
  <c r="DJ56" i="1"/>
  <c r="DI56" i="1"/>
  <c r="DH56" i="1"/>
  <c r="DL55" i="1"/>
  <c r="DJ55" i="1"/>
  <c r="DI55" i="1"/>
  <c r="DH55" i="1"/>
  <c r="F29" i="1"/>
  <c r="G64" i="1" l="1"/>
  <c r="G59" i="1"/>
  <c r="G69" i="1"/>
  <c r="DL64" i="1"/>
  <c r="DL59" i="1"/>
  <c r="DJ64" i="1"/>
  <c r="DJ59" i="1"/>
  <c r="DK62" i="1"/>
  <c r="DK57" i="1"/>
  <c r="DI64" i="1"/>
  <c r="DK63" i="1"/>
  <c r="DK60" i="1"/>
  <c r="DH64" i="1"/>
  <c r="DI59" i="1"/>
  <c r="DK58" i="1"/>
  <c r="DK61" i="1"/>
  <c r="DK55" i="1"/>
  <c r="DK56" i="1"/>
  <c r="DH59" i="1"/>
  <c r="DK64" i="1" l="1"/>
  <c r="DK59" i="1"/>
  <c r="F54" i="1"/>
  <c r="E54" i="1"/>
  <c r="D54" i="1"/>
  <c r="DL53" i="1"/>
  <c r="DJ53" i="1"/>
  <c r="DI53" i="1"/>
  <c r="DH53" i="1"/>
  <c r="DL52" i="1"/>
  <c r="DJ52" i="1"/>
  <c r="DI52" i="1"/>
  <c r="DH52" i="1"/>
  <c r="DL51" i="1"/>
  <c r="DJ51" i="1"/>
  <c r="DI51" i="1"/>
  <c r="DH51" i="1"/>
  <c r="DL50" i="1"/>
  <c r="DJ50" i="1"/>
  <c r="DI50" i="1"/>
  <c r="DH50" i="1"/>
  <c r="F49" i="1"/>
  <c r="E49" i="1"/>
  <c r="D49" i="1"/>
  <c r="DL48" i="1"/>
  <c r="DJ48" i="1"/>
  <c r="DI48" i="1"/>
  <c r="DH48" i="1"/>
  <c r="DL47" i="1"/>
  <c r="DJ47" i="1"/>
  <c r="DI47" i="1"/>
  <c r="DH47" i="1"/>
  <c r="DL46" i="1"/>
  <c r="DJ46" i="1"/>
  <c r="DI46" i="1"/>
  <c r="DH46" i="1"/>
  <c r="DL45" i="1"/>
  <c r="DJ45" i="1"/>
  <c r="DI45" i="1"/>
  <c r="DH45" i="1"/>
  <c r="F44" i="1"/>
  <c r="E44" i="1"/>
  <c r="D44" i="1"/>
  <c r="DL43" i="1"/>
  <c r="DJ43" i="1"/>
  <c r="DI43" i="1"/>
  <c r="DH43" i="1"/>
  <c r="DL42" i="1"/>
  <c r="DJ42" i="1"/>
  <c r="DI42" i="1"/>
  <c r="DH42" i="1"/>
  <c r="DL41" i="1"/>
  <c r="DJ41" i="1"/>
  <c r="DI41" i="1"/>
  <c r="DH41" i="1"/>
  <c r="DL40" i="1"/>
  <c r="DJ40" i="1"/>
  <c r="DI40" i="1"/>
  <c r="DH40" i="1"/>
  <c r="F39" i="1"/>
  <c r="E39" i="1"/>
  <c r="D39" i="1"/>
  <c r="DL38" i="1"/>
  <c r="DJ38" i="1"/>
  <c r="DI38" i="1"/>
  <c r="DH38" i="1"/>
  <c r="DL37" i="1"/>
  <c r="DJ37" i="1"/>
  <c r="DI37" i="1"/>
  <c r="DH37" i="1"/>
  <c r="DL36" i="1"/>
  <c r="DJ36" i="1"/>
  <c r="DI36" i="1"/>
  <c r="DH36" i="1"/>
  <c r="DL35" i="1"/>
  <c r="DJ35" i="1"/>
  <c r="DI35" i="1"/>
  <c r="DH35" i="1"/>
  <c r="F34" i="1"/>
  <c r="E34" i="1"/>
  <c r="D34" i="1"/>
  <c r="DL33" i="1"/>
  <c r="DJ33" i="1"/>
  <c r="DI33" i="1"/>
  <c r="DH33" i="1"/>
  <c r="DL32" i="1"/>
  <c r="DJ32" i="1"/>
  <c r="DI32" i="1"/>
  <c r="DH32" i="1"/>
  <c r="DL31" i="1"/>
  <c r="DJ31" i="1"/>
  <c r="DI31" i="1"/>
  <c r="DH31" i="1"/>
  <c r="DL30" i="1"/>
  <c r="DJ30" i="1"/>
  <c r="DI30" i="1"/>
  <c r="DH30" i="1"/>
  <c r="E29" i="1"/>
  <c r="D29" i="1"/>
  <c r="DL28" i="1"/>
  <c r="DJ28" i="1"/>
  <c r="DI28" i="1"/>
  <c r="DH28" i="1"/>
  <c r="DL27" i="1"/>
  <c r="DJ27" i="1"/>
  <c r="DI27" i="1"/>
  <c r="DH27" i="1"/>
  <c r="DL26" i="1"/>
  <c r="DJ26" i="1"/>
  <c r="DI26" i="1"/>
  <c r="DH26" i="1"/>
  <c r="DL25" i="1"/>
  <c r="DJ25" i="1"/>
  <c r="DI25" i="1"/>
  <c r="DH25" i="1"/>
  <c r="F24" i="1"/>
  <c r="E24" i="1"/>
  <c r="D24" i="1"/>
  <c r="DL23" i="1"/>
  <c r="DJ23" i="1"/>
  <c r="DI23" i="1"/>
  <c r="DH23" i="1"/>
  <c r="DL22" i="1"/>
  <c r="DJ22" i="1"/>
  <c r="DI22" i="1"/>
  <c r="DH22" i="1"/>
  <c r="DL21" i="1"/>
  <c r="DJ21" i="1"/>
  <c r="DI21" i="1"/>
  <c r="DH21" i="1"/>
  <c r="DL20" i="1"/>
  <c r="DJ20" i="1"/>
  <c r="DI20" i="1"/>
  <c r="DH20" i="1"/>
  <c r="F19" i="1"/>
  <c r="E19" i="1"/>
  <c r="D19" i="1"/>
  <c r="DL18" i="1"/>
  <c r="DJ18" i="1"/>
  <c r="DI18" i="1"/>
  <c r="DH18" i="1"/>
  <c r="DL17" i="1"/>
  <c r="DJ17" i="1"/>
  <c r="DI17" i="1"/>
  <c r="DH17" i="1"/>
  <c r="DL16" i="1"/>
  <c r="DJ16" i="1"/>
  <c r="DI16" i="1"/>
  <c r="DH16" i="1"/>
  <c r="DL15" i="1"/>
  <c r="DJ15" i="1"/>
  <c r="DI15" i="1"/>
  <c r="DH15" i="1"/>
  <c r="F14" i="1"/>
  <c r="E14" i="1"/>
  <c r="D14" i="1"/>
  <c r="DL13" i="1"/>
  <c r="DJ13" i="1"/>
  <c r="DI13" i="1"/>
  <c r="DH13" i="1"/>
  <c r="DL12" i="1"/>
  <c r="DJ12" i="1"/>
  <c r="DI12" i="1"/>
  <c r="DH12" i="1"/>
  <c r="DL11" i="1"/>
  <c r="DJ11" i="1"/>
  <c r="DI11" i="1"/>
  <c r="DH11" i="1"/>
  <c r="DL10" i="1"/>
  <c r="DJ10" i="1"/>
  <c r="DI10" i="1"/>
  <c r="DH10" i="1"/>
  <c r="DL8" i="1"/>
  <c r="DJ8" i="1"/>
  <c r="DI8" i="1"/>
  <c r="DH8" i="1"/>
  <c r="G8" i="1"/>
  <c r="DL7" i="1"/>
  <c r="DJ7" i="1"/>
  <c r="DI7" i="1"/>
  <c r="DH7" i="1"/>
  <c r="G7" i="1"/>
  <c r="DL6" i="1"/>
  <c r="DJ6" i="1"/>
  <c r="DI6" i="1"/>
  <c r="DH6" i="1"/>
  <c r="G6" i="1"/>
  <c r="DL5" i="1"/>
  <c r="DJ5" i="1"/>
  <c r="DI5" i="1"/>
  <c r="DH5" i="1"/>
  <c r="G5" i="1"/>
  <c r="DL69" i="1" l="1"/>
  <c r="DL71" i="1"/>
  <c r="DL70" i="1"/>
  <c r="DL72" i="1"/>
  <c r="DI71" i="1"/>
  <c r="DH72" i="1"/>
  <c r="DJ70" i="1"/>
  <c r="DJ71" i="1"/>
  <c r="DJ72" i="1"/>
  <c r="DI72" i="1"/>
  <c r="DI69" i="1"/>
  <c r="DH70" i="1"/>
  <c r="DH69" i="1"/>
  <c r="DJ69" i="1"/>
  <c r="DI70" i="1"/>
  <c r="DH71" i="1"/>
  <c r="DL14" i="1"/>
  <c r="DI24" i="1"/>
  <c r="DH29" i="1"/>
  <c r="DH34" i="1"/>
  <c r="DL39" i="1"/>
  <c r="DJ44" i="1"/>
  <c r="DI49" i="1"/>
  <c r="DH54" i="1"/>
  <c r="DH14" i="1"/>
  <c r="DL19" i="1"/>
  <c r="DJ24" i="1"/>
  <c r="DI14" i="1"/>
  <c r="DH19" i="1"/>
  <c r="DL24" i="1"/>
  <c r="DJ34" i="1"/>
  <c r="DI39" i="1"/>
  <c r="DH44" i="1"/>
  <c r="DL49" i="1"/>
  <c r="DJ54" i="1"/>
  <c r="DI29" i="1"/>
  <c r="DH39" i="1"/>
  <c r="DL44" i="1"/>
  <c r="DI54" i="1"/>
  <c r="DJ14" i="1"/>
  <c r="DI19" i="1"/>
  <c r="DH24" i="1"/>
  <c r="DL29" i="1"/>
  <c r="DL34" i="1"/>
  <c r="DJ39" i="1"/>
  <c r="DI44" i="1"/>
  <c r="DH49" i="1"/>
  <c r="DL54" i="1"/>
  <c r="DK7" i="1"/>
  <c r="DK12" i="1"/>
  <c r="DK13" i="1"/>
  <c r="DK8" i="1"/>
  <c r="DK52" i="1"/>
  <c r="DK53" i="1"/>
  <c r="DI34" i="1"/>
  <c r="DJ29" i="1"/>
  <c r="DL9" i="1"/>
  <c r="DK17" i="1"/>
  <c r="DK38" i="1"/>
  <c r="DK18" i="1"/>
  <c r="DK36" i="1"/>
  <c r="DK37" i="1"/>
  <c r="DJ19" i="1"/>
  <c r="DK16" i="1"/>
  <c r="DK43" i="1"/>
  <c r="DK42" i="1"/>
  <c r="DK11" i="1"/>
  <c r="G14" i="1"/>
  <c r="DK27" i="1"/>
  <c r="DK28" i="1"/>
  <c r="DK22" i="1"/>
  <c r="G54" i="1"/>
  <c r="DK51" i="1"/>
  <c r="DK48" i="1"/>
  <c r="DK47" i="1"/>
  <c r="DJ49" i="1"/>
  <c r="G49" i="1"/>
  <c r="DK46" i="1"/>
  <c r="DK41" i="1"/>
  <c r="G44" i="1"/>
  <c r="G39" i="1"/>
  <c r="DK33" i="1"/>
  <c r="DK32" i="1"/>
  <c r="DK31" i="1"/>
  <c r="G34" i="1"/>
  <c r="DK26" i="1"/>
  <c r="G29" i="1"/>
  <c r="G24" i="1"/>
  <c r="DK23" i="1"/>
  <c r="DK21" i="1"/>
  <c r="G19" i="1"/>
  <c r="DJ9" i="1"/>
  <c r="G9" i="1"/>
  <c r="DI9" i="1"/>
  <c r="DK50" i="1"/>
  <c r="DK45" i="1"/>
  <c r="DK40" i="1"/>
  <c r="DK35" i="1"/>
  <c r="DK30" i="1"/>
  <c r="DK25" i="1"/>
  <c r="DK20" i="1"/>
  <c r="DK15" i="1"/>
  <c r="DK10" i="1"/>
  <c r="DK6" i="1"/>
  <c r="DK5" i="1"/>
  <c r="DH9" i="1"/>
  <c r="DK9" i="1" l="1"/>
  <c r="DK54" i="1"/>
  <c r="DK49" i="1"/>
  <c r="DK44" i="1"/>
  <c r="DK39" i="1"/>
  <c r="DK34" i="1"/>
  <c r="DK29" i="1"/>
  <c r="DK24" i="1"/>
  <c r="DK19" i="1"/>
  <c r="DK14" i="1"/>
  <c r="H8" i="2" l="1"/>
  <c r="F8" i="2"/>
  <c r="E8" i="2"/>
  <c r="H7" i="2"/>
  <c r="F7" i="2"/>
  <c r="E7" i="2"/>
  <c r="H6" i="2"/>
  <c r="F6" i="2"/>
  <c r="E6" i="2"/>
  <c r="D6" i="2"/>
  <c r="D5" i="2"/>
  <c r="DJ5" i="2" l="1"/>
  <c r="DJ7" i="2"/>
  <c r="DJ8" i="2"/>
  <c r="DJ6" i="2"/>
  <c r="DI8" i="2"/>
  <c r="DI6" i="2"/>
  <c r="DH6" i="2"/>
  <c r="DL7" i="2"/>
  <c r="DH7" i="2"/>
  <c r="DL5" i="2"/>
  <c r="DL6" i="2"/>
  <c r="DL8" i="2"/>
  <c r="DH5" i="2"/>
  <c r="G72" i="1"/>
  <c r="G71" i="1"/>
  <c r="D8" i="2"/>
  <c r="D7" i="2"/>
  <c r="H5" i="2"/>
  <c r="D73" i="1"/>
  <c r="F73" i="1"/>
  <c r="F5" i="2"/>
  <c r="E73" i="1"/>
  <c r="G70" i="1"/>
  <c r="E5" i="2"/>
  <c r="DK72" i="1" l="1"/>
  <c r="DH8" i="2"/>
  <c r="DK69" i="1"/>
  <c r="DI5" i="2"/>
  <c r="DK71" i="1"/>
  <c r="DI7" i="2"/>
  <c r="DK7" i="2" s="1"/>
  <c r="DK70" i="1"/>
  <c r="DL9" i="2"/>
  <c r="DK6" i="2"/>
  <c r="DJ9" i="2"/>
  <c r="DL73" i="1"/>
  <c r="DJ73" i="1"/>
  <c r="DI73" i="1"/>
  <c r="G73" i="1"/>
  <c r="DH73" i="1"/>
  <c r="DK8" i="2" l="1"/>
  <c r="DH9" i="2"/>
  <c r="DI9" i="2"/>
  <c r="DK5" i="2"/>
  <c r="DK73" i="1"/>
  <c r="DK9" i="2" l="1"/>
  <c r="DJ2" i="1"/>
  <c r="DJ66" i="1" l="1"/>
  <c r="DJ2" i="2"/>
  <c r="F2" i="2" l="1"/>
  <c r="H9" i="2" l="1"/>
  <c r="E9" i="2"/>
  <c r="G7" i="2"/>
  <c r="G5" i="2"/>
  <c r="G8" i="2"/>
  <c r="D9" i="2"/>
  <c r="F9" i="2"/>
  <c r="G6" i="2"/>
  <c r="G9" i="2" l="1"/>
</calcChain>
</file>

<file path=xl/sharedStrings.xml><?xml version="1.0" encoding="utf-8"?>
<sst xmlns="http://schemas.openxmlformats.org/spreadsheetml/2006/main" count="2084" uniqueCount="30">
  <si>
    <t>الإحالات والردود الراجعة</t>
  </si>
  <si>
    <t>شهر</t>
  </si>
  <si>
    <t>نوع الإحالات</t>
  </si>
  <si>
    <t>المجموع</t>
  </si>
  <si>
    <t>الردود</t>
  </si>
  <si>
    <t>الجنسية</t>
  </si>
  <si>
    <t>الجنس</t>
  </si>
  <si>
    <t>إسعافات أولية</t>
  </si>
  <si>
    <t>طارئة</t>
  </si>
  <si>
    <t>عادية</t>
  </si>
  <si>
    <t>الراجعة</t>
  </si>
  <si>
    <t>ذكر</t>
  </si>
  <si>
    <t>سعودي</t>
  </si>
  <si>
    <t>أنثى</t>
  </si>
  <si>
    <t>غير</t>
  </si>
  <si>
    <t>مراكز</t>
  </si>
  <si>
    <t>عام</t>
  </si>
  <si>
    <t>هـ</t>
  </si>
  <si>
    <t>محمد الزهراني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</si>
  <si>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</si>
  <si>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</si>
  <si>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</si>
  <si>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</si>
  <si>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</si>
  <si>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</si>
  <si>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</si>
  <si>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مراكز شرق جدة</t>
  </si>
  <si>
    <t>إجمالي مراكز شرق جدة</t>
  </si>
  <si>
    <t>ادارة الاحصاء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</si>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</sst>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7" x14ac:knownFonts="1">
    <font>
      <sz val="10"/>
      <name val="Arial"/>
      <charset val="178"/>
    </font>
    <font>
      <b/>
      <sz val="12"/>
      <color indexed="8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10"/>
      <name val="Arial"/>
      <family val="2"/>
      <charset val="178"/>
    </font>
    <font>
      <b/>
      <sz val="10"/>
      <name val="Arial"/>
      <family val="2"/>
      <charset val="178"/>
    </font>
    <font>
      <b/>
      <sz val="10"/>
      <color indexed="10"/>
      <name val="Arial"/>
      <family val="2"/>
      <charset val="178"/>
    </font>
    <font>
      <b/>
      <sz val="13"/>
      <color indexed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b/>
      <sz val="12"/>
      <color theme="1"/>
      <name val="Arial"/>
    </font>
    <font>
      <b/>
      <sz val="12"/>
      <color rgb="FFFF0000"/>
      <name val="Arial"/>
    </font>
    <font>
      <b/>
      <sz val="12"/>
      <color rgb="FF0000FF"/>
      <name val="Arial"/>
    </font>
    <font>
      <b/>
      <sz val="12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CCFFFF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5" fillId="0" borderId="1" xfId="0" applyFont="1" applyBorder="1" applyAlignment="1">
      <alignment readingOrder="2"/>
    </xf>
    <xf numFmtId="0" fontId="5" fillId="0" borderId="2" xfId="0" applyFont="1" applyBorder="1" applyAlignment="1">
      <alignment readingOrder="2"/>
    </xf>
    <xf numFmtId="0" fontId="5" fillId="0" borderId="3" xfId="0" applyFont="1" applyBorder="1" applyAlignment="1">
      <alignment readingOrder="2"/>
    </xf>
    <xf numFmtId="0" fontId="3" fillId="2" borderId="4" xfId="0" applyFont="1" applyFill="1" applyBorder="1" applyAlignment="1">
      <alignment readingOrder="2"/>
    </xf>
    <xf numFmtId="0" fontId="5" fillId="0" borderId="4" xfId="0" applyFont="1" applyBorder="1" applyAlignment="1">
      <alignment readingOrder="2"/>
    </xf>
    <xf numFmtId="0" fontId="5" fillId="0" borderId="5" xfId="0" applyFont="1" applyBorder="1" applyAlignment="1">
      <alignment readingOrder="2"/>
    </xf>
    <xf numFmtId="0" fontId="5" fillId="0" borderId="6" xfId="0" applyFont="1" applyBorder="1" applyAlignment="1">
      <alignment readingOrder="2"/>
    </xf>
    <xf numFmtId="0" fontId="5" fillId="0" borderId="7" xfId="0" applyFont="1" applyBorder="1" applyAlignment="1">
      <alignment readingOrder="2"/>
    </xf>
    <xf numFmtId="0" fontId="3" fillId="2" borderId="8" xfId="0" applyFont="1" applyFill="1" applyBorder="1" applyAlignment="1">
      <alignment readingOrder="2"/>
    </xf>
    <xf numFmtId="0" fontId="5" fillId="0" borderId="8" xfId="0" applyFont="1" applyBorder="1" applyAlignment="1">
      <alignment readingOrder="2"/>
    </xf>
    <xf numFmtId="0" fontId="3" fillId="2" borderId="9" xfId="0" applyFont="1" applyFill="1" applyBorder="1" applyAlignment="1">
      <alignment readingOrder="2"/>
    </xf>
    <xf numFmtId="0" fontId="3" fillId="2" borderId="10" xfId="0" applyFont="1" applyFill="1" applyBorder="1" applyAlignment="1">
      <alignment readingOrder="2"/>
    </xf>
    <xf numFmtId="0" fontId="3" fillId="2" borderId="11" xfId="0" applyFont="1" applyFill="1" applyBorder="1" applyAlignment="1">
      <alignment readingOrder="2"/>
    </xf>
    <xf numFmtId="0" fontId="6" fillId="2" borderId="12" xfId="0" applyFont="1" applyFill="1" applyBorder="1" applyAlignment="1">
      <alignment readingOrder="2"/>
    </xf>
    <xf numFmtId="0" fontId="3" fillId="2" borderId="12" xfId="0" applyFont="1" applyFill="1" applyBorder="1" applyAlignment="1">
      <alignment readingOrder="2"/>
    </xf>
    <xf numFmtId="0" fontId="4" fillId="0" borderId="0" xfId="0" applyFont="1" applyAlignment="1">
      <alignment readingOrder="2"/>
    </xf>
    <xf numFmtId="0" fontId="4" fillId="3" borderId="0" xfId="0" applyFont="1" applyFill="1" applyAlignment="1">
      <alignment readingOrder="2"/>
    </xf>
    <xf numFmtId="0" fontId="5" fillId="4" borderId="13" xfId="0" applyFont="1" applyFill="1" applyBorder="1" applyAlignment="1">
      <alignment horizontal="center" readingOrder="2"/>
    </xf>
    <xf numFmtId="0" fontId="5" fillId="4" borderId="12" xfId="0" applyFont="1" applyFill="1" applyBorder="1" applyAlignment="1">
      <alignment horizontal="center" readingOrder="2"/>
    </xf>
    <xf numFmtId="0" fontId="5" fillId="0" borderId="15" xfId="0" applyFont="1" applyBorder="1" applyAlignment="1">
      <alignment readingOrder="2"/>
    </xf>
    <xf numFmtId="0" fontId="5" fillId="0" borderId="17" xfId="0" applyFont="1" applyBorder="1" applyAlignment="1">
      <alignment readingOrder="2"/>
    </xf>
    <xf numFmtId="0" fontId="3" fillId="2" borderId="18" xfId="0" applyFont="1" applyFill="1" applyBorder="1" applyAlignment="1">
      <alignment readingOrder="2"/>
    </xf>
    <xf numFmtId="0" fontId="3" fillId="2" borderId="19" xfId="0" applyFont="1" applyFill="1" applyBorder="1" applyAlignment="1">
      <alignment readingOrder="2"/>
    </xf>
    <xf numFmtId="0" fontId="3" fillId="2" borderId="20" xfId="0" applyFont="1" applyFill="1" applyBorder="1" applyAlignment="1">
      <alignment readingOrder="2"/>
    </xf>
    <xf numFmtId="0" fontId="6" fillId="2" borderId="21" xfId="0" applyFont="1" applyFill="1" applyBorder="1" applyAlignment="1">
      <alignment readingOrder="2"/>
    </xf>
    <xf numFmtId="0" fontId="3" fillId="2" borderId="21" xfId="0" applyFont="1" applyFill="1" applyBorder="1" applyAlignment="1">
      <alignment readingOrder="2"/>
    </xf>
    <xf numFmtId="0" fontId="5" fillId="0" borderId="14" xfId="0" applyFont="1" applyBorder="1" applyAlignment="1">
      <alignment horizontal="center" readingOrder="2"/>
    </xf>
    <xf numFmtId="0" fontId="5" fillId="0" borderId="16" xfId="0" applyFont="1" applyBorder="1" applyAlignment="1">
      <alignment horizontal="center" readingOrder="2"/>
    </xf>
    <xf numFmtId="0" fontId="5" fillId="0" borderId="4" xfId="0" applyFont="1" applyBorder="1" applyAlignment="1">
      <alignment horizontal="center" readingOrder="2"/>
    </xf>
    <xf numFmtId="0" fontId="5" fillId="0" borderId="8" xfId="0" applyFont="1" applyBorder="1" applyAlignment="1">
      <alignment horizontal="center" readingOrder="2"/>
    </xf>
    <xf numFmtId="0" fontId="4" fillId="2" borderId="0" xfId="0" applyFont="1" applyFill="1" applyAlignment="1">
      <alignment readingOrder="2"/>
    </xf>
    <xf numFmtId="0" fontId="5" fillId="0" borderId="0" xfId="0" applyFont="1" applyAlignment="1">
      <alignment readingOrder="2"/>
    </xf>
    <xf numFmtId="0" fontId="5" fillId="0" borderId="22" xfId="0" applyFont="1" applyBorder="1" applyAlignment="1">
      <alignment horizontal="center" readingOrder="2"/>
    </xf>
    <xf numFmtId="0" fontId="5" fillId="0" borderId="23" xfId="0" applyFont="1" applyBorder="1" applyAlignment="1">
      <alignment horizontal="center" readingOrder="2"/>
    </xf>
    <xf numFmtId="0" fontId="5" fillId="0" borderId="24" xfId="0" applyFont="1" applyBorder="1" applyAlignment="1">
      <alignment horizontal="center" readingOrder="2"/>
    </xf>
    <xf numFmtId="0" fontId="5" fillId="4" borderId="25" xfId="0" applyFont="1" applyFill="1" applyBorder="1" applyAlignment="1">
      <alignment horizontal="center" readingOrder="2"/>
    </xf>
    <xf numFmtId="0" fontId="7" fillId="0" borderId="1" xfId="0" applyFont="1" applyBorder="1" applyAlignment="1">
      <alignment readingOrder="2"/>
    </xf>
    <xf numFmtId="0" fontId="4" fillId="0" borderId="0" xfId="0" applyFont="1" applyAlignment="1" applyProtection="1">
      <alignment readingOrder="2"/>
      <protection hidden="1"/>
    </xf>
    <xf numFmtId="0" fontId="5" fillId="0" borderId="23" xfId="0" applyFont="1" applyBorder="1" applyAlignment="1">
      <alignment horizontal="center" vertical="center" readingOrder="2"/>
    </xf>
    <xf numFmtId="0" fontId="4" fillId="5" borderId="0" xfId="0" applyFont="1" applyFill="1" applyAlignment="1">
      <alignment readingOrder="2"/>
    </xf>
    <xf numFmtId="0" fontId="5" fillId="0" borderId="22" xfId="0" applyFont="1" applyBorder="1" applyAlignment="1">
      <alignment horizontal="center" vertical="center" readingOrder="2"/>
    </xf>
    <xf numFmtId="0" fontId="5" fillId="0" borderId="30" xfId="0" applyFont="1" applyBorder="1" applyAlignment="1">
      <alignment horizontal="center" vertical="center" readingOrder="2"/>
    </xf>
    <xf numFmtId="0" fontId="9" fillId="4" borderId="0" xfId="0" applyFont="1" applyFill="1" applyAlignment="1">
      <alignment readingOrder="2"/>
    </xf>
    <xf numFmtId="0" fontId="10" fillId="4" borderId="0" xfId="0" applyFont="1" applyFill="1" applyAlignment="1">
      <alignment readingOrder="2"/>
    </xf>
    <xf numFmtId="0" fontId="5" fillId="0" borderId="31" xfId="0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 readingOrder="2"/>
    </xf>
    <xf numFmtId="0" fontId="5" fillId="0" borderId="2" xfId="0" applyFont="1" applyBorder="1" applyAlignment="1">
      <alignment vertical="center" readingOrder="2"/>
    </xf>
    <xf numFmtId="0" fontId="5" fillId="0" borderId="15" xfId="0" applyFont="1" applyBorder="1" applyAlignment="1">
      <alignment vertical="center" readingOrder="2"/>
    </xf>
    <xf numFmtId="0" fontId="5" fillId="0" borderId="14" xfId="0" applyFont="1" applyBorder="1" applyAlignment="1">
      <alignment vertical="center" readingOrder="2"/>
    </xf>
    <xf numFmtId="0" fontId="5" fillId="0" borderId="32" xfId="0" applyFont="1" applyBorder="1" applyAlignment="1">
      <alignment horizontal="center" vertical="center" readingOrder="2"/>
    </xf>
    <xf numFmtId="0" fontId="5" fillId="0" borderId="5" xfId="0" applyFont="1" applyBorder="1" applyAlignment="1">
      <alignment vertical="center" readingOrder="2"/>
    </xf>
    <xf numFmtId="0" fontId="5" fillId="0" borderId="6" xfId="0" applyFont="1" applyBorder="1" applyAlignment="1">
      <alignment vertical="center" readingOrder="2"/>
    </xf>
    <xf numFmtId="0" fontId="5" fillId="0" borderId="17" xfId="0" applyFont="1" applyBorder="1" applyAlignment="1">
      <alignment vertical="center" readingOrder="2"/>
    </xf>
    <xf numFmtId="0" fontId="5" fillId="0" borderId="16" xfId="0" applyFont="1" applyBorder="1" applyAlignment="1">
      <alignment vertical="center" readingOrder="2"/>
    </xf>
    <xf numFmtId="0" fontId="5" fillId="0" borderId="33" xfId="0" applyFont="1" applyBorder="1" applyAlignment="1">
      <alignment horizontal="center" vertical="center" readingOrder="2"/>
    </xf>
    <xf numFmtId="0" fontId="5" fillId="0" borderId="34" xfId="0" applyFont="1" applyBorder="1" applyAlignment="1">
      <alignment horizontal="center" vertical="center" readingOrder="2"/>
    </xf>
    <xf numFmtId="0" fontId="3" fillId="0" borderId="9" xfId="0" applyFont="1" applyBorder="1" applyAlignment="1">
      <alignment vertical="center" readingOrder="2"/>
    </xf>
    <xf numFmtId="0" fontId="3" fillId="0" borderId="10" xfId="0" applyFont="1" applyBorder="1" applyAlignment="1">
      <alignment vertical="center" readingOrder="2"/>
    </xf>
    <xf numFmtId="0" fontId="3" fillId="0" borderId="12" xfId="0" applyFont="1" applyBorder="1" applyAlignment="1">
      <alignment vertical="center" readingOrder="2"/>
    </xf>
    <xf numFmtId="0" fontId="4" fillId="4" borderId="0" xfId="0" applyFont="1" applyFill="1" applyAlignment="1">
      <alignment readingOrder="2"/>
    </xf>
    <xf numFmtId="0" fontId="9" fillId="6" borderId="0" xfId="0" applyFont="1" applyFill="1" applyAlignment="1">
      <alignment readingOrder="2"/>
    </xf>
    <xf numFmtId="0" fontId="10" fillId="6" borderId="0" xfId="0" applyFont="1" applyFill="1" applyAlignment="1">
      <alignment readingOrder="2"/>
    </xf>
    <xf numFmtId="0" fontId="4" fillId="6" borderId="0" xfId="0" applyFont="1" applyFill="1" applyAlignment="1">
      <alignment readingOrder="2"/>
    </xf>
    <xf numFmtId="0" fontId="4" fillId="4" borderId="37" xfId="0" applyFont="1" applyFill="1" applyBorder="1" applyAlignment="1">
      <alignment readingOrder="2"/>
    </xf>
    <xf numFmtId="0" fontId="4" fillId="4" borderId="38" xfId="0" applyFont="1" applyFill="1" applyBorder="1" applyAlignment="1">
      <alignment readingOrder="2"/>
    </xf>
    <xf numFmtId="0" fontId="3" fillId="4" borderId="39" xfId="0" applyFont="1" applyFill="1" applyBorder="1" applyAlignment="1">
      <alignment vertical="top" readingOrder="2"/>
    </xf>
    <xf numFmtId="0" fontId="1" fillId="4" borderId="40" xfId="0" applyFont="1" applyFill="1" applyBorder="1" applyAlignment="1">
      <alignment vertical="top" readingOrder="2"/>
    </xf>
    <xf numFmtId="0" fontId="9" fillId="4" borderId="40" xfId="0" applyFont="1" applyFill="1" applyBorder="1" applyAlignment="1">
      <alignment vertical="top" readingOrder="2"/>
    </xf>
    <xf numFmtId="0" fontId="1" fillId="4" borderId="40" xfId="0" applyFont="1" applyFill="1" applyBorder="1" applyAlignment="1">
      <alignment horizontal="center" vertical="top" readingOrder="2"/>
    </xf>
    <xf numFmtId="0" fontId="3" fillId="4" borderId="40" xfId="0" applyFont="1" applyFill="1" applyBorder="1" applyAlignment="1">
      <alignment horizontal="center" vertical="top" readingOrder="2"/>
    </xf>
    <xf numFmtId="0" fontId="1" fillId="4" borderId="41" xfId="0" applyFont="1" applyFill="1" applyBorder="1" applyAlignment="1">
      <alignment vertical="top" readingOrder="2"/>
    </xf>
    <xf numFmtId="0" fontId="9" fillId="6" borderId="0" xfId="0" applyFont="1" applyFill="1" applyAlignment="1">
      <alignment vertical="top" readingOrder="2"/>
    </xf>
    <xf numFmtId="0" fontId="9" fillId="4" borderId="0" xfId="0" applyFont="1" applyFill="1" applyAlignment="1">
      <alignment vertical="top" readingOrder="2"/>
    </xf>
    <xf numFmtId="0" fontId="5" fillId="0" borderId="35" xfId="0" applyFont="1" applyBorder="1" applyAlignment="1">
      <alignment horizontal="left" readingOrder="2"/>
    </xf>
    <xf numFmtId="0" fontId="5" fillId="0" borderId="42" xfId="0" applyFont="1" applyBorder="1" applyAlignment="1">
      <alignment readingOrder="2"/>
    </xf>
    <xf numFmtId="0" fontId="5" fillId="0" borderId="43" xfId="0" applyFont="1" applyBorder="1" applyAlignment="1">
      <alignment readingOrder="2"/>
    </xf>
    <xf numFmtId="0" fontId="11" fillId="6" borderId="0" xfId="0" applyFont="1" applyFill="1" applyAlignment="1">
      <alignment readingOrder="2"/>
    </xf>
    <xf numFmtId="0" fontId="0" fillId="0" borderId="0" xfId="0" applyAlignment="1" applyProtection="1">
      <alignment readingOrder="2"/>
      <protection hidden="1"/>
    </xf>
    <xf numFmtId="0" fontId="0" fillId="2" borderId="0" xfId="0" applyFill="1" applyAlignment="1" applyProtection="1">
      <alignment readingOrder="2"/>
      <protection hidden="1"/>
    </xf>
    <xf numFmtId="0" fontId="13" fillId="2" borderId="14" xfId="0" applyFont="1" applyFill="1" applyBorder="1" applyAlignment="1" applyProtection="1">
      <alignment horizontal="center" readingOrder="2"/>
      <protection hidden="1"/>
    </xf>
    <xf numFmtId="0" fontId="13" fillId="2" borderId="16" xfId="0" applyFont="1" applyFill="1" applyBorder="1" applyAlignment="1" applyProtection="1">
      <alignment horizontal="center" readingOrder="2"/>
      <protection hidden="1"/>
    </xf>
    <xf numFmtId="0" fontId="13" fillId="2" borderId="13" xfId="0" applyFont="1" applyFill="1" applyBorder="1" applyAlignment="1" applyProtection="1">
      <alignment horizontal="center" readingOrder="2"/>
      <protection hidden="1"/>
    </xf>
    <xf numFmtId="0" fontId="13" fillId="2" borderId="4" xfId="0" applyFont="1" applyFill="1" applyBorder="1" applyAlignment="1" applyProtection="1">
      <alignment horizontal="center" readingOrder="2"/>
      <protection hidden="1"/>
    </xf>
    <xf numFmtId="0" fontId="13" fillId="2" borderId="12" xfId="0" applyFont="1" applyFill="1" applyBorder="1" applyAlignment="1" applyProtection="1">
      <alignment horizontal="center" readingOrder="2"/>
      <protection hidden="1"/>
    </xf>
    <xf numFmtId="0" fontId="13" fillId="2" borderId="8" xfId="0" applyFont="1" applyFill="1" applyBorder="1" applyAlignment="1" applyProtection="1">
      <alignment horizontal="center" readingOrder="2"/>
      <protection hidden="1"/>
    </xf>
    <xf numFmtId="0" fontId="13" fillId="5" borderId="31" xfId="0" applyFont="1" applyFill="1" applyBorder="1" applyAlignment="1" applyProtection="1">
      <alignment horizontal="center" readingOrder="2"/>
      <protection hidden="1"/>
    </xf>
    <xf numFmtId="0" fontId="13" fillId="5" borderId="32" xfId="0" applyFont="1" applyFill="1" applyBorder="1" applyAlignment="1" applyProtection="1">
      <alignment horizontal="center" readingOrder="2"/>
      <protection hidden="1"/>
    </xf>
    <xf numFmtId="0" fontId="13" fillId="5" borderId="13" xfId="0" applyFont="1" applyFill="1" applyBorder="1" applyAlignment="1" applyProtection="1">
      <alignment horizontal="center" readingOrder="2"/>
      <protection hidden="1"/>
    </xf>
    <xf numFmtId="0" fontId="13" fillId="5" borderId="33" xfId="0" applyFont="1" applyFill="1" applyBorder="1" applyAlignment="1" applyProtection="1">
      <alignment horizontal="center" readingOrder="2"/>
      <protection hidden="1"/>
    </xf>
    <xf numFmtId="0" fontId="13" fillId="5" borderId="12" xfId="0" applyFont="1" applyFill="1" applyBorder="1" applyAlignment="1" applyProtection="1">
      <alignment horizontal="center" readingOrder="2"/>
      <protection hidden="1"/>
    </xf>
    <xf numFmtId="0" fontId="13" fillId="5" borderId="34" xfId="0" applyFont="1" applyFill="1" applyBorder="1" applyAlignment="1" applyProtection="1">
      <alignment horizontal="center" readingOrder="2"/>
      <protection hidden="1"/>
    </xf>
    <xf numFmtId="0" fontId="5" fillId="5" borderId="23" xfId="0" applyFont="1" applyFill="1" applyBorder="1" applyAlignment="1">
      <alignment horizontal="center" vertical="center" readingOrder="2"/>
    </xf>
    <xf numFmtId="0" fontId="5" fillId="5" borderId="24" xfId="0" applyFont="1" applyFill="1" applyBorder="1" applyAlignment="1">
      <alignment horizontal="center" vertical="center" readingOrder="2"/>
    </xf>
    <xf numFmtId="0" fontId="5" fillId="5" borderId="13" xfId="0" applyFont="1" applyFill="1" applyBorder="1" applyAlignment="1">
      <alignment horizontal="center" readingOrder="2"/>
    </xf>
    <xf numFmtId="0" fontId="5" fillId="5" borderId="22" xfId="0" applyFont="1" applyFill="1" applyBorder="1" applyAlignment="1">
      <alignment horizontal="center" readingOrder="2"/>
    </xf>
    <xf numFmtId="0" fontId="5" fillId="5" borderId="23" xfId="0" applyFont="1" applyFill="1" applyBorder="1" applyAlignment="1">
      <alignment horizontal="center" readingOrder="2"/>
    </xf>
    <xf numFmtId="0" fontId="5" fillId="5" borderId="24" xfId="0" applyFont="1" applyFill="1" applyBorder="1" applyAlignment="1">
      <alignment horizontal="center" readingOrder="2"/>
    </xf>
    <xf numFmtId="0" fontId="5" fillId="5" borderId="25" xfId="0" applyFont="1" applyFill="1" applyBorder="1" applyAlignment="1">
      <alignment horizontal="center" readingOrder="2"/>
    </xf>
    <xf numFmtId="0" fontId="5" fillId="4" borderId="0" xfId="0" applyFont="1" applyFill="1" applyAlignment="1">
      <alignment horizontal="center" readingOrder="2"/>
    </xf>
    <xf numFmtId="0" fontId="3" fillId="4" borderId="0" xfId="0" applyFont="1" applyFill="1" applyAlignment="1">
      <alignment horizontal="center" readingOrder="2"/>
    </xf>
    <xf numFmtId="0" fontId="5" fillId="4" borderId="0" xfId="0" applyFont="1" applyFill="1" applyAlignment="1">
      <alignment readingOrder="2"/>
    </xf>
    <xf numFmtId="0" fontId="2" fillId="5" borderId="9" xfId="0" applyFont="1" applyFill="1" applyBorder="1" applyAlignment="1">
      <alignment readingOrder="2"/>
    </xf>
    <xf numFmtId="0" fontId="2" fillId="5" borderId="10" xfId="0" applyFont="1" applyFill="1" applyBorder="1" applyAlignment="1">
      <alignment readingOrder="2"/>
    </xf>
    <xf numFmtId="0" fontId="2" fillId="5" borderId="47" xfId="0" applyFont="1" applyFill="1" applyBorder="1" applyAlignment="1">
      <alignment readingOrder="2"/>
    </xf>
    <xf numFmtId="0" fontId="8" fillId="5" borderId="35" xfId="0" applyFont="1" applyFill="1" applyBorder="1" applyAlignment="1">
      <alignment readingOrder="2"/>
    </xf>
    <xf numFmtId="0" fontId="2" fillId="5" borderId="35" xfId="0" applyFont="1" applyFill="1" applyBorder="1" applyAlignment="1">
      <alignment readingOrder="2"/>
    </xf>
    <xf numFmtId="0" fontId="5" fillId="5" borderId="12" xfId="0" applyFont="1" applyFill="1" applyBorder="1" applyAlignment="1">
      <alignment horizontal="center" readingOrder="2"/>
    </xf>
    <xf numFmtId="0" fontId="5" fillId="5" borderId="31" xfId="0" applyFont="1" applyFill="1" applyBorder="1" applyAlignment="1">
      <alignment horizontal="center" readingOrder="2"/>
    </xf>
    <xf numFmtId="0" fontId="5" fillId="5" borderId="32" xfId="0" applyFont="1" applyFill="1" applyBorder="1" applyAlignment="1">
      <alignment horizontal="center" readingOrder="2"/>
    </xf>
    <xf numFmtId="0" fontId="5" fillId="5" borderId="33" xfId="0" applyFont="1" applyFill="1" applyBorder="1" applyAlignment="1">
      <alignment horizontal="center" readingOrder="2"/>
    </xf>
    <xf numFmtId="0" fontId="5" fillId="5" borderId="34" xfId="0" applyFont="1" applyFill="1" applyBorder="1" applyAlignment="1">
      <alignment horizontal="center" readingOrder="2"/>
    </xf>
    <xf numFmtId="0" fontId="3" fillId="4" borderId="0" xfId="0" applyFont="1" applyFill="1" applyAlignment="1">
      <alignment readingOrder="2"/>
    </xf>
    <xf numFmtId="0" fontId="15" fillId="0" borderId="0" xfId="0" applyFont="1" applyAlignment="1">
      <alignment readingOrder="2"/>
    </xf>
    <xf numFmtId="0" fontId="17" fillId="0" borderId="0" xfId="0" applyFont="1" applyAlignment="1">
      <alignment horizontal="center" readingOrder="2"/>
    </xf>
    <xf numFmtId="0" fontId="15" fillId="0" borderId="0" xfId="0" applyFont="1" applyAlignment="1">
      <alignment horizontal="center" readingOrder="2"/>
    </xf>
    <xf numFmtId="0" fontId="17" fillId="0" borderId="0" xfId="0" applyFont="1" applyAlignment="1">
      <alignment readingOrder="2"/>
    </xf>
    <xf numFmtId="0" fontId="16" fillId="5" borderId="0" xfId="0" applyFont="1" applyFill="1" applyAlignment="1">
      <alignment readingOrder="2"/>
    </xf>
    <xf numFmtId="0" fontId="16" fillId="0" borderId="0" xfId="0" applyFont="1" applyAlignment="1">
      <alignment readingOrder="2"/>
    </xf>
    <xf numFmtId="0" fontId="16" fillId="3" borderId="0" xfId="0" applyFont="1" applyFill="1" applyAlignment="1">
      <alignment readingOrder="2"/>
    </xf>
    <xf numFmtId="0" fontId="12" fillId="2" borderId="0" xfId="0" applyFont="1" applyFill="1" applyAlignment="1" applyProtection="1">
      <alignment readingOrder="2"/>
      <protection hidden="1"/>
    </xf>
    <xf numFmtId="0" fontId="0" fillId="0" borderId="0" xfId="0" applyAlignment="1" applyProtection="1">
      <alignment vertical="center" readingOrder="2"/>
      <protection hidden="1"/>
    </xf>
    <xf numFmtId="0" fontId="0" fillId="6" borderId="0" xfId="0" applyFill="1" applyAlignment="1" applyProtection="1">
      <alignment readingOrder="2"/>
      <protection hidden="1"/>
    </xf>
    <xf numFmtId="0" fontId="13" fillId="2" borderId="13" xfId="0" applyFont="1" applyFill="1" applyBorder="1" applyAlignment="1" applyProtection="1">
      <alignment horizontal="center" vertical="center" readingOrder="2"/>
      <protection hidden="1"/>
    </xf>
    <xf numFmtId="0" fontId="13" fillId="2" borderId="12" xfId="0" applyFont="1" applyFill="1" applyBorder="1" applyAlignment="1" applyProtection="1">
      <alignment horizontal="center" vertical="center" readingOrder="2"/>
      <protection hidden="1"/>
    </xf>
    <xf numFmtId="0" fontId="13" fillId="2" borderId="44" xfId="0" applyFont="1" applyFill="1" applyBorder="1" applyAlignment="1" applyProtection="1">
      <alignment horizontal="center" readingOrder="2"/>
      <protection hidden="1"/>
    </xf>
    <xf numFmtId="0" fontId="13" fillId="2" borderId="36" xfId="0" applyFont="1" applyFill="1" applyBorder="1" applyAlignment="1" applyProtection="1">
      <alignment horizontal="center" readingOrder="2"/>
      <protection hidden="1"/>
    </xf>
    <xf numFmtId="0" fontId="5" fillId="5" borderId="13" xfId="0" applyFont="1" applyFill="1" applyBorder="1" applyAlignment="1">
      <alignment horizontal="center" vertical="center" readingOrder="2"/>
    </xf>
    <xf numFmtId="0" fontId="5" fillId="5" borderId="12" xfId="0" applyFont="1" applyFill="1" applyBorder="1" applyAlignment="1">
      <alignment horizontal="center" vertical="center" readingOrder="2"/>
    </xf>
    <xf numFmtId="0" fontId="3" fillId="0" borderId="47" xfId="0" applyFont="1" applyBorder="1" applyAlignment="1">
      <alignment vertical="center" readingOrder="2"/>
    </xf>
    <xf numFmtId="0" fontId="3" fillId="0" borderId="14" xfId="0" applyFont="1" applyBorder="1" applyAlignment="1">
      <alignment vertical="center" readingOrder="2"/>
    </xf>
    <xf numFmtId="0" fontId="3" fillId="0" borderId="16" xfId="0" applyFont="1" applyBorder="1" applyAlignment="1">
      <alignment vertical="center" readingOrder="2"/>
    </xf>
    <xf numFmtId="0" fontId="5" fillId="0" borderId="26" xfId="0" applyFont="1" applyBorder="1" applyAlignment="1">
      <alignment vertical="center" readingOrder="2"/>
    </xf>
    <xf numFmtId="0" fontId="5" fillId="0" borderId="27" xfId="0" applyFont="1" applyBorder="1" applyAlignment="1">
      <alignment vertical="center" readingOrder="2"/>
    </xf>
    <xf numFmtId="0" fontId="5" fillId="0" borderId="28" xfId="0" applyFont="1" applyBorder="1" applyAlignment="1">
      <alignment vertical="center" readingOrder="2"/>
    </xf>
    <xf numFmtId="0" fontId="3" fillId="0" borderId="29" xfId="0" applyFont="1" applyBorder="1" applyAlignment="1">
      <alignment vertical="center" readingOrder="2"/>
    </xf>
    <xf numFmtId="0" fontId="5" fillId="0" borderId="29" xfId="0" applyFont="1" applyBorder="1" applyAlignment="1">
      <alignment vertical="center" readingOrder="2"/>
    </xf>
    <xf numFmtId="0" fontId="18" fillId="5" borderId="22" xfId="0" applyFont="1" applyFill="1" applyBorder="1" applyAlignment="1">
      <alignment horizontal="center" vertical="center" wrapText="1" readingOrder="2"/>
    </xf>
    <xf numFmtId="0" fontId="7" fillId="0" borderId="45" xfId="0" applyFont="1" applyBorder="1" applyAlignment="1">
      <alignment readingOrder="2"/>
    </xf>
    <xf numFmtId="0" fontId="7" fillId="0" borderId="2" xfId="0" applyFont="1" applyBorder="1" applyAlignment="1">
      <alignment readingOrder="2"/>
    </xf>
    <xf numFmtId="0" fontId="7" fillId="0" borderId="46" xfId="0" applyFont="1" applyBorder="1" applyAlignment="1">
      <alignment readingOrder="2"/>
    </xf>
    <xf numFmtId="0" fontId="7" fillId="0" borderId="5" xfId="0" applyFont="1" applyBorder="1" applyAlignment="1">
      <alignment readingOrder="2"/>
    </xf>
    <xf numFmtId="0" fontId="7" fillId="0" borderId="6" xfId="0" applyFont="1" applyBorder="1" applyAlignment="1">
      <alignment readingOrder="2"/>
    </xf>
    <xf numFmtId="0" fontId="7" fillId="0" borderId="15" xfId="0" applyFont="1" applyBorder="1" applyAlignment="1">
      <alignment readingOrder="2"/>
    </xf>
    <xf numFmtId="0" fontId="7" fillId="0" borderId="48" xfId="0" applyFont="1" applyBorder="1" applyAlignment="1">
      <alignment readingOrder="2"/>
    </xf>
    <xf numFmtId="0" fontId="7" fillId="0" borderId="17" xfId="0" applyFont="1" applyBorder="1" applyAlignment="1">
      <alignment readingOrder="2"/>
    </xf>
    <xf numFmtId="0" fontId="2" fillId="5" borderId="31" xfId="0" applyFont="1" applyFill="1" applyBorder="1" applyAlignment="1">
      <alignment readingOrder="2"/>
    </xf>
    <xf numFmtId="0" fontId="2" fillId="5" borderId="49" xfId="0" applyFont="1" applyFill="1" applyBorder="1" applyAlignment="1">
      <alignment readingOrder="2"/>
    </xf>
    <xf numFmtId="0" fontId="2" fillId="5" borderId="32" xfId="0" applyFont="1" applyFill="1" applyBorder="1" applyAlignment="1">
      <alignment readingOrder="2"/>
    </xf>
    <xf numFmtId="0" fontId="7" fillId="0" borderId="4" xfId="0" applyFont="1" applyBorder="1" applyAlignment="1">
      <alignment readingOrder="2"/>
    </xf>
    <xf numFmtId="0" fontId="7" fillId="0" borderId="51" xfId="0" applyFont="1" applyBorder="1" applyAlignment="1">
      <alignment readingOrder="2"/>
    </xf>
    <xf numFmtId="0" fontId="7" fillId="0" borderId="8" xfId="0" applyFont="1" applyBorder="1" applyAlignment="1">
      <alignment readingOrder="2"/>
    </xf>
    <xf numFmtId="0" fontId="5" fillId="0" borderId="52" xfId="0" applyFont="1" applyBorder="1" applyAlignment="1">
      <alignment horizontal="right" wrapText="1" readingOrder="2"/>
    </xf>
    <xf numFmtId="0" fontId="5" fillId="0" borderId="53" xfId="0" applyFont="1" applyBorder="1" applyAlignment="1">
      <alignment horizontal="right" wrapText="1" readingOrder="2"/>
    </xf>
    <xf numFmtId="0" fontId="5" fillId="0" borderId="54" xfId="0" applyFont="1" applyBorder="1" applyAlignment="1">
      <alignment horizontal="right" wrapText="1" readingOrder="2"/>
    </xf>
    <xf numFmtId="0" fontId="5" fillId="0" borderId="55" xfId="0" applyFont="1" applyBorder="1" applyAlignment="1">
      <alignment horizontal="right" wrapText="1" readingOrder="2"/>
    </xf>
    <xf numFmtId="0" fontId="5" fillId="0" borderId="56" xfId="0" applyFont="1" applyBorder="1" applyAlignment="1">
      <alignment horizontal="right" wrapText="1" readingOrder="2"/>
    </xf>
    <xf numFmtId="0" fontId="5" fillId="0" borderId="57" xfId="0" applyFont="1" applyBorder="1" applyAlignment="1">
      <alignment horizontal="right" wrapText="1" readingOrder="2"/>
    </xf>
    <xf numFmtId="0" fontId="19" fillId="0" borderId="55" xfId="0" applyFont="1" applyBorder="1" applyAlignment="1">
      <alignment wrapText="1" readingOrder="2"/>
    </xf>
    <xf numFmtId="0" fontId="19" fillId="0" borderId="56" xfId="0" applyFont="1" applyBorder="1" applyAlignment="1">
      <alignment wrapText="1" readingOrder="2"/>
    </xf>
    <xf numFmtId="0" fontId="19" fillId="0" borderId="57" xfId="0" applyFont="1" applyBorder="1" applyAlignment="1">
      <alignment wrapText="1" readingOrder="2"/>
    </xf>
    <xf numFmtId="0" fontId="5" fillId="0" borderId="58" xfId="0" applyFont="1" applyBorder="1" applyAlignment="1">
      <alignment horizontal="right" wrapText="1" readingOrder="2"/>
    </xf>
    <xf numFmtId="0" fontId="5" fillId="0" borderId="59" xfId="0" applyFont="1" applyBorder="1" applyAlignment="1">
      <alignment horizontal="right" wrapText="1" readingOrder="2"/>
    </xf>
    <xf numFmtId="0" fontId="5" fillId="0" borderId="60" xfId="0" applyFont="1" applyBorder="1" applyAlignment="1">
      <alignment horizontal="right" wrapText="1" readingOrder="2"/>
    </xf>
    <xf numFmtId="0" fontId="20" fillId="7" borderId="54" xfId="0" applyFont="1" applyFill="1" applyBorder="1" applyAlignment="1">
      <alignment horizontal="right" wrapText="1" readingOrder="2"/>
    </xf>
    <xf numFmtId="0" fontId="20" fillId="7" borderId="57" xfId="0" applyFont="1" applyFill="1" applyBorder="1" applyAlignment="1">
      <alignment horizontal="right" wrapText="1" readingOrder="2"/>
    </xf>
    <xf numFmtId="0" fontId="20" fillId="7" borderId="60" xfId="0" applyFont="1" applyFill="1" applyBorder="1" applyAlignment="1">
      <alignment horizontal="right" wrapText="1" readingOrder="2"/>
    </xf>
    <xf numFmtId="0" fontId="19" fillId="7" borderId="57" xfId="0" applyFont="1" applyFill="1" applyBorder="1" applyAlignment="1">
      <alignment wrapText="1" readingOrder="2"/>
    </xf>
    <xf numFmtId="0" fontId="20" fillId="7" borderId="55" xfId="0" applyFont="1" applyFill="1" applyBorder="1" applyAlignment="1">
      <alignment horizontal="right" wrapText="1" readingOrder="2"/>
    </xf>
    <xf numFmtId="0" fontId="20" fillId="7" borderId="56" xfId="0" applyFont="1" applyFill="1" applyBorder="1" applyAlignment="1">
      <alignment horizontal="right" wrapText="1" readingOrder="2"/>
    </xf>
    <xf numFmtId="0" fontId="5" fillId="0" borderId="61" xfId="0" applyFont="1" applyBorder="1" applyAlignment="1">
      <alignment horizontal="right" wrapText="1" readingOrder="2"/>
    </xf>
    <xf numFmtId="0" fontId="5" fillId="0" borderId="62" xfId="0" applyFont="1" applyBorder="1" applyAlignment="1">
      <alignment horizontal="right" wrapText="1" readingOrder="2"/>
    </xf>
    <xf numFmtId="0" fontId="19" fillId="0" borderId="58" xfId="0" applyFont="1" applyBorder="1" applyAlignment="1">
      <alignment wrapText="1" readingOrder="2"/>
    </xf>
    <xf numFmtId="0" fontId="19" fillId="0" borderId="59" xfId="0" applyFont="1" applyBorder="1" applyAlignment="1">
      <alignment wrapText="1" readingOrder="2"/>
    </xf>
    <xf numFmtId="0" fontId="19" fillId="7" borderId="60" xfId="0" applyFont="1" applyFill="1" applyBorder="1" applyAlignment="1">
      <alignment wrapText="1" readingOrder="2"/>
    </xf>
    <xf numFmtId="0" fontId="21" fillId="7" borderId="57" xfId="0" applyFont="1" applyFill="1" applyBorder="1" applyAlignment="1">
      <alignment horizontal="right" wrapText="1" readingOrder="2"/>
    </xf>
    <xf numFmtId="0" fontId="22" fillId="0" borderId="63" xfId="0" applyFont="1" applyBorder="1" applyAlignment="1">
      <alignment horizontal="right" readingOrder="2"/>
    </xf>
    <xf numFmtId="0" fontId="22" fillId="0" borderId="64" xfId="0" applyFont="1" applyBorder="1" applyAlignment="1">
      <alignment horizontal="right" readingOrder="2"/>
    </xf>
    <xf numFmtId="0" fontId="22" fillId="0" borderId="65" xfId="0" applyFont="1" applyBorder="1" applyAlignment="1">
      <alignment horizontal="right" readingOrder="2"/>
    </xf>
    <xf numFmtId="0" fontId="23" fillId="8" borderId="66" xfId="0" applyFont="1" applyFill="1" applyBorder="1" applyAlignment="1">
      <alignment horizontal="right" readingOrder="2"/>
    </xf>
    <xf numFmtId="0" fontId="22" fillId="0" borderId="66" xfId="0" applyFont="1" applyBorder="1" applyAlignment="1">
      <alignment horizontal="right" readingOrder="2"/>
    </xf>
    <xf numFmtId="0" fontId="22" fillId="0" borderId="67" xfId="0" applyFont="1" applyBorder="1" applyAlignment="1">
      <alignment horizontal="right" readingOrder="2"/>
    </xf>
    <xf numFmtId="0" fontId="22" fillId="0" borderId="68" xfId="0" applyFont="1" applyBorder="1" applyAlignment="1">
      <alignment horizontal="right" readingOrder="2"/>
    </xf>
    <xf numFmtId="0" fontId="22" fillId="0" borderId="69" xfId="0" applyFont="1" applyBorder="1" applyAlignment="1">
      <alignment horizontal="right" readingOrder="2"/>
    </xf>
    <xf numFmtId="0" fontId="23" fillId="8" borderId="70" xfId="0" applyFont="1" applyFill="1" applyBorder="1" applyAlignment="1">
      <alignment horizontal="right" readingOrder="2"/>
    </xf>
    <xf numFmtId="0" fontId="22" fillId="0" borderId="70" xfId="0" applyFont="1" applyBorder="1" applyAlignment="1">
      <alignment horizontal="right" readingOrder="2"/>
    </xf>
    <xf numFmtId="0" fontId="23" fillId="8" borderId="71" xfId="0" applyFont="1" applyFill="1" applyBorder="1" applyAlignment="1">
      <alignment horizontal="right" readingOrder="2"/>
    </xf>
    <xf numFmtId="0" fontId="23" fillId="8" borderId="72" xfId="0" applyFont="1" applyFill="1" applyBorder="1" applyAlignment="1">
      <alignment horizontal="right" readingOrder="2"/>
    </xf>
    <xf numFmtId="0" fontId="23" fillId="8" borderId="73" xfId="0" applyFont="1" applyFill="1" applyBorder="1" applyAlignment="1">
      <alignment horizontal="right" readingOrder="2"/>
    </xf>
    <xf numFmtId="0" fontId="24" fillId="8" borderId="74" xfId="0" applyFont="1" applyFill="1" applyBorder="1" applyAlignment="1">
      <alignment horizontal="right" readingOrder="2"/>
    </xf>
    <xf numFmtId="0" fontId="23" fillId="8" borderId="74" xfId="0" applyFont="1" applyFill="1" applyBorder="1" applyAlignment="1">
      <alignment horizontal="right" readingOrder="2"/>
    </xf>
    <xf numFmtId="0" fontId="25" fillId="0" borderId="52" xfId="0" applyFont="1" applyBorder="1" applyAlignment="1">
      <alignment horizontal="right" wrapText="1" readingOrder="2"/>
    </xf>
    <xf numFmtId="0" fontId="25" fillId="0" borderId="53" xfId="0" applyFont="1" applyBorder="1" applyAlignment="1">
      <alignment horizontal="right" wrapText="1" readingOrder="2"/>
    </xf>
    <xf numFmtId="0" fontId="25" fillId="0" borderId="54" xfId="0" applyFont="1" applyBorder="1" applyAlignment="1">
      <alignment horizontal="right" wrapText="1" readingOrder="2"/>
    </xf>
    <xf numFmtId="0" fontId="26" fillId="7" borderId="54" xfId="0" applyFont="1" applyFill="1" applyBorder="1" applyAlignment="1">
      <alignment horizontal="right" wrapText="1" readingOrder="2"/>
    </xf>
    <xf numFmtId="0" fontId="25" fillId="0" borderId="55" xfId="0" applyFont="1" applyBorder="1" applyAlignment="1">
      <alignment horizontal="right" wrapText="1" readingOrder="2"/>
    </xf>
    <xf numFmtId="0" fontId="25" fillId="0" borderId="56" xfId="0" applyFont="1" applyBorder="1" applyAlignment="1">
      <alignment horizontal="right" wrapText="1" readingOrder="2"/>
    </xf>
    <xf numFmtId="0" fontId="25" fillId="0" borderId="57" xfId="0" applyFont="1" applyBorder="1" applyAlignment="1">
      <alignment horizontal="right" wrapText="1" readingOrder="2"/>
    </xf>
    <xf numFmtId="0" fontId="26" fillId="7" borderId="57" xfId="0" applyFont="1" applyFill="1" applyBorder="1" applyAlignment="1">
      <alignment horizontal="right" wrapText="1" readingOrder="2"/>
    </xf>
    <xf numFmtId="0" fontId="25" fillId="0" borderId="58" xfId="0" applyFont="1" applyBorder="1" applyAlignment="1">
      <alignment horizontal="right" wrapText="1" readingOrder="2"/>
    </xf>
    <xf numFmtId="0" fontId="25" fillId="0" borderId="59" xfId="0" applyFont="1" applyBorder="1" applyAlignment="1">
      <alignment horizontal="right" wrapText="1" readingOrder="2"/>
    </xf>
    <xf numFmtId="0" fontId="25" fillId="0" borderId="60" xfId="0" applyFont="1" applyBorder="1" applyAlignment="1">
      <alignment horizontal="right" wrapText="1" readingOrder="2"/>
    </xf>
    <xf numFmtId="0" fontId="26" fillId="7" borderId="60" xfId="0" applyFont="1" applyFill="1" applyBorder="1" applyAlignment="1">
      <alignment horizontal="right" wrapText="1" readingOrder="2"/>
    </xf>
    <xf numFmtId="0" fontId="22" fillId="0" borderId="75" xfId="0" applyFont="1" applyBorder="1" applyAlignment="1">
      <alignment horizontal="right"/>
    </xf>
    <xf numFmtId="0" fontId="23" fillId="8" borderId="75" xfId="0" applyFont="1" applyFill="1" applyBorder="1" applyAlignment="1">
      <alignment horizontal="right"/>
    </xf>
    <xf numFmtId="0" fontId="24" fillId="8" borderId="75" xfId="0" applyFont="1" applyFill="1" applyBorder="1" applyAlignment="1">
      <alignment horizontal="right"/>
    </xf>
    <xf numFmtId="0" fontId="13" fillId="5" borderId="13" xfId="0" applyFont="1" applyFill="1" applyBorder="1" applyAlignment="1" applyProtection="1">
      <alignment horizontal="center" vertical="center" readingOrder="2"/>
      <protection hidden="1"/>
    </xf>
    <xf numFmtId="0" fontId="13" fillId="5" borderId="12" xfId="0" applyFont="1" applyFill="1" applyBorder="1" applyAlignment="1" applyProtection="1">
      <alignment horizontal="center" vertical="center" readingOrder="2"/>
      <protection hidden="1"/>
    </xf>
    <xf numFmtId="164" fontId="2" fillId="5" borderId="13" xfId="0" applyNumberFormat="1" applyFont="1" applyFill="1" applyBorder="1" applyAlignment="1" applyProtection="1">
      <alignment horizontal="center" vertical="center" wrapText="1" readingOrder="2"/>
      <protection hidden="1"/>
    </xf>
    <xf numFmtId="164" fontId="2" fillId="5" borderId="25" xfId="0" applyNumberFormat="1" applyFont="1" applyFill="1" applyBorder="1" applyAlignment="1" applyProtection="1">
      <alignment horizontal="center" vertical="center" wrapText="1" readingOrder="2"/>
      <protection hidden="1"/>
    </xf>
    <xf numFmtId="164" fontId="2" fillId="5" borderId="12" xfId="0" applyNumberFormat="1" applyFont="1" applyFill="1" applyBorder="1" applyAlignment="1" applyProtection="1">
      <alignment horizontal="center" vertical="center" wrapText="1" readingOrder="2"/>
      <protection hidden="1"/>
    </xf>
    <xf numFmtId="0" fontId="13" fillId="2" borderId="44" xfId="0" applyFont="1" applyFill="1" applyBorder="1" applyAlignment="1" applyProtection="1">
      <alignment horizontal="center" readingOrder="2"/>
      <protection hidden="1"/>
    </xf>
    <xf numFmtId="0" fontId="13" fillId="2" borderId="36" xfId="0" applyFont="1" applyFill="1" applyBorder="1" applyAlignment="1" applyProtection="1">
      <alignment horizontal="center" readingOrder="2"/>
      <protection hidden="1"/>
    </xf>
    <xf numFmtId="0" fontId="13" fillId="5" borderId="39" xfId="0" applyFont="1" applyFill="1" applyBorder="1" applyAlignment="1" applyProtection="1">
      <alignment horizontal="center" vertical="center" readingOrder="2"/>
      <protection hidden="1"/>
    </xf>
    <xf numFmtId="0" fontId="13" fillId="5" borderId="40" xfId="0" applyFont="1" applyFill="1" applyBorder="1" applyAlignment="1" applyProtection="1">
      <alignment horizontal="center" vertical="center" readingOrder="2"/>
      <protection hidden="1"/>
    </xf>
    <xf numFmtId="0" fontId="13" fillId="5" borderId="41" xfId="0" applyFont="1" applyFill="1" applyBorder="1" applyAlignment="1" applyProtection="1">
      <alignment horizontal="center" vertical="center" readingOrder="2"/>
      <protection hidden="1"/>
    </xf>
    <xf numFmtId="0" fontId="13" fillId="5" borderId="42" xfId="0" applyFont="1" applyFill="1" applyBorder="1" applyAlignment="1" applyProtection="1">
      <alignment horizontal="center" vertical="center" readingOrder="2"/>
      <protection hidden="1"/>
    </xf>
    <xf numFmtId="0" fontId="13" fillId="5" borderId="43" xfId="0" applyFont="1" applyFill="1" applyBorder="1" applyAlignment="1" applyProtection="1">
      <alignment horizontal="center" vertical="center" readingOrder="2"/>
      <protection hidden="1"/>
    </xf>
    <xf numFmtId="0" fontId="13" fillId="5" borderId="35" xfId="0" applyFont="1" applyFill="1" applyBorder="1" applyAlignment="1" applyProtection="1">
      <alignment horizontal="center" vertical="center" readingOrder="2"/>
      <protection hidden="1"/>
    </xf>
    <xf numFmtId="0" fontId="13" fillId="2" borderId="13" xfId="0" applyFont="1" applyFill="1" applyBorder="1" applyAlignment="1" applyProtection="1">
      <alignment horizontal="center" vertical="center" readingOrder="2"/>
      <protection hidden="1"/>
    </xf>
    <xf numFmtId="0" fontId="13" fillId="2" borderId="12" xfId="0" applyFont="1" applyFill="1" applyBorder="1" applyAlignment="1" applyProtection="1">
      <alignment horizontal="center" vertical="center" readingOrder="2"/>
      <protection hidden="1"/>
    </xf>
    <xf numFmtId="0" fontId="13" fillId="5" borderId="44" xfId="0" applyFont="1" applyFill="1" applyBorder="1" applyAlignment="1" applyProtection="1">
      <alignment horizontal="center" readingOrder="2"/>
      <protection hidden="1"/>
    </xf>
    <xf numFmtId="0" fontId="13" fillId="5" borderId="36" xfId="0" applyFont="1" applyFill="1" applyBorder="1" applyAlignment="1" applyProtection="1">
      <alignment horizontal="center" readingOrder="2"/>
      <protection hidden="1"/>
    </xf>
    <xf numFmtId="0" fontId="5" fillId="5" borderId="44" xfId="0" applyFont="1" applyFill="1" applyBorder="1" applyAlignment="1">
      <alignment horizontal="center" readingOrder="2"/>
    </xf>
    <xf numFmtId="0" fontId="5" fillId="5" borderId="50" xfId="0" applyFont="1" applyFill="1" applyBorder="1" applyAlignment="1">
      <alignment horizontal="center" readingOrder="2"/>
    </xf>
    <xf numFmtId="0" fontId="5" fillId="5" borderId="36" xfId="0" applyFont="1" applyFill="1" applyBorder="1" applyAlignment="1">
      <alignment horizontal="center" readingOrder="2"/>
    </xf>
    <xf numFmtId="0" fontId="5" fillId="5" borderId="13" xfId="0" applyFont="1" applyFill="1" applyBorder="1" applyAlignment="1">
      <alignment horizontal="center" vertical="center" readingOrder="2"/>
    </xf>
    <xf numFmtId="0" fontId="5" fillId="5" borderId="25" xfId="0" applyFont="1" applyFill="1" applyBorder="1" applyAlignment="1">
      <alignment horizontal="center" vertical="center" readingOrder="2"/>
    </xf>
    <xf numFmtId="0" fontId="5" fillId="5" borderId="12" xfId="0" applyFont="1" applyFill="1" applyBorder="1" applyAlignment="1">
      <alignment horizontal="center" vertical="center" readingOrder="2"/>
    </xf>
    <xf numFmtId="164" fontId="14" fillId="5" borderId="13" xfId="0" applyNumberFormat="1" applyFont="1" applyFill="1" applyBorder="1" applyAlignment="1" applyProtection="1">
      <alignment horizontal="center" vertical="center" wrapText="1" readingOrder="2"/>
      <protection hidden="1"/>
    </xf>
    <xf numFmtId="164" fontId="14" fillId="5" borderId="25" xfId="0" applyNumberFormat="1" applyFont="1" applyFill="1" applyBorder="1" applyAlignment="1" applyProtection="1">
      <alignment horizontal="center" vertical="center" wrapText="1" readingOrder="2"/>
      <protection hidden="1"/>
    </xf>
    <xf numFmtId="164" fontId="14" fillId="5" borderId="12" xfId="0" applyNumberFormat="1" applyFont="1" applyFill="1" applyBorder="1" applyAlignment="1" applyProtection="1">
      <alignment horizontal="center" vertical="center" wrapText="1" readingOrder="2"/>
      <protection hidden="1"/>
    </xf>
    <xf numFmtId="164" fontId="3" fillId="5" borderId="13" xfId="0" applyNumberFormat="1" applyFont="1" applyFill="1" applyBorder="1" applyAlignment="1">
      <alignment horizontal="center" vertical="center" wrapText="1" readingOrder="2"/>
    </xf>
    <xf numFmtId="0" fontId="3" fillId="5" borderId="25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0" fontId="5" fillId="4" borderId="13" xfId="0" applyFont="1" applyFill="1" applyBorder="1" applyAlignment="1">
      <alignment horizontal="center" vertical="center" wrapText="1" readingOrder="2"/>
    </xf>
    <xf numFmtId="0" fontId="5" fillId="4" borderId="25" xfId="0" applyFont="1" applyFill="1" applyBorder="1" applyAlignment="1">
      <alignment horizontal="center" vertical="center" wrapText="1" readingOrder="2"/>
    </xf>
    <xf numFmtId="0" fontId="5" fillId="4" borderId="12" xfId="0" applyFont="1" applyFill="1" applyBorder="1" applyAlignment="1">
      <alignment horizontal="center" vertical="center" wrapText="1" readingOrder="2"/>
    </xf>
    <xf numFmtId="0" fontId="5" fillId="2" borderId="44" xfId="0" applyFont="1" applyFill="1" applyBorder="1" applyAlignment="1">
      <alignment horizontal="center" readingOrder="2"/>
    </xf>
    <xf numFmtId="0" fontId="5" fillId="2" borderId="36" xfId="0" applyFont="1" applyFill="1" applyBorder="1" applyAlignment="1">
      <alignment horizontal="center" readingOrder="2"/>
    </xf>
    <xf numFmtId="0" fontId="5" fillId="0" borderId="44" xfId="0" applyFont="1" applyBorder="1" applyAlignment="1">
      <alignment horizontal="center" readingOrder="2"/>
    </xf>
    <xf numFmtId="0" fontId="5" fillId="0" borderId="50" xfId="0" applyFont="1" applyBorder="1" applyAlignment="1">
      <alignment horizontal="center" readingOrder="2"/>
    </xf>
    <xf numFmtId="0" fontId="5" fillId="0" borderId="36" xfId="0" applyFont="1" applyBorder="1" applyAlignment="1">
      <alignment horizontal="center" readingOrder="2"/>
    </xf>
    <xf numFmtId="0" fontId="5" fillId="4" borderId="13" xfId="0" applyFont="1" applyFill="1" applyBorder="1" applyAlignment="1">
      <alignment horizontal="center" vertical="center" readingOrder="2"/>
    </xf>
    <xf numFmtId="0" fontId="5" fillId="4" borderId="12" xfId="0" applyFont="1" applyFill="1" applyBorder="1" applyAlignment="1">
      <alignment horizontal="center" vertical="center" readingOrder="2"/>
    </xf>
    <xf numFmtId="0" fontId="5" fillId="0" borderId="13" xfId="0" applyFont="1" applyBorder="1" applyAlignment="1">
      <alignment horizontal="center" vertical="center" wrapText="1" readingOrder="2"/>
    </xf>
    <xf numFmtId="0" fontId="4" fillId="0" borderId="12" xfId="0" applyFont="1" applyBorder="1" applyAlignment="1">
      <alignment vertical="center" wrapText="1" readingOrder="2"/>
    </xf>
    <xf numFmtId="0" fontId="3" fillId="0" borderId="13" xfId="0" applyFont="1" applyBorder="1" applyAlignment="1">
      <alignment horizontal="center" vertical="center" wrapText="1" readingOrder="2"/>
    </xf>
    <xf numFmtId="0" fontId="3" fillId="0" borderId="25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5" fillId="0" borderId="44" xfId="0" applyFont="1" applyBorder="1" applyAlignment="1">
      <alignment horizontal="center" vertical="center" readingOrder="2"/>
    </xf>
    <xf numFmtId="0" fontId="5" fillId="0" borderId="36" xfId="0" applyFont="1" applyBorder="1" applyAlignment="1">
      <alignment horizontal="center" vertical="center" readingOrder="2"/>
    </xf>
    <xf numFmtId="0" fontId="4" fillId="0" borderId="25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BD7E3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2"/>
  <sheetViews>
    <sheetView rightToLeft="1" tabSelected="1" topLeftCell="BT1" workbookViewId="0">
      <pane ySplit="1650" topLeftCell="A14" activePane="bottomLeft"/>
      <selection activeCell="DN1" sqref="DN1:DO1048576"/>
      <selection pane="bottomLeft" activeCell="CI44" sqref="CI44"/>
    </sheetView>
  </sheetViews>
  <sheetFormatPr defaultColWidth="11" defaultRowHeight="17.100000000000001" customHeight="1" x14ac:dyDescent="0.2"/>
  <cols>
    <col min="1" max="1" width="10.140625" style="78" customWidth="1"/>
    <col min="2" max="2" width="6.5703125" style="78" customWidth="1"/>
    <col min="3" max="3" width="6.42578125" style="78" customWidth="1"/>
    <col min="4" max="8" width="11" style="16" customWidth="1"/>
    <col min="9" max="9" width="3.28515625" style="16" customWidth="1"/>
    <col min="10" max="10" width="11" style="16" customWidth="1"/>
    <col min="11" max="12" width="8.85546875" style="16" customWidth="1"/>
    <col min="13" max="17" width="11" style="16" customWidth="1"/>
    <col min="18" max="18" width="3.28515625" style="16" customWidth="1"/>
    <col min="19" max="19" width="11" style="16" customWidth="1"/>
    <col min="20" max="21" width="8.85546875" style="16" customWidth="1"/>
    <col min="22" max="26" width="11" style="16" customWidth="1"/>
    <col min="27" max="27" width="3.28515625" style="16" customWidth="1"/>
    <col min="28" max="28" width="11" style="16" customWidth="1"/>
    <col min="29" max="30" width="8.85546875" style="16" customWidth="1"/>
    <col min="31" max="35" width="11" style="16" customWidth="1"/>
    <col min="36" max="36" width="3.28515625" style="16" customWidth="1"/>
    <col min="37" max="37" width="11" style="16" customWidth="1"/>
    <col min="38" max="39" width="8.85546875" style="16" customWidth="1"/>
    <col min="40" max="44" width="11" style="16" customWidth="1"/>
    <col min="45" max="45" width="3.28515625" style="16" customWidth="1"/>
    <col min="46" max="46" width="11" style="16" customWidth="1"/>
    <col min="47" max="48" width="8.85546875" style="16" customWidth="1"/>
    <col min="49" max="53" width="11" style="16" customWidth="1"/>
    <col min="54" max="54" width="3.28515625" style="16" customWidth="1"/>
    <col min="55" max="55" width="11" style="16" customWidth="1"/>
    <col min="56" max="57" width="8.85546875" style="16" customWidth="1"/>
    <col min="58" max="62" width="11" style="16" customWidth="1"/>
    <col min="63" max="63" width="3.28515625" style="16" customWidth="1"/>
    <col min="64" max="64" width="11" style="16" customWidth="1"/>
    <col min="65" max="66" width="8.85546875" style="16" customWidth="1"/>
    <col min="67" max="71" width="11" style="16" customWidth="1"/>
    <col min="72" max="72" width="3.28515625" style="16" customWidth="1"/>
    <col min="73" max="73" width="11" style="16" customWidth="1"/>
    <col min="74" max="75" width="8.85546875" style="16" customWidth="1"/>
    <col min="76" max="80" width="11" style="16" customWidth="1"/>
    <col min="81" max="81" width="3.28515625" style="16" customWidth="1"/>
    <col min="82" max="82" width="11" style="16" customWidth="1"/>
    <col min="83" max="84" width="8.85546875" style="16" customWidth="1"/>
    <col min="85" max="89" width="11" style="16" customWidth="1"/>
    <col min="90" max="90" width="3.28515625" style="16" customWidth="1"/>
    <col min="91" max="91" width="11" style="16" customWidth="1"/>
    <col min="92" max="93" width="8.85546875" style="16" customWidth="1"/>
    <col min="94" max="98" width="11" style="16" customWidth="1"/>
    <col min="99" max="99" width="3.28515625" style="16" customWidth="1"/>
    <col min="100" max="100" width="11" style="16" customWidth="1"/>
    <col min="101" max="102" width="8.85546875" style="16" customWidth="1"/>
    <col min="103" max="107" width="11" style="16" customWidth="1"/>
    <col min="108" max="108" width="3.28515625" style="16" customWidth="1"/>
    <col min="109" max="116" width="11" style="16" customWidth="1"/>
    <col min="117" max="117" width="4.140625" style="16" customWidth="1"/>
    <col min="118" max="16384" width="11" style="16"/>
  </cols>
  <sheetData>
    <row r="1" spans="1:117" ht="17.100000000000001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M1" s="17"/>
    </row>
    <row r="2" spans="1:117" s="118" customFormat="1" ht="17.100000000000001" customHeight="1" thickBot="1" x14ac:dyDescent="0.3">
      <c r="A2" s="120" t="s">
        <v>26</v>
      </c>
      <c r="B2" s="120"/>
      <c r="C2" s="79"/>
      <c r="D2" s="114" t="s">
        <v>1</v>
      </c>
      <c r="E2" s="115">
        <v>1</v>
      </c>
      <c r="F2" s="114">
        <v>1447</v>
      </c>
      <c r="G2" s="116" t="s">
        <v>17</v>
      </c>
      <c r="H2" s="116"/>
      <c r="I2" s="117"/>
      <c r="J2" s="120" t="s">
        <v>26</v>
      </c>
      <c r="K2" s="120"/>
      <c r="L2" s="79"/>
      <c r="M2" s="114" t="s">
        <v>1</v>
      </c>
      <c r="N2" s="115">
        <v>2</v>
      </c>
      <c r="O2" s="114">
        <v>1447</v>
      </c>
      <c r="P2" s="116" t="s">
        <v>17</v>
      </c>
      <c r="Q2" s="116"/>
      <c r="R2" s="117"/>
      <c r="S2" s="120" t="s">
        <v>26</v>
      </c>
      <c r="T2" s="120"/>
      <c r="U2" s="79"/>
      <c r="V2" s="114" t="s">
        <v>1</v>
      </c>
      <c r="W2" s="115">
        <v>3</v>
      </c>
      <c r="X2" s="114">
        <v>1447</v>
      </c>
      <c r="Y2" s="116" t="s">
        <v>17</v>
      </c>
      <c r="Z2" s="116"/>
      <c r="AA2" s="117"/>
      <c r="AB2" s="120" t="s">
        <v>26</v>
      </c>
      <c r="AC2" s="120"/>
      <c r="AD2" s="79"/>
      <c r="AE2" s="114" t="s">
        <v>1</v>
      </c>
      <c r="AF2" s="115">
        <v>4</v>
      </c>
      <c r="AG2" s="114">
        <v>1447</v>
      </c>
      <c r="AH2" s="116" t="s">
        <v>17</v>
      </c>
      <c r="AI2" s="116"/>
      <c r="AJ2" s="117"/>
      <c r="AK2" s="120" t="s">
        <v>26</v>
      </c>
      <c r="AL2" s="120"/>
      <c r="AM2" s="79"/>
      <c r="AN2" s="114" t="s">
        <v>1</v>
      </c>
      <c r="AO2" s="115">
        <v>5</v>
      </c>
      <c r="AP2" s="114">
        <v>1447</v>
      </c>
      <c r="AQ2" s="116" t="s">
        <v>17</v>
      </c>
      <c r="AR2" s="116"/>
      <c r="AS2" s="117"/>
      <c r="AT2" s="120" t="s">
        <v>26</v>
      </c>
      <c r="AU2" s="120"/>
      <c r="AV2" s="79"/>
      <c r="AW2" s="114" t="s">
        <v>1</v>
      </c>
      <c r="AX2" s="115">
        <v>6</v>
      </c>
      <c r="AY2" s="114">
        <v>1447</v>
      </c>
      <c r="AZ2" s="116" t="s">
        <v>17</v>
      </c>
      <c r="BA2" s="116"/>
      <c r="BB2" s="117"/>
      <c r="BC2" s="120" t="s">
        <v>26</v>
      </c>
      <c r="BD2" s="120"/>
      <c r="BE2" s="79"/>
      <c r="BF2" s="114" t="s">
        <v>1</v>
      </c>
      <c r="BG2" s="115">
        <v>7</v>
      </c>
      <c r="BH2" s="114">
        <v>1447</v>
      </c>
      <c r="BI2" s="116" t="s">
        <v>17</v>
      </c>
      <c r="BJ2" s="116"/>
      <c r="BK2" s="117"/>
      <c r="BL2" s="120" t="s">
        <v>26</v>
      </c>
      <c r="BM2" s="120"/>
      <c r="BN2" s="79"/>
      <c r="BO2" s="114" t="s">
        <v>1</v>
      </c>
      <c r="BP2" s="115">
        <v>8</v>
      </c>
      <c r="BQ2" s="114">
        <v>1447</v>
      </c>
      <c r="BR2" s="116" t="s">
        <v>17</v>
      </c>
      <c r="BS2" s="116"/>
      <c r="BT2" s="117"/>
      <c r="BU2" s="120" t="s">
        <v>26</v>
      </c>
      <c r="BV2" s="120"/>
      <c r="BW2" s="79"/>
      <c r="BX2" s="114" t="s">
        <v>1</v>
      </c>
      <c r="BY2" s="115">
        <v>9</v>
      </c>
      <c r="BZ2" s="114">
        <v>1447</v>
      </c>
      <c r="CA2" s="116" t="s">
        <v>17</v>
      </c>
      <c r="CB2" s="116"/>
      <c r="CC2" s="117"/>
      <c r="CD2" s="120" t="s">
        <v>26</v>
      </c>
      <c r="CE2" s="120"/>
      <c r="CF2" s="79"/>
      <c r="CG2" s="114" t="s">
        <v>1</v>
      </c>
      <c r="CH2" s="115">
        <v>10</v>
      </c>
      <c r="CI2" s="114">
        <v>1447</v>
      </c>
      <c r="CJ2" s="116" t="s">
        <v>17</v>
      </c>
      <c r="CK2" s="116"/>
      <c r="CL2" s="117"/>
      <c r="CM2" s="120" t="s">
        <v>26</v>
      </c>
      <c r="CN2" s="120"/>
      <c r="CO2" s="79"/>
      <c r="CP2" s="114" t="s">
        <v>1</v>
      </c>
      <c r="CQ2" s="115">
        <v>11</v>
      </c>
      <c r="CR2" s="114">
        <v>1447</v>
      </c>
      <c r="CS2" s="116" t="s">
        <v>17</v>
      </c>
      <c r="CT2" s="116"/>
      <c r="CU2" s="117"/>
      <c r="CV2" s="120" t="s">
        <v>26</v>
      </c>
      <c r="CW2" s="120"/>
      <c r="CX2" s="79"/>
      <c r="CY2" s="114" t="s">
        <v>1</v>
      </c>
      <c r="CZ2" s="115">
        <v>12</v>
      </c>
      <c r="DA2" s="114">
        <v>1447</v>
      </c>
      <c r="DB2" s="116" t="s">
        <v>17</v>
      </c>
      <c r="DC2" s="116"/>
      <c r="DD2" s="117"/>
      <c r="DE2" s="113" t="s">
        <v>0</v>
      </c>
      <c r="DF2" s="113"/>
      <c r="DH2" s="114"/>
      <c r="DI2" s="115" t="s">
        <v>16</v>
      </c>
      <c r="DJ2" s="114">
        <f>SUM(DA2)</f>
        <v>1447</v>
      </c>
      <c r="DK2" s="116" t="s">
        <v>17</v>
      </c>
      <c r="DL2" s="116"/>
      <c r="DM2" s="119"/>
    </row>
    <row r="3" spans="1:117" ht="17.100000000000001" customHeight="1" thickBot="1" x14ac:dyDescent="0.3">
      <c r="A3" s="213" t="s">
        <v>15</v>
      </c>
      <c r="B3" s="214"/>
      <c r="C3" s="215"/>
      <c r="D3" s="223" t="s">
        <v>2</v>
      </c>
      <c r="E3" s="224"/>
      <c r="F3" s="224"/>
      <c r="G3" s="226" t="s">
        <v>3</v>
      </c>
      <c r="H3" s="127" t="s">
        <v>4</v>
      </c>
      <c r="I3" s="40"/>
      <c r="J3" s="213" t="s">
        <v>15</v>
      </c>
      <c r="K3" s="214"/>
      <c r="L3" s="215"/>
      <c r="M3" s="223" t="s">
        <v>2</v>
      </c>
      <c r="N3" s="224"/>
      <c r="O3" s="224"/>
      <c r="P3" s="226" t="s">
        <v>3</v>
      </c>
      <c r="Q3" s="127" t="s">
        <v>4</v>
      </c>
      <c r="R3" s="40"/>
      <c r="S3" s="213" t="s">
        <v>15</v>
      </c>
      <c r="T3" s="214"/>
      <c r="U3" s="215"/>
      <c r="V3" s="223" t="s">
        <v>2</v>
      </c>
      <c r="W3" s="224"/>
      <c r="X3" s="224"/>
      <c r="Y3" s="226" t="s">
        <v>3</v>
      </c>
      <c r="Z3" s="127" t="s">
        <v>4</v>
      </c>
      <c r="AA3" s="40"/>
      <c r="AB3" s="213" t="s">
        <v>15</v>
      </c>
      <c r="AC3" s="214"/>
      <c r="AD3" s="215"/>
      <c r="AE3" s="223" t="s">
        <v>2</v>
      </c>
      <c r="AF3" s="224"/>
      <c r="AG3" s="224"/>
      <c r="AH3" s="226" t="s">
        <v>3</v>
      </c>
      <c r="AI3" s="127" t="s">
        <v>4</v>
      </c>
      <c r="AJ3" s="40"/>
      <c r="AK3" s="213" t="s">
        <v>15</v>
      </c>
      <c r="AL3" s="214"/>
      <c r="AM3" s="215"/>
      <c r="AN3" s="223" t="s">
        <v>2</v>
      </c>
      <c r="AO3" s="224"/>
      <c r="AP3" s="224"/>
      <c r="AQ3" s="226" t="s">
        <v>3</v>
      </c>
      <c r="AR3" s="127" t="s">
        <v>4</v>
      </c>
      <c r="AS3" s="40"/>
      <c r="AT3" s="213" t="s">
        <v>15</v>
      </c>
      <c r="AU3" s="214"/>
      <c r="AV3" s="215"/>
      <c r="AW3" s="223" t="s">
        <v>2</v>
      </c>
      <c r="AX3" s="224"/>
      <c r="AY3" s="224"/>
      <c r="AZ3" s="226" t="s">
        <v>3</v>
      </c>
      <c r="BA3" s="127" t="s">
        <v>4</v>
      </c>
      <c r="BB3" s="40"/>
      <c r="BC3" s="213" t="s">
        <v>15</v>
      </c>
      <c r="BD3" s="214"/>
      <c r="BE3" s="215"/>
      <c r="BF3" s="223" t="s">
        <v>2</v>
      </c>
      <c r="BG3" s="224"/>
      <c r="BH3" s="224"/>
      <c r="BI3" s="226" t="s">
        <v>3</v>
      </c>
      <c r="BJ3" s="127" t="s">
        <v>4</v>
      </c>
      <c r="BK3" s="40"/>
      <c r="BL3" s="213" t="s">
        <v>15</v>
      </c>
      <c r="BM3" s="214"/>
      <c r="BN3" s="215"/>
      <c r="BO3" s="223" t="s">
        <v>2</v>
      </c>
      <c r="BP3" s="224"/>
      <c r="BQ3" s="224"/>
      <c r="BR3" s="226" t="s">
        <v>3</v>
      </c>
      <c r="BS3" s="127" t="s">
        <v>4</v>
      </c>
      <c r="BT3" s="40"/>
      <c r="BU3" s="213" t="s">
        <v>15</v>
      </c>
      <c r="BV3" s="214"/>
      <c r="BW3" s="215"/>
      <c r="BX3" s="223" t="s">
        <v>2</v>
      </c>
      <c r="BY3" s="224"/>
      <c r="BZ3" s="224"/>
      <c r="CA3" s="226" t="s">
        <v>3</v>
      </c>
      <c r="CB3" s="127" t="s">
        <v>4</v>
      </c>
      <c r="CC3" s="40"/>
      <c r="CD3" s="213" t="s">
        <v>15</v>
      </c>
      <c r="CE3" s="214"/>
      <c r="CF3" s="215"/>
      <c r="CG3" s="223" t="s">
        <v>2</v>
      </c>
      <c r="CH3" s="224"/>
      <c r="CI3" s="224"/>
      <c r="CJ3" s="226" t="s">
        <v>3</v>
      </c>
      <c r="CK3" s="127" t="s">
        <v>4</v>
      </c>
      <c r="CL3" s="40"/>
      <c r="CM3" s="213" t="s">
        <v>15</v>
      </c>
      <c r="CN3" s="214"/>
      <c r="CO3" s="215"/>
      <c r="CP3" s="223" t="s">
        <v>2</v>
      </c>
      <c r="CQ3" s="224"/>
      <c r="CR3" s="224"/>
      <c r="CS3" s="226" t="s">
        <v>3</v>
      </c>
      <c r="CT3" s="127" t="s">
        <v>4</v>
      </c>
      <c r="CU3" s="40"/>
      <c r="CV3" s="213" t="s">
        <v>15</v>
      </c>
      <c r="CW3" s="214"/>
      <c r="CX3" s="215"/>
      <c r="CY3" s="223" t="s">
        <v>2</v>
      </c>
      <c r="CZ3" s="224"/>
      <c r="DA3" s="224"/>
      <c r="DB3" s="226" t="s">
        <v>3</v>
      </c>
      <c r="DC3" s="127" t="s">
        <v>4</v>
      </c>
      <c r="DD3" s="40"/>
      <c r="DE3" s="206" t="s">
        <v>15</v>
      </c>
      <c r="DF3" s="243" t="s">
        <v>5</v>
      </c>
      <c r="DG3" s="235" t="s">
        <v>6</v>
      </c>
      <c r="DH3" s="240" t="s">
        <v>2</v>
      </c>
      <c r="DI3" s="241"/>
      <c r="DJ3" s="242"/>
      <c r="DK3" s="235" t="s">
        <v>3</v>
      </c>
      <c r="DL3" s="18" t="s">
        <v>4</v>
      </c>
      <c r="DM3" s="17"/>
    </row>
    <row r="4" spans="1:117" ht="20.25" customHeight="1" thickBot="1" x14ac:dyDescent="0.3">
      <c r="A4" s="216"/>
      <c r="B4" s="217"/>
      <c r="C4" s="218"/>
      <c r="D4" s="137" t="s">
        <v>7</v>
      </c>
      <c r="E4" s="92" t="s">
        <v>8</v>
      </c>
      <c r="F4" s="93" t="s">
        <v>9</v>
      </c>
      <c r="G4" s="228"/>
      <c r="H4" s="128" t="s">
        <v>10</v>
      </c>
      <c r="I4" s="40"/>
      <c r="J4" s="216"/>
      <c r="K4" s="217"/>
      <c r="L4" s="218"/>
      <c r="M4" s="137" t="s">
        <v>7</v>
      </c>
      <c r="N4" s="92" t="s">
        <v>8</v>
      </c>
      <c r="O4" s="93" t="s">
        <v>9</v>
      </c>
      <c r="P4" s="228"/>
      <c r="Q4" s="128" t="s">
        <v>10</v>
      </c>
      <c r="R4" s="40"/>
      <c r="S4" s="216"/>
      <c r="T4" s="217"/>
      <c r="U4" s="218"/>
      <c r="V4" s="137" t="s">
        <v>7</v>
      </c>
      <c r="W4" s="92" t="s">
        <v>8</v>
      </c>
      <c r="X4" s="93" t="s">
        <v>9</v>
      </c>
      <c r="Y4" s="228"/>
      <c r="Z4" s="128" t="s">
        <v>10</v>
      </c>
      <c r="AA4" s="40"/>
      <c r="AB4" s="216"/>
      <c r="AC4" s="217"/>
      <c r="AD4" s="218"/>
      <c r="AE4" s="137" t="s">
        <v>7</v>
      </c>
      <c r="AF4" s="92" t="s">
        <v>8</v>
      </c>
      <c r="AG4" s="93" t="s">
        <v>9</v>
      </c>
      <c r="AH4" s="228"/>
      <c r="AI4" s="128" t="s">
        <v>10</v>
      </c>
      <c r="AJ4" s="40"/>
      <c r="AK4" s="216"/>
      <c r="AL4" s="217"/>
      <c r="AM4" s="218"/>
      <c r="AN4" s="137" t="s">
        <v>7</v>
      </c>
      <c r="AO4" s="92" t="s">
        <v>8</v>
      </c>
      <c r="AP4" s="93" t="s">
        <v>9</v>
      </c>
      <c r="AQ4" s="228"/>
      <c r="AR4" s="128" t="s">
        <v>10</v>
      </c>
      <c r="AS4" s="40"/>
      <c r="AT4" s="216"/>
      <c r="AU4" s="217"/>
      <c r="AV4" s="218"/>
      <c r="AW4" s="137" t="s">
        <v>7</v>
      </c>
      <c r="AX4" s="92" t="s">
        <v>8</v>
      </c>
      <c r="AY4" s="93" t="s">
        <v>9</v>
      </c>
      <c r="AZ4" s="228"/>
      <c r="BA4" s="128" t="s">
        <v>10</v>
      </c>
      <c r="BB4" s="40"/>
      <c r="BC4" s="216"/>
      <c r="BD4" s="217"/>
      <c r="BE4" s="218"/>
      <c r="BF4" s="137" t="s">
        <v>7</v>
      </c>
      <c r="BG4" s="92" t="s">
        <v>8</v>
      </c>
      <c r="BH4" s="93" t="s">
        <v>9</v>
      </c>
      <c r="BI4" s="228"/>
      <c r="BJ4" s="128" t="s">
        <v>10</v>
      </c>
      <c r="BK4" s="40"/>
      <c r="BL4" s="216"/>
      <c r="BM4" s="217"/>
      <c r="BN4" s="218"/>
      <c r="BO4" s="137" t="s">
        <v>7</v>
      </c>
      <c r="BP4" s="92" t="s">
        <v>8</v>
      </c>
      <c r="BQ4" s="93" t="s">
        <v>9</v>
      </c>
      <c r="BR4" s="228"/>
      <c r="BS4" s="128" t="s">
        <v>10</v>
      </c>
      <c r="BT4" s="40"/>
      <c r="BU4" s="216"/>
      <c r="BV4" s="217"/>
      <c r="BW4" s="218"/>
      <c r="BX4" s="137" t="s">
        <v>7</v>
      </c>
      <c r="BY4" s="92" t="s">
        <v>8</v>
      </c>
      <c r="BZ4" s="93" t="s">
        <v>9</v>
      </c>
      <c r="CA4" s="228"/>
      <c r="CB4" s="128" t="s">
        <v>10</v>
      </c>
      <c r="CC4" s="40"/>
      <c r="CD4" s="216"/>
      <c r="CE4" s="217"/>
      <c r="CF4" s="218"/>
      <c r="CG4" s="137" t="s">
        <v>7</v>
      </c>
      <c r="CH4" s="92" t="s">
        <v>8</v>
      </c>
      <c r="CI4" s="93" t="s">
        <v>9</v>
      </c>
      <c r="CJ4" s="228"/>
      <c r="CK4" s="128" t="s">
        <v>10</v>
      </c>
      <c r="CL4" s="40"/>
      <c r="CM4" s="216"/>
      <c r="CN4" s="217"/>
      <c r="CO4" s="218"/>
      <c r="CP4" s="137" t="s">
        <v>7</v>
      </c>
      <c r="CQ4" s="92" t="s">
        <v>8</v>
      </c>
      <c r="CR4" s="93" t="s">
        <v>9</v>
      </c>
      <c r="CS4" s="228"/>
      <c r="CT4" s="128" t="s">
        <v>10</v>
      </c>
      <c r="CU4" s="40"/>
      <c r="CV4" s="216"/>
      <c r="CW4" s="217"/>
      <c r="CX4" s="218"/>
      <c r="CY4" s="137" t="s">
        <v>7</v>
      </c>
      <c r="CZ4" s="92" t="s">
        <v>8</v>
      </c>
      <c r="DA4" s="93" t="s">
        <v>9</v>
      </c>
      <c r="DB4" s="228"/>
      <c r="DC4" s="128" t="s">
        <v>10</v>
      </c>
      <c r="DD4" s="40"/>
      <c r="DE4" s="207"/>
      <c r="DF4" s="244"/>
      <c r="DG4" s="237"/>
      <c r="DH4" s="41" t="s">
        <v>7</v>
      </c>
      <c r="DI4" s="39" t="s">
        <v>8</v>
      </c>
      <c r="DJ4" s="42" t="s">
        <v>9</v>
      </c>
      <c r="DK4" s="236"/>
      <c r="DL4" s="36" t="s">
        <v>10</v>
      </c>
      <c r="DM4" s="17"/>
    </row>
    <row r="5" spans="1:117" ht="17.100000000000001" customHeight="1" thickTop="1" thickBot="1" x14ac:dyDescent="0.3">
      <c r="A5" s="208" t="s">
        <v>19</v>
      </c>
      <c r="B5" s="219" t="s">
        <v>12</v>
      </c>
      <c r="C5" s="80" t="s">
        <v>11</v>
      </c>
      <c r="D5" s="152">
        <v>0</v>
      </c>
      <c r="E5" s="153">
        <v>3</v>
      </c>
      <c r="F5" s="154">
        <v>280</v>
      </c>
      <c r="G5" s="4">
        <f>SUM(D5:F5)</f>
        <v>283</v>
      </c>
      <c r="H5" s="5">
        <v>0</v>
      </c>
      <c r="I5" s="40"/>
      <c r="J5" s="208" t="s">
        <v>19</v>
      </c>
      <c r="K5" s="219" t="s">
        <v>12</v>
      </c>
      <c r="L5" s="80" t="s">
        <v>11</v>
      </c>
      <c r="M5" s="152">
        <v>0</v>
      </c>
      <c r="N5" s="153">
        <v>9</v>
      </c>
      <c r="O5" s="154">
        <v>301</v>
      </c>
      <c r="P5" s="164">
        <v>310</v>
      </c>
      <c r="Q5" s="5">
        <v>0</v>
      </c>
      <c r="R5" s="40"/>
      <c r="S5" s="208" t="s">
        <v>19</v>
      </c>
      <c r="T5" s="219" t="s">
        <v>12</v>
      </c>
      <c r="U5" s="80" t="s">
        <v>11</v>
      </c>
      <c r="V5" s="152">
        <v>0</v>
      </c>
      <c r="W5" s="153">
        <v>105</v>
      </c>
      <c r="X5" s="154">
        <v>225</v>
      </c>
      <c r="Y5" s="4">
        <f>SUM(V5:X5)</f>
        <v>330</v>
      </c>
      <c r="Z5" s="5">
        <v>0</v>
      </c>
      <c r="AA5" s="40"/>
      <c r="AB5" s="208" t="s">
        <v>19</v>
      </c>
      <c r="AC5" s="219" t="s">
        <v>12</v>
      </c>
      <c r="AD5" s="80" t="s">
        <v>11</v>
      </c>
      <c r="AE5" s="152">
        <v>0</v>
      </c>
      <c r="AF5" s="153">
        <v>38</v>
      </c>
      <c r="AG5" s="154">
        <v>258</v>
      </c>
      <c r="AH5" s="4">
        <f>SUM(AE5:AG5)</f>
        <v>296</v>
      </c>
      <c r="AI5" s="5">
        <v>0</v>
      </c>
      <c r="AJ5" s="40"/>
      <c r="AK5" s="208" t="s">
        <v>19</v>
      </c>
      <c r="AL5" s="219" t="s">
        <v>12</v>
      </c>
      <c r="AM5" s="80" t="s">
        <v>11</v>
      </c>
      <c r="AN5" s="1">
        <v>0</v>
      </c>
      <c r="AO5" s="2">
        <v>33</v>
      </c>
      <c r="AP5" s="3">
        <v>325</v>
      </c>
      <c r="AQ5" s="4">
        <f>SUM(AN5:AP5)</f>
        <v>358</v>
      </c>
      <c r="AR5" s="5">
        <v>0</v>
      </c>
      <c r="AS5" s="40"/>
      <c r="AT5" s="208" t="s">
        <v>19</v>
      </c>
      <c r="AU5" s="219" t="s">
        <v>12</v>
      </c>
      <c r="AV5" s="80" t="s">
        <v>11</v>
      </c>
      <c r="AW5" s="1">
        <v>0</v>
      </c>
      <c r="AX5" s="2">
        <v>29</v>
      </c>
      <c r="AY5" s="3">
        <v>415</v>
      </c>
      <c r="AZ5" s="4">
        <f>SUM(AW5:AY5)</f>
        <v>444</v>
      </c>
      <c r="BA5" s="5">
        <v>0</v>
      </c>
      <c r="BB5" s="40"/>
      <c r="BC5" s="208" t="s">
        <v>19</v>
      </c>
      <c r="BD5" s="219" t="s">
        <v>12</v>
      </c>
      <c r="BE5" s="80" t="s">
        <v>11</v>
      </c>
      <c r="BF5" s="170">
        <v>0</v>
      </c>
      <c r="BG5" s="171">
        <v>11</v>
      </c>
      <c r="BH5" s="171">
        <v>315</v>
      </c>
      <c r="BI5" s="164">
        <v>326</v>
      </c>
      <c r="BJ5" s="5">
        <v>0</v>
      </c>
      <c r="BK5" s="40"/>
      <c r="BL5" s="208" t="s">
        <v>19</v>
      </c>
      <c r="BM5" s="219" t="s">
        <v>12</v>
      </c>
      <c r="BN5" s="80" t="s">
        <v>11</v>
      </c>
      <c r="BO5" s="176">
        <v>0</v>
      </c>
      <c r="BP5" s="177">
        <v>52</v>
      </c>
      <c r="BQ5" s="178">
        <v>185</v>
      </c>
      <c r="BR5" s="179">
        <f t="shared" ref="BR5:BR8" si="0">SUM(BO5:BQ5)</f>
        <v>237</v>
      </c>
      <c r="BS5" s="180">
        <v>0</v>
      </c>
      <c r="BT5" s="40"/>
      <c r="BU5" s="208" t="s">
        <v>19</v>
      </c>
      <c r="BV5" s="219" t="s">
        <v>12</v>
      </c>
      <c r="BW5" s="80" t="s">
        <v>11</v>
      </c>
      <c r="BX5" s="176">
        <v>0</v>
      </c>
      <c r="BY5" s="177">
        <v>17</v>
      </c>
      <c r="BZ5" s="178">
        <v>322</v>
      </c>
      <c r="CA5" s="179">
        <f t="shared" ref="CA5:CA8" si="1">SUM(BX5:BZ5)</f>
        <v>339</v>
      </c>
      <c r="CB5" s="180">
        <v>0</v>
      </c>
      <c r="CC5" s="40"/>
      <c r="CD5" s="208" t="s">
        <v>19</v>
      </c>
      <c r="CE5" s="219" t="s">
        <v>12</v>
      </c>
      <c r="CF5" s="80" t="s">
        <v>11</v>
      </c>
      <c r="CG5" s="176">
        <v>0</v>
      </c>
      <c r="CH5" s="177">
        <v>7</v>
      </c>
      <c r="CI5" s="178">
        <v>425</v>
      </c>
      <c r="CJ5" s="179">
        <f t="shared" ref="CJ5:CJ8" si="2">SUM(CG5:CI5)</f>
        <v>432</v>
      </c>
      <c r="CK5" s="180">
        <v>0</v>
      </c>
      <c r="CL5" s="40"/>
      <c r="CM5" s="208" t="s">
        <v>19</v>
      </c>
      <c r="CN5" s="219" t="s">
        <v>12</v>
      </c>
      <c r="CO5" s="80" t="s">
        <v>11</v>
      </c>
      <c r="CP5" s="1">
        <v>0</v>
      </c>
      <c r="CQ5" s="2">
        <v>0</v>
      </c>
      <c r="CR5" s="3">
        <v>0</v>
      </c>
      <c r="CS5" s="4">
        <f>SUM(CP5:CR5)</f>
        <v>0</v>
      </c>
      <c r="CT5" s="5">
        <v>0</v>
      </c>
      <c r="CU5" s="40"/>
      <c r="CV5" s="208" t="s">
        <v>19</v>
      </c>
      <c r="CW5" s="219" t="s">
        <v>12</v>
      </c>
      <c r="CX5" s="80" t="s">
        <v>11</v>
      </c>
      <c r="CY5" s="1">
        <v>0</v>
      </c>
      <c r="CZ5" s="2">
        <v>0</v>
      </c>
      <c r="DA5" s="3">
        <v>0</v>
      </c>
      <c r="DB5" s="4">
        <f>SUM(CY5:DA5)</f>
        <v>0</v>
      </c>
      <c r="DC5" s="5">
        <v>0</v>
      </c>
      <c r="DD5" s="40"/>
      <c r="DE5" s="208" t="str">
        <f>CV5</f>
        <v>الربيع والتوفيق</v>
      </c>
      <c r="DF5" s="18"/>
      <c r="DG5" s="27" t="s">
        <v>11</v>
      </c>
      <c r="DH5" s="1">
        <f t="shared" ref="DH5:DH8" si="3">D5+M5+V5+AE5+AN5+AW5+BF5+BO5+BX5+CG5+CP5+CY5</f>
        <v>0</v>
      </c>
      <c r="DI5" s="2">
        <f t="shared" ref="DI5:DI8" si="4">E5+N5+W5+AF5+AO5+AX5+BG5+BP5+BY5+CH5+CQ5+CZ5</f>
        <v>304</v>
      </c>
      <c r="DJ5" s="20">
        <f t="shared" ref="DJ5:DJ8" si="5">F5+O5+X5+AG5+AP5+AY5+BH5+BQ5+BZ5+CI5+CR5+DA5</f>
        <v>3051</v>
      </c>
      <c r="DK5" s="4">
        <f>SUM(DH5:DJ5)</f>
        <v>3355</v>
      </c>
      <c r="DL5" s="5">
        <f>H5+Q5+Z5+AI5+AR5+BA5+BJ5+BS5+CB5+CK5+CT5+DC5</f>
        <v>0</v>
      </c>
      <c r="DM5" s="17"/>
    </row>
    <row r="6" spans="1:117" ht="17.100000000000001" customHeight="1" thickBot="1" x14ac:dyDescent="0.3">
      <c r="A6" s="209"/>
      <c r="B6" s="220"/>
      <c r="C6" s="81" t="s">
        <v>13</v>
      </c>
      <c r="D6" s="155">
        <v>0</v>
      </c>
      <c r="E6" s="156">
        <v>10</v>
      </c>
      <c r="F6" s="157">
        <v>390</v>
      </c>
      <c r="G6" s="9">
        <f>SUM(D6:F6)</f>
        <v>400</v>
      </c>
      <c r="H6" s="10">
        <v>0</v>
      </c>
      <c r="I6" s="40"/>
      <c r="J6" s="209"/>
      <c r="K6" s="220"/>
      <c r="L6" s="81" t="s">
        <v>13</v>
      </c>
      <c r="M6" s="155">
        <v>0</v>
      </c>
      <c r="N6" s="156">
        <v>11</v>
      </c>
      <c r="O6" s="157">
        <v>398</v>
      </c>
      <c r="P6" s="165">
        <v>409</v>
      </c>
      <c r="Q6" s="10">
        <v>0</v>
      </c>
      <c r="R6" s="40"/>
      <c r="S6" s="209"/>
      <c r="T6" s="220"/>
      <c r="U6" s="81" t="s">
        <v>13</v>
      </c>
      <c r="V6" s="155">
        <v>0</v>
      </c>
      <c r="W6" s="156">
        <v>125</v>
      </c>
      <c r="X6" s="157">
        <v>242</v>
      </c>
      <c r="Y6" s="9">
        <f>SUM(V6:X6)</f>
        <v>367</v>
      </c>
      <c r="Z6" s="10">
        <v>0</v>
      </c>
      <c r="AA6" s="40"/>
      <c r="AB6" s="209"/>
      <c r="AC6" s="220"/>
      <c r="AD6" s="81" t="s">
        <v>13</v>
      </c>
      <c r="AE6" s="155">
        <v>0</v>
      </c>
      <c r="AF6" s="156">
        <v>77</v>
      </c>
      <c r="AG6" s="157">
        <v>238</v>
      </c>
      <c r="AH6" s="9">
        <f>SUM(AE6:AG6)</f>
        <v>315</v>
      </c>
      <c r="AI6" s="10">
        <v>0</v>
      </c>
      <c r="AJ6" s="40"/>
      <c r="AK6" s="209"/>
      <c r="AL6" s="220"/>
      <c r="AM6" s="81" t="s">
        <v>13</v>
      </c>
      <c r="AN6" s="6">
        <v>0</v>
      </c>
      <c r="AO6" s="7">
        <v>51</v>
      </c>
      <c r="AP6" s="8">
        <v>230</v>
      </c>
      <c r="AQ6" s="9">
        <f>SUM(AN6:AP6)</f>
        <v>281</v>
      </c>
      <c r="AR6" s="10">
        <v>0</v>
      </c>
      <c r="AS6" s="40"/>
      <c r="AT6" s="209"/>
      <c r="AU6" s="220"/>
      <c r="AV6" s="81" t="s">
        <v>13</v>
      </c>
      <c r="AW6" s="6">
        <v>0</v>
      </c>
      <c r="AX6" s="7">
        <v>44</v>
      </c>
      <c r="AY6" s="8">
        <v>310</v>
      </c>
      <c r="AZ6" s="9">
        <f>SUM(AW6:AY6)</f>
        <v>354</v>
      </c>
      <c r="BA6" s="10">
        <v>0</v>
      </c>
      <c r="BB6" s="40"/>
      <c r="BC6" s="209"/>
      <c r="BD6" s="220"/>
      <c r="BE6" s="81" t="s">
        <v>13</v>
      </c>
      <c r="BF6" s="161">
        <v>0</v>
      </c>
      <c r="BG6" s="162">
        <v>15</v>
      </c>
      <c r="BH6" s="162">
        <v>410</v>
      </c>
      <c r="BI6" s="166">
        <v>425</v>
      </c>
      <c r="BJ6" s="10">
        <v>0</v>
      </c>
      <c r="BK6" s="40"/>
      <c r="BL6" s="209"/>
      <c r="BM6" s="220"/>
      <c r="BN6" s="81" t="s">
        <v>13</v>
      </c>
      <c r="BO6" s="181">
        <v>0</v>
      </c>
      <c r="BP6" s="182">
        <v>62</v>
      </c>
      <c r="BQ6" s="183">
        <v>143</v>
      </c>
      <c r="BR6" s="184">
        <f t="shared" si="0"/>
        <v>205</v>
      </c>
      <c r="BS6" s="185">
        <v>0</v>
      </c>
      <c r="BT6" s="40"/>
      <c r="BU6" s="209"/>
      <c r="BV6" s="220"/>
      <c r="BW6" s="81" t="s">
        <v>13</v>
      </c>
      <c r="BX6" s="181">
        <v>0</v>
      </c>
      <c r="BY6" s="182">
        <v>5</v>
      </c>
      <c r="BZ6" s="183">
        <v>240</v>
      </c>
      <c r="CA6" s="184">
        <f t="shared" si="1"/>
        <v>245</v>
      </c>
      <c r="CB6" s="185">
        <v>0</v>
      </c>
      <c r="CC6" s="40"/>
      <c r="CD6" s="209"/>
      <c r="CE6" s="220"/>
      <c r="CF6" s="81" t="s">
        <v>13</v>
      </c>
      <c r="CG6" s="181">
        <v>0</v>
      </c>
      <c r="CH6" s="182">
        <v>6</v>
      </c>
      <c r="CI6" s="183">
        <v>255</v>
      </c>
      <c r="CJ6" s="184">
        <f t="shared" si="2"/>
        <v>261</v>
      </c>
      <c r="CK6" s="185">
        <v>0</v>
      </c>
      <c r="CL6" s="40"/>
      <c r="CM6" s="209"/>
      <c r="CN6" s="220"/>
      <c r="CO6" s="81" t="s">
        <v>13</v>
      </c>
      <c r="CP6" s="6">
        <v>0</v>
      </c>
      <c r="CQ6" s="7">
        <v>0</v>
      </c>
      <c r="CR6" s="8">
        <v>0</v>
      </c>
      <c r="CS6" s="9">
        <f>SUM(CP6:CR6)</f>
        <v>0</v>
      </c>
      <c r="CT6" s="10">
        <v>0</v>
      </c>
      <c r="CU6" s="40"/>
      <c r="CV6" s="209"/>
      <c r="CW6" s="220"/>
      <c r="CX6" s="81" t="s">
        <v>13</v>
      </c>
      <c r="CY6" s="6">
        <v>0</v>
      </c>
      <c r="CZ6" s="7">
        <v>0</v>
      </c>
      <c r="DA6" s="8">
        <v>0</v>
      </c>
      <c r="DB6" s="9">
        <f>SUM(CY6:DA6)</f>
        <v>0</v>
      </c>
      <c r="DC6" s="10">
        <v>0</v>
      </c>
      <c r="DD6" s="40"/>
      <c r="DE6" s="209"/>
      <c r="DF6" s="19" t="s">
        <v>12</v>
      </c>
      <c r="DG6" s="28" t="s">
        <v>13</v>
      </c>
      <c r="DH6" s="6">
        <f t="shared" si="3"/>
        <v>0</v>
      </c>
      <c r="DI6" s="7">
        <f t="shared" si="4"/>
        <v>406</v>
      </c>
      <c r="DJ6" s="21">
        <f t="shared" si="5"/>
        <v>2856</v>
      </c>
      <c r="DK6" s="9">
        <f>SUM(DH6:DJ6)</f>
        <v>3262</v>
      </c>
      <c r="DL6" s="10">
        <f>H6+Q6+Z6+AI6+AR6+BA6+BJ6+BS6+CB6+CK6+CT6+DC6</f>
        <v>0</v>
      </c>
      <c r="DM6" s="17"/>
    </row>
    <row r="7" spans="1:117" ht="17.100000000000001" customHeight="1" thickBot="1" x14ac:dyDescent="0.3">
      <c r="A7" s="209"/>
      <c r="B7" s="82" t="s">
        <v>14</v>
      </c>
      <c r="C7" s="83" t="s">
        <v>11</v>
      </c>
      <c r="D7" s="158"/>
      <c r="E7" s="159"/>
      <c r="F7" s="160"/>
      <c r="G7" s="4">
        <f>SUM(D7:F7)</f>
        <v>0</v>
      </c>
      <c r="H7" s="5">
        <v>0</v>
      </c>
      <c r="I7" s="40"/>
      <c r="J7" s="209"/>
      <c r="K7" s="82" t="s">
        <v>14</v>
      </c>
      <c r="L7" s="83" t="s">
        <v>11</v>
      </c>
      <c r="M7" s="158"/>
      <c r="N7" s="159"/>
      <c r="O7" s="160"/>
      <c r="P7" s="167"/>
      <c r="Q7" s="5">
        <v>0</v>
      </c>
      <c r="R7" s="40"/>
      <c r="S7" s="209"/>
      <c r="T7" s="82" t="s">
        <v>14</v>
      </c>
      <c r="U7" s="83" t="s">
        <v>11</v>
      </c>
      <c r="V7" s="158"/>
      <c r="W7" s="159"/>
      <c r="X7" s="160"/>
      <c r="Y7" s="4">
        <f>SUM(V7:X7)</f>
        <v>0</v>
      </c>
      <c r="Z7" s="5">
        <v>0</v>
      </c>
      <c r="AA7" s="40"/>
      <c r="AB7" s="209"/>
      <c r="AC7" s="82" t="s">
        <v>14</v>
      </c>
      <c r="AD7" s="83" t="s">
        <v>11</v>
      </c>
      <c r="AE7" s="158"/>
      <c r="AF7" s="159"/>
      <c r="AG7" s="160"/>
      <c r="AH7" s="4">
        <f>SUM(AE7:AG7)</f>
        <v>0</v>
      </c>
      <c r="AI7" s="5">
        <v>0</v>
      </c>
      <c r="AJ7" s="40"/>
      <c r="AK7" s="209"/>
      <c r="AL7" s="82" t="s">
        <v>14</v>
      </c>
      <c r="AM7" s="83" t="s">
        <v>11</v>
      </c>
      <c r="AN7" s="1">
        <v>0</v>
      </c>
      <c r="AO7" s="2">
        <v>40</v>
      </c>
      <c r="AP7" s="3">
        <v>88</v>
      </c>
      <c r="AQ7" s="4">
        <f>SUM(AN7:AP7)</f>
        <v>128</v>
      </c>
      <c r="AR7" s="5">
        <v>0</v>
      </c>
      <c r="AS7" s="40"/>
      <c r="AT7" s="209"/>
      <c r="AU7" s="82" t="s">
        <v>14</v>
      </c>
      <c r="AV7" s="83" t="s">
        <v>11</v>
      </c>
      <c r="AW7" s="1">
        <v>0</v>
      </c>
      <c r="AX7" s="2">
        <v>11</v>
      </c>
      <c r="AY7" s="3">
        <v>90</v>
      </c>
      <c r="AZ7" s="4">
        <f>SUM(AW7:AY7)</f>
        <v>101</v>
      </c>
      <c r="BA7" s="5">
        <v>0</v>
      </c>
      <c r="BB7" s="40"/>
      <c r="BC7" s="209"/>
      <c r="BD7" s="82" t="s">
        <v>14</v>
      </c>
      <c r="BE7" s="83" t="s">
        <v>11</v>
      </c>
      <c r="BF7" s="172"/>
      <c r="BG7" s="173"/>
      <c r="BH7" s="173"/>
      <c r="BI7" s="174"/>
      <c r="BJ7" s="5">
        <v>0</v>
      </c>
      <c r="BK7" s="40"/>
      <c r="BL7" s="209"/>
      <c r="BM7" s="82" t="s">
        <v>14</v>
      </c>
      <c r="BN7" s="83" t="s">
        <v>11</v>
      </c>
      <c r="BO7" s="176">
        <v>0</v>
      </c>
      <c r="BP7" s="177">
        <v>19</v>
      </c>
      <c r="BQ7" s="178">
        <v>42</v>
      </c>
      <c r="BR7" s="179">
        <f t="shared" si="0"/>
        <v>61</v>
      </c>
      <c r="BS7" s="180">
        <v>0</v>
      </c>
      <c r="BT7" s="40"/>
      <c r="BU7" s="209"/>
      <c r="BV7" s="82" t="s">
        <v>14</v>
      </c>
      <c r="BW7" s="83" t="s">
        <v>11</v>
      </c>
      <c r="BX7" s="176">
        <v>0</v>
      </c>
      <c r="BY7" s="177">
        <v>0</v>
      </c>
      <c r="BZ7" s="178">
        <v>0</v>
      </c>
      <c r="CA7" s="179">
        <f t="shared" si="1"/>
        <v>0</v>
      </c>
      <c r="CB7" s="180">
        <v>0</v>
      </c>
      <c r="CC7" s="40"/>
      <c r="CD7" s="209"/>
      <c r="CE7" s="82" t="s">
        <v>14</v>
      </c>
      <c r="CF7" s="83" t="s">
        <v>11</v>
      </c>
      <c r="CG7" s="176">
        <v>0</v>
      </c>
      <c r="CH7" s="177">
        <v>0</v>
      </c>
      <c r="CI7" s="178">
        <v>8</v>
      </c>
      <c r="CJ7" s="179">
        <f t="shared" si="2"/>
        <v>8</v>
      </c>
      <c r="CK7" s="180">
        <v>0</v>
      </c>
      <c r="CL7" s="40"/>
      <c r="CM7" s="209"/>
      <c r="CN7" s="82" t="s">
        <v>14</v>
      </c>
      <c r="CO7" s="83" t="s">
        <v>11</v>
      </c>
      <c r="CP7" s="1">
        <v>0</v>
      </c>
      <c r="CQ7" s="2">
        <v>0</v>
      </c>
      <c r="CR7" s="3">
        <v>0</v>
      </c>
      <c r="CS7" s="4">
        <f>SUM(CP7:CR7)</f>
        <v>0</v>
      </c>
      <c r="CT7" s="5">
        <v>0</v>
      </c>
      <c r="CU7" s="40"/>
      <c r="CV7" s="209"/>
      <c r="CW7" s="82" t="s">
        <v>14</v>
      </c>
      <c r="CX7" s="83" t="s">
        <v>11</v>
      </c>
      <c r="CY7" s="1">
        <v>0</v>
      </c>
      <c r="CZ7" s="2">
        <v>0</v>
      </c>
      <c r="DA7" s="3">
        <v>0</v>
      </c>
      <c r="DB7" s="4">
        <f>SUM(CY7:DA7)</f>
        <v>0</v>
      </c>
      <c r="DC7" s="5">
        <v>0</v>
      </c>
      <c r="DD7" s="40"/>
      <c r="DE7" s="209"/>
      <c r="DF7" s="18" t="s">
        <v>14</v>
      </c>
      <c r="DG7" s="29" t="s">
        <v>11</v>
      </c>
      <c r="DH7" s="1">
        <f t="shared" si="3"/>
        <v>0</v>
      </c>
      <c r="DI7" s="2">
        <f t="shared" si="4"/>
        <v>70</v>
      </c>
      <c r="DJ7" s="20">
        <f t="shared" si="5"/>
        <v>228</v>
      </c>
      <c r="DK7" s="4">
        <f>SUM(DH7:DJ7)</f>
        <v>298</v>
      </c>
      <c r="DL7" s="5">
        <f>H7+Q7+Z7+AI7+AR7+BA7+BJ7+BS7+CB7+CK7+CT7+DC7</f>
        <v>0</v>
      </c>
      <c r="DM7" s="17"/>
    </row>
    <row r="8" spans="1:117" ht="17.100000000000001" customHeight="1" thickTop="1" thickBot="1" x14ac:dyDescent="0.3">
      <c r="A8" s="209"/>
      <c r="B8" s="84" t="s">
        <v>12</v>
      </c>
      <c r="C8" s="85" t="s">
        <v>13</v>
      </c>
      <c r="D8" s="161">
        <v>0</v>
      </c>
      <c r="E8" s="162">
        <v>1</v>
      </c>
      <c r="F8" s="163">
        <v>20</v>
      </c>
      <c r="G8" s="9">
        <f>SUM(D8:F8)</f>
        <v>21</v>
      </c>
      <c r="H8" s="10">
        <v>0</v>
      </c>
      <c r="I8" s="40"/>
      <c r="J8" s="209"/>
      <c r="K8" s="84" t="s">
        <v>12</v>
      </c>
      <c r="L8" s="85" t="s">
        <v>13</v>
      </c>
      <c r="M8" s="161">
        <v>0</v>
      </c>
      <c r="N8" s="162">
        <v>0</v>
      </c>
      <c r="O8" s="163">
        <v>0</v>
      </c>
      <c r="P8" s="166">
        <v>0</v>
      </c>
      <c r="Q8" s="10">
        <v>0</v>
      </c>
      <c r="R8" s="40"/>
      <c r="S8" s="209"/>
      <c r="T8" s="84" t="s">
        <v>12</v>
      </c>
      <c r="U8" s="85" t="s">
        <v>13</v>
      </c>
      <c r="V8" s="161">
        <v>0</v>
      </c>
      <c r="W8" s="162">
        <v>32</v>
      </c>
      <c r="X8" s="163">
        <v>43</v>
      </c>
      <c r="Y8" s="9">
        <f>SUM(V8:X8)</f>
        <v>75</v>
      </c>
      <c r="Z8" s="10">
        <v>0</v>
      </c>
      <c r="AA8" s="40"/>
      <c r="AB8" s="209"/>
      <c r="AC8" s="84" t="s">
        <v>12</v>
      </c>
      <c r="AD8" s="85" t="s">
        <v>13</v>
      </c>
      <c r="AE8" s="161">
        <v>0</v>
      </c>
      <c r="AF8" s="162">
        <v>43</v>
      </c>
      <c r="AG8" s="163">
        <v>81</v>
      </c>
      <c r="AH8" s="9">
        <f>SUM(AE8:AG8)</f>
        <v>124</v>
      </c>
      <c r="AI8" s="10">
        <v>0</v>
      </c>
      <c r="AJ8" s="40"/>
      <c r="AK8" s="209"/>
      <c r="AL8" s="84" t="s">
        <v>12</v>
      </c>
      <c r="AM8" s="85" t="s">
        <v>13</v>
      </c>
      <c r="AN8" s="6">
        <v>0</v>
      </c>
      <c r="AO8" s="7">
        <v>20</v>
      </c>
      <c r="AP8" s="8">
        <v>50</v>
      </c>
      <c r="AQ8" s="9">
        <f>SUM(AN8:AP8)</f>
        <v>70</v>
      </c>
      <c r="AR8" s="10">
        <v>0</v>
      </c>
      <c r="AS8" s="40"/>
      <c r="AT8" s="209"/>
      <c r="AU8" s="84" t="s">
        <v>12</v>
      </c>
      <c r="AV8" s="85" t="s">
        <v>13</v>
      </c>
      <c r="AW8" s="6">
        <v>0</v>
      </c>
      <c r="AX8" s="7">
        <v>6</v>
      </c>
      <c r="AY8" s="8">
        <v>46</v>
      </c>
      <c r="AZ8" s="9">
        <f>SUM(AW8:AY8)</f>
        <v>52</v>
      </c>
      <c r="BA8" s="10">
        <v>0</v>
      </c>
      <c r="BB8" s="40"/>
      <c r="BC8" s="209"/>
      <c r="BD8" s="84" t="s">
        <v>12</v>
      </c>
      <c r="BE8" s="85" t="s">
        <v>13</v>
      </c>
      <c r="BF8" s="161">
        <v>0</v>
      </c>
      <c r="BG8" s="162">
        <v>0</v>
      </c>
      <c r="BH8" s="162">
        <v>0</v>
      </c>
      <c r="BI8" s="166">
        <v>0</v>
      </c>
      <c r="BJ8" s="10">
        <v>0</v>
      </c>
      <c r="BK8" s="40"/>
      <c r="BL8" s="209"/>
      <c r="BM8" s="84" t="s">
        <v>12</v>
      </c>
      <c r="BN8" s="85" t="s">
        <v>13</v>
      </c>
      <c r="BO8" s="181">
        <v>0</v>
      </c>
      <c r="BP8" s="182">
        <v>15</v>
      </c>
      <c r="BQ8" s="183">
        <v>61</v>
      </c>
      <c r="BR8" s="184">
        <f t="shared" si="0"/>
        <v>76</v>
      </c>
      <c r="BS8" s="185">
        <v>0</v>
      </c>
      <c r="BT8" s="40"/>
      <c r="BU8" s="209"/>
      <c r="BV8" s="84" t="s">
        <v>12</v>
      </c>
      <c r="BW8" s="85" t="s">
        <v>13</v>
      </c>
      <c r="BX8" s="181">
        <v>0</v>
      </c>
      <c r="BY8" s="182">
        <v>0</v>
      </c>
      <c r="BZ8" s="183">
        <v>0</v>
      </c>
      <c r="CA8" s="184">
        <f t="shared" si="1"/>
        <v>0</v>
      </c>
      <c r="CB8" s="185">
        <v>0</v>
      </c>
      <c r="CC8" s="40"/>
      <c r="CD8" s="209"/>
      <c r="CE8" s="84" t="s">
        <v>12</v>
      </c>
      <c r="CF8" s="85" t="s">
        <v>13</v>
      </c>
      <c r="CG8" s="181">
        <v>0</v>
      </c>
      <c r="CH8" s="182">
        <v>0</v>
      </c>
      <c r="CI8" s="183">
        <v>2</v>
      </c>
      <c r="CJ8" s="184">
        <f t="shared" si="2"/>
        <v>2</v>
      </c>
      <c r="CK8" s="185">
        <v>0</v>
      </c>
      <c r="CL8" s="40"/>
      <c r="CM8" s="209"/>
      <c r="CN8" s="84" t="s">
        <v>12</v>
      </c>
      <c r="CO8" s="85" t="s">
        <v>13</v>
      </c>
      <c r="CP8" s="6">
        <v>0</v>
      </c>
      <c r="CQ8" s="7">
        <v>0</v>
      </c>
      <c r="CR8" s="8">
        <v>0</v>
      </c>
      <c r="CS8" s="9">
        <f>SUM(CP8:CR8)</f>
        <v>0</v>
      </c>
      <c r="CT8" s="10">
        <v>0</v>
      </c>
      <c r="CU8" s="40"/>
      <c r="CV8" s="209"/>
      <c r="CW8" s="84" t="s">
        <v>12</v>
      </c>
      <c r="CX8" s="85" t="s">
        <v>13</v>
      </c>
      <c r="CY8" s="6">
        <v>0</v>
      </c>
      <c r="CZ8" s="7">
        <v>0</v>
      </c>
      <c r="DA8" s="8">
        <v>0</v>
      </c>
      <c r="DB8" s="9">
        <f>SUM(CY8:DA8)</f>
        <v>0</v>
      </c>
      <c r="DC8" s="10">
        <v>0</v>
      </c>
      <c r="DD8" s="40"/>
      <c r="DE8" s="209"/>
      <c r="DF8" s="19" t="s">
        <v>12</v>
      </c>
      <c r="DG8" s="30" t="s">
        <v>13</v>
      </c>
      <c r="DH8" s="6">
        <f t="shared" si="3"/>
        <v>0</v>
      </c>
      <c r="DI8" s="7">
        <f t="shared" si="4"/>
        <v>117</v>
      </c>
      <c r="DJ8" s="21">
        <f t="shared" si="5"/>
        <v>303</v>
      </c>
      <c r="DK8" s="9">
        <f>SUM(DH8:DJ8)</f>
        <v>420</v>
      </c>
      <c r="DL8" s="10">
        <f>H8+Q8+Z8+AI8+AR8+BA8+BJ8+BS8+CB8+CK8+CT8+DC8</f>
        <v>0</v>
      </c>
      <c r="DM8" s="17"/>
    </row>
    <row r="9" spans="1:117" ht="17.100000000000001" customHeight="1" thickBot="1" x14ac:dyDescent="0.3">
      <c r="A9" s="210"/>
      <c r="B9" s="211" t="s">
        <v>3</v>
      </c>
      <c r="C9" s="212"/>
      <c r="D9" s="155">
        <v>0</v>
      </c>
      <c r="E9" s="156">
        <v>0</v>
      </c>
      <c r="F9" s="157">
        <v>33</v>
      </c>
      <c r="G9" s="14">
        <f>SUM(G5:G8)</f>
        <v>704</v>
      </c>
      <c r="H9" s="15">
        <f>SUM(H5:H8)</f>
        <v>0</v>
      </c>
      <c r="I9" s="40"/>
      <c r="J9" s="210"/>
      <c r="K9" s="211" t="s">
        <v>3</v>
      </c>
      <c r="L9" s="212"/>
      <c r="M9" s="155">
        <v>0</v>
      </c>
      <c r="N9" s="156">
        <v>0</v>
      </c>
      <c r="O9" s="157">
        <v>0</v>
      </c>
      <c r="P9" s="165">
        <v>0</v>
      </c>
      <c r="Q9" s="15">
        <f>SUM(Q5:Q8)</f>
        <v>0</v>
      </c>
      <c r="R9" s="40"/>
      <c r="S9" s="210"/>
      <c r="T9" s="211" t="s">
        <v>3</v>
      </c>
      <c r="U9" s="212"/>
      <c r="V9" s="155">
        <v>0</v>
      </c>
      <c r="W9" s="156">
        <v>28</v>
      </c>
      <c r="X9" s="157">
        <v>30</v>
      </c>
      <c r="Y9" s="14">
        <f>SUM(Y5:Y8)</f>
        <v>772</v>
      </c>
      <c r="Z9" s="15">
        <f>SUM(Z5:Z8)</f>
        <v>0</v>
      </c>
      <c r="AA9" s="40"/>
      <c r="AB9" s="210"/>
      <c r="AC9" s="211" t="s">
        <v>3</v>
      </c>
      <c r="AD9" s="212"/>
      <c r="AE9" s="155">
        <v>0</v>
      </c>
      <c r="AF9" s="156">
        <v>35</v>
      </c>
      <c r="AG9" s="157">
        <v>89</v>
      </c>
      <c r="AH9" s="14">
        <f>SUM(AH5:AH8)</f>
        <v>735</v>
      </c>
      <c r="AI9" s="15">
        <f>SUM(AI5:AI8)</f>
        <v>0</v>
      </c>
      <c r="AJ9" s="40"/>
      <c r="AK9" s="210"/>
      <c r="AL9" s="211" t="s">
        <v>3</v>
      </c>
      <c r="AM9" s="212"/>
      <c r="AN9" s="11">
        <f>SUM(AN5:AN8)</f>
        <v>0</v>
      </c>
      <c r="AO9" s="12">
        <f>SUM(AO5:AO8)</f>
        <v>144</v>
      </c>
      <c r="AP9" s="13">
        <f>SUM(AP5:AP8)</f>
        <v>693</v>
      </c>
      <c r="AQ9" s="14">
        <f>SUM(AQ5:AQ8)</f>
        <v>837</v>
      </c>
      <c r="AR9" s="15">
        <f>SUM(AR5:AR8)</f>
        <v>0</v>
      </c>
      <c r="AS9" s="40"/>
      <c r="AT9" s="210"/>
      <c r="AU9" s="211" t="s">
        <v>3</v>
      </c>
      <c r="AV9" s="212"/>
      <c r="AW9" s="11">
        <f>SUM(AW5:AW8)</f>
        <v>0</v>
      </c>
      <c r="AX9" s="12">
        <f>SUM(AX5:AX8)</f>
        <v>90</v>
      </c>
      <c r="AY9" s="13">
        <f>SUM(AY5:AY8)</f>
        <v>861</v>
      </c>
      <c r="AZ9" s="14">
        <f>SUM(AZ5:AZ8)</f>
        <v>951</v>
      </c>
      <c r="BA9" s="15">
        <f>SUM(BA5:BA8)</f>
        <v>0</v>
      </c>
      <c r="BB9" s="40"/>
      <c r="BC9" s="210"/>
      <c r="BD9" s="211" t="s">
        <v>3</v>
      </c>
      <c r="BE9" s="212"/>
      <c r="BF9" s="161">
        <v>0</v>
      </c>
      <c r="BG9" s="162">
        <v>0</v>
      </c>
      <c r="BH9" s="162">
        <v>0</v>
      </c>
      <c r="BI9" s="166">
        <v>0</v>
      </c>
      <c r="BJ9" s="15">
        <f>SUM(BJ5:BJ8)</f>
        <v>0</v>
      </c>
      <c r="BK9" s="40"/>
      <c r="BL9" s="210"/>
      <c r="BM9" s="211" t="s">
        <v>3</v>
      </c>
      <c r="BN9" s="212"/>
      <c r="BO9" s="186">
        <f t="shared" ref="BO9:BS9" si="6">SUM(BO5:BO8)</f>
        <v>0</v>
      </c>
      <c r="BP9" s="187">
        <f t="shared" si="6"/>
        <v>148</v>
      </c>
      <c r="BQ9" s="188">
        <f t="shared" si="6"/>
        <v>431</v>
      </c>
      <c r="BR9" s="189">
        <f t="shared" si="6"/>
        <v>579</v>
      </c>
      <c r="BS9" s="190">
        <f t="shared" si="6"/>
        <v>0</v>
      </c>
      <c r="BT9" s="40"/>
      <c r="BU9" s="210"/>
      <c r="BV9" s="211" t="s">
        <v>3</v>
      </c>
      <c r="BW9" s="212"/>
      <c r="BX9" s="186">
        <f t="shared" ref="BX9:CB9" si="7">SUM(BX5:BX8)</f>
        <v>0</v>
      </c>
      <c r="BY9" s="187">
        <f t="shared" si="7"/>
        <v>22</v>
      </c>
      <c r="BZ9" s="188">
        <f t="shared" si="7"/>
        <v>562</v>
      </c>
      <c r="CA9" s="189">
        <f t="shared" si="7"/>
        <v>584</v>
      </c>
      <c r="CB9" s="190">
        <f t="shared" si="7"/>
        <v>0</v>
      </c>
      <c r="CC9" s="40"/>
      <c r="CD9" s="210"/>
      <c r="CE9" s="211" t="s">
        <v>3</v>
      </c>
      <c r="CF9" s="212"/>
      <c r="CG9" s="186">
        <f t="shared" ref="CG9:CK9" si="8">SUM(CG5:CG8)</f>
        <v>0</v>
      </c>
      <c r="CH9" s="187">
        <f t="shared" si="8"/>
        <v>13</v>
      </c>
      <c r="CI9" s="188">
        <f t="shared" si="8"/>
        <v>690</v>
      </c>
      <c r="CJ9" s="189">
        <f t="shared" si="8"/>
        <v>703</v>
      </c>
      <c r="CK9" s="190">
        <f t="shared" si="8"/>
        <v>0</v>
      </c>
      <c r="CL9" s="40"/>
      <c r="CM9" s="210"/>
      <c r="CN9" s="211" t="s">
        <v>3</v>
      </c>
      <c r="CO9" s="212"/>
      <c r="CP9" s="11">
        <f>SUM(CP5:CP8)</f>
        <v>0</v>
      </c>
      <c r="CQ9" s="12">
        <f>SUM(CQ5:CQ8)</f>
        <v>0</v>
      </c>
      <c r="CR9" s="13">
        <f>SUM(CR5:CR8)</f>
        <v>0</v>
      </c>
      <c r="CS9" s="14">
        <f>SUM(CS5:CS8)</f>
        <v>0</v>
      </c>
      <c r="CT9" s="15">
        <f>SUM(CT5:CT8)</f>
        <v>0</v>
      </c>
      <c r="CU9" s="40"/>
      <c r="CV9" s="210"/>
      <c r="CW9" s="211" t="s">
        <v>3</v>
      </c>
      <c r="CX9" s="212"/>
      <c r="CY9" s="11">
        <f>SUM(CY5:CY8)</f>
        <v>0</v>
      </c>
      <c r="CZ9" s="12">
        <f>SUM(CZ5:CZ8)</f>
        <v>0</v>
      </c>
      <c r="DA9" s="13">
        <f>SUM(DA5:DA8)</f>
        <v>0</v>
      </c>
      <c r="DB9" s="14">
        <f>SUM(DB5:DB8)</f>
        <v>0</v>
      </c>
      <c r="DC9" s="15">
        <f>SUM(DC5:DC8)</f>
        <v>0</v>
      </c>
      <c r="DD9" s="40"/>
      <c r="DE9" s="210"/>
      <c r="DF9" s="238" t="s">
        <v>3</v>
      </c>
      <c r="DG9" s="239"/>
      <c r="DH9" s="22">
        <f>SUM(DH5:DH8)</f>
        <v>0</v>
      </c>
      <c r="DI9" s="23">
        <f>SUM(DI5:DI8)</f>
        <v>897</v>
      </c>
      <c r="DJ9" s="24">
        <f>SUM(DJ5:DJ8)</f>
        <v>6438</v>
      </c>
      <c r="DK9" s="25">
        <f>SUM(DK5:DK8)</f>
        <v>7335</v>
      </c>
      <c r="DL9" s="26">
        <f>SUM(DL5:DL8)</f>
        <v>0</v>
      </c>
      <c r="DM9" s="17"/>
    </row>
    <row r="10" spans="1:117" ht="17.100000000000001" customHeight="1" thickTop="1" thickBot="1" x14ac:dyDescent="0.3">
      <c r="A10" s="208" t="s">
        <v>20</v>
      </c>
      <c r="B10" s="219" t="s">
        <v>12</v>
      </c>
      <c r="C10" s="80" t="s">
        <v>11</v>
      </c>
      <c r="D10" s="152">
        <v>0</v>
      </c>
      <c r="E10" s="153">
        <v>2</v>
      </c>
      <c r="F10" s="154">
        <v>128</v>
      </c>
      <c r="G10" s="4">
        <f>SUM(D10:F10)</f>
        <v>130</v>
      </c>
      <c r="H10" s="5">
        <v>0</v>
      </c>
      <c r="I10" s="40"/>
      <c r="J10" s="208" t="s">
        <v>20</v>
      </c>
      <c r="K10" s="219" t="s">
        <v>12</v>
      </c>
      <c r="L10" s="80" t="s">
        <v>11</v>
      </c>
      <c r="M10" s="152">
        <v>0</v>
      </c>
      <c r="N10" s="153">
        <v>8</v>
      </c>
      <c r="O10" s="154">
        <v>104</v>
      </c>
      <c r="P10" s="164">
        <v>112</v>
      </c>
      <c r="Q10" s="5">
        <v>0</v>
      </c>
      <c r="R10" s="40"/>
      <c r="S10" s="208" t="s">
        <v>20</v>
      </c>
      <c r="T10" s="219" t="s">
        <v>12</v>
      </c>
      <c r="U10" s="80" t="s">
        <v>11</v>
      </c>
      <c r="V10" s="168">
        <v>0</v>
      </c>
      <c r="W10" s="169">
        <v>290</v>
      </c>
      <c r="X10" s="165">
        <v>540</v>
      </c>
      <c r="Y10" s="4">
        <f>SUM(V10:X10)</f>
        <v>830</v>
      </c>
      <c r="Z10" s="5">
        <v>0</v>
      </c>
      <c r="AA10" s="40"/>
      <c r="AB10" s="208" t="s">
        <v>20</v>
      </c>
      <c r="AC10" s="219" t="s">
        <v>12</v>
      </c>
      <c r="AD10" s="80" t="s">
        <v>11</v>
      </c>
      <c r="AE10" s="168">
        <v>0</v>
      </c>
      <c r="AF10" s="169">
        <v>193</v>
      </c>
      <c r="AG10" s="165">
        <v>666</v>
      </c>
      <c r="AH10" s="4">
        <f>SUM(AE10:AG10)</f>
        <v>859</v>
      </c>
      <c r="AI10" s="5">
        <v>0</v>
      </c>
      <c r="AJ10" s="40"/>
      <c r="AK10" s="208" t="s">
        <v>20</v>
      </c>
      <c r="AL10" s="219" t="s">
        <v>12</v>
      </c>
      <c r="AM10" s="80" t="s">
        <v>11</v>
      </c>
      <c r="AN10" s="1">
        <v>0</v>
      </c>
      <c r="AO10" s="2">
        <v>11</v>
      </c>
      <c r="AP10" s="3">
        <v>266</v>
      </c>
      <c r="AQ10" s="4">
        <f>SUM(AN10:AP10)</f>
        <v>277</v>
      </c>
      <c r="AR10" s="5">
        <v>0</v>
      </c>
      <c r="AS10" s="40"/>
      <c r="AT10" s="208" t="s">
        <v>20</v>
      </c>
      <c r="AU10" s="219" t="s">
        <v>12</v>
      </c>
      <c r="AV10" s="80" t="s">
        <v>11</v>
      </c>
      <c r="AW10" s="1">
        <v>0</v>
      </c>
      <c r="AX10" s="2">
        <v>8</v>
      </c>
      <c r="AY10" s="3">
        <v>399</v>
      </c>
      <c r="AZ10" s="4">
        <f>SUM(AW10:AY10)</f>
        <v>407</v>
      </c>
      <c r="BA10" s="5">
        <v>0</v>
      </c>
      <c r="BB10" s="40"/>
      <c r="BC10" s="208" t="s">
        <v>20</v>
      </c>
      <c r="BD10" s="219" t="s">
        <v>12</v>
      </c>
      <c r="BE10" s="80" t="s">
        <v>11</v>
      </c>
      <c r="BF10" s="168">
        <v>0</v>
      </c>
      <c r="BG10" s="169">
        <v>26</v>
      </c>
      <c r="BH10" s="169">
        <v>725</v>
      </c>
      <c r="BI10" s="175">
        <v>751</v>
      </c>
      <c r="BJ10" s="5">
        <v>0</v>
      </c>
      <c r="BK10" s="40"/>
      <c r="BL10" s="208" t="s">
        <v>20</v>
      </c>
      <c r="BM10" s="219" t="s">
        <v>12</v>
      </c>
      <c r="BN10" s="80" t="s">
        <v>11</v>
      </c>
      <c r="BO10" s="191">
        <v>2</v>
      </c>
      <c r="BP10" s="192">
        <v>55</v>
      </c>
      <c r="BQ10" s="193">
        <v>325</v>
      </c>
      <c r="BR10" s="194">
        <v>382</v>
      </c>
      <c r="BS10" s="180">
        <v>0</v>
      </c>
      <c r="BT10" s="40"/>
      <c r="BU10" s="208" t="s">
        <v>20</v>
      </c>
      <c r="BV10" s="219" t="s">
        <v>12</v>
      </c>
      <c r="BW10" s="80" t="s">
        <v>11</v>
      </c>
      <c r="BX10" s="176">
        <v>0</v>
      </c>
      <c r="BY10" s="177">
        <v>19</v>
      </c>
      <c r="BZ10" s="178">
        <v>146</v>
      </c>
      <c r="CA10" s="179">
        <f t="shared" ref="CA10:CA13" si="9">SUM(BX10:BZ10)</f>
        <v>165</v>
      </c>
      <c r="CB10" s="180">
        <v>0</v>
      </c>
      <c r="CC10" s="40"/>
      <c r="CD10" s="208" t="s">
        <v>20</v>
      </c>
      <c r="CE10" s="219" t="s">
        <v>12</v>
      </c>
      <c r="CF10" s="80" t="s">
        <v>11</v>
      </c>
      <c r="CG10" s="176">
        <v>0</v>
      </c>
      <c r="CH10" s="177">
        <v>0</v>
      </c>
      <c r="CI10" s="178">
        <v>0</v>
      </c>
      <c r="CJ10" s="179">
        <v>0</v>
      </c>
      <c r="CK10" s="180">
        <v>0</v>
      </c>
      <c r="CL10" s="40"/>
      <c r="CM10" s="208" t="s">
        <v>20</v>
      </c>
      <c r="CN10" s="219" t="s">
        <v>12</v>
      </c>
      <c r="CO10" s="80" t="s">
        <v>11</v>
      </c>
      <c r="CP10" s="1">
        <v>0</v>
      </c>
      <c r="CQ10" s="2">
        <v>0</v>
      </c>
      <c r="CR10" s="3">
        <v>0</v>
      </c>
      <c r="CS10" s="4">
        <f>SUM(CP10:CR10)</f>
        <v>0</v>
      </c>
      <c r="CT10" s="5">
        <v>0</v>
      </c>
      <c r="CU10" s="40"/>
      <c r="CV10" s="208" t="s">
        <v>20</v>
      </c>
      <c r="CW10" s="219" t="s">
        <v>12</v>
      </c>
      <c r="CX10" s="80" t="s">
        <v>11</v>
      </c>
      <c r="CY10" s="1">
        <v>0</v>
      </c>
      <c r="CZ10" s="2">
        <v>0</v>
      </c>
      <c r="DA10" s="3">
        <v>0</v>
      </c>
      <c r="DB10" s="4">
        <f>SUM(CY10:DA10)</f>
        <v>0</v>
      </c>
      <c r="DC10" s="5">
        <v>0</v>
      </c>
      <c r="DD10" s="40"/>
      <c r="DE10" s="208" t="str">
        <f t="shared" ref="DE10" si="10">CV10</f>
        <v>الجامعة</v>
      </c>
      <c r="DF10" s="18"/>
      <c r="DG10" s="27" t="s">
        <v>11</v>
      </c>
      <c r="DH10" s="1">
        <f t="shared" ref="DH10:DH13" si="11">D10+M10+V10+AE10+AN10+AW10+BF10+BO10+BX10+CG10+CP10+CY10</f>
        <v>2</v>
      </c>
      <c r="DI10" s="2">
        <f t="shared" ref="DI10:DI13" si="12">E10+N10+W10+AF10+AO10+AX10+BG10+BP10+BY10+CH10+CQ10+CZ10</f>
        <v>612</v>
      </c>
      <c r="DJ10" s="20">
        <f t="shared" ref="DJ10:DJ13" si="13">F10+O10+X10+AG10+AP10+AY10+BH10+BQ10+BZ10+CI10+CR10+DA10</f>
        <v>3299</v>
      </c>
      <c r="DK10" s="4">
        <f>SUM(DH10:DJ10)</f>
        <v>3913</v>
      </c>
      <c r="DL10" s="5">
        <f>H10+Q10+Z10+AI10+AR10+BA10+BJ10+BS10+CB10+CK10+CT10+DC10</f>
        <v>0</v>
      </c>
      <c r="DM10" s="17"/>
    </row>
    <row r="11" spans="1:117" ht="17.100000000000001" customHeight="1" thickBot="1" x14ac:dyDescent="0.3">
      <c r="A11" s="209"/>
      <c r="B11" s="220"/>
      <c r="C11" s="81" t="s">
        <v>13</v>
      </c>
      <c r="D11" s="155">
        <v>0</v>
      </c>
      <c r="E11" s="156">
        <v>5</v>
      </c>
      <c r="F11" s="157">
        <v>201</v>
      </c>
      <c r="G11" s="9">
        <f>SUM(D11:F11)</f>
        <v>206</v>
      </c>
      <c r="H11" s="10">
        <v>0</v>
      </c>
      <c r="I11" s="40"/>
      <c r="J11" s="209"/>
      <c r="K11" s="220"/>
      <c r="L11" s="81" t="s">
        <v>13</v>
      </c>
      <c r="M11" s="155">
        <v>0</v>
      </c>
      <c r="N11" s="156">
        <v>16</v>
      </c>
      <c r="O11" s="157">
        <v>225</v>
      </c>
      <c r="P11" s="165">
        <v>241</v>
      </c>
      <c r="Q11" s="10">
        <v>0</v>
      </c>
      <c r="R11" s="40"/>
      <c r="S11" s="209"/>
      <c r="T11" s="220"/>
      <c r="U11" s="81" t="s">
        <v>13</v>
      </c>
      <c r="V11" s="161">
        <v>1</v>
      </c>
      <c r="W11" s="162">
        <v>35</v>
      </c>
      <c r="X11" s="163">
        <v>332</v>
      </c>
      <c r="Y11" s="9">
        <f>SUM(V11:X11)</f>
        <v>368</v>
      </c>
      <c r="Z11" s="10">
        <v>0</v>
      </c>
      <c r="AA11" s="40"/>
      <c r="AB11" s="209"/>
      <c r="AC11" s="220"/>
      <c r="AD11" s="81" t="s">
        <v>13</v>
      </c>
      <c r="AE11" s="161">
        <v>0</v>
      </c>
      <c r="AF11" s="162">
        <v>2</v>
      </c>
      <c r="AG11" s="163">
        <v>263</v>
      </c>
      <c r="AH11" s="9">
        <f>SUM(AE11:AG11)</f>
        <v>265</v>
      </c>
      <c r="AI11" s="10">
        <v>0</v>
      </c>
      <c r="AJ11" s="40"/>
      <c r="AK11" s="209"/>
      <c r="AL11" s="220"/>
      <c r="AM11" s="81" t="s">
        <v>13</v>
      </c>
      <c r="AN11" s="6">
        <v>0</v>
      </c>
      <c r="AO11" s="7">
        <v>4</v>
      </c>
      <c r="AP11" s="8">
        <v>185</v>
      </c>
      <c r="AQ11" s="9">
        <f>SUM(AN11:AP11)</f>
        <v>189</v>
      </c>
      <c r="AR11" s="10">
        <v>0</v>
      </c>
      <c r="AS11" s="40"/>
      <c r="AT11" s="209"/>
      <c r="AU11" s="220"/>
      <c r="AV11" s="81" t="s">
        <v>13</v>
      </c>
      <c r="AW11" s="6">
        <v>0</v>
      </c>
      <c r="AX11" s="7">
        <v>0</v>
      </c>
      <c r="AY11" s="8">
        <v>212</v>
      </c>
      <c r="AZ11" s="9">
        <f>SUM(AW11:AY11)</f>
        <v>212</v>
      </c>
      <c r="BA11" s="10">
        <v>0</v>
      </c>
      <c r="BB11" s="40"/>
      <c r="BC11" s="209"/>
      <c r="BD11" s="220"/>
      <c r="BE11" s="81" t="s">
        <v>13</v>
      </c>
      <c r="BF11" s="161">
        <v>0</v>
      </c>
      <c r="BG11" s="162">
        <v>10</v>
      </c>
      <c r="BH11" s="163">
        <v>232</v>
      </c>
      <c r="BI11" s="166">
        <v>242</v>
      </c>
      <c r="BJ11" s="10">
        <v>0</v>
      </c>
      <c r="BK11" s="40"/>
      <c r="BL11" s="209"/>
      <c r="BM11" s="220"/>
      <c r="BN11" s="81" t="s">
        <v>13</v>
      </c>
      <c r="BO11" s="195">
        <v>3</v>
      </c>
      <c r="BP11" s="196">
        <v>20</v>
      </c>
      <c r="BQ11" s="197">
        <v>359</v>
      </c>
      <c r="BR11" s="198">
        <v>382</v>
      </c>
      <c r="BS11" s="185">
        <v>0</v>
      </c>
      <c r="BT11" s="40"/>
      <c r="BU11" s="209"/>
      <c r="BV11" s="220"/>
      <c r="BW11" s="81" t="s">
        <v>13</v>
      </c>
      <c r="BX11" s="181">
        <v>0</v>
      </c>
      <c r="BY11" s="182">
        <v>21</v>
      </c>
      <c r="BZ11" s="183">
        <v>112</v>
      </c>
      <c r="CA11" s="184">
        <f t="shared" si="9"/>
        <v>133</v>
      </c>
      <c r="CB11" s="185">
        <v>0</v>
      </c>
      <c r="CC11" s="40"/>
      <c r="CD11" s="209"/>
      <c r="CE11" s="220"/>
      <c r="CF11" s="81" t="s">
        <v>13</v>
      </c>
      <c r="CG11" s="181">
        <v>0</v>
      </c>
      <c r="CH11" s="182">
        <v>0</v>
      </c>
      <c r="CI11" s="183">
        <v>0</v>
      </c>
      <c r="CJ11" s="184">
        <v>0</v>
      </c>
      <c r="CK11" s="185">
        <v>0</v>
      </c>
      <c r="CL11" s="40"/>
      <c r="CM11" s="209"/>
      <c r="CN11" s="220"/>
      <c r="CO11" s="81" t="s">
        <v>13</v>
      </c>
      <c r="CP11" s="6">
        <v>0</v>
      </c>
      <c r="CQ11" s="7">
        <v>0</v>
      </c>
      <c r="CR11" s="8">
        <v>0</v>
      </c>
      <c r="CS11" s="9">
        <f>SUM(CP11:CR11)</f>
        <v>0</v>
      </c>
      <c r="CT11" s="10">
        <v>0</v>
      </c>
      <c r="CU11" s="40"/>
      <c r="CV11" s="209"/>
      <c r="CW11" s="220"/>
      <c r="CX11" s="81" t="s">
        <v>13</v>
      </c>
      <c r="CY11" s="6">
        <v>0</v>
      </c>
      <c r="CZ11" s="7">
        <v>0</v>
      </c>
      <c r="DA11" s="8">
        <v>0</v>
      </c>
      <c r="DB11" s="9">
        <f>SUM(CY11:DA11)</f>
        <v>0</v>
      </c>
      <c r="DC11" s="10">
        <v>0</v>
      </c>
      <c r="DD11" s="40"/>
      <c r="DE11" s="209"/>
      <c r="DF11" s="19" t="s">
        <v>12</v>
      </c>
      <c r="DG11" s="28" t="s">
        <v>13</v>
      </c>
      <c r="DH11" s="6">
        <f t="shared" si="11"/>
        <v>4</v>
      </c>
      <c r="DI11" s="7">
        <f t="shared" si="12"/>
        <v>113</v>
      </c>
      <c r="DJ11" s="21">
        <f t="shared" si="13"/>
        <v>2121</v>
      </c>
      <c r="DK11" s="9">
        <f>SUM(DH11:DJ11)</f>
        <v>2238</v>
      </c>
      <c r="DL11" s="10">
        <f>H11+Q11+Z11+AI11+AR11+BA11+BJ11+BS11+CB11+CK11+CT11+DC11</f>
        <v>0</v>
      </c>
      <c r="DM11" s="17"/>
    </row>
    <row r="12" spans="1:117" ht="17.100000000000001" customHeight="1" thickBot="1" x14ac:dyDescent="0.3">
      <c r="A12" s="209"/>
      <c r="B12" s="82" t="s">
        <v>14</v>
      </c>
      <c r="C12" s="83" t="s">
        <v>11</v>
      </c>
      <c r="D12" s="161">
        <v>0</v>
      </c>
      <c r="E12" s="162">
        <v>0</v>
      </c>
      <c r="F12" s="163">
        <v>14</v>
      </c>
      <c r="G12" s="4">
        <f>SUM(D12:F12)</f>
        <v>14</v>
      </c>
      <c r="H12" s="5">
        <v>0</v>
      </c>
      <c r="I12" s="40"/>
      <c r="J12" s="209"/>
      <c r="K12" s="82" t="s">
        <v>14</v>
      </c>
      <c r="L12" s="83" t="s">
        <v>11</v>
      </c>
      <c r="M12" s="161">
        <v>0</v>
      </c>
      <c r="N12" s="162">
        <v>2</v>
      </c>
      <c r="O12" s="163">
        <v>3</v>
      </c>
      <c r="P12" s="166">
        <v>5</v>
      </c>
      <c r="Q12" s="5">
        <v>0</v>
      </c>
      <c r="R12" s="40"/>
      <c r="S12" s="209"/>
      <c r="T12" s="82" t="s">
        <v>14</v>
      </c>
      <c r="U12" s="83" t="s">
        <v>11</v>
      </c>
      <c r="V12" s="155">
        <v>1</v>
      </c>
      <c r="W12" s="156">
        <v>42</v>
      </c>
      <c r="X12" s="157">
        <v>421</v>
      </c>
      <c r="Y12" s="4">
        <f>SUM(V12:X12)</f>
        <v>464</v>
      </c>
      <c r="Z12" s="5">
        <v>0</v>
      </c>
      <c r="AA12" s="40"/>
      <c r="AB12" s="209"/>
      <c r="AC12" s="82" t="s">
        <v>14</v>
      </c>
      <c r="AD12" s="83" t="s">
        <v>11</v>
      </c>
      <c r="AE12" s="155">
        <v>0</v>
      </c>
      <c r="AF12" s="156">
        <v>9</v>
      </c>
      <c r="AG12" s="157">
        <v>192</v>
      </c>
      <c r="AH12" s="4">
        <f>SUM(AE12:AG12)</f>
        <v>201</v>
      </c>
      <c r="AI12" s="5">
        <v>0</v>
      </c>
      <c r="AJ12" s="40"/>
      <c r="AK12" s="209"/>
      <c r="AL12" s="82" t="s">
        <v>14</v>
      </c>
      <c r="AM12" s="83" t="s">
        <v>11</v>
      </c>
      <c r="AN12" s="1">
        <v>0</v>
      </c>
      <c r="AO12" s="2">
        <v>0</v>
      </c>
      <c r="AP12" s="3">
        <v>90</v>
      </c>
      <c r="AQ12" s="4">
        <f>SUM(AN12:AP12)</f>
        <v>90</v>
      </c>
      <c r="AR12" s="5">
        <v>0</v>
      </c>
      <c r="AS12" s="40"/>
      <c r="AT12" s="209"/>
      <c r="AU12" s="82" t="s">
        <v>14</v>
      </c>
      <c r="AV12" s="83" t="s">
        <v>11</v>
      </c>
      <c r="AW12" s="1">
        <v>0</v>
      </c>
      <c r="AX12" s="2">
        <v>0</v>
      </c>
      <c r="AY12" s="3">
        <v>80</v>
      </c>
      <c r="AZ12" s="4">
        <f>SUM(AW12:AY12)</f>
        <v>80</v>
      </c>
      <c r="BA12" s="5">
        <v>0</v>
      </c>
      <c r="BB12" s="40"/>
      <c r="BC12" s="209"/>
      <c r="BD12" s="82" t="s">
        <v>14</v>
      </c>
      <c r="BE12" s="83" t="s">
        <v>11</v>
      </c>
      <c r="BF12" s="155">
        <v>0</v>
      </c>
      <c r="BG12" s="156">
        <v>9</v>
      </c>
      <c r="BH12" s="157">
        <v>305</v>
      </c>
      <c r="BI12" s="165">
        <v>314</v>
      </c>
      <c r="BJ12" s="5">
        <v>0</v>
      </c>
      <c r="BK12" s="40"/>
      <c r="BL12" s="209"/>
      <c r="BM12" s="82" t="s">
        <v>14</v>
      </c>
      <c r="BN12" s="83" t="s">
        <v>11</v>
      </c>
      <c r="BO12" s="199">
        <v>0</v>
      </c>
      <c r="BP12" s="200">
        <v>0</v>
      </c>
      <c r="BQ12" s="201">
        <v>125</v>
      </c>
      <c r="BR12" s="202">
        <v>125</v>
      </c>
      <c r="BS12" s="180">
        <v>0</v>
      </c>
      <c r="BT12" s="40"/>
      <c r="BU12" s="209"/>
      <c r="BV12" s="82" t="s">
        <v>14</v>
      </c>
      <c r="BW12" s="83" t="s">
        <v>11</v>
      </c>
      <c r="BX12" s="176">
        <v>0</v>
      </c>
      <c r="BY12" s="177">
        <v>4</v>
      </c>
      <c r="BZ12" s="178">
        <v>13</v>
      </c>
      <c r="CA12" s="179">
        <f t="shared" si="9"/>
        <v>17</v>
      </c>
      <c r="CB12" s="180">
        <v>0</v>
      </c>
      <c r="CC12" s="40"/>
      <c r="CD12" s="209"/>
      <c r="CE12" s="82" t="s">
        <v>14</v>
      </c>
      <c r="CF12" s="83" t="s">
        <v>11</v>
      </c>
      <c r="CG12" s="176">
        <v>0</v>
      </c>
      <c r="CH12" s="177">
        <v>0</v>
      </c>
      <c r="CI12" s="178">
        <v>0</v>
      </c>
      <c r="CJ12" s="179">
        <v>0</v>
      </c>
      <c r="CK12" s="180">
        <v>0</v>
      </c>
      <c r="CL12" s="40"/>
      <c r="CM12" s="209"/>
      <c r="CN12" s="82" t="s">
        <v>14</v>
      </c>
      <c r="CO12" s="83" t="s">
        <v>11</v>
      </c>
      <c r="CP12" s="1">
        <v>0</v>
      </c>
      <c r="CQ12" s="2">
        <v>0</v>
      </c>
      <c r="CR12" s="3">
        <v>0</v>
      </c>
      <c r="CS12" s="4">
        <f>SUM(CP12:CR12)</f>
        <v>0</v>
      </c>
      <c r="CT12" s="5">
        <v>0</v>
      </c>
      <c r="CU12" s="40"/>
      <c r="CV12" s="209"/>
      <c r="CW12" s="82" t="s">
        <v>14</v>
      </c>
      <c r="CX12" s="83" t="s">
        <v>11</v>
      </c>
      <c r="CY12" s="1">
        <v>0</v>
      </c>
      <c r="CZ12" s="2">
        <v>0</v>
      </c>
      <c r="DA12" s="3">
        <v>0</v>
      </c>
      <c r="DB12" s="4">
        <f>SUM(CY12:DA12)</f>
        <v>0</v>
      </c>
      <c r="DC12" s="5">
        <v>0</v>
      </c>
      <c r="DD12" s="40"/>
      <c r="DE12" s="209"/>
      <c r="DF12" s="18" t="s">
        <v>14</v>
      </c>
      <c r="DG12" s="29" t="s">
        <v>11</v>
      </c>
      <c r="DH12" s="1">
        <f t="shared" si="11"/>
        <v>1</v>
      </c>
      <c r="DI12" s="2">
        <f t="shared" si="12"/>
        <v>66</v>
      </c>
      <c r="DJ12" s="20">
        <f t="shared" si="13"/>
        <v>1243</v>
      </c>
      <c r="DK12" s="4">
        <f>SUM(DH12:DJ12)</f>
        <v>1310</v>
      </c>
      <c r="DL12" s="5">
        <f>H12+Q12+Z12+AI12+AR12+BA12+BJ12+BS12+CB12+CK12+CT12+DC12</f>
        <v>0</v>
      </c>
      <c r="DM12" s="17"/>
    </row>
    <row r="13" spans="1:117" ht="17.100000000000001" customHeight="1" thickBot="1" x14ac:dyDescent="0.3">
      <c r="A13" s="209"/>
      <c r="B13" s="84" t="s">
        <v>12</v>
      </c>
      <c r="C13" s="85" t="s">
        <v>13</v>
      </c>
      <c r="D13" s="155">
        <v>0</v>
      </c>
      <c r="E13" s="156">
        <v>1</v>
      </c>
      <c r="F13" s="157">
        <v>5</v>
      </c>
      <c r="G13" s="9">
        <f>SUM(D13:F13)</f>
        <v>6</v>
      </c>
      <c r="H13" s="10">
        <v>0</v>
      </c>
      <c r="I13" s="40"/>
      <c r="J13" s="209"/>
      <c r="K13" s="84" t="s">
        <v>12</v>
      </c>
      <c r="L13" s="85" t="s">
        <v>13</v>
      </c>
      <c r="M13" s="155">
        <v>0</v>
      </c>
      <c r="N13" s="156">
        <v>0</v>
      </c>
      <c r="O13" s="157">
        <v>7</v>
      </c>
      <c r="P13" s="165">
        <v>7</v>
      </c>
      <c r="Q13" s="10">
        <v>0</v>
      </c>
      <c r="R13" s="40"/>
      <c r="S13" s="209"/>
      <c r="T13" s="84" t="s">
        <v>12</v>
      </c>
      <c r="U13" s="85" t="s">
        <v>13</v>
      </c>
      <c r="V13" s="161">
        <v>0</v>
      </c>
      <c r="W13" s="162">
        <v>5</v>
      </c>
      <c r="X13" s="163">
        <v>21</v>
      </c>
      <c r="Y13" s="9">
        <f>SUM(V13:X13)</f>
        <v>26</v>
      </c>
      <c r="Z13" s="10">
        <v>0</v>
      </c>
      <c r="AA13" s="40"/>
      <c r="AB13" s="209"/>
      <c r="AC13" s="84" t="s">
        <v>12</v>
      </c>
      <c r="AD13" s="85" t="s">
        <v>13</v>
      </c>
      <c r="AE13" s="161">
        <v>0</v>
      </c>
      <c r="AF13" s="162">
        <v>0</v>
      </c>
      <c r="AG13" s="163">
        <v>5</v>
      </c>
      <c r="AH13" s="9">
        <f>SUM(AE13:AG13)</f>
        <v>5</v>
      </c>
      <c r="AI13" s="10">
        <v>0</v>
      </c>
      <c r="AJ13" s="40"/>
      <c r="AK13" s="209"/>
      <c r="AL13" s="84" t="s">
        <v>12</v>
      </c>
      <c r="AM13" s="85" t="s">
        <v>13</v>
      </c>
      <c r="AN13" s="6">
        <v>0</v>
      </c>
      <c r="AO13" s="7">
        <v>0</v>
      </c>
      <c r="AP13" s="8">
        <v>56</v>
      </c>
      <c r="AQ13" s="9">
        <f>SUM(AN13:AP13)</f>
        <v>56</v>
      </c>
      <c r="AR13" s="10">
        <v>0</v>
      </c>
      <c r="AS13" s="40"/>
      <c r="AT13" s="209"/>
      <c r="AU13" s="84" t="s">
        <v>12</v>
      </c>
      <c r="AV13" s="85" t="s">
        <v>13</v>
      </c>
      <c r="AW13" s="6">
        <v>0</v>
      </c>
      <c r="AX13" s="7">
        <v>0</v>
      </c>
      <c r="AY13" s="8">
        <v>44</v>
      </c>
      <c r="AZ13" s="9">
        <f>SUM(AW13:AY13)</f>
        <v>44</v>
      </c>
      <c r="BA13" s="10">
        <v>0</v>
      </c>
      <c r="BB13" s="40"/>
      <c r="BC13" s="209"/>
      <c r="BD13" s="84" t="s">
        <v>12</v>
      </c>
      <c r="BE13" s="85" t="s">
        <v>13</v>
      </c>
      <c r="BF13" s="161">
        <v>0</v>
      </c>
      <c r="BG13" s="162">
        <v>0</v>
      </c>
      <c r="BH13" s="163">
        <v>5</v>
      </c>
      <c r="BI13" s="166">
        <v>5</v>
      </c>
      <c r="BJ13" s="10">
        <v>0</v>
      </c>
      <c r="BK13" s="40"/>
      <c r="BL13" s="209"/>
      <c r="BM13" s="84" t="s">
        <v>12</v>
      </c>
      <c r="BN13" s="85" t="s">
        <v>13</v>
      </c>
      <c r="BO13" s="195">
        <v>0</v>
      </c>
      <c r="BP13" s="196">
        <v>0</v>
      </c>
      <c r="BQ13" s="197">
        <v>235</v>
      </c>
      <c r="BR13" s="198">
        <v>235</v>
      </c>
      <c r="BS13" s="185">
        <v>0</v>
      </c>
      <c r="BT13" s="40"/>
      <c r="BU13" s="209"/>
      <c r="BV13" s="84" t="s">
        <v>12</v>
      </c>
      <c r="BW13" s="85" t="s">
        <v>13</v>
      </c>
      <c r="BX13" s="181">
        <v>0</v>
      </c>
      <c r="BY13" s="182">
        <v>3</v>
      </c>
      <c r="BZ13" s="183">
        <v>9</v>
      </c>
      <c r="CA13" s="184">
        <f t="shared" si="9"/>
        <v>12</v>
      </c>
      <c r="CB13" s="185">
        <v>0</v>
      </c>
      <c r="CC13" s="40"/>
      <c r="CD13" s="209"/>
      <c r="CE13" s="84" t="s">
        <v>12</v>
      </c>
      <c r="CF13" s="85" t="s">
        <v>13</v>
      </c>
      <c r="CG13" s="181">
        <v>0</v>
      </c>
      <c r="CH13" s="182">
        <v>0</v>
      </c>
      <c r="CI13" s="183">
        <v>0</v>
      </c>
      <c r="CJ13" s="184">
        <v>0</v>
      </c>
      <c r="CK13" s="185">
        <v>0</v>
      </c>
      <c r="CL13" s="40"/>
      <c r="CM13" s="209"/>
      <c r="CN13" s="84" t="s">
        <v>12</v>
      </c>
      <c r="CO13" s="85" t="s">
        <v>13</v>
      </c>
      <c r="CP13" s="6">
        <v>0</v>
      </c>
      <c r="CQ13" s="7">
        <v>0</v>
      </c>
      <c r="CR13" s="8">
        <v>0</v>
      </c>
      <c r="CS13" s="9">
        <f>SUM(CP13:CR13)</f>
        <v>0</v>
      </c>
      <c r="CT13" s="10">
        <v>0</v>
      </c>
      <c r="CU13" s="40"/>
      <c r="CV13" s="209"/>
      <c r="CW13" s="84" t="s">
        <v>12</v>
      </c>
      <c r="CX13" s="85" t="s">
        <v>13</v>
      </c>
      <c r="CY13" s="6">
        <v>0</v>
      </c>
      <c r="CZ13" s="7">
        <v>0</v>
      </c>
      <c r="DA13" s="8">
        <v>0</v>
      </c>
      <c r="DB13" s="9">
        <f>SUM(CY13:DA13)</f>
        <v>0</v>
      </c>
      <c r="DC13" s="10">
        <v>0</v>
      </c>
      <c r="DD13" s="40"/>
      <c r="DE13" s="209"/>
      <c r="DF13" s="19" t="s">
        <v>12</v>
      </c>
      <c r="DG13" s="30" t="s">
        <v>13</v>
      </c>
      <c r="DH13" s="6">
        <f t="shared" si="11"/>
        <v>0</v>
      </c>
      <c r="DI13" s="7">
        <f t="shared" si="12"/>
        <v>9</v>
      </c>
      <c r="DJ13" s="21">
        <f t="shared" si="13"/>
        <v>387</v>
      </c>
      <c r="DK13" s="9">
        <f>SUM(DH13:DJ13)</f>
        <v>396</v>
      </c>
      <c r="DL13" s="10">
        <f>H13+Q13+Z13+AI13+AR13+BA13+BJ13+BS13+CB13+CK13+CT13+DC13</f>
        <v>0</v>
      </c>
      <c r="DM13" s="17"/>
    </row>
    <row r="14" spans="1:117" ht="17.100000000000001" customHeight="1" thickBot="1" x14ac:dyDescent="0.3">
      <c r="A14" s="210"/>
      <c r="B14" s="211" t="s">
        <v>3</v>
      </c>
      <c r="C14" s="212"/>
      <c r="D14" s="11">
        <f>SUM(D10:D13)</f>
        <v>0</v>
      </c>
      <c r="E14" s="12">
        <f>SUM(E10:E13)</f>
        <v>8</v>
      </c>
      <c r="F14" s="13">
        <f>SUM(F10:F13)</f>
        <v>348</v>
      </c>
      <c r="G14" s="14">
        <f>SUM(G10:G13)</f>
        <v>356</v>
      </c>
      <c r="H14" s="15">
        <f>SUM(H10:H13)</f>
        <v>0</v>
      </c>
      <c r="I14" s="40"/>
      <c r="J14" s="210"/>
      <c r="K14" s="211" t="s">
        <v>3</v>
      </c>
      <c r="L14" s="212"/>
      <c r="M14" s="11">
        <f>SUM(M10:M13)</f>
        <v>0</v>
      </c>
      <c r="N14" s="12">
        <f>SUM(N10:N13)</f>
        <v>26</v>
      </c>
      <c r="O14" s="13">
        <f>SUM(O10:O13)</f>
        <v>339</v>
      </c>
      <c r="P14" s="14">
        <f>SUM(P10:P13)</f>
        <v>365</v>
      </c>
      <c r="Q14" s="15">
        <f>SUM(Q10:Q13)</f>
        <v>0</v>
      </c>
      <c r="R14" s="40"/>
      <c r="S14" s="210"/>
      <c r="T14" s="211" t="s">
        <v>3</v>
      </c>
      <c r="U14" s="212"/>
      <c r="V14" s="155">
        <v>0</v>
      </c>
      <c r="W14" s="156">
        <v>1</v>
      </c>
      <c r="X14" s="157">
        <v>22</v>
      </c>
      <c r="Y14" s="14">
        <f>SUM(Y10:Y13)</f>
        <v>1688</v>
      </c>
      <c r="Z14" s="15">
        <f>SUM(Z10:Z13)</f>
        <v>0</v>
      </c>
      <c r="AA14" s="40"/>
      <c r="AB14" s="210"/>
      <c r="AC14" s="211" t="s">
        <v>3</v>
      </c>
      <c r="AD14" s="212"/>
      <c r="AE14" s="155">
        <v>0</v>
      </c>
      <c r="AF14" s="156">
        <v>0</v>
      </c>
      <c r="AG14" s="157">
        <v>9</v>
      </c>
      <c r="AH14" s="14">
        <f>SUM(AH10:AH13)</f>
        <v>1330</v>
      </c>
      <c r="AI14" s="15">
        <f>SUM(AI10:AI13)</f>
        <v>0</v>
      </c>
      <c r="AJ14" s="40"/>
      <c r="AK14" s="210"/>
      <c r="AL14" s="211" t="s">
        <v>3</v>
      </c>
      <c r="AM14" s="212"/>
      <c r="AN14" s="11">
        <f>SUM(AN10:AN13)</f>
        <v>0</v>
      </c>
      <c r="AO14" s="12">
        <f>SUM(AO10:AO13)</f>
        <v>15</v>
      </c>
      <c r="AP14" s="13">
        <f>SUM(AP10:AP13)</f>
        <v>597</v>
      </c>
      <c r="AQ14" s="14">
        <f>SUM(AQ10:AQ13)</f>
        <v>612</v>
      </c>
      <c r="AR14" s="15">
        <f>SUM(AR10:AR13)</f>
        <v>0</v>
      </c>
      <c r="AS14" s="40"/>
      <c r="AT14" s="210"/>
      <c r="AU14" s="211" t="s">
        <v>3</v>
      </c>
      <c r="AV14" s="212"/>
      <c r="AW14" s="11">
        <f>SUM(AW10:AW13)</f>
        <v>0</v>
      </c>
      <c r="AX14" s="12">
        <f>SUM(AX10:AX13)</f>
        <v>8</v>
      </c>
      <c r="AY14" s="13">
        <f>SUM(AY10:AY13)</f>
        <v>735</v>
      </c>
      <c r="AZ14" s="14">
        <f>SUM(AZ10:AZ13)</f>
        <v>743</v>
      </c>
      <c r="BA14" s="15">
        <f>SUM(BA10:BA13)</f>
        <v>0</v>
      </c>
      <c r="BB14" s="40"/>
      <c r="BC14" s="210"/>
      <c r="BD14" s="211" t="s">
        <v>3</v>
      </c>
      <c r="BE14" s="212"/>
      <c r="BF14" s="155">
        <v>0</v>
      </c>
      <c r="BG14" s="156">
        <v>0</v>
      </c>
      <c r="BH14" s="157">
        <v>7</v>
      </c>
      <c r="BI14" s="165">
        <v>7</v>
      </c>
      <c r="BJ14" s="15">
        <f>SUM(BJ10:BJ13)</f>
        <v>0</v>
      </c>
      <c r="BK14" s="40"/>
      <c r="BL14" s="210"/>
      <c r="BM14" s="211" t="s">
        <v>3</v>
      </c>
      <c r="BN14" s="212"/>
      <c r="BO14" s="186">
        <f t="shared" ref="BO14:BS14" si="14">SUM(BO10:BO13)</f>
        <v>5</v>
      </c>
      <c r="BP14" s="187">
        <f t="shared" si="14"/>
        <v>75</v>
      </c>
      <c r="BQ14" s="188">
        <f t="shared" si="14"/>
        <v>1044</v>
      </c>
      <c r="BR14" s="189">
        <f t="shared" si="14"/>
        <v>1124</v>
      </c>
      <c r="BS14" s="190">
        <f t="shared" si="14"/>
        <v>0</v>
      </c>
      <c r="BT14" s="40"/>
      <c r="BU14" s="210"/>
      <c r="BV14" s="211" t="s">
        <v>3</v>
      </c>
      <c r="BW14" s="212"/>
      <c r="BX14" s="186">
        <f t="shared" ref="BX14:CB14" si="15">SUM(BX10:BX13)</f>
        <v>0</v>
      </c>
      <c r="BY14" s="187">
        <f t="shared" si="15"/>
        <v>47</v>
      </c>
      <c r="BZ14" s="188">
        <f t="shared" si="15"/>
        <v>280</v>
      </c>
      <c r="CA14" s="189">
        <f t="shared" si="15"/>
        <v>327</v>
      </c>
      <c r="CB14" s="190">
        <f t="shared" si="15"/>
        <v>0</v>
      </c>
      <c r="CC14" s="40"/>
      <c r="CD14" s="210"/>
      <c r="CE14" s="211" t="s">
        <v>3</v>
      </c>
      <c r="CF14" s="212"/>
      <c r="CG14" s="186"/>
      <c r="CH14" s="187"/>
      <c r="CI14" s="188"/>
      <c r="CJ14" s="189"/>
      <c r="CK14" s="190"/>
      <c r="CL14" s="40"/>
      <c r="CM14" s="210"/>
      <c r="CN14" s="211" t="s">
        <v>3</v>
      </c>
      <c r="CO14" s="212"/>
      <c r="CP14" s="11">
        <f>SUM(CP10:CP13)</f>
        <v>0</v>
      </c>
      <c r="CQ14" s="12">
        <f>SUM(CQ10:CQ13)</f>
        <v>0</v>
      </c>
      <c r="CR14" s="13">
        <f>SUM(CR10:CR13)</f>
        <v>0</v>
      </c>
      <c r="CS14" s="14">
        <f>SUM(CS10:CS13)</f>
        <v>0</v>
      </c>
      <c r="CT14" s="15">
        <f>SUM(CT10:CT13)</f>
        <v>0</v>
      </c>
      <c r="CU14" s="40"/>
      <c r="CV14" s="210"/>
      <c r="CW14" s="211" t="s">
        <v>3</v>
      </c>
      <c r="CX14" s="212"/>
      <c r="CY14" s="11">
        <f>SUM(CY10:CY13)</f>
        <v>0</v>
      </c>
      <c r="CZ14" s="12">
        <f>SUM(CZ10:CZ13)</f>
        <v>0</v>
      </c>
      <c r="DA14" s="13">
        <f>SUM(DA10:DA13)</f>
        <v>0</v>
      </c>
      <c r="DB14" s="14">
        <f>SUM(DB10:DB13)</f>
        <v>0</v>
      </c>
      <c r="DC14" s="15">
        <f>SUM(DC10:DC13)</f>
        <v>0</v>
      </c>
      <c r="DD14" s="40"/>
      <c r="DE14" s="210"/>
      <c r="DF14" s="238" t="s">
        <v>3</v>
      </c>
      <c r="DG14" s="239"/>
      <c r="DH14" s="22">
        <f>SUM(DH10:DH13)</f>
        <v>7</v>
      </c>
      <c r="DI14" s="23">
        <f>SUM(DI10:DI13)</f>
        <v>800</v>
      </c>
      <c r="DJ14" s="24">
        <f>SUM(DJ10:DJ13)</f>
        <v>7050</v>
      </c>
      <c r="DK14" s="25">
        <f>SUM(DK10:DK13)</f>
        <v>7857</v>
      </c>
      <c r="DL14" s="26">
        <f>SUM(DL10:DL13)</f>
        <v>0</v>
      </c>
      <c r="DM14" s="17"/>
    </row>
    <row r="15" spans="1:117" ht="17.100000000000001" customHeight="1" thickTop="1" thickBot="1" x14ac:dyDescent="0.3">
      <c r="A15" s="208" t="s">
        <v>21</v>
      </c>
      <c r="B15" s="219" t="s">
        <v>12</v>
      </c>
      <c r="C15" s="80" t="s">
        <v>11</v>
      </c>
      <c r="D15" s="152">
        <v>0</v>
      </c>
      <c r="E15" s="153">
        <v>166</v>
      </c>
      <c r="F15" s="154">
        <v>211</v>
      </c>
      <c r="G15" s="4">
        <f>SUM(D15:F15)</f>
        <v>377</v>
      </c>
      <c r="H15" s="5">
        <v>0</v>
      </c>
      <c r="I15" s="40"/>
      <c r="J15" s="208" t="s">
        <v>21</v>
      </c>
      <c r="K15" s="219" t="s">
        <v>12</v>
      </c>
      <c r="L15" s="80" t="s">
        <v>11</v>
      </c>
      <c r="M15" s="152">
        <v>0</v>
      </c>
      <c r="N15" s="153">
        <v>210</v>
      </c>
      <c r="O15" s="154">
        <v>376</v>
      </c>
      <c r="P15" s="4">
        <f>SUM(M15:O15)</f>
        <v>586</v>
      </c>
      <c r="Q15" s="5">
        <v>0</v>
      </c>
      <c r="R15" s="40"/>
      <c r="S15" s="208" t="s">
        <v>21</v>
      </c>
      <c r="T15" s="219" t="s">
        <v>12</v>
      </c>
      <c r="U15" s="80" t="s">
        <v>11</v>
      </c>
      <c r="V15" s="168">
        <v>2</v>
      </c>
      <c r="W15" s="169">
        <v>83</v>
      </c>
      <c r="X15" s="165">
        <v>796</v>
      </c>
      <c r="Y15" s="4">
        <f>SUM(V15:X15)</f>
        <v>881</v>
      </c>
      <c r="Z15" s="5">
        <v>0</v>
      </c>
      <c r="AA15" s="40"/>
      <c r="AB15" s="208" t="s">
        <v>21</v>
      </c>
      <c r="AC15" s="219" t="s">
        <v>12</v>
      </c>
      <c r="AD15" s="80" t="s">
        <v>11</v>
      </c>
      <c r="AE15" s="168">
        <v>0</v>
      </c>
      <c r="AF15" s="169">
        <v>11</v>
      </c>
      <c r="AG15" s="165">
        <v>469</v>
      </c>
      <c r="AH15" s="4">
        <f>SUM(AE15:AG15)</f>
        <v>480</v>
      </c>
      <c r="AI15" s="5">
        <v>0</v>
      </c>
      <c r="AJ15" s="40"/>
      <c r="AK15" s="208" t="s">
        <v>21</v>
      </c>
      <c r="AL15" s="219" t="s">
        <v>12</v>
      </c>
      <c r="AM15" s="80" t="s">
        <v>11</v>
      </c>
      <c r="AN15" s="1">
        <v>0</v>
      </c>
      <c r="AO15" s="2">
        <v>33</v>
      </c>
      <c r="AP15" s="3">
        <v>433</v>
      </c>
      <c r="AQ15" s="4">
        <f>SUM(AN15:AP15)</f>
        <v>466</v>
      </c>
      <c r="AR15" s="5">
        <v>0</v>
      </c>
      <c r="AS15" s="40"/>
      <c r="AT15" s="208" t="s">
        <v>21</v>
      </c>
      <c r="AU15" s="219" t="s">
        <v>12</v>
      </c>
      <c r="AV15" s="80" t="s">
        <v>11</v>
      </c>
      <c r="AW15" s="1">
        <v>0</v>
      </c>
      <c r="AX15" s="2">
        <v>40</v>
      </c>
      <c r="AY15" s="3">
        <v>495</v>
      </c>
      <c r="AZ15" s="4">
        <f>SUM(AW15:AY15)</f>
        <v>535</v>
      </c>
      <c r="BA15" s="5">
        <v>0</v>
      </c>
      <c r="BB15" s="40"/>
      <c r="BC15" s="208" t="s">
        <v>21</v>
      </c>
      <c r="BD15" s="219" t="s">
        <v>12</v>
      </c>
      <c r="BE15" s="80" t="s">
        <v>11</v>
      </c>
      <c r="BF15" s="168">
        <v>0</v>
      </c>
      <c r="BG15" s="169">
        <v>19</v>
      </c>
      <c r="BH15" s="165">
        <v>549</v>
      </c>
      <c r="BI15" s="175">
        <v>568</v>
      </c>
      <c r="BJ15" s="5">
        <v>0</v>
      </c>
      <c r="BK15" s="40"/>
      <c r="BL15" s="208" t="s">
        <v>21</v>
      </c>
      <c r="BM15" s="219" t="s">
        <v>12</v>
      </c>
      <c r="BN15" s="80" t="s">
        <v>11</v>
      </c>
      <c r="BO15" s="176">
        <v>0</v>
      </c>
      <c r="BP15" s="177">
        <v>26</v>
      </c>
      <c r="BQ15" s="178">
        <v>179</v>
      </c>
      <c r="BR15" s="179">
        <f t="shared" ref="BR15:BR18" si="16">SUM(BO15:BQ15)</f>
        <v>205</v>
      </c>
      <c r="BS15" s="180">
        <v>0</v>
      </c>
      <c r="BT15" s="40"/>
      <c r="BU15" s="208" t="s">
        <v>21</v>
      </c>
      <c r="BV15" s="219" t="s">
        <v>12</v>
      </c>
      <c r="BW15" s="80" t="s">
        <v>11</v>
      </c>
      <c r="BX15" s="176">
        <v>0</v>
      </c>
      <c r="BY15" s="177">
        <v>7</v>
      </c>
      <c r="BZ15" s="178">
        <v>456</v>
      </c>
      <c r="CA15" s="179">
        <f t="shared" ref="CA15:CA18" si="17">SUM(BX15:BZ15)</f>
        <v>463</v>
      </c>
      <c r="CB15" s="180">
        <v>0</v>
      </c>
      <c r="CC15" s="40"/>
      <c r="CD15" s="208" t="s">
        <v>21</v>
      </c>
      <c r="CE15" s="219" t="s">
        <v>12</v>
      </c>
      <c r="CF15" s="80" t="s">
        <v>11</v>
      </c>
      <c r="CG15" s="176">
        <v>0</v>
      </c>
      <c r="CH15" s="177">
        <v>15</v>
      </c>
      <c r="CI15" s="178">
        <v>560</v>
      </c>
      <c r="CJ15" s="179">
        <f t="shared" ref="CJ15:CJ18" si="18">SUM(CG15:CI15)</f>
        <v>575</v>
      </c>
      <c r="CK15" s="180">
        <v>0</v>
      </c>
      <c r="CL15" s="40"/>
      <c r="CM15" s="208" t="s">
        <v>21</v>
      </c>
      <c r="CN15" s="219" t="s">
        <v>12</v>
      </c>
      <c r="CO15" s="80" t="s">
        <v>11</v>
      </c>
      <c r="CP15" s="1">
        <v>0</v>
      </c>
      <c r="CQ15" s="2">
        <v>0</v>
      </c>
      <c r="CR15" s="3">
        <v>0</v>
      </c>
      <c r="CS15" s="4">
        <f>SUM(CP15:CR15)</f>
        <v>0</v>
      </c>
      <c r="CT15" s="5">
        <v>0</v>
      </c>
      <c r="CU15" s="40"/>
      <c r="CV15" s="208" t="s">
        <v>21</v>
      </c>
      <c r="CW15" s="219" t="s">
        <v>12</v>
      </c>
      <c r="CX15" s="80" t="s">
        <v>11</v>
      </c>
      <c r="CY15" s="1">
        <v>0</v>
      </c>
      <c r="CZ15" s="2">
        <v>0</v>
      </c>
      <c r="DA15" s="3">
        <v>0</v>
      </c>
      <c r="DB15" s="4">
        <f>SUM(CY15:DA15)</f>
        <v>0</v>
      </c>
      <c r="DC15" s="5">
        <v>0</v>
      </c>
      <c r="DD15" s="40"/>
      <c r="DE15" s="208" t="str">
        <f t="shared" ref="DE15" si="19">CV15</f>
        <v>السليمانية</v>
      </c>
      <c r="DF15" s="18"/>
      <c r="DG15" s="27" t="s">
        <v>11</v>
      </c>
      <c r="DH15" s="1">
        <f t="shared" ref="DH15:DH18" si="20">D15+M15+V15+AE15+AN15+AW15+BF15+BO15+BX15+CG15+CP15+CY15</f>
        <v>2</v>
      </c>
      <c r="DI15" s="2">
        <f t="shared" ref="DI15:DI18" si="21">E15+N15+W15+AF15+AO15+AX15+BG15+BP15+BY15+CH15+CQ15+CZ15</f>
        <v>610</v>
      </c>
      <c r="DJ15" s="20">
        <f t="shared" ref="DJ15:DJ18" si="22">F15+O15+X15+AG15+AP15+AY15+BH15+BQ15+BZ15+CI15+CR15+DA15</f>
        <v>4524</v>
      </c>
      <c r="DK15" s="4">
        <f>SUM(DH15:DJ15)</f>
        <v>5136</v>
      </c>
      <c r="DL15" s="5">
        <f>H15+Q15+Z15+AI15+AR15+BA15+BJ15+BS15+CB15+CK15+CT15+DC15</f>
        <v>0</v>
      </c>
      <c r="DM15" s="17"/>
    </row>
    <row r="16" spans="1:117" ht="17.100000000000001" customHeight="1" thickBot="1" x14ac:dyDescent="0.3">
      <c r="A16" s="209"/>
      <c r="B16" s="220"/>
      <c r="C16" s="81" t="s">
        <v>13</v>
      </c>
      <c r="D16" s="161">
        <v>0</v>
      </c>
      <c r="E16" s="162">
        <v>101</v>
      </c>
      <c r="F16" s="163">
        <v>241</v>
      </c>
      <c r="G16" s="9">
        <f>SUM(D16:F16)</f>
        <v>342</v>
      </c>
      <c r="H16" s="10">
        <v>0</v>
      </c>
      <c r="I16" s="40"/>
      <c r="J16" s="209"/>
      <c r="K16" s="220"/>
      <c r="L16" s="81" t="s">
        <v>13</v>
      </c>
      <c r="M16" s="161">
        <v>0</v>
      </c>
      <c r="N16" s="162">
        <v>190</v>
      </c>
      <c r="O16" s="163">
        <v>410</v>
      </c>
      <c r="P16" s="9">
        <f>SUM(M16:O16)</f>
        <v>600</v>
      </c>
      <c r="Q16" s="10">
        <v>0</v>
      </c>
      <c r="R16" s="40"/>
      <c r="S16" s="209"/>
      <c r="T16" s="220"/>
      <c r="U16" s="81" t="s">
        <v>13</v>
      </c>
      <c r="V16" s="161">
        <v>0</v>
      </c>
      <c r="W16" s="162">
        <v>99</v>
      </c>
      <c r="X16" s="163">
        <v>158</v>
      </c>
      <c r="Y16" s="9">
        <f>SUM(V16:X16)</f>
        <v>257</v>
      </c>
      <c r="Z16" s="10">
        <v>0</v>
      </c>
      <c r="AA16" s="40"/>
      <c r="AB16" s="209"/>
      <c r="AC16" s="220"/>
      <c r="AD16" s="81" t="s">
        <v>13</v>
      </c>
      <c r="AE16" s="161">
        <v>0</v>
      </c>
      <c r="AF16" s="162">
        <v>26</v>
      </c>
      <c r="AG16" s="163">
        <v>189</v>
      </c>
      <c r="AH16" s="9">
        <f>SUM(AE16:AG16)</f>
        <v>215</v>
      </c>
      <c r="AI16" s="10">
        <v>0</v>
      </c>
      <c r="AJ16" s="40"/>
      <c r="AK16" s="209"/>
      <c r="AL16" s="220"/>
      <c r="AM16" s="81" t="s">
        <v>13</v>
      </c>
      <c r="AN16" s="6">
        <v>0</v>
      </c>
      <c r="AO16" s="7">
        <v>25</v>
      </c>
      <c r="AP16" s="8">
        <v>325</v>
      </c>
      <c r="AQ16" s="9">
        <f>SUM(AN16:AP16)</f>
        <v>350</v>
      </c>
      <c r="AR16" s="10">
        <v>0</v>
      </c>
      <c r="AS16" s="40"/>
      <c r="AT16" s="209"/>
      <c r="AU16" s="220"/>
      <c r="AV16" s="81" t="s">
        <v>13</v>
      </c>
      <c r="AW16" s="6">
        <v>0</v>
      </c>
      <c r="AX16" s="7">
        <v>22</v>
      </c>
      <c r="AY16" s="8">
        <v>322</v>
      </c>
      <c r="AZ16" s="9">
        <f>SUM(AW16:AY16)</f>
        <v>344</v>
      </c>
      <c r="BA16" s="10">
        <v>0</v>
      </c>
      <c r="BB16" s="40"/>
      <c r="BC16" s="209"/>
      <c r="BD16" s="220"/>
      <c r="BE16" s="81" t="s">
        <v>13</v>
      </c>
      <c r="BF16" s="161">
        <v>0</v>
      </c>
      <c r="BG16" s="162">
        <v>198</v>
      </c>
      <c r="BH16" s="163">
        <v>231</v>
      </c>
      <c r="BI16" s="166">
        <v>429</v>
      </c>
      <c r="BJ16" s="10">
        <v>0</v>
      </c>
      <c r="BK16" s="40"/>
      <c r="BL16" s="209"/>
      <c r="BM16" s="220"/>
      <c r="BN16" s="81" t="s">
        <v>13</v>
      </c>
      <c r="BO16" s="181">
        <v>0</v>
      </c>
      <c r="BP16" s="182">
        <v>44</v>
      </c>
      <c r="BQ16" s="183">
        <v>155</v>
      </c>
      <c r="BR16" s="184">
        <f t="shared" si="16"/>
        <v>199</v>
      </c>
      <c r="BS16" s="185">
        <v>0</v>
      </c>
      <c r="BT16" s="40"/>
      <c r="BU16" s="209"/>
      <c r="BV16" s="220"/>
      <c r="BW16" s="81" t="s">
        <v>13</v>
      </c>
      <c r="BX16" s="181">
        <v>0</v>
      </c>
      <c r="BY16" s="182">
        <v>2</v>
      </c>
      <c r="BZ16" s="183">
        <v>341</v>
      </c>
      <c r="CA16" s="184">
        <f t="shared" si="17"/>
        <v>343</v>
      </c>
      <c r="CB16" s="185">
        <v>0</v>
      </c>
      <c r="CC16" s="40"/>
      <c r="CD16" s="209"/>
      <c r="CE16" s="220"/>
      <c r="CF16" s="81" t="s">
        <v>13</v>
      </c>
      <c r="CG16" s="181">
        <v>0</v>
      </c>
      <c r="CH16" s="182">
        <v>4</v>
      </c>
      <c r="CI16" s="183">
        <v>419</v>
      </c>
      <c r="CJ16" s="184">
        <f t="shared" si="18"/>
        <v>423</v>
      </c>
      <c r="CK16" s="185">
        <v>0</v>
      </c>
      <c r="CL16" s="40"/>
      <c r="CM16" s="209"/>
      <c r="CN16" s="220"/>
      <c r="CO16" s="81" t="s">
        <v>13</v>
      </c>
      <c r="CP16" s="6">
        <v>0</v>
      </c>
      <c r="CQ16" s="7">
        <v>0</v>
      </c>
      <c r="CR16" s="8">
        <v>0</v>
      </c>
      <c r="CS16" s="9">
        <f>SUM(CP16:CR16)</f>
        <v>0</v>
      </c>
      <c r="CT16" s="10">
        <v>0</v>
      </c>
      <c r="CU16" s="40"/>
      <c r="CV16" s="209"/>
      <c r="CW16" s="220"/>
      <c r="CX16" s="81" t="s">
        <v>13</v>
      </c>
      <c r="CY16" s="6">
        <v>0</v>
      </c>
      <c r="CZ16" s="7">
        <v>0</v>
      </c>
      <c r="DA16" s="8">
        <v>0</v>
      </c>
      <c r="DB16" s="9">
        <f>SUM(CY16:DA16)</f>
        <v>0</v>
      </c>
      <c r="DC16" s="10">
        <v>0</v>
      </c>
      <c r="DD16" s="40"/>
      <c r="DE16" s="209"/>
      <c r="DF16" s="19" t="s">
        <v>12</v>
      </c>
      <c r="DG16" s="28" t="s">
        <v>13</v>
      </c>
      <c r="DH16" s="6">
        <f t="shared" si="20"/>
        <v>0</v>
      </c>
      <c r="DI16" s="7">
        <f t="shared" si="21"/>
        <v>711</v>
      </c>
      <c r="DJ16" s="21">
        <f t="shared" si="22"/>
        <v>2791</v>
      </c>
      <c r="DK16" s="9">
        <f>SUM(DH16:DJ16)</f>
        <v>3502</v>
      </c>
      <c r="DL16" s="10">
        <f>H16+Q16+Z16+AI16+AR16+BA16+BJ16+BS16+CB16+CK16+CT16+DC16</f>
        <v>0</v>
      </c>
      <c r="DM16" s="17"/>
    </row>
    <row r="17" spans="1:117" ht="17.100000000000001" customHeight="1" thickBot="1" x14ac:dyDescent="0.3">
      <c r="A17" s="209"/>
      <c r="B17" s="82" t="s">
        <v>14</v>
      </c>
      <c r="C17" s="83" t="s">
        <v>11</v>
      </c>
      <c r="D17" s="161">
        <v>0</v>
      </c>
      <c r="E17" s="162">
        <v>75</v>
      </c>
      <c r="F17" s="163">
        <v>155</v>
      </c>
      <c r="G17" s="4">
        <f>SUM(D17:F17)</f>
        <v>230</v>
      </c>
      <c r="H17" s="5">
        <v>0</v>
      </c>
      <c r="I17" s="40"/>
      <c r="J17" s="209"/>
      <c r="K17" s="82" t="s">
        <v>14</v>
      </c>
      <c r="L17" s="83" t="s">
        <v>11</v>
      </c>
      <c r="M17" s="161">
        <v>0</v>
      </c>
      <c r="N17" s="162">
        <v>52</v>
      </c>
      <c r="O17" s="163">
        <v>58</v>
      </c>
      <c r="P17" s="4">
        <f>SUM(M17:O17)</f>
        <v>110</v>
      </c>
      <c r="Q17" s="5">
        <v>0</v>
      </c>
      <c r="R17" s="40"/>
      <c r="S17" s="209"/>
      <c r="T17" s="82" t="s">
        <v>14</v>
      </c>
      <c r="U17" s="83" t="s">
        <v>11</v>
      </c>
      <c r="V17" s="155">
        <v>0</v>
      </c>
      <c r="W17" s="156">
        <v>158</v>
      </c>
      <c r="X17" s="157">
        <v>202</v>
      </c>
      <c r="Y17" s="4">
        <f>SUM(V17:X17)</f>
        <v>360</v>
      </c>
      <c r="Z17" s="5">
        <v>0</v>
      </c>
      <c r="AA17" s="40"/>
      <c r="AB17" s="209"/>
      <c r="AC17" s="82" t="s">
        <v>14</v>
      </c>
      <c r="AD17" s="83" t="s">
        <v>11</v>
      </c>
      <c r="AE17" s="155">
        <v>0</v>
      </c>
      <c r="AF17" s="156">
        <v>27</v>
      </c>
      <c r="AG17" s="157">
        <v>200</v>
      </c>
      <c r="AH17" s="4">
        <f>SUM(AE17:AG17)</f>
        <v>227</v>
      </c>
      <c r="AI17" s="5">
        <v>0</v>
      </c>
      <c r="AJ17" s="40"/>
      <c r="AK17" s="209"/>
      <c r="AL17" s="82" t="s">
        <v>14</v>
      </c>
      <c r="AM17" s="83" t="s">
        <v>11</v>
      </c>
      <c r="AN17" s="1">
        <v>0</v>
      </c>
      <c r="AO17" s="2">
        <v>0</v>
      </c>
      <c r="AP17" s="3">
        <v>106</v>
      </c>
      <c r="AQ17" s="4">
        <f>SUM(AN17:AP17)</f>
        <v>106</v>
      </c>
      <c r="AR17" s="5">
        <v>0</v>
      </c>
      <c r="AS17" s="40"/>
      <c r="AT17" s="209"/>
      <c r="AU17" s="82" t="s">
        <v>14</v>
      </c>
      <c r="AV17" s="83" t="s">
        <v>11</v>
      </c>
      <c r="AW17" s="1">
        <v>0</v>
      </c>
      <c r="AX17" s="2">
        <v>0</v>
      </c>
      <c r="AY17" s="3">
        <v>110</v>
      </c>
      <c r="AZ17" s="4">
        <f>SUM(AW17:AY17)</f>
        <v>110</v>
      </c>
      <c r="BA17" s="5">
        <v>0</v>
      </c>
      <c r="BB17" s="40"/>
      <c r="BC17" s="209"/>
      <c r="BD17" s="82" t="s">
        <v>14</v>
      </c>
      <c r="BE17" s="83" t="s">
        <v>11</v>
      </c>
      <c r="BF17" s="161">
        <v>0</v>
      </c>
      <c r="BG17" s="162">
        <v>140</v>
      </c>
      <c r="BH17" s="163">
        <v>150</v>
      </c>
      <c r="BI17" s="165">
        <v>290</v>
      </c>
      <c r="BJ17" s="5">
        <v>0</v>
      </c>
      <c r="BK17" s="40"/>
      <c r="BL17" s="209"/>
      <c r="BM17" s="82" t="s">
        <v>14</v>
      </c>
      <c r="BN17" s="83" t="s">
        <v>11</v>
      </c>
      <c r="BO17" s="176">
        <v>0</v>
      </c>
      <c r="BP17" s="177">
        <v>9</v>
      </c>
      <c r="BQ17" s="178">
        <v>25</v>
      </c>
      <c r="BR17" s="179">
        <f t="shared" si="16"/>
        <v>34</v>
      </c>
      <c r="BS17" s="180">
        <v>0</v>
      </c>
      <c r="BT17" s="40"/>
      <c r="BU17" s="209"/>
      <c r="BV17" s="82" t="s">
        <v>14</v>
      </c>
      <c r="BW17" s="83" t="s">
        <v>11</v>
      </c>
      <c r="BX17" s="176">
        <v>0</v>
      </c>
      <c r="BY17" s="177">
        <v>2</v>
      </c>
      <c r="BZ17" s="178">
        <v>55</v>
      </c>
      <c r="CA17" s="179">
        <f t="shared" si="17"/>
        <v>57</v>
      </c>
      <c r="CB17" s="180">
        <v>0</v>
      </c>
      <c r="CC17" s="40"/>
      <c r="CD17" s="209"/>
      <c r="CE17" s="82" t="s">
        <v>14</v>
      </c>
      <c r="CF17" s="83" t="s">
        <v>11</v>
      </c>
      <c r="CG17" s="176">
        <v>0</v>
      </c>
      <c r="CH17" s="177">
        <v>0</v>
      </c>
      <c r="CI17" s="178">
        <v>60</v>
      </c>
      <c r="CJ17" s="179">
        <f t="shared" si="18"/>
        <v>60</v>
      </c>
      <c r="CK17" s="180">
        <v>0</v>
      </c>
      <c r="CL17" s="40"/>
      <c r="CM17" s="209"/>
      <c r="CN17" s="82" t="s">
        <v>14</v>
      </c>
      <c r="CO17" s="83" t="s">
        <v>11</v>
      </c>
      <c r="CP17" s="1">
        <v>0</v>
      </c>
      <c r="CQ17" s="2">
        <v>0</v>
      </c>
      <c r="CR17" s="3">
        <v>0</v>
      </c>
      <c r="CS17" s="4">
        <f>SUM(CP17:CR17)</f>
        <v>0</v>
      </c>
      <c r="CT17" s="5">
        <v>0</v>
      </c>
      <c r="CU17" s="40"/>
      <c r="CV17" s="209"/>
      <c r="CW17" s="82" t="s">
        <v>14</v>
      </c>
      <c r="CX17" s="83" t="s">
        <v>11</v>
      </c>
      <c r="CY17" s="1">
        <v>0</v>
      </c>
      <c r="CZ17" s="2">
        <v>0</v>
      </c>
      <c r="DA17" s="3">
        <v>0</v>
      </c>
      <c r="DB17" s="4">
        <f>SUM(CY17:DA17)</f>
        <v>0</v>
      </c>
      <c r="DC17" s="5">
        <v>0</v>
      </c>
      <c r="DD17" s="40"/>
      <c r="DE17" s="209"/>
      <c r="DF17" s="18" t="s">
        <v>14</v>
      </c>
      <c r="DG17" s="29" t="s">
        <v>11</v>
      </c>
      <c r="DH17" s="1">
        <f t="shared" si="20"/>
        <v>0</v>
      </c>
      <c r="DI17" s="2">
        <f t="shared" si="21"/>
        <v>463</v>
      </c>
      <c r="DJ17" s="20">
        <f t="shared" si="22"/>
        <v>1121</v>
      </c>
      <c r="DK17" s="4">
        <f>SUM(DH17:DJ17)</f>
        <v>1584</v>
      </c>
      <c r="DL17" s="5">
        <f>H17+Q17+Z17+AI17+AR17+BA17+BJ17+BS17+CB17+CK17+CT17+DC17</f>
        <v>0</v>
      </c>
      <c r="DM17" s="17"/>
    </row>
    <row r="18" spans="1:117" ht="17.100000000000001" customHeight="1" thickBot="1" x14ac:dyDescent="0.3">
      <c r="A18" s="209"/>
      <c r="B18" s="84" t="s">
        <v>12</v>
      </c>
      <c r="C18" s="85" t="s">
        <v>13</v>
      </c>
      <c r="D18" s="161">
        <v>0</v>
      </c>
      <c r="E18" s="162">
        <v>61</v>
      </c>
      <c r="F18" s="163">
        <v>108</v>
      </c>
      <c r="G18" s="9">
        <f>SUM(D18:F18)</f>
        <v>169</v>
      </c>
      <c r="H18" s="10">
        <v>0</v>
      </c>
      <c r="I18" s="40"/>
      <c r="J18" s="209"/>
      <c r="K18" s="84" t="s">
        <v>12</v>
      </c>
      <c r="L18" s="85" t="s">
        <v>13</v>
      </c>
      <c r="M18" s="161">
        <v>0</v>
      </c>
      <c r="N18" s="162">
        <v>16</v>
      </c>
      <c r="O18" s="163">
        <v>64</v>
      </c>
      <c r="P18" s="9">
        <f>SUM(M18:O18)</f>
        <v>80</v>
      </c>
      <c r="Q18" s="10">
        <v>0</v>
      </c>
      <c r="R18" s="40"/>
      <c r="S18" s="209"/>
      <c r="T18" s="84" t="s">
        <v>12</v>
      </c>
      <c r="U18" s="85" t="s">
        <v>13</v>
      </c>
      <c r="V18" s="161">
        <v>0</v>
      </c>
      <c r="W18" s="162">
        <v>6</v>
      </c>
      <c r="X18" s="163">
        <v>33</v>
      </c>
      <c r="Y18" s="9">
        <f>SUM(V18:X18)</f>
        <v>39</v>
      </c>
      <c r="Z18" s="10">
        <v>0</v>
      </c>
      <c r="AA18" s="40"/>
      <c r="AB18" s="209"/>
      <c r="AC18" s="84" t="s">
        <v>12</v>
      </c>
      <c r="AD18" s="85" t="s">
        <v>13</v>
      </c>
      <c r="AE18" s="158"/>
      <c r="AF18" s="159"/>
      <c r="AG18" s="160"/>
      <c r="AH18" s="9">
        <f>SUM(AE18:AG18)</f>
        <v>0</v>
      </c>
      <c r="AI18" s="10">
        <v>0</v>
      </c>
      <c r="AJ18" s="40"/>
      <c r="AK18" s="209"/>
      <c r="AL18" s="84" t="s">
        <v>12</v>
      </c>
      <c r="AM18" s="85" t="s">
        <v>13</v>
      </c>
      <c r="AN18" s="6">
        <v>0</v>
      </c>
      <c r="AO18" s="7">
        <v>0</v>
      </c>
      <c r="AP18" s="8">
        <v>45</v>
      </c>
      <c r="AQ18" s="9">
        <f>SUM(AN18:AP18)</f>
        <v>45</v>
      </c>
      <c r="AR18" s="10">
        <v>0</v>
      </c>
      <c r="AS18" s="40"/>
      <c r="AT18" s="209"/>
      <c r="AU18" s="84" t="s">
        <v>12</v>
      </c>
      <c r="AV18" s="85" t="s">
        <v>13</v>
      </c>
      <c r="AW18" s="6">
        <v>0</v>
      </c>
      <c r="AX18" s="7">
        <v>0</v>
      </c>
      <c r="AY18" s="8">
        <v>37</v>
      </c>
      <c r="AZ18" s="9">
        <f>SUM(AW18:AY18)</f>
        <v>37</v>
      </c>
      <c r="BA18" s="10">
        <v>0</v>
      </c>
      <c r="BB18" s="40"/>
      <c r="BC18" s="209"/>
      <c r="BD18" s="84" t="s">
        <v>12</v>
      </c>
      <c r="BE18" s="85" t="s">
        <v>13</v>
      </c>
      <c r="BF18" s="161">
        <v>0</v>
      </c>
      <c r="BG18" s="162">
        <v>105</v>
      </c>
      <c r="BH18" s="163">
        <v>104</v>
      </c>
      <c r="BI18" s="166">
        <v>209</v>
      </c>
      <c r="BJ18" s="10">
        <v>0</v>
      </c>
      <c r="BK18" s="40"/>
      <c r="BL18" s="209"/>
      <c r="BM18" s="84" t="s">
        <v>12</v>
      </c>
      <c r="BN18" s="85" t="s">
        <v>13</v>
      </c>
      <c r="BO18" s="181">
        <v>0</v>
      </c>
      <c r="BP18" s="182">
        <v>10</v>
      </c>
      <c r="BQ18" s="183">
        <v>43</v>
      </c>
      <c r="BR18" s="184">
        <f t="shared" si="16"/>
        <v>53</v>
      </c>
      <c r="BS18" s="185">
        <v>0</v>
      </c>
      <c r="BT18" s="40"/>
      <c r="BU18" s="209"/>
      <c r="BV18" s="84" t="s">
        <v>12</v>
      </c>
      <c r="BW18" s="85" t="s">
        <v>13</v>
      </c>
      <c r="BX18" s="181">
        <v>0</v>
      </c>
      <c r="BY18" s="182">
        <v>0</v>
      </c>
      <c r="BZ18" s="183">
        <v>48</v>
      </c>
      <c r="CA18" s="184">
        <f t="shared" si="17"/>
        <v>48</v>
      </c>
      <c r="CB18" s="185">
        <v>0</v>
      </c>
      <c r="CC18" s="40"/>
      <c r="CD18" s="209"/>
      <c r="CE18" s="84" t="s">
        <v>12</v>
      </c>
      <c r="CF18" s="85" t="s">
        <v>13</v>
      </c>
      <c r="CG18" s="181">
        <v>0</v>
      </c>
      <c r="CH18" s="182">
        <v>0</v>
      </c>
      <c r="CI18" s="183">
        <v>22</v>
      </c>
      <c r="CJ18" s="184">
        <f t="shared" si="18"/>
        <v>22</v>
      </c>
      <c r="CK18" s="185">
        <v>0</v>
      </c>
      <c r="CL18" s="40"/>
      <c r="CM18" s="209"/>
      <c r="CN18" s="84" t="s">
        <v>12</v>
      </c>
      <c r="CO18" s="85" t="s">
        <v>13</v>
      </c>
      <c r="CP18" s="6">
        <v>0</v>
      </c>
      <c r="CQ18" s="7">
        <v>0</v>
      </c>
      <c r="CR18" s="8">
        <v>0</v>
      </c>
      <c r="CS18" s="9">
        <f>SUM(CP18:CR18)</f>
        <v>0</v>
      </c>
      <c r="CT18" s="10">
        <v>0</v>
      </c>
      <c r="CU18" s="40"/>
      <c r="CV18" s="209"/>
      <c r="CW18" s="84" t="s">
        <v>12</v>
      </c>
      <c r="CX18" s="85" t="s">
        <v>13</v>
      </c>
      <c r="CY18" s="6">
        <v>0</v>
      </c>
      <c r="CZ18" s="7">
        <v>0</v>
      </c>
      <c r="DA18" s="8">
        <v>0</v>
      </c>
      <c r="DB18" s="9">
        <f>SUM(CY18:DA18)</f>
        <v>0</v>
      </c>
      <c r="DC18" s="10">
        <v>0</v>
      </c>
      <c r="DD18" s="40"/>
      <c r="DE18" s="209"/>
      <c r="DF18" s="19" t="s">
        <v>12</v>
      </c>
      <c r="DG18" s="30" t="s">
        <v>13</v>
      </c>
      <c r="DH18" s="6">
        <f t="shared" si="20"/>
        <v>0</v>
      </c>
      <c r="DI18" s="7">
        <f t="shared" si="21"/>
        <v>198</v>
      </c>
      <c r="DJ18" s="21">
        <f t="shared" si="22"/>
        <v>504</v>
      </c>
      <c r="DK18" s="9">
        <f>SUM(DH18:DJ18)</f>
        <v>702</v>
      </c>
      <c r="DL18" s="10">
        <f>H18+Q18+Z18+AI18+AR18+BA18+BJ18+BS18+CB18+CK18+CT18+DC18</f>
        <v>0</v>
      </c>
      <c r="DM18" s="17"/>
    </row>
    <row r="19" spans="1:117" ht="17.100000000000001" customHeight="1" thickBot="1" x14ac:dyDescent="0.3">
      <c r="A19" s="210"/>
      <c r="B19" s="211" t="s">
        <v>3</v>
      </c>
      <c r="C19" s="212"/>
      <c r="D19" s="11">
        <f>SUM(D15:D18)</f>
        <v>0</v>
      </c>
      <c r="E19" s="12">
        <f>SUM(E15:E18)</f>
        <v>403</v>
      </c>
      <c r="F19" s="13">
        <f>SUM(F15:F18)</f>
        <v>715</v>
      </c>
      <c r="G19" s="14">
        <f>SUM(G15:G18)</f>
        <v>1118</v>
      </c>
      <c r="H19" s="15">
        <f>SUM(H15:H18)</f>
        <v>0</v>
      </c>
      <c r="I19" s="40"/>
      <c r="J19" s="210"/>
      <c r="K19" s="211" t="s">
        <v>3</v>
      </c>
      <c r="L19" s="212"/>
      <c r="M19" s="11">
        <f>SUM(M15:M18)</f>
        <v>0</v>
      </c>
      <c r="N19" s="12">
        <f>SUM(N15:N18)</f>
        <v>468</v>
      </c>
      <c r="O19" s="13">
        <f>SUM(O15:O18)</f>
        <v>908</v>
      </c>
      <c r="P19" s="14">
        <f>SUM(P15:P18)</f>
        <v>1376</v>
      </c>
      <c r="Q19" s="15">
        <f>SUM(Q15:Q18)</f>
        <v>0</v>
      </c>
      <c r="R19" s="40"/>
      <c r="S19" s="210"/>
      <c r="T19" s="211" t="s">
        <v>3</v>
      </c>
      <c r="U19" s="212"/>
      <c r="V19" s="155">
        <v>0</v>
      </c>
      <c r="W19" s="156">
        <v>5</v>
      </c>
      <c r="X19" s="157">
        <v>25</v>
      </c>
      <c r="Y19" s="14">
        <f>SUM(Y15:Y18)</f>
        <v>1537</v>
      </c>
      <c r="Z19" s="15">
        <f>SUM(Z15:Z18)</f>
        <v>0</v>
      </c>
      <c r="AA19" s="40"/>
      <c r="AB19" s="210"/>
      <c r="AC19" s="211" t="s">
        <v>3</v>
      </c>
      <c r="AD19" s="212"/>
      <c r="AE19" s="161">
        <v>0</v>
      </c>
      <c r="AF19" s="163">
        <v>5</v>
      </c>
      <c r="AG19" s="166">
        <v>45</v>
      </c>
      <c r="AH19" s="14">
        <f>SUM(AH15:AH18)</f>
        <v>922</v>
      </c>
      <c r="AI19" s="15">
        <f>SUM(AI15:AI18)</f>
        <v>0</v>
      </c>
      <c r="AJ19" s="40"/>
      <c r="AK19" s="210"/>
      <c r="AL19" s="211" t="s">
        <v>3</v>
      </c>
      <c r="AM19" s="212"/>
      <c r="AN19" s="11">
        <f>SUM(AN15:AN18)</f>
        <v>0</v>
      </c>
      <c r="AO19" s="12">
        <f>SUM(AO15:AO18)</f>
        <v>58</v>
      </c>
      <c r="AP19" s="13">
        <f>SUM(AP15:AP18)</f>
        <v>909</v>
      </c>
      <c r="AQ19" s="14">
        <f>SUM(AQ15:AQ18)</f>
        <v>967</v>
      </c>
      <c r="AR19" s="15">
        <f>SUM(AR15:AR18)</f>
        <v>0</v>
      </c>
      <c r="AS19" s="40"/>
      <c r="AT19" s="210"/>
      <c r="AU19" s="211" t="s">
        <v>3</v>
      </c>
      <c r="AV19" s="212"/>
      <c r="AW19" s="11">
        <f>SUM(AW15:AW18)</f>
        <v>0</v>
      </c>
      <c r="AX19" s="12">
        <f>SUM(AX15:AX18)</f>
        <v>62</v>
      </c>
      <c r="AY19" s="13">
        <f>SUM(AY15:AY18)</f>
        <v>964</v>
      </c>
      <c r="AZ19" s="14">
        <f>SUM(AZ15:AZ18)</f>
        <v>1026</v>
      </c>
      <c r="BA19" s="15">
        <f>SUM(BA15:BA18)</f>
        <v>0</v>
      </c>
      <c r="BB19" s="40"/>
      <c r="BC19" s="210"/>
      <c r="BD19" s="211" t="s">
        <v>3</v>
      </c>
      <c r="BE19" s="212"/>
      <c r="BF19" s="161">
        <v>0</v>
      </c>
      <c r="BG19" s="162">
        <v>289</v>
      </c>
      <c r="BH19" s="163">
        <v>102</v>
      </c>
      <c r="BI19" s="165">
        <v>391</v>
      </c>
      <c r="BJ19" s="15">
        <f>SUM(BJ15:BJ18)</f>
        <v>0</v>
      </c>
      <c r="BK19" s="40"/>
      <c r="BL19" s="210"/>
      <c r="BM19" s="211" t="s">
        <v>3</v>
      </c>
      <c r="BN19" s="212"/>
      <c r="BO19" s="186">
        <f t="shared" ref="BO19:BS19" si="23">SUM(BO15:BO18)</f>
        <v>0</v>
      </c>
      <c r="BP19" s="187">
        <f t="shared" si="23"/>
        <v>89</v>
      </c>
      <c r="BQ19" s="188">
        <f t="shared" si="23"/>
        <v>402</v>
      </c>
      <c r="BR19" s="189">
        <f t="shared" si="23"/>
        <v>491</v>
      </c>
      <c r="BS19" s="190">
        <f t="shared" si="23"/>
        <v>0</v>
      </c>
      <c r="BT19" s="40"/>
      <c r="BU19" s="210"/>
      <c r="BV19" s="211" t="s">
        <v>3</v>
      </c>
      <c r="BW19" s="212"/>
      <c r="BX19" s="186">
        <f t="shared" ref="BX19:BZ19" si="24">SUM(BX15:BX18)</f>
        <v>0</v>
      </c>
      <c r="BY19" s="187">
        <f t="shared" si="24"/>
        <v>11</v>
      </c>
      <c r="BZ19" s="188">
        <f t="shared" si="24"/>
        <v>900</v>
      </c>
      <c r="CA19" s="189">
        <v>959</v>
      </c>
      <c r="CB19" s="190">
        <f>SUM(CB15:CB18)</f>
        <v>0</v>
      </c>
      <c r="CC19" s="40"/>
      <c r="CD19" s="210"/>
      <c r="CE19" s="211" t="s">
        <v>3</v>
      </c>
      <c r="CF19" s="212"/>
      <c r="CG19" s="186">
        <f t="shared" ref="CG19:CI19" si="25">SUM(CG15:CG18)</f>
        <v>0</v>
      </c>
      <c r="CH19" s="187">
        <f t="shared" si="25"/>
        <v>19</v>
      </c>
      <c r="CI19" s="188">
        <f t="shared" si="25"/>
        <v>1061</v>
      </c>
      <c r="CJ19" s="189">
        <v>959</v>
      </c>
      <c r="CK19" s="190">
        <f>SUM(CK15:CK18)</f>
        <v>0</v>
      </c>
      <c r="CL19" s="40"/>
      <c r="CM19" s="210"/>
      <c r="CN19" s="211" t="s">
        <v>3</v>
      </c>
      <c r="CO19" s="212"/>
      <c r="CP19" s="11">
        <f>SUM(CP15:CP18)</f>
        <v>0</v>
      </c>
      <c r="CQ19" s="12">
        <f>SUM(CQ15:CQ18)</f>
        <v>0</v>
      </c>
      <c r="CR19" s="13">
        <f>SUM(CR15:CR18)</f>
        <v>0</v>
      </c>
      <c r="CS19" s="14">
        <f>SUM(CS15:CS18)</f>
        <v>0</v>
      </c>
      <c r="CT19" s="15">
        <f>SUM(CT15:CT18)</f>
        <v>0</v>
      </c>
      <c r="CU19" s="40"/>
      <c r="CV19" s="210"/>
      <c r="CW19" s="211" t="s">
        <v>3</v>
      </c>
      <c r="CX19" s="212"/>
      <c r="CY19" s="11">
        <f>SUM(CY15:CY18)</f>
        <v>0</v>
      </c>
      <c r="CZ19" s="12">
        <f>SUM(CZ15:CZ18)</f>
        <v>0</v>
      </c>
      <c r="DA19" s="13">
        <f>SUM(DA15:DA18)</f>
        <v>0</v>
      </c>
      <c r="DB19" s="14">
        <f>SUM(DB15:DB18)</f>
        <v>0</v>
      </c>
      <c r="DC19" s="15">
        <f>SUM(DC15:DC18)</f>
        <v>0</v>
      </c>
      <c r="DD19" s="40"/>
      <c r="DE19" s="210"/>
      <c r="DF19" s="238" t="s">
        <v>3</v>
      </c>
      <c r="DG19" s="239"/>
      <c r="DH19" s="22">
        <f>SUM(DH15:DH18)</f>
        <v>2</v>
      </c>
      <c r="DI19" s="23">
        <f>SUM(DI15:DI18)</f>
        <v>1982</v>
      </c>
      <c r="DJ19" s="24">
        <f>SUM(DJ15:DJ18)</f>
        <v>8940</v>
      </c>
      <c r="DK19" s="25">
        <f>SUM(DK15:DK18)</f>
        <v>10924</v>
      </c>
      <c r="DL19" s="26">
        <f>SUM(DL15:DL18)</f>
        <v>0</v>
      </c>
      <c r="DM19" s="17"/>
    </row>
    <row r="20" spans="1:117" ht="17.100000000000001" customHeight="1" thickTop="1" thickBot="1" x14ac:dyDescent="0.3">
      <c r="A20" s="208" t="s">
        <v>22</v>
      </c>
      <c r="B20" s="219" t="s">
        <v>12</v>
      </c>
      <c r="C20" s="80" t="s">
        <v>11</v>
      </c>
      <c r="D20" s="152">
        <v>0</v>
      </c>
      <c r="E20" s="153">
        <v>9</v>
      </c>
      <c r="F20" s="154">
        <v>240</v>
      </c>
      <c r="G20" s="4">
        <f>SUM(D20:F20)</f>
        <v>249</v>
      </c>
      <c r="H20" s="5">
        <v>0</v>
      </c>
      <c r="I20" s="40"/>
      <c r="J20" s="208" t="s">
        <v>22</v>
      </c>
      <c r="K20" s="219" t="s">
        <v>12</v>
      </c>
      <c r="L20" s="80" t="s">
        <v>11</v>
      </c>
      <c r="M20" s="152">
        <v>0</v>
      </c>
      <c r="N20" s="153">
        <v>6</v>
      </c>
      <c r="O20" s="154">
        <v>272</v>
      </c>
      <c r="P20" s="4">
        <f>SUM(M20:O20)</f>
        <v>278</v>
      </c>
      <c r="Q20" s="5">
        <v>0</v>
      </c>
      <c r="R20" s="40"/>
      <c r="S20" s="208" t="s">
        <v>22</v>
      </c>
      <c r="T20" s="219" t="s">
        <v>12</v>
      </c>
      <c r="U20" s="80" t="s">
        <v>11</v>
      </c>
      <c r="V20" s="168">
        <v>0</v>
      </c>
      <c r="W20" s="169">
        <v>268</v>
      </c>
      <c r="X20" s="165">
        <v>418</v>
      </c>
      <c r="Y20" s="4">
        <f>SUM(V20:X20)</f>
        <v>686</v>
      </c>
      <c r="Z20" s="5">
        <v>0</v>
      </c>
      <c r="AA20" s="40"/>
      <c r="AB20" s="208" t="s">
        <v>22</v>
      </c>
      <c r="AC20" s="219" t="s">
        <v>12</v>
      </c>
      <c r="AD20" s="80" t="s">
        <v>11</v>
      </c>
      <c r="AE20" s="155">
        <v>0</v>
      </c>
      <c r="AF20" s="156">
        <v>6</v>
      </c>
      <c r="AG20" s="157">
        <v>50</v>
      </c>
      <c r="AH20" s="4">
        <f>SUM(AE20:AG20)</f>
        <v>56</v>
      </c>
      <c r="AI20" s="5">
        <v>0</v>
      </c>
      <c r="AJ20" s="40"/>
      <c r="AK20" s="208" t="s">
        <v>22</v>
      </c>
      <c r="AL20" s="219" t="s">
        <v>12</v>
      </c>
      <c r="AM20" s="80" t="s">
        <v>11</v>
      </c>
      <c r="AN20" s="1">
        <v>0</v>
      </c>
      <c r="AO20" s="2">
        <v>0</v>
      </c>
      <c r="AP20" s="3">
        <v>221</v>
      </c>
      <c r="AQ20" s="4">
        <f>SUM(AN20:AP20)</f>
        <v>221</v>
      </c>
      <c r="AR20" s="5">
        <v>0</v>
      </c>
      <c r="AS20" s="40"/>
      <c r="AT20" s="208" t="s">
        <v>22</v>
      </c>
      <c r="AU20" s="219" t="s">
        <v>12</v>
      </c>
      <c r="AV20" s="80" t="s">
        <v>11</v>
      </c>
      <c r="AW20" s="1">
        <v>0</v>
      </c>
      <c r="AX20" s="2">
        <v>0</v>
      </c>
      <c r="AY20" s="3">
        <v>322</v>
      </c>
      <c r="AZ20" s="4">
        <f>SUM(AW20:AY20)</f>
        <v>322</v>
      </c>
      <c r="BA20" s="5">
        <v>0</v>
      </c>
      <c r="BB20" s="40"/>
      <c r="BC20" s="208" t="s">
        <v>22</v>
      </c>
      <c r="BD20" s="219" t="s">
        <v>12</v>
      </c>
      <c r="BE20" s="80" t="s">
        <v>11</v>
      </c>
      <c r="BF20" s="168">
        <v>0</v>
      </c>
      <c r="BG20" s="169">
        <v>732</v>
      </c>
      <c r="BH20" s="165">
        <v>587</v>
      </c>
      <c r="BI20" s="175">
        <v>1319</v>
      </c>
      <c r="BJ20" s="5">
        <v>0</v>
      </c>
      <c r="BK20" s="40"/>
      <c r="BL20" s="208" t="s">
        <v>22</v>
      </c>
      <c r="BM20" s="219" t="s">
        <v>12</v>
      </c>
      <c r="BN20" s="80" t="s">
        <v>11</v>
      </c>
      <c r="BO20" s="191">
        <v>0</v>
      </c>
      <c r="BP20" s="192">
        <v>29</v>
      </c>
      <c r="BQ20" s="193">
        <v>190</v>
      </c>
      <c r="BR20" s="194">
        <v>219</v>
      </c>
      <c r="BS20" s="180">
        <v>0</v>
      </c>
      <c r="BT20" s="40"/>
      <c r="BU20" s="208" t="s">
        <v>22</v>
      </c>
      <c r="BV20" s="219" t="s">
        <v>12</v>
      </c>
      <c r="BW20" s="80" t="s">
        <v>11</v>
      </c>
      <c r="BX20" s="176">
        <v>0</v>
      </c>
      <c r="BY20" s="177">
        <v>33</v>
      </c>
      <c r="BZ20" s="178">
        <v>210</v>
      </c>
      <c r="CA20" s="179">
        <f t="shared" ref="CA20:CA23" si="26">SUM(BX20:BZ20)</f>
        <v>243</v>
      </c>
      <c r="CB20" s="180">
        <v>0</v>
      </c>
      <c r="CC20" s="40"/>
      <c r="CD20" s="208" t="s">
        <v>22</v>
      </c>
      <c r="CE20" s="219" t="s">
        <v>12</v>
      </c>
      <c r="CF20" s="80" t="s">
        <v>11</v>
      </c>
      <c r="CG20" s="176">
        <v>0</v>
      </c>
      <c r="CH20" s="177">
        <v>0</v>
      </c>
      <c r="CI20" s="178">
        <v>320</v>
      </c>
      <c r="CJ20" s="179">
        <f t="shared" ref="CJ20:CJ23" si="27">SUM(CG20:CI20)</f>
        <v>320</v>
      </c>
      <c r="CK20" s="180">
        <v>0</v>
      </c>
      <c r="CL20" s="40"/>
      <c r="CM20" s="208" t="s">
        <v>22</v>
      </c>
      <c r="CN20" s="219" t="s">
        <v>12</v>
      </c>
      <c r="CO20" s="80" t="s">
        <v>11</v>
      </c>
      <c r="CP20" s="1">
        <v>0</v>
      </c>
      <c r="CQ20" s="2">
        <v>0</v>
      </c>
      <c r="CR20" s="3">
        <v>0</v>
      </c>
      <c r="CS20" s="4">
        <f>SUM(CP20:CR20)</f>
        <v>0</v>
      </c>
      <c r="CT20" s="5">
        <v>0</v>
      </c>
      <c r="CU20" s="40"/>
      <c r="CV20" s="208" t="s">
        <v>22</v>
      </c>
      <c r="CW20" s="219" t="s">
        <v>12</v>
      </c>
      <c r="CX20" s="80" t="s">
        <v>11</v>
      </c>
      <c r="CY20" s="1">
        <v>0</v>
      </c>
      <c r="CZ20" s="2">
        <v>0</v>
      </c>
      <c r="DA20" s="3">
        <v>0</v>
      </c>
      <c r="DB20" s="4">
        <f>SUM(CY20:DA20)</f>
        <v>0</v>
      </c>
      <c r="DC20" s="5">
        <v>0</v>
      </c>
      <c r="DD20" s="40"/>
      <c r="DE20" s="208" t="str">
        <f t="shared" ref="DE20" si="28">CV20</f>
        <v>المطار القديم</v>
      </c>
      <c r="DF20" s="18"/>
      <c r="DG20" s="27" t="s">
        <v>11</v>
      </c>
      <c r="DH20" s="1">
        <f t="shared" ref="DH20:DH23" si="29">D20+M20+V20+AE20+AN20+AW20+BF20+BO20+BX20+CG20+CP20+CY20</f>
        <v>0</v>
      </c>
      <c r="DI20" s="2">
        <f t="shared" ref="DI20:DI23" si="30">E20+N20+W20+AF20+AO20+AX20+BG20+BP20+BY20+CH20+CQ20+CZ20</f>
        <v>1083</v>
      </c>
      <c r="DJ20" s="20">
        <f t="shared" ref="DJ20:DJ23" si="31">F20+O20+X20+AG20+AP20+AY20+BH20+BQ20+BZ20+CI20+CR20+DA20</f>
        <v>2830</v>
      </c>
      <c r="DK20" s="4">
        <f>SUM(DH20:DJ20)</f>
        <v>3913</v>
      </c>
      <c r="DL20" s="5">
        <f>H20+Q20+Z20+AI20+AR20+BA20+BJ20+BS20+CB20+CK20+CT20+DC20</f>
        <v>0</v>
      </c>
      <c r="DM20" s="17"/>
    </row>
    <row r="21" spans="1:117" ht="17.100000000000001" customHeight="1" thickBot="1" x14ac:dyDescent="0.3">
      <c r="A21" s="209"/>
      <c r="B21" s="220"/>
      <c r="C21" s="81" t="s">
        <v>13</v>
      </c>
      <c r="D21" s="155">
        <v>0</v>
      </c>
      <c r="E21" s="156">
        <v>7</v>
      </c>
      <c r="F21" s="157">
        <v>219</v>
      </c>
      <c r="G21" s="9">
        <f>SUM(D21:F21)</f>
        <v>226</v>
      </c>
      <c r="H21" s="10">
        <v>0</v>
      </c>
      <c r="I21" s="40"/>
      <c r="J21" s="209"/>
      <c r="K21" s="220"/>
      <c r="L21" s="81" t="s">
        <v>13</v>
      </c>
      <c r="M21" s="155">
        <v>0</v>
      </c>
      <c r="N21" s="156">
        <v>4</v>
      </c>
      <c r="O21" s="157">
        <v>300</v>
      </c>
      <c r="P21" s="9">
        <f>SUM(M21:O21)</f>
        <v>304</v>
      </c>
      <c r="Q21" s="10">
        <v>0</v>
      </c>
      <c r="R21" s="40"/>
      <c r="S21" s="209"/>
      <c r="T21" s="220"/>
      <c r="U21" s="81" t="s">
        <v>13</v>
      </c>
      <c r="V21" s="161">
        <v>0</v>
      </c>
      <c r="W21" s="162">
        <v>8</v>
      </c>
      <c r="X21" s="163">
        <v>321</v>
      </c>
      <c r="Y21" s="9">
        <f>SUM(V21:X21)</f>
        <v>329</v>
      </c>
      <c r="Z21" s="10">
        <v>0</v>
      </c>
      <c r="AA21" s="40"/>
      <c r="AB21" s="209"/>
      <c r="AC21" s="220"/>
      <c r="AD21" s="81" t="s">
        <v>13</v>
      </c>
      <c r="AE21" s="161">
        <v>0</v>
      </c>
      <c r="AF21" s="162">
        <v>0</v>
      </c>
      <c r="AG21" s="163">
        <v>0</v>
      </c>
      <c r="AH21" s="9">
        <f>SUM(AE21:AG21)</f>
        <v>0</v>
      </c>
      <c r="AI21" s="10">
        <v>0</v>
      </c>
      <c r="AJ21" s="40"/>
      <c r="AK21" s="209"/>
      <c r="AL21" s="220"/>
      <c r="AM21" s="81" t="s">
        <v>13</v>
      </c>
      <c r="AN21" s="6">
        <v>0</v>
      </c>
      <c r="AO21" s="7">
        <v>0</v>
      </c>
      <c r="AP21" s="8">
        <v>79</v>
      </c>
      <c r="AQ21" s="9">
        <f>SUM(AN21:AP21)</f>
        <v>79</v>
      </c>
      <c r="AR21" s="10">
        <v>0</v>
      </c>
      <c r="AS21" s="40"/>
      <c r="AT21" s="209"/>
      <c r="AU21" s="220"/>
      <c r="AV21" s="81" t="s">
        <v>13</v>
      </c>
      <c r="AW21" s="6">
        <v>0</v>
      </c>
      <c r="AX21" s="7">
        <v>0</v>
      </c>
      <c r="AY21" s="8">
        <v>95</v>
      </c>
      <c r="AZ21" s="9">
        <f>SUM(AW21:AY21)</f>
        <v>95</v>
      </c>
      <c r="BA21" s="10">
        <v>0</v>
      </c>
      <c r="BB21" s="40"/>
      <c r="BC21" s="209"/>
      <c r="BD21" s="220"/>
      <c r="BE21" s="81" t="s">
        <v>13</v>
      </c>
      <c r="BF21" s="161">
        <v>0</v>
      </c>
      <c r="BG21" s="162">
        <v>12</v>
      </c>
      <c r="BH21" s="163">
        <v>222</v>
      </c>
      <c r="BI21" s="166">
        <v>234</v>
      </c>
      <c r="BJ21" s="10">
        <v>0</v>
      </c>
      <c r="BK21" s="40"/>
      <c r="BL21" s="209"/>
      <c r="BM21" s="220"/>
      <c r="BN21" s="81" t="s">
        <v>13</v>
      </c>
      <c r="BO21" s="195">
        <v>0</v>
      </c>
      <c r="BP21" s="196">
        <v>16</v>
      </c>
      <c r="BQ21" s="197">
        <v>197</v>
      </c>
      <c r="BR21" s="198">
        <v>213</v>
      </c>
      <c r="BS21" s="185">
        <v>0</v>
      </c>
      <c r="BT21" s="40"/>
      <c r="BU21" s="209"/>
      <c r="BV21" s="220"/>
      <c r="BW21" s="81" t="s">
        <v>13</v>
      </c>
      <c r="BX21" s="181">
        <v>0</v>
      </c>
      <c r="BY21" s="182">
        <v>22</v>
      </c>
      <c r="BZ21" s="183">
        <v>169</v>
      </c>
      <c r="CA21" s="184">
        <f t="shared" si="26"/>
        <v>191</v>
      </c>
      <c r="CB21" s="185">
        <v>0</v>
      </c>
      <c r="CC21" s="40"/>
      <c r="CD21" s="209"/>
      <c r="CE21" s="220"/>
      <c r="CF21" s="81" t="s">
        <v>13</v>
      </c>
      <c r="CG21" s="181">
        <v>0</v>
      </c>
      <c r="CH21" s="182">
        <v>0</v>
      </c>
      <c r="CI21" s="183">
        <v>155</v>
      </c>
      <c r="CJ21" s="184">
        <f t="shared" si="27"/>
        <v>155</v>
      </c>
      <c r="CK21" s="185">
        <v>0</v>
      </c>
      <c r="CL21" s="40"/>
      <c r="CM21" s="209"/>
      <c r="CN21" s="220"/>
      <c r="CO21" s="81" t="s">
        <v>13</v>
      </c>
      <c r="CP21" s="6">
        <v>0</v>
      </c>
      <c r="CQ21" s="7">
        <v>0</v>
      </c>
      <c r="CR21" s="8">
        <v>0</v>
      </c>
      <c r="CS21" s="9">
        <f>SUM(CP21:CR21)</f>
        <v>0</v>
      </c>
      <c r="CT21" s="10">
        <v>0</v>
      </c>
      <c r="CU21" s="40"/>
      <c r="CV21" s="209"/>
      <c r="CW21" s="220"/>
      <c r="CX21" s="81" t="s">
        <v>13</v>
      </c>
      <c r="CY21" s="6">
        <v>0</v>
      </c>
      <c r="CZ21" s="7">
        <v>0</v>
      </c>
      <c r="DA21" s="8">
        <v>0</v>
      </c>
      <c r="DB21" s="9">
        <f>SUM(CY21:DA21)</f>
        <v>0</v>
      </c>
      <c r="DC21" s="10">
        <v>0</v>
      </c>
      <c r="DD21" s="40"/>
      <c r="DE21" s="209"/>
      <c r="DF21" s="19" t="s">
        <v>12</v>
      </c>
      <c r="DG21" s="28" t="s">
        <v>13</v>
      </c>
      <c r="DH21" s="6">
        <f t="shared" si="29"/>
        <v>0</v>
      </c>
      <c r="DI21" s="7">
        <f t="shared" si="30"/>
        <v>69</v>
      </c>
      <c r="DJ21" s="21">
        <f t="shared" si="31"/>
        <v>1757</v>
      </c>
      <c r="DK21" s="9">
        <f>SUM(DH21:DJ21)</f>
        <v>1826</v>
      </c>
      <c r="DL21" s="10">
        <f>H21+Q21+Z21+AI21+AR21+BA21+BJ21+BS21+CB21+CK21+CT21+DC21</f>
        <v>0</v>
      </c>
      <c r="DM21" s="17"/>
    </row>
    <row r="22" spans="1:117" ht="17.100000000000001" customHeight="1" thickBot="1" x14ac:dyDescent="0.3">
      <c r="A22" s="209"/>
      <c r="B22" s="82" t="s">
        <v>14</v>
      </c>
      <c r="C22" s="83" t="s">
        <v>11</v>
      </c>
      <c r="D22" s="161">
        <v>0</v>
      </c>
      <c r="E22" s="162">
        <v>2</v>
      </c>
      <c r="F22" s="163">
        <v>19</v>
      </c>
      <c r="G22" s="4">
        <f>SUM(D22:F22)</f>
        <v>21</v>
      </c>
      <c r="H22" s="5">
        <v>0</v>
      </c>
      <c r="I22" s="40"/>
      <c r="J22" s="209"/>
      <c r="K22" s="82" t="s">
        <v>14</v>
      </c>
      <c r="L22" s="83" t="s">
        <v>11</v>
      </c>
      <c r="M22" s="161">
        <v>0</v>
      </c>
      <c r="N22" s="162">
        <v>0</v>
      </c>
      <c r="O22" s="163">
        <v>22</v>
      </c>
      <c r="P22" s="4">
        <f>SUM(M22:O22)</f>
        <v>22</v>
      </c>
      <c r="Q22" s="5">
        <v>0</v>
      </c>
      <c r="R22" s="40"/>
      <c r="S22" s="209"/>
      <c r="T22" s="82" t="s">
        <v>14</v>
      </c>
      <c r="U22" s="83" t="s">
        <v>11</v>
      </c>
      <c r="V22" s="155">
        <v>0</v>
      </c>
      <c r="W22" s="156">
        <v>4</v>
      </c>
      <c r="X22" s="157">
        <v>110</v>
      </c>
      <c r="Y22" s="4">
        <f>SUM(V22:X22)</f>
        <v>114</v>
      </c>
      <c r="Z22" s="5">
        <v>0</v>
      </c>
      <c r="AA22" s="40"/>
      <c r="AB22" s="209"/>
      <c r="AC22" s="82" t="s">
        <v>14</v>
      </c>
      <c r="AD22" s="83" t="s">
        <v>11</v>
      </c>
      <c r="AE22" s="155">
        <v>0</v>
      </c>
      <c r="AF22" s="156">
        <v>0</v>
      </c>
      <c r="AG22" s="157">
        <v>0</v>
      </c>
      <c r="AH22" s="4">
        <f>SUM(AE22:AG22)</f>
        <v>0</v>
      </c>
      <c r="AI22" s="5">
        <v>0</v>
      </c>
      <c r="AJ22" s="40"/>
      <c r="AK22" s="209"/>
      <c r="AL22" s="82" t="s">
        <v>14</v>
      </c>
      <c r="AM22" s="83" t="s">
        <v>11</v>
      </c>
      <c r="AN22" s="1">
        <v>0</v>
      </c>
      <c r="AO22" s="2">
        <v>0</v>
      </c>
      <c r="AP22" s="3">
        <v>36</v>
      </c>
      <c r="AQ22" s="4">
        <f>SUM(AN22:AP22)</f>
        <v>36</v>
      </c>
      <c r="AR22" s="5">
        <v>0</v>
      </c>
      <c r="AS22" s="40"/>
      <c r="AT22" s="209"/>
      <c r="AU22" s="82" t="s">
        <v>14</v>
      </c>
      <c r="AV22" s="83" t="s">
        <v>11</v>
      </c>
      <c r="AW22" s="1">
        <v>0</v>
      </c>
      <c r="AX22" s="2">
        <v>0</v>
      </c>
      <c r="AY22" s="3">
        <v>40</v>
      </c>
      <c r="AZ22" s="4">
        <f>SUM(AW22:AY22)</f>
        <v>40</v>
      </c>
      <c r="BA22" s="5">
        <v>0</v>
      </c>
      <c r="BB22" s="40"/>
      <c r="BC22" s="209"/>
      <c r="BD22" s="82" t="s">
        <v>14</v>
      </c>
      <c r="BE22" s="83" t="s">
        <v>11</v>
      </c>
      <c r="BF22" s="155">
        <v>0</v>
      </c>
      <c r="BG22" s="156">
        <v>6</v>
      </c>
      <c r="BH22" s="157">
        <v>219</v>
      </c>
      <c r="BI22" s="165">
        <v>225</v>
      </c>
      <c r="BJ22" s="5">
        <v>0</v>
      </c>
      <c r="BK22" s="40"/>
      <c r="BL22" s="209"/>
      <c r="BM22" s="82" t="s">
        <v>14</v>
      </c>
      <c r="BN22" s="83" t="s">
        <v>11</v>
      </c>
      <c r="BO22" s="199">
        <v>0</v>
      </c>
      <c r="BP22" s="200">
        <v>5</v>
      </c>
      <c r="BQ22" s="201">
        <v>0</v>
      </c>
      <c r="BR22" s="202">
        <v>5</v>
      </c>
      <c r="BS22" s="180">
        <v>0</v>
      </c>
      <c r="BT22" s="40"/>
      <c r="BU22" s="209"/>
      <c r="BV22" s="82" t="s">
        <v>14</v>
      </c>
      <c r="BW22" s="83" t="s">
        <v>11</v>
      </c>
      <c r="BX22" s="176">
        <v>0</v>
      </c>
      <c r="BY22" s="177">
        <v>2</v>
      </c>
      <c r="BZ22" s="178">
        <v>33</v>
      </c>
      <c r="CA22" s="179">
        <f t="shared" si="26"/>
        <v>35</v>
      </c>
      <c r="CB22" s="180">
        <v>0</v>
      </c>
      <c r="CC22" s="40"/>
      <c r="CD22" s="209"/>
      <c r="CE22" s="82" t="s">
        <v>14</v>
      </c>
      <c r="CF22" s="83" t="s">
        <v>11</v>
      </c>
      <c r="CG22" s="176">
        <v>0</v>
      </c>
      <c r="CH22" s="177">
        <v>0</v>
      </c>
      <c r="CI22" s="178">
        <v>22</v>
      </c>
      <c r="CJ22" s="179">
        <f t="shared" si="27"/>
        <v>22</v>
      </c>
      <c r="CK22" s="180">
        <v>0</v>
      </c>
      <c r="CL22" s="40"/>
      <c r="CM22" s="209"/>
      <c r="CN22" s="82" t="s">
        <v>14</v>
      </c>
      <c r="CO22" s="83" t="s">
        <v>11</v>
      </c>
      <c r="CP22" s="1">
        <v>0</v>
      </c>
      <c r="CQ22" s="2">
        <v>0</v>
      </c>
      <c r="CR22" s="3">
        <v>0</v>
      </c>
      <c r="CS22" s="4">
        <f>SUM(CP22:CR22)</f>
        <v>0</v>
      </c>
      <c r="CT22" s="5">
        <v>0</v>
      </c>
      <c r="CU22" s="40"/>
      <c r="CV22" s="209"/>
      <c r="CW22" s="82" t="s">
        <v>14</v>
      </c>
      <c r="CX22" s="83" t="s">
        <v>11</v>
      </c>
      <c r="CY22" s="1">
        <v>0</v>
      </c>
      <c r="CZ22" s="2">
        <v>0</v>
      </c>
      <c r="DA22" s="3">
        <v>0</v>
      </c>
      <c r="DB22" s="4">
        <f>SUM(CY22:DA22)</f>
        <v>0</v>
      </c>
      <c r="DC22" s="5">
        <v>0</v>
      </c>
      <c r="DD22" s="40"/>
      <c r="DE22" s="209"/>
      <c r="DF22" s="18" t="s">
        <v>14</v>
      </c>
      <c r="DG22" s="29" t="s">
        <v>11</v>
      </c>
      <c r="DH22" s="1">
        <f t="shared" si="29"/>
        <v>0</v>
      </c>
      <c r="DI22" s="2">
        <f t="shared" si="30"/>
        <v>19</v>
      </c>
      <c r="DJ22" s="20">
        <f t="shared" si="31"/>
        <v>501</v>
      </c>
      <c r="DK22" s="4">
        <f>SUM(DH22:DJ22)</f>
        <v>520</v>
      </c>
      <c r="DL22" s="5">
        <f>H22+Q22+Z22+AI22+AR22+BA22+BJ22+BS22+CB22+CK22+CT22+DC22</f>
        <v>0</v>
      </c>
      <c r="DM22" s="17"/>
    </row>
    <row r="23" spans="1:117" ht="17.100000000000001" customHeight="1" thickBot="1" x14ac:dyDescent="0.3">
      <c r="A23" s="209"/>
      <c r="B23" s="84" t="s">
        <v>12</v>
      </c>
      <c r="C23" s="85" t="s">
        <v>13</v>
      </c>
      <c r="D23" s="155">
        <v>0</v>
      </c>
      <c r="E23" s="156">
        <v>0</v>
      </c>
      <c r="F23" s="157">
        <v>6</v>
      </c>
      <c r="G23" s="9">
        <f>SUM(D23:F23)</f>
        <v>6</v>
      </c>
      <c r="H23" s="10">
        <v>0</v>
      </c>
      <c r="I23" s="40"/>
      <c r="J23" s="209"/>
      <c r="K23" s="84" t="s">
        <v>12</v>
      </c>
      <c r="L23" s="85" t="s">
        <v>13</v>
      </c>
      <c r="M23" s="155">
        <v>0</v>
      </c>
      <c r="N23" s="156">
        <v>1</v>
      </c>
      <c r="O23" s="157">
        <v>4</v>
      </c>
      <c r="P23" s="9">
        <f>SUM(M23:O23)</f>
        <v>5</v>
      </c>
      <c r="Q23" s="10">
        <v>0</v>
      </c>
      <c r="R23" s="40"/>
      <c r="S23" s="209"/>
      <c r="T23" s="84" t="s">
        <v>12</v>
      </c>
      <c r="U23" s="85" t="s">
        <v>13</v>
      </c>
      <c r="V23" s="161">
        <v>0</v>
      </c>
      <c r="W23" s="162">
        <v>0</v>
      </c>
      <c r="X23" s="163">
        <v>0</v>
      </c>
      <c r="Y23" s="9">
        <f>SUM(V23:X23)</f>
        <v>0</v>
      </c>
      <c r="Z23" s="10">
        <v>0</v>
      </c>
      <c r="AA23" s="40"/>
      <c r="AB23" s="209"/>
      <c r="AC23" s="84" t="s">
        <v>12</v>
      </c>
      <c r="AD23" s="85" t="s">
        <v>13</v>
      </c>
      <c r="AE23" s="161">
        <v>0</v>
      </c>
      <c r="AF23" s="162">
        <v>0</v>
      </c>
      <c r="AG23" s="163">
        <v>0</v>
      </c>
      <c r="AH23" s="9">
        <f>SUM(AE23:AG23)</f>
        <v>0</v>
      </c>
      <c r="AI23" s="10">
        <v>0</v>
      </c>
      <c r="AJ23" s="40"/>
      <c r="AK23" s="209"/>
      <c r="AL23" s="84" t="s">
        <v>12</v>
      </c>
      <c r="AM23" s="85" t="s">
        <v>13</v>
      </c>
      <c r="AN23" s="6">
        <v>0</v>
      </c>
      <c r="AO23" s="7">
        <v>0</v>
      </c>
      <c r="AP23" s="8">
        <v>41</v>
      </c>
      <c r="AQ23" s="9">
        <f>SUM(AN23:AP23)</f>
        <v>41</v>
      </c>
      <c r="AR23" s="10">
        <v>0</v>
      </c>
      <c r="AS23" s="40"/>
      <c r="AT23" s="209"/>
      <c r="AU23" s="84" t="s">
        <v>12</v>
      </c>
      <c r="AV23" s="85" t="s">
        <v>13</v>
      </c>
      <c r="AW23" s="6">
        <v>0</v>
      </c>
      <c r="AX23" s="7">
        <v>0</v>
      </c>
      <c r="AY23" s="8">
        <v>14</v>
      </c>
      <c r="AZ23" s="9">
        <f>SUM(AW23:AY23)</f>
        <v>14</v>
      </c>
      <c r="BA23" s="10">
        <v>0</v>
      </c>
      <c r="BB23" s="40"/>
      <c r="BC23" s="209"/>
      <c r="BD23" s="84" t="s">
        <v>12</v>
      </c>
      <c r="BE23" s="85" t="s">
        <v>13</v>
      </c>
      <c r="BF23" s="161">
        <v>0</v>
      </c>
      <c r="BG23" s="162">
        <v>2</v>
      </c>
      <c r="BH23" s="163">
        <v>19</v>
      </c>
      <c r="BI23" s="166">
        <v>21</v>
      </c>
      <c r="BJ23" s="10">
        <v>0</v>
      </c>
      <c r="BK23" s="40"/>
      <c r="BL23" s="209"/>
      <c r="BM23" s="84" t="s">
        <v>12</v>
      </c>
      <c r="BN23" s="85" t="s">
        <v>13</v>
      </c>
      <c r="BO23" s="195">
        <v>0</v>
      </c>
      <c r="BP23" s="196">
        <v>0</v>
      </c>
      <c r="BQ23" s="197">
        <v>0</v>
      </c>
      <c r="BR23" s="198">
        <v>0</v>
      </c>
      <c r="BS23" s="185">
        <v>0</v>
      </c>
      <c r="BT23" s="40"/>
      <c r="BU23" s="209"/>
      <c r="BV23" s="84" t="s">
        <v>12</v>
      </c>
      <c r="BW23" s="85" t="s">
        <v>13</v>
      </c>
      <c r="BX23" s="181">
        <v>0</v>
      </c>
      <c r="BY23" s="182">
        <v>1</v>
      </c>
      <c r="BZ23" s="183">
        <v>26</v>
      </c>
      <c r="CA23" s="184">
        <f t="shared" si="26"/>
        <v>27</v>
      </c>
      <c r="CB23" s="185">
        <v>0</v>
      </c>
      <c r="CC23" s="40"/>
      <c r="CD23" s="209"/>
      <c r="CE23" s="84" t="s">
        <v>12</v>
      </c>
      <c r="CF23" s="85" t="s">
        <v>13</v>
      </c>
      <c r="CG23" s="181">
        <v>0</v>
      </c>
      <c r="CH23" s="182">
        <v>0</v>
      </c>
      <c r="CI23" s="183">
        <v>10</v>
      </c>
      <c r="CJ23" s="184">
        <f t="shared" si="27"/>
        <v>10</v>
      </c>
      <c r="CK23" s="185">
        <v>0</v>
      </c>
      <c r="CL23" s="40"/>
      <c r="CM23" s="209"/>
      <c r="CN23" s="84" t="s">
        <v>12</v>
      </c>
      <c r="CO23" s="85" t="s">
        <v>13</v>
      </c>
      <c r="CP23" s="6">
        <v>0</v>
      </c>
      <c r="CQ23" s="7">
        <v>0</v>
      </c>
      <c r="CR23" s="8">
        <v>0</v>
      </c>
      <c r="CS23" s="9">
        <f>SUM(CP23:CR23)</f>
        <v>0</v>
      </c>
      <c r="CT23" s="10">
        <v>0</v>
      </c>
      <c r="CU23" s="40"/>
      <c r="CV23" s="209"/>
      <c r="CW23" s="84" t="s">
        <v>12</v>
      </c>
      <c r="CX23" s="85" t="s">
        <v>13</v>
      </c>
      <c r="CY23" s="6">
        <v>0</v>
      </c>
      <c r="CZ23" s="7">
        <v>0</v>
      </c>
      <c r="DA23" s="8">
        <v>0</v>
      </c>
      <c r="DB23" s="9">
        <f>SUM(CY23:DA23)</f>
        <v>0</v>
      </c>
      <c r="DC23" s="10">
        <v>0</v>
      </c>
      <c r="DD23" s="40"/>
      <c r="DE23" s="209"/>
      <c r="DF23" s="19" t="s">
        <v>12</v>
      </c>
      <c r="DG23" s="30" t="s">
        <v>13</v>
      </c>
      <c r="DH23" s="6">
        <f t="shared" si="29"/>
        <v>0</v>
      </c>
      <c r="DI23" s="7">
        <f t="shared" si="30"/>
        <v>4</v>
      </c>
      <c r="DJ23" s="21">
        <f t="shared" si="31"/>
        <v>120</v>
      </c>
      <c r="DK23" s="9">
        <f>SUM(DH23:DJ23)</f>
        <v>124</v>
      </c>
      <c r="DL23" s="10">
        <f>H23+Q23+Z23+AI23+AR23+BA23+BJ23+BS23+CB23+CK23+CT23+DC23</f>
        <v>0</v>
      </c>
      <c r="DM23" s="17"/>
    </row>
    <row r="24" spans="1:117" ht="17.100000000000001" customHeight="1" thickBot="1" x14ac:dyDescent="0.3">
      <c r="A24" s="210"/>
      <c r="B24" s="211" t="s">
        <v>3</v>
      </c>
      <c r="C24" s="212"/>
      <c r="D24" s="11">
        <f>SUM(D20:D23)</f>
        <v>0</v>
      </c>
      <c r="E24" s="12">
        <f>SUM(E20:E23)</f>
        <v>18</v>
      </c>
      <c r="F24" s="13">
        <f>SUM(F20:F23)</f>
        <v>484</v>
      </c>
      <c r="G24" s="14">
        <f>SUM(G20:G23)</f>
        <v>502</v>
      </c>
      <c r="H24" s="15">
        <f>SUM(H20:H23)</f>
        <v>0</v>
      </c>
      <c r="I24" s="40"/>
      <c r="J24" s="210"/>
      <c r="K24" s="211" t="s">
        <v>3</v>
      </c>
      <c r="L24" s="212"/>
      <c r="M24" s="11">
        <f>SUM(M20:M23)</f>
        <v>0</v>
      </c>
      <c r="N24" s="12">
        <f>SUM(N20:N23)</f>
        <v>11</v>
      </c>
      <c r="O24" s="13">
        <f>SUM(O20:O23)</f>
        <v>598</v>
      </c>
      <c r="P24" s="14">
        <f>SUM(P20:P23)</f>
        <v>609</v>
      </c>
      <c r="Q24" s="15">
        <f>SUM(Q20:Q23)</f>
        <v>0</v>
      </c>
      <c r="R24" s="40"/>
      <c r="S24" s="210"/>
      <c r="T24" s="211" t="s">
        <v>3</v>
      </c>
      <c r="U24" s="212"/>
      <c r="V24" s="155">
        <v>0</v>
      </c>
      <c r="W24" s="156">
        <v>0</v>
      </c>
      <c r="X24" s="157">
        <v>0</v>
      </c>
      <c r="Y24" s="14">
        <f>SUM(Y20:Y23)</f>
        <v>1129</v>
      </c>
      <c r="Z24" s="15">
        <f>SUM(Z20:Z23)</f>
        <v>0</v>
      </c>
      <c r="AA24" s="40"/>
      <c r="AB24" s="210"/>
      <c r="AC24" s="211" t="s">
        <v>3</v>
      </c>
      <c r="AD24" s="212"/>
      <c r="AE24" s="155">
        <v>0</v>
      </c>
      <c r="AF24" s="156">
        <v>0</v>
      </c>
      <c r="AG24" s="157">
        <v>0</v>
      </c>
      <c r="AH24" s="14">
        <f>SUM(AH20:AH23)</f>
        <v>56</v>
      </c>
      <c r="AI24" s="15">
        <f>SUM(AI20:AI23)</f>
        <v>0</v>
      </c>
      <c r="AJ24" s="40"/>
      <c r="AK24" s="210"/>
      <c r="AL24" s="211" t="s">
        <v>3</v>
      </c>
      <c r="AM24" s="212"/>
      <c r="AN24" s="11">
        <f>SUM(AN20:AN23)</f>
        <v>0</v>
      </c>
      <c r="AO24" s="12">
        <f>SUM(AO20:AO23)</f>
        <v>0</v>
      </c>
      <c r="AP24" s="13">
        <f>SUM(AP20:AP23)</f>
        <v>377</v>
      </c>
      <c r="AQ24" s="14">
        <f>SUM(AQ20:AQ23)</f>
        <v>377</v>
      </c>
      <c r="AR24" s="15">
        <f>SUM(AR20:AR23)</f>
        <v>0</v>
      </c>
      <c r="AS24" s="40"/>
      <c r="AT24" s="210"/>
      <c r="AU24" s="211" t="s">
        <v>3</v>
      </c>
      <c r="AV24" s="212"/>
      <c r="AW24" s="11">
        <f>SUM(AW20:AW23)</f>
        <v>0</v>
      </c>
      <c r="AX24" s="12">
        <f>SUM(AX20:AX23)</f>
        <v>0</v>
      </c>
      <c r="AY24" s="13">
        <f>SUM(AY20:AY23)</f>
        <v>471</v>
      </c>
      <c r="AZ24" s="14">
        <f>SUM(AZ20:AZ23)</f>
        <v>471</v>
      </c>
      <c r="BA24" s="15">
        <f>SUM(BA20:BA23)</f>
        <v>0</v>
      </c>
      <c r="BB24" s="40"/>
      <c r="BC24" s="210"/>
      <c r="BD24" s="211" t="s">
        <v>3</v>
      </c>
      <c r="BE24" s="212"/>
      <c r="BF24" s="155">
        <v>0</v>
      </c>
      <c r="BG24" s="156">
        <v>0</v>
      </c>
      <c r="BH24" s="157">
        <v>6</v>
      </c>
      <c r="BI24" s="165">
        <v>6</v>
      </c>
      <c r="BJ24" s="15">
        <f>SUM(BJ20:BJ23)</f>
        <v>0</v>
      </c>
      <c r="BK24" s="40"/>
      <c r="BL24" s="210"/>
      <c r="BM24" s="211" t="s">
        <v>3</v>
      </c>
      <c r="BN24" s="212"/>
      <c r="BO24" s="186">
        <f t="shared" ref="BO24:BS24" si="32">SUM(BO20:BO23)</f>
        <v>0</v>
      </c>
      <c r="BP24" s="187">
        <f t="shared" si="32"/>
        <v>50</v>
      </c>
      <c r="BQ24" s="188">
        <f t="shared" si="32"/>
        <v>387</v>
      </c>
      <c r="BR24" s="189">
        <f t="shared" si="32"/>
        <v>437</v>
      </c>
      <c r="BS24" s="190">
        <f t="shared" si="32"/>
        <v>0</v>
      </c>
      <c r="BT24" s="40"/>
      <c r="BU24" s="210"/>
      <c r="BV24" s="211" t="s">
        <v>3</v>
      </c>
      <c r="BW24" s="212"/>
      <c r="BX24" s="186">
        <f t="shared" ref="BX24:CB24" si="33">SUM(BX20:BX23)</f>
        <v>0</v>
      </c>
      <c r="BY24" s="187">
        <f t="shared" si="33"/>
        <v>58</v>
      </c>
      <c r="BZ24" s="188">
        <f t="shared" si="33"/>
        <v>438</v>
      </c>
      <c r="CA24" s="189">
        <f t="shared" si="33"/>
        <v>496</v>
      </c>
      <c r="CB24" s="190">
        <f t="shared" si="33"/>
        <v>0</v>
      </c>
      <c r="CC24" s="40"/>
      <c r="CD24" s="210"/>
      <c r="CE24" s="211" t="s">
        <v>3</v>
      </c>
      <c r="CF24" s="212"/>
      <c r="CG24" s="186">
        <f t="shared" ref="CG24:CK24" si="34">SUM(CG20:CG23)</f>
        <v>0</v>
      </c>
      <c r="CH24" s="187">
        <f t="shared" si="34"/>
        <v>0</v>
      </c>
      <c r="CI24" s="188">
        <f t="shared" si="34"/>
        <v>507</v>
      </c>
      <c r="CJ24" s="189">
        <f t="shared" si="34"/>
        <v>507</v>
      </c>
      <c r="CK24" s="190">
        <f t="shared" si="34"/>
        <v>0</v>
      </c>
      <c r="CL24" s="40"/>
      <c r="CM24" s="210"/>
      <c r="CN24" s="211" t="s">
        <v>3</v>
      </c>
      <c r="CO24" s="212"/>
      <c r="CP24" s="11">
        <f>SUM(CP20:CP23)</f>
        <v>0</v>
      </c>
      <c r="CQ24" s="12">
        <f>SUM(CQ20:CQ23)</f>
        <v>0</v>
      </c>
      <c r="CR24" s="13">
        <f>SUM(CR20:CR23)</f>
        <v>0</v>
      </c>
      <c r="CS24" s="14">
        <f>SUM(CS20:CS23)</f>
        <v>0</v>
      </c>
      <c r="CT24" s="15">
        <f>SUM(CT20:CT23)</f>
        <v>0</v>
      </c>
      <c r="CU24" s="40"/>
      <c r="CV24" s="210"/>
      <c r="CW24" s="211" t="s">
        <v>3</v>
      </c>
      <c r="CX24" s="212"/>
      <c r="CY24" s="11">
        <f>SUM(CY20:CY23)</f>
        <v>0</v>
      </c>
      <c r="CZ24" s="12">
        <f>SUM(CZ20:CZ23)</f>
        <v>0</v>
      </c>
      <c r="DA24" s="13">
        <f>SUM(DA20:DA23)</f>
        <v>0</v>
      </c>
      <c r="DB24" s="14">
        <f>SUM(DB20:DB23)</f>
        <v>0</v>
      </c>
      <c r="DC24" s="15">
        <f>SUM(DC20:DC23)</f>
        <v>0</v>
      </c>
      <c r="DD24" s="40"/>
      <c r="DE24" s="210"/>
      <c r="DF24" s="238" t="s">
        <v>3</v>
      </c>
      <c r="DG24" s="239"/>
      <c r="DH24" s="22">
        <f>SUM(DH20:DH23)</f>
        <v>0</v>
      </c>
      <c r="DI24" s="23">
        <f>SUM(DI20:DI23)</f>
        <v>1175</v>
      </c>
      <c r="DJ24" s="24">
        <f>SUM(DJ20:DJ23)</f>
        <v>5208</v>
      </c>
      <c r="DK24" s="25">
        <f>SUM(DK20:DK23)</f>
        <v>6383</v>
      </c>
      <c r="DL24" s="26">
        <f>SUM(DL20:DL23)</f>
        <v>0</v>
      </c>
      <c r="DM24" s="17"/>
    </row>
    <row r="25" spans="1:117" ht="17.100000000000001" customHeight="1" thickBot="1" x14ac:dyDescent="0.3">
      <c r="A25" s="208" t="s">
        <v>23</v>
      </c>
      <c r="B25" s="219" t="s">
        <v>12</v>
      </c>
      <c r="C25" s="80" t="s">
        <v>11</v>
      </c>
      <c r="D25" s="1">
        <v>0</v>
      </c>
      <c r="E25" s="2">
        <v>0</v>
      </c>
      <c r="F25" s="3">
        <v>0</v>
      </c>
      <c r="G25" s="4">
        <f>SUM(D25:F25)</f>
        <v>0</v>
      </c>
      <c r="H25" s="5">
        <v>0</v>
      </c>
      <c r="I25" s="40"/>
      <c r="J25" s="208" t="s">
        <v>23</v>
      </c>
      <c r="K25" s="219" t="s">
        <v>12</v>
      </c>
      <c r="L25" s="80" t="s">
        <v>11</v>
      </c>
      <c r="M25" s="1">
        <v>0</v>
      </c>
      <c r="N25" s="2">
        <v>0</v>
      </c>
      <c r="O25" s="3">
        <v>0</v>
      </c>
      <c r="P25" s="4">
        <f>SUM(M25:O25)</f>
        <v>0</v>
      </c>
      <c r="Q25" s="5">
        <v>0</v>
      </c>
      <c r="R25" s="40"/>
      <c r="S25" s="208" t="s">
        <v>23</v>
      </c>
      <c r="T25" s="219" t="s">
        <v>12</v>
      </c>
      <c r="U25" s="80" t="s">
        <v>11</v>
      </c>
      <c r="V25" s="168">
        <v>0</v>
      </c>
      <c r="W25" s="169">
        <v>0</v>
      </c>
      <c r="X25" s="165">
        <v>0</v>
      </c>
      <c r="Y25" s="4">
        <f>SUM(V25:X25)</f>
        <v>0</v>
      </c>
      <c r="Z25" s="5">
        <v>0</v>
      </c>
      <c r="AA25" s="40"/>
      <c r="AB25" s="208" t="s">
        <v>23</v>
      </c>
      <c r="AC25" s="219" t="s">
        <v>12</v>
      </c>
      <c r="AD25" s="80" t="s">
        <v>11</v>
      </c>
      <c r="AE25" s="168">
        <v>0</v>
      </c>
      <c r="AF25" s="169">
        <v>0</v>
      </c>
      <c r="AG25" s="165">
        <v>0</v>
      </c>
      <c r="AH25" s="4">
        <f>SUM(AE25:AG25)</f>
        <v>0</v>
      </c>
      <c r="AI25" s="5">
        <v>0</v>
      </c>
      <c r="AJ25" s="40"/>
      <c r="AK25" s="208" t="s">
        <v>23</v>
      </c>
      <c r="AL25" s="219" t="s">
        <v>12</v>
      </c>
      <c r="AM25" s="80" t="s">
        <v>11</v>
      </c>
      <c r="AN25" s="1">
        <v>0</v>
      </c>
      <c r="AO25" s="2">
        <v>0</v>
      </c>
      <c r="AP25" s="3">
        <v>0</v>
      </c>
      <c r="AQ25" s="4">
        <f>SUM(AN25:AP25)</f>
        <v>0</v>
      </c>
      <c r="AR25" s="5">
        <v>0</v>
      </c>
      <c r="AS25" s="40"/>
      <c r="AT25" s="208" t="s">
        <v>23</v>
      </c>
      <c r="AU25" s="219" t="s">
        <v>12</v>
      </c>
      <c r="AV25" s="80" t="s">
        <v>11</v>
      </c>
      <c r="AW25" s="1">
        <v>0</v>
      </c>
      <c r="AX25" s="2">
        <v>0</v>
      </c>
      <c r="AY25" s="3">
        <v>0</v>
      </c>
      <c r="AZ25" s="4">
        <f>SUM(AW25:AY25)</f>
        <v>0</v>
      </c>
      <c r="BA25" s="5">
        <v>0</v>
      </c>
      <c r="BB25" s="40"/>
      <c r="BC25" s="208" t="s">
        <v>23</v>
      </c>
      <c r="BD25" s="219" t="s">
        <v>12</v>
      </c>
      <c r="BE25" s="80" t="s">
        <v>11</v>
      </c>
      <c r="BF25" s="168">
        <v>0</v>
      </c>
      <c r="BG25" s="169">
        <v>20</v>
      </c>
      <c r="BH25" s="165">
        <v>466</v>
      </c>
      <c r="BI25" s="175">
        <v>486</v>
      </c>
      <c r="BJ25" s="5">
        <v>0</v>
      </c>
      <c r="BK25" s="40"/>
      <c r="BL25" s="208" t="s">
        <v>23</v>
      </c>
      <c r="BM25" s="219" t="s">
        <v>12</v>
      </c>
      <c r="BN25" s="80" t="s">
        <v>11</v>
      </c>
      <c r="BO25" s="176">
        <v>0</v>
      </c>
      <c r="BP25" s="177">
        <v>0</v>
      </c>
      <c r="BQ25" s="178">
        <v>0</v>
      </c>
      <c r="BR25" s="179">
        <f t="shared" ref="BR25:BR28" si="35">SUM(BO25:BQ25)</f>
        <v>0</v>
      </c>
      <c r="BS25" s="180">
        <v>0</v>
      </c>
      <c r="BT25" s="40"/>
      <c r="BU25" s="208" t="s">
        <v>23</v>
      </c>
      <c r="BV25" s="219" t="s">
        <v>12</v>
      </c>
      <c r="BW25" s="80" t="s">
        <v>11</v>
      </c>
      <c r="BX25" s="1">
        <v>0</v>
      </c>
      <c r="BY25" s="2">
        <v>0</v>
      </c>
      <c r="BZ25" s="3">
        <v>0</v>
      </c>
      <c r="CA25" s="4">
        <f>SUM(BX25:BZ25)</f>
        <v>0</v>
      </c>
      <c r="CB25" s="5">
        <v>0</v>
      </c>
      <c r="CC25" s="40"/>
      <c r="CD25" s="208" t="s">
        <v>23</v>
      </c>
      <c r="CE25" s="219" t="s">
        <v>12</v>
      </c>
      <c r="CF25" s="80" t="s">
        <v>11</v>
      </c>
      <c r="CG25" s="176">
        <v>0</v>
      </c>
      <c r="CH25" s="177">
        <v>0</v>
      </c>
      <c r="CI25" s="178">
        <v>192</v>
      </c>
      <c r="CJ25" s="179">
        <f t="shared" ref="CJ25:CJ28" si="36">SUM(CG25:CI25)</f>
        <v>192</v>
      </c>
      <c r="CK25" s="180">
        <v>0</v>
      </c>
      <c r="CL25" s="40"/>
      <c r="CM25" s="208" t="s">
        <v>23</v>
      </c>
      <c r="CN25" s="219" t="s">
        <v>12</v>
      </c>
      <c r="CO25" s="80" t="s">
        <v>11</v>
      </c>
      <c r="CP25" s="1">
        <v>0</v>
      </c>
      <c r="CQ25" s="2">
        <v>0</v>
      </c>
      <c r="CR25" s="3">
        <v>0</v>
      </c>
      <c r="CS25" s="4">
        <f>SUM(CP25:CR25)</f>
        <v>0</v>
      </c>
      <c r="CT25" s="5">
        <v>0</v>
      </c>
      <c r="CU25" s="40"/>
      <c r="CV25" s="208" t="s">
        <v>23</v>
      </c>
      <c r="CW25" s="219" t="s">
        <v>12</v>
      </c>
      <c r="CX25" s="80" t="s">
        <v>11</v>
      </c>
      <c r="CY25" s="1">
        <v>0</v>
      </c>
      <c r="CZ25" s="2">
        <v>0</v>
      </c>
      <c r="DA25" s="3">
        <v>0</v>
      </c>
      <c r="DB25" s="4">
        <f>SUM(CY25:DA25)</f>
        <v>0</v>
      </c>
      <c r="DC25" s="5">
        <v>0</v>
      </c>
      <c r="DD25" s="40"/>
      <c r="DE25" s="208" t="str">
        <f t="shared" ref="DE25" si="37">CV25</f>
        <v>الروابي</v>
      </c>
      <c r="DF25" s="18"/>
      <c r="DG25" s="27" t="s">
        <v>11</v>
      </c>
      <c r="DH25" s="1">
        <f t="shared" ref="DH25:DH28" si="38">D25+M25+V25+AE25+AN25+AW25+BF25+BO25+BX25+CG25+CP25+CY25</f>
        <v>0</v>
      </c>
      <c r="DI25" s="2">
        <f t="shared" ref="DI25:DI28" si="39">E25+N25+W25+AF25+AO25+AX25+BG25+BP25+BY25+CH25+CQ25+CZ25</f>
        <v>20</v>
      </c>
      <c r="DJ25" s="20">
        <f t="shared" ref="DJ25:DJ28" si="40">F25+O25+X25+AG25+AP25+AY25+BH25+BQ25+BZ25+CI25+CR25+DA25</f>
        <v>658</v>
      </c>
      <c r="DK25" s="4">
        <f>SUM(DH25:DJ25)</f>
        <v>678</v>
      </c>
      <c r="DL25" s="5">
        <f>H25+Q25+Z25+AI25+AR25+BA25+BJ25+BS25+CB25+CK25+CT25+DC25</f>
        <v>0</v>
      </c>
      <c r="DM25" s="17"/>
    </row>
    <row r="26" spans="1:117" ht="17.100000000000001" customHeight="1" thickTop="1" thickBot="1" x14ac:dyDescent="0.3">
      <c r="A26" s="209"/>
      <c r="B26" s="220"/>
      <c r="C26" s="81" t="s">
        <v>13</v>
      </c>
      <c r="D26" s="6">
        <v>0</v>
      </c>
      <c r="E26" s="7">
        <v>0</v>
      </c>
      <c r="F26" s="8">
        <v>0</v>
      </c>
      <c r="G26" s="9">
        <f>SUM(D26:F26)</f>
        <v>0</v>
      </c>
      <c r="H26" s="10">
        <v>0</v>
      </c>
      <c r="I26" s="40"/>
      <c r="J26" s="209"/>
      <c r="K26" s="220"/>
      <c r="L26" s="81" t="s">
        <v>13</v>
      </c>
      <c r="M26" s="6">
        <v>0</v>
      </c>
      <c r="N26" s="7">
        <v>0</v>
      </c>
      <c r="O26" s="8">
        <v>0</v>
      </c>
      <c r="P26" s="9">
        <f>SUM(M26:O26)</f>
        <v>0</v>
      </c>
      <c r="Q26" s="10">
        <v>0</v>
      </c>
      <c r="R26" s="40"/>
      <c r="S26" s="209"/>
      <c r="T26" s="220"/>
      <c r="U26" s="81" t="s">
        <v>13</v>
      </c>
      <c r="V26" s="161">
        <v>0</v>
      </c>
      <c r="W26" s="162">
        <v>0</v>
      </c>
      <c r="X26" s="163">
        <v>0</v>
      </c>
      <c r="Y26" s="9">
        <f>SUM(V26:X26)</f>
        <v>0</v>
      </c>
      <c r="Z26" s="10">
        <v>0</v>
      </c>
      <c r="AA26" s="40"/>
      <c r="AB26" s="209"/>
      <c r="AC26" s="220"/>
      <c r="AD26" s="81" t="s">
        <v>13</v>
      </c>
      <c r="AE26" s="161">
        <v>0</v>
      </c>
      <c r="AF26" s="162">
        <v>0</v>
      </c>
      <c r="AG26" s="163">
        <v>0</v>
      </c>
      <c r="AH26" s="9">
        <f>SUM(AE26:AG26)</f>
        <v>0</v>
      </c>
      <c r="AI26" s="10">
        <v>0</v>
      </c>
      <c r="AJ26" s="40"/>
      <c r="AK26" s="209"/>
      <c r="AL26" s="220"/>
      <c r="AM26" s="81" t="s">
        <v>13</v>
      </c>
      <c r="AN26" s="6">
        <v>0</v>
      </c>
      <c r="AO26" s="7">
        <v>0</v>
      </c>
      <c r="AP26" s="8">
        <v>0</v>
      </c>
      <c r="AQ26" s="9">
        <f>SUM(AN26:AP26)</f>
        <v>0</v>
      </c>
      <c r="AR26" s="10">
        <v>0</v>
      </c>
      <c r="AS26" s="40"/>
      <c r="AT26" s="209"/>
      <c r="AU26" s="220"/>
      <c r="AV26" s="81" t="s">
        <v>13</v>
      </c>
      <c r="AW26" s="6">
        <v>0</v>
      </c>
      <c r="AX26" s="7">
        <v>0</v>
      </c>
      <c r="AY26" s="8">
        <v>0</v>
      </c>
      <c r="AZ26" s="9">
        <f>SUM(AW26:AY26)</f>
        <v>0</v>
      </c>
      <c r="BA26" s="10">
        <v>0</v>
      </c>
      <c r="BB26" s="40"/>
      <c r="BC26" s="209"/>
      <c r="BD26" s="220"/>
      <c r="BE26" s="81" t="s">
        <v>13</v>
      </c>
      <c r="BF26" s="161">
        <v>0</v>
      </c>
      <c r="BG26" s="162">
        <v>0</v>
      </c>
      <c r="BH26" s="163">
        <v>0</v>
      </c>
      <c r="BI26" s="166">
        <v>0</v>
      </c>
      <c r="BJ26" s="10">
        <v>0</v>
      </c>
      <c r="BK26" s="40"/>
      <c r="BL26" s="209"/>
      <c r="BM26" s="220"/>
      <c r="BN26" s="81" t="s">
        <v>13</v>
      </c>
      <c r="BO26" s="181">
        <v>0</v>
      </c>
      <c r="BP26" s="182">
        <v>0</v>
      </c>
      <c r="BQ26" s="183">
        <v>0</v>
      </c>
      <c r="BR26" s="184">
        <f t="shared" si="35"/>
        <v>0</v>
      </c>
      <c r="BS26" s="185">
        <v>0</v>
      </c>
      <c r="BT26" s="40"/>
      <c r="BU26" s="209"/>
      <c r="BV26" s="220"/>
      <c r="BW26" s="81" t="s">
        <v>13</v>
      </c>
      <c r="BX26" s="6">
        <v>0</v>
      </c>
      <c r="BY26" s="7">
        <v>0</v>
      </c>
      <c r="BZ26" s="8">
        <v>0</v>
      </c>
      <c r="CA26" s="9">
        <f>SUM(BX26:BZ26)</f>
        <v>0</v>
      </c>
      <c r="CB26" s="10">
        <v>0</v>
      </c>
      <c r="CC26" s="40"/>
      <c r="CD26" s="209"/>
      <c r="CE26" s="220"/>
      <c r="CF26" s="81" t="s">
        <v>13</v>
      </c>
      <c r="CG26" s="181">
        <v>0</v>
      </c>
      <c r="CH26" s="182">
        <v>0</v>
      </c>
      <c r="CI26" s="183">
        <v>100</v>
      </c>
      <c r="CJ26" s="184">
        <f t="shared" si="36"/>
        <v>100</v>
      </c>
      <c r="CK26" s="185">
        <v>0</v>
      </c>
      <c r="CL26" s="40"/>
      <c r="CM26" s="209"/>
      <c r="CN26" s="220"/>
      <c r="CO26" s="81" t="s">
        <v>13</v>
      </c>
      <c r="CP26" s="6">
        <v>0</v>
      </c>
      <c r="CQ26" s="7">
        <v>0</v>
      </c>
      <c r="CR26" s="8">
        <v>0</v>
      </c>
      <c r="CS26" s="9">
        <f>SUM(CP26:CR26)</f>
        <v>0</v>
      </c>
      <c r="CT26" s="10">
        <v>0</v>
      </c>
      <c r="CU26" s="40"/>
      <c r="CV26" s="209"/>
      <c r="CW26" s="220"/>
      <c r="CX26" s="81" t="s">
        <v>13</v>
      </c>
      <c r="CY26" s="6">
        <v>0</v>
      </c>
      <c r="CZ26" s="7">
        <v>0</v>
      </c>
      <c r="DA26" s="8">
        <v>0</v>
      </c>
      <c r="DB26" s="9">
        <f>SUM(CY26:DA26)</f>
        <v>0</v>
      </c>
      <c r="DC26" s="10">
        <v>0</v>
      </c>
      <c r="DD26" s="40"/>
      <c r="DE26" s="209"/>
      <c r="DF26" s="19" t="s">
        <v>12</v>
      </c>
      <c r="DG26" s="28" t="s">
        <v>13</v>
      </c>
      <c r="DH26" s="6">
        <f t="shared" si="38"/>
        <v>0</v>
      </c>
      <c r="DI26" s="7">
        <f t="shared" si="39"/>
        <v>0</v>
      </c>
      <c r="DJ26" s="21">
        <f t="shared" si="40"/>
        <v>100</v>
      </c>
      <c r="DK26" s="9">
        <f>SUM(DH26:DJ26)</f>
        <v>100</v>
      </c>
      <c r="DL26" s="10">
        <f>H26+Q26+Z26+AI26+AR26+BA26+BJ26+BS26+CB26+CK26+CT26+DC26</f>
        <v>0</v>
      </c>
      <c r="DM26" s="17"/>
    </row>
    <row r="27" spans="1:117" ht="17.100000000000001" customHeight="1" thickBot="1" x14ac:dyDescent="0.3">
      <c r="A27" s="209"/>
      <c r="B27" s="82" t="s">
        <v>14</v>
      </c>
      <c r="C27" s="83" t="s">
        <v>11</v>
      </c>
      <c r="D27" s="1">
        <v>0</v>
      </c>
      <c r="E27" s="2">
        <v>0</v>
      </c>
      <c r="F27" s="3">
        <v>0</v>
      </c>
      <c r="G27" s="4">
        <f>SUM(D27:F27)</f>
        <v>0</v>
      </c>
      <c r="H27" s="5">
        <v>0</v>
      </c>
      <c r="I27" s="40"/>
      <c r="J27" s="209"/>
      <c r="K27" s="82" t="s">
        <v>14</v>
      </c>
      <c r="L27" s="83" t="s">
        <v>11</v>
      </c>
      <c r="M27" s="1">
        <v>0</v>
      </c>
      <c r="N27" s="2">
        <v>0</v>
      </c>
      <c r="O27" s="3">
        <v>0</v>
      </c>
      <c r="P27" s="4">
        <f>SUM(M27:O27)</f>
        <v>0</v>
      </c>
      <c r="Q27" s="5">
        <v>0</v>
      </c>
      <c r="R27" s="40"/>
      <c r="S27" s="209"/>
      <c r="T27" s="82" t="s">
        <v>14</v>
      </c>
      <c r="U27" s="83" t="s">
        <v>11</v>
      </c>
      <c r="V27" s="155">
        <v>0</v>
      </c>
      <c r="W27" s="156">
        <v>0</v>
      </c>
      <c r="X27" s="157">
        <v>0</v>
      </c>
      <c r="Y27" s="4">
        <f>SUM(V27:X27)</f>
        <v>0</v>
      </c>
      <c r="Z27" s="5">
        <v>0</v>
      </c>
      <c r="AA27" s="40"/>
      <c r="AB27" s="209"/>
      <c r="AC27" s="82" t="s">
        <v>14</v>
      </c>
      <c r="AD27" s="83" t="s">
        <v>11</v>
      </c>
      <c r="AE27" s="155">
        <v>0</v>
      </c>
      <c r="AF27" s="156">
        <v>0</v>
      </c>
      <c r="AG27" s="157">
        <v>0</v>
      </c>
      <c r="AH27" s="4">
        <f>SUM(AE27:AG27)</f>
        <v>0</v>
      </c>
      <c r="AI27" s="5">
        <v>0</v>
      </c>
      <c r="AJ27" s="40"/>
      <c r="AK27" s="209"/>
      <c r="AL27" s="82" t="s">
        <v>14</v>
      </c>
      <c r="AM27" s="83" t="s">
        <v>11</v>
      </c>
      <c r="AN27" s="1">
        <v>0</v>
      </c>
      <c r="AO27" s="2">
        <v>0</v>
      </c>
      <c r="AP27" s="3">
        <v>0</v>
      </c>
      <c r="AQ27" s="4">
        <f>SUM(AN27:AP27)</f>
        <v>0</v>
      </c>
      <c r="AR27" s="5">
        <v>0</v>
      </c>
      <c r="AS27" s="40"/>
      <c r="AT27" s="209"/>
      <c r="AU27" s="82" t="s">
        <v>14</v>
      </c>
      <c r="AV27" s="83" t="s">
        <v>11</v>
      </c>
      <c r="AW27" s="1">
        <v>0</v>
      </c>
      <c r="AX27" s="2">
        <v>0</v>
      </c>
      <c r="AY27" s="3">
        <v>0</v>
      </c>
      <c r="AZ27" s="4">
        <f>SUM(AW27:AY27)</f>
        <v>0</v>
      </c>
      <c r="BA27" s="5">
        <v>0</v>
      </c>
      <c r="BB27" s="40"/>
      <c r="BC27" s="209"/>
      <c r="BD27" s="82" t="s">
        <v>14</v>
      </c>
      <c r="BE27" s="83" t="s">
        <v>11</v>
      </c>
      <c r="BF27" s="155">
        <v>0</v>
      </c>
      <c r="BG27" s="156">
        <v>0</v>
      </c>
      <c r="BH27" s="157">
        <v>0</v>
      </c>
      <c r="BI27" s="165">
        <v>0</v>
      </c>
      <c r="BJ27" s="5">
        <v>0</v>
      </c>
      <c r="BK27" s="40"/>
      <c r="BL27" s="209"/>
      <c r="BM27" s="82" t="s">
        <v>14</v>
      </c>
      <c r="BN27" s="83" t="s">
        <v>11</v>
      </c>
      <c r="BO27" s="176">
        <v>0</v>
      </c>
      <c r="BP27" s="177">
        <v>0</v>
      </c>
      <c r="BQ27" s="178">
        <v>0</v>
      </c>
      <c r="BR27" s="179">
        <f t="shared" si="35"/>
        <v>0</v>
      </c>
      <c r="BS27" s="180">
        <v>0</v>
      </c>
      <c r="BT27" s="40"/>
      <c r="BU27" s="209"/>
      <c r="BV27" s="82" t="s">
        <v>14</v>
      </c>
      <c r="BW27" s="83" t="s">
        <v>11</v>
      </c>
      <c r="BX27" s="1">
        <v>0</v>
      </c>
      <c r="BY27" s="2">
        <v>0</v>
      </c>
      <c r="BZ27" s="3">
        <v>0</v>
      </c>
      <c r="CA27" s="4">
        <f>SUM(BX27:BZ27)</f>
        <v>0</v>
      </c>
      <c r="CB27" s="5">
        <v>0</v>
      </c>
      <c r="CC27" s="40"/>
      <c r="CD27" s="209"/>
      <c r="CE27" s="82" t="s">
        <v>14</v>
      </c>
      <c r="CF27" s="83" t="s">
        <v>11</v>
      </c>
      <c r="CG27" s="176">
        <v>0</v>
      </c>
      <c r="CH27" s="177">
        <v>0</v>
      </c>
      <c r="CI27" s="178">
        <v>8</v>
      </c>
      <c r="CJ27" s="179">
        <f t="shared" si="36"/>
        <v>8</v>
      </c>
      <c r="CK27" s="180">
        <v>0</v>
      </c>
      <c r="CL27" s="40"/>
      <c r="CM27" s="209"/>
      <c r="CN27" s="82" t="s">
        <v>14</v>
      </c>
      <c r="CO27" s="83" t="s">
        <v>11</v>
      </c>
      <c r="CP27" s="1">
        <v>0</v>
      </c>
      <c r="CQ27" s="2">
        <v>0</v>
      </c>
      <c r="CR27" s="3">
        <v>0</v>
      </c>
      <c r="CS27" s="4">
        <f>SUM(CP27:CR27)</f>
        <v>0</v>
      </c>
      <c r="CT27" s="5">
        <v>0</v>
      </c>
      <c r="CU27" s="40"/>
      <c r="CV27" s="209"/>
      <c r="CW27" s="82" t="s">
        <v>14</v>
      </c>
      <c r="CX27" s="83" t="s">
        <v>11</v>
      </c>
      <c r="CY27" s="1">
        <v>0</v>
      </c>
      <c r="CZ27" s="2">
        <v>0</v>
      </c>
      <c r="DA27" s="3">
        <v>0</v>
      </c>
      <c r="DB27" s="4">
        <f>SUM(CY27:DA27)</f>
        <v>0</v>
      </c>
      <c r="DC27" s="5">
        <v>0</v>
      </c>
      <c r="DD27" s="40"/>
      <c r="DE27" s="209"/>
      <c r="DF27" s="18" t="s">
        <v>14</v>
      </c>
      <c r="DG27" s="29" t="s">
        <v>11</v>
      </c>
      <c r="DH27" s="1">
        <f t="shared" si="38"/>
        <v>0</v>
      </c>
      <c r="DI27" s="2">
        <f t="shared" si="39"/>
        <v>0</v>
      </c>
      <c r="DJ27" s="20">
        <f t="shared" si="40"/>
        <v>8</v>
      </c>
      <c r="DK27" s="4">
        <f>SUM(DH27:DJ27)</f>
        <v>8</v>
      </c>
      <c r="DL27" s="5">
        <f>H27+Q27+Z27+AI27+AR27+BA27+BJ27+BS27+CB27+CK27+CT27+DC27</f>
        <v>0</v>
      </c>
      <c r="DM27" s="17"/>
    </row>
    <row r="28" spans="1:117" ht="17.100000000000001" customHeight="1" thickTop="1" thickBot="1" x14ac:dyDescent="0.3">
      <c r="A28" s="209"/>
      <c r="B28" s="84" t="s">
        <v>12</v>
      </c>
      <c r="C28" s="85" t="s">
        <v>13</v>
      </c>
      <c r="D28" s="6">
        <v>0</v>
      </c>
      <c r="E28" s="7">
        <v>0</v>
      </c>
      <c r="F28" s="8">
        <v>0</v>
      </c>
      <c r="G28" s="9">
        <f>SUM(D28:F28)</f>
        <v>0</v>
      </c>
      <c r="H28" s="10">
        <v>0</v>
      </c>
      <c r="I28" s="40"/>
      <c r="J28" s="209"/>
      <c r="K28" s="84" t="s">
        <v>12</v>
      </c>
      <c r="L28" s="85" t="s">
        <v>13</v>
      </c>
      <c r="M28" s="6">
        <v>0</v>
      </c>
      <c r="N28" s="7">
        <v>0</v>
      </c>
      <c r="O28" s="8">
        <v>0</v>
      </c>
      <c r="P28" s="9">
        <f>SUM(M28:O28)</f>
        <v>0</v>
      </c>
      <c r="Q28" s="10">
        <v>0</v>
      </c>
      <c r="R28" s="40"/>
      <c r="S28" s="209"/>
      <c r="T28" s="84" t="s">
        <v>12</v>
      </c>
      <c r="U28" s="85" t="s">
        <v>13</v>
      </c>
      <c r="V28" s="161">
        <v>0</v>
      </c>
      <c r="W28" s="162">
        <v>0</v>
      </c>
      <c r="X28" s="163">
        <v>0</v>
      </c>
      <c r="Y28" s="9">
        <f>SUM(V28:X28)</f>
        <v>0</v>
      </c>
      <c r="Z28" s="10">
        <v>0</v>
      </c>
      <c r="AA28" s="40"/>
      <c r="AB28" s="209"/>
      <c r="AC28" s="84" t="s">
        <v>12</v>
      </c>
      <c r="AD28" s="85" t="s">
        <v>13</v>
      </c>
      <c r="AE28" s="161">
        <v>0</v>
      </c>
      <c r="AF28" s="162">
        <v>0</v>
      </c>
      <c r="AG28" s="163">
        <v>0</v>
      </c>
      <c r="AH28" s="9">
        <f>SUM(AE28:AG28)</f>
        <v>0</v>
      </c>
      <c r="AI28" s="10">
        <v>0</v>
      </c>
      <c r="AJ28" s="40"/>
      <c r="AK28" s="209"/>
      <c r="AL28" s="84" t="s">
        <v>12</v>
      </c>
      <c r="AM28" s="85" t="s">
        <v>13</v>
      </c>
      <c r="AN28" s="6">
        <v>0</v>
      </c>
      <c r="AO28" s="7">
        <v>0</v>
      </c>
      <c r="AP28" s="8">
        <v>0</v>
      </c>
      <c r="AQ28" s="9">
        <f>SUM(AN28:AP28)</f>
        <v>0</v>
      </c>
      <c r="AR28" s="10">
        <v>0</v>
      </c>
      <c r="AS28" s="40"/>
      <c r="AT28" s="209"/>
      <c r="AU28" s="84" t="s">
        <v>12</v>
      </c>
      <c r="AV28" s="85" t="s">
        <v>13</v>
      </c>
      <c r="AW28" s="6">
        <v>0</v>
      </c>
      <c r="AX28" s="7">
        <v>0</v>
      </c>
      <c r="AY28" s="8">
        <v>0</v>
      </c>
      <c r="AZ28" s="9">
        <f>SUM(AW28:AY28)</f>
        <v>0</v>
      </c>
      <c r="BA28" s="10">
        <v>0</v>
      </c>
      <c r="BB28" s="40"/>
      <c r="BC28" s="209"/>
      <c r="BD28" s="84" t="s">
        <v>12</v>
      </c>
      <c r="BE28" s="85" t="s">
        <v>13</v>
      </c>
      <c r="BF28" s="161">
        <v>0</v>
      </c>
      <c r="BG28" s="162">
        <v>0</v>
      </c>
      <c r="BH28" s="163">
        <v>0</v>
      </c>
      <c r="BI28" s="166">
        <v>0</v>
      </c>
      <c r="BJ28" s="10">
        <v>0</v>
      </c>
      <c r="BK28" s="40"/>
      <c r="BL28" s="209"/>
      <c r="BM28" s="84" t="s">
        <v>12</v>
      </c>
      <c r="BN28" s="85" t="s">
        <v>13</v>
      </c>
      <c r="BO28" s="181">
        <v>0</v>
      </c>
      <c r="BP28" s="182">
        <v>0</v>
      </c>
      <c r="BQ28" s="183">
        <v>0</v>
      </c>
      <c r="BR28" s="184">
        <f t="shared" si="35"/>
        <v>0</v>
      </c>
      <c r="BS28" s="185">
        <v>0</v>
      </c>
      <c r="BT28" s="40"/>
      <c r="BU28" s="209"/>
      <c r="BV28" s="84" t="s">
        <v>12</v>
      </c>
      <c r="BW28" s="85" t="s">
        <v>13</v>
      </c>
      <c r="BX28" s="6">
        <v>0</v>
      </c>
      <c r="BY28" s="7">
        <v>0</v>
      </c>
      <c r="BZ28" s="8">
        <v>0</v>
      </c>
      <c r="CA28" s="9">
        <f>SUM(BX28:BZ28)</f>
        <v>0</v>
      </c>
      <c r="CB28" s="10">
        <v>0</v>
      </c>
      <c r="CC28" s="40"/>
      <c r="CD28" s="209"/>
      <c r="CE28" s="84" t="s">
        <v>12</v>
      </c>
      <c r="CF28" s="85" t="s">
        <v>13</v>
      </c>
      <c r="CG28" s="181">
        <v>0</v>
      </c>
      <c r="CH28" s="182">
        <v>0</v>
      </c>
      <c r="CI28" s="183">
        <v>2</v>
      </c>
      <c r="CJ28" s="184">
        <f t="shared" si="36"/>
        <v>2</v>
      </c>
      <c r="CK28" s="185">
        <v>0</v>
      </c>
      <c r="CL28" s="40"/>
      <c r="CM28" s="209"/>
      <c r="CN28" s="84" t="s">
        <v>12</v>
      </c>
      <c r="CO28" s="85" t="s">
        <v>13</v>
      </c>
      <c r="CP28" s="6">
        <v>0</v>
      </c>
      <c r="CQ28" s="7">
        <v>0</v>
      </c>
      <c r="CR28" s="8">
        <v>0</v>
      </c>
      <c r="CS28" s="9">
        <f>SUM(CP28:CR28)</f>
        <v>0</v>
      </c>
      <c r="CT28" s="10">
        <v>0</v>
      </c>
      <c r="CU28" s="40"/>
      <c r="CV28" s="209"/>
      <c r="CW28" s="84" t="s">
        <v>12</v>
      </c>
      <c r="CX28" s="85" t="s">
        <v>13</v>
      </c>
      <c r="CY28" s="6">
        <v>0</v>
      </c>
      <c r="CZ28" s="7">
        <v>0</v>
      </c>
      <c r="DA28" s="8">
        <v>0</v>
      </c>
      <c r="DB28" s="9">
        <f>SUM(CY28:DA28)</f>
        <v>0</v>
      </c>
      <c r="DC28" s="10">
        <v>0</v>
      </c>
      <c r="DD28" s="40"/>
      <c r="DE28" s="209"/>
      <c r="DF28" s="19" t="s">
        <v>12</v>
      </c>
      <c r="DG28" s="30" t="s">
        <v>13</v>
      </c>
      <c r="DH28" s="6">
        <f t="shared" si="38"/>
        <v>0</v>
      </c>
      <c r="DI28" s="7">
        <f t="shared" si="39"/>
        <v>0</v>
      </c>
      <c r="DJ28" s="21">
        <f t="shared" si="40"/>
        <v>2</v>
      </c>
      <c r="DK28" s="9">
        <f>SUM(DH28:DJ28)</f>
        <v>2</v>
      </c>
      <c r="DL28" s="10">
        <f>H28+Q28+Z28+AI28+AR28+BA28+BJ28+BS28+CB28+CK28+CT28+DC28</f>
        <v>0</v>
      </c>
      <c r="DM28" s="17"/>
    </row>
    <row r="29" spans="1:117" ht="17.100000000000001" customHeight="1" thickBot="1" x14ac:dyDescent="0.3">
      <c r="A29" s="210"/>
      <c r="B29" s="211" t="s">
        <v>3</v>
      </c>
      <c r="C29" s="212"/>
      <c r="D29" s="11">
        <f>SUM(D25:D28)</f>
        <v>0</v>
      </c>
      <c r="E29" s="12">
        <f>SUM(E25:E28)</f>
        <v>0</v>
      </c>
      <c r="F29" s="13">
        <f>SUM(F25:F28)</f>
        <v>0</v>
      </c>
      <c r="G29" s="14">
        <f>SUM(G25:G28)</f>
        <v>0</v>
      </c>
      <c r="H29" s="15">
        <f>SUM(H25:H28)</f>
        <v>0</v>
      </c>
      <c r="I29" s="40"/>
      <c r="J29" s="210"/>
      <c r="K29" s="211" t="s">
        <v>3</v>
      </c>
      <c r="L29" s="212"/>
      <c r="M29" s="11">
        <f>SUM(M25:M28)</f>
        <v>0</v>
      </c>
      <c r="N29" s="12">
        <f>SUM(N25:N28)</f>
        <v>0</v>
      </c>
      <c r="O29" s="13">
        <f>SUM(O25:O28)</f>
        <v>0</v>
      </c>
      <c r="P29" s="14">
        <f>SUM(P25:P28)</f>
        <v>0</v>
      </c>
      <c r="Q29" s="15">
        <f>SUM(Q25:Q28)</f>
        <v>0</v>
      </c>
      <c r="R29" s="40"/>
      <c r="S29" s="210"/>
      <c r="T29" s="211" t="s">
        <v>3</v>
      </c>
      <c r="U29" s="212"/>
      <c r="V29" s="155">
        <v>0</v>
      </c>
      <c r="W29" s="156">
        <v>0</v>
      </c>
      <c r="X29" s="157">
        <v>0</v>
      </c>
      <c r="Y29" s="14">
        <f>SUM(Y25:Y28)</f>
        <v>0</v>
      </c>
      <c r="Z29" s="15">
        <f>SUM(Z25:Z28)</f>
        <v>0</v>
      </c>
      <c r="AA29" s="40"/>
      <c r="AB29" s="210"/>
      <c r="AC29" s="211" t="s">
        <v>3</v>
      </c>
      <c r="AD29" s="212"/>
      <c r="AE29" s="155">
        <v>0</v>
      </c>
      <c r="AF29" s="156">
        <v>0</v>
      </c>
      <c r="AG29" s="157">
        <v>0</v>
      </c>
      <c r="AH29" s="14">
        <f>SUM(AH25:AH28)</f>
        <v>0</v>
      </c>
      <c r="AI29" s="15">
        <f>SUM(AI25:AI28)</f>
        <v>0</v>
      </c>
      <c r="AJ29" s="40"/>
      <c r="AK29" s="210"/>
      <c r="AL29" s="211" t="s">
        <v>3</v>
      </c>
      <c r="AM29" s="212"/>
      <c r="AN29" s="11">
        <f>SUM(AN25:AN28)</f>
        <v>0</v>
      </c>
      <c r="AO29" s="12">
        <f>SUM(AO25:AO28)</f>
        <v>0</v>
      </c>
      <c r="AP29" s="13">
        <f>SUM(AP25:AP28)</f>
        <v>0</v>
      </c>
      <c r="AQ29" s="14">
        <f>SUM(AQ25:AQ28)</f>
        <v>0</v>
      </c>
      <c r="AR29" s="15">
        <f>SUM(AR25:AR28)</f>
        <v>0</v>
      </c>
      <c r="AS29" s="40"/>
      <c r="AT29" s="210"/>
      <c r="AU29" s="211" t="s">
        <v>3</v>
      </c>
      <c r="AV29" s="212"/>
      <c r="AW29" s="11">
        <f>SUM(AW25:AW28)</f>
        <v>0</v>
      </c>
      <c r="AX29" s="12">
        <f>SUM(AX25:AX28)</f>
        <v>0</v>
      </c>
      <c r="AY29" s="13">
        <f>SUM(AY25:AY28)</f>
        <v>0</v>
      </c>
      <c r="AZ29" s="14">
        <f>SUM(AZ25:AZ28)</f>
        <v>0</v>
      </c>
      <c r="BA29" s="15">
        <f>SUM(BA25:BA28)</f>
        <v>0</v>
      </c>
      <c r="BB29" s="40"/>
      <c r="BC29" s="210"/>
      <c r="BD29" s="211" t="s">
        <v>3</v>
      </c>
      <c r="BE29" s="212"/>
      <c r="BF29" s="155">
        <v>0</v>
      </c>
      <c r="BG29" s="156">
        <v>0</v>
      </c>
      <c r="BH29" s="157">
        <v>0</v>
      </c>
      <c r="BI29" s="165">
        <v>0</v>
      </c>
      <c r="BJ29" s="15">
        <f>SUM(BJ25:BJ28)</f>
        <v>0</v>
      </c>
      <c r="BK29" s="40"/>
      <c r="BL29" s="210"/>
      <c r="BM29" s="211" t="s">
        <v>3</v>
      </c>
      <c r="BN29" s="212"/>
      <c r="BO29" s="186">
        <f t="shared" ref="BO29:BS29" si="41">SUM(BO25:BO28)</f>
        <v>0</v>
      </c>
      <c r="BP29" s="187">
        <f t="shared" si="41"/>
        <v>0</v>
      </c>
      <c r="BQ29" s="188">
        <f t="shared" si="41"/>
        <v>0</v>
      </c>
      <c r="BR29" s="189">
        <f t="shared" si="41"/>
        <v>0</v>
      </c>
      <c r="BS29" s="190">
        <f t="shared" si="41"/>
        <v>0</v>
      </c>
      <c r="BT29" s="40"/>
      <c r="BU29" s="210"/>
      <c r="BV29" s="211" t="s">
        <v>3</v>
      </c>
      <c r="BW29" s="212"/>
      <c r="BX29" s="11">
        <f>SUM(BX25:BX28)</f>
        <v>0</v>
      </c>
      <c r="BY29" s="12">
        <f>SUM(BY25:BY28)</f>
        <v>0</v>
      </c>
      <c r="BZ29" s="13">
        <f>SUM(BZ25:BZ28)</f>
        <v>0</v>
      </c>
      <c r="CA29" s="14">
        <f>SUM(CA25:CA28)</f>
        <v>0</v>
      </c>
      <c r="CB29" s="15">
        <f>SUM(CB25:CB28)</f>
        <v>0</v>
      </c>
      <c r="CC29" s="40"/>
      <c r="CD29" s="210"/>
      <c r="CE29" s="211" t="s">
        <v>3</v>
      </c>
      <c r="CF29" s="212"/>
      <c r="CG29" s="186">
        <f t="shared" ref="CG29:CK29" si="42">SUM(CG25:CG28)</f>
        <v>0</v>
      </c>
      <c r="CH29" s="187">
        <f t="shared" si="42"/>
        <v>0</v>
      </c>
      <c r="CI29" s="188">
        <f t="shared" si="42"/>
        <v>302</v>
      </c>
      <c r="CJ29" s="189">
        <f t="shared" si="42"/>
        <v>302</v>
      </c>
      <c r="CK29" s="190">
        <f t="shared" si="42"/>
        <v>0</v>
      </c>
      <c r="CL29" s="40"/>
      <c r="CM29" s="210"/>
      <c r="CN29" s="211" t="s">
        <v>3</v>
      </c>
      <c r="CO29" s="212"/>
      <c r="CP29" s="11">
        <f>SUM(CP25:CP28)</f>
        <v>0</v>
      </c>
      <c r="CQ29" s="12">
        <f>SUM(CQ25:CQ28)</f>
        <v>0</v>
      </c>
      <c r="CR29" s="13">
        <f>SUM(CR25:CR28)</f>
        <v>0</v>
      </c>
      <c r="CS29" s="14">
        <f>SUM(CS25:CS28)</f>
        <v>0</v>
      </c>
      <c r="CT29" s="15">
        <f>SUM(CT25:CT28)</f>
        <v>0</v>
      </c>
      <c r="CU29" s="40"/>
      <c r="CV29" s="210"/>
      <c r="CW29" s="211" t="s">
        <v>3</v>
      </c>
      <c r="CX29" s="212"/>
      <c r="CY29" s="11">
        <f>SUM(CY25:CY28)</f>
        <v>0</v>
      </c>
      <c r="CZ29" s="12">
        <f>SUM(CZ25:CZ28)</f>
        <v>0</v>
      </c>
      <c r="DA29" s="13">
        <f>SUM(DA25:DA28)</f>
        <v>0</v>
      </c>
      <c r="DB29" s="14">
        <f>SUM(DB25:DB28)</f>
        <v>0</v>
      </c>
      <c r="DC29" s="15">
        <f>SUM(DC25:DC28)</f>
        <v>0</v>
      </c>
      <c r="DD29" s="40"/>
      <c r="DE29" s="210"/>
      <c r="DF29" s="238" t="s">
        <v>3</v>
      </c>
      <c r="DG29" s="239"/>
      <c r="DH29" s="22">
        <f>SUM(DH25:DH28)</f>
        <v>0</v>
      </c>
      <c r="DI29" s="23">
        <f>SUM(DI25:DI28)</f>
        <v>20</v>
      </c>
      <c r="DJ29" s="24">
        <f>SUM(DJ25:DJ28)</f>
        <v>768</v>
      </c>
      <c r="DK29" s="25">
        <f>SUM(DK25:DK28)</f>
        <v>788</v>
      </c>
      <c r="DL29" s="26">
        <f>SUM(DL25:DL28)</f>
        <v>0</v>
      </c>
      <c r="DM29" s="17"/>
    </row>
    <row r="30" spans="1:117" ht="17.100000000000001" customHeight="1" thickTop="1" thickBot="1" x14ac:dyDescent="0.3">
      <c r="A30" s="208" t="s">
        <v>24</v>
      </c>
      <c r="B30" s="219" t="s">
        <v>12</v>
      </c>
      <c r="C30" s="80" t="s">
        <v>11</v>
      </c>
      <c r="D30" s="152">
        <v>0</v>
      </c>
      <c r="E30" s="153">
        <v>10</v>
      </c>
      <c r="F30" s="154">
        <v>368</v>
      </c>
      <c r="G30" s="4">
        <f>SUM(D30:F30)</f>
        <v>378</v>
      </c>
      <c r="H30" s="5">
        <v>0</v>
      </c>
      <c r="I30" s="40"/>
      <c r="J30" s="208" t="s">
        <v>24</v>
      </c>
      <c r="K30" s="219" t="s">
        <v>12</v>
      </c>
      <c r="L30" s="80" t="s">
        <v>11</v>
      </c>
      <c r="M30" s="152">
        <v>0</v>
      </c>
      <c r="N30" s="153">
        <v>24</v>
      </c>
      <c r="O30" s="154">
        <v>358</v>
      </c>
      <c r="P30" s="4">
        <f>SUM(M30:O30)</f>
        <v>382</v>
      </c>
      <c r="Q30" s="5">
        <v>0</v>
      </c>
      <c r="R30" s="40"/>
      <c r="S30" s="208" t="s">
        <v>24</v>
      </c>
      <c r="T30" s="219" t="s">
        <v>12</v>
      </c>
      <c r="U30" s="80" t="s">
        <v>11</v>
      </c>
      <c r="V30" s="168">
        <v>0</v>
      </c>
      <c r="W30" s="169">
        <v>0</v>
      </c>
      <c r="X30" s="165">
        <v>0</v>
      </c>
      <c r="Y30" s="4">
        <f>SUM(V30:X30)</f>
        <v>0</v>
      </c>
      <c r="Z30" s="5">
        <v>0</v>
      </c>
      <c r="AA30" s="40"/>
      <c r="AB30" s="208" t="s">
        <v>24</v>
      </c>
      <c r="AC30" s="219" t="s">
        <v>12</v>
      </c>
      <c r="AD30" s="80" t="s">
        <v>11</v>
      </c>
      <c r="AE30" s="168">
        <v>0</v>
      </c>
      <c r="AF30" s="169">
        <v>0</v>
      </c>
      <c r="AG30" s="165">
        <v>0</v>
      </c>
      <c r="AH30" s="4">
        <f>SUM(AE30:AG30)</f>
        <v>0</v>
      </c>
      <c r="AI30" s="5">
        <v>0</v>
      </c>
      <c r="AJ30" s="40"/>
      <c r="AK30" s="208" t="s">
        <v>24</v>
      </c>
      <c r="AL30" s="219" t="s">
        <v>12</v>
      </c>
      <c r="AM30" s="80" t="s">
        <v>11</v>
      </c>
      <c r="AN30" s="1">
        <v>0</v>
      </c>
      <c r="AO30" s="2">
        <v>9</v>
      </c>
      <c r="AP30" s="3">
        <v>261</v>
      </c>
      <c r="AQ30" s="4">
        <f>SUM(AN30:AP30)</f>
        <v>270</v>
      </c>
      <c r="AR30" s="5">
        <v>0</v>
      </c>
      <c r="AS30" s="40"/>
      <c r="AT30" s="208" t="s">
        <v>24</v>
      </c>
      <c r="AU30" s="219" t="s">
        <v>12</v>
      </c>
      <c r="AV30" s="80" t="s">
        <v>11</v>
      </c>
      <c r="AW30" s="1">
        <v>0</v>
      </c>
      <c r="AX30" s="2">
        <v>0</v>
      </c>
      <c r="AY30" s="3">
        <v>320</v>
      </c>
      <c r="AZ30" s="4">
        <f>SUM(AW30:AY30)</f>
        <v>320</v>
      </c>
      <c r="BA30" s="5">
        <v>0</v>
      </c>
      <c r="BB30" s="40"/>
      <c r="BC30" s="208" t="s">
        <v>24</v>
      </c>
      <c r="BD30" s="219" t="s">
        <v>12</v>
      </c>
      <c r="BE30" s="80" t="s">
        <v>11</v>
      </c>
      <c r="BF30" s="168">
        <v>0</v>
      </c>
      <c r="BG30" s="169">
        <v>0</v>
      </c>
      <c r="BH30" s="165">
        <v>0</v>
      </c>
      <c r="BI30" s="175">
        <v>0</v>
      </c>
      <c r="BJ30" s="5">
        <v>0</v>
      </c>
      <c r="BK30" s="40"/>
      <c r="BL30" s="208" t="s">
        <v>24</v>
      </c>
      <c r="BM30" s="219" t="s">
        <v>12</v>
      </c>
      <c r="BN30" s="80" t="s">
        <v>11</v>
      </c>
      <c r="BO30" s="176">
        <v>0</v>
      </c>
      <c r="BP30" s="177">
        <v>8</v>
      </c>
      <c r="BQ30" s="178">
        <v>232</v>
      </c>
      <c r="BR30" s="179">
        <f t="shared" ref="BR30:BR33" si="43">SUM(BO30:BQ30)</f>
        <v>240</v>
      </c>
      <c r="BS30" s="180">
        <v>0</v>
      </c>
      <c r="BT30" s="40"/>
      <c r="BU30" s="208" t="s">
        <v>24</v>
      </c>
      <c r="BV30" s="219" t="s">
        <v>12</v>
      </c>
      <c r="BW30" s="80" t="s">
        <v>11</v>
      </c>
      <c r="BX30" s="176">
        <v>0</v>
      </c>
      <c r="BY30" s="177">
        <v>9</v>
      </c>
      <c r="BZ30" s="178">
        <v>145</v>
      </c>
      <c r="CA30" s="179">
        <f t="shared" ref="CA30:CA33" si="44">SUM(BX30:BZ30)</f>
        <v>154</v>
      </c>
      <c r="CB30" s="180">
        <v>0</v>
      </c>
      <c r="CC30" s="40"/>
      <c r="CD30" s="208" t="s">
        <v>24</v>
      </c>
      <c r="CE30" s="219" t="s">
        <v>12</v>
      </c>
      <c r="CF30" s="80" t="s">
        <v>11</v>
      </c>
      <c r="CG30" s="176">
        <v>0</v>
      </c>
      <c r="CH30" s="177">
        <v>6</v>
      </c>
      <c r="CI30" s="178">
        <v>156</v>
      </c>
      <c r="CJ30" s="179">
        <f t="shared" ref="CJ30:CJ33" si="45">SUM(CG30:CI30)</f>
        <v>162</v>
      </c>
      <c r="CK30" s="180">
        <v>0</v>
      </c>
      <c r="CL30" s="40"/>
      <c r="CM30" s="208" t="s">
        <v>24</v>
      </c>
      <c r="CN30" s="219" t="s">
        <v>12</v>
      </c>
      <c r="CO30" s="80" t="s">
        <v>11</v>
      </c>
      <c r="CP30" s="1">
        <v>0</v>
      </c>
      <c r="CQ30" s="2">
        <v>0</v>
      </c>
      <c r="CR30" s="3">
        <v>0</v>
      </c>
      <c r="CS30" s="4">
        <f>SUM(CP30:CR30)</f>
        <v>0</v>
      </c>
      <c r="CT30" s="5">
        <v>0</v>
      </c>
      <c r="CU30" s="40"/>
      <c r="CV30" s="208" t="s">
        <v>24</v>
      </c>
      <c r="CW30" s="219" t="s">
        <v>12</v>
      </c>
      <c r="CX30" s="80" t="s">
        <v>11</v>
      </c>
      <c r="CY30" s="1">
        <v>0</v>
      </c>
      <c r="CZ30" s="2">
        <v>0</v>
      </c>
      <c r="DA30" s="3">
        <v>0</v>
      </c>
      <c r="DB30" s="4">
        <f>SUM(CY30:DA30)</f>
        <v>0</v>
      </c>
      <c r="DC30" s="5">
        <v>0</v>
      </c>
      <c r="DD30" s="40"/>
      <c r="DE30" s="208" t="str">
        <f t="shared" ref="DE30" si="46">CV30</f>
        <v>قويزة</v>
      </c>
      <c r="DF30" s="18"/>
      <c r="DG30" s="27" t="s">
        <v>11</v>
      </c>
      <c r="DH30" s="1">
        <f t="shared" ref="DH30:DH33" si="47">D30+M30+V30+AE30+AN30+AW30+BF30+BO30+BX30+CG30+CP30+CY30</f>
        <v>0</v>
      </c>
      <c r="DI30" s="2">
        <f t="shared" ref="DI30:DI33" si="48">E30+N30+W30+AF30+AO30+AX30+BG30+BP30+BY30+CH30+CQ30+CZ30</f>
        <v>66</v>
      </c>
      <c r="DJ30" s="20">
        <f t="shared" ref="DJ30:DJ33" si="49">F30+O30+X30+AG30+AP30+AY30+BH30+BQ30+BZ30+CI30+CR30+DA30</f>
        <v>1840</v>
      </c>
      <c r="DK30" s="4">
        <f>SUM(DH30:DJ30)</f>
        <v>1906</v>
      </c>
      <c r="DL30" s="5">
        <f>H30+Q30+Z30+AI30+AR30+BA30+BJ30+BS30+CB30+CK30+CT30+DC30</f>
        <v>0</v>
      </c>
      <c r="DM30" s="17"/>
    </row>
    <row r="31" spans="1:117" ht="17.100000000000001" customHeight="1" thickBot="1" x14ac:dyDescent="0.3">
      <c r="A31" s="209"/>
      <c r="B31" s="220"/>
      <c r="C31" s="81" t="s">
        <v>13</v>
      </c>
      <c r="D31" s="155">
        <v>0</v>
      </c>
      <c r="E31" s="156">
        <v>6</v>
      </c>
      <c r="F31" s="157">
        <v>362</v>
      </c>
      <c r="G31" s="9">
        <f>SUM(D31:F31)</f>
        <v>368</v>
      </c>
      <c r="H31" s="10">
        <v>0</v>
      </c>
      <c r="I31" s="40"/>
      <c r="J31" s="209"/>
      <c r="K31" s="220"/>
      <c r="L31" s="81" t="s">
        <v>13</v>
      </c>
      <c r="M31" s="155">
        <v>0</v>
      </c>
      <c r="N31" s="156">
        <v>20</v>
      </c>
      <c r="O31" s="157">
        <v>352</v>
      </c>
      <c r="P31" s="9">
        <f>SUM(M31:O31)</f>
        <v>372</v>
      </c>
      <c r="Q31" s="10">
        <v>0</v>
      </c>
      <c r="R31" s="40"/>
      <c r="S31" s="209"/>
      <c r="T31" s="220"/>
      <c r="U31" s="81" t="s">
        <v>13</v>
      </c>
      <c r="V31" s="161">
        <v>0</v>
      </c>
      <c r="W31" s="162">
        <v>15</v>
      </c>
      <c r="X31" s="163">
        <v>245</v>
      </c>
      <c r="Y31" s="9">
        <f>SUM(V31:X31)</f>
        <v>260</v>
      </c>
      <c r="Z31" s="10">
        <v>0</v>
      </c>
      <c r="AA31" s="40"/>
      <c r="AB31" s="209"/>
      <c r="AC31" s="220"/>
      <c r="AD31" s="81" t="s">
        <v>13</v>
      </c>
      <c r="AE31" s="161">
        <v>0</v>
      </c>
      <c r="AF31" s="162">
        <v>32</v>
      </c>
      <c r="AG31" s="163">
        <v>379</v>
      </c>
      <c r="AH31" s="9">
        <f>SUM(AE31:AG31)</f>
        <v>411</v>
      </c>
      <c r="AI31" s="10">
        <v>0</v>
      </c>
      <c r="AJ31" s="40"/>
      <c r="AK31" s="209"/>
      <c r="AL31" s="220"/>
      <c r="AM31" s="81" t="s">
        <v>13</v>
      </c>
      <c r="AN31" s="6">
        <v>0</v>
      </c>
      <c r="AO31" s="7">
        <v>0</v>
      </c>
      <c r="AP31" s="8">
        <v>330</v>
      </c>
      <c r="AQ31" s="9">
        <f>SUM(AN31:AP31)</f>
        <v>330</v>
      </c>
      <c r="AR31" s="10">
        <v>0</v>
      </c>
      <c r="AS31" s="40"/>
      <c r="AT31" s="209"/>
      <c r="AU31" s="220"/>
      <c r="AV31" s="81" t="s">
        <v>13</v>
      </c>
      <c r="AW31" s="6">
        <v>0</v>
      </c>
      <c r="AX31" s="7">
        <v>0</v>
      </c>
      <c r="AY31" s="8">
        <v>295</v>
      </c>
      <c r="AZ31" s="9">
        <f>SUM(AW31:AY31)</f>
        <v>295</v>
      </c>
      <c r="BA31" s="10">
        <v>0</v>
      </c>
      <c r="BB31" s="40"/>
      <c r="BC31" s="209"/>
      <c r="BD31" s="220"/>
      <c r="BE31" s="81" t="s">
        <v>13</v>
      </c>
      <c r="BF31" s="161">
        <v>0</v>
      </c>
      <c r="BG31" s="162">
        <v>30</v>
      </c>
      <c r="BH31" s="163">
        <v>369</v>
      </c>
      <c r="BI31" s="166">
        <v>399</v>
      </c>
      <c r="BJ31" s="10">
        <v>0</v>
      </c>
      <c r="BK31" s="40"/>
      <c r="BL31" s="209"/>
      <c r="BM31" s="220"/>
      <c r="BN31" s="81" t="s">
        <v>13</v>
      </c>
      <c r="BO31" s="181">
        <v>0</v>
      </c>
      <c r="BP31" s="182">
        <v>9</v>
      </c>
      <c r="BQ31" s="183">
        <v>199</v>
      </c>
      <c r="BR31" s="184">
        <f t="shared" si="43"/>
        <v>208</v>
      </c>
      <c r="BS31" s="185">
        <v>0</v>
      </c>
      <c r="BT31" s="40"/>
      <c r="BU31" s="209"/>
      <c r="BV31" s="220"/>
      <c r="BW31" s="81" t="s">
        <v>13</v>
      </c>
      <c r="BX31" s="181">
        <v>0</v>
      </c>
      <c r="BY31" s="182">
        <v>8</v>
      </c>
      <c r="BZ31" s="183">
        <v>162</v>
      </c>
      <c r="CA31" s="184">
        <f t="shared" si="44"/>
        <v>170</v>
      </c>
      <c r="CB31" s="185">
        <v>0</v>
      </c>
      <c r="CC31" s="40"/>
      <c r="CD31" s="209"/>
      <c r="CE31" s="220"/>
      <c r="CF31" s="81" t="s">
        <v>13</v>
      </c>
      <c r="CG31" s="181">
        <v>0</v>
      </c>
      <c r="CH31" s="182">
        <v>4</v>
      </c>
      <c r="CI31" s="183">
        <v>170</v>
      </c>
      <c r="CJ31" s="184">
        <f t="shared" si="45"/>
        <v>174</v>
      </c>
      <c r="CK31" s="185">
        <v>0</v>
      </c>
      <c r="CL31" s="40"/>
      <c r="CM31" s="209"/>
      <c r="CN31" s="220"/>
      <c r="CO31" s="81" t="s">
        <v>13</v>
      </c>
      <c r="CP31" s="6">
        <v>0</v>
      </c>
      <c r="CQ31" s="7">
        <v>0</v>
      </c>
      <c r="CR31" s="8">
        <v>0</v>
      </c>
      <c r="CS31" s="9">
        <f>SUM(CP31:CR31)</f>
        <v>0</v>
      </c>
      <c r="CT31" s="10">
        <v>0</v>
      </c>
      <c r="CU31" s="40"/>
      <c r="CV31" s="209"/>
      <c r="CW31" s="220"/>
      <c r="CX31" s="81" t="s">
        <v>13</v>
      </c>
      <c r="CY31" s="6">
        <v>0</v>
      </c>
      <c r="CZ31" s="7">
        <v>0</v>
      </c>
      <c r="DA31" s="8">
        <v>0</v>
      </c>
      <c r="DB31" s="9">
        <f>SUM(CY31:DA31)</f>
        <v>0</v>
      </c>
      <c r="DC31" s="10">
        <v>0</v>
      </c>
      <c r="DD31" s="40"/>
      <c r="DE31" s="209"/>
      <c r="DF31" s="19" t="s">
        <v>12</v>
      </c>
      <c r="DG31" s="28" t="s">
        <v>13</v>
      </c>
      <c r="DH31" s="6">
        <f t="shared" si="47"/>
        <v>0</v>
      </c>
      <c r="DI31" s="7">
        <f t="shared" si="48"/>
        <v>124</v>
      </c>
      <c r="DJ31" s="21">
        <f t="shared" si="49"/>
        <v>2863</v>
      </c>
      <c r="DK31" s="9">
        <f>SUM(DH31:DJ31)</f>
        <v>2987</v>
      </c>
      <c r="DL31" s="10">
        <f>H31+Q31+Z31+AI31+AR31+BA31+BJ31+BS31+CB31+CK31+CT31+DC31</f>
        <v>0</v>
      </c>
      <c r="DM31" s="17"/>
    </row>
    <row r="32" spans="1:117" ht="17.100000000000001" customHeight="1" thickBot="1" x14ac:dyDescent="0.3">
      <c r="A32" s="209"/>
      <c r="B32" s="82" t="s">
        <v>14</v>
      </c>
      <c r="C32" s="83" t="s">
        <v>11</v>
      </c>
      <c r="D32" s="161">
        <v>0</v>
      </c>
      <c r="E32" s="162">
        <v>0</v>
      </c>
      <c r="F32" s="163">
        <v>0</v>
      </c>
      <c r="G32" s="4">
        <f>SUM(D32:F32)</f>
        <v>0</v>
      </c>
      <c r="H32" s="5">
        <v>0</v>
      </c>
      <c r="I32" s="40"/>
      <c r="J32" s="209"/>
      <c r="K32" s="82" t="s">
        <v>14</v>
      </c>
      <c r="L32" s="83" t="s">
        <v>11</v>
      </c>
      <c r="M32" s="161">
        <v>0</v>
      </c>
      <c r="N32" s="162">
        <v>0</v>
      </c>
      <c r="O32" s="163">
        <v>0</v>
      </c>
      <c r="P32" s="4">
        <f>SUM(M32:O32)</f>
        <v>0</v>
      </c>
      <c r="Q32" s="5">
        <v>0</v>
      </c>
      <c r="R32" s="40"/>
      <c r="S32" s="209"/>
      <c r="T32" s="82" t="s">
        <v>14</v>
      </c>
      <c r="U32" s="83" t="s">
        <v>11</v>
      </c>
      <c r="V32" s="155">
        <v>0</v>
      </c>
      <c r="W32" s="156">
        <v>13</v>
      </c>
      <c r="X32" s="157">
        <v>212</v>
      </c>
      <c r="Y32" s="4">
        <f>SUM(V32:X32)</f>
        <v>225</v>
      </c>
      <c r="Z32" s="5">
        <v>0</v>
      </c>
      <c r="AA32" s="40"/>
      <c r="AB32" s="209"/>
      <c r="AC32" s="82" t="s">
        <v>14</v>
      </c>
      <c r="AD32" s="83" t="s">
        <v>11</v>
      </c>
      <c r="AE32" s="155">
        <v>0</v>
      </c>
      <c r="AF32" s="156">
        <v>35</v>
      </c>
      <c r="AG32" s="157">
        <v>365</v>
      </c>
      <c r="AH32" s="4">
        <f>SUM(AE32:AG32)</f>
        <v>400</v>
      </c>
      <c r="AI32" s="5">
        <v>0</v>
      </c>
      <c r="AJ32" s="40"/>
      <c r="AK32" s="209"/>
      <c r="AL32" s="82" t="s">
        <v>14</v>
      </c>
      <c r="AM32" s="83" t="s">
        <v>11</v>
      </c>
      <c r="AN32" s="1">
        <v>0</v>
      </c>
      <c r="AO32" s="2">
        <v>0</v>
      </c>
      <c r="AP32" s="3">
        <v>91</v>
      </c>
      <c r="AQ32" s="4">
        <f>SUM(AN32:AP32)</f>
        <v>91</v>
      </c>
      <c r="AR32" s="5">
        <v>0</v>
      </c>
      <c r="AS32" s="40"/>
      <c r="AT32" s="209"/>
      <c r="AU32" s="82" t="s">
        <v>14</v>
      </c>
      <c r="AV32" s="83" t="s">
        <v>11</v>
      </c>
      <c r="AW32" s="1">
        <v>0</v>
      </c>
      <c r="AX32" s="2">
        <v>0</v>
      </c>
      <c r="AY32" s="3">
        <v>85</v>
      </c>
      <c r="AZ32" s="4">
        <f>SUM(AW32:AY32)</f>
        <v>85</v>
      </c>
      <c r="BA32" s="5">
        <v>0</v>
      </c>
      <c r="BB32" s="40"/>
      <c r="BC32" s="209"/>
      <c r="BD32" s="82" t="s">
        <v>14</v>
      </c>
      <c r="BE32" s="83" t="s">
        <v>11</v>
      </c>
      <c r="BF32" s="155">
        <v>0</v>
      </c>
      <c r="BG32" s="156">
        <v>39</v>
      </c>
      <c r="BH32" s="157">
        <v>358</v>
      </c>
      <c r="BI32" s="165">
        <v>397</v>
      </c>
      <c r="BJ32" s="5">
        <v>0</v>
      </c>
      <c r="BK32" s="40"/>
      <c r="BL32" s="209"/>
      <c r="BM32" s="82" t="s">
        <v>14</v>
      </c>
      <c r="BN32" s="83" t="s">
        <v>11</v>
      </c>
      <c r="BO32" s="176">
        <v>0</v>
      </c>
      <c r="BP32" s="177">
        <v>0</v>
      </c>
      <c r="BQ32" s="178">
        <v>0</v>
      </c>
      <c r="BR32" s="179">
        <f t="shared" si="43"/>
        <v>0</v>
      </c>
      <c r="BS32" s="180">
        <v>0</v>
      </c>
      <c r="BT32" s="40"/>
      <c r="BU32" s="209"/>
      <c r="BV32" s="82" t="s">
        <v>14</v>
      </c>
      <c r="BW32" s="83" t="s">
        <v>11</v>
      </c>
      <c r="BX32" s="176">
        <v>0</v>
      </c>
      <c r="BY32" s="177">
        <v>0</v>
      </c>
      <c r="BZ32" s="178">
        <v>5</v>
      </c>
      <c r="CA32" s="179">
        <f t="shared" si="44"/>
        <v>5</v>
      </c>
      <c r="CB32" s="180">
        <v>0</v>
      </c>
      <c r="CC32" s="40"/>
      <c r="CD32" s="209"/>
      <c r="CE32" s="82" t="s">
        <v>14</v>
      </c>
      <c r="CF32" s="83" t="s">
        <v>11</v>
      </c>
      <c r="CG32" s="176">
        <v>0</v>
      </c>
      <c r="CH32" s="177">
        <v>0</v>
      </c>
      <c r="CI32" s="178">
        <v>2</v>
      </c>
      <c r="CJ32" s="179">
        <f t="shared" si="45"/>
        <v>2</v>
      </c>
      <c r="CK32" s="180">
        <v>0</v>
      </c>
      <c r="CL32" s="40"/>
      <c r="CM32" s="209"/>
      <c r="CN32" s="82" t="s">
        <v>14</v>
      </c>
      <c r="CO32" s="83" t="s">
        <v>11</v>
      </c>
      <c r="CP32" s="1">
        <v>0</v>
      </c>
      <c r="CQ32" s="2">
        <v>0</v>
      </c>
      <c r="CR32" s="3">
        <v>0</v>
      </c>
      <c r="CS32" s="4">
        <f>SUM(CP32:CR32)</f>
        <v>0</v>
      </c>
      <c r="CT32" s="5">
        <v>0</v>
      </c>
      <c r="CU32" s="40"/>
      <c r="CV32" s="209"/>
      <c r="CW32" s="82" t="s">
        <v>14</v>
      </c>
      <c r="CX32" s="83" t="s">
        <v>11</v>
      </c>
      <c r="CY32" s="1">
        <v>0</v>
      </c>
      <c r="CZ32" s="2">
        <v>0</v>
      </c>
      <c r="DA32" s="3">
        <v>0</v>
      </c>
      <c r="DB32" s="4">
        <f>SUM(CY32:DA32)</f>
        <v>0</v>
      </c>
      <c r="DC32" s="5">
        <v>0</v>
      </c>
      <c r="DD32" s="40"/>
      <c r="DE32" s="209"/>
      <c r="DF32" s="18" t="s">
        <v>14</v>
      </c>
      <c r="DG32" s="29" t="s">
        <v>11</v>
      </c>
      <c r="DH32" s="1">
        <f t="shared" si="47"/>
        <v>0</v>
      </c>
      <c r="DI32" s="2">
        <f t="shared" si="48"/>
        <v>87</v>
      </c>
      <c r="DJ32" s="20">
        <f t="shared" si="49"/>
        <v>1118</v>
      </c>
      <c r="DK32" s="4">
        <f>SUM(DH32:DJ32)</f>
        <v>1205</v>
      </c>
      <c r="DL32" s="5">
        <f>H32+Q32+Z32+AI32+AR32+BA32+BJ32+BS32+CB32+CK32+CT32+DC32</f>
        <v>0</v>
      </c>
      <c r="DM32" s="17"/>
    </row>
    <row r="33" spans="1:117" ht="17.100000000000001" customHeight="1" thickBot="1" x14ac:dyDescent="0.3">
      <c r="A33" s="209"/>
      <c r="B33" s="84" t="s">
        <v>12</v>
      </c>
      <c r="C33" s="85" t="s">
        <v>13</v>
      </c>
      <c r="D33" s="155">
        <v>0</v>
      </c>
      <c r="E33" s="156">
        <v>0</v>
      </c>
      <c r="F33" s="157">
        <v>0</v>
      </c>
      <c r="G33" s="9">
        <f>SUM(D33:F33)</f>
        <v>0</v>
      </c>
      <c r="H33" s="10">
        <v>0</v>
      </c>
      <c r="I33" s="40"/>
      <c r="J33" s="209"/>
      <c r="K33" s="84" t="s">
        <v>12</v>
      </c>
      <c r="L33" s="85" t="s">
        <v>13</v>
      </c>
      <c r="M33" s="155">
        <v>0</v>
      </c>
      <c r="N33" s="156">
        <v>0</v>
      </c>
      <c r="O33" s="157">
        <v>0</v>
      </c>
      <c r="P33" s="9">
        <f>SUM(M33:O33)</f>
        <v>0</v>
      </c>
      <c r="Q33" s="10">
        <v>0</v>
      </c>
      <c r="R33" s="40"/>
      <c r="S33" s="209"/>
      <c r="T33" s="84" t="s">
        <v>12</v>
      </c>
      <c r="U33" s="85" t="s">
        <v>13</v>
      </c>
      <c r="V33" s="161">
        <v>0</v>
      </c>
      <c r="W33" s="162">
        <v>0</v>
      </c>
      <c r="X33" s="163">
        <v>0</v>
      </c>
      <c r="Y33" s="9">
        <f>SUM(V33:X33)</f>
        <v>0</v>
      </c>
      <c r="Z33" s="10">
        <v>0</v>
      </c>
      <c r="AA33" s="40"/>
      <c r="AB33" s="209"/>
      <c r="AC33" s="84" t="s">
        <v>12</v>
      </c>
      <c r="AD33" s="85" t="s">
        <v>13</v>
      </c>
      <c r="AE33" s="161">
        <v>0</v>
      </c>
      <c r="AF33" s="162">
        <v>0</v>
      </c>
      <c r="AG33" s="163">
        <v>0</v>
      </c>
      <c r="AH33" s="9">
        <f>SUM(AE33:AG33)</f>
        <v>0</v>
      </c>
      <c r="AI33" s="10">
        <v>0</v>
      </c>
      <c r="AJ33" s="40"/>
      <c r="AK33" s="209"/>
      <c r="AL33" s="84" t="s">
        <v>12</v>
      </c>
      <c r="AM33" s="85" t="s">
        <v>13</v>
      </c>
      <c r="AN33" s="6">
        <v>0</v>
      </c>
      <c r="AO33" s="7">
        <v>0</v>
      </c>
      <c r="AP33" s="8">
        <v>80</v>
      </c>
      <c r="AQ33" s="9">
        <f>SUM(AN33:AP33)</f>
        <v>80</v>
      </c>
      <c r="AR33" s="10">
        <v>0</v>
      </c>
      <c r="AS33" s="40"/>
      <c r="AT33" s="209"/>
      <c r="AU33" s="84" t="s">
        <v>12</v>
      </c>
      <c r="AV33" s="85" t="s">
        <v>13</v>
      </c>
      <c r="AW33" s="6">
        <v>0</v>
      </c>
      <c r="AX33" s="7">
        <v>0</v>
      </c>
      <c r="AY33" s="8">
        <v>66</v>
      </c>
      <c r="AZ33" s="9">
        <f>SUM(AW33:AY33)</f>
        <v>66</v>
      </c>
      <c r="BA33" s="10">
        <v>0</v>
      </c>
      <c r="BB33" s="40"/>
      <c r="BC33" s="209"/>
      <c r="BD33" s="84" t="s">
        <v>12</v>
      </c>
      <c r="BE33" s="85" t="s">
        <v>13</v>
      </c>
      <c r="BF33" s="161">
        <v>0</v>
      </c>
      <c r="BG33" s="162">
        <v>0</v>
      </c>
      <c r="BH33" s="163">
        <v>0</v>
      </c>
      <c r="BI33" s="166">
        <v>0</v>
      </c>
      <c r="BJ33" s="10">
        <v>0</v>
      </c>
      <c r="BK33" s="40"/>
      <c r="BL33" s="209"/>
      <c r="BM33" s="84" t="s">
        <v>12</v>
      </c>
      <c r="BN33" s="85" t="s">
        <v>13</v>
      </c>
      <c r="BO33" s="181">
        <v>0</v>
      </c>
      <c r="BP33" s="182">
        <v>0</v>
      </c>
      <c r="BQ33" s="183">
        <v>0</v>
      </c>
      <c r="BR33" s="184">
        <f t="shared" si="43"/>
        <v>0</v>
      </c>
      <c r="BS33" s="185">
        <v>0</v>
      </c>
      <c r="BT33" s="40"/>
      <c r="BU33" s="209"/>
      <c r="BV33" s="84" t="s">
        <v>12</v>
      </c>
      <c r="BW33" s="85" t="s">
        <v>13</v>
      </c>
      <c r="BX33" s="181">
        <v>0</v>
      </c>
      <c r="BY33" s="182">
        <v>0</v>
      </c>
      <c r="BZ33" s="183">
        <v>4</v>
      </c>
      <c r="CA33" s="184">
        <f t="shared" si="44"/>
        <v>4</v>
      </c>
      <c r="CB33" s="185">
        <v>0</v>
      </c>
      <c r="CC33" s="40"/>
      <c r="CD33" s="209"/>
      <c r="CE33" s="84" t="s">
        <v>12</v>
      </c>
      <c r="CF33" s="85" t="s">
        <v>13</v>
      </c>
      <c r="CG33" s="181">
        <v>0</v>
      </c>
      <c r="CH33" s="182">
        <v>0</v>
      </c>
      <c r="CI33" s="183">
        <v>1</v>
      </c>
      <c r="CJ33" s="184">
        <f t="shared" si="45"/>
        <v>1</v>
      </c>
      <c r="CK33" s="185">
        <v>0</v>
      </c>
      <c r="CL33" s="40"/>
      <c r="CM33" s="209"/>
      <c r="CN33" s="84" t="s">
        <v>12</v>
      </c>
      <c r="CO33" s="85" t="s">
        <v>13</v>
      </c>
      <c r="CP33" s="6">
        <v>0</v>
      </c>
      <c r="CQ33" s="7">
        <v>0</v>
      </c>
      <c r="CR33" s="8">
        <v>0</v>
      </c>
      <c r="CS33" s="9">
        <f>SUM(CP33:CR33)</f>
        <v>0</v>
      </c>
      <c r="CT33" s="10">
        <v>0</v>
      </c>
      <c r="CU33" s="40"/>
      <c r="CV33" s="209"/>
      <c r="CW33" s="84" t="s">
        <v>12</v>
      </c>
      <c r="CX33" s="85" t="s">
        <v>13</v>
      </c>
      <c r="CY33" s="6">
        <v>0</v>
      </c>
      <c r="CZ33" s="7">
        <v>0</v>
      </c>
      <c r="DA33" s="8">
        <v>0</v>
      </c>
      <c r="DB33" s="9">
        <f>SUM(CY33:DA33)</f>
        <v>0</v>
      </c>
      <c r="DC33" s="10">
        <v>0</v>
      </c>
      <c r="DD33" s="40"/>
      <c r="DE33" s="209"/>
      <c r="DF33" s="19" t="s">
        <v>12</v>
      </c>
      <c r="DG33" s="30" t="s">
        <v>13</v>
      </c>
      <c r="DH33" s="6">
        <f t="shared" si="47"/>
        <v>0</v>
      </c>
      <c r="DI33" s="7">
        <f t="shared" si="48"/>
        <v>0</v>
      </c>
      <c r="DJ33" s="21">
        <f t="shared" si="49"/>
        <v>151</v>
      </c>
      <c r="DK33" s="9">
        <f>SUM(DH33:DJ33)</f>
        <v>151</v>
      </c>
      <c r="DL33" s="10">
        <f>H33+Q33+Z33+AI33+AR33+BA33+BJ33+BS33+CB33+CK33+CT33+DC33</f>
        <v>0</v>
      </c>
      <c r="DM33" s="17"/>
    </row>
    <row r="34" spans="1:117" ht="17.100000000000001" customHeight="1" thickBot="1" x14ac:dyDescent="0.3">
      <c r="A34" s="210"/>
      <c r="B34" s="211" t="s">
        <v>3</v>
      </c>
      <c r="C34" s="212"/>
      <c r="D34" s="11">
        <f>SUM(D30:D33)</f>
        <v>0</v>
      </c>
      <c r="E34" s="12">
        <f>SUM(E30:E33)</f>
        <v>16</v>
      </c>
      <c r="F34" s="13">
        <f>SUM(F30:F33)</f>
        <v>730</v>
      </c>
      <c r="G34" s="14">
        <f>SUM(G30:G33)</f>
        <v>746</v>
      </c>
      <c r="H34" s="15">
        <f>SUM(H30:H33)</f>
        <v>0</v>
      </c>
      <c r="I34" s="40"/>
      <c r="J34" s="210"/>
      <c r="K34" s="211" t="s">
        <v>3</v>
      </c>
      <c r="L34" s="212"/>
      <c r="M34" s="11">
        <f>SUM(M30:M33)</f>
        <v>0</v>
      </c>
      <c r="N34" s="12">
        <f>SUM(N30:N33)</f>
        <v>44</v>
      </c>
      <c r="O34" s="13">
        <f>SUM(O30:O33)</f>
        <v>710</v>
      </c>
      <c r="P34" s="14">
        <f>SUM(P30:P33)</f>
        <v>754</v>
      </c>
      <c r="Q34" s="15">
        <f>SUM(Q30:Q33)</f>
        <v>0</v>
      </c>
      <c r="R34" s="40"/>
      <c r="S34" s="210"/>
      <c r="T34" s="211" t="s">
        <v>3</v>
      </c>
      <c r="U34" s="212"/>
      <c r="V34" s="155">
        <v>0</v>
      </c>
      <c r="W34" s="156">
        <v>0</v>
      </c>
      <c r="X34" s="157">
        <v>0</v>
      </c>
      <c r="Y34" s="14">
        <f>SUM(Y30:Y33)</f>
        <v>485</v>
      </c>
      <c r="Z34" s="15">
        <f>SUM(Z30:Z33)</f>
        <v>0</v>
      </c>
      <c r="AA34" s="40"/>
      <c r="AB34" s="210"/>
      <c r="AC34" s="211" t="s">
        <v>3</v>
      </c>
      <c r="AD34" s="212"/>
      <c r="AE34" s="155">
        <v>0</v>
      </c>
      <c r="AF34" s="156">
        <v>0</v>
      </c>
      <c r="AG34" s="157">
        <v>0</v>
      </c>
      <c r="AH34" s="14">
        <f>SUM(AH30:AH33)</f>
        <v>811</v>
      </c>
      <c r="AI34" s="15">
        <f>SUM(AI30:AI33)</f>
        <v>0</v>
      </c>
      <c r="AJ34" s="40"/>
      <c r="AK34" s="210"/>
      <c r="AL34" s="211" t="s">
        <v>3</v>
      </c>
      <c r="AM34" s="212"/>
      <c r="AN34" s="11">
        <f>SUM(AN30:AN33)</f>
        <v>0</v>
      </c>
      <c r="AO34" s="12">
        <f>SUM(AO30:AO33)</f>
        <v>9</v>
      </c>
      <c r="AP34" s="13">
        <f>SUM(AP30:AP33)</f>
        <v>762</v>
      </c>
      <c r="AQ34" s="14">
        <f>SUM(AQ30:AQ33)</f>
        <v>771</v>
      </c>
      <c r="AR34" s="15">
        <f>SUM(AR30:AR33)</f>
        <v>0</v>
      </c>
      <c r="AS34" s="40"/>
      <c r="AT34" s="210"/>
      <c r="AU34" s="211" t="s">
        <v>3</v>
      </c>
      <c r="AV34" s="212"/>
      <c r="AW34" s="11">
        <f>SUM(AW30:AW33)</f>
        <v>0</v>
      </c>
      <c r="AX34" s="12">
        <f>SUM(AX30:AX33)</f>
        <v>0</v>
      </c>
      <c r="AY34" s="13">
        <f>SUM(AY30:AY33)</f>
        <v>766</v>
      </c>
      <c r="AZ34" s="14">
        <f>SUM(AZ30:AZ33)</f>
        <v>766</v>
      </c>
      <c r="BA34" s="15">
        <f>SUM(BA30:BA33)</f>
        <v>0</v>
      </c>
      <c r="BB34" s="40"/>
      <c r="BC34" s="210"/>
      <c r="BD34" s="211" t="s">
        <v>3</v>
      </c>
      <c r="BE34" s="212"/>
      <c r="BF34" s="155">
        <v>0</v>
      </c>
      <c r="BG34" s="156">
        <v>0</v>
      </c>
      <c r="BH34" s="157">
        <v>0</v>
      </c>
      <c r="BI34" s="165">
        <v>0</v>
      </c>
      <c r="BJ34" s="15">
        <f>SUM(BJ30:BJ33)</f>
        <v>0</v>
      </c>
      <c r="BK34" s="40"/>
      <c r="BL34" s="210"/>
      <c r="BM34" s="211" t="s">
        <v>3</v>
      </c>
      <c r="BN34" s="212"/>
      <c r="BO34" s="186">
        <f t="shared" ref="BO34:BS34" si="50">SUM(BO30:BO33)</f>
        <v>0</v>
      </c>
      <c r="BP34" s="187">
        <f t="shared" si="50"/>
        <v>17</v>
      </c>
      <c r="BQ34" s="188">
        <f t="shared" si="50"/>
        <v>431</v>
      </c>
      <c r="BR34" s="189">
        <f t="shared" si="50"/>
        <v>448</v>
      </c>
      <c r="BS34" s="190">
        <f t="shared" si="50"/>
        <v>0</v>
      </c>
      <c r="BT34" s="40"/>
      <c r="BU34" s="210"/>
      <c r="BV34" s="211" t="s">
        <v>3</v>
      </c>
      <c r="BW34" s="212"/>
      <c r="BX34" s="186">
        <f t="shared" ref="BX34:CB34" si="51">SUM(BX30:BX33)</f>
        <v>0</v>
      </c>
      <c r="BY34" s="187">
        <f t="shared" si="51"/>
        <v>17</v>
      </c>
      <c r="BZ34" s="188">
        <f t="shared" si="51"/>
        <v>316</v>
      </c>
      <c r="CA34" s="189">
        <f t="shared" si="51"/>
        <v>333</v>
      </c>
      <c r="CB34" s="190">
        <f t="shared" si="51"/>
        <v>0</v>
      </c>
      <c r="CC34" s="40"/>
      <c r="CD34" s="210"/>
      <c r="CE34" s="211" t="s">
        <v>3</v>
      </c>
      <c r="CF34" s="212"/>
      <c r="CG34" s="186">
        <f t="shared" ref="CG34:CK34" si="52">SUM(CG30:CG33)</f>
        <v>0</v>
      </c>
      <c r="CH34" s="187">
        <f t="shared" si="52"/>
        <v>10</v>
      </c>
      <c r="CI34" s="188">
        <f t="shared" si="52"/>
        <v>329</v>
      </c>
      <c r="CJ34" s="189">
        <f t="shared" si="52"/>
        <v>339</v>
      </c>
      <c r="CK34" s="190">
        <f t="shared" si="52"/>
        <v>0</v>
      </c>
      <c r="CL34" s="40"/>
      <c r="CM34" s="210"/>
      <c r="CN34" s="211" t="s">
        <v>3</v>
      </c>
      <c r="CO34" s="212"/>
      <c r="CP34" s="11">
        <f>SUM(CP30:CP33)</f>
        <v>0</v>
      </c>
      <c r="CQ34" s="12">
        <f>SUM(CQ30:CQ33)</f>
        <v>0</v>
      </c>
      <c r="CR34" s="13">
        <f>SUM(CR30:CR33)</f>
        <v>0</v>
      </c>
      <c r="CS34" s="14">
        <f>SUM(CS30:CS33)</f>
        <v>0</v>
      </c>
      <c r="CT34" s="15">
        <f>SUM(CT30:CT33)</f>
        <v>0</v>
      </c>
      <c r="CU34" s="40"/>
      <c r="CV34" s="210"/>
      <c r="CW34" s="211" t="s">
        <v>3</v>
      </c>
      <c r="CX34" s="212"/>
      <c r="CY34" s="11">
        <f>SUM(CY30:CY33)</f>
        <v>0</v>
      </c>
      <c r="CZ34" s="12">
        <f>SUM(CZ30:CZ33)</f>
        <v>0</v>
      </c>
      <c r="DA34" s="13">
        <f>SUM(DA30:DA33)</f>
        <v>0</v>
      </c>
      <c r="DB34" s="14">
        <f>SUM(DB30:DB33)</f>
        <v>0</v>
      </c>
      <c r="DC34" s="15">
        <f>SUM(DC30:DC33)</f>
        <v>0</v>
      </c>
      <c r="DD34" s="40"/>
      <c r="DE34" s="210"/>
      <c r="DF34" s="238" t="s">
        <v>3</v>
      </c>
      <c r="DG34" s="239"/>
      <c r="DH34" s="22">
        <f>SUM(DH30:DH33)</f>
        <v>0</v>
      </c>
      <c r="DI34" s="23">
        <f>SUM(DI30:DI33)</f>
        <v>277</v>
      </c>
      <c r="DJ34" s="24">
        <f>SUM(DJ30:DJ33)</f>
        <v>5972</v>
      </c>
      <c r="DK34" s="25">
        <f>SUM(DK30:DK33)</f>
        <v>6249</v>
      </c>
      <c r="DL34" s="26">
        <f>SUM(DL30:DL33)</f>
        <v>0</v>
      </c>
      <c r="DM34" s="17"/>
    </row>
    <row r="35" spans="1:117" ht="17.100000000000001" customHeight="1" thickTop="1" thickBot="1" x14ac:dyDescent="0.3">
      <c r="A35" s="208" t="s">
        <v>25</v>
      </c>
      <c r="B35" s="219" t="s">
        <v>12</v>
      </c>
      <c r="C35" s="80" t="s">
        <v>11</v>
      </c>
      <c r="D35" s="152">
        <v>0</v>
      </c>
      <c r="E35" s="153">
        <v>16</v>
      </c>
      <c r="F35" s="154">
        <v>396</v>
      </c>
      <c r="G35" s="4">
        <f>SUM(D35:F35)</f>
        <v>412</v>
      </c>
      <c r="H35" s="5">
        <v>0</v>
      </c>
      <c r="I35" s="40"/>
      <c r="J35" s="208" t="s">
        <v>25</v>
      </c>
      <c r="K35" s="219" t="s">
        <v>12</v>
      </c>
      <c r="L35" s="80" t="s">
        <v>11</v>
      </c>
      <c r="M35" s="152">
        <v>0</v>
      </c>
      <c r="N35" s="153">
        <v>145</v>
      </c>
      <c r="O35" s="154">
        <v>365</v>
      </c>
      <c r="P35" s="164">
        <v>510</v>
      </c>
      <c r="Q35" s="5">
        <v>0</v>
      </c>
      <c r="R35" s="40"/>
      <c r="S35" s="208" t="s">
        <v>25</v>
      </c>
      <c r="T35" s="219" t="s">
        <v>12</v>
      </c>
      <c r="U35" s="80" t="s">
        <v>11</v>
      </c>
      <c r="V35" s="168">
        <v>0</v>
      </c>
      <c r="W35" s="169">
        <v>28</v>
      </c>
      <c r="X35" s="165">
        <v>457</v>
      </c>
      <c r="Y35" s="4">
        <f>SUM(V35:X35)</f>
        <v>485</v>
      </c>
      <c r="Z35" s="5">
        <v>0</v>
      </c>
      <c r="AA35" s="40"/>
      <c r="AB35" s="208" t="s">
        <v>25</v>
      </c>
      <c r="AC35" s="219" t="s">
        <v>12</v>
      </c>
      <c r="AD35" s="80" t="s">
        <v>11</v>
      </c>
      <c r="AE35" s="168">
        <v>0</v>
      </c>
      <c r="AF35" s="169">
        <v>67</v>
      </c>
      <c r="AG35" s="165">
        <v>744</v>
      </c>
      <c r="AH35" s="4">
        <f>SUM(AE35:AG35)</f>
        <v>811</v>
      </c>
      <c r="AI35" s="5">
        <v>0</v>
      </c>
      <c r="AJ35" s="40"/>
      <c r="AK35" s="208" t="s">
        <v>25</v>
      </c>
      <c r="AL35" s="219" t="s">
        <v>12</v>
      </c>
      <c r="AM35" s="80" t="s">
        <v>11</v>
      </c>
      <c r="AN35" s="1">
        <v>0</v>
      </c>
      <c r="AO35" s="2">
        <v>14</v>
      </c>
      <c r="AP35" s="3">
        <v>252</v>
      </c>
      <c r="AQ35" s="4">
        <f>SUM(AN35:AP35)</f>
        <v>266</v>
      </c>
      <c r="AR35" s="5">
        <v>0</v>
      </c>
      <c r="AS35" s="40"/>
      <c r="AT35" s="208" t="s">
        <v>25</v>
      </c>
      <c r="AU35" s="219" t="s">
        <v>12</v>
      </c>
      <c r="AV35" s="80" t="s">
        <v>11</v>
      </c>
      <c r="AW35" s="1">
        <v>0</v>
      </c>
      <c r="AX35" s="2">
        <v>11</v>
      </c>
      <c r="AY35" s="3">
        <v>336</v>
      </c>
      <c r="AZ35" s="4">
        <f>SUM(AW35:AY35)</f>
        <v>347</v>
      </c>
      <c r="BA35" s="5">
        <v>0</v>
      </c>
      <c r="BB35" s="40"/>
      <c r="BC35" s="208" t="s">
        <v>25</v>
      </c>
      <c r="BD35" s="219" t="s">
        <v>12</v>
      </c>
      <c r="BE35" s="80" t="s">
        <v>11</v>
      </c>
      <c r="BF35" s="168">
        <v>0</v>
      </c>
      <c r="BG35" s="169">
        <v>69</v>
      </c>
      <c r="BH35" s="165">
        <v>727</v>
      </c>
      <c r="BI35" s="175">
        <v>796</v>
      </c>
      <c r="BJ35" s="5">
        <v>0</v>
      </c>
      <c r="BK35" s="40"/>
      <c r="BL35" s="208" t="s">
        <v>25</v>
      </c>
      <c r="BM35" s="219" t="s">
        <v>12</v>
      </c>
      <c r="BN35" s="80" t="s">
        <v>11</v>
      </c>
      <c r="BO35" s="176">
        <v>0</v>
      </c>
      <c r="BP35" s="177">
        <v>0</v>
      </c>
      <c r="BQ35" s="178">
        <v>202</v>
      </c>
      <c r="BR35" s="179">
        <f t="shared" ref="BR35:BR38" si="53">SUM(BO35:BQ35)</f>
        <v>202</v>
      </c>
      <c r="BS35" s="180">
        <v>0</v>
      </c>
      <c r="BT35" s="40"/>
      <c r="BU35" s="208" t="s">
        <v>25</v>
      </c>
      <c r="BV35" s="219" t="s">
        <v>12</v>
      </c>
      <c r="BW35" s="80" t="s">
        <v>11</v>
      </c>
      <c r="BX35" s="203">
        <v>0</v>
      </c>
      <c r="BY35" s="203">
        <v>0</v>
      </c>
      <c r="BZ35" s="203">
        <v>210</v>
      </c>
      <c r="CA35" s="204">
        <f t="shared" ref="CA35:CA38" si="54">SUM(BX35:BZ35)</f>
        <v>210</v>
      </c>
      <c r="CB35" s="203">
        <v>0</v>
      </c>
      <c r="CC35" s="40"/>
      <c r="CD35" s="208" t="s">
        <v>25</v>
      </c>
      <c r="CE35" s="219" t="s">
        <v>12</v>
      </c>
      <c r="CF35" s="80" t="s">
        <v>11</v>
      </c>
      <c r="CG35" s="203">
        <v>0</v>
      </c>
      <c r="CH35" s="203">
        <v>0</v>
      </c>
      <c r="CI35" s="203">
        <v>219</v>
      </c>
      <c r="CJ35" s="204">
        <f t="shared" ref="CJ35:CJ38" si="55">SUM(CG35:CI35)</f>
        <v>219</v>
      </c>
      <c r="CK35" s="203">
        <v>0</v>
      </c>
      <c r="CL35" s="40"/>
      <c r="CM35" s="208" t="s">
        <v>25</v>
      </c>
      <c r="CN35" s="219" t="s">
        <v>12</v>
      </c>
      <c r="CO35" s="80" t="s">
        <v>11</v>
      </c>
      <c r="CP35" s="1">
        <v>0</v>
      </c>
      <c r="CQ35" s="2">
        <v>0</v>
      </c>
      <c r="CR35" s="3">
        <v>0</v>
      </c>
      <c r="CS35" s="4">
        <f>SUM(CP35:CR35)</f>
        <v>0</v>
      </c>
      <c r="CT35" s="5">
        <v>0</v>
      </c>
      <c r="CU35" s="40"/>
      <c r="CV35" s="208" t="s">
        <v>25</v>
      </c>
      <c r="CW35" s="219" t="s">
        <v>12</v>
      </c>
      <c r="CX35" s="80" t="s">
        <v>11</v>
      </c>
      <c r="CY35" s="1">
        <v>0</v>
      </c>
      <c r="CZ35" s="2">
        <v>0</v>
      </c>
      <c r="DA35" s="3">
        <v>0</v>
      </c>
      <c r="DB35" s="4">
        <f>SUM(CY35:DA35)</f>
        <v>0</v>
      </c>
      <c r="DC35" s="5">
        <v>0</v>
      </c>
      <c r="DD35" s="40"/>
      <c r="DE35" s="208" t="str">
        <f t="shared" ref="DE35" si="56">CV35</f>
        <v>الرغامة</v>
      </c>
      <c r="DF35" s="18"/>
      <c r="DG35" s="27" t="s">
        <v>11</v>
      </c>
      <c r="DH35" s="1">
        <f t="shared" ref="DH35:DH38" si="57">D35+M35+V35+AE35+AN35+AW35+BF35+BO35+BX35+CG35+CP35+CY35</f>
        <v>0</v>
      </c>
      <c r="DI35" s="2">
        <f t="shared" ref="DI35:DI38" si="58">E35+N35+W35+AF35+AO35+AX35+BG35+BP35+BY35+CH35+CQ35+CZ35</f>
        <v>350</v>
      </c>
      <c r="DJ35" s="20">
        <f t="shared" ref="DJ35:DJ38" si="59">F35+O35+X35+AG35+AP35+AY35+BH35+BQ35+BZ35+CI35+CR35+DA35</f>
        <v>3908</v>
      </c>
      <c r="DK35" s="4">
        <f>SUM(DH35:DJ35)</f>
        <v>4258</v>
      </c>
      <c r="DL35" s="5">
        <f>H35+Q35+Z35+AI35+AR35+BA35+BJ35+BS35+CB35+CK35+CT35+DC35</f>
        <v>0</v>
      </c>
      <c r="DM35" s="17"/>
    </row>
    <row r="36" spans="1:117" ht="17.100000000000001" customHeight="1" thickBot="1" x14ac:dyDescent="0.3">
      <c r="A36" s="209"/>
      <c r="B36" s="220"/>
      <c r="C36" s="81" t="s">
        <v>13</v>
      </c>
      <c r="D36" s="155">
        <v>0</v>
      </c>
      <c r="E36" s="156">
        <v>33</v>
      </c>
      <c r="F36" s="157">
        <v>412</v>
      </c>
      <c r="G36" s="9">
        <f>SUM(D36:F36)</f>
        <v>445</v>
      </c>
      <c r="H36" s="10">
        <v>0</v>
      </c>
      <c r="I36" s="40"/>
      <c r="J36" s="209"/>
      <c r="K36" s="220"/>
      <c r="L36" s="81" t="s">
        <v>13</v>
      </c>
      <c r="M36" s="155">
        <v>0</v>
      </c>
      <c r="N36" s="156">
        <v>163</v>
      </c>
      <c r="O36" s="157">
        <v>496</v>
      </c>
      <c r="P36" s="165">
        <v>659</v>
      </c>
      <c r="Q36" s="10">
        <v>0</v>
      </c>
      <c r="R36" s="40"/>
      <c r="S36" s="209"/>
      <c r="T36" s="220"/>
      <c r="U36" s="81" t="s">
        <v>13</v>
      </c>
      <c r="V36" s="161">
        <v>0</v>
      </c>
      <c r="W36" s="162">
        <v>342</v>
      </c>
      <c r="X36" s="163">
        <v>567</v>
      </c>
      <c r="Y36" s="9">
        <f>SUM(V36:X36)</f>
        <v>909</v>
      </c>
      <c r="Z36" s="10">
        <v>0</v>
      </c>
      <c r="AA36" s="40"/>
      <c r="AB36" s="209"/>
      <c r="AC36" s="220"/>
      <c r="AD36" s="81" t="s">
        <v>13</v>
      </c>
      <c r="AE36" s="161">
        <v>0</v>
      </c>
      <c r="AF36" s="162">
        <v>1</v>
      </c>
      <c r="AG36" s="163">
        <v>475</v>
      </c>
      <c r="AH36" s="9">
        <f>SUM(AE36:AG36)</f>
        <v>476</v>
      </c>
      <c r="AI36" s="10">
        <v>0</v>
      </c>
      <c r="AJ36" s="40"/>
      <c r="AK36" s="209"/>
      <c r="AL36" s="220"/>
      <c r="AM36" s="81" t="s">
        <v>13</v>
      </c>
      <c r="AN36" s="6">
        <v>0</v>
      </c>
      <c r="AO36" s="7">
        <v>10</v>
      </c>
      <c r="AP36" s="8">
        <v>221</v>
      </c>
      <c r="AQ36" s="9">
        <f>SUM(AN36:AP36)</f>
        <v>231</v>
      </c>
      <c r="AR36" s="10">
        <v>0</v>
      </c>
      <c r="AS36" s="40"/>
      <c r="AT36" s="209"/>
      <c r="AU36" s="220"/>
      <c r="AV36" s="81" t="s">
        <v>13</v>
      </c>
      <c r="AW36" s="6">
        <v>0</v>
      </c>
      <c r="AX36" s="7">
        <v>6</v>
      </c>
      <c r="AY36" s="8">
        <v>302</v>
      </c>
      <c r="AZ36" s="9">
        <f>SUM(AW36:AY36)</f>
        <v>308</v>
      </c>
      <c r="BA36" s="10">
        <v>0</v>
      </c>
      <c r="BB36" s="40"/>
      <c r="BC36" s="209"/>
      <c r="BD36" s="220"/>
      <c r="BE36" s="81" t="s">
        <v>13</v>
      </c>
      <c r="BF36" s="161">
        <v>0</v>
      </c>
      <c r="BG36" s="162">
        <v>0</v>
      </c>
      <c r="BH36" s="163">
        <v>658</v>
      </c>
      <c r="BI36" s="166">
        <v>658</v>
      </c>
      <c r="BJ36" s="10">
        <v>0</v>
      </c>
      <c r="BK36" s="40"/>
      <c r="BL36" s="209"/>
      <c r="BM36" s="220"/>
      <c r="BN36" s="81" t="s">
        <v>13</v>
      </c>
      <c r="BO36" s="181">
        <v>0</v>
      </c>
      <c r="BP36" s="182">
        <v>0</v>
      </c>
      <c r="BQ36" s="183">
        <v>221</v>
      </c>
      <c r="BR36" s="184">
        <f t="shared" si="53"/>
        <v>221</v>
      </c>
      <c r="BS36" s="185">
        <v>0</v>
      </c>
      <c r="BT36" s="40"/>
      <c r="BU36" s="209"/>
      <c r="BV36" s="220"/>
      <c r="BW36" s="81" t="s">
        <v>13</v>
      </c>
      <c r="BX36" s="203">
        <v>0</v>
      </c>
      <c r="BY36" s="203">
        <v>0</v>
      </c>
      <c r="BZ36" s="203">
        <v>224</v>
      </c>
      <c r="CA36" s="204">
        <f t="shared" si="54"/>
        <v>224</v>
      </c>
      <c r="CB36" s="203">
        <v>0</v>
      </c>
      <c r="CC36" s="40"/>
      <c r="CD36" s="209"/>
      <c r="CE36" s="220"/>
      <c r="CF36" s="81" t="s">
        <v>13</v>
      </c>
      <c r="CG36" s="203">
        <v>0</v>
      </c>
      <c r="CH36" s="203">
        <v>0</v>
      </c>
      <c r="CI36" s="203">
        <v>200</v>
      </c>
      <c r="CJ36" s="204">
        <f t="shared" si="55"/>
        <v>200</v>
      </c>
      <c r="CK36" s="203">
        <v>0</v>
      </c>
      <c r="CL36" s="40"/>
      <c r="CM36" s="209"/>
      <c r="CN36" s="220"/>
      <c r="CO36" s="81" t="s">
        <v>13</v>
      </c>
      <c r="CP36" s="6">
        <v>0</v>
      </c>
      <c r="CQ36" s="7">
        <v>0</v>
      </c>
      <c r="CR36" s="8">
        <v>0</v>
      </c>
      <c r="CS36" s="9">
        <f>SUM(CP36:CR36)</f>
        <v>0</v>
      </c>
      <c r="CT36" s="10">
        <v>0</v>
      </c>
      <c r="CU36" s="40"/>
      <c r="CV36" s="209"/>
      <c r="CW36" s="220"/>
      <c r="CX36" s="81" t="s">
        <v>13</v>
      </c>
      <c r="CY36" s="6">
        <v>0</v>
      </c>
      <c r="CZ36" s="7">
        <v>0</v>
      </c>
      <c r="DA36" s="8">
        <v>0</v>
      </c>
      <c r="DB36" s="9">
        <f>SUM(CY36:DA36)</f>
        <v>0</v>
      </c>
      <c r="DC36" s="10">
        <v>0</v>
      </c>
      <c r="DD36" s="40"/>
      <c r="DE36" s="209"/>
      <c r="DF36" s="19" t="s">
        <v>12</v>
      </c>
      <c r="DG36" s="28" t="s">
        <v>13</v>
      </c>
      <c r="DH36" s="6">
        <f t="shared" si="57"/>
        <v>0</v>
      </c>
      <c r="DI36" s="7">
        <f t="shared" si="58"/>
        <v>555</v>
      </c>
      <c r="DJ36" s="21">
        <f t="shared" si="59"/>
        <v>3776</v>
      </c>
      <c r="DK36" s="9">
        <f>SUM(DH36:DJ36)</f>
        <v>4331</v>
      </c>
      <c r="DL36" s="10">
        <f>H36+Q36+Z36+AI36+AR36+BA36+BJ36+BS36+CB36+CK36+CT36+DC36</f>
        <v>0</v>
      </c>
      <c r="DM36" s="17"/>
    </row>
    <row r="37" spans="1:117" ht="17.100000000000001" customHeight="1" thickBot="1" x14ac:dyDescent="0.3">
      <c r="A37" s="209"/>
      <c r="B37" s="82" t="s">
        <v>14</v>
      </c>
      <c r="C37" s="83" t="s">
        <v>11</v>
      </c>
      <c r="D37" s="161">
        <v>0</v>
      </c>
      <c r="E37" s="162">
        <v>0</v>
      </c>
      <c r="F37" s="163">
        <v>0</v>
      </c>
      <c r="G37" s="4">
        <f>SUM(D37:F37)</f>
        <v>0</v>
      </c>
      <c r="H37" s="5">
        <v>0</v>
      </c>
      <c r="I37" s="40"/>
      <c r="J37" s="209"/>
      <c r="K37" s="82" t="s">
        <v>14</v>
      </c>
      <c r="L37" s="83" t="s">
        <v>11</v>
      </c>
      <c r="M37" s="161">
        <v>0</v>
      </c>
      <c r="N37" s="162">
        <v>2</v>
      </c>
      <c r="O37" s="163">
        <v>15</v>
      </c>
      <c r="P37" s="166">
        <v>17</v>
      </c>
      <c r="Q37" s="5">
        <v>0</v>
      </c>
      <c r="R37" s="40"/>
      <c r="S37" s="209"/>
      <c r="T37" s="82" t="s">
        <v>14</v>
      </c>
      <c r="U37" s="83" t="s">
        <v>11</v>
      </c>
      <c r="V37" s="155">
        <v>0</v>
      </c>
      <c r="W37" s="156">
        <v>654</v>
      </c>
      <c r="X37" s="157">
        <v>698</v>
      </c>
      <c r="Y37" s="4">
        <f>SUM(V37:X37)</f>
        <v>1352</v>
      </c>
      <c r="Z37" s="5">
        <v>0</v>
      </c>
      <c r="AA37" s="40"/>
      <c r="AB37" s="209"/>
      <c r="AC37" s="82" t="s">
        <v>14</v>
      </c>
      <c r="AD37" s="83" t="s">
        <v>11</v>
      </c>
      <c r="AE37" s="155">
        <v>0</v>
      </c>
      <c r="AF37" s="156">
        <v>0</v>
      </c>
      <c r="AG37" s="157">
        <v>574</v>
      </c>
      <c r="AH37" s="4">
        <f>SUM(AE37:AG37)</f>
        <v>574</v>
      </c>
      <c r="AI37" s="5">
        <v>0</v>
      </c>
      <c r="AJ37" s="40"/>
      <c r="AK37" s="209"/>
      <c r="AL37" s="82" t="s">
        <v>14</v>
      </c>
      <c r="AM37" s="83" t="s">
        <v>11</v>
      </c>
      <c r="AN37" s="1">
        <v>0</v>
      </c>
      <c r="AO37" s="2">
        <v>0</v>
      </c>
      <c r="AP37" s="3">
        <v>69</v>
      </c>
      <c r="AQ37" s="4">
        <f>SUM(AN37:AP37)</f>
        <v>69</v>
      </c>
      <c r="AR37" s="5">
        <v>0</v>
      </c>
      <c r="AS37" s="40"/>
      <c r="AT37" s="209"/>
      <c r="AU37" s="82" t="s">
        <v>14</v>
      </c>
      <c r="AV37" s="83" t="s">
        <v>11</v>
      </c>
      <c r="AW37" s="1">
        <v>0</v>
      </c>
      <c r="AX37" s="2">
        <v>0</v>
      </c>
      <c r="AY37" s="3">
        <v>81</v>
      </c>
      <c r="AZ37" s="4">
        <f>SUM(AW37:AY37)</f>
        <v>81</v>
      </c>
      <c r="BA37" s="5">
        <v>0</v>
      </c>
      <c r="BB37" s="40"/>
      <c r="BC37" s="209"/>
      <c r="BD37" s="82" t="s">
        <v>14</v>
      </c>
      <c r="BE37" s="83" t="s">
        <v>11</v>
      </c>
      <c r="BF37" s="155">
        <v>0</v>
      </c>
      <c r="BG37" s="156">
        <v>0</v>
      </c>
      <c r="BH37" s="157">
        <v>748</v>
      </c>
      <c r="BI37" s="165">
        <v>748</v>
      </c>
      <c r="BJ37" s="5">
        <v>0</v>
      </c>
      <c r="BK37" s="40"/>
      <c r="BL37" s="209"/>
      <c r="BM37" s="82" t="s">
        <v>14</v>
      </c>
      <c r="BN37" s="83" t="s">
        <v>11</v>
      </c>
      <c r="BO37" s="176">
        <v>0</v>
      </c>
      <c r="BP37" s="177">
        <v>0</v>
      </c>
      <c r="BQ37" s="178">
        <v>4</v>
      </c>
      <c r="BR37" s="179">
        <f t="shared" si="53"/>
        <v>4</v>
      </c>
      <c r="BS37" s="180">
        <v>0</v>
      </c>
      <c r="BT37" s="40"/>
      <c r="BU37" s="209"/>
      <c r="BV37" s="82" t="s">
        <v>14</v>
      </c>
      <c r="BW37" s="83" t="s">
        <v>11</v>
      </c>
      <c r="BX37" s="203">
        <v>0</v>
      </c>
      <c r="BY37" s="203">
        <v>0</v>
      </c>
      <c r="BZ37" s="203">
        <v>11</v>
      </c>
      <c r="CA37" s="204">
        <f t="shared" si="54"/>
        <v>11</v>
      </c>
      <c r="CB37" s="203">
        <v>0</v>
      </c>
      <c r="CC37" s="40"/>
      <c r="CD37" s="209"/>
      <c r="CE37" s="82" t="s">
        <v>14</v>
      </c>
      <c r="CF37" s="83" t="s">
        <v>11</v>
      </c>
      <c r="CG37" s="203">
        <v>0</v>
      </c>
      <c r="CH37" s="203">
        <v>0</v>
      </c>
      <c r="CI37" s="203">
        <v>9</v>
      </c>
      <c r="CJ37" s="204">
        <f t="shared" si="55"/>
        <v>9</v>
      </c>
      <c r="CK37" s="203">
        <v>0</v>
      </c>
      <c r="CL37" s="40"/>
      <c r="CM37" s="209"/>
      <c r="CN37" s="82" t="s">
        <v>14</v>
      </c>
      <c r="CO37" s="83" t="s">
        <v>11</v>
      </c>
      <c r="CP37" s="1">
        <v>0</v>
      </c>
      <c r="CQ37" s="2">
        <v>0</v>
      </c>
      <c r="CR37" s="3">
        <v>0</v>
      </c>
      <c r="CS37" s="4">
        <f>SUM(CP37:CR37)</f>
        <v>0</v>
      </c>
      <c r="CT37" s="5">
        <v>0</v>
      </c>
      <c r="CU37" s="40"/>
      <c r="CV37" s="209"/>
      <c r="CW37" s="82" t="s">
        <v>14</v>
      </c>
      <c r="CX37" s="83" t="s">
        <v>11</v>
      </c>
      <c r="CY37" s="1">
        <v>0</v>
      </c>
      <c r="CZ37" s="2">
        <v>0</v>
      </c>
      <c r="DA37" s="3">
        <v>0</v>
      </c>
      <c r="DB37" s="4">
        <f>SUM(CY37:DA37)</f>
        <v>0</v>
      </c>
      <c r="DC37" s="5">
        <v>0</v>
      </c>
      <c r="DD37" s="40"/>
      <c r="DE37" s="209"/>
      <c r="DF37" s="18" t="s">
        <v>14</v>
      </c>
      <c r="DG37" s="29" t="s">
        <v>11</v>
      </c>
      <c r="DH37" s="1">
        <f t="shared" si="57"/>
        <v>0</v>
      </c>
      <c r="DI37" s="2">
        <f t="shared" si="58"/>
        <v>656</v>
      </c>
      <c r="DJ37" s="20">
        <f t="shared" si="59"/>
        <v>2209</v>
      </c>
      <c r="DK37" s="4">
        <f>SUM(DH37:DJ37)</f>
        <v>2865</v>
      </c>
      <c r="DL37" s="5">
        <f>H37+Q37+Z37+AI37+AR37+BA37+BJ37+BS37+CB37+CK37+CT37+DC37</f>
        <v>0</v>
      </c>
      <c r="DM37" s="17"/>
    </row>
    <row r="38" spans="1:117" ht="17.100000000000001" customHeight="1" thickBot="1" x14ac:dyDescent="0.3">
      <c r="A38" s="209"/>
      <c r="B38" s="84" t="s">
        <v>12</v>
      </c>
      <c r="C38" s="85" t="s">
        <v>13</v>
      </c>
      <c r="D38" s="155">
        <v>0</v>
      </c>
      <c r="E38" s="156">
        <v>0</v>
      </c>
      <c r="F38" s="157">
        <v>0</v>
      </c>
      <c r="G38" s="9">
        <f>SUM(D38:F38)</f>
        <v>0</v>
      </c>
      <c r="H38" s="10">
        <v>0</v>
      </c>
      <c r="I38" s="40"/>
      <c r="J38" s="209"/>
      <c r="K38" s="84" t="s">
        <v>12</v>
      </c>
      <c r="L38" s="85" t="s">
        <v>13</v>
      </c>
      <c r="M38" s="155">
        <v>0</v>
      </c>
      <c r="N38" s="156">
        <v>3</v>
      </c>
      <c r="O38" s="157">
        <v>26</v>
      </c>
      <c r="P38" s="165">
        <v>29</v>
      </c>
      <c r="Q38" s="10">
        <v>0</v>
      </c>
      <c r="R38" s="40"/>
      <c r="S38" s="209"/>
      <c r="T38" s="84" t="s">
        <v>12</v>
      </c>
      <c r="U38" s="85" t="s">
        <v>13</v>
      </c>
      <c r="V38" s="161">
        <v>0</v>
      </c>
      <c r="W38" s="162">
        <v>15</v>
      </c>
      <c r="X38" s="163">
        <v>28</v>
      </c>
      <c r="Y38" s="9">
        <f>SUM(V38:X38)</f>
        <v>43</v>
      </c>
      <c r="Z38" s="10">
        <v>0</v>
      </c>
      <c r="AA38" s="40"/>
      <c r="AB38" s="209"/>
      <c r="AC38" s="84" t="s">
        <v>12</v>
      </c>
      <c r="AD38" s="85" t="s">
        <v>13</v>
      </c>
      <c r="AE38" s="161">
        <v>0</v>
      </c>
      <c r="AF38" s="162">
        <v>0</v>
      </c>
      <c r="AG38" s="163">
        <v>23</v>
      </c>
      <c r="AH38" s="9">
        <f>SUM(AE38:AG38)</f>
        <v>23</v>
      </c>
      <c r="AI38" s="10">
        <v>0</v>
      </c>
      <c r="AJ38" s="40"/>
      <c r="AK38" s="209"/>
      <c r="AL38" s="84" t="s">
        <v>12</v>
      </c>
      <c r="AM38" s="85" t="s">
        <v>13</v>
      </c>
      <c r="AN38" s="6">
        <v>0</v>
      </c>
      <c r="AO38" s="7">
        <v>0</v>
      </c>
      <c r="AP38" s="8">
        <v>70</v>
      </c>
      <c r="AQ38" s="9">
        <f>SUM(AN38:AP38)</f>
        <v>70</v>
      </c>
      <c r="AR38" s="10">
        <v>0</v>
      </c>
      <c r="AS38" s="40"/>
      <c r="AT38" s="209"/>
      <c r="AU38" s="84" t="s">
        <v>12</v>
      </c>
      <c r="AV38" s="85" t="s">
        <v>13</v>
      </c>
      <c r="AW38" s="6">
        <v>0</v>
      </c>
      <c r="AX38" s="7">
        <v>0</v>
      </c>
      <c r="AY38" s="8">
        <v>65</v>
      </c>
      <c r="AZ38" s="9">
        <f>SUM(AW38:AY38)</f>
        <v>65</v>
      </c>
      <c r="BA38" s="10">
        <v>0</v>
      </c>
      <c r="BB38" s="40"/>
      <c r="BC38" s="209"/>
      <c r="BD38" s="84" t="s">
        <v>12</v>
      </c>
      <c r="BE38" s="85" t="s">
        <v>13</v>
      </c>
      <c r="BF38" s="161">
        <v>0</v>
      </c>
      <c r="BG38" s="162">
        <v>0</v>
      </c>
      <c r="BH38" s="163">
        <v>31</v>
      </c>
      <c r="BI38" s="166">
        <v>31</v>
      </c>
      <c r="BJ38" s="10">
        <v>0</v>
      </c>
      <c r="BK38" s="40"/>
      <c r="BL38" s="209"/>
      <c r="BM38" s="84" t="s">
        <v>12</v>
      </c>
      <c r="BN38" s="85" t="s">
        <v>13</v>
      </c>
      <c r="BO38" s="181">
        <v>0</v>
      </c>
      <c r="BP38" s="182">
        <v>0</v>
      </c>
      <c r="BQ38" s="183">
        <v>9</v>
      </c>
      <c r="BR38" s="184">
        <f t="shared" si="53"/>
        <v>9</v>
      </c>
      <c r="BS38" s="185">
        <v>0</v>
      </c>
      <c r="BT38" s="40"/>
      <c r="BU38" s="209"/>
      <c r="BV38" s="84" t="s">
        <v>12</v>
      </c>
      <c r="BW38" s="85" t="s">
        <v>13</v>
      </c>
      <c r="BX38" s="203">
        <v>0</v>
      </c>
      <c r="BY38" s="203">
        <v>0</v>
      </c>
      <c r="BZ38" s="203">
        <v>12</v>
      </c>
      <c r="CA38" s="204">
        <f t="shared" si="54"/>
        <v>12</v>
      </c>
      <c r="CB38" s="203">
        <v>0</v>
      </c>
      <c r="CC38" s="40"/>
      <c r="CD38" s="209"/>
      <c r="CE38" s="84" t="s">
        <v>12</v>
      </c>
      <c r="CF38" s="85" t="s">
        <v>13</v>
      </c>
      <c r="CG38" s="203">
        <v>0</v>
      </c>
      <c r="CH38" s="203">
        <v>0</v>
      </c>
      <c r="CI38" s="203">
        <v>10</v>
      </c>
      <c r="CJ38" s="204">
        <f t="shared" si="55"/>
        <v>10</v>
      </c>
      <c r="CK38" s="203">
        <v>0</v>
      </c>
      <c r="CL38" s="40"/>
      <c r="CM38" s="209"/>
      <c r="CN38" s="84" t="s">
        <v>12</v>
      </c>
      <c r="CO38" s="85" t="s">
        <v>13</v>
      </c>
      <c r="CP38" s="6">
        <v>0</v>
      </c>
      <c r="CQ38" s="7">
        <v>0</v>
      </c>
      <c r="CR38" s="8">
        <v>0</v>
      </c>
      <c r="CS38" s="9">
        <f>SUM(CP38:CR38)</f>
        <v>0</v>
      </c>
      <c r="CT38" s="10">
        <v>0</v>
      </c>
      <c r="CU38" s="40"/>
      <c r="CV38" s="209"/>
      <c r="CW38" s="84" t="s">
        <v>12</v>
      </c>
      <c r="CX38" s="85" t="s">
        <v>13</v>
      </c>
      <c r="CY38" s="6">
        <v>0</v>
      </c>
      <c r="CZ38" s="7">
        <v>0</v>
      </c>
      <c r="DA38" s="8">
        <v>0</v>
      </c>
      <c r="DB38" s="9">
        <f>SUM(CY38:DA38)</f>
        <v>0</v>
      </c>
      <c r="DC38" s="10">
        <v>0</v>
      </c>
      <c r="DD38" s="40"/>
      <c r="DE38" s="209"/>
      <c r="DF38" s="19" t="s">
        <v>12</v>
      </c>
      <c r="DG38" s="30" t="s">
        <v>13</v>
      </c>
      <c r="DH38" s="6">
        <f t="shared" si="57"/>
        <v>0</v>
      </c>
      <c r="DI38" s="7">
        <f t="shared" si="58"/>
        <v>18</v>
      </c>
      <c r="DJ38" s="21">
        <f t="shared" si="59"/>
        <v>274</v>
      </c>
      <c r="DK38" s="9">
        <f>SUM(DH38:DJ38)</f>
        <v>292</v>
      </c>
      <c r="DL38" s="10">
        <f>H38+Q38+Z38+AI38+AR38+BA38+BJ38+BS38+CB38+CK38+CT38+DC38</f>
        <v>0</v>
      </c>
      <c r="DM38" s="17"/>
    </row>
    <row r="39" spans="1:117" ht="17.100000000000001" customHeight="1" thickBot="1" x14ac:dyDescent="0.3">
      <c r="A39" s="210"/>
      <c r="B39" s="211" t="s">
        <v>3</v>
      </c>
      <c r="C39" s="212"/>
      <c r="D39" s="11">
        <f>SUM(D35:D38)</f>
        <v>0</v>
      </c>
      <c r="E39" s="12">
        <f>SUM(E35:E38)</f>
        <v>49</v>
      </c>
      <c r="F39" s="13">
        <f>SUM(F35:F38)</f>
        <v>808</v>
      </c>
      <c r="G39" s="14">
        <f>SUM(G35:G38)</f>
        <v>857</v>
      </c>
      <c r="H39" s="15">
        <f>SUM(H35:H38)</f>
        <v>0</v>
      </c>
      <c r="I39" s="40"/>
      <c r="J39" s="210"/>
      <c r="K39" s="211" t="s">
        <v>3</v>
      </c>
      <c r="L39" s="212"/>
      <c r="M39" s="11">
        <f>SUM(M35:M38)</f>
        <v>0</v>
      </c>
      <c r="N39" s="12">
        <f>SUM(N35:N38)</f>
        <v>313</v>
      </c>
      <c r="O39" s="13">
        <f>SUM(O35:O38)</f>
        <v>902</v>
      </c>
      <c r="P39" s="14">
        <f>SUM(P35:P38)</f>
        <v>1215</v>
      </c>
      <c r="Q39" s="15">
        <f>SUM(Q35:Q38)</f>
        <v>0</v>
      </c>
      <c r="R39" s="40"/>
      <c r="S39" s="210"/>
      <c r="T39" s="211" t="s">
        <v>3</v>
      </c>
      <c r="U39" s="212"/>
      <c r="V39" s="155">
        <v>0</v>
      </c>
      <c r="W39" s="156">
        <v>19</v>
      </c>
      <c r="X39" s="157">
        <v>33</v>
      </c>
      <c r="Y39" s="14">
        <f>SUM(Y35:Y38)</f>
        <v>2789</v>
      </c>
      <c r="Z39" s="15">
        <f>SUM(Z35:Z38)</f>
        <v>0</v>
      </c>
      <c r="AA39" s="40"/>
      <c r="AB39" s="210"/>
      <c r="AC39" s="211" t="s">
        <v>3</v>
      </c>
      <c r="AD39" s="212"/>
      <c r="AE39" s="155">
        <v>0</v>
      </c>
      <c r="AF39" s="156">
        <v>0</v>
      </c>
      <c r="AG39" s="157">
        <v>36</v>
      </c>
      <c r="AH39" s="14">
        <f>SUM(AH35:AH38)</f>
        <v>1884</v>
      </c>
      <c r="AI39" s="15">
        <f>SUM(AI35:AI38)</f>
        <v>0</v>
      </c>
      <c r="AJ39" s="40"/>
      <c r="AK39" s="210"/>
      <c r="AL39" s="211" t="s">
        <v>3</v>
      </c>
      <c r="AM39" s="212"/>
      <c r="AN39" s="11">
        <f>SUM(AN35:AN38)</f>
        <v>0</v>
      </c>
      <c r="AO39" s="12">
        <f>SUM(AO35:AO38)</f>
        <v>24</v>
      </c>
      <c r="AP39" s="13">
        <f>SUM(AP35:AP38)</f>
        <v>612</v>
      </c>
      <c r="AQ39" s="14">
        <f>SUM(AQ35:AQ38)</f>
        <v>636</v>
      </c>
      <c r="AR39" s="15">
        <f>SUM(AR35:AR38)</f>
        <v>0</v>
      </c>
      <c r="AS39" s="40"/>
      <c r="AT39" s="210"/>
      <c r="AU39" s="211" t="s">
        <v>3</v>
      </c>
      <c r="AV39" s="212"/>
      <c r="AW39" s="11">
        <f>SUM(AW35:AW38)</f>
        <v>0</v>
      </c>
      <c r="AX39" s="12">
        <f>SUM(AX35:AX38)</f>
        <v>17</v>
      </c>
      <c r="AY39" s="13">
        <f>SUM(AY35:AY38)</f>
        <v>784</v>
      </c>
      <c r="AZ39" s="14">
        <f>SUM(AZ35:AZ38)</f>
        <v>801</v>
      </c>
      <c r="BA39" s="15">
        <f>SUM(BA35:BA38)</f>
        <v>0</v>
      </c>
      <c r="BB39" s="40"/>
      <c r="BC39" s="210"/>
      <c r="BD39" s="211" t="s">
        <v>3</v>
      </c>
      <c r="BE39" s="212"/>
      <c r="BF39" s="155">
        <v>0</v>
      </c>
      <c r="BG39" s="156">
        <v>0</v>
      </c>
      <c r="BH39" s="157">
        <v>23</v>
      </c>
      <c r="BI39" s="165">
        <v>23</v>
      </c>
      <c r="BJ39" s="15">
        <f>SUM(BJ35:BJ38)</f>
        <v>0</v>
      </c>
      <c r="BK39" s="40"/>
      <c r="BL39" s="210"/>
      <c r="BM39" s="211" t="s">
        <v>3</v>
      </c>
      <c r="BN39" s="212"/>
      <c r="BO39" s="186">
        <f t="shared" ref="BO39:BS39" si="60">SUM(BO35:BO38)</f>
        <v>0</v>
      </c>
      <c r="BP39" s="187">
        <f t="shared" si="60"/>
        <v>0</v>
      </c>
      <c r="BQ39" s="188">
        <f t="shared" si="60"/>
        <v>436</v>
      </c>
      <c r="BR39" s="189">
        <f t="shared" si="60"/>
        <v>436</v>
      </c>
      <c r="BS39" s="190">
        <f t="shared" si="60"/>
        <v>0</v>
      </c>
      <c r="BT39" s="40"/>
      <c r="BU39" s="210"/>
      <c r="BV39" s="211" t="s">
        <v>3</v>
      </c>
      <c r="BW39" s="212"/>
      <c r="BX39" s="204">
        <f t="shared" ref="BX39:CB39" si="61">SUM(BX35:BX38)</f>
        <v>0</v>
      </c>
      <c r="BY39" s="204">
        <f t="shared" si="61"/>
        <v>0</v>
      </c>
      <c r="BZ39" s="204">
        <f t="shared" si="61"/>
        <v>457</v>
      </c>
      <c r="CA39" s="205">
        <f t="shared" si="61"/>
        <v>457</v>
      </c>
      <c r="CB39" s="204">
        <f t="shared" si="61"/>
        <v>0</v>
      </c>
      <c r="CC39" s="40"/>
      <c r="CD39" s="210"/>
      <c r="CE39" s="211" t="s">
        <v>3</v>
      </c>
      <c r="CF39" s="212"/>
      <c r="CG39" s="204">
        <f t="shared" ref="CG39:CK39" si="62">SUM(CG35:CG38)</f>
        <v>0</v>
      </c>
      <c r="CH39" s="204">
        <f t="shared" si="62"/>
        <v>0</v>
      </c>
      <c r="CI39" s="204">
        <f t="shared" si="62"/>
        <v>438</v>
      </c>
      <c r="CJ39" s="205">
        <f t="shared" si="62"/>
        <v>438</v>
      </c>
      <c r="CK39" s="204">
        <f t="shared" si="62"/>
        <v>0</v>
      </c>
      <c r="CL39" s="40"/>
      <c r="CM39" s="210"/>
      <c r="CN39" s="211" t="s">
        <v>3</v>
      </c>
      <c r="CO39" s="212"/>
      <c r="CP39" s="11">
        <f>SUM(CP35:CP38)</f>
        <v>0</v>
      </c>
      <c r="CQ39" s="12">
        <f>SUM(CQ35:CQ38)</f>
        <v>0</v>
      </c>
      <c r="CR39" s="13">
        <f>SUM(CR35:CR38)</f>
        <v>0</v>
      </c>
      <c r="CS39" s="14">
        <f>SUM(CS35:CS38)</f>
        <v>0</v>
      </c>
      <c r="CT39" s="15">
        <f>SUM(CT35:CT38)</f>
        <v>0</v>
      </c>
      <c r="CU39" s="40"/>
      <c r="CV39" s="210"/>
      <c r="CW39" s="211" t="s">
        <v>3</v>
      </c>
      <c r="CX39" s="212"/>
      <c r="CY39" s="11">
        <f>SUM(CY35:CY38)</f>
        <v>0</v>
      </c>
      <c r="CZ39" s="12">
        <f>SUM(CZ35:CZ38)</f>
        <v>0</v>
      </c>
      <c r="DA39" s="13">
        <f>SUM(DA35:DA38)</f>
        <v>0</v>
      </c>
      <c r="DB39" s="14">
        <f>SUM(DB35:DB38)</f>
        <v>0</v>
      </c>
      <c r="DC39" s="15">
        <f>SUM(DC35:DC38)</f>
        <v>0</v>
      </c>
      <c r="DD39" s="40"/>
      <c r="DE39" s="210"/>
      <c r="DF39" s="238" t="s">
        <v>3</v>
      </c>
      <c r="DG39" s="239"/>
      <c r="DH39" s="22">
        <f>SUM(DH35:DH38)</f>
        <v>0</v>
      </c>
      <c r="DI39" s="23">
        <f>SUM(DI35:DI38)</f>
        <v>1579</v>
      </c>
      <c r="DJ39" s="24">
        <f>SUM(DJ35:DJ38)</f>
        <v>10167</v>
      </c>
      <c r="DK39" s="25">
        <f>SUM(DK35:DK38)</f>
        <v>11746</v>
      </c>
      <c r="DL39" s="26">
        <f>SUM(DL35:DL38)</f>
        <v>0</v>
      </c>
      <c r="DM39" s="17"/>
    </row>
    <row r="40" spans="1:117" ht="17.100000000000001" customHeight="1" thickTop="1" thickBot="1" x14ac:dyDescent="0.3">
      <c r="A40" s="208" t="s">
        <v>29</v>
      </c>
      <c r="B40" s="219" t="s">
        <v>12</v>
      </c>
      <c r="C40" s="80" t="s">
        <v>11</v>
      </c>
      <c r="D40" s="152">
        <v>1</v>
      </c>
      <c r="E40" s="153">
        <v>22</v>
      </c>
      <c r="F40" s="154">
        <v>310</v>
      </c>
      <c r="G40" s="4">
        <f>SUM(D40:F40)</f>
        <v>333</v>
      </c>
      <c r="H40" s="5">
        <v>0</v>
      </c>
      <c r="I40" s="40"/>
      <c r="J40" s="208" t="s">
        <v>29</v>
      </c>
      <c r="K40" s="219" t="s">
        <v>12</v>
      </c>
      <c r="L40" s="80" t="s">
        <v>11</v>
      </c>
      <c r="M40" s="152">
        <v>0</v>
      </c>
      <c r="N40" s="153">
        <v>7</v>
      </c>
      <c r="O40" s="154">
        <v>252</v>
      </c>
      <c r="P40" s="4">
        <f>SUM(M40:O40)</f>
        <v>259</v>
      </c>
      <c r="Q40" s="5">
        <v>0</v>
      </c>
      <c r="R40" s="40"/>
      <c r="S40" s="208" t="s">
        <v>29</v>
      </c>
      <c r="T40" s="219" t="s">
        <v>12</v>
      </c>
      <c r="U40" s="80" t="s">
        <v>11</v>
      </c>
      <c r="V40" s="1">
        <v>0</v>
      </c>
      <c r="W40" s="153">
        <v>10</v>
      </c>
      <c r="X40" s="154">
        <v>362</v>
      </c>
      <c r="Y40" s="4">
        <f>SUM(V40:X40)</f>
        <v>372</v>
      </c>
      <c r="Z40" s="5">
        <v>0</v>
      </c>
      <c r="AA40" s="40"/>
      <c r="AB40" s="208" t="s">
        <v>29</v>
      </c>
      <c r="AC40" s="219" t="s">
        <v>12</v>
      </c>
      <c r="AD40" s="80" t="s">
        <v>11</v>
      </c>
      <c r="AE40" s="168">
        <v>0</v>
      </c>
      <c r="AF40" s="169">
        <v>1</v>
      </c>
      <c r="AG40" s="165">
        <v>1108</v>
      </c>
      <c r="AH40" s="4">
        <f>SUM(AE40:AG40)</f>
        <v>1109</v>
      </c>
      <c r="AI40" s="5">
        <v>0</v>
      </c>
      <c r="AJ40" s="40"/>
      <c r="AK40" s="208" t="s">
        <v>29</v>
      </c>
      <c r="AL40" s="219" t="s">
        <v>12</v>
      </c>
      <c r="AM40" s="80" t="s">
        <v>11</v>
      </c>
      <c r="AN40" s="1">
        <v>0</v>
      </c>
      <c r="AO40" s="2">
        <v>22</v>
      </c>
      <c r="AP40" s="3">
        <v>441</v>
      </c>
      <c r="AQ40" s="4">
        <f>SUM(AN40:AP40)</f>
        <v>463</v>
      </c>
      <c r="AR40" s="5">
        <v>0</v>
      </c>
      <c r="AS40" s="40"/>
      <c r="AT40" s="208" t="s">
        <v>29</v>
      </c>
      <c r="AU40" s="219" t="s">
        <v>12</v>
      </c>
      <c r="AV40" s="80" t="s">
        <v>11</v>
      </c>
      <c r="AW40" s="1">
        <v>0</v>
      </c>
      <c r="AX40" s="2">
        <v>19</v>
      </c>
      <c r="AY40" s="3">
        <v>425</v>
      </c>
      <c r="AZ40" s="4">
        <f>SUM(AW40:AY40)</f>
        <v>444</v>
      </c>
      <c r="BA40" s="5">
        <v>0</v>
      </c>
      <c r="BB40" s="40"/>
      <c r="BC40" s="208" t="s">
        <v>29</v>
      </c>
      <c r="BD40" s="219" t="s">
        <v>12</v>
      </c>
      <c r="BE40" s="80" t="s">
        <v>11</v>
      </c>
      <c r="BF40" s="168">
        <v>0</v>
      </c>
      <c r="BG40" s="169">
        <v>0</v>
      </c>
      <c r="BH40" s="165">
        <v>1460</v>
      </c>
      <c r="BI40" s="175">
        <v>1460</v>
      </c>
      <c r="BJ40" s="5">
        <v>0</v>
      </c>
      <c r="BK40" s="40"/>
      <c r="BL40" s="208" t="s">
        <v>29</v>
      </c>
      <c r="BM40" s="219" t="s">
        <v>12</v>
      </c>
      <c r="BN40" s="80" t="s">
        <v>11</v>
      </c>
      <c r="BO40" s="191">
        <v>0</v>
      </c>
      <c r="BP40" s="192">
        <v>5</v>
      </c>
      <c r="BQ40" s="193">
        <v>475</v>
      </c>
      <c r="BR40" s="179">
        <f t="shared" ref="BR40:BR43" si="63">SUM(BO40:BQ40)</f>
        <v>480</v>
      </c>
      <c r="BS40" s="180">
        <v>0</v>
      </c>
      <c r="BT40" s="40"/>
      <c r="BU40" s="208" t="s">
        <v>29</v>
      </c>
      <c r="BV40" s="219" t="s">
        <v>12</v>
      </c>
      <c r="BW40" s="80" t="s">
        <v>11</v>
      </c>
      <c r="BX40" s="176">
        <v>0</v>
      </c>
      <c r="BY40" s="177">
        <v>36</v>
      </c>
      <c r="BZ40" s="178">
        <v>126</v>
      </c>
      <c r="CA40" s="179">
        <f t="shared" ref="CA40:CA43" si="64">SUM(BX40:BZ40)</f>
        <v>162</v>
      </c>
      <c r="CB40" s="180">
        <v>0</v>
      </c>
      <c r="CC40" s="40"/>
      <c r="CD40" s="208" t="s">
        <v>29</v>
      </c>
      <c r="CE40" s="219" t="s">
        <v>12</v>
      </c>
      <c r="CF40" s="80" t="s">
        <v>11</v>
      </c>
      <c r="CG40" s="176">
        <v>0</v>
      </c>
      <c r="CH40" s="177">
        <v>36</v>
      </c>
      <c r="CI40" s="178">
        <v>155</v>
      </c>
      <c r="CJ40" s="179">
        <f t="shared" ref="CJ40:CJ43" si="65">SUM(CG40:CI40)</f>
        <v>191</v>
      </c>
      <c r="CK40" s="180">
        <v>0</v>
      </c>
      <c r="CL40" s="40"/>
      <c r="CM40" s="208" t="s">
        <v>29</v>
      </c>
      <c r="CN40" s="219" t="s">
        <v>12</v>
      </c>
      <c r="CO40" s="80" t="s">
        <v>11</v>
      </c>
      <c r="CP40" s="1">
        <v>0</v>
      </c>
      <c r="CQ40" s="2">
        <v>0</v>
      </c>
      <c r="CR40" s="3">
        <v>0</v>
      </c>
      <c r="CS40" s="4">
        <f>SUM(CP40:CR40)</f>
        <v>0</v>
      </c>
      <c r="CT40" s="5">
        <v>0</v>
      </c>
      <c r="CU40" s="40"/>
      <c r="CV40" s="208" t="s">
        <v>29</v>
      </c>
      <c r="CW40" s="219" t="s">
        <v>12</v>
      </c>
      <c r="CX40" s="80" t="s">
        <v>11</v>
      </c>
      <c r="CY40" s="1">
        <v>0</v>
      </c>
      <c r="CZ40" s="2">
        <v>0</v>
      </c>
      <c r="DA40" s="3">
        <v>0</v>
      </c>
      <c r="DB40" s="4">
        <f>SUM(CY40:DA40)</f>
        <v>0</v>
      </c>
      <c r="DC40" s="5">
        <v>0</v>
      </c>
      <c r="DD40" s="40"/>
      <c r="DE40" s="208" t="str">
        <f t="shared" ref="DE40" si="66">CV40</f>
        <v>الواحة</v>
      </c>
      <c r="DF40" s="18"/>
      <c r="DG40" s="27" t="s">
        <v>11</v>
      </c>
      <c r="DH40" s="1">
        <f t="shared" ref="DH40:DH43" si="67">D40+M40+V40+AE40+AN40+AW40+BF40+BO40+BX40+CG40+CP40+CY40</f>
        <v>1</v>
      </c>
      <c r="DI40" s="2">
        <f t="shared" ref="DI40:DI43" si="68">E40+N40+W40+AF40+AO40+AX40+BG40+BP40+BY40+CH40+CQ40+CZ40</f>
        <v>158</v>
      </c>
      <c r="DJ40" s="20">
        <f t="shared" ref="DJ40:DJ43" si="69">F40+O40+X40+AG40+AP40+AY40+BH40+BQ40+BZ40+CI40+CR40+DA40</f>
        <v>5114</v>
      </c>
      <c r="DK40" s="4">
        <f>SUM(DH40:DJ40)</f>
        <v>5273</v>
      </c>
      <c r="DL40" s="5">
        <f>H40+Q40+Z40+AI40+AR40+BA40+BJ40+BS40+CB40+CK40+CT40+DC40</f>
        <v>0</v>
      </c>
      <c r="DM40" s="17"/>
    </row>
    <row r="41" spans="1:117" ht="17.100000000000001" customHeight="1" thickBot="1" x14ac:dyDescent="0.3">
      <c r="A41" s="209"/>
      <c r="B41" s="220"/>
      <c r="C41" s="81" t="s">
        <v>13</v>
      </c>
      <c r="D41" s="155">
        <v>0</v>
      </c>
      <c r="E41" s="156">
        <v>0</v>
      </c>
      <c r="F41" s="157">
        <v>412</v>
      </c>
      <c r="G41" s="9">
        <f>SUM(D41:F41)</f>
        <v>412</v>
      </c>
      <c r="H41" s="10">
        <v>0</v>
      </c>
      <c r="I41" s="40"/>
      <c r="J41" s="209"/>
      <c r="K41" s="220"/>
      <c r="L41" s="81" t="s">
        <v>13</v>
      </c>
      <c r="M41" s="155">
        <v>0</v>
      </c>
      <c r="N41" s="156">
        <v>5</v>
      </c>
      <c r="O41" s="157">
        <v>320</v>
      </c>
      <c r="P41" s="9">
        <f>SUM(M41:O41)</f>
        <v>325</v>
      </c>
      <c r="Q41" s="10">
        <v>0</v>
      </c>
      <c r="R41" s="40"/>
      <c r="S41" s="209"/>
      <c r="T41" s="220"/>
      <c r="U41" s="81" t="s">
        <v>13</v>
      </c>
      <c r="V41" s="6">
        <v>0</v>
      </c>
      <c r="W41" s="156">
        <v>2</v>
      </c>
      <c r="X41" s="157">
        <v>395</v>
      </c>
      <c r="Y41" s="9">
        <f>SUM(V41:X41)</f>
        <v>397</v>
      </c>
      <c r="Z41" s="10">
        <v>0</v>
      </c>
      <c r="AA41" s="40"/>
      <c r="AB41" s="209"/>
      <c r="AC41" s="220"/>
      <c r="AD41" s="81" t="s">
        <v>13</v>
      </c>
      <c r="AE41" s="161">
        <v>0</v>
      </c>
      <c r="AF41" s="162">
        <v>0</v>
      </c>
      <c r="AG41" s="163">
        <v>0</v>
      </c>
      <c r="AH41" s="9">
        <f>SUM(AE41:AG41)</f>
        <v>0</v>
      </c>
      <c r="AI41" s="10">
        <v>0</v>
      </c>
      <c r="AJ41" s="40"/>
      <c r="AK41" s="209"/>
      <c r="AL41" s="220"/>
      <c r="AM41" s="81" t="s">
        <v>13</v>
      </c>
      <c r="AN41" s="6">
        <v>0</v>
      </c>
      <c r="AO41" s="7">
        <v>10</v>
      </c>
      <c r="AP41" s="8">
        <v>220</v>
      </c>
      <c r="AQ41" s="9">
        <f>SUM(AN41:AP41)</f>
        <v>230</v>
      </c>
      <c r="AR41" s="10">
        <v>0</v>
      </c>
      <c r="AS41" s="40"/>
      <c r="AT41" s="209"/>
      <c r="AU41" s="220"/>
      <c r="AV41" s="81" t="s">
        <v>13</v>
      </c>
      <c r="AW41" s="6">
        <v>0</v>
      </c>
      <c r="AX41" s="7">
        <v>4</v>
      </c>
      <c r="AY41" s="8">
        <v>285</v>
      </c>
      <c r="AZ41" s="9">
        <f>SUM(AW41:AY41)</f>
        <v>289</v>
      </c>
      <c r="BA41" s="10">
        <v>0</v>
      </c>
      <c r="BB41" s="40"/>
      <c r="BC41" s="209"/>
      <c r="BD41" s="220"/>
      <c r="BE41" s="81" t="s">
        <v>13</v>
      </c>
      <c r="BF41" s="161">
        <v>0</v>
      </c>
      <c r="BG41" s="162">
        <v>7</v>
      </c>
      <c r="BH41" s="163">
        <v>252</v>
      </c>
      <c r="BI41" s="166">
        <v>259</v>
      </c>
      <c r="BJ41" s="10">
        <v>0</v>
      </c>
      <c r="BK41" s="40"/>
      <c r="BL41" s="209"/>
      <c r="BM41" s="220"/>
      <c r="BN41" s="81" t="s">
        <v>13</v>
      </c>
      <c r="BO41" s="195">
        <v>0</v>
      </c>
      <c r="BP41" s="196">
        <v>1</v>
      </c>
      <c r="BQ41" s="197">
        <v>486</v>
      </c>
      <c r="BR41" s="184">
        <f t="shared" si="63"/>
        <v>487</v>
      </c>
      <c r="BS41" s="185">
        <v>0</v>
      </c>
      <c r="BT41" s="40"/>
      <c r="BU41" s="209"/>
      <c r="BV41" s="220"/>
      <c r="BW41" s="81" t="s">
        <v>13</v>
      </c>
      <c r="BX41" s="181">
        <v>0</v>
      </c>
      <c r="BY41" s="182">
        <v>64</v>
      </c>
      <c r="BZ41" s="183">
        <v>130</v>
      </c>
      <c r="CA41" s="184">
        <f t="shared" si="64"/>
        <v>194</v>
      </c>
      <c r="CB41" s="185">
        <v>0</v>
      </c>
      <c r="CC41" s="40"/>
      <c r="CD41" s="209"/>
      <c r="CE41" s="220"/>
      <c r="CF41" s="81" t="s">
        <v>13</v>
      </c>
      <c r="CG41" s="181">
        <v>0</v>
      </c>
      <c r="CH41" s="182">
        <v>64</v>
      </c>
      <c r="CI41" s="183">
        <v>124</v>
      </c>
      <c r="CJ41" s="184">
        <f t="shared" si="65"/>
        <v>188</v>
      </c>
      <c r="CK41" s="185">
        <v>0</v>
      </c>
      <c r="CL41" s="40"/>
      <c r="CM41" s="209"/>
      <c r="CN41" s="220"/>
      <c r="CO41" s="81" t="s">
        <v>13</v>
      </c>
      <c r="CP41" s="6">
        <v>0</v>
      </c>
      <c r="CQ41" s="7">
        <v>0</v>
      </c>
      <c r="CR41" s="8">
        <v>0</v>
      </c>
      <c r="CS41" s="9">
        <f>SUM(CP41:CR41)</f>
        <v>0</v>
      </c>
      <c r="CT41" s="10">
        <v>0</v>
      </c>
      <c r="CU41" s="40"/>
      <c r="CV41" s="209"/>
      <c r="CW41" s="220"/>
      <c r="CX41" s="81" t="s">
        <v>13</v>
      </c>
      <c r="CY41" s="6">
        <v>0</v>
      </c>
      <c r="CZ41" s="7">
        <v>0</v>
      </c>
      <c r="DA41" s="8">
        <v>0</v>
      </c>
      <c r="DB41" s="9">
        <f>SUM(CY41:DA41)</f>
        <v>0</v>
      </c>
      <c r="DC41" s="10">
        <v>0</v>
      </c>
      <c r="DD41" s="40"/>
      <c r="DE41" s="209"/>
      <c r="DF41" s="19" t="s">
        <v>12</v>
      </c>
      <c r="DG41" s="28" t="s">
        <v>13</v>
      </c>
      <c r="DH41" s="6">
        <f t="shared" si="67"/>
        <v>0</v>
      </c>
      <c r="DI41" s="7">
        <f t="shared" si="68"/>
        <v>157</v>
      </c>
      <c r="DJ41" s="21">
        <f t="shared" si="69"/>
        <v>2624</v>
      </c>
      <c r="DK41" s="9">
        <f>SUM(DH41:DJ41)</f>
        <v>2781</v>
      </c>
      <c r="DL41" s="10">
        <f>H41+Q41+Z41+AI41+AR41+BA41+BJ41+BS41+CB41+CK41+CT41+DC41</f>
        <v>0</v>
      </c>
      <c r="DM41" s="17"/>
    </row>
    <row r="42" spans="1:117" ht="17.100000000000001" customHeight="1" thickBot="1" x14ac:dyDescent="0.3">
      <c r="A42" s="209"/>
      <c r="B42" s="82" t="s">
        <v>14</v>
      </c>
      <c r="C42" s="83" t="s">
        <v>11</v>
      </c>
      <c r="D42" s="161">
        <v>0</v>
      </c>
      <c r="E42" s="162">
        <v>0</v>
      </c>
      <c r="F42" s="163">
        <v>8</v>
      </c>
      <c r="G42" s="4">
        <f>SUM(D42:F42)</f>
        <v>8</v>
      </c>
      <c r="H42" s="5">
        <v>0</v>
      </c>
      <c r="I42" s="40"/>
      <c r="J42" s="209"/>
      <c r="K42" s="82" t="s">
        <v>14</v>
      </c>
      <c r="L42" s="83" t="s">
        <v>11</v>
      </c>
      <c r="M42" s="161">
        <v>0</v>
      </c>
      <c r="N42" s="162">
        <v>4</v>
      </c>
      <c r="O42" s="163">
        <v>0</v>
      </c>
      <c r="P42" s="4">
        <f>SUM(M42:O42)</f>
        <v>4</v>
      </c>
      <c r="Q42" s="5">
        <v>0</v>
      </c>
      <c r="R42" s="40"/>
      <c r="S42" s="209"/>
      <c r="T42" s="82" t="s">
        <v>14</v>
      </c>
      <c r="U42" s="83" t="s">
        <v>11</v>
      </c>
      <c r="V42" s="1">
        <v>0</v>
      </c>
      <c r="W42" s="162">
        <v>0</v>
      </c>
      <c r="X42" s="163">
        <v>0</v>
      </c>
      <c r="Y42" s="4">
        <f>SUM(V42:X42)</f>
        <v>0</v>
      </c>
      <c r="Z42" s="5">
        <v>0</v>
      </c>
      <c r="AA42" s="40"/>
      <c r="AB42" s="209"/>
      <c r="AC42" s="82" t="s">
        <v>14</v>
      </c>
      <c r="AD42" s="83" t="s">
        <v>11</v>
      </c>
      <c r="AE42" s="155">
        <v>0</v>
      </c>
      <c r="AF42" s="156">
        <v>0</v>
      </c>
      <c r="AG42" s="157">
        <v>0</v>
      </c>
      <c r="AH42" s="4">
        <f>SUM(AE42:AG42)</f>
        <v>0</v>
      </c>
      <c r="AI42" s="5">
        <v>0</v>
      </c>
      <c r="AJ42" s="40"/>
      <c r="AK42" s="209"/>
      <c r="AL42" s="82" t="s">
        <v>14</v>
      </c>
      <c r="AM42" s="83" t="s">
        <v>11</v>
      </c>
      <c r="AN42" s="1">
        <v>0</v>
      </c>
      <c r="AO42" s="2">
        <v>8</v>
      </c>
      <c r="AP42" s="3">
        <v>152</v>
      </c>
      <c r="AQ42" s="4">
        <f>SUM(AN42:AP42)</f>
        <v>160</v>
      </c>
      <c r="AR42" s="5">
        <v>0</v>
      </c>
      <c r="AS42" s="40"/>
      <c r="AT42" s="209"/>
      <c r="AU42" s="82" t="s">
        <v>14</v>
      </c>
      <c r="AV42" s="83" t="s">
        <v>11</v>
      </c>
      <c r="AW42" s="1">
        <v>0</v>
      </c>
      <c r="AX42" s="2">
        <v>0</v>
      </c>
      <c r="AY42" s="3">
        <v>96</v>
      </c>
      <c r="AZ42" s="4">
        <f>SUM(AW42:AY42)</f>
        <v>96</v>
      </c>
      <c r="BA42" s="5">
        <v>0</v>
      </c>
      <c r="BB42" s="40"/>
      <c r="BC42" s="209"/>
      <c r="BD42" s="82" t="s">
        <v>14</v>
      </c>
      <c r="BE42" s="83" t="s">
        <v>11</v>
      </c>
      <c r="BF42" s="155">
        <v>0</v>
      </c>
      <c r="BG42" s="156">
        <v>5</v>
      </c>
      <c r="BH42" s="157">
        <v>320</v>
      </c>
      <c r="BI42" s="165">
        <v>325</v>
      </c>
      <c r="BJ42" s="5">
        <v>0</v>
      </c>
      <c r="BK42" s="40"/>
      <c r="BL42" s="209"/>
      <c r="BM42" s="82" t="s">
        <v>14</v>
      </c>
      <c r="BN42" s="83" t="s">
        <v>11</v>
      </c>
      <c r="BO42" s="199">
        <v>0</v>
      </c>
      <c r="BP42" s="200">
        <v>0</v>
      </c>
      <c r="BQ42" s="201">
        <v>6</v>
      </c>
      <c r="BR42" s="179">
        <f t="shared" si="63"/>
        <v>6</v>
      </c>
      <c r="BS42" s="180">
        <v>0</v>
      </c>
      <c r="BT42" s="40"/>
      <c r="BU42" s="209"/>
      <c r="BV42" s="82" t="s">
        <v>14</v>
      </c>
      <c r="BW42" s="83" t="s">
        <v>11</v>
      </c>
      <c r="BX42" s="176">
        <v>0</v>
      </c>
      <c r="BY42" s="177">
        <v>9</v>
      </c>
      <c r="BZ42" s="178">
        <v>22</v>
      </c>
      <c r="CA42" s="179">
        <f t="shared" si="64"/>
        <v>31</v>
      </c>
      <c r="CB42" s="180">
        <v>0</v>
      </c>
      <c r="CC42" s="40"/>
      <c r="CD42" s="209"/>
      <c r="CE42" s="82" t="s">
        <v>14</v>
      </c>
      <c r="CF42" s="83" t="s">
        <v>11</v>
      </c>
      <c r="CG42" s="176">
        <v>0</v>
      </c>
      <c r="CH42" s="177">
        <v>9</v>
      </c>
      <c r="CI42" s="178">
        <v>20</v>
      </c>
      <c r="CJ42" s="179">
        <f t="shared" si="65"/>
        <v>29</v>
      </c>
      <c r="CK42" s="180">
        <v>0</v>
      </c>
      <c r="CL42" s="40"/>
      <c r="CM42" s="209"/>
      <c r="CN42" s="82" t="s">
        <v>14</v>
      </c>
      <c r="CO42" s="83" t="s">
        <v>11</v>
      </c>
      <c r="CP42" s="1">
        <v>0</v>
      </c>
      <c r="CQ42" s="2">
        <v>0</v>
      </c>
      <c r="CR42" s="3">
        <v>0</v>
      </c>
      <c r="CS42" s="4">
        <f>SUM(CP42:CR42)</f>
        <v>0</v>
      </c>
      <c r="CT42" s="5">
        <v>0</v>
      </c>
      <c r="CU42" s="40"/>
      <c r="CV42" s="209"/>
      <c r="CW42" s="82" t="s">
        <v>14</v>
      </c>
      <c r="CX42" s="83" t="s">
        <v>11</v>
      </c>
      <c r="CY42" s="1">
        <v>0</v>
      </c>
      <c r="CZ42" s="2">
        <v>0</v>
      </c>
      <c r="DA42" s="3">
        <v>0</v>
      </c>
      <c r="DB42" s="4">
        <f>SUM(CY42:DA42)</f>
        <v>0</v>
      </c>
      <c r="DC42" s="5">
        <v>0</v>
      </c>
      <c r="DD42" s="40"/>
      <c r="DE42" s="209"/>
      <c r="DF42" s="18" t="s">
        <v>14</v>
      </c>
      <c r="DG42" s="29" t="s">
        <v>11</v>
      </c>
      <c r="DH42" s="1">
        <f t="shared" si="67"/>
        <v>0</v>
      </c>
      <c r="DI42" s="2">
        <f t="shared" si="68"/>
        <v>35</v>
      </c>
      <c r="DJ42" s="20">
        <f t="shared" si="69"/>
        <v>624</v>
      </c>
      <c r="DK42" s="4">
        <f>SUM(DH42:DJ42)</f>
        <v>659</v>
      </c>
      <c r="DL42" s="5">
        <f>H42+Q42+Z42+AI42+AR42+BA42+BJ42+BS42+CB42+CK42+CT42+DC42</f>
        <v>0</v>
      </c>
      <c r="DM42" s="17"/>
    </row>
    <row r="43" spans="1:117" ht="17.100000000000001" customHeight="1" thickBot="1" x14ac:dyDescent="0.3">
      <c r="A43" s="209"/>
      <c r="B43" s="84" t="s">
        <v>12</v>
      </c>
      <c r="C43" s="85" t="s">
        <v>13</v>
      </c>
      <c r="D43" s="155">
        <v>0</v>
      </c>
      <c r="E43" s="156">
        <v>0</v>
      </c>
      <c r="F43" s="157">
        <v>9</v>
      </c>
      <c r="G43" s="9">
        <f>SUM(D43:F43)</f>
        <v>9</v>
      </c>
      <c r="H43" s="10">
        <v>0</v>
      </c>
      <c r="I43" s="40"/>
      <c r="J43" s="209"/>
      <c r="K43" s="84" t="s">
        <v>12</v>
      </c>
      <c r="L43" s="85" t="s">
        <v>13</v>
      </c>
      <c r="M43" s="155">
        <v>0</v>
      </c>
      <c r="N43" s="156">
        <v>1</v>
      </c>
      <c r="O43" s="157">
        <v>0</v>
      </c>
      <c r="P43" s="9">
        <f>SUM(M43:O43)</f>
        <v>1</v>
      </c>
      <c r="Q43" s="10">
        <v>0</v>
      </c>
      <c r="R43" s="40"/>
      <c r="S43" s="209"/>
      <c r="T43" s="84" t="s">
        <v>12</v>
      </c>
      <c r="U43" s="85" t="s">
        <v>13</v>
      </c>
      <c r="V43" s="6">
        <v>0</v>
      </c>
      <c r="W43" s="156">
        <v>1</v>
      </c>
      <c r="X43" s="157">
        <v>0</v>
      </c>
      <c r="Y43" s="9">
        <f>SUM(V43:X43)</f>
        <v>1</v>
      </c>
      <c r="Z43" s="10">
        <v>0</v>
      </c>
      <c r="AA43" s="40"/>
      <c r="AB43" s="209"/>
      <c r="AC43" s="84" t="s">
        <v>12</v>
      </c>
      <c r="AD43" s="85" t="s">
        <v>13</v>
      </c>
      <c r="AE43" s="161">
        <v>0</v>
      </c>
      <c r="AF43" s="162">
        <v>0</v>
      </c>
      <c r="AG43" s="163">
        <v>0</v>
      </c>
      <c r="AH43" s="9">
        <f>SUM(AE43:AG43)</f>
        <v>0</v>
      </c>
      <c r="AI43" s="10">
        <v>0</v>
      </c>
      <c r="AJ43" s="40"/>
      <c r="AK43" s="209"/>
      <c r="AL43" s="84" t="s">
        <v>12</v>
      </c>
      <c r="AM43" s="85" t="s">
        <v>13</v>
      </c>
      <c r="AN43" s="6">
        <v>0</v>
      </c>
      <c r="AO43" s="7">
        <v>11</v>
      </c>
      <c r="AP43" s="8">
        <v>99</v>
      </c>
      <c r="AQ43" s="9">
        <f>SUM(AN43:AP43)</f>
        <v>110</v>
      </c>
      <c r="AR43" s="10">
        <v>0</v>
      </c>
      <c r="AS43" s="40"/>
      <c r="AT43" s="209"/>
      <c r="AU43" s="84" t="s">
        <v>12</v>
      </c>
      <c r="AV43" s="85" t="s">
        <v>13</v>
      </c>
      <c r="AW43" s="6">
        <v>0</v>
      </c>
      <c r="AX43" s="7">
        <v>6</v>
      </c>
      <c r="AY43" s="8">
        <v>74</v>
      </c>
      <c r="AZ43" s="9">
        <f>SUM(AW43:AY43)</f>
        <v>80</v>
      </c>
      <c r="BA43" s="10">
        <v>0</v>
      </c>
      <c r="BB43" s="40"/>
      <c r="BC43" s="209"/>
      <c r="BD43" s="84" t="s">
        <v>12</v>
      </c>
      <c r="BE43" s="85" t="s">
        <v>13</v>
      </c>
      <c r="BF43" s="161">
        <v>0</v>
      </c>
      <c r="BG43" s="162">
        <v>4</v>
      </c>
      <c r="BH43" s="163">
        <v>0</v>
      </c>
      <c r="BI43" s="166">
        <v>4</v>
      </c>
      <c r="BJ43" s="10">
        <v>0</v>
      </c>
      <c r="BK43" s="40"/>
      <c r="BL43" s="209"/>
      <c r="BM43" s="84" t="s">
        <v>12</v>
      </c>
      <c r="BN43" s="85" t="s">
        <v>13</v>
      </c>
      <c r="BO43" s="195">
        <v>0</v>
      </c>
      <c r="BP43" s="196">
        <v>0</v>
      </c>
      <c r="BQ43" s="197">
        <v>4</v>
      </c>
      <c r="BR43" s="184">
        <f t="shared" si="63"/>
        <v>4</v>
      </c>
      <c r="BS43" s="185">
        <v>0</v>
      </c>
      <c r="BT43" s="40"/>
      <c r="BU43" s="209"/>
      <c r="BV43" s="84" t="s">
        <v>12</v>
      </c>
      <c r="BW43" s="85" t="s">
        <v>13</v>
      </c>
      <c r="BX43" s="181">
        <v>0</v>
      </c>
      <c r="BY43" s="182">
        <v>11</v>
      </c>
      <c r="BZ43" s="183">
        <v>18</v>
      </c>
      <c r="CA43" s="184">
        <f t="shared" si="64"/>
        <v>29</v>
      </c>
      <c r="CB43" s="185">
        <v>0</v>
      </c>
      <c r="CC43" s="40"/>
      <c r="CD43" s="209"/>
      <c r="CE43" s="84" t="s">
        <v>12</v>
      </c>
      <c r="CF43" s="85" t="s">
        <v>13</v>
      </c>
      <c r="CG43" s="181">
        <v>0</v>
      </c>
      <c r="CH43" s="182">
        <v>11</v>
      </c>
      <c r="CI43" s="183">
        <v>9</v>
      </c>
      <c r="CJ43" s="184">
        <f t="shared" si="65"/>
        <v>20</v>
      </c>
      <c r="CK43" s="185">
        <v>0</v>
      </c>
      <c r="CL43" s="40"/>
      <c r="CM43" s="209"/>
      <c r="CN43" s="84" t="s">
        <v>12</v>
      </c>
      <c r="CO43" s="85" t="s">
        <v>13</v>
      </c>
      <c r="CP43" s="6">
        <v>0</v>
      </c>
      <c r="CQ43" s="7">
        <v>0</v>
      </c>
      <c r="CR43" s="8">
        <v>0</v>
      </c>
      <c r="CS43" s="9">
        <f>SUM(CP43:CR43)</f>
        <v>0</v>
      </c>
      <c r="CT43" s="10">
        <v>0</v>
      </c>
      <c r="CU43" s="40"/>
      <c r="CV43" s="209"/>
      <c r="CW43" s="84" t="s">
        <v>12</v>
      </c>
      <c r="CX43" s="85" t="s">
        <v>13</v>
      </c>
      <c r="CY43" s="6">
        <v>0</v>
      </c>
      <c r="CZ43" s="7">
        <v>0</v>
      </c>
      <c r="DA43" s="8">
        <v>0</v>
      </c>
      <c r="DB43" s="9">
        <f>SUM(CY43:DA43)</f>
        <v>0</v>
      </c>
      <c r="DC43" s="10">
        <v>0</v>
      </c>
      <c r="DD43" s="40"/>
      <c r="DE43" s="209"/>
      <c r="DF43" s="19" t="s">
        <v>12</v>
      </c>
      <c r="DG43" s="30" t="s">
        <v>13</v>
      </c>
      <c r="DH43" s="6">
        <f t="shared" si="67"/>
        <v>0</v>
      </c>
      <c r="DI43" s="7">
        <f t="shared" si="68"/>
        <v>45</v>
      </c>
      <c r="DJ43" s="21">
        <f t="shared" si="69"/>
        <v>213</v>
      </c>
      <c r="DK43" s="9">
        <f>SUM(DH43:DJ43)</f>
        <v>258</v>
      </c>
      <c r="DL43" s="10">
        <f>H43+Q43+Z43+AI43+AR43+BA43+BJ43+BS43+CB43+CK43+CT43+DC43</f>
        <v>0</v>
      </c>
      <c r="DM43" s="17"/>
    </row>
    <row r="44" spans="1:117" ht="17.100000000000001" customHeight="1" thickBot="1" x14ac:dyDescent="0.3">
      <c r="A44" s="210"/>
      <c r="B44" s="211" t="s">
        <v>3</v>
      </c>
      <c r="C44" s="212"/>
      <c r="D44" s="11">
        <f>SUM(D40:D43)</f>
        <v>1</v>
      </c>
      <c r="E44" s="12">
        <f>SUM(E40:E43)</f>
        <v>22</v>
      </c>
      <c r="F44" s="13">
        <f>SUM(F40:F43)</f>
        <v>739</v>
      </c>
      <c r="G44" s="14">
        <f>SUM(G40:G43)</f>
        <v>762</v>
      </c>
      <c r="H44" s="15">
        <f>SUM(H40:H43)</f>
        <v>0</v>
      </c>
      <c r="I44" s="40"/>
      <c r="J44" s="210"/>
      <c r="K44" s="211" t="s">
        <v>3</v>
      </c>
      <c r="L44" s="212"/>
      <c r="M44" s="11">
        <f>SUM(M40:M43)</f>
        <v>0</v>
      </c>
      <c r="N44" s="12">
        <f>SUM(N40:N43)</f>
        <v>17</v>
      </c>
      <c r="O44" s="13">
        <f>SUM(O40:O43)</f>
        <v>572</v>
      </c>
      <c r="P44" s="14">
        <f>SUM(P40:P43)</f>
        <v>589</v>
      </c>
      <c r="Q44" s="15">
        <f>SUM(Q40:Q43)</f>
        <v>0</v>
      </c>
      <c r="R44" s="40"/>
      <c r="S44" s="210"/>
      <c r="T44" s="211" t="s">
        <v>3</v>
      </c>
      <c r="U44" s="212"/>
      <c r="V44" s="11">
        <f>SUM(V40:V43)</f>
        <v>0</v>
      </c>
      <c r="W44" s="12">
        <f>SUM(W40:W43)</f>
        <v>13</v>
      </c>
      <c r="X44" s="13">
        <f>SUM(X40:X43)</f>
        <v>757</v>
      </c>
      <c r="Y44" s="14">
        <f>SUM(Y40:Y43)</f>
        <v>770</v>
      </c>
      <c r="Z44" s="15">
        <f>SUM(Z40:Z43)</f>
        <v>0</v>
      </c>
      <c r="AA44" s="40"/>
      <c r="AB44" s="210"/>
      <c r="AC44" s="211" t="s">
        <v>3</v>
      </c>
      <c r="AD44" s="212"/>
      <c r="AE44" s="11">
        <f>SUM(AE40:AE43)</f>
        <v>0</v>
      </c>
      <c r="AF44" s="12">
        <f>SUM(AF40:AF43)</f>
        <v>1</v>
      </c>
      <c r="AG44" s="13">
        <f>SUM(AG40:AG43)</f>
        <v>1108</v>
      </c>
      <c r="AH44" s="14">
        <f>SUM(AH40:AH43)</f>
        <v>1109</v>
      </c>
      <c r="AI44" s="15">
        <f>SUM(AI40:AI43)</f>
        <v>0</v>
      </c>
      <c r="AJ44" s="40"/>
      <c r="AK44" s="210"/>
      <c r="AL44" s="211" t="s">
        <v>3</v>
      </c>
      <c r="AM44" s="212"/>
      <c r="AN44" s="11">
        <f>SUM(AN40:AN43)</f>
        <v>0</v>
      </c>
      <c r="AO44" s="12">
        <f>SUM(AO40:AO43)</f>
        <v>51</v>
      </c>
      <c r="AP44" s="13">
        <f>SUM(AP40:AP43)</f>
        <v>912</v>
      </c>
      <c r="AQ44" s="14">
        <f>SUM(AQ40:AQ43)</f>
        <v>963</v>
      </c>
      <c r="AR44" s="15">
        <f>SUM(AR40:AR43)</f>
        <v>0</v>
      </c>
      <c r="AS44" s="40"/>
      <c r="AT44" s="210"/>
      <c r="AU44" s="211" t="s">
        <v>3</v>
      </c>
      <c r="AV44" s="212"/>
      <c r="AW44" s="11">
        <f>SUM(AW40:AW43)</f>
        <v>0</v>
      </c>
      <c r="AX44" s="12">
        <f>SUM(AX40:AX43)</f>
        <v>29</v>
      </c>
      <c r="AY44" s="13">
        <f>SUM(AY40:AY43)</f>
        <v>880</v>
      </c>
      <c r="AZ44" s="14">
        <f>SUM(AZ40:AZ43)</f>
        <v>909</v>
      </c>
      <c r="BA44" s="15">
        <f>SUM(BA40:BA43)</f>
        <v>0</v>
      </c>
      <c r="BB44" s="40"/>
      <c r="BC44" s="210"/>
      <c r="BD44" s="211" t="s">
        <v>3</v>
      </c>
      <c r="BE44" s="212"/>
      <c r="BF44" s="155">
        <v>0</v>
      </c>
      <c r="BG44" s="156">
        <v>1</v>
      </c>
      <c r="BH44" s="157">
        <v>0</v>
      </c>
      <c r="BI44" s="165">
        <v>1</v>
      </c>
      <c r="BJ44" s="15">
        <f>SUM(BJ40:BJ43)</f>
        <v>0</v>
      </c>
      <c r="BK44" s="40"/>
      <c r="BL44" s="210"/>
      <c r="BM44" s="211" t="s">
        <v>3</v>
      </c>
      <c r="BN44" s="212"/>
      <c r="BO44" s="186">
        <f t="shared" ref="BO44:BS44" si="70">SUM(BO40:BO43)</f>
        <v>0</v>
      </c>
      <c r="BP44" s="187">
        <f t="shared" si="70"/>
        <v>6</v>
      </c>
      <c r="BQ44" s="188">
        <f t="shared" si="70"/>
        <v>971</v>
      </c>
      <c r="BR44" s="189">
        <f t="shared" si="70"/>
        <v>977</v>
      </c>
      <c r="BS44" s="190">
        <f t="shared" si="70"/>
        <v>0</v>
      </c>
      <c r="BT44" s="40"/>
      <c r="BU44" s="210"/>
      <c r="BV44" s="211" t="s">
        <v>3</v>
      </c>
      <c r="BW44" s="212"/>
      <c r="BX44" s="186">
        <f t="shared" ref="BX44:CB44" si="71">SUM(BX40:BX43)</f>
        <v>0</v>
      </c>
      <c r="BY44" s="187">
        <f t="shared" si="71"/>
        <v>120</v>
      </c>
      <c r="BZ44" s="188">
        <f t="shared" si="71"/>
        <v>296</v>
      </c>
      <c r="CA44" s="189">
        <f t="shared" si="71"/>
        <v>416</v>
      </c>
      <c r="CB44" s="190">
        <f t="shared" si="71"/>
        <v>0</v>
      </c>
      <c r="CC44" s="40"/>
      <c r="CD44" s="210"/>
      <c r="CE44" s="211" t="s">
        <v>3</v>
      </c>
      <c r="CF44" s="212"/>
      <c r="CG44" s="186">
        <f t="shared" ref="CG44:CK44" si="72">SUM(CG40:CG43)</f>
        <v>0</v>
      </c>
      <c r="CH44" s="187">
        <f t="shared" si="72"/>
        <v>120</v>
      </c>
      <c r="CI44" s="188">
        <f t="shared" si="72"/>
        <v>308</v>
      </c>
      <c r="CJ44" s="189">
        <f t="shared" si="72"/>
        <v>428</v>
      </c>
      <c r="CK44" s="190">
        <f t="shared" si="72"/>
        <v>0</v>
      </c>
      <c r="CL44" s="40"/>
      <c r="CM44" s="210"/>
      <c r="CN44" s="211" t="s">
        <v>3</v>
      </c>
      <c r="CO44" s="212"/>
      <c r="CP44" s="11">
        <f>SUM(CP40:CP43)</f>
        <v>0</v>
      </c>
      <c r="CQ44" s="12">
        <f>SUM(CQ40:CQ43)</f>
        <v>0</v>
      </c>
      <c r="CR44" s="13">
        <f>SUM(CR40:CR43)</f>
        <v>0</v>
      </c>
      <c r="CS44" s="14">
        <f>SUM(CS40:CS43)</f>
        <v>0</v>
      </c>
      <c r="CT44" s="15">
        <f>SUM(CT40:CT43)</f>
        <v>0</v>
      </c>
      <c r="CU44" s="40"/>
      <c r="CV44" s="210"/>
      <c r="CW44" s="211" t="s">
        <v>3</v>
      </c>
      <c r="CX44" s="212"/>
      <c r="CY44" s="11">
        <f>SUM(CY40:CY43)</f>
        <v>0</v>
      </c>
      <c r="CZ44" s="12">
        <f>SUM(CZ40:CZ43)</f>
        <v>0</v>
      </c>
      <c r="DA44" s="13">
        <f>SUM(DA40:DA43)</f>
        <v>0</v>
      </c>
      <c r="DB44" s="14">
        <f>SUM(DB40:DB43)</f>
        <v>0</v>
      </c>
      <c r="DC44" s="15">
        <f>SUM(DC40:DC43)</f>
        <v>0</v>
      </c>
      <c r="DD44" s="40"/>
      <c r="DE44" s="210"/>
      <c r="DF44" s="238" t="s">
        <v>3</v>
      </c>
      <c r="DG44" s="239"/>
      <c r="DH44" s="22">
        <f>SUM(DH40:DH43)</f>
        <v>1</v>
      </c>
      <c r="DI44" s="23">
        <f>SUM(DI40:DI43)</f>
        <v>395</v>
      </c>
      <c r="DJ44" s="24">
        <f>SUM(DJ40:DJ43)</f>
        <v>8575</v>
      </c>
      <c r="DK44" s="25">
        <f>SUM(DK40:DK43)</f>
        <v>8971</v>
      </c>
      <c r="DL44" s="26">
        <f>SUM(DL40:DL43)</f>
        <v>0</v>
      </c>
      <c r="DM44" s="17"/>
    </row>
    <row r="45" spans="1:117" ht="17.100000000000001" customHeight="1" thickBot="1" x14ac:dyDescent="0.3">
      <c r="A45" s="208"/>
      <c r="B45" s="123" t="s">
        <v>12</v>
      </c>
      <c r="C45" s="80" t="s">
        <v>11</v>
      </c>
      <c r="D45" s="1">
        <v>0</v>
      </c>
      <c r="E45" s="2">
        <v>0</v>
      </c>
      <c r="F45" s="3">
        <v>0</v>
      </c>
      <c r="G45" s="4">
        <f>SUM(D45:F45)</f>
        <v>0</v>
      </c>
      <c r="H45" s="5">
        <v>0</v>
      </c>
      <c r="I45" s="40"/>
      <c r="J45" s="208"/>
      <c r="K45" s="123" t="s">
        <v>12</v>
      </c>
      <c r="L45" s="80" t="s">
        <v>11</v>
      </c>
      <c r="M45" s="1">
        <v>0</v>
      </c>
      <c r="N45" s="2">
        <v>0</v>
      </c>
      <c r="O45" s="3">
        <v>0</v>
      </c>
      <c r="P45" s="4">
        <f>SUM(M45:O45)</f>
        <v>0</v>
      </c>
      <c r="Q45" s="5">
        <v>0</v>
      </c>
      <c r="R45" s="40"/>
      <c r="S45" s="208"/>
      <c r="T45" s="123" t="s">
        <v>12</v>
      </c>
      <c r="U45" s="80" t="s">
        <v>11</v>
      </c>
      <c r="V45" s="1">
        <v>0</v>
      </c>
      <c r="W45" s="2">
        <v>0</v>
      </c>
      <c r="X45" s="3">
        <v>0</v>
      </c>
      <c r="Y45" s="4">
        <f>SUM(V45:X45)</f>
        <v>0</v>
      </c>
      <c r="Z45" s="5">
        <v>0</v>
      </c>
      <c r="AA45" s="40"/>
      <c r="AB45" s="208"/>
      <c r="AC45" s="123" t="s">
        <v>12</v>
      </c>
      <c r="AD45" s="80" t="s">
        <v>11</v>
      </c>
      <c r="AE45" s="1">
        <v>0</v>
      </c>
      <c r="AF45" s="2">
        <v>0</v>
      </c>
      <c r="AG45" s="3">
        <v>0</v>
      </c>
      <c r="AH45" s="4">
        <f>SUM(AE45:AG45)</f>
        <v>0</v>
      </c>
      <c r="AI45" s="5">
        <v>0</v>
      </c>
      <c r="AJ45" s="40"/>
      <c r="AK45" s="208"/>
      <c r="AL45" s="123" t="s">
        <v>12</v>
      </c>
      <c r="AM45" s="80" t="s">
        <v>11</v>
      </c>
      <c r="AN45" s="1">
        <v>0</v>
      </c>
      <c r="AO45" s="2">
        <v>0</v>
      </c>
      <c r="AP45" s="3">
        <v>0</v>
      </c>
      <c r="AQ45" s="4">
        <f>SUM(AN45:AP45)</f>
        <v>0</v>
      </c>
      <c r="AR45" s="5">
        <v>0</v>
      </c>
      <c r="AS45" s="40"/>
      <c r="AT45" s="208"/>
      <c r="AU45" s="123" t="s">
        <v>12</v>
      </c>
      <c r="AV45" s="80" t="s">
        <v>11</v>
      </c>
      <c r="AW45" s="1">
        <v>0</v>
      </c>
      <c r="AX45" s="2">
        <v>0</v>
      </c>
      <c r="AY45" s="3">
        <v>0</v>
      </c>
      <c r="AZ45" s="4">
        <f>SUM(AW45:AY45)</f>
        <v>0</v>
      </c>
      <c r="BA45" s="5">
        <v>0</v>
      </c>
      <c r="BB45" s="40"/>
      <c r="BC45" s="208"/>
      <c r="BD45" s="123" t="s">
        <v>12</v>
      </c>
      <c r="BE45" s="80" t="s">
        <v>11</v>
      </c>
      <c r="BF45" s="168">
        <v>0</v>
      </c>
      <c r="BG45" s="169">
        <v>17</v>
      </c>
      <c r="BH45" s="165">
        <v>572</v>
      </c>
      <c r="BI45" s="175">
        <v>589</v>
      </c>
      <c r="BJ45" s="5">
        <v>0</v>
      </c>
      <c r="BK45" s="40"/>
      <c r="BL45" s="208"/>
      <c r="BM45" s="123" t="s">
        <v>12</v>
      </c>
      <c r="BN45" s="80" t="s">
        <v>11</v>
      </c>
      <c r="BO45" s="176">
        <v>0</v>
      </c>
      <c r="BP45" s="177">
        <v>0</v>
      </c>
      <c r="BQ45" s="178">
        <v>0</v>
      </c>
      <c r="BR45" s="179">
        <f t="shared" ref="BR45:BR48" si="73">SUM(BO45:BQ45)</f>
        <v>0</v>
      </c>
      <c r="BS45" s="180">
        <v>0</v>
      </c>
      <c r="BT45" s="40"/>
      <c r="BU45" s="208"/>
      <c r="BV45" s="123" t="s">
        <v>12</v>
      </c>
      <c r="BW45" s="80" t="s">
        <v>11</v>
      </c>
      <c r="BX45" s="1">
        <v>0</v>
      </c>
      <c r="BY45" s="2">
        <v>0</v>
      </c>
      <c r="BZ45" s="3">
        <v>0</v>
      </c>
      <c r="CA45" s="4">
        <f>SUM(BX45:BZ45)</f>
        <v>0</v>
      </c>
      <c r="CB45" s="5">
        <v>0</v>
      </c>
      <c r="CC45" s="40"/>
      <c r="CD45" s="208"/>
      <c r="CE45" s="123" t="s">
        <v>12</v>
      </c>
      <c r="CF45" s="80" t="s">
        <v>11</v>
      </c>
      <c r="CG45" s="1">
        <v>0</v>
      </c>
      <c r="CH45" s="2">
        <v>0</v>
      </c>
      <c r="CI45" s="3">
        <v>0</v>
      </c>
      <c r="CJ45" s="4">
        <f>SUM(CG45:CI45)</f>
        <v>0</v>
      </c>
      <c r="CK45" s="5">
        <v>0</v>
      </c>
      <c r="CL45" s="40"/>
      <c r="CM45" s="208"/>
      <c r="CN45" s="123" t="s">
        <v>12</v>
      </c>
      <c r="CO45" s="80" t="s">
        <v>11</v>
      </c>
      <c r="CP45" s="1">
        <v>0</v>
      </c>
      <c r="CQ45" s="2">
        <v>0</v>
      </c>
      <c r="CR45" s="3">
        <v>0</v>
      </c>
      <c r="CS45" s="4">
        <f>SUM(CP45:CR45)</f>
        <v>0</v>
      </c>
      <c r="CT45" s="5">
        <v>0</v>
      </c>
      <c r="CU45" s="40"/>
      <c r="CV45" s="208"/>
      <c r="CW45" s="123" t="s">
        <v>12</v>
      </c>
      <c r="CX45" s="80" t="s">
        <v>11</v>
      </c>
      <c r="CY45" s="1">
        <v>0</v>
      </c>
      <c r="CZ45" s="2">
        <v>0</v>
      </c>
      <c r="DA45" s="3">
        <v>0</v>
      </c>
      <c r="DB45" s="4">
        <f>SUM(CY45:DA45)</f>
        <v>0</v>
      </c>
      <c r="DC45" s="5">
        <v>0</v>
      </c>
      <c r="DD45" s="40"/>
      <c r="DE45" s="208">
        <f t="shared" ref="DE45" si="74">CV45</f>
        <v>0</v>
      </c>
      <c r="DF45" s="18"/>
      <c r="DG45" s="27" t="s">
        <v>11</v>
      </c>
      <c r="DH45" s="1">
        <f t="shared" ref="DH45:DH48" si="75">D45+M45+V45+AE45+AN45+AW45+BF45+BO45+BX45+CG45+CP45+CY45</f>
        <v>0</v>
      </c>
      <c r="DI45" s="2">
        <f t="shared" ref="DI45:DI48" si="76">E45+N45+W45+AF45+AO45+AX45+BG45+BP45+BY45+CH45+CQ45+CZ45</f>
        <v>17</v>
      </c>
      <c r="DJ45" s="20">
        <f t="shared" ref="DJ45:DJ48" si="77">F45+O45+X45+AG45+AP45+AY45+BH45+BQ45+BZ45+CI45+CR45+DA45</f>
        <v>572</v>
      </c>
      <c r="DK45" s="4">
        <f>SUM(DH45:DJ45)</f>
        <v>589</v>
      </c>
      <c r="DL45" s="5">
        <f>H45+Q45+Z45+AI45+AR45+BA45+BJ45+BS45+CB45+CK45+CT45+DC45</f>
        <v>0</v>
      </c>
      <c r="DM45" s="17"/>
    </row>
    <row r="46" spans="1:117" ht="17.100000000000001" customHeight="1" thickTop="1" thickBot="1" x14ac:dyDescent="0.3">
      <c r="A46" s="209"/>
      <c r="B46" s="124"/>
      <c r="C46" s="81" t="s">
        <v>13</v>
      </c>
      <c r="D46" s="6">
        <v>0</v>
      </c>
      <c r="E46" s="7">
        <v>0</v>
      </c>
      <c r="F46" s="8">
        <v>0</v>
      </c>
      <c r="G46" s="9">
        <f>SUM(D46:F46)</f>
        <v>0</v>
      </c>
      <c r="H46" s="10">
        <v>0</v>
      </c>
      <c r="I46" s="40"/>
      <c r="J46" s="209"/>
      <c r="K46" s="124"/>
      <c r="L46" s="81" t="s">
        <v>13</v>
      </c>
      <c r="M46" s="6">
        <v>0</v>
      </c>
      <c r="N46" s="7">
        <v>0</v>
      </c>
      <c r="O46" s="8">
        <v>0</v>
      </c>
      <c r="P46" s="9">
        <f>SUM(M46:O46)</f>
        <v>0</v>
      </c>
      <c r="Q46" s="10">
        <v>0</v>
      </c>
      <c r="R46" s="40"/>
      <c r="S46" s="209"/>
      <c r="T46" s="124"/>
      <c r="U46" s="81" t="s">
        <v>13</v>
      </c>
      <c r="V46" s="6">
        <v>0</v>
      </c>
      <c r="W46" s="7">
        <v>0</v>
      </c>
      <c r="X46" s="8">
        <v>0</v>
      </c>
      <c r="Y46" s="9">
        <f>SUM(V46:X46)</f>
        <v>0</v>
      </c>
      <c r="Z46" s="10">
        <v>0</v>
      </c>
      <c r="AA46" s="40"/>
      <c r="AB46" s="209"/>
      <c r="AC46" s="124"/>
      <c r="AD46" s="81" t="s">
        <v>13</v>
      </c>
      <c r="AE46" s="6">
        <v>0</v>
      </c>
      <c r="AF46" s="7">
        <v>0</v>
      </c>
      <c r="AG46" s="8">
        <v>0</v>
      </c>
      <c r="AH46" s="9">
        <f>SUM(AE46:AG46)</f>
        <v>0</v>
      </c>
      <c r="AI46" s="10">
        <v>0</v>
      </c>
      <c r="AJ46" s="40"/>
      <c r="AK46" s="209"/>
      <c r="AL46" s="124"/>
      <c r="AM46" s="81" t="s">
        <v>13</v>
      </c>
      <c r="AN46" s="6">
        <v>0</v>
      </c>
      <c r="AO46" s="7">
        <v>0</v>
      </c>
      <c r="AP46" s="8">
        <v>0</v>
      </c>
      <c r="AQ46" s="9">
        <f>SUM(AN46:AP46)</f>
        <v>0</v>
      </c>
      <c r="AR46" s="10">
        <v>0</v>
      </c>
      <c r="AS46" s="40"/>
      <c r="AT46" s="209"/>
      <c r="AU46" s="124"/>
      <c r="AV46" s="81" t="s">
        <v>13</v>
      </c>
      <c r="AW46" s="6">
        <v>0</v>
      </c>
      <c r="AX46" s="7">
        <v>0</v>
      </c>
      <c r="AY46" s="8">
        <v>0</v>
      </c>
      <c r="AZ46" s="9">
        <f>SUM(AW46:AY46)</f>
        <v>0</v>
      </c>
      <c r="BA46" s="10">
        <v>0</v>
      </c>
      <c r="BB46" s="40"/>
      <c r="BC46" s="209"/>
      <c r="BD46" s="124"/>
      <c r="BE46" s="81" t="s">
        <v>13</v>
      </c>
      <c r="BF46" s="161">
        <v>0</v>
      </c>
      <c r="BG46" s="162">
        <v>0</v>
      </c>
      <c r="BH46" s="163">
        <v>0</v>
      </c>
      <c r="BI46" s="166">
        <v>0</v>
      </c>
      <c r="BJ46" s="10">
        <v>0</v>
      </c>
      <c r="BK46" s="40"/>
      <c r="BL46" s="209"/>
      <c r="BM46" s="124"/>
      <c r="BN46" s="81" t="s">
        <v>13</v>
      </c>
      <c r="BO46" s="181">
        <v>0</v>
      </c>
      <c r="BP46" s="182">
        <v>0</v>
      </c>
      <c r="BQ46" s="183">
        <v>0</v>
      </c>
      <c r="BR46" s="184">
        <f t="shared" si="73"/>
        <v>0</v>
      </c>
      <c r="BS46" s="185">
        <v>0</v>
      </c>
      <c r="BT46" s="40"/>
      <c r="BU46" s="209"/>
      <c r="BV46" s="124"/>
      <c r="BW46" s="81" t="s">
        <v>13</v>
      </c>
      <c r="BX46" s="6">
        <v>0</v>
      </c>
      <c r="BY46" s="7">
        <v>0</v>
      </c>
      <c r="BZ46" s="8">
        <v>0</v>
      </c>
      <c r="CA46" s="9">
        <f>SUM(BX46:BZ46)</f>
        <v>0</v>
      </c>
      <c r="CB46" s="10">
        <v>0</v>
      </c>
      <c r="CC46" s="40"/>
      <c r="CD46" s="209"/>
      <c r="CE46" s="124"/>
      <c r="CF46" s="81" t="s">
        <v>13</v>
      </c>
      <c r="CG46" s="6">
        <v>0</v>
      </c>
      <c r="CH46" s="7">
        <v>0</v>
      </c>
      <c r="CI46" s="8">
        <v>0</v>
      </c>
      <c r="CJ46" s="9">
        <f>SUM(CG46:CI46)</f>
        <v>0</v>
      </c>
      <c r="CK46" s="10">
        <v>0</v>
      </c>
      <c r="CL46" s="40"/>
      <c r="CM46" s="209"/>
      <c r="CN46" s="124"/>
      <c r="CO46" s="81" t="s">
        <v>13</v>
      </c>
      <c r="CP46" s="6">
        <v>0</v>
      </c>
      <c r="CQ46" s="7">
        <v>0</v>
      </c>
      <c r="CR46" s="8">
        <v>0</v>
      </c>
      <c r="CS46" s="9">
        <f>SUM(CP46:CR46)</f>
        <v>0</v>
      </c>
      <c r="CT46" s="10">
        <v>0</v>
      </c>
      <c r="CU46" s="40"/>
      <c r="CV46" s="209"/>
      <c r="CW46" s="124"/>
      <c r="CX46" s="81" t="s">
        <v>13</v>
      </c>
      <c r="CY46" s="6">
        <v>0</v>
      </c>
      <c r="CZ46" s="7">
        <v>0</v>
      </c>
      <c r="DA46" s="8">
        <v>0</v>
      </c>
      <c r="DB46" s="9">
        <f>SUM(CY46:DA46)</f>
        <v>0</v>
      </c>
      <c r="DC46" s="10">
        <v>0</v>
      </c>
      <c r="DD46" s="40"/>
      <c r="DE46" s="209"/>
      <c r="DF46" s="19" t="s">
        <v>12</v>
      </c>
      <c r="DG46" s="28" t="s">
        <v>13</v>
      </c>
      <c r="DH46" s="6">
        <f t="shared" si="75"/>
        <v>0</v>
      </c>
      <c r="DI46" s="7">
        <f t="shared" si="76"/>
        <v>0</v>
      </c>
      <c r="DJ46" s="21">
        <f t="shared" si="77"/>
        <v>0</v>
      </c>
      <c r="DK46" s="9">
        <f>SUM(DH46:DJ46)</f>
        <v>0</v>
      </c>
      <c r="DL46" s="10">
        <f>H46+Q46+Z46+AI46+AR46+BA46+BJ46+BS46+CB46+CK46+CT46+DC46</f>
        <v>0</v>
      </c>
      <c r="DM46" s="17"/>
    </row>
    <row r="47" spans="1:117" ht="17.100000000000001" customHeight="1" thickBot="1" x14ac:dyDescent="0.3">
      <c r="A47" s="209"/>
      <c r="B47" s="82" t="s">
        <v>14</v>
      </c>
      <c r="C47" s="83" t="s">
        <v>11</v>
      </c>
      <c r="D47" s="1">
        <v>0</v>
      </c>
      <c r="E47" s="2">
        <v>0</v>
      </c>
      <c r="F47" s="3">
        <v>0</v>
      </c>
      <c r="G47" s="4">
        <f>SUM(D47:F47)</f>
        <v>0</v>
      </c>
      <c r="H47" s="5">
        <v>0</v>
      </c>
      <c r="I47" s="40"/>
      <c r="J47" s="209"/>
      <c r="K47" s="82" t="s">
        <v>14</v>
      </c>
      <c r="L47" s="83" t="s">
        <v>11</v>
      </c>
      <c r="M47" s="1">
        <v>0</v>
      </c>
      <c r="N47" s="2">
        <v>0</v>
      </c>
      <c r="O47" s="3">
        <v>0</v>
      </c>
      <c r="P47" s="4">
        <f>SUM(M47:O47)</f>
        <v>0</v>
      </c>
      <c r="Q47" s="5">
        <v>0</v>
      </c>
      <c r="R47" s="40"/>
      <c r="S47" s="209"/>
      <c r="T47" s="82" t="s">
        <v>14</v>
      </c>
      <c r="U47" s="83" t="s">
        <v>11</v>
      </c>
      <c r="V47" s="1">
        <v>0</v>
      </c>
      <c r="W47" s="2">
        <v>0</v>
      </c>
      <c r="X47" s="3">
        <v>0</v>
      </c>
      <c r="Y47" s="4">
        <f>SUM(V47:X47)</f>
        <v>0</v>
      </c>
      <c r="Z47" s="5">
        <v>0</v>
      </c>
      <c r="AA47" s="40"/>
      <c r="AB47" s="209"/>
      <c r="AC47" s="82" t="s">
        <v>14</v>
      </c>
      <c r="AD47" s="83" t="s">
        <v>11</v>
      </c>
      <c r="AE47" s="1">
        <v>0</v>
      </c>
      <c r="AF47" s="2">
        <v>0</v>
      </c>
      <c r="AG47" s="3">
        <v>0</v>
      </c>
      <c r="AH47" s="4">
        <f>SUM(AE47:AG47)</f>
        <v>0</v>
      </c>
      <c r="AI47" s="5">
        <v>0</v>
      </c>
      <c r="AJ47" s="40"/>
      <c r="AK47" s="209"/>
      <c r="AL47" s="82" t="s">
        <v>14</v>
      </c>
      <c r="AM47" s="83" t="s">
        <v>11</v>
      </c>
      <c r="AN47" s="1">
        <v>0</v>
      </c>
      <c r="AO47" s="2">
        <v>0</v>
      </c>
      <c r="AP47" s="3">
        <v>0</v>
      </c>
      <c r="AQ47" s="4">
        <f>SUM(AN47:AP47)</f>
        <v>0</v>
      </c>
      <c r="AR47" s="5">
        <v>0</v>
      </c>
      <c r="AS47" s="40"/>
      <c r="AT47" s="209"/>
      <c r="AU47" s="82" t="s">
        <v>14</v>
      </c>
      <c r="AV47" s="83" t="s">
        <v>11</v>
      </c>
      <c r="AW47" s="1">
        <v>0</v>
      </c>
      <c r="AX47" s="2">
        <v>0</v>
      </c>
      <c r="AY47" s="3">
        <v>0</v>
      </c>
      <c r="AZ47" s="4">
        <f>SUM(AW47:AY47)</f>
        <v>0</v>
      </c>
      <c r="BA47" s="5">
        <v>0</v>
      </c>
      <c r="BB47" s="40"/>
      <c r="BC47" s="209"/>
      <c r="BD47" s="82" t="s">
        <v>14</v>
      </c>
      <c r="BE47" s="83" t="s">
        <v>11</v>
      </c>
      <c r="BF47" s="155">
        <v>0</v>
      </c>
      <c r="BG47" s="156">
        <v>0</v>
      </c>
      <c r="BH47" s="157">
        <v>0</v>
      </c>
      <c r="BI47" s="165">
        <v>0</v>
      </c>
      <c r="BJ47" s="5">
        <v>0</v>
      </c>
      <c r="BK47" s="40"/>
      <c r="BL47" s="209"/>
      <c r="BM47" s="82" t="s">
        <v>14</v>
      </c>
      <c r="BN47" s="83" t="s">
        <v>11</v>
      </c>
      <c r="BO47" s="176">
        <v>0</v>
      </c>
      <c r="BP47" s="177">
        <v>0</v>
      </c>
      <c r="BQ47" s="178">
        <v>0</v>
      </c>
      <c r="BR47" s="179">
        <f t="shared" si="73"/>
        <v>0</v>
      </c>
      <c r="BS47" s="180">
        <v>0</v>
      </c>
      <c r="BT47" s="40"/>
      <c r="BU47" s="209"/>
      <c r="BV47" s="82" t="s">
        <v>14</v>
      </c>
      <c r="BW47" s="83" t="s">
        <v>11</v>
      </c>
      <c r="BX47" s="1">
        <v>0</v>
      </c>
      <c r="BY47" s="2">
        <v>0</v>
      </c>
      <c r="BZ47" s="3">
        <v>0</v>
      </c>
      <c r="CA47" s="4">
        <f>SUM(BX47:BZ47)</f>
        <v>0</v>
      </c>
      <c r="CB47" s="5">
        <v>0</v>
      </c>
      <c r="CC47" s="40"/>
      <c r="CD47" s="209"/>
      <c r="CE47" s="82" t="s">
        <v>14</v>
      </c>
      <c r="CF47" s="83" t="s">
        <v>11</v>
      </c>
      <c r="CG47" s="1">
        <v>0</v>
      </c>
      <c r="CH47" s="2">
        <v>0</v>
      </c>
      <c r="CI47" s="3">
        <v>0</v>
      </c>
      <c r="CJ47" s="4">
        <f>SUM(CG47:CI47)</f>
        <v>0</v>
      </c>
      <c r="CK47" s="5">
        <v>0</v>
      </c>
      <c r="CL47" s="40"/>
      <c r="CM47" s="209"/>
      <c r="CN47" s="82" t="s">
        <v>14</v>
      </c>
      <c r="CO47" s="83" t="s">
        <v>11</v>
      </c>
      <c r="CP47" s="1">
        <v>0</v>
      </c>
      <c r="CQ47" s="2">
        <v>0</v>
      </c>
      <c r="CR47" s="3">
        <v>0</v>
      </c>
      <c r="CS47" s="4">
        <f>SUM(CP47:CR47)</f>
        <v>0</v>
      </c>
      <c r="CT47" s="5">
        <v>0</v>
      </c>
      <c r="CU47" s="40"/>
      <c r="CV47" s="209"/>
      <c r="CW47" s="82" t="s">
        <v>14</v>
      </c>
      <c r="CX47" s="83" t="s">
        <v>11</v>
      </c>
      <c r="CY47" s="1">
        <v>0</v>
      </c>
      <c r="CZ47" s="2">
        <v>0</v>
      </c>
      <c r="DA47" s="3">
        <v>0</v>
      </c>
      <c r="DB47" s="4">
        <f>SUM(CY47:DA47)</f>
        <v>0</v>
      </c>
      <c r="DC47" s="5">
        <v>0</v>
      </c>
      <c r="DD47" s="40"/>
      <c r="DE47" s="209"/>
      <c r="DF47" s="18" t="s">
        <v>14</v>
      </c>
      <c r="DG47" s="29" t="s">
        <v>11</v>
      </c>
      <c r="DH47" s="1">
        <f t="shared" si="75"/>
        <v>0</v>
      </c>
      <c r="DI47" s="2">
        <f t="shared" si="76"/>
        <v>0</v>
      </c>
      <c r="DJ47" s="20">
        <f t="shared" si="77"/>
        <v>0</v>
      </c>
      <c r="DK47" s="4">
        <f>SUM(DH47:DJ47)</f>
        <v>0</v>
      </c>
      <c r="DL47" s="5">
        <f>H47+Q47+Z47+AI47+AR47+BA47+BJ47+BS47+CB47+CK47+CT47+DC47</f>
        <v>0</v>
      </c>
      <c r="DM47" s="17"/>
    </row>
    <row r="48" spans="1:117" ht="17.100000000000001" customHeight="1" thickTop="1" thickBot="1" x14ac:dyDescent="0.3">
      <c r="A48" s="209"/>
      <c r="B48" s="84" t="s">
        <v>12</v>
      </c>
      <c r="C48" s="85" t="s">
        <v>13</v>
      </c>
      <c r="D48" s="6">
        <v>0</v>
      </c>
      <c r="E48" s="7">
        <v>0</v>
      </c>
      <c r="F48" s="8">
        <v>0</v>
      </c>
      <c r="G48" s="9">
        <f>SUM(D48:F48)</f>
        <v>0</v>
      </c>
      <c r="H48" s="10">
        <v>0</v>
      </c>
      <c r="I48" s="40"/>
      <c r="J48" s="209"/>
      <c r="K48" s="84" t="s">
        <v>12</v>
      </c>
      <c r="L48" s="85" t="s">
        <v>13</v>
      </c>
      <c r="M48" s="6">
        <v>0</v>
      </c>
      <c r="N48" s="7">
        <v>0</v>
      </c>
      <c r="O48" s="8">
        <v>0</v>
      </c>
      <c r="P48" s="9">
        <f>SUM(M48:O48)</f>
        <v>0</v>
      </c>
      <c r="Q48" s="10">
        <v>0</v>
      </c>
      <c r="R48" s="40"/>
      <c r="S48" s="209"/>
      <c r="T48" s="84" t="s">
        <v>12</v>
      </c>
      <c r="U48" s="85" t="s">
        <v>13</v>
      </c>
      <c r="V48" s="6">
        <v>0</v>
      </c>
      <c r="W48" s="7">
        <v>0</v>
      </c>
      <c r="X48" s="8">
        <v>0</v>
      </c>
      <c r="Y48" s="9">
        <f>SUM(V48:X48)</f>
        <v>0</v>
      </c>
      <c r="Z48" s="10">
        <v>0</v>
      </c>
      <c r="AA48" s="40"/>
      <c r="AB48" s="209"/>
      <c r="AC48" s="84" t="s">
        <v>12</v>
      </c>
      <c r="AD48" s="85" t="s">
        <v>13</v>
      </c>
      <c r="AE48" s="6">
        <v>0</v>
      </c>
      <c r="AF48" s="7">
        <v>0</v>
      </c>
      <c r="AG48" s="8">
        <v>0</v>
      </c>
      <c r="AH48" s="9">
        <f>SUM(AE48:AG48)</f>
        <v>0</v>
      </c>
      <c r="AI48" s="10">
        <v>0</v>
      </c>
      <c r="AJ48" s="40"/>
      <c r="AK48" s="209"/>
      <c r="AL48" s="84" t="s">
        <v>12</v>
      </c>
      <c r="AM48" s="85" t="s">
        <v>13</v>
      </c>
      <c r="AN48" s="6">
        <v>0</v>
      </c>
      <c r="AO48" s="7">
        <v>0</v>
      </c>
      <c r="AP48" s="8">
        <v>0</v>
      </c>
      <c r="AQ48" s="9">
        <f>SUM(AN48:AP48)</f>
        <v>0</v>
      </c>
      <c r="AR48" s="10">
        <v>0</v>
      </c>
      <c r="AS48" s="40"/>
      <c r="AT48" s="209"/>
      <c r="AU48" s="84" t="s">
        <v>12</v>
      </c>
      <c r="AV48" s="85" t="s">
        <v>13</v>
      </c>
      <c r="AW48" s="6">
        <v>0</v>
      </c>
      <c r="AX48" s="7">
        <v>0</v>
      </c>
      <c r="AY48" s="8">
        <v>0</v>
      </c>
      <c r="AZ48" s="9">
        <f>SUM(AW48:AY48)</f>
        <v>0</v>
      </c>
      <c r="BA48" s="10">
        <v>0</v>
      </c>
      <c r="BB48" s="40"/>
      <c r="BC48" s="209"/>
      <c r="BD48" s="84" t="s">
        <v>12</v>
      </c>
      <c r="BE48" s="85" t="s">
        <v>13</v>
      </c>
      <c r="BF48" s="161">
        <v>0</v>
      </c>
      <c r="BG48" s="162">
        <v>0</v>
      </c>
      <c r="BH48" s="163">
        <v>0</v>
      </c>
      <c r="BI48" s="166">
        <v>0</v>
      </c>
      <c r="BJ48" s="10">
        <v>0</v>
      </c>
      <c r="BK48" s="40"/>
      <c r="BL48" s="209"/>
      <c r="BM48" s="84" t="s">
        <v>12</v>
      </c>
      <c r="BN48" s="85" t="s">
        <v>13</v>
      </c>
      <c r="BO48" s="181">
        <v>0</v>
      </c>
      <c r="BP48" s="182">
        <v>0</v>
      </c>
      <c r="BQ48" s="183">
        <v>0</v>
      </c>
      <c r="BR48" s="184">
        <f t="shared" si="73"/>
        <v>0</v>
      </c>
      <c r="BS48" s="185">
        <v>0</v>
      </c>
      <c r="BT48" s="40"/>
      <c r="BU48" s="209"/>
      <c r="BV48" s="84" t="s">
        <v>12</v>
      </c>
      <c r="BW48" s="85" t="s">
        <v>13</v>
      </c>
      <c r="BX48" s="6">
        <v>0</v>
      </c>
      <c r="BY48" s="7">
        <v>0</v>
      </c>
      <c r="BZ48" s="8">
        <v>0</v>
      </c>
      <c r="CA48" s="9">
        <f>SUM(BX48:BZ48)</f>
        <v>0</v>
      </c>
      <c r="CB48" s="10">
        <v>0</v>
      </c>
      <c r="CC48" s="40"/>
      <c r="CD48" s="209"/>
      <c r="CE48" s="84" t="s">
        <v>12</v>
      </c>
      <c r="CF48" s="85" t="s">
        <v>13</v>
      </c>
      <c r="CG48" s="6">
        <v>0</v>
      </c>
      <c r="CH48" s="7">
        <v>0</v>
      </c>
      <c r="CI48" s="8">
        <v>0</v>
      </c>
      <c r="CJ48" s="9">
        <f>SUM(CG48:CI48)</f>
        <v>0</v>
      </c>
      <c r="CK48" s="10">
        <v>0</v>
      </c>
      <c r="CL48" s="40"/>
      <c r="CM48" s="209"/>
      <c r="CN48" s="84" t="s">
        <v>12</v>
      </c>
      <c r="CO48" s="85" t="s">
        <v>13</v>
      </c>
      <c r="CP48" s="6">
        <v>0</v>
      </c>
      <c r="CQ48" s="7">
        <v>0</v>
      </c>
      <c r="CR48" s="8">
        <v>0</v>
      </c>
      <c r="CS48" s="9">
        <f>SUM(CP48:CR48)</f>
        <v>0</v>
      </c>
      <c r="CT48" s="10">
        <v>0</v>
      </c>
      <c r="CU48" s="40"/>
      <c r="CV48" s="209"/>
      <c r="CW48" s="84" t="s">
        <v>12</v>
      </c>
      <c r="CX48" s="85" t="s">
        <v>13</v>
      </c>
      <c r="CY48" s="6">
        <v>0</v>
      </c>
      <c r="CZ48" s="7">
        <v>0</v>
      </c>
      <c r="DA48" s="8">
        <v>0</v>
      </c>
      <c r="DB48" s="9">
        <f>SUM(CY48:DA48)</f>
        <v>0</v>
      </c>
      <c r="DC48" s="10">
        <v>0</v>
      </c>
      <c r="DD48" s="40"/>
      <c r="DE48" s="209"/>
      <c r="DF48" s="19" t="s">
        <v>12</v>
      </c>
      <c r="DG48" s="30" t="s">
        <v>13</v>
      </c>
      <c r="DH48" s="6">
        <f t="shared" si="75"/>
        <v>0</v>
      </c>
      <c r="DI48" s="7">
        <f t="shared" si="76"/>
        <v>0</v>
      </c>
      <c r="DJ48" s="21">
        <f t="shared" si="77"/>
        <v>0</v>
      </c>
      <c r="DK48" s="9">
        <f>SUM(DH48:DJ48)</f>
        <v>0</v>
      </c>
      <c r="DL48" s="10">
        <f>H48+Q48+Z48+AI48+AR48+BA48+BJ48+BS48+CB48+CK48+CT48+DC48</f>
        <v>0</v>
      </c>
      <c r="DM48" s="17"/>
    </row>
    <row r="49" spans="1:117" ht="17.100000000000001" customHeight="1" thickBot="1" x14ac:dyDescent="0.3">
      <c r="A49" s="210"/>
      <c r="B49" s="125" t="s">
        <v>3</v>
      </c>
      <c r="C49" s="126"/>
      <c r="D49" s="11">
        <f>SUM(D45:D48)</f>
        <v>0</v>
      </c>
      <c r="E49" s="12">
        <f>SUM(E45:E48)</f>
        <v>0</v>
      </c>
      <c r="F49" s="13">
        <f>SUM(F45:F48)</f>
        <v>0</v>
      </c>
      <c r="G49" s="14">
        <f>SUM(G45:G48)</f>
        <v>0</v>
      </c>
      <c r="H49" s="15">
        <f>SUM(H45:H48)</f>
        <v>0</v>
      </c>
      <c r="I49" s="40"/>
      <c r="J49" s="210"/>
      <c r="K49" s="125" t="s">
        <v>3</v>
      </c>
      <c r="L49" s="126"/>
      <c r="M49" s="11">
        <f>SUM(M45:M48)</f>
        <v>0</v>
      </c>
      <c r="N49" s="12">
        <f>SUM(N45:N48)</f>
        <v>0</v>
      </c>
      <c r="O49" s="13">
        <f>SUM(O45:O48)</f>
        <v>0</v>
      </c>
      <c r="P49" s="14">
        <f>SUM(P45:P48)</f>
        <v>0</v>
      </c>
      <c r="Q49" s="15">
        <f>SUM(Q45:Q48)</f>
        <v>0</v>
      </c>
      <c r="R49" s="40"/>
      <c r="S49" s="210"/>
      <c r="T49" s="125" t="s">
        <v>3</v>
      </c>
      <c r="U49" s="126"/>
      <c r="V49" s="11">
        <f>SUM(V45:V48)</f>
        <v>0</v>
      </c>
      <c r="W49" s="12">
        <f>SUM(W45:W48)</f>
        <v>0</v>
      </c>
      <c r="X49" s="13">
        <f>SUM(X45:X48)</f>
        <v>0</v>
      </c>
      <c r="Y49" s="14">
        <f>SUM(Y45:Y48)</f>
        <v>0</v>
      </c>
      <c r="Z49" s="15">
        <f>SUM(Z45:Z48)</f>
        <v>0</v>
      </c>
      <c r="AA49" s="40"/>
      <c r="AB49" s="210"/>
      <c r="AC49" s="125" t="s">
        <v>3</v>
      </c>
      <c r="AD49" s="126"/>
      <c r="AE49" s="11">
        <f>SUM(AE45:AE48)</f>
        <v>0</v>
      </c>
      <c r="AF49" s="12">
        <f>SUM(AF45:AF48)</f>
        <v>0</v>
      </c>
      <c r="AG49" s="13">
        <f>SUM(AG45:AG48)</f>
        <v>0</v>
      </c>
      <c r="AH49" s="14">
        <f>SUM(AH45:AH48)</f>
        <v>0</v>
      </c>
      <c r="AI49" s="15">
        <f>SUM(AI45:AI48)</f>
        <v>0</v>
      </c>
      <c r="AJ49" s="40"/>
      <c r="AK49" s="210"/>
      <c r="AL49" s="125" t="s">
        <v>3</v>
      </c>
      <c r="AM49" s="126"/>
      <c r="AN49" s="11">
        <f>SUM(AN45:AN48)</f>
        <v>0</v>
      </c>
      <c r="AO49" s="12">
        <f>SUM(AO45:AO48)</f>
        <v>0</v>
      </c>
      <c r="AP49" s="13">
        <f>SUM(AP45:AP48)</f>
        <v>0</v>
      </c>
      <c r="AQ49" s="14">
        <f>SUM(AQ45:AQ48)</f>
        <v>0</v>
      </c>
      <c r="AR49" s="15">
        <f>SUM(AR45:AR48)</f>
        <v>0</v>
      </c>
      <c r="AS49" s="40"/>
      <c r="AT49" s="210"/>
      <c r="AU49" s="125" t="s">
        <v>3</v>
      </c>
      <c r="AV49" s="126"/>
      <c r="AW49" s="11">
        <f>SUM(AW45:AW48)</f>
        <v>0</v>
      </c>
      <c r="AX49" s="12">
        <f>SUM(AX45:AX48)</f>
        <v>0</v>
      </c>
      <c r="AY49" s="13">
        <f>SUM(AY45:AY48)</f>
        <v>0</v>
      </c>
      <c r="AZ49" s="14">
        <f>SUM(AZ45:AZ48)</f>
        <v>0</v>
      </c>
      <c r="BA49" s="15">
        <f>SUM(BA45:BA48)</f>
        <v>0</v>
      </c>
      <c r="BB49" s="40"/>
      <c r="BC49" s="210"/>
      <c r="BD49" s="125" t="s">
        <v>3</v>
      </c>
      <c r="BE49" s="126"/>
      <c r="BF49" s="155">
        <v>0</v>
      </c>
      <c r="BG49" s="156">
        <v>0</v>
      </c>
      <c r="BH49" s="157">
        <v>0</v>
      </c>
      <c r="BI49" s="165">
        <v>0</v>
      </c>
      <c r="BJ49" s="15">
        <f>SUM(BJ45:BJ48)</f>
        <v>0</v>
      </c>
      <c r="BK49" s="40"/>
      <c r="BL49" s="210"/>
      <c r="BM49" s="125" t="s">
        <v>3</v>
      </c>
      <c r="BN49" s="126"/>
      <c r="BO49" s="186">
        <f t="shared" ref="BO49:BS49" si="78">SUM(BO45:BO48)</f>
        <v>0</v>
      </c>
      <c r="BP49" s="187">
        <f t="shared" si="78"/>
        <v>0</v>
      </c>
      <c r="BQ49" s="188">
        <f t="shared" si="78"/>
        <v>0</v>
      </c>
      <c r="BR49" s="189">
        <f t="shared" si="78"/>
        <v>0</v>
      </c>
      <c r="BS49" s="190">
        <f t="shared" si="78"/>
        <v>0</v>
      </c>
      <c r="BT49" s="40"/>
      <c r="BU49" s="210"/>
      <c r="BV49" s="125" t="s">
        <v>3</v>
      </c>
      <c r="BW49" s="126"/>
      <c r="BX49" s="11">
        <f>SUM(BX45:BX48)</f>
        <v>0</v>
      </c>
      <c r="BY49" s="12">
        <f>SUM(BY45:BY48)</f>
        <v>0</v>
      </c>
      <c r="BZ49" s="13">
        <f>SUM(BZ45:BZ48)</f>
        <v>0</v>
      </c>
      <c r="CA49" s="14">
        <f>SUM(CA45:CA48)</f>
        <v>0</v>
      </c>
      <c r="CB49" s="15">
        <f>SUM(CB45:CB48)</f>
        <v>0</v>
      </c>
      <c r="CC49" s="40"/>
      <c r="CD49" s="210"/>
      <c r="CE49" s="125" t="s">
        <v>3</v>
      </c>
      <c r="CF49" s="126"/>
      <c r="CG49" s="11">
        <f>SUM(CG45:CG48)</f>
        <v>0</v>
      </c>
      <c r="CH49" s="12">
        <f>SUM(CH45:CH48)</f>
        <v>0</v>
      </c>
      <c r="CI49" s="13">
        <f>SUM(CI45:CI48)</f>
        <v>0</v>
      </c>
      <c r="CJ49" s="14">
        <f>SUM(CJ45:CJ48)</f>
        <v>0</v>
      </c>
      <c r="CK49" s="15">
        <f>SUM(CK45:CK48)</f>
        <v>0</v>
      </c>
      <c r="CL49" s="40"/>
      <c r="CM49" s="210"/>
      <c r="CN49" s="125" t="s">
        <v>3</v>
      </c>
      <c r="CO49" s="126"/>
      <c r="CP49" s="11">
        <f>SUM(CP45:CP48)</f>
        <v>0</v>
      </c>
      <c r="CQ49" s="12">
        <f>SUM(CQ45:CQ48)</f>
        <v>0</v>
      </c>
      <c r="CR49" s="13">
        <f>SUM(CR45:CR48)</f>
        <v>0</v>
      </c>
      <c r="CS49" s="14">
        <f>SUM(CS45:CS48)</f>
        <v>0</v>
      </c>
      <c r="CT49" s="15">
        <f>SUM(CT45:CT48)</f>
        <v>0</v>
      </c>
      <c r="CU49" s="40"/>
      <c r="CV49" s="210"/>
      <c r="CW49" s="125" t="s">
        <v>3</v>
      </c>
      <c r="CX49" s="126"/>
      <c r="CY49" s="11">
        <f>SUM(CY45:CY48)</f>
        <v>0</v>
      </c>
      <c r="CZ49" s="12">
        <f>SUM(CZ45:CZ48)</f>
        <v>0</v>
      </c>
      <c r="DA49" s="13">
        <f>SUM(DA45:DA48)</f>
        <v>0</v>
      </c>
      <c r="DB49" s="14">
        <f>SUM(DB45:DB48)</f>
        <v>0</v>
      </c>
      <c r="DC49" s="15">
        <f>SUM(DC45:DC48)</f>
        <v>0</v>
      </c>
      <c r="DD49" s="40"/>
      <c r="DE49" s="210"/>
      <c r="DF49" s="238" t="s">
        <v>3</v>
      </c>
      <c r="DG49" s="239"/>
      <c r="DH49" s="22">
        <f>SUM(DH45:DH48)</f>
        <v>0</v>
      </c>
      <c r="DI49" s="23">
        <f>SUM(DI45:DI48)</f>
        <v>17</v>
      </c>
      <c r="DJ49" s="24">
        <f>SUM(DJ45:DJ48)</f>
        <v>572</v>
      </c>
      <c r="DK49" s="25">
        <f>SUM(DK45:DK48)</f>
        <v>589</v>
      </c>
      <c r="DL49" s="26">
        <f>SUM(DL45:DL48)</f>
        <v>0</v>
      </c>
      <c r="DM49" s="17"/>
    </row>
    <row r="50" spans="1:117" ht="17.100000000000001" customHeight="1" thickBot="1" x14ac:dyDescent="0.3">
      <c r="A50" s="208"/>
      <c r="B50" s="219" t="s">
        <v>12</v>
      </c>
      <c r="C50" s="80" t="s">
        <v>11</v>
      </c>
      <c r="D50" s="1">
        <v>0</v>
      </c>
      <c r="E50" s="2">
        <v>0</v>
      </c>
      <c r="F50" s="3">
        <v>0</v>
      </c>
      <c r="G50" s="4">
        <f>SUM(D50:F50)</f>
        <v>0</v>
      </c>
      <c r="H50" s="5">
        <v>0</v>
      </c>
      <c r="I50" s="40"/>
      <c r="J50" s="208"/>
      <c r="K50" s="219" t="s">
        <v>12</v>
      </c>
      <c r="L50" s="80" t="s">
        <v>11</v>
      </c>
      <c r="M50" s="1">
        <v>0</v>
      </c>
      <c r="N50" s="2">
        <v>0</v>
      </c>
      <c r="O50" s="3">
        <v>0</v>
      </c>
      <c r="P50" s="4">
        <f>SUM(M50:O50)</f>
        <v>0</v>
      </c>
      <c r="Q50" s="5">
        <v>0</v>
      </c>
      <c r="R50" s="40"/>
      <c r="S50" s="208"/>
      <c r="T50" s="219" t="s">
        <v>12</v>
      </c>
      <c r="U50" s="80" t="s">
        <v>11</v>
      </c>
      <c r="V50" s="1">
        <v>0</v>
      </c>
      <c r="W50" s="2">
        <v>0</v>
      </c>
      <c r="X50" s="3">
        <v>0</v>
      </c>
      <c r="Y50" s="4">
        <f>SUM(V50:X50)</f>
        <v>0</v>
      </c>
      <c r="Z50" s="5">
        <v>0</v>
      </c>
      <c r="AA50" s="40"/>
      <c r="AB50" s="208"/>
      <c r="AC50" s="219" t="s">
        <v>12</v>
      </c>
      <c r="AD50" s="80" t="s">
        <v>11</v>
      </c>
      <c r="AE50" s="1">
        <v>0</v>
      </c>
      <c r="AF50" s="2">
        <v>0</v>
      </c>
      <c r="AG50" s="3">
        <v>0</v>
      </c>
      <c r="AH50" s="4">
        <f>SUM(AE50:AG50)</f>
        <v>0</v>
      </c>
      <c r="AI50" s="5">
        <v>0</v>
      </c>
      <c r="AJ50" s="40"/>
      <c r="AK50" s="208"/>
      <c r="AL50" s="219" t="s">
        <v>12</v>
      </c>
      <c r="AM50" s="80" t="s">
        <v>11</v>
      </c>
      <c r="AN50" s="1">
        <v>0</v>
      </c>
      <c r="AO50" s="2">
        <v>0</v>
      </c>
      <c r="AP50" s="3">
        <v>0</v>
      </c>
      <c r="AQ50" s="4">
        <f>SUM(AN50:AP50)</f>
        <v>0</v>
      </c>
      <c r="AR50" s="5">
        <v>0</v>
      </c>
      <c r="AS50" s="40"/>
      <c r="AT50" s="208"/>
      <c r="AU50" s="219" t="s">
        <v>12</v>
      </c>
      <c r="AV50" s="80" t="s">
        <v>11</v>
      </c>
      <c r="AW50" s="1">
        <v>0</v>
      </c>
      <c r="AX50" s="2">
        <v>0</v>
      </c>
      <c r="AY50" s="3">
        <v>0</v>
      </c>
      <c r="AZ50" s="4">
        <f>SUM(AW50:AY50)</f>
        <v>0</v>
      </c>
      <c r="BA50" s="5">
        <v>0</v>
      </c>
      <c r="BB50" s="40"/>
      <c r="BC50" s="208"/>
      <c r="BD50" s="219" t="s">
        <v>12</v>
      </c>
      <c r="BE50" s="80" t="s">
        <v>11</v>
      </c>
      <c r="BF50" s="168">
        <v>0</v>
      </c>
      <c r="BG50" s="169">
        <v>0</v>
      </c>
      <c r="BH50" s="165">
        <v>0</v>
      </c>
      <c r="BI50" s="175">
        <v>0</v>
      </c>
      <c r="BJ50" s="5">
        <v>0</v>
      </c>
      <c r="BK50" s="40"/>
      <c r="BL50" s="208"/>
      <c r="BM50" s="219" t="s">
        <v>12</v>
      </c>
      <c r="BN50" s="80" t="s">
        <v>11</v>
      </c>
      <c r="BO50" s="176">
        <v>0</v>
      </c>
      <c r="BP50" s="177">
        <v>0</v>
      </c>
      <c r="BQ50" s="178">
        <v>0</v>
      </c>
      <c r="BR50" s="179">
        <f t="shared" ref="BR50:BR53" si="79">SUM(BO50:BQ50)</f>
        <v>0</v>
      </c>
      <c r="BS50" s="180">
        <v>0</v>
      </c>
      <c r="BT50" s="40"/>
      <c r="BU50" s="208"/>
      <c r="BV50" s="219" t="s">
        <v>12</v>
      </c>
      <c r="BW50" s="80" t="s">
        <v>11</v>
      </c>
      <c r="BX50" s="1">
        <v>0</v>
      </c>
      <c r="BY50" s="2">
        <v>0</v>
      </c>
      <c r="BZ50" s="3">
        <v>0</v>
      </c>
      <c r="CA50" s="4">
        <f>SUM(BX50:BZ50)</f>
        <v>0</v>
      </c>
      <c r="CB50" s="5">
        <v>0</v>
      </c>
      <c r="CC50" s="40"/>
      <c r="CD50" s="208"/>
      <c r="CE50" s="219" t="s">
        <v>12</v>
      </c>
      <c r="CF50" s="80" t="s">
        <v>11</v>
      </c>
      <c r="CG50" s="1">
        <v>0</v>
      </c>
      <c r="CH50" s="2">
        <v>0</v>
      </c>
      <c r="CI50" s="3">
        <v>0</v>
      </c>
      <c r="CJ50" s="4">
        <f>SUM(CG50:CI50)</f>
        <v>0</v>
      </c>
      <c r="CK50" s="5">
        <v>0</v>
      </c>
      <c r="CL50" s="40"/>
      <c r="CM50" s="208"/>
      <c r="CN50" s="219" t="s">
        <v>12</v>
      </c>
      <c r="CO50" s="80" t="s">
        <v>11</v>
      </c>
      <c r="CP50" s="1">
        <v>0</v>
      </c>
      <c r="CQ50" s="2">
        <v>0</v>
      </c>
      <c r="CR50" s="3">
        <v>0</v>
      </c>
      <c r="CS50" s="4">
        <f>SUM(CP50:CR50)</f>
        <v>0</v>
      </c>
      <c r="CT50" s="5">
        <v>0</v>
      </c>
      <c r="CU50" s="40"/>
      <c r="CV50" s="208"/>
      <c r="CW50" s="219" t="s">
        <v>12</v>
      </c>
      <c r="CX50" s="80" t="s">
        <v>11</v>
      </c>
      <c r="CY50" s="1">
        <v>0</v>
      </c>
      <c r="CZ50" s="2">
        <v>0</v>
      </c>
      <c r="DA50" s="3">
        <v>0</v>
      </c>
      <c r="DB50" s="4">
        <f>SUM(CY50:DA50)</f>
        <v>0</v>
      </c>
      <c r="DC50" s="5">
        <v>0</v>
      </c>
      <c r="DD50" s="40"/>
      <c r="DE50" s="208">
        <f t="shared" ref="DE50" si="80">CV50</f>
        <v>0</v>
      </c>
      <c r="DF50" s="18"/>
      <c r="DG50" s="27" t="s">
        <v>11</v>
      </c>
      <c r="DH50" s="1">
        <f t="shared" ref="DH50:DH53" si="81">D50+M50+V50+AE50+AN50+AW50+BF50+BO50+BX50+CG50+CP50+CY50</f>
        <v>0</v>
      </c>
      <c r="DI50" s="2">
        <f t="shared" ref="DI50:DI53" si="82">E50+N50+W50+AF50+AO50+AX50+BG50+BP50+BY50+CH50+CQ50+CZ50</f>
        <v>0</v>
      </c>
      <c r="DJ50" s="20">
        <f t="shared" ref="DJ50:DJ53" si="83">F50+O50+X50+AG50+AP50+AY50+BH50+BQ50+BZ50+CI50+CR50+DA50</f>
        <v>0</v>
      </c>
      <c r="DK50" s="4">
        <f>SUM(DH50:DJ50)</f>
        <v>0</v>
      </c>
      <c r="DL50" s="5">
        <f>H50+Q50+Z50+AI50+AR50+BA50+BJ50+BS50+CB50+CK50+CT50+DC50</f>
        <v>0</v>
      </c>
      <c r="DM50" s="17"/>
    </row>
    <row r="51" spans="1:117" ht="17.100000000000001" customHeight="1" thickTop="1" thickBot="1" x14ac:dyDescent="0.3">
      <c r="A51" s="209"/>
      <c r="B51" s="220"/>
      <c r="C51" s="81" t="s">
        <v>13</v>
      </c>
      <c r="D51" s="6">
        <v>0</v>
      </c>
      <c r="E51" s="7">
        <v>0</v>
      </c>
      <c r="F51" s="8">
        <v>0</v>
      </c>
      <c r="G51" s="9">
        <f>SUM(D51:F51)</f>
        <v>0</v>
      </c>
      <c r="H51" s="10">
        <v>0</v>
      </c>
      <c r="I51" s="40"/>
      <c r="J51" s="209"/>
      <c r="K51" s="220"/>
      <c r="L51" s="81" t="s">
        <v>13</v>
      </c>
      <c r="M51" s="6">
        <v>0</v>
      </c>
      <c r="N51" s="7">
        <v>0</v>
      </c>
      <c r="O51" s="8">
        <v>0</v>
      </c>
      <c r="P51" s="9">
        <f>SUM(M51:O51)</f>
        <v>0</v>
      </c>
      <c r="Q51" s="10">
        <v>0</v>
      </c>
      <c r="R51" s="40"/>
      <c r="S51" s="209"/>
      <c r="T51" s="220"/>
      <c r="U51" s="81" t="s">
        <v>13</v>
      </c>
      <c r="V51" s="6">
        <v>0</v>
      </c>
      <c r="W51" s="7">
        <v>0</v>
      </c>
      <c r="X51" s="8">
        <v>0</v>
      </c>
      <c r="Y51" s="9">
        <f>SUM(V51:X51)</f>
        <v>0</v>
      </c>
      <c r="Z51" s="10">
        <v>0</v>
      </c>
      <c r="AA51" s="40"/>
      <c r="AB51" s="209"/>
      <c r="AC51" s="220"/>
      <c r="AD51" s="81" t="s">
        <v>13</v>
      </c>
      <c r="AE51" s="6">
        <v>0</v>
      </c>
      <c r="AF51" s="7">
        <v>0</v>
      </c>
      <c r="AG51" s="8">
        <v>0</v>
      </c>
      <c r="AH51" s="9">
        <f>SUM(AE51:AG51)</f>
        <v>0</v>
      </c>
      <c r="AI51" s="10">
        <v>0</v>
      </c>
      <c r="AJ51" s="40"/>
      <c r="AK51" s="209"/>
      <c r="AL51" s="220"/>
      <c r="AM51" s="81" t="s">
        <v>13</v>
      </c>
      <c r="AN51" s="6">
        <v>0</v>
      </c>
      <c r="AO51" s="7">
        <v>0</v>
      </c>
      <c r="AP51" s="8">
        <v>0</v>
      </c>
      <c r="AQ51" s="9">
        <f>SUM(AN51:AP51)</f>
        <v>0</v>
      </c>
      <c r="AR51" s="10">
        <v>0</v>
      </c>
      <c r="AS51" s="40"/>
      <c r="AT51" s="209"/>
      <c r="AU51" s="220"/>
      <c r="AV51" s="81" t="s">
        <v>13</v>
      </c>
      <c r="AW51" s="6">
        <v>0</v>
      </c>
      <c r="AX51" s="7">
        <v>0</v>
      </c>
      <c r="AY51" s="8">
        <v>0</v>
      </c>
      <c r="AZ51" s="9">
        <f>SUM(AW51:AY51)</f>
        <v>0</v>
      </c>
      <c r="BA51" s="10">
        <v>0</v>
      </c>
      <c r="BB51" s="40"/>
      <c r="BC51" s="209"/>
      <c r="BD51" s="220"/>
      <c r="BE51" s="81" t="s">
        <v>13</v>
      </c>
      <c r="BF51" s="161">
        <v>0</v>
      </c>
      <c r="BG51" s="162">
        <v>0</v>
      </c>
      <c r="BH51" s="163">
        <v>0</v>
      </c>
      <c r="BI51" s="166">
        <v>0</v>
      </c>
      <c r="BJ51" s="10">
        <v>0</v>
      </c>
      <c r="BK51" s="40"/>
      <c r="BL51" s="209"/>
      <c r="BM51" s="220"/>
      <c r="BN51" s="81" t="s">
        <v>13</v>
      </c>
      <c r="BO51" s="181">
        <v>0</v>
      </c>
      <c r="BP51" s="182">
        <v>0</v>
      </c>
      <c r="BQ51" s="183">
        <v>0</v>
      </c>
      <c r="BR51" s="184">
        <f t="shared" si="79"/>
        <v>0</v>
      </c>
      <c r="BS51" s="185">
        <v>0</v>
      </c>
      <c r="BT51" s="40"/>
      <c r="BU51" s="209"/>
      <c r="BV51" s="220"/>
      <c r="BW51" s="81" t="s">
        <v>13</v>
      </c>
      <c r="BX51" s="6">
        <v>0</v>
      </c>
      <c r="BY51" s="7">
        <v>0</v>
      </c>
      <c r="BZ51" s="8">
        <v>0</v>
      </c>
      <c r="CA51" s="9">
        <f>SUM(BX51:BZ51)</f>
        <v>0</v>
      </c>
      <c r="CB51" s="10">
        <v>0</v>
      </c>
      <c r="CC51" s="40"/>
      <c r="CD51" s="209"/>
      <c r="CE51" s="220"/>
      <c r="CF51" s="81" t="s">
        <v>13</v>
      </c>
      <c r="CG51" s="6">
        <v>0</v>
      </c>
      <c r="CH51" s="7">
        <v>0</v>
      </c>
      <c r="CI51" s="8">
        <v>0</v>
      </c>
      <c r="CJ51" s="9">
        <f>SUM(CG51:CI51)</f>
        <v>0</v>
      </c>
      <c r="CK51" s="10">
        <v>0</v>
      </c>
      <c r="CL51" s="40"/>
      <c r="CM51" s="209"/>
      <c r="CN51" s="220"/>
      <c r="CO51" s="81" t="s">
        <v>13</v>
      </c>
      <c r="CP51" s="6">
        <v>0</v>
      </c>
      <c r="CQ51" s="7">
        <v>0</v>
      </c>
      <c r="CR51" s="8">
        <v>0</v>
      </c>
      <c r="CS51" s="9">
        <f>SUM(CP51:CR51)</f>
        <v>0</v>
      </c>
      <c r="CT51" s="10">
        <v>0</v>
      </c>
      <c r="CU51" s="40"/>
      <c r="CV51" s="209"/>
      <c r="CW51" s="220"/>
      <c r="CX51" s="81" t="s">
        <v>13</v>
      </c>
      <c r="CY51" s="6">
        <v>0</v>
      </c>
      <c r="CZ51" s="7">
        <v>0</v>
      </c>
      <c r="DA51" s="8">
        <v>0</v>
      </c>
      <c r="DB51" s="9">
        <f>SUM(CY51:DA51)</f>
        <v>0</v>
      </c>
      <c r="DC51" s="10">
        <v>0</v>
      </c>
      <c r="DD51" s="40"/>
      <c r="DE51" s="209"/>
      <c r="DF51" s="19" t="s">
        <v>12</v>
      </c>
      <c r="DG51" s="28" t="s">
        <v>13</v>
      </c>
      <c r="DH51" s="6">
        <f t="shared" si="81"/>
        <v>0</v>
      </c>
      <c r="DI51" s="7">
        <f t="shared" si="82"/>
        <v>0</v>
      </c>
      <c r="DJ51" s="21">
        <f t="shared" si="83"/>
        <v>0</v>
      </c>
      <c r="DK51" s="9">
        <f>SUM(DH51:DJ51)</f>
        <v>0</v>
      </c>
      <c r="DL51" s="10">
        <f>H51+Q51+Z51+AI51+AR51+BA51+BJ51+BS51+CB51+CK51+CT51+DC51</f>
        <v>0</v>
      </c>
      <c r="DM51" s="17"/>
    </row>
    <row r="52" spans="1:117" ht="17.100000000000001" customHeight="1" thickBot="1" x14ac:dyDescent="0.3">
      <c r="A52" s="209"/>
      <c r="B52" s="82" t="s">
        <v>14</v>
      </c>
      <c r="C52" s="83" t="s">
        <v>11</v>
      </c>
      <c r="D52" s="1">
        <v>0</v>
      </c>
      <c r="E52" s="2">
        <v>0</v>
      </c>
      <c r="F52" s="3">
        <v>0</v>
      </c>
      <c r="G52" s="4">
        <f>SUM(D52:F52)</f>
        <v>0</v>
      </c>
      <c r="H52" s="5">
        <v>0</v>
      </c>
      <c r="I52" s="40"/>
      <c r="J52" s="209"/>
      <c r="K52" s="82" t="s">
        <v>14</v>
      </c>
      <c r="L52" s="83" t="s">
        <v>11</v>
      </c>
      <c r="M52" s="1">
        <v>0</v>
      </c>
      <c r="N52" s="2">
        <v>0</v>
      </c>
      <c r="O52" s="3">
        <v>0</v>
      </c>
      <c r="P52" s="4">
        <f>SUM(M52:O52)</f>
        <v>0</v>
      </c>
      <c r="Q52" s="5">
        <v>0</v>
      </c>
      <c r="R52" s="40"/>
      <c r="S52" s="209"/>
      <c r="T52" s="82" t="s">
        <v>14</v>
      </c>
      <c r="U52" s="83" t="s">
        <v>11</v>
      </c>
      <c r="V52" s="1">
        <v>0</v>
      </c>
      <c r="W52" s="2">
        <v>0</v>
      </c>
      <c r="X52" s="3">
        <v>0</v>
      </c>
      <c r="Y52" s="4">
        <f>SUM(V52:X52)</f>
        <v>0</v>
      </c>
      <c r="Z52" s="5">
        <v>0</v>
      </c>
      <c r="AA52" s="40"/>
      <c r="AB52" s="209"/>
      <c r="AC52" s="82" t="s">
        <v>14</v>
      </c>
      <c r="AD52" s="83" t="s">
        <v>11</v>
      </c>
      <c r="AE52" s="1">
        <v>0</v>
      </c>
      <c r="AF52" s="2">
        <v>0</v>
      </c>
      <c r="AG52" s="3">
        <v>0</v>
      </c>
      <c r="AH52" s="4">
        <f>SUM(AE52:AG52)</f>
        <v>0</v>
      </c>
      <c r="AI52" s="5">
        <v>0</v>
      </c>
      <c r="AJ52" s="40"/>
      <c r="AK52" s="209"/>
      <c r="AL52" s="82" t="s">
        <v>14</v>
      </c>
      <c r="AM52" s="83" t="s">
        <v>11</v>
      </c>
      <c r="AN52" s="1">
        <v>0</v>
      </c>
      <c r="AO52" s="2">
        <v>0</v>
      </c>
      <c r="AP52" s="3">
        <v>0</v>
      </c>
      <c r="AQ52" s="4">
        <f>SUM(AN52:AP52)</f>
        <v>0</v>
      </c>
      <c r="AR52" s="5">
        <v>0</v>
      </c>
      <c r="AS52" s="40"/>
      <c r="AT52" s="209"/>
      <c r="AU52" s="82" t="s">
        <v>14</v>
      </c>
      <c r="AV52" s="83" t="s">
        <v>11</v>
      </c>
      <c r="AW52" s="1">
        <v>0</v>
      </c>
      <c r="AX52" s="2">
        <v>0</v>
      </c>
      <c r="AY52" s="3">
        <v>0</v>
      </c>
      <c r="AZ52" s="4">
        <f>SUM(AW52:AY52)</f>
        <v>0</v>
      </c>
      <c r="BA52" s="5">
        <v>0</v>
      </c>
      <c r="BB52" s="40"/>
      <c r="BC52" s="209"/>
      <c r="BD52" s="82" t="s">
        <v>14</v>
      </c>
      <c r="BE52" s="83" t="s">
        <v>11</v>
      </c>
      <c r="BF52" s="155">
        <v>0</v>
      </c>
      <c r="BG52" s="156">
        <v>0</v>
      </c>
      <c r="BH52" s="157">
        <v>0</v>
      </c>
      <c r="BI52" s="165">
        <v>0</v>
      </c>
      <c r="BJ52" s="5">
        <v>0</v>
      </c>
      <c r="BK52" s="40"/>
      <c r="BL52" s="209"/>
      <c r="BM52" s="82" t="s">
        <v>14</v>
      </c>
      <c r="BN52" s="83" t="s">
        <v>11</v>
      </c>
      <c r="BO52" s="176">
        <v>0</v>
      </c>
      <c r="BP52" s="177">
        <v>0</v>
      </c>
      <c r="BQ52" s="178">
        <v>0</v>
      </c>
      <c r="BR52" s="179">
        <f t="shared" si="79"/>
        <v>0</v>
      </c>
      <c r="BS52" s="180">
        <v>0</v>
      </c>
      <c r="BT52" s="40"/>
      <c r="BU52" s="209"/>
      <c r="BV52" s="82" t="s">
        <v>14</v>
      </c>
      <c r="BW52" s="83" t="s">
        <v>11</v>
      </c>
      <c r="BX52" s="1">
        <v>0</v>
      </c>
      <c r="BY52" s="2">
        <v>0</v>
      </c>
      <c r="BZ52" s="3">
        <v>0</v>
      </c>
      <c r="CA52" s="4">
        <f>SUM(BX52:BZ52)</f>
        <v>0</v>
      </c>
      <c r="CB52" s="5">
        <v>0</v>
      </c>
      <c r="CC52" s="40"/>
      <c r="CD52" s="209"/>
      <c r="CE52" s="82" t="s">
        <v>14</v>
      </c>
      <c r="CF52" s="83" t="s">
        <v>11</v>
      </c>
      <c r="CG52" s="1">
        <v>0</v>
      </c>
      <c r="CH52" s="2">
        <v>0</v>
      </c>
      <c r="CI52" s="3">
        <v>0</v>
      </c>
      <c r="CJ52" s="4">
        <f>SUM(CG52:CI52)</f>
        <v>0</v>
      </c>
      <c r="CK52" s="5">
        <v>0</v>
      </c>
      <c r="CL52" s="40"/>
      <c r="CM52" s="209"/>
      <c r="CN52" s="82" t="s">
        <v>14</v>
      </c>
      <c r="CO52" s="83" t="s">
        <v>11</v>
      </c>
      <c r="CP52" s="1">
        <v>0</v>
      </c>
      <c r="CQ52" s="2">
        <v>0</v>
      </c>
      <c r="CR52" s="3">
        <v>0</v>
      </c>
      <c r="CS52" s="4">
        <f>SUM(CP52:CR52)</f>
        <v>0</v>
      </c>
      <c r="CT52" s="5">
        <v>0</v>
      </c>
      <c r="CU52" s="40"/>
      <c r="CV52" s="209"/>
      <c r="CW52" s="82" t="s">
        <v>14</v>
      </c>
      <c r="CX52" s="83" t="s">
        <v>11</v>
      </c>
      <c r="CY52" s="1">
        <v>0</v>
      </c>
      <c r="CZ52" s="2">
        <v>0</v>
      </c>
      <c r="DA52" s="3">
        <v>0</v>
      </c>
      <c r="DB52" s="4">
        <f>SUM(CY52:DA52)</f>
        <v>0</v>
      </c>
      <c r="DC52" s="5">
        <v>0</v>
      </c>
      <c r="DD52" s="40"/>
      <c r="DE52" s="209"/>
      <c r="DF52" s="18" t="s">
        <v>14</v>
      </c>
      <c r="DG52" s="29" t="s">
        <v>11</v>
      </c>
      <c r="DH52" s="1">
        <f t="shared" si="81"/>
        <v>0</v>
      </c>
      <c r="DI52" s="2">
        <f t="shared" si="82"/>
        <v>0</v>
      </c>
      <c r="DJ52" s="20">
        <f t="shared" si="83"/>
        <v>0</v>
      </c>
      <c r="DK52" s="4">
        <f>SUM(DH52:DJ52)</f>
        <v>0</v>
      </c>
      <c r="DL52" s="5">
        <f>H52+Q52+Z52+AI52+AR52+BA52+BJ52+BS52+CB52+CK52+CT52+DC52</f>
        <v>0</v>
      </c>
      <c r="DM52" s="17"/>
    </row>
    <row r="53" spans="1:117" ht="17.100000000000001" customHeight="1" thickTop="1" thickBot="1" x14ac:dyDescent="0.3">
      <c r="A53" s="209"/>
      <c r="B53" s="84" t="s">
        <v>12</v>
      </c>
      <c r="C53" s="85" t="s">
        <v>13</v>
      </c>
      <c r="D53" s="6">
        <v>0</v>
      </c>
      <c r="E53" s="7">
        <v>0</v>
      </c>
      <c r="F53" s="8">
        <v>0</v>
      </c>
      <c r="G53" s="9">
        <f>SUM(D53:F53)</f>
        <v>0</v>
      </c>
      <c r="H53" s="10">
        <v>0</v>
      </c>
      <c r="I53" s="40"/>
      <c r="J53" s="209"/>
      <c r="K53" s="84" t="s">
        <v>12</v>
      </c>
      <c r="L53" s="85" t="s">
        <v>13</v>
      </c>
      <c r="M53" s="6">
        <v>0</v>
      </c>
      <c r="N53" s="7">
        <v>0</v>
      </c>
      <c r="O53" s="8">
        <v>0</v>
      </c>
      <c r="P53" s="9">
        <f>SUM(M53:O53)</f>
        <v>0</v>
      </c>
      <c r="Q53" s="10">
        <v>0</v>
      </c>
      <c r="R53" s="40"/>
      <c r="S53" s="209"/>
      <c r="T53" s="84" t="s">
        <v>12</v>
      </c>
      <c r="U53" s="85" t="s">
        <v>13</v>
      </c>
      <c r="V53" s="6">
        <v>0</v>
      </c>
      <c r="W53" s="7">
        <v>0</v>
      </c>
      <c r="X53" s="8">
        <v>0</v>
      </c>
      <c r="Y53" s="9">
        <f>SUM(V53:X53)</f>
        <v>0</v>
      </c>
      <c r="Z53" s="10">
        <v>0</v>
      </c>
      <c r="AA53" s="40"/>
      <c r="AB53" s="209"/>
      <c r="AC53" s="84" t="s">
        <v>12</v>
      </c>
      <c r="AD53" s="85" t="s">
        <v>13</v>
      </c>
      <c r="AE53" s="6">
        <v>0</v>
      </c>
      <c r="AF53" s="7">
        <v>0</v>
      </c>
      <c r="AG53" s="8">
        <v>0</v>
      </c>
      <c r="AH53" s="9">
        <f>SUM(AE53:AG53)</f>
        <v>0</v>
      </c>
      <c r="AI53" s="10">
        <v>0</v>
      </c>
      <c r="AJ53" s="40"/>
      <c r="AK53" s="209"/>
      <c r="AL53" s="84" t="s">
        <v>12</v>
      </c>
      <c r="AM53" s="85" t="s">
        <v>13</v>
      </c>
      <c r="AN53" s="6">
        <v>0</v>
      </c>
      <c r="AO53" s="7">
        <v>0</v>
      </c>
      <c r="AP53" s="8">
        <v>0</v>
      </c>
      <c r="AQ53" s="9">
        <f>SUM(AN53:AP53)</f>
        <v>0</v>
      </c>
      <c r="AR53" s="10">
        <v>0</v>
      </c>
      <c r="AS53" s="40"/>
      <c r="AT53" s="209"/>
      <c r="AU53" s="84" t="s">
        <v>12</v>
      </c>
      <c r="AV53" s="85" t="s">
        <v>13</v>
      </c>
      <c r="AW53" s="6">
        <v>0</v>
      </c>
      <c r="AX53" s="7">
        <v>0</v>
      </c>
      <c r="AY53" s="8">
        <v>0</v>
      </c>
      <c r="AZ53" s="9">
        <f>SUM(AW53:AY53)</f>
        <v>0</v>
      </c>
      <c r="BA53" s="10">
        <v>0</v>
      </c>
      <c r="BB53" s="40"/>
      <c r="BC53" s="209"/>
      <c r="BD53" s="84" t="s">
        <v>12</v>
      </c>
      <c r="BE53" s="85" t="s">
        <v>13</v>
      </c>
      <c r="BF53" s="161">
        <v>0</v>
      </c>
      <c r="BG53" s="162">
        <v>0</v>
      </c>
      <c r="BH53" s="163">
        <v>0</v>
      </c>
      <c r="BI53" s="166">
        <v>0</v>
      </c>
      <c r="BJ53" s="10">
        <v>0</v>
      </c>
      <c r="BK53" s="40"/>
      <c r="BL53" s="209"/>
      <c r="BM53" s="84" t="s">
        <v>12</v>
      </c>
      <c r="BN53" s="85" t="s">
        <v>13</v>
      </c>
      <c r="BO53" s="181">
        <v>0</v>
      </c>
      <c r="BP53" s="182">
        <v>0</v>
      </c>
      <c r="BQ53" s="183">
        <v>0</v>
      </c>
      <c r="BR53" s="184">
        <f t="shared" si="79"/>
        <v>0</v>
      </c>
      <c r="BS53" s="185">
        <v>0</v>
      </c>
      <c r="BT53" s="40"/>
      <c r="BU53" s="209"/>
      <c r="BV53" s="84" t="s">
        <v>12</v>
      </c>
      <c r="BW53" s="85" t="s">
        <v>13</v>
      </c>
      <c r="BX53" s="6">
        <v>0</v>
      </c>
      <c r="BY53" s="7">
        <v>0</v>
      </c>
      <c r="BZ53" s="8">
        <v>0</v>
      </c>
      <c r="CA53" s="9">
        <f>SUM(BX53:BZ53)</f>
        <v>0</v>
      </c>
      <c r="CB53" s="10">
        <v>0</v>
      </c>
      <c r="CC53" s="40"/>
      <c r="CD53" s="209"/>
      <c r="CE53" s="84" t="s">
        <v>12</v>
      </c>
      <c r="CF53" s="85" t="s">
        <v>13</v>
      </c>
      <c r="CG53" s="6">
        <v>0</v>
      </c>
      <c r="CH53" s="7">
        <v>0</v>
      </c>
      <c r="CI53" s="8">
        <v>0</v>
      </c>
      <c r="CJ53" s="9">
        <f>SUM(CG53:CI53)</f>
        <v>0</v>
      </c>
      <c r="CK53" s="10">
        <v>0</v>
      </c>
      <c r="CL53" s="40"/>
      <c r="CM53" s="209"/>
      <c r="CN53" s="84" t="s">
        <v>12</v>
      </c>
      <c r="CO53" s="85" t="s">
        <v>13</v>
      </c>
      <c r="CP53" s="6">
        <v>0</v>
      </c>
      <c r="CQ53" s="7">
        <v>0</v>
      </c>
      <c r="CR53" s="8">
        <v>0</v>
      </c>
      <c r="CS53" s="9">
        <f>SUM(CP53:CR53)</f>
        <v>0</v>
      </c>
      <c r="CT53" s="10">
        <v>0</v>
      </c>
      <c r="CU53" s="40"/>
      <c r="CV53" s="209"/>
      <c r="CW53" s="84" t="s">
        <v>12</v>
      </c>
      <c r="CX53" s="85" t="s">
        <v>13</v>
      </c>
      <c r="CY53" s="6">
        <v>0</v>
      </c>
      <c r="CZ53" s="7">
        <v>0</v>
      </c>
      <c r="DA53" s="8">
        <v>0</v>
      </c>
      <c r="DB53" s="9">
        <f>SUM(CY53:DA53)</f>
        <v>0</v>
      </c>
      <c r="DC53" s="10">
        <v>0</v>
      </c>
      <c r="DD53" s="40"/>
      <c r="DE53" s="209"/>
      <c r="DF53" s="19" t="s">
        <v>12</v>
      </c>
      <c r="DG53" s="30" t="s">
        <v>13</v>
      </c>
      <c r="DH53" s="6">
        <f t="shared" si="81"/>
        <v>0</v>
      </c>
      <c r="DI53" s="7">
        <f t="shared" si="82"/>
        <v>0</v>
      </c>
      <c r="DJ53" s="21">
        <f t="shared" si="83"/>
        <v>0</v>
      </c>
      <c r="DK53" s="9">
        <f>SUM(DH53:DJ53)</f>
        <v>0</v>
      </c>
      <c r="DL53" s="10">
        <f>H53+Q53+Z53+AI53+AR53+BA53+BJ53+BS53+CB53+CK53+CT53+DC53</f>
        <v>0</v>
      </c>
      <c r="DM53" s="17"/>
    </row>
    <row r="54" spans="1:117" ht="16.5" customHeight="1" thickBot="1" x14ac:dyDescent="0.3">
      <c r="A54" s="210"/>
      <c r="B54" s="211" t="s">
        <v>3</v>
      </c>
      <c r="C54" s="212"/>
      <c r="D54" s="11">
        <f>SUM(D50:D53)</f>
        <v>0</v>
      </c>
      <c r="E54" s="12">
        <f>SUM(E50:E53)</f>
        <v>0</v>
      </c>
      <c r="F54" s="13">
        <f>SUM(F50:F53)</f>
        <v>0</v>
      </c>
      <c r="G54" s="14">
        <f>SUM(G50:G53)</f>
        <v>0</v>
      </c>
      <c r="H54" s="15">
        <f>SUM(H50:H53)</f>
        <v>0</v>
      </c>
      <c r="I54" s="40"/>
      <c r="J54" s="210"/>
      <c r="K54" s="211" t="s">
        <v>3</v>
      </c>
      <c r="L54" s="212"/>
      <c r="M54" s="11">
        <f>SUM(M50:M53)</f>
        <v>0</v>
      </c>
      <c r="N54" s="12">
        <f>SUM(N50:N53)</f>
        <v>0</v>
      </c>
      <c r="O54" s="13">
        <f>SUM(O50:O53)</f>
        <v>0</v>
      </c>
      <c r="P54" s="14">
        <f>SUM(P50:P53)</f>
        <v>0</v>
      </c>
      <c r="Q54" s="15">
        <f>SUM(Q50:Q53)</f>
        <v>0</v>
      </c>
      <c r="R54" s="40"/>
      <c r="S54" s="210"/>
      <c r="T54" s="211" t="s">
        <v>3</v>
      </c>
      <c r="U54" s="212"/>
      <c r="V54" s="11">
        <f>SUM(V50:V53)</f>
        <v>0</v>
      </c>
      <c r="W54" s="12">
        <f>SUM(W50:W53)</f>
        <v>0</v>
      </c>
      <c r="X54" s="13">
        <f>SUM(X50:X53)</f>
        <v>0</v>
      </c>
      <c r="Y54" s="14">
        <f>SUM(Y50:Y53)</f>
        <v>0</v>
      </c>
      <c r="Z54" s="15">
        <f>SUM(Z50:Z53)</f>
        <v>0</v>
      </c>
      <c r="AA54" s="40"/>
      <c r="AB54" s="210"/>
      <c r="AC54" s="211" t="s">
        <v>3</v>
      </c>
      <c r="AD54" s="212"/>
      <c r="AE54" s="11">
        <f>SUM(AE50:AE53)</f>
        <v>0</v>
      </c>
      <c r="AF54" s="12">
        <f>SUM(AF50:AF53)</f>
        <v>0</v>
      </c>
      <c r="AG54" s="13">
        <f>SUM(AG50:AG53)</f>
        <v>0</v>
      </c>
      <c r="AH54" s="14">
        <f>SUM(AH50:AH53)</f>
        <v>0</v>
      </c>
      <c r="AI54" s="15">
        <f>SUM(AI50:AI53)</f>
        <v>0</v>
      </c>
      <c r="AJ54" s="40"/>
      <c r="AK54" s="210"/>
      <c r="AL54" s="211" t="s">
        <v>3</v>
      </c>
      <c r="AM54" s="212"/>
      <c r="AN54" s="11">
        <f>SUM(AN50:AN53)</f>
        <v>0</v>
      </c>
      <c r="AO54" s="12">
        <f>SUM(AO50:AO53)</f>
        <v>0</v>
      </c>
      <c r="AP54" s="13">
        <f>SUM(AP50:AP53)</f>
        <v>0</v>
      </c>
      <c r="AQ54" s="14">
        <f>SUM(AQ50:AQ53)</f>
        <v>0</v>
      </c>
      <c r="AR54" s="15">
        <f>SUM(AR50:AR53)</f>
        <v>0</v>
      </c>
      <c r="AS54" s="40"/>
      <c r="AT54" s="210"/>
      <c r="AU54" s="211" t="s">
        <v>3</v>
      </c>
      <c r="AV54" s="212"/>
      <c r="AW54" s="11">
        <f>SUM(AW50:AW53)</f>
        <v>0</v>
      </c>
      <c r="AX54" s="12">
        <f>SUM(AX50:AX53)</f>
        <v>0</v>
      </c>
      <c r="AY54" s="13">
        <f>SUM(AY50:AY53)</f>
        <v>0</v>
      </c>
      <c r="AZ54" s="14">
        <f>SUM(AZ50:AZ53)</f>
        <v>0</v>
      </c>
      <c r="BA54" s="15">
        <f>SUM(BA50:BA53)</f>
        <v>0</v>
      </c>
      <c r="BB54" s="40"/>
      <c r="BC54" s="210"/>
      <c r="BD54" s="211" t="s">
        <v>3</v>
      </c>
      <c r="BE54" s="212"/>
      <c r="BF54" s="155">
        <v>0</v>
      </c>
      <c r="BG54" s="156">
        <v>0</v>
      </c>
      <c r="BH54" s="157">
        <v>0</v>
      </c>
      <c r="BI54" s="165">
        <v>0</v>
      </c>
      <c r="BJ54" s="15">
        <f>SUM(BJ50:BJ53)</f>
        <v>0</v>
      </c>
      <c r="BK54" s="40"/>
      <c r="BL54" s="210"/>
      <c r="BM54" s="211" t="s">
        <v>3</v>
      </c>
      <c r="BN54" s="212"/>
      <c r="BO54" s="186">
        <f t="shared" ref="BO54:BS54" si="84">SUM(BO50:BO53)</f>
        <v>0</v>
      </c>
      <c r="BP54" s="187">
        <f t="shared" si="84"/>
        <v>0</v>
      </c>
      <c r="BQ54" s="188">
        <f t="shared" si="84"/>
        <v>0</v>
      </c>
      <c r="BR54" s="189">
        <f t="shared" si="84"/>
        <v>0</v>
      </c>
      <c r="BS54" s="190">
        <f t="shared" si="84"/>
        <v>0</v>
      </c>
      <c r="BT54" s="40"/>
      <c r="BU54" s="210"/>
      <c r="BV54" s="211" t="s">
        <v>3</v>
      </c>
      <c r="BW54" s="212"/>
      <c r="BX54" s="11">
        <f>SUM(BX50:BX53)</f>
        <v>0</v>
      </c>
      <c r="BY54" s="12">
        <f>SUM(BY50:BY53)</f>
        <v>0</v>
      </c>
      <c r="BZ54" s="13">
        <f>SUM(BZ50:BZ53)</f>
        <v>0</v>
      </c>
      <c r="CA54" s="14">
        <f>SUM(CA50:CA53)</f>
        <v>0</v>
      </c>
      <c r="CB54" s="15">
        <f>SUM(CB50:CB53)</f>
        <v>0</v>
      </c>
      <c r="CC54" s="40"/>
      <c r="CD54" s="210"/>
      <c r="CE54" s="211" t="s">
        <v>3</v>
      </c>
      <c r="CF54" s="212"/>
      <c r="CG54" s="11">
        <f>SUM(CG50:CG53)</f>
        <v>0</v>
      </c>
      <c r="CH54" s="12">
        <f>SUM(CH50:CH53)</f>
        <v>0</v>
      </c>
      <c r="CI54" s="13">
        <f>SUM(CI50:CI53)</f>
        <v>0</v>
      </c>
      <c r="CJ54" s="14">
        <f>SUM(CJ50:CJ53)</f>
        <v>0</v>
      </c>
      <c r="CK54" s="15">
        <f>SUM(CK50:CK53)</f>
        <v>0</v>
      </c>
      <c r="CL54" s="40"/>
      <c r="CM54" s="210"/>
      <c r="CN54" s="211" t="s">
        <v>3</v>
      </c>
      <c r="CO54" s="212"/>
      <c r="CP54" s="11">
        <f>SUM(CP50:CP53)</f>
        <v>0</v>
      </c>
      <c r="CQ54" s="12">
        <f>SUM(CQ50:CQ53)</f>
        <v>0</v>
      </c>
      <c r="CR54" s="13">
        <f>SUM(CR50:CR53)</f>
        <v>0</v>
      </c>
      <c r="CS54" s="14">
        <f>SUM(CS50:CS53)</f>
        <v>0</v>
      </c>
      <c r="CT54" s="15">
        <f>SUM(CT50:CT53)</f>
        <v>0</v>
      </c>
      <c r="CU54" s="40"/>
      <c r="CV54" s="210"/>
      <c r="CW54" s="211" t="s">
        <v>3</v>
      </c>
      <c r="CX54" s="212"/>
      <c r="CY54" s="11">
        <f>SUM(CY50:CY53)</f>
        <v>0</v>
      </c>
      <c r="CZ54" s="12">
        <f>SUM(CZ50:CZ53)</f>
        <v>0</v>
      </c>
      <c r="DA54" s="13">
        <f>SUM(DA50:DA53)</f>
        <v>0</v>
      </c>
      <c r="DB54" s="14">
        <f>SUM(DB50:DB53)</f>
        <v>0</v>
      </c>
      <c r="DC54" s="15">
        <f>SUM(DC50:DC53)</f>
        <v>0</v>
      </c>
      <c r="DD54" s="40"/>
      <c r="DE54" s="210"/>
      <c r="DF54" s="238" t="s">
        <v>3</v>
      </c>
      <c r="DG54" s="239"/>
      <c r="DH54" s="22">
        <f>SUM(DH50:DH53)</f>
        <v>0</v>
      </c>
      <c r="DI54" s="23">
        <f>SUM(DI50:DI53)</f>
        <v>0</v>
      </c>
      <c r="DJ54" s="24">
        <f>SUM(DJ50:DJ53)</f>
        <v>0</v>
      </c>
      <c r="DK54" s="25">
        <f>SUM(DK50:DK53)</f>
        <v>0</v>
      </c>
      <c r="DL54" s="26">
        <f>SUM(DL50:DL53)</f>
        <v>0</v>
      </c>
      <c r="DM54" s="17"/>
    </row>
    <row r="55" spans="1:117" ht="17.100000000000001" customHeight="1" thickBot="1" x14ac:dyDescent="0.3">
      <c r="A55" s="208"/>
      <c r="B55" s="219" t="s">
        <v>12</v>
      </c>
      <c r="C55" s="80" t="s">
        <v>11</v>
      </c>
      <c r="D55" s="1">
        <v>0</v>
      </c>
      <c r="E55" s="2">
        <v>0</v>
      </c>
      <c r="F55" s="3">
        <v>0</v>
      </c>
      <c r="G55" s="4">
        <f>SUM(D55:F55)</f>
        <v>0</v>
      </c>
      <c r="H55" s="5">
        <v>0</v>
      </c>
      <c r="I55" s="40"/>
      <c r="J55" s="208"/>
      <c r="K55" s="219" t="s">
        <v>12</v>
      </c>
      <c r="L55" s="80" t="s">
        <v>11</v>
      </c>
      <c r="M55" s="1">
        <v>0</v>
      </c>
      <c r="N55" s="2">
        <v>0</v>
      </c>
      <c r="O55" s="3">
        <v>0</v>
      </c>
      <c r="P55" s="4">
        <f>SUM(M55:O55)</f>
        <v>0</v>
      </c>
      <c r="Q55" s="5">
        <v>0</v>
      </c>
      <c r="R55" s="40"/>
      <c r="S55" s="208"/>
      <c r="T55" s="219" t="s">
        <v>12</v>
      </c>
      <c r="U55" s="80" t="s">
        <v>11</v>
      </c>
      <c r="V55" s="1">
        <v>0</v>
      </c>
      <c r="W55" s="2">
        <v>0</v>
      </c>
      <c r="X55" s="3">
        <v>0</v>
      </c>
      <c r="Y55" s="4">
        <f>SUM(V55:X55)</f>
        <v>0</v>
      </c>
      <c r="Z55" s="5">
        <v>0</v>
      </c>
      <c r="AA55" s="40"/>
      <c r="AB55" s="208"/>
      <c r="AC55" s="219" t="s">
        <v>12</v>
      </c>
      <c r="AD55" s="80" t="s">
        <v>11</v>
      </c>
      <c r="AE55" s="1">
        <v>0</v>
      </c>
      <c r="AF55" s="2">
        <v>0</v>
      </c>
      <c r="AG55" s="3">
        <v>0</v>
      </c>
      <c r="AH55" s="4">
        <f>SUM(AE55:AG55)</f>
        <v>0</v>
      </c>
      <c r="AI55" s="5">
        <v>0</v>
      </c>
      <c r="AJ55" s="40"/>
      <c r="AK55" s="208"/>
      <c r="AL55" s="219" t="s">
        <v>12</v>
      </c>
      <c r="AM55" s="80" t="s">
        <v>11</v>
      </c>
      <c r="AN55" s="1">
        <v>0</v>
      </c>
      <c r="AO55" s="2">
        <v>0</v>
      </c>
      <c r="AP55" s="3">
        <v>0</v>
      </c>
      <c r="AQ55" s="4">
        <f>SUM(AN55:AP55)</f>
        <v>0</v>
      </c>
      <c r="AR55" s="5">
        <v>0</v>
      </c>
      <c r="AS55" s="40"/>
      <c r="AT55" s="208"/>
      <c r="AU55" s="219" t="s">
        <v>12</v>
      </c>
      <c r="AV55" s="80" t="s">
        <v>11</v>
      </c>
      <c r="AW55" s="1">
        <v>0</v>
      </c>
      <c r="AX55" s="2">
        <v>0</v>
      </c>
      <c r="AY55" s="3">
        <v>0</v>
      </c>
      <c r="AZ55" s="4">
        <f>SUM(AW55:AY55)</f>
        <v>0</v>
      </c>
      <c r="BA55" s="5">
        <v>0</v>
      </c>
      <c r="BB55" s="40"/>
      <c r="BC55" s="208"/>
      <c r="BD55" s="219" t="s">
        <v>12</v>
      </c>
      <c r="BE55" s="80" t="s">
        <v>11</v>
      </c>
      <c r="BF55" s="168">
        <v>0</v>
      </c>
      <c r="BG55" s="169">
        <v>0</v>
      </c>
      <c r="BH55" s="165">
        <v>0</v>
      </c>
      <c r="BI55" s="175">
        <v>0</v>
      </c>
      <c r="BJ55" s="5">
        <v>0</v>
      </c>
      <c r="BK55" s="40"/>
      <c r="BL55" s="208"/>
      <c r="BM55" s="219" t="s">
        <v>12</v>
      </c>
      <c r="BN55" s="80" t="s">
        <v>11</v>
      </c>
      <c r="BO55" s="176">
        <v>0</v>
      </c>
      <c r="BP55" s="177">
        <v>0</v>
      </c>
      <c r="BQ55" s="178">
        <v>0</v>
      </c>
      <c r="BR55" s="179">
        <f t="shared" ref="BR55:BR58" si="85">SUM(BO55:BQ55)</f>
        <v>0</v>
      </c>
      <c r="BS55" s="180">
        <v>0</v>
      </c>
      <c r="BT55" s="40"/>
      <c r="BU55" s="208"/>
      <c r="BV55" s="219" t="s">
        <v>12</v>
      </c>
      <c r="BW55" s="80" t="s">
        <v>11</v>
      </c>
      <c r="BX55" s="1">
        <v>0</v>
      </c>
      <c r="BY55" s="2">
        <v>0</v>
      </c>
      <c r="BZ55" s="3">
        <v>0</v>
      </c>
      <c r="CA55" s="4">
        <f>SUM(BX55:BZ55)</f>
        <v>0</v>
      </c>
      <c r="CB55" s="5">
        <v>0</v>
      </c>
      <c r="CC55" s="40"/>
      <c r="CD55" s="208"/>
      <c r="CE55" s="219" t="s">
        <v>12</v>
      </c>
      <c r="CF55" s="80" t="s">
        <v>11</v>
      </c>
      <c r="CG55" s="1">
        <v>0</v>
      </c>
      <c r="CH55" s="2">
        <v>0</v>
      </c>
      <c r="CI55" s="3">
        <v>0</v>
      </c>
      <c r="CJ55" s="4">
        <f>SUM(CG55:CI55)</f>
        <v>0</v>
      </c>
      <c r="CK55" s="5">
        <v>0</v>
      </c>
      <c r="CL55" s="40"/>
      <c r="CM55" s="208"/>
      <c r="CN55" s="219" t="s">
        <v>12</v>
      </c>
      <c r="CO55" s="80" t="s">
        <v>11</v>
      </c>
      <c r="CP55" s="1">
        <v>0</v>
      </c>
      <c r="CQ55" s="2">
        <v>0</v>
      </c>
      <c r="CR55" s="3">
        <v>0</v>
      </c>
      <c r="CS55" s="4">
        <f>SUM(CP55:CR55)</f>
        <v>0</v>
      </c>
      <c r="CT55" s="5">
        <v>0</v>
      </c>
      <c r="CU55" s="40"/>
      <c r="CV55" s="208"/>
      <c r="CW55" s="219" t="s">
        <v>12</v>
      </c>
      <c r="CX55" s="80" t="s">
        <v>11</v>
      </c>
      <c r="CY55" s="1">
        <v>0</v>
      </c>
      <c r="CZ55" s="2">
        <v>0</v>
      </c>
      <c r="DA55" s="3">
        <v>0</v>
      </c>
      <c r="DB55" s="4">
        <f>SUM(CY55:DA55)</f>
        <v>0</v>
      </c>
      <c r="DC55" s="5">
        <v>0</v>
      </c>
      <c r="DD55" s="40"/>
      <c r="DE55" s="208">
        <f t="shared" ref="DE55" si="86">CV55</f>
        <v>0</v>
      </c>
      <c r="DF55" s="18"/>
      <c r="DG55" s="27" t="s">
        <v>11</v>
      </c>
      <c r="DH55" s="1">
        <f t="shared" ref="DH55:DH58" si="87">D55+M55+V55+AE55+AN55+AW55+BF55+BO55+BX55+CG55+CP55+CY55</f>
        <v>0</v>
      </c>
      <c r="DI55" s="2">
        <f t="shared" ref="DI55:DI58" si="88">E55+N55+W55+AF55+AO55+AX55+BG55+BP55+BY55+CH55+CQ55+CZ55</f>
        <v>0</v>
      </c>
      <c r="DJ55" s="20">
        <f t="shared" ref="DJ55:DJ58" si="89">F55+O55+X55+AG55+AP55+AY55+BH55+BQ55+BZ55+CI55+CR55+DA55</f>
        <v>0</v>
      </c>
      <c r="DK55" s="4">
        <f>SUM(DH55:DJ55)</f>
        <v>0</v>
      </c>
      <c r="DL55" s="5">
        <f>H55+Q55+Z55+AI55+AR55+BA55+BJ55+BS55+CB55+CK55+CT55+DC55</f>
        <v>0</v>
      </c>
      <c r="DM55" s="17"/>
    </row>
    <row r="56" spans="1:117" ht="17.100000000000001" customHeight="1" thickTop="1" thickBot="1" x14ac:dyDescent="0.3">
      <c r="A56" s="209"/>
      <c r="B56" s="220"/>
      <c r="C56" s="81" t="s">
        <v>13</v>
      </c>
      <c r="D56" s="6">
        <v>0</v>
      </c>
      <c r="E56" s="7">
        <v>0</v>
      </c>
      <c r="F56" s="8">
        <v>0</v>
      </c>
      <c r="G56" s="9">
        <f>SUM(D56:F56)</f>
        <v>0</v>
      </c>
      <c r="H56" s="10">
        <v>0</v>
      </c>
      <c r="I56" s="40"/>
      <c r="J56" s="209"/>
      <c r="K56" s="220"/>
      <c r="L56" s="81" t="s">
        <v>13</v>
      </c>
      <c r="M56" s="6">
        <v>0</v>
      </c>
      <c r="N56" s="7">
        <v>0</v>
      </c>
      <c r="O56" s="8">
        <v>0</v>
      </c>
      <c r="P56" s="9">
        <f>SUM(M56:O56)</f>
        <v>0</v>
      </c>
      <c r="Q56" s="10">
        <v>0</v>
      </c>
      <c r="R56" s="40"/>
      <c r="S56" s="209"/>
      <c r="T56" s="220"/>
      <c r="U56" s="81" t="s">
        <v>13</v>
      </c>
      <c r="V56" s="6">
        <v>0</v>
      </c>
      <c r="W56" s="7">
        <v>0</v>
      </c>
      <c r="X56" s="8">
        <v>0</v>
      </c>
      <c r="Y56" s="9">
        <f>SUM(V56:X56)</f>
        <v>0</v>
      </c>
      <c r="Z56" s="10">
        <v>0</v>
      </c>
      <c r="AA56" s="40"/>
      <c r="AB56" s="209"/>
      <c r="AC56" s="220"/>
      <c r="AD56" s="81" t="s">
        <v>13</v>
      </c>
      <c r="AE56" s="6">
        <v>0</v>
      </c>
      <c r="AF56" s="7">
        <v>0</v>
      </c>
      <c r="AG56" s="8">
        <v>0</v>
      </c>
      <c r="AH56" s="9">
        <f>SUM(AE56:AG56)</f>
        <v>0</v>
      </c>
      <c r="AI56" s="10">
        <v>0</v>
      </c>
      <c r="AJ56" s="40"/>
      <c r="AK56" s="209"/>
      <c r="AL56" s="220"/>
      <c r="AM56" s="81" t="s">
        <v>13</v>
      </c>
      <c r="AN56" s="6">
        <v>0</v>
      </c>
      <c r="AO56" s="7">
        <v>0</v>
      </c>
      <c r="AP56" s="8">
        <v>0</v>
      </c>
      <c r="AQ56" s="9">
        <f>SUM(AN56:AP56)</f>
        <v>0</v>
      </c>
      <c r="AR56" s="10">
        <v>0</v>
      </c>
      <c r="AS56" s="40"/>
      <c r="AT56" s="209"/>
      <c r="AU56" s="220"/>
      <c r="AV56" s="81" t="s">
        <v>13</v>
      </c>
      <c r="AW56" s="6">
        <v>0</v>
      </c>
      <c r="AX56" s="7">
        <v>0</v>
      </c>
      <c r="AY56" s="8">
        <v>0</v>
      </c>
      <c r="AZ56" s="9">
        <f>SUM(AW56:AY56)</f>
        <v>0</v>
      </c>
      <c r="BA56" s="10">
        <v>0</v>
      </c>
      <c r="BB56" s="40"/>
      <c r="BC56" s="209"/>
      <c r="BD56" s="220"/>
      <c r="BE56" s="81" t="s">
        <v>13</v>
      </c>
      <c r="BF56" s="161">
        <v>0</v>
      </c>
      <c r="BG56" s="162">
        <v>0</v>
      </c>
      <c r="BH56" s="163">
        <v>0</v>
      </c>
      <c r="BI56" s="166">
        <v>0</v>
      </c>
      <c r="BJ56" s="10">
        <v>0</v>
      </c>
      <c r="BK56" s="40"/>
      <c r="BL56" s="209"/>
      <c r="BM56" s="220"/>
      <c r="BN56" s="81" t="s">
        <v>13</v>
      </c>
      <c r="BO56" s="181">
        <v>0</v>
      </c>
      <c r="BP56" s="182">
        <v>0</v>
      </c>
      <c r="BQ56" s="183">
        <v>0</v>
      </c>
      <c r="BR56" s="184">
        <f t="shared" si="85"/>
        <v>0</v>
      </c>
      <c r="BS56" s="185">
        <v>0</v>
      </c>
      <c r="BT56" s="40"/>
      <c r="BU56" s="209"/>
      <c r="BV56" s="220"/>
      <c r="BW56" s="81" t="s">
        <v>13</v>
      </c>
      <c r="BX56" s="6">
        <v>0</v>
      </c>
      <c r="BY56" s="7">
        <v>0</v>
      </c>
      <c r="BZ56" s="8">
        <v>0</v>
      </c>
      <c r="CA56" s="9">
        <f>SUM(BX56:BZ56)</f>
        <v>0</v>
      </c>
      <c r="CB56" s="10">
        <v>0</v>
      </c>
      <c r="CC56" s="40"/>
      <c r="CD56" s="209"/>
      <c r="CE56" s="220"/>
      <c r="CF56" s="81" t="s">
        <v>13</v>
      </c>
      <c r="CG56" s="6">
        <v>0</v>
      </c>
      <c r="CH56" s="7">
        <v>0</v>
      </c>
      <c r="CI56" s="8">
        <v>0</v>
      </c>
      <c r="CJ56" s="9">
        <f>SUM(CG56:CI56)</f>
        <v>0</v>
      </c>
      <c r="CK56" s="10">
        <v>0</v>
      </c>
      <c r="CL56" s="40"/>
      <c r="CM56" s="209"/>
      <c r="CN56" s="220"/>
      <c r="CO56" s="81" t="s">
        <v>13</v>
      </c>
      <c r="CP56" s="6">
        <v>0</v>
      </c>
      <c r="CQ56" s="7">
        <v>0</v>
      </c>
      <c r="CR56" s="8">
        <v>0</v>
      </c>
      <c r="CS56" s="9">
        <f>SUM(CP56:CR56)</f>
        <v>0</v>
      </c>
      <c r="CT56" s="10">
        <v>0</v>
      </c>
      <c r="CU56" s="40"/>
      <c r="CV56" s="209"/>
      <c r="CW56" s="220"/>
      <c r="CX56" s="81" t="s">
        <v>13</v>
      </c>
      <c r="CY56" s="6">
        <v>0</v>
      </c>
      <c r="CZ56" s="7">
        <v>0</v>
      </c>
      <c r="DA56" s="8">
        <v>0</v>
      </c>
      <c r="DB56" s="9">
        <f>SUM(CY56:DA56)</f>
        <v>0</v>
      </c>
      <c r="DC56" s="10">
        <v>0</v>
      </c>
      <c r="DD56" s="40"/>
      <c r="DE56" s="209"/>
      <c r="DF56" s="19" t="s">
        <v>12</v>
      </c>
      <c r="DG56" s="28" t="s">
        <v>13</v>
      </c>
      <c r="DH56" s="6">
        <f t="shared" si="87"/>
        <v>0</v>
      </c>
      <c r="DI56" s="7">
        <f t="shared" si="88"/>
        <v>0</v>
      </c>
      <c r="DJ56" s="21">
        <f t="shared" si="89"/>
        <v>0</v>
      </c>
      <c r="DK56" s="9">
        <f>SUM(DH56:DJ56)</f>
        <v>0</v>
      </c>
      <c r="DL56" s="10">
        <f>H56+Q56+Z56+AI56+AR56+BA56+BJ56+BS56+CB56+CK56+CT56+DC56</f>
        <v>0</v>
      </c>
      <c r="DM56" s="17"/>
    </row>
    <row r="57" spans="1:117" ht="17.100000000000001" customHeight="1" thickBot="1" x14ac:dyDescent="0.3">
      <c r="A57" s="209"/>
      <c r="B57" s="82" t="s">
        <v>14</v>
      </c>
      <c r="C57" s="83" t="s">
        <v>11</v>
      </c>
      <c r="D57" s="1">
        <v>0</v>
      </c>
      <c r="E57" s="2">
        <v>0</v>
      </c>
      <c r="F57" s="3">
        <v>0</v>
      </c>
      <c r="G57" s="4">
        <f>SUM(D57:F57)</f>
        <v>0</v>
      </c>
      <c r="H57" s="5">
        <v>0</v>
      </c>
      <c r="I57" s="40"/>
      <c r="J57" s="209"/>
      <c r="K57" s="82" t="s">
        <v>14</v>
      </c>
      <c r="L57" s="83" t="s">
        <v>11</v>
      </c>
      <c r="M57" s="1">
        <v>0</v>
      </c>
      <c r="N57" s="2">
        <v>0</v>
      </c>
      <c r="O57" s="3">
        <v>0</v>
      </c>
      <c r="P57" s="4">
        <f>SUM(M57:O57)</f>
        <v>0</v>
      </c>
      <c r="Q57" s="5">
        <v>0</v>
      </c>
      <c r="R57" s="40"/>
      <c r="S57" s="209"/>
      <c r="T57" s="82" t="s">
        <v>14</v>
      </c>
      <c r="U57" s="83" t="s">
        <v>11</v>
      </c>
      <c r="V57" s="1">
        <v>0</v>
      </c>
      <c r="W57" s="2">
        <v>0</v>
      </c>
      <c r="X57" s="3">
        <v>0</v>
      </c>
      <c r="Y57" s="4">
        <f>SUM(V57:X57)</f>
        <v>0</v>
      </c>
      <c r="Z57" s="5">
        <v>0</v>
      </c>
      <c r="AA57" s="40"/>
      <c r="AB57" s="209"/>
      <c r="AC57" s="82" t="s">
        <v>14</v>
      </c>
      <c r="AD57" s="83" t="s">
        <v>11</v>
      </c>
      <c r="AE57" s="1">
        <v>0</v>
      </c>
      <c r="AF57" s="2">
        <v>0</v>
      </c>
      <c r="AG57" s="3">
        <v>0</v>
      </c>
      <c r="AH57" s="4">
        <f>SUM(AE57:AG57)</f>
        <v>0</v>
      </c>
      <c r="AI57" s="5">
        <v>0</v>
      </c>
      <c r="AJ57" s="40"/>
      <c r="AK57" s="209"/>
      <c r="AL57" s="82" t="s">
        <v>14</v>
      </c>
      <c r="AM57" s="83" t="s">
        <v>11</v>
      </c>
      <c r="AN57" s="1">
        <v>0</v>
      </c>
      <c r="AO57" s="2">
        <v>0</v>
      </c>
      <c r="AP57" s="3">
        <v>0</v>
      </c>
      <c r="AQ57" s="4">
        <f>SUM(AN57:AP57)</f>
        <v>0</v>
      </c>
      <c r="AR57" s="5">
        <v>0</v>
      </c>
      <c r="AS57" s="40"/>
      <c r="AT57" s="209"/>
      <c r="AU57" s="82" t="s">
        <v>14</v>
      </c>
      <c r="AV57" s="83" t="s">
        <v>11</v>
      </c>
      <c r="AW57" s="1">
        <v>0</v>
      </c>
      <c r="AX57" s="2">
        <v>0</v>
      </c>
      <c r="AY57" s="3">
        <v>0</v>
      </c>
      <c r="AZ57" s="4">
        <f>SUM(AW57:AY57)</f>
        <v>0</v>
      </c>
      <c r="BA57" s="5">
        <v>0</v>
      </c>
      <c r="BB57" s="40"/>
      <c r="BC57" s="209"/>
      <c r="BD57" s="82" t="s">
        <v>14</v>
      </c>
      <c r="BE57" s="83" t="s">
        <v>11</v>
      </c>
      <c r="BF57" s="155">
        <v>0</v>
      </c>
      <c r="BG57" s="156">
        <v>0</v>
      </c>
      <c r="BH57" s="157">
        <v>0</v>
      </c>
      <c r="BI57" s="165">
        <v>0</v>
      </c>
      <c r="BJ57" s="5">
        <v>0</v>
      </c>
      <c r="BK57" s="40"/>
      <c r="BL57" s="209"/>
      <c r="BM57" s="82" t="s">
        <v>14</v>
      </c>
      <c r="BN57" s="83" t="s">
        <v>11</v>
      </c>
      <c r="BO57" s="176">
        <v>0</v>
      </c>
      <c r="BP57" s="177">
        <v>0</v>
      </c>
      <c r="BQ57" s="178">
        <v>0</v>
      </c>
      <c r="BR57" s="179">
        <f t="shared" si="85"/>
        <v>0</v>
      </c>
      <c r="BS57" s="180">
        <v>0</v>
      </c>
      <c r="BT57" s="40"/>
      <c r="BU57" s="209"/>
      <c r="BV57" s="82" t="s">
        <v>14</v>
      </c>
      <c r="BW57" s="83" t="s">
        <v>11</v>
      </c>
      <c r="BX57" s="1">
        <v>0</v>
      </c>
      <c r="BY57" s="2">
        <v>0</v>
      </c>
      <c r="BZ57" s="3">
        <v>0</v>
      </c>
      <c r="CA57" s="4">
        <f>SUM(BX57:BZ57)</f>
        <v>0</v>
      </c>
      <c r="CB57" s="5">
        <v>0</v>
      </c>
      <c r="CC57" s="40"/>
      <c r="CD57" s="209"/>
      <c r="CE57" s="82" t="s">
        <v>14</v>
      </c>
      <c r="CF57" s="83" t="s">
        <v>11</v>
      </c>
      <c r="CG57" s="1">
        <v>0</v>
      </c>
      <c r="CH57" s="2">
        <v>0</v>
      </c>
      <c r="CI57" s="3">
        <v>0</v>
      </c>
      <c r="CJ57" s="4">
        <f>SUM(CG57:CI57)</f>
        <v>0</v>
      </c>
      <c r="CK57" s="5">
        <v>0</v>
      </c>
      <c r="CL57" s="40"/>
      <c r="CM57" s="209"/>
      <c r="CN57" s="82" t="s">
        <v>14</v>
      </c>
      <c r="CO57" s="83" t="s">
        <v>11</v>
      </c>
      <c r="CP57" s="1">
        <v>0</v>
      </c>
      <c r="CQ57" s="2">
        <v>0</v>
      </c>
      <c r="CR57" s="3">
        <v>0</v>
      </c>
      <c r="CS57" s="4">
        <f>SUM(CP57:CR57)</f>
        <v>0</v>
      </c>
      <c r="CT57" s="5">
        <v>0</v>
      </c>
      <c r="CU57" s="40"/>
      <c r="CV57" s="209"/>
      <c r="CW57" s="82" t="s">
        <v>14</v>
      </c>
      <c r="CX57" s="83" t="s">
        <v>11</v>
      </c>
      <c r="CY57" s="1">
        <v>0</v>
      </c>
      <c r="CZ57" s="2">
        <v>0</v>
      </c>
      <c r="DA57" s="3">
        <v>0</v>
      </c>
      <c r="DB57" s="4">
        <f>SUM(CY57:DA57)</f>
        <v>0</v>
      </c>
      <c r="DC57" s="5">
        <v>0</v>
      </c>
      <c r="DD57" s="40"/>
      <c r="DE57" s="209"/>
      <c r="DF57" s="18" t="s">
        <v>14</v>
      </c>
      <c r="DG57" s="29" t="s">
        <v>11</v>
      </c>
      <c r="DH57" s="1">
        <f t="shared" si="87"/>
        <v>0</v>
      </c>
      <c r="DI57" s="2">
        <f t="shared" si="88"/>
        <v>0</v>
      </c>
      <c r="DJ57" s="20">
        <f t="shared" si="89"/>
        <v>0</v>
      </c>
      <c r="DK57" s="4">
        <f>SUM(DH57:DJ57)</f>
        <v>0</v>
      </c>
      <c r="DL57" s="5">
        <f>H57+Q57+Z57+AI57+AR57+BA57+BJ57+BS57+CB57+CK57+CT57+DC57</f>
        <v>0</v>
      </c>
      <c r="DM57" s="17"/>
    </row>
    <row r="58" spans="1:117" ht="17.100000000000001" customHeight="1" thickTop="1" thickBot="1" x14ac:dyDescent="0.3">
      <c r="A58" s="209"/>
      <c r="B58" s="84" t="s">
        <v>12</v>
      </c>
      <c r="C58" s="85" t="s">
        <v>13</v>
      </c>
      <c r="D58" s="6">
        <v>0</v>
      </c>
      <c r="E58" s="7">
        <v>0</v>
      </c>
      <c r="F58" s="8">
        <v>0</v>
      </c>
      <c r="G58" s="9">
        <f>SUM(D58:F58)</f>
        <v>0</v>
      </c>
      <c r="H58" s="10">
        <v>0</v>
      </c>
      <c r="I58" s="40"/>
      <c r="J58" s="209"/>
      <c r="K58" s="84" t="s">
        <v>12</v>
      </c>
      <c r="L58" s="85" t="s">
        <v>13</v>
      </c>
      <c r="M58" s="6">
        <v>0</v>
      </c>
      <c r="N58" s="7">
        <v>0</v>
      </c>
      <c r="O58" s="8">
        <v>0</v>
      </c>
      <c r="P58" s="9">
        <f>SUM(M58:O58)</f>
        <v>0</v>
      </c>
      <c r="Q58" s="10">
        <v>0</v>
      </c>
      <c r="R58" s="40"/>
      <c r="S58" s="209"/>
      <c r="T58" s="84" t="s">
        <v>12</v>
      </c>
      <c r="U58" s="85" t="s">
        <v>13</v>
      </c>
      <c r="V58" s="6">
        <v>0</v>
      </c>
      <c r="W58" s="7">
        <v>0</v>
      </c>
      <c r="X58" s="8">
        <v>0</v>
      </c>
      <c r="Y58" s="9">
        <f>SUM(V58:X58)</f>
        <v>0</v>
      </c>
      <c r="Z58" s="10">
        <v>0</v>
      </c>
      <c r="AA58" s="40"/>
      <c r="AB58" s="209"/>
      <c r="AC58" s="84" t="s">
        <v>12</v>
      </c>
      <c r="AD58" s="85" t="s">
        <v>13</v>
      </c>
      <c r="AE58" s="6">
        <v>0</v>
      </c>
      <c r="AF58" s="7">
        <v>0</v>
      </c>
      <c r="AG58" s="8">
        <v>0</v>
      </c>
      <c r="AH58" s="9">
        <f>SUM(AE58:AG58)</f>
        <v>0</v>
      </c>
      <c r="AI58" s="10">
        <v>0</v>
      </c>
      <c r="AJ58" s="40"/>
      <c r="AK58" s="209"/>
      <c r="AL58" s="84" t="s">
        <v>12</v>
      </c>
      <c r="AM58" s="85" t="s">
        <v>13</v>
      </c>
      <c r="AN58" s="6">
        <v>0</v>
      </c>
      <c r="AO58" s="7">
        <v>0</v>
      </c>
      <c r="AP58" s="8">
        <v>0</v>
      </c>
      <c r="AQ58" s="9">
        <f>SUM(AN58:AP58)</f>
        <v>0</v>
      </c>
      <c r="AR58" s="10">
        <v>0</v>
      </c>
      <c r="AS58" s="40"/>
      <c r="AT58" s="209"/>
      <c r="AU58" s="84" t="s">
        <v>12</v>
      </c>
      <c r="AV58" s="85" t="s">
        <v>13</v>
      </c>
      <c r="AW58" s="6">
        <v>0</v>
      </c>
      <c r="AX58" s="7">
        <v>0</v>
      </c>
      <c r="AY58" s="8">
        <v>0</v>
      </c>
      <c r="AZ58" s="9">
        <f>SUM(AW58:AY58)</f>
        <v>0</v>
      </c>
      <c r="BA58" s="10">
        <v>0</v>
      </c>
      <c r="BB58" s="40"/>
      <c r="BC58" s="209"/>
      <c r="BD58" s="84" t="s">
        <v>12</v>
      </c>
      <c r="BE58" s="85" t="s">
        <v>13</v>
      </c>
      <c r="BF58" s="161">
        <v>0</v>
      </c>
      <c r="BG58" s="162">
        <v>0</v>
      </c>
      <c r="BH58" s="163">
        <v>0</v>
      </c>
      <c r="BI58" s="166">
        <v>0</v>
      </c>
      <c r="BJ58" s="10">
        <v>0</v>
      </c>
      <c r="BK58" s="40"/>
      <c r="BL58" s="209"/>
      <c r="BM58" s="84" t="s">
        <v>12</v>
      </c>
      <c r="BN58" s="85" t="s">
        <v>13</v>
      </c>
      <c r="BO58" s="181">
        <v>0</v>
      </c>
      <c r="BP58" s="182">
        <v>0</v>
      </c>
      <c r="BQ58" s="183">
        <v>0</v>
      </c>
      <c r="BR58" s="184">
        <f t="shared" si="85"/>
        <v>0</v>
      </c>
      <c r="BS58" s="185">
        <v>0</v>
      </c>
      <c r="BT58" s="40"/>
      <c r="BU58" s="209"/>
      <c r="BV58" s="84" t="s">
        <v>12</v>
      </c>
      <c r="BW58" s="85" t="s">
        <v>13</v>
      </c>
      <c r="BX58" s="6">
        <v>0</v>
      </c>
      <c r="BY58" s="7">
        <v>0</v>
      </c>
      <c r="BZ58" s="8">
        <v>0</v>
      </c>
      <c r="CA58" s="9">
        <f>SUM(BX58:BZ58)</f>
        <v>0</v>
      </c>
      <c r="CB58" s="10">
        <v>0</v>
      </c>
      <c r="CC58" s="40"/>
      <c r="CD58" s="209"/>
      <c r="CE58" s="84" t="s">
        <v>12</v>
      </c>
      <c r="CF58" s="85" t="s">
        <v>13</v>
      </c>
      <c r="CG58" s="6">
        <v>0</v>
      </c>
      <c r="CH58" s="7">
        <v>0</v>
      </c>
      <c r="CI58" s="8">
        <v>0</v>
      </c>
      <c r="CJ58" s="9">
        <f>SUM(CG58:CI58)</f>
        <v>0</v>
      </c>
      <c r="CK58" s="10">
        <v>0</v>
      </c>
      <c r="CL58" s="40"/>
      <c r="CM58" s="209"/>
      <c r="CN58" s="84" t="s">
        <v>12</v>
      </c>
      <c r="CO58" s="85" t="s">
        <v>13</v>
      </c>
      <c r="CP58" s="6">
        <v>0</v>
      </c>
      <c r="CQ58" s="7">
        <v>0</v>
      </c>
      <c r="CR58" s="8">
        <v>0</v>
      </c>
      <c r="CS58" s="9">
        <f>SUM(CP58:CR58)</f>
        <v>0</v>
      </c>
      <c r="CT58" s="10">
        <v>0</v>
      </c>
      <c r="CU58" s="40"/>
      <c r="CV58" s="209"/>
      <c r="CW58" s="84" t="s">
        <v>12</v>
      </c>
      <c r="CX58" s="85" t="s">
        <v>13</v>
      </c>
      <c r="CY58" s="6">
        <v>0</v>
      </c>
      <c r="CZ58" s="7">
        <v>0</v>
      </c>
      <c r="DA58" s="8">
        <v>0</v>
      </c>
      <c r="DB58" s="9">
        <f>SUM(CY58:DA58)</f>
        <v>0</v>
      </c>
      <c r="DC58" s="10">
        <v>0</v>
      </c>
      <c r="DD58" s="40"/>
      <c r="DE58" s="209"/>
      <c r="DF58" s="19" t="s">
        <v>12</v>
      </c>
      <c r="DG58" s="30" t="s">
        <v>13</v>
      </c>
      <c r="DH58" s="6">
        <f t="shared" si="87"/>
        <v>0</v>
      </c>
      <c r="DI58" s="7">
        <f t="shared" si="88"/>
        <v>0</v>
      </c>
      <c r="DJ58" s="21">
        <f t="shared" si="89"/>
        <v>0</v>
      </c>
      <c r="DK58" s="9">
        <f>SUM(DH58:DJ58)</f>
        <v>0</v>
      </c>
      <c r="DL58" s="10">
        <f>H58+Q58+Z58+AI58+AR58+BA58+BJ58+BS58+CB58+CK58+CT58+DC58</f>
        <v>0</v>
      </c>
      <c r="DM58" s="17"/>
    </row>
    <row r="59" spans="1:117" ht="16.5" customHeight="1" thickBot="1" x14ac:dyDescent="0.3">
      <c r="A59" s="210"/>
      <c r="B59" s="211" t="s">
        <v>3</v>
      </c>
      <c r="C59" s="212"/>
      <c r="D59" s="11">
        <f>SUM(D55:D58)</f>
        <v>0</v>
      </c>
      <c r="E59" s="12">
        <f>SUM(E55:E58)</f>
        <v>0</v>
      </c>
      <c r="F59" s="13">
        <f>SUM(F55:F58)</f>
        <v>0</v>
      </c>
      <c r="G59" s="14">
        <f>SUM(G55:G58)</f>
        <v>0</v>
      </c>
      <c r="H59" s="15">
        <f>SUM(H55:H58)</f>
        <v>0</v>
      </c>
      <c r="I59" s="40"/>
      <c r="J59" s="210"/>
      <c r="K59" s="211" t="s">
        <v>3</v>
      </c>
      <c r="L59" s="212"/>
      <c r="M59" s="11">
        <f>SUM(M55:M58)</f>
        <v>0</v>
      </c>
      <c r="N59" s="12">
        <f>SUM(N55:N58)</f>
        <v>0</v>
      </c>
      <c r="O59" s="13">
        <f>SUM(O55:O58)</f>
        <v>0</v>
      </c>
      <c r="P59" s="14">
        <f>SUM(P55:P58)</f>
        <v>0</v>
      </c>
      <c r="Q59" s="15">
        <f>SUM(Q55:Q58)</f>
        <v>0</v>
      </c>
      <c r="R59" s="40"/>
      <c r="S59" s="210"/>
      <c r="T59" s="211" t="s">
        <v>3</v>
      </c>
      <c r="U59" s="212"/>
      <c r="V59" s="11">
        <f>SUM(V55:V58)</f>
        <v>0</v>
      </c>
      <c r="W59" s="12">
        <f>SUM(W55:W58)</f>
        <v>0</v>
      </c>
      <c r="X59" s="13">
        <f>SUM(X55:X58)</f>
        <v>0</v>
      </c>
      <c r="Y59" s="14">
        <f>SUM(Y55:Y58)</f>
        <v>0</v>
      </c>
      <c r="Z59" s="15">
        <f>SUM(Z55:Z58)</f>
        <v>0</v>
      </c>
      <c r="AA59" s="40"/>
      <c r="AB59" s="210"/>
      <c r="AC59" s="211" t="s">
        <v>3</v>
      </c>
      <c r="AD59" s="212"/>
      <c r="AE59" s="11">
        <f>SUM(AE55:AE58)</f>
        <v>0</v>
      </c>
      <c r="AF59" s="12">
        <f>SUM(AF55:AF58)</f>
        <v>0</v>
      </c>
      <c r="AG59" s="13">
        <f>SUM(AG55:AG58)</f>
        <v>0</v>
      </c>
      <c r="AH59" s="14">
        <f>SUM(AH55:AH58)</f>
        <v>0</v>
      </c>
      <c r="AI59" s="15">
        <f>SUM(AI55:AI58)</f>
        <v>0</v>
      </c>
      <c r="AJ59" s="40"/>
      <c r="AK59" s="210"/>
      <c r="AL59" s="211" t="s">
        <v>3</v>
      </c>
      <c r="AM59" s="212"/>
      <c r="AN59" s="11">
        <f>SUM(AN55:AN58)</f>
        <v>0</v>
      </c>
      <c r="AO59" s="12">
        <f>SUM(AO55:AO58)</f>
        <v>0</v>
      </c>
      <c r="AP59" s="13">
        <f>SUM(AP55:AP58)</f>
        <v>0</v>
      </c>
      <c r="AQ59" s="14">
        <f>SUM(AQ55:AQ58)</f>
        <v>0</v>
      </c>
      <c r="AR59" s="15">
        <f>SUM(AR55:AR58)</f>
        <v>0</v>
      </c>
      <c r="AS59" s="40"/>
      <c r="AT59" s="210"/>
      <c r="AU59" s="211" t="s">
        <v>3</v>
      </c>
      <c r="AV59" s="212"/>
      <c r="AW59" s="11">
        <f>SUM(AW55:AW58)</f>
        <v>0</v>
      </c>
      <c r="AX59" s="12">
        <f>SUM(AX55:AX58)</f>
        <v>0</v>
      </c>
      <c r="AY59" s="13">
        <f>SUM(AY55:AY58)</f>
        <v>0</v>
      </c>
      <c r="AZ59" s="14">
        <f>SUM(AZ55:AZ58)</f>
        <v>0</v>
      </c>
      <c r="BA59" s="15">
        <f>SUM(BA55:BA58)</f>
        <v>0</v>
      </c>
      <c r="BB59" s="40"/>
      <c r="BC59" s="210"/>
      <c r="BD59" s="211" t="s">
        <v>3</v>
      </c>
      <c r="BE59" s="212"/>
      <c r="BF59" s="11">
        <f>SUM(BF55:BF58)</f>
        <v>0</v>
      </c>
      <c r="BG59" s="12">
        <f>SUM(BG55:BG58)</f>
        <v>0</v>
      </c>
      <c r="BH59" s="13">
        <f>SUM(BH55:BH58)</f>
        <v>0</v>
      </c>
      <c r="BI59" s="14">
        <f>SUM(BI55:BI58)</f>
        <v>0</v>
      </c>
      <c r="BJ59" s="15">
        <f>SUM(BJ55:BJ58)</f>
        <v>0</v>
      </c>
      <c r="BK59" s="40"/>
      <c r="BL59" s="210"/>
      <c r="BM59" s="211" t="s">
        <v>3</v>
      </c>
      <c r="BN59" s="212"/>
      <c r="BO59" s="186">
        <f t="shared" ref="BO59:BS59" si="90">SUM(BO55:BO58)</f>
        <v>0</v>
      </c>
      <c r="BP59" s="187">
        <f t="shared" si="90"/>
        <v>0</v>
      </c>
      <c r="BQ59" s="188">
        <f t="shared" si="90"/>
        <v>0</v>
      </c>
      <c r="BR59" s="189">
        <f t="shared" si="90"/>
        <v>0</v>
      </c>
      <c r="BS59" s="190">
        <f t="shared" si="90"/>
        <v>0</v>
      </c>
      <c r="BT59" s="40"/>
      <c r="BU59" s="210"/>
      <c r="BV59" s="211" t="s">
        <v>3</v>
      </c>
      <c r="BW59" s="212"/>
      <c r="BX59" s="11">
        <f>SUM(BX55:BX58)</f>
        <v>0</v>
      </c>
      <c r="BY59" s="12">
        <f>SUM(BY55:BY58)</f>
        <v>0</v>
      </c>
      <c r="BZ59" s="13">
        <f>SUM(BZ55:BZ58)</f>
        <v>0</v>
      </c>
      <c r="CA59" s="14">
        <f>SUM(CA55:CA58)</f>
        <v>0</v>
      </c>
      <c r="CB59" s="15">
        <f>SUM(CB55:CB58)</f>
        <v>0</v>
      </c>
      <c r="CC59" s="40"/>
      <c r="CD59" s="210"/>
      <c r="CE59" s="211" t="s">
        <v>3</v>
      </c>
      <c r="CF59" s="212"/>
      <c r="CG59" s="11">
        <f>SUM(CG55:CG58)</f>
        <v>0</v>
      </c>
      <c r="CH59" s="12">
        <f>SUM(CH55:CH58)</f>
        <v>0</v>
      </c>
      <c r="CI59" s="13">
        <f>SUM(CI55:CI58)</f>
        <v>0</v>
      </c>
      <c r="CJ59" s="14">
        <f>SUM(CJ55:CJ58)</f>
        <v>0</v>
      </c>
      <c r="CK59" s="15">
        <f>SUM(CK55:CK58)</f>
        <v>0</v>
      </c>
      <c r="CL59" s="40"/>
      <c r="CM59" s="210"/>
      <c r="CN59" s="211" t="s">
        <v>3</v>
      </c>
      <c r="CO59" s="212"/>
      <c r="CP59" s="11">
        <f>SUM(CP55:CP58)</f>
        <v>0</v>
      </c>
      <c r="CQ59" s="12">
        <f>SUM(CQ55:CQ58)</f>
        <v>0</v>
      </c>
      <c r="CR59" s="13">
        <f>SUM(CR55:CR58)</f>
        <v>0</v>
      </c>
      <c r="CS59" s="14">
        <f>SUM(CS55:CS58)</f>
        <v>0</v>
      </c>
      <c r="CT59" s="15">
        <f>SUM(CT55:CT58)</f>
        <v>0</v>
      </c>
      <c r="CU59" s="40"/>
      <c r="CV59" s="210"/>
      <c r="CW59" s="211" t="s">
        <v>3</v>
      </c>
      <c r="CX59" s="212"/>
      <c r="CY59" s="11">
        <f>SUM(CY55:CY58)</f>
        <v>0</v>
      </c>
      <c r="CZ59" s="12">
        <f>SUM(CZ55:CZ58)</f>
        <v>0</v>
      </c>
      <c r="DA59" s="13">
        <f>SUM(DA55:DA58)</f>
        <v>0</v>
      </c>
      <c r="DB59" s="14">
        <f>SUM(DB55:DB58)</f>
        <v>0</v>
      </c>
      <c r="DC59" s="15">
        <f>SUM(DC55:DC58)</f>
        <v>0</v>
      </c>
      <c r="DD59" s="40"/>
      <c r="DE59" s="210"/>
      <c r="DF59" s="238" t="s">
        <v>3</v>
      </c>
      <c r="DG59" s="239"/>
      <c r="DH59" s="22">
        <f>SUM(DH55:DH58)</f>
        <v>0</v>
      </c>
      <c r="DI59" s="23">
        <f>SUM(DI55:DI58)</f>
        <v>0</v>
      </c>
      <c r="DJ59" s="24">
        <f>SUM(DJ55:DJ58)</f>
        <v>0</v>
      </c>
      <c r="DK59" s="25">
        <f>SUM(DK55:DK58)</f>
        <v>0</v>
      </c>
      <c r="DL59" s="26">
        <f>SUM(DL55:DL58)</f>
        <v>0</v>
      </c>
      <c r="DM59" s="17"/>
    </row>
    <row r="60" spans="1:117" ht="17.100000000000001" customHeight="1" x14ac:dyDescent="0.25">
      <c r="A60" s="208"/>
      <c r="B60" s="219" t="s">
        <v>12</v>
      </c>
      <c r="C60" s="80" t="s">
        <v>11</v>
      </c>
      <c r="D60" s="1">
        <v>0</v>
      </c>
      <c r="E60" s="2">
        <v>0</v>
      </c>
      <c r="F60" s="3">
        <v>0</v>
      </c>
      <c r="G60" s="4">
        <f>SUM(D60:F60)</f>
        <v>0</v>
      </c>
      <c r="H60" s="5">
        <v>0</v>
      </c>
      <c r="I60" s="40"/>
      <c r="J60" s="208"/>
      <c r="K60" s="219" t="s">
        <v>12</v>
      </c>
      <c r="L60" s="80" t="s">
        <v>11</v>
      </c>
      <c r="M60" s="1">
        <v>0</v>
      </c>
      <c r="N60" s="2">
        <v>0</v>
      </c>
      <c r="O60" s="3">
        <v>0</v>
      </c>
      <c r="P60" s="4">
        <f>SUM(M60:O60)</f>
        <v>0</v>
      </c>
      <c r="Q60" s="5">
        <v>0</v>
      </c>
      <c r="R60" s="40"/>
      <c r="S60" s="208"/>
      <c r="T60" s="219" t="s">
        <v>12</v>
      </c>
      <c r="U60" s="80" t="s">
        <v>11</v>
      </c>
      <c r="V60" s="1">
        <v>0</v>
      </c>
      <c r="W60" s="2">
        <v>0</v>
      </c>
      <c r="X60" s="3">
        <v>0</v>
      </c>
      <c r="Y60" s="4">
        <f>SUM(V60:X60)</f>
        <v>0</v>
      </c>
      <c r="Z60" s="5">
        <v>0</v>
      </c>
      <c r="AA60" s="40"/>
      <c r="AB60" s="208"/>
      <c r="AC60" s="219" t="s">
        <v>12</v>
      </c>
      <c r="AD60" s="80" t="s">
        <v>11</v>
      </c>
      <c r="AE60" s="1">
        <v>0</v>
      </c>
      <c r="AF60" s="2">
        <v>0</v>
      </c>
      <c r="AG60" s="3">
        <v>0</v>
      </c>
      <c r="AH60" s="4">
        <f>SUM(AE60:AG60)</f>
        <v>0</v>
      </c>
      <c r="AI60" s="5">
        <v>0</v>
      </c>
      <c r="AJ60" s="40"/>
      <c r="AK60" s="208"/>
      <c r="AL60" s="219" t="s">
        <v>12</v>
      </c>
      <c r="AM60" s="80" t="s">
        <v>11</v>
      </c>
      <c r="AN60" s="1">
        <v>0</v>
      </c>
      <c r="AO60" s="2">
        <v>0</v>
      </c>
      <c r="AP60" s="3">
        <v>0</v>
      </c>
      <c r="AQ60" s="4">
        <f>SUM(AN60:AP60)</f>
        <v>0</v>
      </c>
      <c r="AR60" s="5">
        <v>0</v>
      </c>
      <c r="AS60" s="40"/>
      <c r="AT60" s="208"/>
      <c r="AU60" s="219" t="s">
        <v>12</v>
      </c>
      <c r="AV60" s="80" t="s">
        <v>11</v>
      </c>
      <c r="AW60" s="1">
        <v>0</v>
      </c>
      <c r="AX60" s="2">
        <v>0</v>
      </c>
      <c r="AY60" s="3">
        <v>0</v>
      </c>
      <c r="AZ60" s="4">
        <f>SUM(AW60:AY60)</f>
        <v>0</v>
      </c>
      <c r="BA60" s="5">
        <v>0</v>
      </c>
      <c r="BB60" s="40"/>
      <c r="BC60" s="208"/>
      <c r="BD60" s="219" t="s">
        <v>12</v>
      </c>
      <c r="BE60" s="80" t="s">
        <v>11</v>
      </c>
      <c r="BF60" s="1">
        <v>0</v>
      </c>
      <c r="BG60" s="2">
        <v>0</v>
      </c>
      <c r="BH60" s="3">
        <v>0</v>
      </c>
      <c r="BI60" s="4">
        <f>SUM(BF60:BH60)</f>
        <v>0</v>
      </c>
      <c r="BJ60" s="5">
        <v>0</v>
      </c>
      <c r="BK60" s="40"/>
      <c r="BL60" s="208"/>
      <c r="BM60" s="219" t="s">
        <v>12</v>
      </c>
      <c r="BN60" s="80" t="s">
        <v>11</v>
      </c>
      <c r="BO60" s="176">
        <v>0</v>
      </c>
      <c r="BP60" s="177">
        <v>0</v>
      </c>
      <c r="BQ60" s="178">
        <v>0</v>
      </c>
      <c r="BR60" s="179">
        <f t="shared" ref="BR60:BR63" si="91">SUM(BO60:BQ60)</f>
        <v>0</v>
      </c>
      <c r="BS60" s="180">
        <v>0</v>
      </c>
      <c r="BT60" s="40"/>
      <c r="BU60" s="208"/>
      <c r="BV60" s="219" t="s">
        <v>12</v>
      </c>
      <c r="BW60" s="80" t="s">
        <v>11</v>
      </c>
      <c r="BX60" s="1">
        <v>0</v>
      </c>
      <c r="BY60" s="2">
        <v>0</v>
      </c>
      <c r="BZ60" s="3">
        <v>0</v>
      </c>
      <c r="CA60" s="4">
        <f>SUM(BX60:BZ60)</f>
        <v>0</v>
      </c>
      <c r="CB60" s="5">
        <v>0</v>
      </c>
      <c r="CC60" s="40"/>
      <c r="CD60" s="208"/>
      <c r="CE60" s="219" t="s">
        <v>12</v>
      </c>
      <c r="CF60" s="80" t="s">
        <v>11</v>
      </c>
      <c r="CG60" s="1">
        <v>0</v>
      </c>
      <c r="CH60" s="2">
        <v>0</v>
      </c>
      <c r="CI60" s="3">
        <v>0</v>
      </c>
      <c r="CJ60" s="4">
        <f>SUM(CG60:CI60)</f>
        <v>0</v>
      </c>
      <c r="CK60" s="5">
        <v>0</v>
      </c>
      <c r="CL60" s="40"/>
      <c r="CM60" s="208"/>
      <c r="CN60" s="219" t="s">
        <v>12</v>
      </c>
      <c r="CO60" s="80" t="s">
        <v>11</v>
      </c>
      <c r="CP60" s="1">
        <v>0</v>
      </c>
      <c r="CQ60" s="2">
        <v>0</v>
      </c>
      <c r="CR60" s="3">
        <v>0</v>
      </c>
      <c r="CS60" s="4">
        <f>SUM(CP60:CR60)</f>
        <v>0</v>
      </c>
      <c r="CT60" s="5">
        <v>0</v>
      </c>
      <c r="CU60" s="40"/>
      <c r="CV60" s="208"/>
      <c r="CW60" s="219" t="s">
        <v>12</v>
      </c>
      <c r="CX60" s="80" t="s">
        <v>11</v>
      </c>
      <c r="CY60" s="1">
        <v>0</v>
      </c>
      <c r="CZ60" s="2">
        <v>0</v>
      </c>
      <c r="DA60" s="3">
        <v>0</v>
      </c>
      <c r="DB60" s="4">
        <f>SUM(CY60:DA60)</f>
        <v>0</v>
      </c>
      <c r="DC60" s="5">
        <v>0</v>
      </c>
      <c r="DD60" s="40"/>
      <c r="DE60" s="208">
        <f t="shared" ref="DE60" si="92">CV60</f>
        <v>0</v>
      </c>
      <c r="DF60" s="18"/>
      <c r="DG60" s="27" t="s">
        <v>11</v>
      </c>
      <c r="DH60" s="1">
        <f t="shared" ref="DH60:DH63" si="93">D60+M60+V60+AE60+AN60+AW60+BF60+BO60+BX60+CG60+CP60+CY60</f>
        <v>0</v>
      </c>
      <c r="DI60" s="2">
        <f t="shared" ref="DI60:DI63" si="94">E60+N60+W60+AF60+AO60+AX60+BG60+BP60+BY60+CH60+CQ60+CZ60</f>
        <v>0</v>
      </c>
      <c r="DJ60" s="20">
        <f t="shared" ref="DJ60:DJ63" si="95">F60+O60+X60+AG60+AP60+AY60+BH60+BQ60+BZ60+CI60+CR60+DA60</f>
        <v>0</v>
      </c>
      <c r="DK60" s="4">
        <f>SUM(DH60:DJ60)</f>
        <v>0</v>
      </c>
      <c r="DL60" s="5">
        <f>H60+Q60+Z60+AI60+AR60+BA60+BJ60+BS60+CB60+CK60+CT60+DC60</f>
        <v>0</v>
      </c>
      <c r="DM60" s="17"/>
    </row>
    <row r="61" spans="1:117" ht="17.100000000000001" customHeight="1" thickBot="1" x14ac:dyDescent="0.3">
      <c r="A61" s="209"/>
      <c r="B61" s="220"/>
      <c r="C61" s="81" t="s">
        <v>13</v>
      </c>
      <c r="D61" s="6">
        <v>0</v>
      </c>
      <c r="E61" s="7">
        <v>0</v>
      </c>
      <c r="F61" s="8">
        <v>0</v>
      </c>
      <c r="G61" s="9">
        <f>SUM(D61:F61)</f>
        <v>0</v>
      </c>
      <c r="H61" s="10">
        <v>0</v>
      </c>
      <c r="I61" s="40"/>
      <c r="J61" s="209"/>
      <c r="K61" s="220"/>
      <c r="L61" s="81" t="s">
        <v>13</v>
      </c>
      <c r="M61" s="6">
        <v>0</v>
      </c>
      <c r="N61" s="7">
        <v>0</v>
      </c>
      <c r="O61" s="8">
        <v>0</v>
      </c>
      <c r="P61" s="9">
        <f>SUM(M61:O61)</f>
        <v>0</v>
      </c>
      <c r="Q61" s="10">
        <v>0</v>
      </c>
      <c r="R61" s="40"/>
      <c r="S61" s="209"/>
      <c r="T61" s="220"/>
      <c r="U61" s="81" t="s">
        <v>13</v>
      </c>
      <c r="V61" s="6">
        <v>0</v>
      </c>
      <c r="W61" s="7">
        <v>0</v>
      </c>
      <c r="X61" s="8">
        <v>0</v>
      </c>
      <c r="Y61" s="9">
        <f>SUM(V61:X61)</f>
        <v>0</v>
      </c>
      <c r="Z61" s="10">
        <v>0</v>
      </c>
      <c r="AA61" s="40"/>
      <c r="AB61" s="209"/>
      <c r="AC61" s="220"/>
      <c r="AD61" s="81" t="s">
        <v>13</v>
      </c>
      <c r="AE61" s="6">
        <v>0</v>
      </c>
      <c r="AF61" s="7">
        <v>0</v>
      </c>
      <c r="AG61" s="8">
        <v>0</v>
      </c>
      <c r="AH61" s="9">
        <f>SUM(AE61:AG61)</f>
        <v>0</v>
      </c>
      <c r="AI61" s="10">
        <v>0</v>
      </c>
      <c r="AJ61" s="40"/>
      <c r="AK61" s="209"/>
      <c r="AL61" s="220"/>
      <c r="AM61" s="81" t="s">
        <v>13</v>
      </c>
      <c r="AN61" s="6">
        <v>0</v>
      </c>
      <c r="AO61" s="7">
        <v>0</v>
      </c>
      <c r="AP61" s="8">
        <v>0</v>
      </c>
      <c r="AQ61" s="9">
        <f>SUM(AN61:AP61)</f>
        <v>0</v>
      </c>
      <c r="AR61" s="10">
        <v>0</v>
      </c>
      <c r="AS61" s="40"/>
      <c r="AT61" s="209"/>
      <c r="AU61" s="220"/>
      <c r="AV61" s="81" t="s">
        <v>13</v>
      </c>
      <c r="AW61" s="6">
        <v>0</v>
      </c>
      <c r="AX61" s="7">
        <v>0</v>
      </c>
      <c r="AY61" s="8">
        <v>0</v>
      </c>
      <c r="AZ61" s="9">
        <f>SUM(AW61:AY61)</f>
        <v>0</v>
      </c>
      <c r="BA61" s="10">
        <v>0</v>
      </c>
      <c r="BB61" s="40"/>
      <c r="BC61" s="209"/>
      <c r="BD61" s="220"/>
      <c r="BE61" s="81" t="s">
        <v>13</v>
      </c>
      <c r="BF61" s="6">
        <v>0</v>
      </c>
      <c r="BG61" s="7">
        <v>0</v>
      </c>
      <c r="BH61" s="8">
        <v>0</v>
      </c>
      <c r="BI61" s="9">
        <f>SUM(BF61:BH61)</f>
        <v>0</v>
      </c>
      <c r="BJ61" s="10">
        <v>0</v>
      </c>
      <c r="BK61" s="40"/>
      <c r="BL61" s="209"/>
      <c r="BM61" s="220"/>
      <c r="BN61" s="81" t="s">
        <v>13</v>
      </c>
      <c r="BO61" s="181">
        <v>0</v>
      </c>
      <c r="BP61" s="182">
        <v>0</v>
      </c>
      <c r="BQ61" s="183">
        <v>0</v>
      </c>
      <c r="BR61" s="184">
        <f t="shared" si="91"/>
        <v>0</v>
      </c>
      <c r="BS61" s="185">
        <v>0</v>
      </c>
      <c r="BT61" s="40"/>
      <c r="BU61" s="209"/>
      <c r="BV61" s="220"/>
      <c r="BW61" s="81" t="s">
        <v>13</v>
      </c>
      <c r="BX61" s="6">
        <v>0</v>
      </c>
      <c r="BY61" s="7">
        <v>0</v>
      </c>
      <c r="BZ61" s="8">
        <v>0</v>
      </c>
      <c r="CA61" s="9">
        <f>SUM(BX61:BZ61)</f>
        <v>0</v>
      </c>
      <c r="CB61" s="10">
        <v>0</v>
      </c>
      <c r="CC61" s="40"/>
      <c r="CD61" s="209"/>
      <c r="CE61" s="220"/>
      <c r="CF61" s="81" t="s">
        <v>13</v>
      </c>
      <c r="CG61" s="6">
        <v>0</v>
      </c>
      <c r="CH61" s="7">
        <v>0</v>
      </c>
      <c r="CI61" s="8">
        <v>0</v>
      </c>
      <c r="CJ61" s="9">
        <f>SUM(CG61:CI61)</f>
        <v>0</v>
      </c>
      <c r="CK61" s="10">
        <v>0</v>
      </c>
      <c r="CL61" s="40"/>
      <c r="CM61" s="209"/>
      <c r="CN61" s="220"/>
      <c r="CO61" s="81" t="s">
        <v>13</v>
      </c>
      <c r="CP61" s="6">
        <v>0</v>
      </c>
      <c r="CQ61" s="7">
        <v>0</v>
      </c>
      <c r="CR61" s="8">
        <v>0</v>
      </c>
      <c r="CS61" s="9">
        <f>SUM(CP61:CR61)</f>
        <v>0</v>
      </c>
      <c r="CT61" s="10">
        <v>0</v>
      </c>
      <c r="CU61" s="40"/>
      <c r="CV61" s="209"/>
      <c r="CW61" s="220"/>
      <c r="CX61" s="81" t="s">
        <v>13</v>
      </c>
      <c r="CY61" s="6">
        <v>0</v>
      </c>
      <c r="CZ61" s="7">
        <v>0</v>
      </c>
      <c r="DA61" s="8">
        <v>0</v>
      </c>
      <c r="DB61" s="9">
        <f>SUM(CY61:DA61)</f>
        <v>0</v>
      </c>
      <c r="DC61" s="10">
        <v>0</v>
      </c>
      <c r="DD61" s="40"/>
      <c r="DE61" s="209"/>
      <c r="DF61" s="19" t="s">
        <v>12</v>
      </c>
      <c r="DG61" s="28" t="s">
        <v>13</v>
      </c>
      <c r="DH61" s="6">
        <f t="shared" si="93"/>
        <v>0</v>
      </c>
      <c r="DI61" s="7">
        <f t="shared" si="94"/>
        <v>0</v>
      </c>
      <c r="DJ61" s="21">
        <f t="shared" si="95"/>
        <v>0</v>
      </c>
      <c r="DK61" s="9">
        <f>SUM(DH61:DJ61)</f>
        <v>0</v>
      </c>
      <c r="DL61" s="10">
        <f>H61+Q61+Z61+AI61+AR61+BA61+BJ61+BS61+CB61+CK61+CT61+DC61</f>
        <v>0</v>
      </c>
      <c r="DM61" s="17"/>
    </row>
    <row r="62" spans="1:117" ht="17.100000000000001" customHeight="1" x14ac:dyDescent="0.25">
      <c r="A62" s="209"/>
      <c r="B62" s="82" t="s">
        <v>14</v>
      </c>
      <c r="C62" s="83" t="s">
        <v>11</v>
      </c>
      <c r="D62" s="1">
        <v>0</v>
      </c>
      <c r="E62" s="2">
        <v>0</v>
      </c>
      <c r="F62" s="3">
        <v>0</v>
      </c>
      <c r="G62" s="4">
        <f>SUM(D62:F62)</f>
        <v>0</v>
      </c>
      <c r="H62" s="5">
        <v>0</v>
      </c>
      <c r="I62" s="40"/>
      <c r="J62" s="209"/>
      <c r="K62" s="82" t="s">
        <v>14</v>
      </c>
      <c r="L62" s="83" t="s">
        <v>11</v>
      </c>
      <c r="M62" s="1">
        <v>0</v>
      </c>
      <c r="N62" s="2">
        <v>0</v>
      </c>
      <c r="O62" s="3">
        <v>0</v>
      </c>
      <c r="P62" s="4">
        <f>SUM(M62:O62)</f>
        <v>0</v>
      </c>
      <c r="Q62" s="5">
        <v>0</v>
      </c>
      <c r="R62" s="40"/>
      <c r="S62" s="209"/>
      <c r="T62" s="82" t="s">
        <v>14</v>
      </c>
      <c r="U62" s="83" t="s">
        <v>11</v>
      </c>
      <c r="V62" s="1">
        <v>0</v>
      </c>
      <c r="W62" s="2">
        <v>0</v>
      </c>
      <c r="X62" s="3">
        <v>0</v>
      </c>
      <c r="Y62" s="4">
        <f>SUM(V62:X62)</f>
        <v>0</v>
      </c>
      <c r="Z62" s="5">
        <v>0</v>
      </c>
      <c r="AA62" s="40"/>
      <c r="AB62" s="209"/>
      <c r="AC62" s="82" t="s">
        <v>14</v>
      </c>
      <c r="AD62" s="83" t="s">
        <v>11</v>
      </c>
      <c r="AE62" s="1">
        <v>0</v>
      </c>
      <c r="AF62" s="2">
        <v>0</v>
      </c>
      <c r="AG62" s="3">
        <v>0</v>
      </c>
      <c r="AH62" s="4">
        <f>SUM(AE62:AG62)</f>
        <v>0</v>
      </c>
      <c r="AI62" s="5">
        <v>0</v>
      </c>
      <c r="AJ62" s="40"/>
      <c r="AK62" s="209"/>
      <c r="AL62" s="82" t="s">
        <v>14</v>
      </c>
      <c r="AM62" s="83" t="s">
        <v>11</v>
      </c>
      <c r="AN62" s="1">
        <v>0</v>
      </c>
      <c r="AO62" s="2">
        <v>0</v>
      </c>
      <c r="AP62" s="3">
        <v>0</v>
      </c>
      <c r="AQ62" s="4">
        <f>SUM(AN62:AP62)</f>
        <v>0</v>
      </c>
      <c r="AR62" s="5">
        <v>0</v>
      </c>
      <c r="AS62" s="40"/>
      <c r="AT62" s="209"/>
      <c r="AU62" s="82" t="s">
        <v>14</v>
      </c>
      <c r="AV62" s="83" t="s">
        <v>11</v>
      </c>
      <c r="AW62" s="1">
        <v>0</v>
      </c>
      <c r="AX62" s="2">
        <v>0</v>
      </c>
      <c r="AY62" s="3">
        <v>0</v>
      </c>
      <c r="AZ62" s="4">
        <f>SUM(AW62:AY62)</f>
        <v>0</v>
      </c>
      <c r="BA62" s="5">
        <v>0</v>
      </c>
      <c r="BB62" s="40"/>
      <c r="BC62" s="209"/>
      <c r="BD62" s="82" t="s">
        <v>14</v>
      </c>
      <c r="BE62" s="83" t="s">
        <v>11</v>
      </c>
      <c r="BF62" s="1">
        <v>0</v>
      </c>
      <c r="BG62" s="2">
        <v>0</v>
      </c>
      <c r="BH62" s="3">
        <v>0</v>
      </c>
      <c r="BI62" s="4">
        <f>SUM(BF62:BH62)</f>
        <v>0</v>
      </c>
      <c r="BJ62" s="5">
        <v>0</v>
      </c>
      <c r="BK62" s="40"/>
      <c r="BL62" s="209"/>
      <c r="BM62" s="82" t="s">
        <v>14</v>
      </c>
      <c r="BN62" s="83" t="s">
        <v>11</v>
      </c>
      <c r="BO62" s="176">
        <v>0</v>
      </c>
      <c r="BP62" s="177">
        <v>0</v>
      </c>
      <c r="BQ62" s="178">
        <v>0</v>
      </c>
      <c r="BR62" s="179">
        <f t="shared" si="91"/>
        <v>0</v>
      </c>
      <c r="BS62" s="180">
        <v>0</v>
      </c>
      <c r="BT62" s="40"/>
      <c r="BU62" s="209"/>
      <c r="BV62" s="82" t="s">
        <v>14</v>
      </c>
      <c r="BW62" s="83" t="s">
        <v>11</v>
      </c>
      <c r="BX62" s="1">
        <v>0</v>
      </c>
      <c r="BY62" s="2">
        <v>0</v>
      </c>
      <c r="BZ62" s="3">
        <v>0</v>
      </c>
      <c r="CA62" s="4">
        <f>SUM(BX62:BZ62)</f>
        <v>0</v>
      </c>
      <c r="CB62" s="5">
        <v>0</v>
      </c>
      <c r="CC62" s="40"/>
      <c r="CD62" s="209"/>
      <c r="CE62" s="82" t="s">
        <v>14</v>
      </c>
      <c r="CF62" s="83" t="s">
        <v>11</v>
      </c>
      <c r="CG62" s="1">
        <v>0</v>
      </c>
      <c r="CH62" s="2">
        <v>0</v>
      </c>
      <c r="CI62" s="3">
        <v>0</v>
      </c>
      <c r="CJ62" s="4">
        <f>SUM(CG62:CI62)</f>
        <v>0</v>
      </c>
      <c r="CK62" s="5">
        <v>0</v>
      </c>
      <c r="CL62" s="40"/>
      <c r="CM62" s="209"/>
      <c r="CN62" s="82" t="s">
        <v>14</v>
      </c>
      <c r="CO62" s="83" t="s">
        <v>11</v>
      </c>
      <c r="CP62" s="1">
        <v>0</v>
      </c>
      <c r="CQ62" s="2">
        <v>0</v>
      </c>
      <c r="CR62" s="3">
        <v>0</v>
      </c>
      <c r="CS62" s="4">
        <f>SUM(CP62:CR62)</f>
        <v>0</v>
      </c>
      <c r="CT62" s="5">
        <v>0</v>
      </c>
      <c r="CU62" s="40"/>
      <c r="CV62" s="209"/>
      <c r="CW62" s="82" t="s">
        <v>14</v>
      </c>
      <c r="CX62" s="83" t="s">
        <v>11</v>
      </c>
      <c r="CY62" s="1">
        <v>0</v>
      </c>
      <c r="CZ62" s="2">
        <v>0</v>
      </c>
      <c r="DA62" s="3">
        <v>0</v>
      </c>
      <c r="DB62" s="4">
        <f>SUM(CY62:DA62)</f>
        <v>0</v>
      </c>
      <c r="DC62" s="5">
        <v>0</v>
      </c>
      <c r="DD62" s="40"/>
      <c r="DE62" s="209"/>
      <c r="DF62" s="18" t="s">
        <v>14</v>
      </c>
      <c r="DG62" s="29" t="s">
        <v>11</v>
      </c>
      <c r="DH62" s="1">
        <f t="shared" si="93"/>
        <v>0</v>
      </c>
      <c r="DI62" s="2">
        <f t="shared" si="94"/>
        <v>0</v>
      </c>
      <c r="DJ62" s="20">
        <f t="shared" si="95"/>
        <v>0</v>
      </c>
      <c r="DK62" s="4">
        <f>SUM(DH62:DJ62)</f>
        <v>0</v>
      </c>
      <c r="DL62" s="5">
        <f>H62+Q62+Z62+AI62+AR62+BA62+BJ62+BS62+CB62+CK62+CT62+DC62</f>
        <v>0</v>
      </c>
      <c r="DM62" s="17"/>
    </row>
    <row r="63" spans="1:117" ht="17.100000000000001" customHeight="1" thickBot="1" x14ac:dyDescent="0.3">
      <c r="A63" s="209"/>
      <c r="B63" s="84" t="s">
        <v>12</v>
      </c>
      <c r="C63" s="85" t="s">
        <v>13</v>
      </c>
      <c r="D63" s="6">
        <v>0</v>
      </c>
      <c r="E63" s="7">
        <v>0</v>
      </c>
      <c r="F63" s="8">
        <v>0</v>
      </c>
      <c r="G63" s="9">
        <f>SUM(D63:F63)</f>
        <v>0</v>
      </c>
      <c r="H63" s="10">
        <v>0</v>
      </c>
      <c r="I63" s="40"/>
      <c r="J63" s="209"/>
      <c r="K63" s="84" t="s">
        <v>12</v>
      </c>
      <c r="L63" s="85" t="s">
        <v>13</v>
      </c>
      <c r="M63" s="6">
        <v>0</v>
      </c>
      <c r="N63" s="7">
        <v>0</v>
      </c>
      <c r="O63" s="8">
        <v>0</v>
      </c>
      <c r="P63" s="9">
        <f>SUM(M63:O63)</f>
        <v>0</v>
      </c>
      <c r="Q63" s="10">
        <v>0</v>
      </c>
      <c r="R63" s="40"/>
      <c r="S63" s="209"/>
      <c r="T63" s="84" t="s">
        <v>12</v>
      </c>
      <c r="U63" s="85" t="s">
        <v>13</v>
      </c>
      <c r="V63" s="6">
        <v>0</v>
      </c>
      <c r="W63" s="7">
        <v>0</v>
      </c>
      <c r="X63" s="8">
        <v>0</v>
      </c>
      <c r="Y63" s="9">
        <f>SUM(V63:X63)</f>
        <v>0</v>
      </c>
      <c r="Z63" s="10">
        <v>0</v>
      </c>
      <c r="AA63" s="40"/>
      <c r="AB63" s="209"/>
      <c r="AC63" s="84" t="s">
        <v>12</v>
      </c>
      <c r="AD63" s="85" t="s">
        <v>13</v>
      </c>
      <c r="AE63" s="6">
        <v>0</v>
      </c>
      <c r="AF63" s="7">
        <v>0</v>
      </c>
      <c r="AG63" s="8">
        <v>0</v>
      </c>
      <c r="AH63" s="9">
        <f>SUM(AE63:AG63)</f>
        <v>0</v>
      </c>
      <c r="AI63" s="10">
        <v>0</v>
      </c>
      <c r="AJ63" s="40"/>
      <c r="AK63" s="209"/>
      <c r="AL63" s="84" t="s">
        <v>12</v>
      </c>
      <c r="AM63" s="85" t="s">
        <v>13</v>
      </c>
      <c r="AN63" s="6">
        <v>0</v>
      </c>
      <c r="AO63" s="7">
        <v>0</v>
      </c>
      <c r="AP63" s="8">
        <v>0</v>
      </c>
      <c r="AQ63" s="9">
        <f>SUM(AN63:AP63)</f>
        <v>0</v>
      </c>
      <c r="AR63" s="10">
        <v>0</v>
      </c>
      <c r="AS63" s="40"/>
      <c r="AT63" s="209"/>
      <c r="AU63" s="84" t="s">
        <v>12</v>
      </c>
      <c r="AV63" s="85" t="s">
        <v>13</v>
      </c>
      <c r="AW63" s="6">
        <v>0</v>
      </c>
      <c r="AX63" s="7">
        <v>0</v>
      </c>
      <c r="AY63" s="8">
        <v>0</v>
      </c>
      <c r="AZ63" s="9">
        <f>SUM(AW63:AY63)</f>
        <v>0</v>
      </c>
      <c r="BA63" s="10">
        <v>0</v>
      </c>
      <c r="BB63" s="40"/>
      <c r="BC63" s="209"/>
      <c r="BD63" s="84" t="s">
        <v>12</v>
      </c>
      <c r="BE63" s="85" t="s">
        <v>13</v>
      </c>
      <c r="BF63" s="6">
        <v>0</v>
      </c>
      <c r="BG63" s="7">
        <v>0</v>
      </c>
      <c r="BH63" s="8">
        <v>0</v>
      </c>
      <c r="BI63" s="9">
        <f>SUM(BF63:BH63)</f>
        <v>0</v>
      </c>
      <c r="BJ63" s="10">
        <v>0</v>
      </c>
      <c r="BK63" s="40"/>
      <c r="BL63" s="209"/>
      <c r="BM63" s="84" t="s">
        <v>12</v>
      </c>
      <c r="BN63" s="85" t="s">
        <v>13</v>
      </c>
      <c r="BO63" s="181">
        <v>0</v>
      </c>
      <c r="BP63" s="182">
        <v>0</v>
      </c>
      <c r="BQ63" s="183">
        <v>0</v>
      </c>
      <c r="BR63" s="184">
        <f t="shared" si="91"/>
        <v>0</v>
      </c>
      <c r="BS63" s="185">
        <v>0</v>
      </c>
      <c r="BT63" s="40"/>
      <c r="BU63" s="209"/>
      <c r="BV63" s="84" t="s">
        <v>12</v>
      </c>
      <c r="BW63" s="85" t="s">
        <v>13</v>
      </c>
      <c r="BX63" s="6">
        <v>0</v>
      </c>
      <c r="BY63" s="7">
        <v>0</v>
      </c>
      <c r="BZ63" s="8">
        <v>0</v>
      </c>
      <c r="CA63" s="9">
        <f>SUM(BX63:BZ63)</f>
        <v>0</v>
      </c>
      <c r="CB63" s="10">
        <v>0</v>
      </c>
      <c r="CC63" s="40"/>
      <c r="CD63" s="209"/>
      <c r="CE63" s="84" t="s">
        <v>12</v>
      </c>
      <c r="CF63" s="85" t="s">
        <v>13</v>
      </c>
      <c r="CG63" s="6">
        <v>0</v>
      </c>
      <c r="CH63" s="7">
        <v>0</v>
      </c>
      <c r="CI63" s="8">
        <v>0</v>
      </c>
      <c r="CJ63" s="9">
        <f>SUM(CG63:CI63)</f>
        <v>0</v>
      </c>
      <c r="CK63" s="10">
        <v>0</v>
      </c>
      <c r="CL63" s="40"/>
      <c r="CM63" s="209"/>
      <c r="CN63" s="84" t="s">
        <v>12</v>
      </c>
      <c r="CO63" s="85" t="s">
        <v>13</v>
      </c>
      <c r="CP63" s="6">
        <v>0</v>
      </c>
      <c r="CQ63" s="7">
        <v>0</v>
      </c>
      <c r="CR63" s="8">
        <v>0</v>
      </c>
      <c r="CS63" s="9">
        <f>SUM(CP63:CR63)</f>
        <v>0</v>
      </c>
      <c r="CT63" s="10">
        <v>0</v>
      </c>
      <c r="CU63" s="40"/>
      <c r="CV63" s="209"/>
      <c r="CW63" s="84" t="s">
        <v>12</v>
      </c>
      <c r="CX63" s="85" t="s">
        <v>13</v>
      </c>
      <c r="CY63" s="6">
        <v>0</v>
      </c>
      <c r="CZ63" s="7">
        <v>0</v>
      </c>
      <c r="DA63" s="8">
        <v>0</v>
      </c>
      <c r="DB63" s="9">
        <f>SUM(CY63:DA63)</f>
        <v>0</v>
      </c>
      <c r="DC63" s="10">
        <v>0</v>
      </c>
      <c r="DD63" s="40"/>
      <c r="DE63" s="209"/>
      <c r="DF63" s="19" t="s">
        <v>12</v>
      </c>
      <c r="DG63" s="30" t="s">
        <v>13</v>
      </c>
      <c r="DH63" s="6">
        <f t="shared" si="93"/>
        <v>0</v>
      </c>
      <c r="DI63" s="7">
        <f t="shared" si="94"/>
        <v>0</v>
      </c>
      <c r="DJ63" s="21">
        <f t="shared" si="95"/>
        <v>0</v>
      </c>
      <c r="DK63" s="9">
        <f>SUM(DH63:DJ63)</f>
        <v>0</v>
      </c>
      <c r="DL63" s="10">
        <f>H63+Q63+Z63+AI63+AR63+BA63+BJ63+BS63+CB63+CK63+CT63+DC63</f>
        <v>0</v>
      </c>
      <c r="DM63" s="17"/>
    </row>
    <row r="64" spans="1:117" ht="16.5" customHeight="1" thickBot="1" x14ac:dyDescent="0.3">
      <c r="A64" s="210"/>
      <c r="B64" s="211" t="s">
        <v>3</v>
      </c>
      <c r="C64" s="212"/>
      <c r="D64" s="11">
        <f>SUM(D60:D63)</f>
        <v>0</v>
      </c>
      <c r="E64" s="12">
        <f>SUM(E60:E63)</f>
        <v>0</v>
      </c>
      <c r="F64" s="13">
        <f>SUM(F60:F63)</f>
        <v>0</v>
      </c>
      <c r="G64" s="14">
        <f>SUM(G60:G63)</f>
        <v>0</v>
      </c>
      <c r="H64" s="15">
        <f>SUM(H60:H63)</f>
        <v>0</v>
      </c>
      <c r="I64" s="40"/>
      <c r="J64" s="210"/>
      <c r="K64" s="211" t="s">
        <v>3</v>
      </c>
      <c r="L64" s="212"/>
      <c r="M64" s="11">
        <f>SUM(M60:M63)</f>
        <v>0</v>
      </c>
      <c r="N64" s="12">
        <f>SUM(N60:N63)</f>
        <v>0</v>
      </c>
      <c r="O64" s="13">
        <f>SUM(O60:O63)</f>
        <v>0</v>
      </c>
      <c r="P64" s="14">
        <f>SUM(P60:P63)</f>
        <v>0</v>
      </c>
      <c r="Q64" s="15">
        <f>SUM(Q60:Q63)</f>
        <v>0</v>
      </c>
      <c r="R64" s="40"/>
      <c r="S64" s="210"/>
      <c r="T64" s="211" t="s">
        <v>3</v>
      </c>
      <c r="U64" s="212"/>
      <c r="V64" s="11">
        <f>SUM(V60:V63)</f>
        <v>0</v>
      </c>
      <c r="W64" s="12">
        <f>SUM(W60:W63)</f>
        <v>0</v>
      </c>
      <c r="X64" s="13">
        <f>SUM(X60:X63)</f>
        <v>0</v>
      </c>
      <c r="Y64" s="14">
        <f>SUM(Y60:Y63)</f>
        <v>0</v>
      </c>
      <c r="Z64" s="15">
        <f>SUM(Z60:Z63)</f>
        <v>0</v>
      </c>
      <c r="AA64" s="40"/>
      <c r="AB64" s="210"/>
      <c r="AC64" s="211" t="s">
        <v>3</v>
      </c>
      <c r="AD64" s="212"/>
      <c r="AE64" s="11">
        <f>SUM(AE60:AE63)</f>
        <v>0</v>
      </c>
      <c r="AF64" s="12">
        <f>SUM(AF60:AF63)</f>
        <v>0</v>
      </c>
      <c r="AG64" s="13">
        <f>SUM(AG60:AG63)</f>
        <v>0</v>
      </c>
      <c r="AH64" s="14">
        <f>SUM(AH60:AH63)</f>
        <v>0</v>
      </c>
      <c r="AI64" s="15">
        <f>SUM(AI60:AI63)</f>
        <v>0</v>
      </c>
      <c r="AJ64" s="40"/>
      <c r="AK64" s="210"/>
      <c r="AL64" s="211" t="s">
        <v>3</v>
      </c>
      <c r="AM64" s="212"/>
      <c r="AN64" s="11">
        <f>SUM(AN60:AN63)</f>
        <v>0</v>
      </c>
      <c r="AO64" s="12">
        <f>SUM(AO60:AO63)</f>
        <v>0</v>
      </c>
      <c r="AP64" s="13">
        <f>SUM(AP60:AP63)</f>
        <v>0</v>
      </c>
      <c r="AQ64" s="14">
        <f>SUM(AQ60:AQ63)</f>
        <v>0</v>
      </c>
      <c r="AR64" s="15">
        <f>SUM(AR60:AR63)</f>
        <v>0</v>
      </c>
      <c r="AS64" s="40"/>
      <c r="AT64" s="210"/>
      <c r="AU64" s="211" t="s">
        <v>3</v>
      </c>
      <c r="AV64" s="212"/>
      <c r="AW64" s="11">
        <f>SUM(AW60:AW63)</f>
        <v>0</v>
      </c>
      <c r="AX64" s="12">
        <f>SUM(AX60:AX63)</f>
        <v>0</v>
      </c>
      <c r="AY64" s="13">
        <f>SUM(AY60:AY63)</f>
        <v>0</v>
      </c>
      <c r="AZ64" s="14">
        <f>SUM(AZ60:AZ63)</f>
        <v>0</v>
      </c>
      <c r="BA64" s="15">
        <f>SUM(BA60:BA63)</f>
        <v>0</v>
      </c>
      <c r="BB64" s="40"/>
      <c r="BC64" s="210"/>
      <c r="BD64" s="211" t="s">
        <v>3</v>
      </c>
      <c r="BE64" s="212"/>
      <c r="BF64" s="11">
        <f>SUM(BF60:BF63)</f>
        <v>0</v>
      </c>
      <c r="BG64" s="12">
        <f>SUM(BG60:BG63)</f>
        <v>0</v>
      </c>
      <c r="BH64" s="13">
        <f>SUM(BH60:BH63)</f>
        <v>0</v>
      </c>
      <c r="BI64" s="14">
        <f>SUM(BI60:BI63)</f>
        <v>0</v>
      </c>
      <c r="BJ64" s="15">
        <f>SUM(BJ60:BJ63)</f>
        <v>0</v>
      </c>
      <c r="BK64" s="40"/>
      <c r="BL64" s="210"/>
      <c r="BM64" s="211" t="s">
        <v>3</v>
      </c>
      <c r="BN64" s="212"/>
      <c r="BO64" s="11">
        <f>SUM(BO60:BO63)</f>
        <v>0</v>
      </c>
      <c r="BP64" s="12">
        <f>SUM(BP60:BP63)</f>
        <v>0</v>
      </c>
      <c r="BQ64" s="13">
        <f>SUM(BQ60:BQ63)</f>
        <v>0</v>
      </c>
      <c r="BR64" s="14">
        <f>SUM(BR60:BR63)</f>
        <v>0</v>
      </c>
      <c r="BS64" s="15">
        <f>SUM(BS60:BS63)</f>
        <v>0</v>
      </c>
      <c r="BT64" s="40"/>
      <c r="BU64" s="210"/>
      <c r="BV64" s="211" t="s">
        <v>3</v>
      </c>
      <c r="BW64" s="212"/>
      <c r="BX64" s="11">
        <f>SUM(BX60:BX63)</f>
        <v>0</v>
      </c>
      <c r="BY64" s="12">
        <f>SUM(BY60:BY63)</f>
        <v>0</v>
      </c>
      <c r="BZ64" s="13">
        <f>SUM(BZ60:BZ63)</f>
        <v>0</v>
      </c>
      <c r="CA64" s="14">
        <f>SUM(CA60:CA63)</f>
        <v>0</v>
      </c>
      <c r="CB64" s="15">
        <f>SUM(CB60:CB63)</f>
        <v>0</v>
      </c>
      <c r="CC64" s="40"/>
      <c r="CD64" s="210"/>
      <c r="CE64" s="211" t="s">
        <v>3</v>
      </c>
      <c r="CF64" s="212"/>
      <c r="CG64" s="11">
        <f>SUM(CG60:CG63)</f>
        <v>0</v>
      </c>
      <c r="CH64" s="12">
        <f>SUM(CH60:CH63)</f>
        <v>0</v>
      </c>
      <c r="CI64" s="13">
        <f>SUM(CI60:CI63)</f>
        <v>0</v>
      </c>
      <c r="CJ64" s="14">
        <f>SUM(CJ60:CJ63)</f>
        <v>0</v>
      </c>
      <c r="CK64" s="15">
        <f>SUM(CK60:CK63)</f>
        <v>0</v>
      </c>
      <c r="CL64" s="40"/>
      <c r="CM64" s="210"/>
      <c r="CN64" s="211" t="s">
        <v>3</v>
      </c>
      <c r="CO64" s="212"/>
      <c r="CP64" s="11">
        <f>SUM(CP60:CP63)</f>
        <v>0</v>
      </c>
      <c r="CQ64" s="12">
        <f>SUM(CQ60:CQ63)</f>
        <v>0</v>
      </c>
      <c r="CR64" s="13">
        <f>SUM(CR60:CR63)</f>
        <v>0</v>
      </c>
      <c r="CS64" s="14">
        <f>SUM(CS60:CS63)</f>
        <v>0</v>
      </c>
      <c r="CT64" s="15">
        <f>SUM(CT60:CT63)</f>
        <v>0</v>
      </c>
      <c r="CU64" s="40"/>
      <c r="CV64" s="210"/>
      <c r="CW64" s="211" t="s">
        <v>3</v>
      </c>
      <c r="CX64" s="212"/>
      <c r="CY64" s="11">
        <f>SUM(CY60:CY63)</f>
        <v>0</v>
      </c>
      <c r="CZ64" s="12">
        <f>SUM(CZ60:CZ63)</f>
        <v>0</v>
      </c>
      <c r="DA64" s="13">
        <f>SUM(DA60:DA63)</f>
        <v>0</v>
      </c>
      <c r="DB64" s="14">
        <f>SUM(DB60:DB63)</f>
        <v>0</v>
      </c>
      <c r="DC64" s="15">
        <f>SUM(DC60:DC63)</f>
        <v>0</v>
      </c>
      <c r="DD64" s="40"/>
      <c r="DE64" s="210"/>
      <c r="DF64" s="238" t="s">
        <v>3</v>
      </c>
      <c r="DG64" s="239"/>
      <c r="DH64" s="22">
        <f>SUM(DH60:DH63)</f>
        <v>0</v>
      </c>
      <c r="DI64" s="23">
        <f>SUM(DI60:DI63)</f>
        <v>0</v>
      </c>
      <c r="DJ64" s="24">
        <f>SUM(DJ60:DJ63)</f>
        <v>0</v>
      </c>
      <c r="DK64" s="25">
        <f>SUM(DK60:DK63)</f>
        <v>0</v>
      </c>
      <c r="DL64" s="26">
        <f>SUM(DL60:DL63)</f>
        <v>0</v>
      </c>
      <c r="DM64" s="17"/>
    </row>
    <row r="65" spans="1:117" ht="17.100000000000001" customHeight="1" x14ac:dyDescent="0.2">
      <c r="A65" s="122"/>
      <c r="B65" s="122"/>
      <c r="C65" s="122"/>
      <c r="D65" s="63"/>
      <c r="E65" s="63"/>
      <c r="F65" s="63"/>
      <c r="G65" s="63"/>
      <c r="H65" s="63"/>
      <c r="I65" s="63"/>
      <c r="J65" s="122"/>
      <c r="K65" s="122"/>
      <c r="L65" s="122"/>
      <c r="M65" s="63"/>
      <c r="N65" s="63"/>
      <c r="O65" s="63"/>
      <c r="P65" s="63"/>
      <c r="Q65" s="63"/>
      <c r="R65" s="63"/>
      <c r="S65" s="122"/>
      <c r="T65" s="122"/>
      <c r="U65" s="122"/>
      <c r="V65" s="63"/>
      <c r="W65" s="63"/>
      <c r="X65" s="63"/>
      <c r="Y65" s="63"/>
      <c r="Z65" s="63"/>
      <c r="AA65" s="63"/>
      <c r="AB65" s="122"/>
      <c r="AC65" s="122"/>
      <c r="AD65" s="122"/>
      <c r="AE65" s="63"/>
      <c r="AF65" s="63"/>
      <c r="AG65" s="63"/>
      <c r="AH65" s="63"/>
      <c r="AI65" s="63"/>
      <c r="AJ65" s="63"/>
      <c r="AK65" s="122"/>
      <c r="AL65" s="122"/>
      <c r="AM65" s="122"/>
      <c r="AN65" s="63"/>
      <c r="AO65" s="63"/>
      <c r="AP65" s="63"/>
      <c r="AQ65" s="63"/>
      <c r="AR65" s="63"/>
      <c r="AS65" s="63"/>
      <c r="AT65" s="122"/>
      <c r="AU65" s="122"/>
      <c r="AV65" s="122"/>
      <c r="AW65" s="63"/>
      <c r="AX65" s="63"/>
      <c r="AY65" s="63"/>
      <c r="AZ65" s="63"/>
      <c r="BA65" s="63"/>
      <c r="BB65" s="63"/>
      <c r="BC65" s="122"/>
      <c r="BD65" s="122"/>
      <c r="BE65" s="122"/>
      <c r="BF65" s="63"/>
      <c r="BG65" s="63"/>
      <c r="BH65" s="63"/>
      <c r="BI65" s="63"/>
      <c r="BJ65" s="63"/>
      <c r="BK65" s="63"/>
      <c r="BL65" s="122"/>
      <c r="BM65" s="122"/>
      <c r="BN65" s="122"/>
      <c r="BO65" s="63"/>
      <c r="BP65" s="63"/>
      <c r="BQ65" s="63"/>
      <c r="BR65" s="63"/>
      <c r="BS65" s="63"/>
      <c r="BT65" s="63"/>
      <c r="BU65" s="122"/>
      <c r="BV65" s="122"/>
      <c r="BW65" s="122"/>
      <c r="BX65" s="63"/>
      <c r="BY65" s="63"/>
      <c r="BZ65" s="63"/>
      <c r="CA65" s="63"/>
      <c r="CB65" s="63"/>
      <c r="CC65" s="63"/>
      <c r="CD65" s="122"/>
      <c r="CE65" s="122"/>
      <c r="CF65" s="122"/>
      <c r="CG65" s="63"/>
      <c r="CH65" s="63"/>
      <c r="CI65" s="63"/>
      <c r="CJ65" s="63"/>
      <c r="CK65" s="63"/>
      <c r="CL65" s="63"/>
      <c r="CM65" s="122"/>
      <c r="CN65" s="122"/>
      <c r="CO65" s="122"/>
      <c r="CP65" s="63"/>
      <c r="CQ65" s="63"/>
      <c r="CR65" s="63"/>
      <c r="CS65" s="63"/>
      <c r="CT65" s="63"/>
      <c r="CU65" s="63"/>
      <c r="CV65" s="122"/>
      <c r="CW65" s="122"/>
      <c r="CX65" s="122"/>
      <c r="CY65" s="63"/>
      <c r="CZ65" s="63"/>
      <c r="DA65" s="63"/>
      <c r="DB65" s="63"/>
      <c r="DC65" s="63"/>
      <c r="DD65" s="63"/>
      <c r="DF65" s="31"/>
      <c r="DG65" s="31"/>
      <c r="DH65" s="31"/>
      <c r="DI65" s="31"/>
      <c r="DJ65" s="31"/>
      <c r="DK65" s="31"/>
      <c r="DL65" s="31"/>
      <c r="DM65" s="17"/>
    </row>
    <row r="66" spans="1:117" ht="17.100000000000001" customHeight="1" thickBot="1" x14ac:dyDescent="0.3">
      <c r="A66" s="120" t="s">
        <v>27</v>
      </c>
      <c r="B66" s="120"/>
      <c r="C66" s="79"/>
      <c r="D66" s="99" t="s">
        <v>1</v>
      </c>
      <c r="E66" s="100">
        <f>SUM(E2)</f>
        <v>1</v>
      </c>
      <c r="F66" s="99">
        <f>SUM(F2)</f>
        <v>1447</v>
      </c>
      <c r="G66" s="101" t="s">
        <v>0</v>
      </c>
      <c r="H66" s="101"/>
      <c r="I66" s="63"/>
      <c r="J66" s="120" t="s">
        <v>27</v>
      </c>
      <c r="K66" s="120"/>
      <c r="L66" s="79"/>
      <c r="M66" s="99" t="s">
        <v>1</v>
      </c>
      <c r="N66" s="100">
        <f>SUM(N2)</f>
        <v>2</v>
      </c>
      <c r="O66" s="99">
        <f>SUM(O2)</f>
        <v>1447</v>
      </c>
      <c r="P66" s="101" t="s">
        <v>0</v>
      </c>
      <c r="Q66" s="101"/>
      <c r="R66" s="63"/>
      <c r="S66" s="120" t="s">
        <v>27</v>
      </c>
      <c r="T66" s="120"/>
      <c r="U66" s="79"/>
      <c r="V66" s="99" t="s">
        <v>1</v>
      </c>
      <c r="W66" s="100">
        <f>SUM(W2)</f>
        <v>3</v>
      </c>
      <c r="X66" s="99">
        <f>SUM(X2)</f>
        <v>1447</v>
      </c>
      <c r="Y66" s="101" t="s">
        <v>0</v>
      </c>
      <c r="Z66" s="101"/>
      <c r="AA66" s="63"/>
      <c r="AB66" s="120" t="s">
        <v>27</v>
      </c>
      <c r="AC66" s="120"/>
      <c r="AD66" s="79"/>
      <c r="AE66" s="99" t="s">
        <v>1</v>
      </c>
      <c r="AF66" s="100">
        <f>SUM(AF2)</f>
        <v>4</v>
      </c>
      <c r="AG66" s="99">
        <f>SUM(AG2)</f>
        <v>1447</v>
      </c>
      <c r="AH66" s="101" t="s">
        <v>0</v>
      </c>
      <c r="AI66" s="101"/>
      <c r="AJ66" s="63"/>
      <c r="AK66" s="120" t="s">
        <v>27</v>
      </c>
      <c r="AL66" s="120"/>
      <c r="AM66" s="79"/>
      <c r="AN66" s="99" t="s">
        <v>1</v>
      </c>
      <c r="AO66" s="100">
        <f>SUM(AO2)</f>
        <v>5</v>
      </c>
      <c r="AP66" s="99">
        <f>SUM(AP2)</f>
        <v>1447</v>
      </c>
      <c r="AQ66" s="101" t="s">
        <v>0</v>
      </c>
      <c r="AR66" s="101"/>
      <c r="AS66" s="63"/>
      <c r="AT66" s="120" t="s">
        <v>27</v>
      </c>
      <c r="AU66" s="120"/>
      <c r="AV66" s="79"/>
      <c r="AW66" s="99" t="s">
        <v>1</v>
      </c>
      <c r="AX66" s="100">
        <f>SUM(AX2)</f>
        <v>6</v>
      </c>
      <c r="AY66" s="99">
        <f>SUM(AY2)</f>
        <v>1447</v>
      </c>
      <c r="AZ66" s="101" t="s">
        <v>0</v>
      </c>
      <c r="BA66" s="101"/>
      <c r="BB66" s="63"/>
      <c r="BC66" s="120" t="s">
        <v>27</v>
      </c>
      <c r="BD66" s="120"/>
      <c r="BE66" s="79"/>
      <c r="BF66" s="99" t="s">
        <v>1</v>
      </c>
      <c r="BG66" s="100">
        <f>SUM(BG2)</f>
        <v>7</v>
      </c>
      <c r="BH66" s="99">
        <f>SUM(BH2)</f>
        <v>1447</v>
      </c>
      <c r="BI66" s="101" t="s">
        <v>0</v>
      </c>
      <c r="BJ66" s="101"/>
      <c r="BK66" s="63"/>
      <c r="BL66" s="120" t="s">
        <v>27</v>
      </c>
      <c r="BM66" s="120"/>
      <c r="BN66" s="79"/>
      <c r="BO66" s="99" t="s">
        <v>1</v>
      </c>
      <c r="BP66" s="100">
        <f>SUM(BP2)</f>
        <v>8</v>
      </c>
      <c r="BQ66" s="99">
        <f>SUM(BQ2)</f>
        <v>1447</v>
      </c>
      <c r="BR66" s="101" t="s">
        <v>0</v>
      </c>
      <c r="BS66" s="101"/>
      <c r="BT66" s="63"/>
      <c r="BU66" s="120" t="s">
        <v>27</v>
      </c>
      <c r="BV66" s="120"/>
      <c r="BW66" s="79"/>
      <c r="BX66" s="99" t="s">
        <v>1</v>
      </c>
      <c r="BY66" s="100">
        <f>SUM(BY2)</f>
        <v>9</v>
      </c>
      <c r="BZ66" s="99">
        <f>SUM(BZ2)</f>
        <v>1447</v>
      </c>
      <c r="CA66" s="101" t="s">
        <v>0</v>
      </c>
      <c r="CB66" s="101"/>
      <c r="CC66" s="63"/>
      <c r="CD66" s="120" t="s">
        <v>27</v>
      </c>
      <c r="CE66" s="120"/>
      <c r="CF66" s="79"/>
      <c r="CG66" s="99" t="s">
        <v>1</v>
      </c>
      <c r="CH66" s="100">
        <f>SUM(CH2)</f>
        <v>10</v>
      </c>
      <c r="CI66" s="99">
        <f>SUM(CI2)</f>
        <v>1447</v>
      </c>
      <c r="CJ66" s="101" t="s">
        <v>0</v>
      </c>
      <c r="CK66" s="101"/>
      <c r="CL66" s="63"/>
      <c r="CM66" s="120" t="s">
        <v>27</v>
      </c>
      <c r="CN66" s="120"/>
      <c r="CO66" s="79"/>
      <c r="CP66" s="99" t="s">
        <v>1</v>
      </c>
      <c r="CQ66" s="100">
        <f>SUM(CQ2)</f>
        <v>11</v>
      </c>
      <c r="CR66" s="99">
        <f>SUM(CR2)</f>
        <v>1447</v>
      </c>
      <c r="CS66" s="101" t="s">
        <v>0</v>
      </c>
      <c r="CT66" s="101"/>
      <c r="CU66" s="63"/>
      <c r="CV66" s="120" t="s">
        <v>27</v>
      </c>
      <c r="CW66" s="120"/>
      <c r="CX66" s="79"/>
      <c r="CY66" s="99" t="s">
        <v>1</v>
      </c>
      <c r="CZ66" s="100">
        <f>SUM(CZ2)</f>
        <v>12</v>
      </c>
      <c r="DA66" s="99">
        <f>SUM(DA2)</f>
        <v>1447</v>
      </c>
      <c r="DB66" s="101" t="s">
        <v>0</v>
      </c>
      <c r="DC66" s="101"/>
      <c r="DD66" s="63"/>
      <c r="DE66" s="112" t="s">
        <v>27</v>
      </c>
      <c r="DF66" s="112"/>
      <c r="DG66" s="60"/>
      <c r="DH66" s="99"/>
      <c r="DI66" s="100" t="str">
        <f>(DI2)</f>
        <v>عام</v>
      </c>
      <c r="DJ66" s="99">
        <f>SUM(DJ2)</f>
        <v>1447</v>
      </c>
      <c r="DK66" s="101" t="s">
        <v>0</v>
      </c>
      <c r="DL66" s="101"/>
      <c r="DM66" s="17"/>
    </row>
    <row r="67" spans="1:117" ht="17.100000000000001" customHeight="1" thickBot="1" x14ac:dyDescent="0.3">
      <c r="A67" s="206" t="s">
        <v>15</v>
      </c>
      <c r="B67" s="206" t="s">
        <v>5</v>
      </c>
      <c r="C67" s="206" t="s">
        <v>6</v>
      </c>
      <c r="D67" s="223" t="s">
        <v>2</v>
      </c>
      <c r="E67" s="224"/>
      <c r="F67" s="225"/>
      <c r="G67" s="226" t="s">
        <v>3</v>
      </c>
      <c r="H67" s="94" t="s">
        <v>4</v>
      </c>
      <c r="I67" s="63"/>
      <c r="J67" s="206" t="s">
        <v>15</v>
      </c>
      <c r="K67" s="206" t="s">
        <v>5</v>
      </c>
      <c r="L67" s="206" t="s">
        <v>6</v>
      </c>
      <c r="M67" s="223" t="s">
        <v>2</v>
      </c>
      <c r="N67" s="224"/>
      <c r="O67" s="225"/>
      <c r="P67" s="226" t="s">
        <v>3</v>
      </c>
      <c r="Q67" s="94" t="s">
        <v>4</v>
      </c>
      <c r="R67" s="63"/>
      <c r="S67" s="206" t="s">
        <v>15</v>
      </c>
      <c r="T67" s="206" t="s">
        <v>5</v>
      </c>
      <c r="U67" s="206" t="s">
        <v>6</v>
      </c>
      <c r="V67" s="223" t="s">
        <v>2</v>
      </c>
      <c r="W67" s="224"/>
      <c r="X67" s="225"/>
      <c r="Y67" s="226" t="s">
        <v>3</v>
      </c>
      <c r="Z67" s="94" t="s">
        <v>4</v>
      </c>
      <c r="AA67" s="63"/>
      <c r="AB67" s="206" t="s">
        <v>15</v>
      </c>
      <c r="AC67" s="206" t="s">
        <v>5</v>
      </c>
      <c r="AD67" s="206" t="s">
        <v>6</v>
      </c>
      <c r="AE67" s="223" t="s">
        <v>2</v>
      </c>
      <c r="AF67" s="224"/>
      <c r="AG67" s="225"/>
      <c r="AH67" s="226" t="s">
        <v>3</v>
      </c>
      <c r="AI67" s="94" t="s">
        <v>4</v>
      </c>
      <c r="AJ67" s="63"/>
      <c r="AK67" s="206" t="s">
        <v>15</v>
      </c>
      <c r="AL67" s="206" t="s">
        <v>5</v>
      </c>
      <c r="AM67" s="206" t="s">
        <v>6</v>
      </c>
      <c r="AN67" s="223" t="s">
        <v>2</v>
      </c>
      <c r="AO67" s="224"/>
      <c r="AP67" s="225"/>
      <c r="AQ67" s="226" t="s">
        <v>3</v>
      </c>
      <c r="AR67" s="94" t="s">
        <v>4</v>
      </c>
      <c r="AS67" s="63"/>
      <c r="AT67" s="206" t="s">
        <v>15</v>
      </c>
      <c r="AU67" s="206" t="s">
        <v>5</v>
      </c>
      <c r="AV67" s="206" t="s">
        <v>6</v>
      </c>
      <c r="AW67" s="223" t="s">
        <v>2</v>
      </c>
      <c r="AX67" s="224"/>
      <c r="AY67" s="225"/>
      <c r="AZ67" s="226" t="s">
        <v>3</v>
      </c>
      <c r="BA67" s="94" t="s">
        <v>4</v>
      </c>
      <c r="BB67" s="63"/>
      <c r="BC67" s="206" t="s">
        <v>15</v>
      </c>
      <c r="BD67" s="206" t="s">
        <v>5</v>
      </c>
      <c r="BE67" s="206" t="s">
        <v>6</v>
      </c>
      <c r="BF67" s="223" t="s">
        <v>2</v>
      </c>
      <c r="BG67" s="224"/>
      <c r="BH67" s="225"/>
      <c r="BI67" s="226" t="s">
        <v>3</v>
      </c>
      <c r="BJ67" s="94" t="s">
        <v>4</v>
      </c>
      <c r="BK67" s="63"/>
      <c r="BL67" s="206" t="s">
        <v>15</v>
      </c>
      <c r="BM67" s="206" t="s">
        <v>5</v>
      </c>
      <c r="BN67" s="206" t="s">
        <v>6</v>
      </c>
      <c r="BO67" s="223" t="s">
        <v>2</v>
      </c>
      <c r="BP67" s="224"/>
      <c r="BQ67" s="225"/>
      <c r="BR67" s="226" t="s">
        <v>3</v>
      </c>
      <c r="BS67" s="94" t="s">
        <v>4</v>
      </c>
      <c r="BT67" s="63"/>
      <c r="BU67" s="206" t="s">
        <v>15</v>
      </c>
      <c r="BV67" s="206" t="s">
        <v>5</v>
      </c>
      <c r="BW67" s="206" t="s">
        <v>6</v>
      </c>
      <c r="BX67" s="223" t="s">
        <v>2</v>
      </c>
      <c r="BY67" s="224"/>
      <c r="BZ67" s="225"/>
      <c r="CA67" s="226" t="s">
        <v>3</v>
      </c>
      <c r="CB67" s="94" t="s">
        <v>4</v>
      </c>
      <c r="CC67" s="63"/>
      <c r="CD67" s="206" t="s">
        <v>15</v>
      </c>
      <c r="CE67" s="206" t="s">
        <v>5</v>
      </c>
      <c r="CF67" s="206" t="s">
        <v>6</v>
      </c>
      <c r="CG67" s="223" t="s">
        <v>2</v>
      </c>
      <c r="CH67" s="224"/>
      <c r="CI67" s="225"/>
      <c r="CJ67" s="226" t="s">
        <v>3</v>
      </c>
      <c r="CK67" s="94" t="s">
        <v>4</v>
      </c>
      <c r="CL67" s="63"/>
      <c r="CM67" s="206" t="s">
        <v>15</v>
      </c>
      <c r="CN67" s="206" t="s">
        <v>5</v>
      </c>
      <c r="CO67" s="206" t="s">
        <v>6</v>
      </c>
      <c r="CP67" s="223" t="s">
        <v>2</v>
      </c>
      <c r="CQ67" s="224"/>
      <c r="CR67" s="225"/>
      <c r="CS67" s="226" t="s">
        <v>3</v>
      </c>
      <c r="CT67" s="94" t="s">
        <v>4</v>
      </c>
      <c r="CU67" s="63"/>
      <c r="CV67" s="206" t="s">
        <v>15</v>
      </c>
      <c r="CW67" s="206" t="s">
        <v>5</v>
      </c>
      <c r="CX67" s="206" t="s">
        <v>6</v>
      </c>
      <c r="CY67" s="223" t="s">
        <v>2</v>
      </c>
      <c r="CZ67" s="224"/>
      <c r="DA67" s="225"/>
      <c r="DB67" s="226" t="s">
        <v>3</v>
      </c>
      <c r="DC67" s="94" t="s">
        <v>4</v>
      </c>
      <c r="DD67" s="63"/>
      <c r="DE67" s="226" t="s">
        <v>15</v>
      </c>
      <c r="DF67" s="226" t="s">
        <v>5</v>
      </c>
      <c r="DG67" s="226" t="s">
        <v>6</v>
      </c>
      <c r="DH67" s="223" t="s">
        <v>2</v>
      </c>
      <c r="DI67" s="224"/>
      <c r="DJ67" s="225"/>
      <c r="DK67" s="226" t="s">
        <v>3</v>
      </c>
      <c r="DL67" s="94" t="s">
        <v>4</v>
      </c>
      <c r="DM67" s="17"/>
    </row>
    <row r="68" spans="1:117" ht="17.100000000000001" customHeight="1" thickBot="1" x14ac:dyDescent="0.3">
      <c r="A68" s="207"/>
      <c r="B68" s="207"/>
      <c r="C68" s="207"/>
      <c r="D68" s="95" t="s">
        <v>7</v>
      </c>
      <c r="E68" s="96" t="s">
        <v>8</v>
      </c>
      <c r="F68" s="97" t="s">
        <v>9</v>
      </c>
      <c r="G68" s="227"/>
      <c r="H68" s="98" t="s">
        <v>10</v>
      </c>
      <c r="I68" s="63"/>
      <c r="J68" s="207"/>
      <c r="K68" s="207"/>
      <c r="L68" s="207"/>
      <c r="M68" s="95" t="s">
        <v>7</v>
      </c>
      <c r="N68" s="96" t="s">
        <v>8</v>
      </c>
      <c r="O68" s="97" t="s">
        <v>9</v>
      </c>
      <c r="P68" s="227"/>
      <c r="Q68" s="98" t="s">
        <v>10</v>
      </c>
      <c r="R68" s="63"/>
      <c r="S68" s="207"/>
      <c r="T68" s="207"/>
      <c r="U68" s="207"/>
      <c r="V68" s="95" t="s">
        <v>7</v>
      </c>
      <c r="W68" s="96" t="s">
        <v>8</v>
      </c>
      <c r="X68" s="97" t="s">
        <v>9</v>
      </c>
      <c r="Y68" s="227"/>
      <c r="Z68" s="98" t="s">
        <v>10</v>
      </c>
      <c r="AA68" s="63"/>
      <c r="AB68" s="207"/>
      <c r="AC68" s="207"/>
      <c r="AD68" s="207"/>
      <c r="AE68" s="95" t="s">
        <v>7</v>
      </c>
      <c r="AF68" s="96" t="s">
        <v>8</v>
      </c>
      <c r="AG68" s="97" t="s">
        <v>9</v>
      </c>
      <c r="AH68" s="227"/>
      <c r="AI68" s="98" t="s">
        <v>10</v>
      </c>
      <c r="AJ68" s="63"/>
      <c r="AK68" s="207"/>
      <c r="AL68" s="207"/>
      <c r="AM68" s="207"/>
      <c r="AN68" s="95" t="s">
        <v>7</v>
      </c>
      <c r="AO68" s="96" t="s">
        <v>8</v>
      </c>
      <c r="AP68" s="97" t="s">
        <v>9</v>
      </c>
      <c r="AQ68" s="227"/>
      <c r="AR68" s="98" t="s">
        <v>10</v>
      </c>
      <c r="AS68" s="63"/>
      <c r="AT68" s="207"/>
      <c r="AU68" s="207"/>
      <c r="AV68" s="207"/>
      <c r="AW68" s="95" t="s">
        <v>7</v>
      </c>
      <c r="AX68" s="96" t="s">
        <v>8</v>
      </c>
      <c r="AY68" s="97" t="s">
        <v>9</v>
      </c>
      <c r="AZ68" s="227"/>
      <c r="BA68" s="98" t="s">
        <v>10</v>
      </c>
      <c r="BB68" s="63"/>
      <c r="BC68" s="207"/>
      <c r="BD68" s="207"/>
      <c r="BE68" s="207"/>
      <c r="BF68" s="95" t="s">
        <v>7</v>
      </c>
      <c r="BG68" s="96" t="s">
        <v>8</v>
      </c>
      <c r="BH68" s="97" t="s">
        <v>9</v>
      </c>
      <c r="BI68" s="227"/>
      <c r="BJ68" s="98" t="s">
        <v>10</v>
      </c>
      <c r="BK68" s="63"/>
      <c r="BL68" s="207"/>
      <c r="BM68" s="207"/>
      <c r="BN68" s="207"/>
      <c r="BO68" s="95" t="s">
        <v>7</v>
      </c>
      <c r="BP68" s="96" t="s">
        <v>8</v>
      </c>
      <c r="BQ68" s="97" t="s">
        <v>9</v>
      </c>
      <c r="BR68" s="227"/>
      <c r="BS68" s="98" t="s">
        <v>10</v>
      </c>
      <c r="BT68" s="63"/>
      <c r="BU68" s="207"/>
      <c r="BV68" s="207"/>
      <c r="BW68" s="207"/>
      <c r="BX68" s="95" t="s">
        <v>7</v>
      </c>
      <c r="BY68" s="96" t="s">
        <v>8</v>
      </c>
      <c r="BZ68" s="97" t="s">
        <v>9</v>
      </c>
      <c r="CA68" s="227"/>
      <c r="CB68" s="98" t="s">
        <v>10</v>
      </c>
      <c r="CC68" s="63"/>
      <c r="CD68" s="207"/>
      <c r="CE68" s="207"/>
      <c r="CF68" s="207"/>
      <c r="CG68" s="95" t="s">
        <v>7</v>
      </c>
      <c r="CH68" s="96" t="s">
        <v>8</v>
      </c>
      <c r="CI68" s="97" t="s">
        <v>9</v>
      </c>
      <c r="CJ68" s="227"/>
      <c r="CK68" s="98" t="s">
        <v>10</v>
      </c>
      <c r="CL68" s="63"/>
      <c r="CM68" s="207"/>
      <c r="CN68" s="207"/>
      <c r="CO68" s="207"/>
      <c r="CP68" s="95" t="s">
        <v>7</v>
      </c>
      <c r="CQ68" s="96" t="s">
        <v>8</v>
      </c>
      <c r="CR68" s="97" t="s">
        <v>9</v>
      </c>
      <c r="CS68" s="227"/>
      <c r="CT68" s="98" t="s">
        <v>10</v>
      </c>
      <c r="CU68" s="63"/>
      <c r="CV68" s="207"/>
      <c r="CW68" s="207"/>
      <c r="CX68" s="207"/>
      <c r="CY68" s="95" t="s">
        <v>7</v>
      </c>
      <c r="CZ68" s="96" t="s">
        <v>8</v>
      </c>
      <c r="DA68" s="97" t="s">
        <v>9</v>
      </c>
      <c r="DB68" s="227"/>
      <c r="DC68" s="98" t="s">
        <v>10</v>
      </c>
      <c r="DD68" s="63"/>
      <c r="DE68" s="228"/>
      <c r="DF68" s="228"/>
      <c r="DG68" s="228"/>
      <c r="DH68" s="95" t="s">
        <v>7</v>
      </c>
      <c r="DI68" s="96" t="s">
        <v>8</v>
      </c>
      <c r="DJ68" s="97" t="s">
        <v>9</v>
      </c>
      <c r="DK68" s="228"/>
      <c r="DL68" s="98" t="s">
        <v>10</v>
      </c>
      <c r="DM68" s="17"/>
    </row>
    <row r="69" spans="1:117" ht="17.100000000000001" customHeight="1" x14ac:dyDescent="0.25">
      <c r="A69" s="229" t="s">
        <v>26</v>
      </c>
      <c r="B69" s="206" t="s">
        <v>12</v>
      </c>
      <c r="C69" s="86" t="s">
        <v>11</v>
      </c>
      <c r="D69" s="37">
        <f>D5+D10+D15+D20+D25+D30+D35+D40+D45+D50+D55+D60</f>
        <v>1</v>
      </c>
      <c r="E69" s="139">
        <f t="shared" ref="E69:F69" si="96">E5+E10+E15+E20+E25+E30+E35+E40+E45+E50+E55+E60</f>
        <v>228</v>
      </c>
      <c r="F69" s="143">
        <f t="shared" si="96"/>
        <v>1933</v>
      </c>
      <c r="G69" s="146">
        <f>SUM(D69:F69)</f>
        <v>2162</v>
      </c>
      <c r="H69" s="149">
        <f>H5+H10+H15+H20+H25+H30+H35+H40+H45+H50+H55+H60</f>
        <v>0</v>
      </c>
      <c r="I69" s="63"/>
      <c r="J69" s="229" t="s">
        <v>26</v>
      </c>
      <c r="K69" s="206" t="s">
        <v>12</v>
      </c>
      <c r="L69" s="86" t="s">
        <v>11</v>
      </c>
      <c r="M69" s="37">
        <f>M5+M10+M15+M20+M25+M30+M35+M40+M45+M50+M55+M60</f>
        <v>0</v>
      </c>
      <c r="N69" s="139">
        <f t="shared" ref="N69:O69" si="97">N5+N10+N15+N20+N25+N30+N35+N40+N45+N50+N55+N60</f>
        <v>409</v>
      </c>
      <c r="O69" s="143">
        <f t="shared" si="97"/>
        <v>2028</v>
      </c>
      <c r="P69" s="146">
        <f>SUM(M69:O69)</f>
        <v>2437</v>
      </c>
      <c r="Q69" s="149">
        <f>Q5+Q10+Q15+Q20+Q25+Q30+Q35+Q40+Q45+Q50+Q55+Q60</f>
        <v>0</v>
      </c>
      <c r="R69" s="63"/>
      <c r="S69" s="229" t="s">
        <v>26</v>
      </c>
      <c r="T69" s="206" t="s">
        <v>12</v>
      </c>
      <c r="U69" s="86" t="s">
        <v>11</v>
      </c>
      <c r="V69" s="37">
        <f>V5+V10+V15+V20+V25+V30+V35+V40+V45+V50+V55+V60</f>
        <v>2</v>
      </c>
      <c r="W69" s="139">
        <f t="shared" ref="W69:X69" si="98">W5+W10+W15+W20+W25+W30+W35+W40+W45+W50+W55+W60</f>
        <v>784</v>
      </c>
      <c r="X69" s="143">
        <f t="shared" si="98"/>
        <v>2798</v>
      </c>
      <c r="Y69" s="146">
        <f>SUM(V69:X69)</f>
        <v>3584</v>
      </c>
      <c r="Z69" s="149">
        <f>Z5+Z10+Z15+Z20+Z25+Z30+Z35+Z40+Z45+Z50+Z55+Z60</f>
        <v>0</v>
      </c>
      <c r="AA69" s="63"/>
      <c r="AB69" s="229" t="s">
        <v>26</v>
      </c>
      <c r="AC69" s="206" t="s">
        <v>12</v>
      </c>
      <c r="AD69" s="86" t="s">
        <v>11</v>
      </c>
      <c r="AE69" s="37">
        <f>AE5+AE10+AE15+AE20+AE25+AE30+AE35+AE40+AE45+AE50+AE55+AE60</f>
        <v>0</v>
      </c>
      <c r="AF69" s="139">
        <f t="shared" ref="AF69:AG69" si="99">AF5+AF10+AF15+AF20+AF25+AF30+AF35+AF40+AF45+AF50+AF55+AF60</f>
        <v>316</v>
      </c>
      <c r="AG69" s="143">
        <f t="shared" si="99"/>
        <v>3295</v>
      </c>
      <c r="AH69" s="146">
        <f>SUM(AE69:AG69)</f>
        <v>3611</v>
      </c>
      <c r="AI69" s="149">
        <f>AI5+AI10+AI15+AI20+AI25+AI30+AI35+AI40+AI45+AI50+AI55+AI60</f>
        <v>0</v>
      </c>
      <c r="AJ69" s="63"/>
      <c r="AK69" s="229" t="s">
        <v>26</v>
      </c>
      <c r="AL69" s="206" t="s">
        <v>12</v>
      </c>
      <c r="AM69" s="86" t="s">
        <v>11</v>
      </c>
      <c r="AN69" s="37">
        <f>AN5+AN10+AN15+AN20+AN25+AN30+AN35+AN40+AN45+AN50+AN55+AN60</f>
        <v>0</v>
      </c>
      <c r="AO69" s="139">
        <f t="shared" ref="AO69:AP69" si="100">AO5+AO10+AO15+AO20+AO25+AO30+AO35+AO40+AO45+AO50+AO55+AO60</f>
        <v>122</v>
      </c>
      <c r="AP69" s="143">
        <f t="shared" si="100"/>
        <v>2199</v>
      </c>
      <c r="AQ69" s="146">
        <f>SUM(AN69:AP69)</f>
        <v>2321</v>
      </c>
      <c r="AR69" s="149">
        <f>AR5+AR10+AR15+AR20+AR25+AR30+AR35+AR40+AR45+AR50+AR55+AR60</f>
        <v>0</v>
      </c>
      <c r="AS69" s="63"/>
      <c r="AT69" s="229" t="s">
        <v>26</v>
      </c>
      <c r="AU69" s="206" t="s">
        <v>12</v>
      </c>
      <c r="AV69" s="86" t="s">
        <v>11</v>
      </c>
      <c r="AW69" s="37">
        <f>AW5+AW10+AW15+AW20+AW25+AW30+AW35+AW40+AW45+AW50+AW55+AW60</f>
        <v>0</v>
      </c>
      <c r="AX69" s="139">
        <f t="shared" ref="AX69:AY69" si="101">AX5+AX10+AX15+AX20+AX25+AX30+AX35+AX40+AX45+AX50+AX55+AX60</f>
        <v>107</v>
      </c>
      <c r="AY69" s="143">
        <f t="shared" si="101"/>
        <v>2712</v>
      </c>
      <c r="AZ69" s="146">
        <f>SUM(AW69:AY69)</f>
        <v>2819</v>
      </c>
      <c r="BA69" s="149">
        <f>BA5+BA10+BA15+BA20+BA25+BA30+BA35+BA40+BA45+BA50+BA55+BA60</f>
        <v>0</v>
      </c>
      <c r="BB69" s="63"/>
      <c r="BC69" s="229" t="s">
        <v>26</v>
      </c>
      <c r="BD69" s="206" t="s">
        <v>12</v>
      </c>
      <c r="BE69" s="86" t="s">
        <v>11</v>
      </c>
      <c r="BF69" s="37">
        <f>BF5+BF10+BF15+BF20+BF25+BF30+BF35+BF40+BF45+BF50+BF55+BF60</f>
        <v>0</v>
      </c>
      <c r="BG69" s="139">
        <f t="shared" ref="BG69:BH69" si="102">BG5+BG10+BG15+BG20+BG25+BG30+BG35+BG40+BG45+BG50+BG55+BG60</f>
        <v>894</v>
      </c>
      <c r="BH69" s="143">
        <f t="shared" si="102"/>
        <v>5401</v>
      </c>
      <c r="BI69" s="146">
        <f>SUM(BF69:BH69)</f>
        <v>6295</v>
      </c>
      <c r="BJ69" s="149">
        <f>BJ5+BJ10+BJ15+BJ20+BJ25+BJ30+BJ35+BJ40+BJ45+BJ50+BJ55+BJ60</f>
        <v>0</v>
      </c>
      <c r="BK69" s="63"/>
      <c r="BL69" s="229" t="s">
        <v>26</v>
      </c>
      <c r="BM69" s="206" t="s">
        <v>12</v>
      </c>
      <c r="BN69" s="86" t="s">
        <v>11</v>
      </c>
      <c r="BO69" s="37">
        <f>BO5+BO10+BO15+BO20+BO25+BO30+BO35+BO40+BO45+BO50+BO55+BO60</f>
        <v>2</v>
      </c>
      <c r="BP69" s="139">
        <f t="shared" ref="BP69:BQ69" si="103">BP5+BP10+BP15+BP20+BP25+BP30+BP35+BP40+BP45+BP50+BP55+BP60</f>
        <v>175</v>
      </c>
      <c r="BQ69" s="143">
        <f t="shared" si="103"/>
        <v>1788</v>
      </c>
      <c r="BR69" s="146">
        <f>SUM(BO69:BQ69)</f>
        <v>1965</v>
      </c>
      <c r="BS69" s="149">
        <f>BS5+BS10+BS15+BS20+BS25+BS30+BS35+BS40+BS45+BS50+BS55+BS60</f>
        <v>0</v>
      </c>
      <c r="BT69" s="63"/>
      <c r="BU69" s="229" t="s">
        <v>26</v>
      </c>
      <c r="BV69" s="206" t="s">
        <v>12</v>
      </c>
      <c r="BW69" s="86" t="s">
        <v>11</v>
      </c>
      <c r="BX69" s="37">
        <f>BX5+BX10+BX15+BX20+BX25+BX30+BX35+BX40+BX45+BX50+BX55+BX60</f>
        <v>0</v>
      </c>
      <c r="BY69" s="139">
        <f t="shared" ref="BY69:BZ69" si="104">BY5+BY10+BY15+BY20+BY25+BY30+BY35+BY40+BY45+BY50+BY55+BY60</f>
        <v>121</v>
      </c>
      <c r="BZ69" s="143">
        <f t="shared" si="104"/>
        <v>1615</v>
      </c>
      <c r="CA69" s="146">
        <f>SUM(BX69:BZ69)</f>
        <v>1736</v>
      </c>
      <c r="CB69" s="149">
        <f>CB5+CB10+CB15+CB20+CB25+CB30+CB35+CB40+CB45+CB50+CB55+CB60</f>
        <v>0</v>
      </c>
      <c r="CC69" s="63"/>
      <c r="CD69" s="229" t="s">
        <v>26</v>
      </c>
      <c r="CE69" s="206" t="s">
        <v>12</v>
      </c>
      <c r="CF69" s="86" t="s">
        <v>11</v>
      </c>
      <c r="CG69" s="37">
        <f>CG5+CG10+CG15+CG20+CG25+CG30+CG35+CG40+CG45+CG50+CG55+CG60</f>
        <v>0</v>
      </c>
      <c r="CH69" s="139">
        <f t="shared" ref="CH69:CI69" si="105">CH5+CH10+CH15+CH20+CH25+CH30+CH35+CH40+CH45+CH50+CH55+CH60</f>
        <v>64</v>
      </c>
      <c r="CI69" s="143">
        <f t="shared" si="105"/>
        <v>2027</v>
      </c>
      <c r="CJ69" s="146">
        <f>SUM(CG69:CI69)</f>
        <v>2091</v>
      </c>
      <c r="CK69" s="149">
        <f>CK5+CK10+CK15+CK20+CK25+CK30+CK35+CK40+CK45+CK50+CK55+CK60</f>
        <v>0</v>
      </c>
      <c r="CL69" s="63"/>
      <c r="CM69" s="229" t="s">
        <v>26</v>
      </c>
      <c r="CN69" s="206" t="s">
        <v>12</v>
      </c>
      <c r="CO69" s="86" t="s">
        <v>11</v>
      </c>
      <c r="CP69" s="37">
        <f>CP5+CP10+CP15+CP20+CP25+CP30+CP35+CP40+CP45+CP50+CP55+CP60</f>
        <v>0</v>
      </c>
      <c r="CQ69" s="139">
        <f t="shared" ref="CQ69:CR69" si="106">CQ5+CQ10+CQ15+CQ20+CQ25+CQ30+CQ35+CQ40+CQ45+CQ50+CQ55+CQ60</f>
        <v>0</v>
      </c>
      <c r="CR69" s="143">
        <f t="shared" si="106"/>
        <v>0</v>
      </c>
      <c r="CS69" s="146">
        <f>SUM(CP69:CR69)</f>
        <v>0</v>
      </c>
      <c r="CT69" s="149">
        <f>CT5+CT10+CT15+CT20+CT25+CT30+CT35+CT40+CT45+CT50+CT55+CT60</f>
        <v>0</v>
      </c>
      <c r="CU69" s="63"/>
      <c r="CV69" s="229" t="s">
        <v>26</v>
      </c>
      <c r="CW69" s="206" t="s">
        <v>12</v>
      </c>
      <c r="CX69" s="86" t="s">
        <v>11</v>
      </c>
      <c r="CY69" s="37">
        <f>CY5+CY10+CY15+CY20+CY25+CY30+CY35+CY40+CY45+CY50+CY55+CY60</f>
        <v>0</v>
      </c>
      <c r="CZ69" s="139">
        <f t="shared" ref="CZ69:DA69" si="107">CZ5+CZ10+CZ15+CZ20+CZ25+CZ30+CZ35+CZ40+CZ45+CZ50+CZ55+CZ60</f>
        <v>0</v>
      </c>
      <c r="DA69" s="143">
        <f t="shared" si="107"/>
        <v>0</v>
      </c>
      <c r="DB69" s="146">
        <f>SUM(CY69:DA69)</f>
        <v>0</v>
      </c>
      <c r="DC69" s="149">
        <f>DC5+DC10+DC15+DC20+DC25+DC30+DC35+DC40+DC45+DC50+DC55+DC60</f>
        <v>0</v>
      </c>
      <c r="DD69" s="63"/>
      <c r="DE69" s="232" t="str">
        <f>(CV69)</f>
        <v>مراكز شرق جدة</v>
      </c>
      <c r="DF69" s="94"/>
      <c r="DG69" s="108" t="s">
        <v>11</v>
      </c>
      <c r="DH69" s="37">
        <f>DH5+DH10+DH15+DH20+DH25+DH30+DH35+DH40+DH45+DH50+DH55+DH60</f>
        <v>5</v>
      </c>
      <c r="DI69" s="139">
        <f t="shared" ref="DI69:DJ69" si="108">DI5+DI10+DI15+DI20+DI25+DI30+DI35+DI40+DI45+DI50+DI55+DI60</f>
        <v>3220</v>
      </c>
      <c r="DJ69" s="143">
        <f t="shared" si="108"/>
        <v>25796</v>
      </c>
      <c r="DK69" s="146">
        <f>SUM(DH69:DJ69)</f>
        <v>29021</v>
      </c>
      <c r="DL69" s="149">
        <f>DL5+DL10+DL15+DL20+DL25+DL30+DL35+DL40+DL45+DL50+DL55+DL60</f>
        <v>0</v>
      </c>
      <c r="DM69" s="17"/>
    </row>
    <row r="70" spans="1:117" ht="17.100000000000001" customHeight="1" thickBot="1" x14ac:dyDescent="0.3">
      <c r="A70" s="230"/>
      <c r="B70" s="207"/>
      <c r="C70" s="87" t="s">
        <v>13</v>
      </c>
      <c r="D70" s="140">
        <f t="shared" ref="D70:F70" si="109">D6+D11+D16+D21+D26+D31+D36+D41+D46+D51+D56+D61</f>
        <v>0</v>
      </c>
      <c r="E70" s="138">
        <f t="shared" si="109"/>
        <v>162</v>
      </c>
      <c r="F70" s="144">
        <f t="shared" si="109"/>
        <v>2237</v>
      </c>
      <c r="G70" s="147">
        <f>SUM(D70:F70)</f>
        <v>2399</v>
      </c>
      <c r="H70" s="150">
        <f t="shared" ref="H70:H72" si="110">H6+H11+H16+H21+H26+H31+H36+H41+H46+H51+H56+H61</f>
        <v>0</v>
      </c>
      <c r="I70" s="63"/>
      <c r="J70" s="230"/>
      <c r="K70" s="207"/>
      <c r="L70" s="87" t="s">
        <v>13</v>
      </c>
      <c r="M70" s="140">
        <f t="shared" ref="M70:O70" si="111">M6+M11+M16+M21+M26+M31+M36+M41+M46+M51+M56+M61</f>
        <v>0</v>
      </c>
      <c r="N70" s="138">
        <f t="shared" si="111"/>
        <v>409</v>
      </c>
      <c r="O70" s="144">
        <f t="shared" si="111"/>
        <v>2501</v>
      </c>
      <c r="P70" s="147">
        <f>SUM(M70:O70)</f>
        <v>2910</v>
      </c>
      <c r="Q70" s="150">
        <f t="shared" ref="Q70:Q72" si="112">Q6+Q11+Q16+Q21+Q26+Q31+Q36+Q41+Q46+Q51+Q56+Q61</f>
        <v>0</v>
      </c>
      <c r="R70" s="63"/>
      <c r="S70" s="230"/>
      <c r="T70" s="207"/>
      <c r="U70" s="87" t="s">
        <v>13</v>
      </c>
      <c r="V70" s="140">
        <f t="shared" ref="V70:X70" si="113">V6+V11+V16+V21+V26+V31+V36+V41+V46+V51+V56+V61</f>
        <v>1</v>
      </c>
      <c r="W70" s="138">
        <f t="shared" si="113"/>
        <v>626</v>
      </c>
      <c r="X70" s="144">
        <f t="shared" si="113"/>
        <v>2260</v>
      </c>
      <c r="Y70" s="147">
        <f>SUM(V70:X70)</f>
        <v>2887</v>
      </c>
      <c r="Z70" s="150">
        <f t="shared" ref="Z70:Z72" si="114">Z6+Z11+Z16+Z21+Z26+Z31+Z36+Z41+Z46+Z51+Z56+Z61</f>
        <v>0</v>
      </c>
      <c r="AA70" s="63"/>
      <c r="AB70" s="230"/>
      <c r="AC70" s="207"/>
      <c r="AD70" s="87" t="s">
        <v>13</v>
      </c>
      <c r="AE70" s="140">
        <f t="shared" ref="AE70:AG70" si="115">AE6+AE11+AE16+AE21+AE26+AE31+AE36+AE41+AE46+AE51+AE56+AE61</f>
        <v>0</v>
      </c>
      <c r="AF70" s="138">
        <f t="shared" si="115"/>
        <v>138</v>
      </c>
      <c r="AG70" s="144">
        <f t="shared" si="115"/>
        <v>1544</v>
      </c>
      <c r="AH70" s="147">
        <f>SUM(AE70:AG70)</f>
        <v>1682</v>
      </c>
      <c r="AI70" s="150">
        <f t="shared" ref="AI70:AI72" si="116">AI6+AI11+AI16+AI21+AI26+AI31+AI36+AI41+AI46+AI51+AI56+AI61</f>
        <v>0</v>
      </c>
      <c r="AJ70" s="63"/>
      <c r="AK70" s="230"/>
      <c r="AL70" s="207"/>
      <c r="AM70" s="87" t="s">
        <v>13</v>
      </c>
      <c r="AN70" s="140">
        <f t="shared" ref="AN70:AP70" si="117">AN6+AN11+AN16+AN21+AN26+AN31+AN36+AN41+AN46+AN51+AN56+AN61</f>
        <v>0</v>
      </c>
      <c r="AO70" s="138">
        <f t="shared" si="117"/>
        <v>100</v>
      </c>
      <c r="AP70" s="144">
        <f t="shared" si="117"/>
        <v>1590</v>
      </c>
      <c r="AQ70" s="147">
        <f>SUM(AN70:AP70)</f>
        <v>1690</v>
      </c>
      <c r="AR70" s="150">
        <f t="shared" ref="AR70:AR72" si="118">AR6+AR11+AR16+AR21+AR26+AR31+AR36+AR41+AR46+AR51+AR56+AR61</f>
        <v>0</v>
      </c>
      <c r="AS70" s="63"/>
      <c r="AT70" s="230"/>
      <c r="AU70" s="207"/>
      <c r="AV70" s="87" t="s">
        <v>13</v>
      </c>
      <c r="AW70" s="140">
        <f t="shared" ref="AW70:AY70" si="119">AW6+AW11+AW16+AW21+AW26+AW31+AW36+AW41+AW46+AW51+AW56+AW61</f>
        <v>0</v>
      </c>
      <c r="AX70" s="138">
        <f t="shared" si="119"/>
        <v>76</v>
      </c>
      <c r="AY70" s="144">
        <f t="shared" si="119"/>
        <v>1821</v>
      </c>
      <c r="AZ70" s="147">
        <f>SUM(AW70:AY70)</f>
        <v>1897</v>
      </c>
      <c r="BA70" s="150">
        <f t="shared" ref="BA70:BA72" si="120">BA6+BA11+BA16+BA21+BA26+BA31+BA36+BA41+BA46+BA51+BA56+BA61</f>
        <v>0</v>
      </c>
      <c r="BB70" s="63"/>
      <c r="BC70" s="230"/>
      <c r="BD70" s="207"/>
      <c r="BE70" s="87" t="s">
        <v>13</v>
      </c>
      <c r="BF70" s="140">
        <f t="shared" ref="BF70:BH70" si="121">BF6+BF11+BF16+BF21+BF26+BF31+BF36+BF41+BF46+BF51+BF56+BF61</f>
        <v>0</v>
      </c>
      <c r="BG70" s="138">
        <f t="shared" si="121"/>
        <v>272</v>
      </c>
      <c r="BH70" s="144">
        <f t="shared" si="121"/>
        <v>2374</v>
      </c>
      <c r="BI70" s="147">
        <f>SUM(BF70:BH70)</f>
        <v>2646</v>
      </c>
      <c r="BJ70" s="150">
        <f t="shared" ref="BJ70:BJ72" si="122">BJ6+BJ11+BJ16+BJ21+BJ26+BJ31+BJ36+BJ41+BJ46+BJ51+BJ56+BJ61</f>
        <v>0</v>
      </c>
      <c r="BK70" s="63"/>
      <c r="BL70" s="230"/>
      <c r="BM70" s="207"/>
      <c r="BN70" s="87" t="s">
        <v>13</v>
      </c>
      <c r="BO70" s="140">
        <f t="shared" ref="BO70:BQ70" si="123">BO6+BO11+BO16+BO21+BO26+BO31+BO36+BO41+BO46+BO51+BO56+BO61</f>
        <v>3</v>
      </c>
      <c r="BP70" s="138">
        <f t="shared" si="123"/>
        <v>152</v>
      </c>
      <c r="BQ70" s="144">
        <f t="shared" si="123"/>
        <v>1760</v>
      </c>
      <c r="BR70" s="147">
        <f>SUM(BO70:BQ70)</f>
        <v>1915</v>
      </c>
      <c r="BS70" s="150">
        <f t="shared" ref="BS70:BS72" si="124">BS6+BS11+BS16+BS21+BS26+BS31+BS36+BS41+BS46+BS51+BS56+BS61</f>
        <v>0</v>
      </c>
      <c r="BT70" s="63"/>
      <c r="BU70" s="230"/>
      <c r="BV70" s="207"/>
      <c r="BW70" s="87" t="s">
        <v>13</v>
      </c>
      <c r="BX70" s="140">
        <f t="shared" ref="BX70:BZ70" si="125">BX6+BX11+BX16+BX21+BX26+BX31+BX36+BX41+BX46+BX51+BX56+BX61</f>
        <v>0</v>
      </c>
      <c r="BY70" s="138">
        <f t="shared" si="125"/>
        <v>122</v>
      </c>
      <c r="BZ70" s="144">
        <f t="shared" si="125"/>
        <v>1378</v>
      </c>
      <c r="CA70" s="147">
        <f>SUM(BX70:BZ70)</f>
        <v>1500</v>
      </c>
      <c r="CB70" s="150">
        <f t="shared" ref="CB70:CB72" si="126">CB6+CB11+CB16+CB21+CB26+CB31+CB36+CB41+CB46+CB51+CB56+CB61</f>
        <v>0</v>
      </c>
      <c r="CC70" s="63"/>
      <c r="CD70" s="230"/>
      <c r="CE70" s="207"/>
      <c r="CF70" s="87" t="s">
        <v>13</v>
      </c>
      <c r="CG70" s="140">
        <f t="shared" ref="CG70:CI70" si="127">CG6+CG11+CG16+CG21+CG26+CG31+CG36+CG41+CG46+CG51+CG56+CG61</f>
        <v>0</v>
      </c>
      <c r="CH70" s="138">
        <f t="shared" si="127"/>
        <v>78</v>
      </c>
      <c r="CI70" s="144">
        <f t="shared" si="127"/>
        <v>1423</v>
      </c>
      <c r="CJ70" s="147">
        <f>SUM(CG70:CI70)</f>
        <v>1501</v>
      </c>
      <c r="CK70" s="150">
        <f t="shared" ref="CK70:CK72" si="128">CK6+CK11+CK16+CK21+CK26+CK31+CK36+CK41+CK46+CK51+CK56+CK61</f>
        <v>0</v>
      </c>
      <c r="CL70" s="63"/>
      <c r="CM70" s="230"/>
      <c r="CN70" s="207"/>
      <c r="CO70" s="87" t="s">
        <v>13</v>
      </c>
      <c r="CP70" s="140">
        <f t="shared" ref="CP70:CR70" si="129">CP6+CP11+CP16+CP21+CP26+CP31+CP36+CP41+CP46+CP51+CP56+CP61</f>
        <v>0</v>
      </c>
      <c r="CQ70" s="138">
        <f t="shared" si="129"/>
        <v>0</v>
      </c>
      <c r="CR70" s="144">
        <f t="shared" si="129"/>
        <v>0</v>
      </c>
      <c r="CS70" s="147">
        <f>SUM(CP70:CR70)</f>
        <v>0</v>
      </c>
      <c r="CT70" s="150">
        <f t="shared" ref="CT70:CT72" si="130">CT6+CT11+CT16+CT21+CT26+CT31+CT36+CT41+CT46+CT51+CT56+CT61</f>
        <v>0</v>
      </c>
      <c r="CU70" s="63"/>
      <c r="CV70" s="230"/>
      <c r="CW70" s="207"/>
      <c r="CX70" s="87" t="s">
        <v>13</v>
      </c>
      <c r="CY70" s="140">
        <f t="shared" ref="CY70:DA70" si="131">CY6+CY11+CY16+CY21+CY26+CY31+CY36+CY41+CY46+CY51+CY56+CY61</f>
        <v>0</v>
      </c>
      <c r="CZ70" s="138">
        <f t="shared" si="131"/>
        <v>0</v>
      </c>
      <c r="DA70" s="144">
        <f t="shared" si="131"/>
        <v>0</v>
      </c>
      <c r="DB70" s="147">
        <f>SUM(CY70:DA70)</f>
        <v>0</v>
      </c>
      <c r="DC70" s="150">
        <f t="shared" ref="DC70:DC72" si="132">DC6+DC11+DC16+DC21+DC26+DC31+DC36+DC41+DC46+DC51+DC56+DC61</f>
        <v>0</v>
      </c>
      <c r="DD70" s="63"/>
      <c r="DE70" s="233"/>
      <c r="DF70" s="107" t="s">
        <v>12</v>
      </c>
      <c r="DG70" s="109" t="s">
        <v>13</v>
      </c>
      <c r="DH70" s="140">
        <f t="shared" ref="DH70:DJ70" si="133">DH6+DH11+DH16+DH21+DH26+DH31+DH36+DH41+DH46+DH51+DH56+DH61</f>
        <v>4</v>
      </c>
      <c r="DI70" s="138">
        <f t="shared" si="133"/>
        <v>2135</v>
      </c>
      <c r="DJ70" s="144">
        <f t="shared" si="133"/>
        <v>18888</v>
      </c>
      <c r="DK70" s="147">
        <f>SUM(DH70:DJ70)</f>
        <v>21027</v>
      </c>
      <c r="DL70" s="150">
        <f t="shared" ref="DL70:DL72" si="134">DL6+DL11+DL16+DL21+DL26+DL31+DL36+DL41+DL46+DL51+DL56+DL61</f>
        <v>0</v>
      </c>
      <c r="DM70" s="17"/>
    </row>
    <row r="71" spans="1:117" ht="17.100000000000001" customHeight="1" x14ac:dyDescent="0.25">
      <c r="A71" s="230"/>
      <c r="B71" s="88" t="s">
        <v>14</v>
      </c>
      <c r="C71" s="89" t="s">
        <v>11</v>
      </c>
      <c r="D71" s="140">
        <f t="shared" ref="D71:F71" si="135">D7+D12+D17+D22+D27+D32+D37+D42+D47+D52+D57+D62</f>
        <v>0</v>
      </c>
      <c r="E71" s="138">
        <f t="shared" si="135"/>
        <v>77</v>
      </c>
      <c r="F71" s="144">
        <f t="shared" si="135"/>
        <v>196</v>
      </c>
      <c r="G71" s="147">
        <f>SUM(D71:F71)</f>
        <v>273</v>
      </c>
      <c r="H71" s="150">
        <f t="shared" si="110"/>
        <v>0</v>
      </c>
      <c r="I71" s="63"/>
      <c r="J71" s="230"/>
      <c r="K71" s="88" t="s">
        <v>14</v>
      </c>
      <c r="L71" s="89" t="s">
        <v>11</v>
      </c>
      <c r="M71" s="140">
        <f t="shared" ref="M71:O71" si="136">M7+M12+M17+M22+M27+M32+M37+M42+M47+M52+M57+M62</f>
        <v>0</v>
      </c>
      <c r="N71" s="138">
        <f t="shared" si="136"/>
        <v>60</v>
      </c>
      <c r="O71" s="144">
        <f t="shared" si="136"/>
        <v>98</v>
      </c>
      <c r="P71" s="147">
        <f>SUM(M71:O71)</f>
        <v>158</v>
      </c>
      <c r="Q71" s="150">
        <f t="shared" si="112"/>
        <v>0</v>
      </c>
      <c r="R71" s="63"/>
      <c r="S71" s="230"/>
      <c r="T71" s="88" t="s">
        <v>14</v>
      </c>
      <c r="U71" s="89" t="s">
        <v>11</v>
      </c>
      <c r="V71" s="140">
        <f t="shared" ref="V71:X71" si="137">V7+V12+V17+V22+V27+V32+V37+V42+V47+V52+V57+V62</f>
        <v>1</v>
      </c>
      <c r="W71" s="138">
        <f t="shared" si="137"/>
        <v>871</v>
      </c>
      <c r="X71" s="144">
        <f t="shared" si="137"/>
        <v>1643</v>
      </c>
      <c r="Y71" s="147">
        <f>SUM(V71:X71)</f>
        <v>2515</v>
      </c>
      <c r="Z71" s="150">
        <f t="shared" si="114"/>
        <v>0</v>
      </c>
      <c r="AA71" s="63"/>
      <c r="AB71" s="230"/>
      <c r="AC71" s="88" t="s">
        <v>14</v>
      </c>
      <c r="AD71" s="89" t="s">
        <v>11</v>
      </c>
      <c r="AE71" s="140">
        <f t="shared" ref="AE71:AG71" si="138">AE7+AE12+AE17+AE22+AE27+AE32+AE37+AE42+AE47+AE52+AE57+AE62</f>
        <v>0</v>
      </c>
      <c r="AF71" s="138">
        <f t="shared" si="138"/>
        <v>71</v>
      </c>
      <c r="AG71" s="144">
        <f t="shared" si="138"/>
        <v>1331</v>
      </c>
      <c r="AH71" s="147">
        <f>SUM(AE71:AG71)</f>
        <v>1402</v>
      </c>
      <c r="AI71" s="150">
        <f t="shared" si="116"/>
        <v>0</v>
      </c>
      <c r="AJ71" s="63"/>
      <c r="AK71" s="230"/>
      <c r="AL71" s="88" t="s">
        <v>14</v>
      </c>
      <c r="AM71" s="89" t="s">
        <v>11</v>
      </c>
      <c r="AN71" s="140">
        <f t="shared" ref="AN71:AP71" si="139">AN7+AN12+AN17+AN22+AN27+AN32+AN37+AN42+AN47+AN52+AN57+AN62</f>
        <v>0</v>
      </c>
      <c r="AO71" s="138">
        <f t="shared" si="139"/>
        <v>48</v>
      </c>
      <c r="AP71" s="144">
        <f t="shared" si="139"/>
        <v>632</v>
      </c>
      <c r="AQ71" s="147">
        <f>SUM(AN71:AP71)</f>
        <v>680</v>
      </c>
      <c r="AR71" s="150">
        <f t="shared" si="118"/>
        <v>0</v>
      </c>
      <c r="AS71" s="63"/>
      <c r="AT71" s="230"/>
      <c r="AU71" s="88" t="s">
        <v>14</v>
      </c>
      <c r="AV71" s="89" t="s">
        <v>11</v>
      </c>
      <c r="AW71" s="140">
        <f t="shared" ref="AW71:AY71" si="140">AW7+AW12+AW17+AW22+AW27+AW32+AW37+AW42+AW47+AW52+AW57+AW62</f>
        <v>0</v>
      </c>
      <c r="AX71" s="138">
        <f t="shared" si="140"/>
        <v>11</v>
      </c>
      <c r="AY71" s="144">
        <f t="shared" si="140"/>
        <v>582</v>
      </c>
      <c r="AZ71" s="147">
        <f>SUM(AW71:AY71)</f>
        <v>593</v>
      </c>
      <c r="BA71" s="150">
        <f t="shared" si="120"/>
        <v>0</v>
      </c>
      <c r="BB71" s="63"/>
      <c r="BC71" s="230"/>
      <c r="BD71" s="88" t="s">
        <v>14</v>
      </c>
      <c r="BE71" s="89" t="s">
        <v>11</v>
      </c>
      <c r="BF71" s="140">
        <f t="shared" ref="BF71:BH71" si="141">BF7+BF12+BF17+BF22+BF27+BF32+BF37+BF42+BF47+BF52+BF57+BF62</f>
        <v>0</v>
      </c>
      <c r="BG71" s="138">
        <f t="shared" si="141"/>
        <v>199</v>
      </c>
      <c r="BH71" s="144">
        <f t="shared" si="141"/>
        <v>2100</v>
      </c>
      <c r="BI71" s="147">
        <f>SUM(BF71:BH71)</f>
        <v>2299</v>
      </c>
      <c r="BJ71" s="150">
        <f t="shared" si="122"/>
        <v>0</v>
      </c>
      <c r="BK71" s="63"/>
      <c r="BL71" s="230"/>
      <c r="BM71" s="88" t="s">
        <v>14</v>
      </c>
      <c r="BN71" s="89" t="s">
        <v>11</v>
      </c>
      <c r="BO71" s="140">
        <f t="shared" ref="BO71:BQ71" si="142">BO7+BO12+BO17+BO22+BO27+BO32+BO37+BO42+BO47+BO52+BO57+BO62</f>
        <v>0</v>
      </c>
      <c r="BP71" s="138">
        <f t="shared" si="142"/>
        <v>33</v>
      </c>
      <c r="BQ71" s="144">
        <f t="shared" si="142"/>
        <v>202</v>
      </c>
      <c r="BR71" s="147">
        <f>SUM(BO71:BQ71)</f>
        <v>235</v>
      </c>
      <c r="BS71" s="150">
        <f t="shared" si="124"/>
        <v>0</v>
      </c>
      <c r="BT71" s="63"/>
      <c r="BU71" s="230"/>
      <c r="BV71" s="88" t="s">
        <v>14</v>
      </c>
      <c r="BW71" s="89" t="s">
        <v>11</v>
      </c>
      <c r="BX71" s="140">
        <f t="shared" ref="BX71:BZ71" si="143">BX7+BX12+BX17+BX22+BX27+BX32+BX37+BX42+BX47+BX52+BX57+BX62</f>
        <v>0</v>
      </c>
      <c r="BY71" s="138">
        <f t="shared" si="143"/>
        <v>17</v>
      </c>
      <c r="BZ71" s="144">
        <f t="shared" si="143"/>
        <v>139</v>
      </c>
      <c r="CA71" s="147">
        <f>SUM(BX71:BZ71)</f>
        <v>156</v>
      </c>
      <c r="CB71" s="150">
        <f t="shared" si="126"/>
        <v>0</v>
      </c>
      <c r="CC71" s="63"/>
      <c r="CD71" s="230"/>
      <c r="CE71" s="88" t="s">
        <v>14</v>
      </c>
      <c r="CF71" s="89" t="s">
        <v>11</v>
      </c>
      <c r="CG71" s="140">
        <f t="shared" ref="CG71:CI71" si="144">CG7+CG12+CG17+CG22+CG27+CG32+CG37+CG42+CG47+CG52+CG57+CG62</f>
        <v>0</v>
      </c>
      <c r="CH71" s="138">
        <f t="shared" si="144"/>
        <v>9</v>
      </c>
      <c r="CI71" s="144">
        <f t="shared" si="144"/>
        <v>129</v>
      </c>
      <c r="CJ71" s="147">
        <f>SUM(CG71:CI71)</f>
        <v>138</v>
      </c>
      <c r="CK71" s="150">
        <f t="shared" si="128"/>
        <v>0</v>
      </c>
      <c r="CL71" s="63"/>
      <c r="CM71" s="230"/>
      <c r="CN71" s="88" t="s">
        <v>14</v>
      </c>
      <c r="CO71" s="89" t="s">
        <v>11</v>
      </c>
      <c r="CP71" s="140">
        <f t="shared" ref="CP71:CR71" si="145">CP7+CP12+CP17+CP22+CP27+CP32+CP37+CP42+CP47+CP52+CP57+CP62</f>
        <v>0</v>
      </c>
      <c r="CQ71" s="138">
        <f t="shared" si="145"/>
        <v>0</v>
      </c>
      <c r="CR71" s="144">
        <f t="shared" si="145"/>
        <v>0</v>
      </c>
      <c r="CS71" s="147">
        <f>SUM(CP71:CR71)</f>
        <v>0</v>
      </c>
      <c r="CT71" s="150">
        <f t="shared" si="130"/>
        <v>0</v>
      </c>
      <c r="CU71" s="63"/>
      <c r="CV71" s="230"/>
      <c r="CW71" s="88" t="s">
        <v>14</v>
      </c>
      <c r="CX71" s="89" t="s">
        <v>11</v>
      </c>
      <c r="CY71" s="140">
        <f t="shared" ref="CY71:DA71" si="146">CY7+CY12+CY17+CY22+CY27+CY32+CY37+CY42+CY47+CY52+CY57+CY62</f>
        <v>0</v>
      </c>
      <c r="CZ71" s="138">
        <f t="shared" si="146"/>
        <v>0</v>
      </c>
      <c r="DA71" s="144">
        <f t="shared" si="146"/>
        <v>0</v>
      </c>
      <c r="DB71" s="147">
        <f>SUM(CY71:DA71)</f>
        <v>0</v>
      </c>
      <c r="DC71" s="150">
        <f t="shared" si="132"/>
        <v>0</v>
      </c>
      <c r="DD71" s="63"/>
      <c r="DE71" s="233"/>
      <c r="DF71" s="94" t="s">
        <v>14</v>
      </c>
      <c r="DG71" s="110" t="s">
        <v>11</v>
      </c>
      <c r="DH71" s="140">
        <f t="shared" ref="DH71:DJ71" si="147">DH7+DH12+DH17+DH22+DH27+DH32+DH37+DH42+DH47+DH52+DH57+DH62</f>
        <v>1</v>
      </c>
      <c r="DI71" s="138">
        <f t="shared" si="147"/>
        <v>1396</v>
      </c>
      <c r="DJ71" s="144">
        <f t="shared" si="147"/>
        <v>7052</v>
      </c>
      <c r="DK71" s="147">
        <f>SUM(DH71:DJ71)</f>
        <v>8449</v>
      </c>
      <c r="DL71" s="150">
        <f t="shared" si="134"/>
        <v>0</v>
      </c>
      <c r="DM71" s="17"/>
    </row>
    <row r="72" spans="1:117" ht="17.100000000000001" customHeight="1" thickBot="1" x14ac:dyDescent="0.3">
      <c r="A72" s="230"/>
      <c r="B72" s="90" t="s">
        <v>12</v>
      </c>
      <c r="C72" s="91" t="s">
        <v>13</v>
      </c>
      <c r="D72" s="141">
        <f t="shared" ref="D72:F72" si="148">D8+D13+D18+D23+D28+D33+D38+D43+D48+D53+D58+D63</f>
        <v>0</v>
      </c>
      <c r="E72" s="142">
        <f t="shared" si="148"/>
        <v>63</v>
      </c>
      <c r="F72" s="145">
        <f t="shared" si="148"/>
        <v>148</v>
      </c>
      <c r="G72" s="148">
        <f>SUM(D72:F72)</f>
        <v>211</v>
      </c>
      <c r="H72" s="151">
        <f t="shared" si="110"/>
        <v>0</v>
      </c>
      <c r="I72" s="63"/>
      <c r="J72" s="230"/>
      <c r="K72" s="90" t="s">
        <v>12</v>
      </c>
      <c r="L72" s="91" t="s">
        <v>13</v>
      </c>
      <c r="M72" s="141">
        <f t="shared" ref="M72:O72" si="149">M8+M13+M18+M23+M28+M33+M38+M43+M48+M53+M58+M63</f>
        <v>0</v>
      </c>
      <c r="N72" s="142">
        <f t="shared" si="149"/>
        <v>21</v>
      </c>
      <c r="O72" s="145">
        <f t="shared" si="149"/>
        <v>101</v>
      </c>
      <c r="P72" s="148">
        <f>SUM(M72:O72)</f>
        <v>122</v>
      </c>
      <c r="Q72" s="151">
        <f t="shared" si="112"/>
        <v>0</v>
      </c>
      <c r="R72" s="63"/>
      <c r="S72" s="230"/>
      <c r="T72" s="90" t="s">
        <v>12</v>
      </c>
      <c r="U72" s="91" t="s">
        <v>13</v>
      </c>
      <c r="V72" s="141">
        <f t="shared" ref="V72:X72" si="150">V8+V13+V18+V23+V28+V33+V38+V43+V48+V53+V58+V63</f>
        <v>0</v>
      </c>
      <c r="W72" s="142">
        <f t="shared" si="150"/>
        <v>59</v>
      </c>
      <c r="X72" s="145">
        <f t="shared" si="150"/>
        <v>125</v>
      </c>
      <c r="Y72" s="148">
        <f>SUM(V72:X72)</f>
        <v>184</v>
      </c>
      <c r="Z72" s="151">
        <f t="shared" si="114"/>
        <v>0</v>
      </c>
      <c r="AA72" s="63"/>
      <c r="AB72" s="230"/>
      <c r="AC72" s="90" t="s">
        <v>12</v>
      </c>
      <c r="AD72" s="91" t="s">
        <v>13</v>
      </c>
      <c r="AE72" s="141">
        <f t="shared" ref="AE72:AG72" si="151">AE8+AE13+AE18+AE23+AE28+AE33+AE38+AE43+AE48+AE53+AE58+AE63</f>
        <v>0</v>
      </c>
      <c r="AF72" s="142">
        <f t="shared" si="151"/>
        <v>43</v>
      </c>
      <c r="AG72" s="145">
        <f t="shared" si="151"/>
        <v>109</v>
      </c>
      <c r="AH72" s="148">
        <f>SUM(AE72:AG72)</f>
        <v>152</v>
      </c>
      <c r="AI72" s="151">
        <f t="shared" si="116"/>
        <v>0</v>
      </c>
      <c r="AJ72" s="63"/>
      <c r="AK72" s="230"/>
      <c r="AL72" s="90" t="s">
        <v>12</v>
      </c>
      <c r="AM72" s="91" t="s">
        <v>13</v>
      </c>
      <c r="AN72" s="141">
        <f t="shared" ref="AN72:AP72" si="152">AN8+AN13+AN18+AN23+AN28+AN33+AN38+AN43+AN48+AN53+AN58+AN63</f>
        <v>0</v>
      </c>
      <c r="AO72" s="142">
        <f t="shared" si="152"/>
        <v>31</v>
      </c>
      <c r="AP72" s="145">
        <f t="shared" si="152"/>
        <v>441</v>
      </c>
      <c r="AQ72" s="148">
        <f>SUM(AN72:AP72)</f>
        <v>472</v>
      </c>
      <c r="AR72" s="151">
        <f t="shared" si="118"/>
        <v>0</v>
      </c>
      <c r="AS72" s="63"/>
      <c r="AT72" s="230"/>
      <c r="AU72" s="90" t="s">
        <v>12</v>
      </c>
      <c r="AV72" s="91" t="s">
        <v>13</v>
      </c>
      <c r="AW72" s="141">
        <f t="shared" ref="AW72:AY72" si="153">AW8+AW13+AW18+AW23+AW28+AW33+AW38+AW43+AW48+AW53+AW58+AW63</f>
        <v>0</v>
      </c>
      <c r="AX72" s="142">
        <f t="shared" si="153"/>
        <v>12</v>
      </c>
      <c r="AY72" s="145">
        <f t="shared" si="153"/>
        <v>346</v>
      </c>
      <c r="AZ72" s="148">
        <f>SUM(AW72:AY72)</f>
        <v>358</v>
      </c>
      <c r="BA72" s="151">
        <f t="shared" si="120"/>
        <v>0</v>
      </c>
      <c r="BB72" s="63"/>
      <c r="BC72" s="230"/>
      <c r="BD72" s="90" t="s">
        <v>12</v>
      </c>
      <c r="BE72" s="91" t="s">
        <v>13</v>
      </c>
      <c r="BF72" s="141">
        <f t="shared" ref="BF72:BH72" si="154">BF8+BF13+BF18+BF23+BF28+BF33+BF38+BF43+BF48+BF53+BF58+BF63</f>
        <v>0</v>
      </c>
      <c r="BG72" s="142">
        <f t="shared" si="154"/>
        <v>111</v>
      </c>
      <c r="BH72" s="145">
        <f t="shared" si="154"/>
        <v>159</v>
      </c>
      <c r="BI72" s="148">
        <f>SUM(BF72:BH72)</f>
        <v>270</v>
      </c>
      <c r="BJ72" s="151">
        <f t="shared" si="122"/>
        <v>0</v>
      </c>
      <c r="BK72" s="63"/>
      <c r="BL72" s="230"/>
      <c r="BM72" s="90" t="s">
        <v>12</v>
      </c>
      <c r="BN72" s="91" t="s">
        <v>13</v>
      </c>
      <c r="BO72" s="141">
        <f t="shared" ref="BO72:BQ72" si="155">BO8+BO13+BO18+BO23+BO28+BO33+BO38+BO43+BO48+BO53+BO58+BO63</f>
        <v>0</v>
      </c>
      <c r="BP72" s="142">
        <f t="shared" si="155"/>
        <v>25</v>
      </c>
      <c r="BQ72" s="145">
        <f t="shared" si="155"/>
        <v>352</v>
      </c>
      <c r="BR72" s="148">
        <f>SUM(BO72:BQ72)</f>
        <v>377</v>
      </c>
      <c r="BS72" s="151">
        <f t="shared" si="124"/>
        <v>0</v>
      </c>
      <c r="BT72" s="63"/>
      <c r="BU72" s="230"/>
      <c r="BV72" s="90" t="s">
        <v>12</v>
      </c>
      <c r="BW72" s="91" t="s">
        <v>13</v>
      </c>
      <c r="BX72" s="141">
        <f t="shared" ref="BX72:BZ72" si="156">BX8+BX13+BX18+BX23+BX28+BX33+BX38+BX43+BX48+BX53+BX58+BX63</f>
        <v>0</v>
      </c>
      <c r="BY72" s="142">
        <f t="shared" si="156"/>
        <v>15</v>
      </c>
      <c r="BZ72" s="145">
        <f t="shared" si="156"/>
        <v>117</v>
      </c>
      <c r="CA72" s="148">
        <f>SUM(BX72:BZ72)</f>
        <v>132</v>
      </c>
      <c r="CB72" s="151">
        <f t="shared" si="126"/>
        <v>0</v>
      </c>
      <c r="CC72" s="63"/>
      <c r="CD72" s="230"/>
      <c r="CE72" s="90" t="s">
        <v>12</v>
      </c>
      <c r="CF72" s="91" t="s">
        <v>13</v>
      </c>
      <c r="CG72" s="141">
        <f t="shared" ref="CG72:CI72" si="157">CG8+CG13+CG18+CG23+CG28+CG33+CG38+CG43+CG48+CG53+CG58+CG63</f>
        <v>0</v>
      </c>
      <c r="CH72" s="142">
        <f t="shared" si="157"/>
        <v>11</v>
      </c>
      <c r="CI72" s="145">
        <f t="shared" si="157"/>
        <v>56</v>
      </c>
      <c r="CJ72" s="148">
        <f>SUM(CG72:CI72)</f>
        <v>67</v>
      </c>
      <c r="CK72" s="151">
        <f t="shared" si="128"/>
        <v>0</v>
      </c>
      <c r="CL72" s="63"/>
      <c r="CM72" s="230"/>
      <c r="CN72" s="90" t="s">
        <v>12</v>
      </c>
      <c r="CO72" s="91" t="s">
        <v>13</v>
      </c>
      <c r="CP72" s="141">
        <f t="shared" ref="CP72:CR72" si="158">CP8+CP13+CP18+CP23+CP28+CP33+CP38+CP43+CP48+CP53+CP58+CP63</f>
        <v>0</v>
      </c>
      <c r="CQ72" s="142">
        <f t="shared" si="158"/>
        <v>0</v>
      </c>
      <c r="CR72" s="145">
        <f t="shared" si="158"/>
        <v>0</v>
      </c>
      <c r="CS72" s="148">
        <f>SUM(CP72:CR72)</f>
        <v>0</v>
      </c>
      <c r="CT72" s="151">
        <f t="shared" si="130"/>
        <v>0</v>
      </c>
      <c r="CU72" s="63"/>
      <c r="CV72" s="230"/>
      <c r="CW72" s="90" t="s">
        <v>12</v>
      </c>
      <c r="CX72" s="91" t="s">
        <v>13</v>
      </c>
      <c r="CY72" s="141">
        <f t="shared" ref="CY72:DA72" si="159">CY8+CY13+CY18+CY23+CY28+CY33+CY38+CY43+CY48+CY53+CY58+CY63</f>
        <v>0</v>
      </c>
      <c r="CZ72" s="142">
        <f t="shared" si="159"/>
        <v>0</v>
      </c>
      <c r="DA72" s="145">
        <f t="shared" si="159"/>
        <v>0</v>
      </c>
      <c r="DB72" s="148">
        <f>SUM(CY72:DA72)</f>
        <v>0</v>
      </c>
      <c r="DC72" s="151">
        <f t="shared" si="132"/>
        <v>0</v>
      </c>
      <c r="DD72" s="63"/>
      <c r="DE72" s="233"/>
      <c r="DF72" s="107" t="s">
        <v>12</v>
      </c>
      <c r="DG72" s="111" t="s">
        <v>13</v>
      </c>
      <c r="DH72" s="141">
        <f t="shared" ref="DH72:DJ72" si="160">DH8+DH13+DH18+DH23+DH28+DH33+DH38+DH43+DH48+DH53+DH58+DH63</f>
        <v>0</v>
      </c>
      <c r="DI72" s="142">
        <f t="shared" si="160"/>
        <v>391</v>
      </c>
      <c r="DJ72" s="145">
        <f t="shared" si="160"/>
        <v>1954</v>
      </c>
      <c r="DK72" s="148">
        <f>SUM(DH72:DJ72)</f>
        <v>2345</v>
      </c>
      <c r="DL72" s="151">
        <f t="shared" si="134"/>
        <v>0</v>
      </c>
      <c r="DM72" s="17"/>
    </row>
    <row r="73" spans="1:117" ht="17.100000000000001" customHeight="1" thickBot="1" x14ac:dyDescent="0.3">
      <c r="A73" s="231"/>
      <c r="B73" s="221" t="s">
        <v>3</v>
      </c>
      <c r="C73" s="222"/>
      <c r="D73" s="102">
        <f>SUM(D69:D72)</f>
        <v>1</v>
      </c>
      <c r="E73" s="103">
        <f>SUM(E69:E72)</f>
        <v>530</v>
      </c>
      <c r="F73" s="104">
        <f>SUM(F69:F72)</f>
        <v>4514</v>
      </c>
      <c r="G73" s="105">
        <f>SUM(G69:G72)</f>
        <v>5045</v>
      </c>
      <c r="H73" s="106">
        <f>SUM(H69:H72)</f>
        <v>0</v>
      </c>
      <c r="I73" s="63"/>
      <c r="J73" s="231"/>
      <c r="K73" s="221" t="s">
        <v>3</v>
      </c>
      <c r="L73" s="222"/>
      <c r="M73" s="102">
        <f>SUM(M69:M72)</f>
        <v>0</v>
      </c>
      <c r="N73" s="103">
        <f>SUM(N69:N72)</f>
        <v>899</v>
      </c>
      <c r="O73" s="104">
        <f>SUM(O69:O72)</f>
        <v>4728</v>
      </c>
      <c r="P73" s="105">
        <f>SUM(P69:P72)</f>
        <v>5627</v>
      </c>
      <c r="Q73" s="106">
        <f>SUM(Q69:Q72)</f>
        <v>0</v>
      </c>
      <c r="R73" s="63"/>
      <c r="S73" s="231"/>
      <c r="T73" s="221" t="s">
        <v>3</v>
      </c>
      <c r="U73" s="222"/>
      <c r="V73" s="102">
        <f>SUM(V69:V72)</f>
        <v>4</v>
      </c>
      <c r="W73" s="103">
        <f>SUM(W69:W72)</f>
        <v>2340</v>
      </c>
      <c r="X73" s="104">
        <f>SUM(X69:X72)</f>
        <v>6826</v>
      </c>
      <c r="Y73" s="105">
        <f>SUM(Y69:Y72)</f>
        <v>9170</v>
      </c>
      <c r="Z73" s="106">
        <f>SUM(Z69:Z72)</f>
        <v>0</v>
      </c>
      <c r="AA73" s="63"/>
      <c r="AB73" s="231"/>
      <c r="AC73" s="221" t="s">
        <v>3</v>
      </c>
      <c r="AD73" s="222"/>
      <c r="AE73" s="102">
        <f>SUM(AE69:AE72)</f>
        <v>0</v>
      </c>
      <c r="AF73" s="103">
        <f>SUM(AF69:AF72)</f>
        <v>568</v>
      </c>
      <c r="AG73" s="104">
        <f>SUM(AG69:AG72)</f>
        <v>6279</v>
      </c>
      <c r="AH73" s="105">
        <f>SUM(AH69:AH72)</f>
        <v>6847</v>
      </c>
      <c r="AI73" s="106">
        <f>SUM(AI69:AI72)</f>
        <v>0</v>
      </c>
      <c r="AJ73" s="63"/>
      <c r="AK73" s="231"/>
      <c r="AL73" s="221" t="s">
        <v>3</v>
      </c>
      <c r="AM73" s="222"/>
      <c r="AN73" s="102">
        <f>SUM(AN69:AN72)</f>
        <v>0</v>
      </c>
      <c r="AO73" s="103">
        <f>SUM(AO69:AO72)</f>
        <v>301</v>
      </c>
      <c r="AP73" s="104">
        <f>SUM(AP69:AP72)</f>
        <v>4862</v>
      </c>
      <c r="AQ73" s="105">
        <f>SUM(AQ69:AQ72)</f>
        <v>5163</v>
      </c>
      <c r="AR73" s="106">
        <f>SUM(AR69:AR72)</f>
        <v>0</v>
      </c>
      <c r="AS73" s="63"/>
      <c r="AT73" s="231"/>
      <c r="AU73" s="221" t="s">
        <v>3</v>
      </c>
      <c r="AV73" s="222"/>
      <c r="AW73" s="102">
        <f>SUM(AW69:AW72)</f>
        <v>0</v>
      </c>
      <c r="AX73" s="103">
        <f>SUM(AX69:AX72)</f>
        <v>206</v>
      </c>
      <c r="AY73" s="104">
        <f>SUM(AY69:AY72)</f>
        <v>5461</v>
      </c>
      <c r="AZ73" s="105">
        <f>SUM(AZ69:AZ72)</f>
        <v>5667</v>
      </c>
      <c r="BA73" s="106">
        <f>SUM(BA69:BA72)</f>
        <v>0</v>
      </c>
      <c r="BB73" s="63"/>
      <c r="BC73" s="231"/>
      <c r="BD73" s="221" t="s">
        <v>3</v>
      </c>
      <c r="BE73" s="222"/>
      <c r="BF73" s="102">
        <f>SUM(BF69:BF72)</f>
        <v>0</v>
      </c>
      <c r="BG73" s="103">
        <f>SUM(BG69:BG72)</f>
        <v>1476</v>
      </c>
      <c r="BH73" s="104">
        <f>SUM(BH69:BH72)</f>
        <v>10034</v>
      </c>
      <c r="BI73" s="105">
        <f>SUM(BI69:BI72)</f>
        <v>11510</v>
      </c>
      <c r="BJ73" s="106">
        <f>SUM(BJ69:BJ72)</f>
        <v>0</v>
      </c>
      <c r="BK73" s="63"/>
      <c r="BL73" s="231"/>
      <c r="BM73" s="221" t="s">
        <v>3</v>
      </c>
      <c r="BN73" s="222"/>
      <c r="BO73" s="102">
        <f>SUM(BO69:BO72)</f>
        <v>5</v>
      </c>
      <c r="BP73" s="103">
        <f>SUM(BP69:BP72)</f>
        <v>385</v>
      </c>
      <c r="BQ73" s="104">
        <f>SUM(BQ69:BQ72)</f>
        <v>4102</v>
      </c>
      <c r="BR73" s="105">
        <f>SUM(BR69:BR72)</f>
        <v>4492</v>
      </c>
      <c r="BS73" s="106">
        <f>SUM(BS69:BS72)</f>
        <v>0</v>
      </c>
      <c r="BT73" s="63"/>
      <c r="BU73" s="231"/>
      <c r="BV73" s="221" t="s">
        <v>3</v>
      </c>
      <c r="BW73" s="222"/>
      <c r="BX73" s="102">
        <f>SUM(BX69:BX72)</f>
        <v>0</v>
      </c>
      <c r="BY73" s="103">
        <f>SUM(BY69:BY72)</f>
        <v>275</v>
      </c>
      <c r="BZ73" s="104">
        <f>SUM(BZ69:BZ72)</f>
        <v>3249</v>
      </c>
      <c r="CA73" s="105">
        <f>SUM(CA69:CA72)</f>
        <v>3524</v>
      </c>
      <c r="CB73" s="106">
        <f>SUM(CB69:CB72)</f>
        <v>0</v>
      </c>
      <c r="CC73" s="63"/>
      <c r="CD73" s="231"/>
      <c r="CE73" s="221" t="s">
        <v>3</v>
      </c>
      <c r="CF73" s="222"/>
      <c r="CG73" s="102">
        <f>SUM(CG69:CG72)</f>
        <v>0</v>
      </c>
      <c r="CH73" s="103">
        <f>SUM(CH69:CH72)</f>
        <v>162</v>
      </c>
      <c r="CI73" s="104">
        <f>SUM(CI69:CI72)</f>
        <v>3635</v>
      </c>
      <c r="CJ73" s="105">
        <f>SUM(CJ69:CJ72)</f>
        <v>3797</v>
      </c>
      <c r="CK73" s="106">
        <f>SUM(CK69:CK72)</f>
        <v>0</v>
      </c>
      <c r="CL73" s="63"/>
      <c r="CM73" s="231"/>
      <c r="CN73" s="221" t="s">
        <v>3</v>
      </c>
      <c r="CO73" s="222"/>
      <c r="CP73" s="102">
        <f>SUM(CP69:CP72)</f>
        <v>0</v>
      </c>
      <c r="CQ73" s="103">
        <f>SUM(CQ69:CQ72)</f>
        <v>0</v>
      </c>
      <c r="CR73" s="104">
        <f>SUM(CR69:CR72)</f>
        <v>0</v>
      </c>
      <c r="CS73" s="105">
        <f>SUM(CS69:CS72)</f>
        <v>0</v>
      </c>
      <c r="CT73" s="106">
        <f>SUM(CT69:CT72)</f>
        <v>0</v>
      </c>
      <c r="CU73" s="63"/>
      <c r="CV73" s="231"/>
      <c r="CW73" s="221" t="s">
        <v>3</v>
      </c>
      <c r="CX73" s="222"/>
      <c r="CY73" s="102">
        <f>SUM(CY69:CY72)</f>
        <v>0</v>
      </c>
      <c r="CZ73" s="103">
        <f>SUM(CZ69:CZ72)</f>
        <v>0</v>
      </c>
      <c r="DA73" s="104">
        <f>SUM(DA69:DA72)</f>
        <v>0</v>
      </c>
      <c r="DB73" s="105">
        <f>SUM(DB69:DB72)</f>
        <v>0</v>
      </c>
      <c r="DC73" s="106">
        <f>SUM(DC69:DC72)</f>
        <v>0</v>
      </c>
      <c r="DD73" s="63"/>
      <c r="DE73" s="234"/>
      <c r="DF73" s="223" t="s">
        <v>3</v>
      </c>
      <c r="DG73" s="224"/>
      <c r="DH73" s="102">
        <f>SUM(DH69:DH72)</f>
        <v>10</v>
      </c>
      <c r="DI73" s="103">
        <f>SUM(DI69:DI72)</f>
        <v>7142</v>
      </c>
      <c r="DJ73" s="104">
        <f>SUM(DJ69:DJ72)</f>
        <v>53690</v>
      </c>
      <c r="DK73" s="105">
        <f>SUM(DK69:DK72)</f>
        <v>60842</v>
      </c>
      <c r="DL73" s="106">
        <f>SUM(DL69:DL72)</f>
        <v>0</v>
      </c>
      <c r="DM73" s="17"/>
    </row>
    <row r="74" spans="1:117" ht="17.100000000000001" customHeight="1" x14ac:dyDescent="0.2">
      <c r="A74" s="122"/>
      <c r="B74" s="122"/>
      <c r="C74" s="122"/>
      <c r="D74" s="63"/>
      <c r="E74" s="63"/>
      <c r="F74" s="63"/>
      <c r="G74" s="63"/>
      <c r="H74" s="63"/>
      <c r="I74" s="63"/>
      <c r="J74" s="122"/>
      <c r="K74" s="122"/>
      <c r="L74" s="122"/>
      <c r="M74" s="63"/>
      <c r="N74" s="63"/>
      <c r="O74" s="63"/>
      <c r="P74" s="63"/>
      <c r="Q74" s="63"/>
      <c r="R74" s="63"/>
      <c r="S74" s="122"/>
      <c r="T74" s="122"/>
      <c r="U74" s="122"/>
      <c r="V74" s="63"/>
      <c r="W74" s="63"/>
      <c r="X74" s="63"/>
      <c r="Y74" s="63"/>
      <c r="Z74" s="63"/>
      <c r="AA74" s="63"/>
      <c r="AB74" s="122"/>
      <c r="AC74" s="122"/>
      <c r="AD74" s="122"/>
      <c r="AE74" s="63"/>
      <c r="AF74" s="63"/>
      <c r="AG74" s="63"/>
      <c r="AH74" s="63"/>
      <c r="AI74" s="63"/>
      <c r="AJ74" s="63"/>
      <c r="AK74" s="122"/>
      <c r="AL74" s="122"/>
      <c r="AM74" s="122"/>
      <c r="AN74" s="63"/>
      <c r="AO74" s="63"/>
      <c r="AP74" s="63"/>
      <c r="AQ74" s="63"/>
      <c r="AR74" s="63"/>
      <c r="AS74" s="63"/>
      <c r="AT74" s="122"/>
      <c r="AU74" s="122"/>
      <c r="AV74" s="122"/>
      <c r="AW74" s="63"/>
      <c r="AX74" s="63"/>
      <c r="AY74" s="63"/>
      <c r="AZ74" s="63"/>
      <c r="BA74" s="63"/>
      <c r="BB74" s="63"/>
      <c r="BC74" s="122"/>
      <c r="BD74" s="122"/>
      <c r="BE74" s="122"/>
      <c r="BF74" s="63"/>
      <c r="BG74" s="63"/>
      <c r="BH74" s="63"/>
      <c r="BI74" s="63"/>
      <c r="BJ74" s="63"/>
      <c r="BK74" s="63"/>
      <c r="BL74" s="122"/>
      <c r="BM74" s="122"/>
      <c r="BN74" s="122"/>
      <c r="BO74" s="63"/>
      <c r="BP74" s="63"/>
      <c r="BQ74" s="63"/>
      <c r="BR74" s="63"/>
      <c r="BS74" s="63"/>
      <c r="BT74" s="63"/>
      <c r="BU74" s="122"/>
      <c r="BV74" s="122"/>
      <c r="BW74" s="122"/>
      <c r="BX74" s="63"/>
      <c r="BY74" s="63"/>
      <c r="BZ74" s="63"/>
      <c r="CA74" s="63"/>
      <c r="CB74" s="63"/>
      <c r="CC74" s="63"/>
      <c r="CD74" s="122"/>
      <c r="CE74" s="122"/>
      <c r="CF74" s="122"/>
      <c r="CG74" s="63"/>
      <c r="CH74" s="63"/>
      <c r="CI74" s="63"/>
      <c r="CJ74" s="63"/>
      <c r="CK74" s="63"/>
      <c r="CL74" s="63"/>
      <c r="CM74" s="122"/>
      <c r="CN74" s="122"/>
      <c r="CO74" s="122"/>
      <c r="CP74" s="63"/>
      <c r="CQ74" s="63"/>
      <c r="CR74" s="63"/>
      <c r="CS74" s="63"/>
      <c r="CT74" s="63"/>
      <c r="CU74" s="63"/>
      <c r="CV74" s="122"/>
      <c r="CW74" s="122"/>
      <c r="CX74" s="122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17"/>
    </row>
    <row r="75" spans="1:117" ht="17.100000000000001" customHeight="1" x14ac:dyDescent="0.2">
      <c r="A75" s="121"/>
      <c r="B75" s="121"/>
      <c r="C75" s="121"/>
      <c r="D75" s="38"/>
      <c r="E75" s="38"/>
      <c r="F75" s="38"/>
      <c r="G75" s="38"/>
      <c r="H75" s="38"/>
      <c r="I75" s="40"/>
      <c r="J75" s="121"/>
      <c r="K75" s="121"/>
      <c r="L75" s="121"/>
      <c r="M75" s="38"/>
      <c r="N75" s="38"/>
      <c r="O75" s="38"/>
      <c r="P75" s="38"/>
      <c r="Q75" s="38"/>
      <c r="R75" s="40"/>
      <c r="S75" s="121"/>
      <c r="T75" s="121"/>
      <c r="U75" s="121"/>
      <c r="V75" s="38"/>
      <c r="W75" s="38"/>
      <c r="X75" s="38"/>
      <c r="Y75" s="38"/>
      <c r="Z75" s="38"/>
      <c r="AA75" s="40"/>
      <c r="AB75" s="121"/>
      <c r="AC75" s="121"/>
      <c r="AD75" s="121"/>
      <c r="AE75" s="38"/>
      <c r="AF75" s="38"/>
      <c r="AG75" s="38"/>
      <c r="AH75" s="38"/>
      <c r="AI75" s="38"/>
      <c r="AJ75" s="40"/>
      <c r="AK75" s="121"/>
      <c r="AL75" s="121"/>
      <c r="AM75" s="121"/>
      <c r="AN75" s="38"/>
      <c r="AO75" s="38"/>
      <c r="AP75" s="38"/>
      <c r="AQ75" s="38"/>
      <c r="AR75" s="38"/>
      <c r="AS75" s="40"/>
      <c r="AT75" s="121"/>
      <c r="AU75" s="121"/>
      <c r="AV75" s="121"/>
      <c r="AW75" s="38"/>
      <c r="AX75" s="38"/>
      <c r="AY75" s="38"/>
      <c r="AZ75" s="38"/>
      <c r="BA75" s="38"/>
      <c r="BB75" s="40"/>
      <c r="BC75" s="121"/>
      <c r="BD75" s="121"/>
      <c r="BE75" s="121"/>
      <c r="BF75" s="38"/>
      <c r="BG75" s="38"/>
      <c r="BH75" s="38"/>
      <c r="BI75" s="38"/>
      <c r="BJ75" s="38"/>
      <c r="BK75" s="40"/>
      <c r="BL75" s="121"/>
      <c r="BM75" s="121"/>
      <c r="BN75" s="121"/>
      <c r="BO75" s="38"/>
      <c r="BP75" s="38"/>
      <c r="BQ75" s="38"/>
      <c r="BR75" s="38"/>
      <c r="BS75" s="38"/>
      <c r="BT75" s="40"/>
      <c r="BU75" s="121"/>
      <c r="BV75" s="121"/>
      <c r="BW75" s="121"/>
      <c r="BX75" s="38"/>
      <c r="BY75" s="38"/>
      <c r="BZ75" s="38"/>
      <c r="CA75" s="38"/>
      <c r="CB75" s="38"/>
      <c r="CC75" s="40"/>
      <c r="CD75" s="121"/>
      <c r="CE75" s="121"/>
      <c r="CF75" s="121"/>
      <c r="CG75" s="38"/>
      <c r="CH75" s="38"/>
      <c r="CI75" s="38"/>
      <c r="CJ75" s="38"/>
      <c r="CK75" s="38"/>
      <c r="CL75" s="40"/>
      <c r="CM75" s="121"/>
      <c r="CN75" s="121"/>
      <c r="CO75" s="121"/>
      <c r="CP75" s="38"/>
      <c r="CQ75" s="38"/>
      <c r="CR75" s="38"/>
      <c r="CS75" s="38"/>
      <c r="CT75" s="38"/>
      <c r="CU75" s="40"/>
      <c r="CV75" s="121"/>
      <c r="CW75" s="121"/>
      <c r="CX75" s="121"/>
      <c r="CY75" s="38"/>
      <c r="CZ75" s="38"/>
      <c r="DA75" s="38"/>
      <c r="DB75" s="38"/>
      <c r="DC75" s="38"/>
      <c r="DD75" s="40"/>
      <c r="DE75" s="121"/>
      <c r="DF75" s="121"/>
      <c r="DG75" s="121"/>
      <c r="DH75" s="38"/>
      <c r="DI75" s="38"/>
      <c r="DJ75" s="38"/>
      <c r="DK75" s="38"/>
      <c r="DL75" s="38"/>
      <c r="DM75" s="40"/>
    </row>
    <row r="76" spans="1:117" ht="17.100000000000001" customHeight="1" x14ac:dyDescent="0.2">
      <c r="A76" s="121"/>
      <c r="B76" s="121"/>
      <c r="C76" s="121"/>
      <c r="D76" s="38"/>
      <c r="E76" s="38"/>
      <c r="F76" s="38"/>
      <c r="G76" s="38"/>
      <c r="H76" s="38"/>
      <c r="I76" s="40"/>
      <c r="J76" s="121"/>
      <c r="K76" s="121"/>
      <c r="L76" s="121"/>
      <c r="M76" s="38"/>
      <c r="N76" s="38"/>
      <c r="O76" s="38"/>
      <c r="P76" s="38"/>
      <c r="Q76" s="38"/>
      <c r="R76" s="40"/>
      <c r="S76" s="121"/>
      <c r="T76" s="121"/>
      <c r="U76" s="121"/>
      <c r="V76" s="38"/>
      <c r="W76" s="38"/>
      <c r="X76" s="38"/>
      <c r="Y76" s="38"/>
      <c r="Z76" s="38"/>
      <c r="AA76" s="40"/>
      <c r="AB76" s="121"/>
      <c r="AC76" s="121"/>
      <c r="AD76" s="121"/>
      <c r="AE76" s="38"/>
      <c r="AF76" s="38"/>
      <c r="AG76" s="38"/>
      <c r="AH76" s="38"/>
      <c r="AI76" s="38"/>
      <c r="AJ76" s="40"/>
      <c r="AK76" s="121"/>
      <c r="AL76" s="121"/>
      <c r="AM76" s="121"/>
      <c r="AN76" s="38"/>
      <c r="AO76" s="38"/>
      <c r="AP76" s="38"/>
      <c r="AQ76" s="38"/>
      <c r="AR76" s="38"/>
      <c r="AS76" s="40"/>
      <c r="AT76" s="121"/>
      <c r="AU76" s="121"/>
      <c r="AV76" s="121"/>
      <c r="AW76" s="38"/>
      <c r="AX76" s="38"/>
      <c r="AY76" s="38"/>
      <c r="AZ76" s="38"/>
      <c r="BA76" s="38"/>
      <c r="BB76" s="40"/>
      <c r="BC76" s="121"/>
      <c r="BD76" s="121"/>
      <c r="BE76" s="121"/>
      <c r="BF76" s="38"/>
      <c r="BG76" s="38"/>
      <c r="BH76" s="38"/>
      <c r="BI76" s="38"/>
      <c r="BJ76" s="38"/>
      <c r="BK76" s="40"/>
      <c r="BL76" s="121"/>
      <c r="BM76" s="121"/>
      <c r="BN76" s="121"/>
      <c r="BO76" s="38"/>
      <c r="BP76" s="38"/>
      <c r="BQ76" s="38"/>
      <c r="BR76" s="38"/>
      <c r="BS76" s="38"/>
      <c r="BT76" s="40"/>
      <c r="BU76" s="121"/>
      <c r="BV76" s="121"/>
      <c r="BW76" s="121"/>
      <c r="BX76" s="38"/>
      <c r="BY76" s="38"/>
      <c r="BZ76" s="38"/>
      <c r="CA76" s="38"/>
      <c r="CB76" s="38"/>
      <c r="CC76" s="40"/>
      <c r="CD76" s="121"/>
      <c r="CE76" s="121"/>
      <c r="CF76" s="121"/>
      <c r="CG76" s="38"/>
      <c r="CH76" s="38"/>
      <c r="CI76" s="38"/>
      <c r="CJ76" s="38"/>
      <c r="CK76" s="38"/>
      <c r="CL76" s="40"/>
      <c r="CM76" s="121"/>
      <c r="CN76" s="121"/>
      <c r="CO76" s="121"/>
      <c r="CP76" s="38"/>
      <c r="CQ76" s="38"/>
      <c r="CR76" s="38"/>
      <c r="CS76" s="38"/>
      <c r="CT76" s="38"/>
      <c r="CU76" s="40"/>
      <c r="CV76" s="121"/>
      <c r="CW76" s="121"/>
      <c r="CX76" s="121"/>
      <c r="CY76" s="38"/>
      <c r="CZ76" s="38"/>
      <c r="DA76" s="38"/>
      <c r="DB76" s="38"/>
      <c r="DC76" s="38"/>
      <c r="DD76" s="40"/>
      <c r="DE76" s="121"/>
      <c r="DF76" s="121"/>
      <c r="DG76" s="121"/>
      <c r="DH76" s="38"/>
      <c r="DI76" s="38"/>
      <c r="DJ76" s="38"/>
      <c r="DK76" s="38"/>
      <c r="DL76" s="38"/>
      <c r="DM76" s="40"/>
    </row>
    <row r="77" spans="1:117" ht="17.100000000000001" customHeight="1" x14ac:dyDescent="0.2">
      <c r="A77" s="121"/>
      <c r="B77" s="121"/>
      <c r="C77" s="121"/>
      <c r="D77" s="38"/>
      <c r="E77" s="38"/>
      <c r="F77" s="38"/>
      <c r="G77" s="38"/>
      <c r="H77" s="38"/>
      <c r="I77" s="40"/>
      <c r="J77" s="121"/>
      <c r="K77" s="121"/>
      <c r="L77" s="121"/>
      <c r="M77" s="38"/>
      <c r="N77" s="38"/>
      <c r="O77" s="38"/>
      <c r="P77" s="38"/>
      <c r="Q77" s="38"/>
      <c r="R77" s="40"/>
      <c r="S77" s="121"/>
      <c r="T77" s="121"/>
      <c r="U77" s="121"/>
      <c r="V77" s="38"/>
      <c r="W77" s="38"/>
      <c r="X77" s="38"/>
      <c r="Y77" s="38"/>
      <c r="Z77" s="38"/>
      <c r="AA77" s="40"/>
      <c r="AB77" s="121"/>
      <c r="AC77" s="121"/>
      <c r="AD77" s="121"/>
      <c r="AE77" s="38"/>
      <c r="AF77" s="38"/>
      <c r="AG77" s="38"/>
      <c r="AH77" s="38"/>
      <c r="AI77" s="38"/>
      <c r="AJ77" s="40"/>
      <c r="AK77" s="121"/>
      <c r="AL77" s="121"/>
      <c r="AM77" s="121"/>
      <c r="AN77" s="38"/>
      <c r="AO77" s="38"/>
      <c r="AP77" s="38"/>
      <c r="AQ77" s="38"/>
      <c r="AR77" s="38"/>
      <c r="AS77" s="40"/>
      <c r="AT77" s="121"/>
      <c r="AU77" s="121"/>
      <c r="AV77" s="121"/>
      <c r="AW77" s="38"/>
      <c r="AX77" s="38"/>
      <c r="AY77" s="38"/>
      <c r="AZ77" s="38"/>
      <c r="BA77" s="38"/>
      <c r="BB77" s="40"/>
      <c r="BC77" s="121"/>
      <c r="BD77" s="121"/>
      <c r="BE77" s="121"/>
      <c r="BF77" s="38"/>
      <c r="BG77" s="38"/>
      <c r="BH77" s="38"/>
      <c r="BI77" s="38"/>
      <c r="BJ77" s="38"/>
      <c r="BK77" s="40"/>
      <c r="BL77" s="121"/>
      <c r="BM77" s="121"/>
      <c r="BN77" s="121"/>
      <c r="BO77" s="38"/>
      <c r="BP77" s="38"/>
      <c r="BQ77" s="38"/>
      <c r="BR77" s="38"/>
      <c r="BS77" s="38"/>
      <c r="BT77" s="40"/>
      <c r="BU77" s="121"/>
      <c r="BV77" s="121"/>
      <c r="BW77" s="121"/>
      <c r="BX77" s="38"/>
      <c r="BY77" s="38"/>
      <c r="BZ77" s="38"/>
      <c r="CA77" s="38"/>
      <c r="CB77" s="38"/>
      <c r="CC77" s="40"/>
      <c r="CD77" s="121"/>
      <c r="CE77" s="121"/>
      <c r="CF77" s="121"/>
      <c r="CG77" s="38"/>
      <c r="CH77" s="38"/>
      <c r="CI77" s="38"/>
      <c r="CJ77" s="38"/>
      <c r="CK77" s="38"/>
      <c r="CL77" s="40"/>
      <c r="CM77" s="121"/>
      <c r="CN77" s="121"/>
      <c r="CO77" s="121"/>
      <c r="CP77" s="38"/>
      <c r="CQ77" s="38"/>
      <c r="CR77" s="38"/>
      <c r="CS77" s="38"/>
      <c r="CT77" s="38"/>
      <c r="CU77" s="40"/>
      <c r="CV77" s="121"/>
      <c r="CW77" s="121"/>
      <c r="CX77" s="121"/>
      <c r="CY77" s="38"/>
      <c r="CZ77" s="38"/>
      <c r="DA77" s="38"/>
      <c r="DB77" s="38"/>
      <c r="DC77" s="38"/>
      <c r="DD77" s="40"/>
      <c r="DE77" s="121"/>
      <c r="DF77" s="121"/>
      <c r="DG77" s="121"/>
      <c r="DH77" s="38"/>
      <c r="DI77" s="38"/>
      <c r="DJ77" s="38"/>
      <c r="DK77" s="38"/>
      <c r="DL77" s="38"/>
      <c r="DM77" s="40"/>
    </row>
    <row r="78" spans="1:117" ht="17.100000000000001" customHeight="1" x14ac:dyDescent="0.2">
      <c r="A78" s="121"/>
      <c r="B78" s="121"/>
      <c r="C78" s="121"/>
      <c r="D78" s="38"/>
      <c r="E78" s="38"/>
      <c r="F78" s="38"/>
      <c r="G78" s="38"/>
      <c r="H78" s="38"/>
      <c r="I78" s="40"/>
      <c r="J78" s="121"/>
      <c r="K78" s="121"/>
      <c r="L78" s="121"/>
      <c r="M78" s="38"/>
      <c r="N78" s="38"/>
      <c r="O78" s="38"/>
      <c r="P78" s="38"/>
      <c r="Q78" s="38"/>
      <c r="R78" s="40"/>
      <c r="S78" s="121"/>
      <c r="T78" s="121"/>
      <c r="U78" s="121"/>
      <c r="V78" s="38"/>
      <c r="W78" s="38"/>
      <c r="X78" s="38"/>
      <c r="Y78" s="38"/>
      <c r="Z78" s="38"/>
      <c r="AA78" s="40"/>
      <c r="AB78" s="121"/>
      <c r="AC78" s="121"/>
      <c r="AD78" s="121"/>
      <c r="AE78" s="38"/>
      <c r="AF78" s="38"/>
      <c r="AG78" s="38"/>
      <c r="AH78" s="38"/>
      <c r="AI78" s="38"/>
      <c r="AJ78" s="40"/>
      <c r="AK78" s="121"/>
      <c r="AL78" s="121"/>
      <c r="AM78" s="121"/>
      <c r="AN78" s="38"/>
      <c r="AO78" s="38"/>
      <c r="AP78" s="38"/>
      <c r="AQ78" s="38"/>
      <c r="AR78" s="38"/>
      <c r="AS78" s="40"/>
      <c r="AT78" s="121"/>
      <c r="AU78" s="121"/>
      <c r="AV78" s="121"/>
      <c r="AW78" s="38"/>
      <c r="AX78" s="38"/>
      <c r="AY78" s="38"/>
      <c r="AZ78" s="38"/>
      <c r="BA78" s="38"/>
      <c r="BB78" s="40"/>
      <c r="BC78" s="121"/>
      <c r="BD78" s="121"/>
      <c r="BE78" s="121"/>
      <c r="BF78" s="38"/>
      <c r="BG78" s="38"/>
      <c r="BH78" s="38"/>
      <c r="BI78" s="38"/>
      <c r="BJ78" s="38"/>
      <c r="BK78" s="40"/>
      <c r="BL78" s="121"/>
      <c r="BM78" s="121"/>
      <c r="BN78" s="121"/>
      <c r="BO78" s="38"/>
      <c r="BP78" s="38"/>
      <c r="BQ78" s="38"/>
      <c r="BR78" s="38"/>
      <c r="BS78" s="38"/>
      <c r="BT78" s="40"/>
      <c r="BU78" s="121"/>
      <c r="BV78" s="121"/>
      <c r="BW78" s="121"/>
      <c r="BX78" s="38"/>
      <c r="BY78" s="38"/>
      <c r="BZ78" s="38"/>
      <c r="CA78" s="38"/>
      <c r="CB78" s="38"/>
      <c r="CC78" s="40"/>
      <c r="CD78" s="121"/>
      <c r="CE78" s="121"/>
      <c r="CF78" s="121"/>
      <c r="CG78" s="38"/>
      <c r="CH78" s="38"/>
      <c r="CI78" s="38"/>
      <c r="CJ78" s="38"/>
      <c r="CK78" s="38"/>
      <c r="CL78" s="40"/>
      <c r="CM78" s="121"/>
      <c r="CN78" s="121"/>
      <c r="CO78" s="121"/>
      <c r="CP78" s="38"/>
      <c r="CQ78" s="38"/>
      <c r="CR78" s="38"/>
      <c r="CS78" s="38"/>
      <c r="CT78" s="38"/>
      <c r="CU78" s="40"/>
      <c r="CV78" s="121"/>
      <c r="CW78" s="121"/>
      <c r="CX78" s="121"/>
      <c r="CY78" s="38"/>
      <c r="CZ78" s="38"/>
      <c r="DA78" s="38"/>
      <c r="DB78" s="38"/>
      <c r="DC78" s="38"/>
      <c r="DD78" s="40"/>
      <c r="DE78" s="121"/>
      <c r="DF78" s="121"/>
      <c r="DG78" s="121"/>
      <c r="DH78" s="38"/>
      <c r="DI78" s="38"/>
      <c r="DJ78" s="38"/>
      <c r="DK78" s="38"/>
      <c r="DL78" s="38"/>
      <c r="DM78" s="40"/>
    </row>
    <row r="79" spans="1:117" ht="17.100000000000001" customHeight="1" x14ac:dyDescent="0.2">
      <c r="A79" s="121"/>
      <c r="B79" s="121"/>
      <c r="C79" s="121"/>
      <c r="D79" s="38"/>
      <c r="E79" s="38"/>
      <c r="F79" s="38"/>
      <c r="G79" s="38"/>
      <c r="H79" s="38"/>
      <c r="I79" s="40"/>
      <c r="J79" s="121"/>
      <c r="K79" s="121"/>
      <c r="L79" s="121"/>
      <c r="M79" s="38"/>
      <c r="N79" s="38"/>
      <c r="O79" s="38"/>
      <c r="P79" s="38"/>
      <c r="Q79" s="38"/>
      <c r="R79" s="40"/>
      <c r="S79" s="121"/>
      <c r="T79" s="121"/>
      <c r="U79" s="121"/>
      <c r="V79" s="38"/>
      <c r="W79" s="38"/>
      <c r="X79" s="38"/>
      <c r="Y79" s="38"/>
      <c r="Z79" s="38"/>
      <c r="AA79" s="40"/>
      <c r="AB79" s="121"/>
      <c r="AC79" s="121"/>
      <c r="AD79" s="121"/>
      <c r="AE79" s="38"/>
      <c r="AF79" s="38"/>
      <c r="AG79" s="38"/>
      <c r="AH79" s="38"/>
      <c r="AI79" s="38"/>
      <c r="AJ79" s="40"/>
      <c r="AK79" s="121"/>
      <c r="AL79" s="121"/>
      <c r="AM79" s="121"/>
      <c r="AN79" s="38"/>
      <c r="AO79" s="38"/>
      <c r="AP79" s="38"/>
      <c r="AQ79" s="38"/>
      <c r="AR79" s="38"/>
      <c r="AS79" s="40"/>
      <c r="AT79" s="121"/>
      <c r="AU79" s="121"/>
      <c r="AV79" s="121"/>
      <c r="AW79" s="38"/>
      <c r="AX79" s="38"/>
      <c r="AY79" s="38"/>
      <c r="AZ79" s="38"/>
      <c r="BA79" s="38"/>
      <c r="BB79" s="40"/>
      <c r="BC79" s="121"/>
      <c r="BD79" s="121"/>
      <c r="BE79" s="121"/>
      <c r="BF79" s="38"/>
      <c r="BG79" s="38"/>
      <c r="BH79" s="38"/>
      <c r="BI79" s="38"/>
      <c r="BJ79" s="38"/>
      <c r="BK79" s="40"/>
      <c r="BL79" s="121"/>
      <c r="BM79" s="121"/>
      <c r="BN79" s="121"/>
      <c r="BO79" s="38"/>
      <c r="BP79" s="38"/>
      <c r="BQ79" s="38"/>
      <c r="BR79" s="38"/>
      <c r="BS79" s="38"/>
      <c r="BT79" s="40"/>
      <c r="BU79" s="121"/>
      <c r="BV79" s="121"/>
      <c r="BW79" s="121"/>
      <c r="BX79" s="38"/>
      <c r="BY79" s="38"/>
      <c r="BZ79" s="38"/>
      <c r="CA79" s="38"/>
      <c r="CB79" s="38"/>
      <c r="CC79" s="40"/>
      <c r="CD79" s="121"/>
      <c r="CE79" s="121"/>
      <c r="CF79" s="121"/>
      <c r="CG79" s="38"/>
      <c r="CH79" s="38"/>
      <c r="CI79" s="38"/>
      <c r="CJ79" s="38"/>
      <c r="CK79" s="38"/>
      <c r="CL79" s="40"/>
      <c r="CM79" s="121"/>
      <c r="CN79" s="121"/>
      <c r="CO79" s="121"/>
      <c r="CP79" s="38"/>
      <c r="CQ79" s="38"/>
      <c r="CR79" s="38"/>
      <c r="CS79" s="38"/>
      <c r="CT79" s="38"/>
      <c r="CU79" s="40"/>
      <c r="CV79" s="121"/>
      <c r="CW79" s="121"/>
      <c r="CX79" s="121"/>
      <c r="CY79" s="38"/>
      <c r="CZ79" s="38"/>
      <c r="DA79" s="38"/>
      <c r="DB79" s="38"/>
      <c r="DC79" s="38"/>
      <c r="DD79" s="40"/>
      <c r="DE79" s="121"/>
      <c r="DF79" s="121"/>
      <c r="DG79" s="121"/>
      <c r="DH79" s="38"/>
      <c r="DI79" s="38"/>
      <c r="DJ79" s="38"/>
      <c r="DK79" s="38"/>
      <c r="DL79" s="38"/>
      <c r="DM79" s="40"/>
    </row>
    <row r="80" spans="1:117" ht="17.100000000000001" customHeight="1" x14ac:dyDescent="0.2">
      <c r="A80" s="121"/>
      <c r="B80" s="121"/>
      <c r="C80" s="121"/>
      <c r="D80" s="38"/>
      <c r="E80" s="38"/>
      <c r="F80" s="38"/>
      <c r="G80" s="38"/>
      <c r="H80" s="38"/>
      <c r="J80" s="121"/>
      <c r="K80" s="121"/>
      <c r="L80" s="121"/>
      <c r="M80" s="38"/>
      <c r="N80" s="38"/>
      <c r="O80" s="38"/>
      <c r="P80" s="38"/>
      <c r="Q80" s="38"/>
      <c r="S80" s="121"/>
      <c r="T80" s="121"/>
      <c r="U80" s="121"/>
      <c r="V80" s="38"/>
      <c r="W80" s="38"/>
      <c r="X80" s="38"/>
      <c r="Y80" s="38"/>
      <c r="Z80" s="38"/>
      <c r="AB80" s="121"/>
      <c r="AC80" s="121"/>
      <c r="AD80" s="121"/>
      <c r="AE80" s="38"/>
      <c r="AF80" s="38"/>
      <c r="AG80" s="38"/>
      <c r="AH80" s="38"/>
      <c r="AI80" s="38"/>
      <c r="AK80" s="121"/>
      <c r="AL80" s="121"/>
      <c r="AM80" s="121"/>
      <c r="AN80" s="38"/>
      <c r="AO80" s="38"/>
      <c r="AP80" s="38"/>
      <c r="AQ80" s="38"/>
      <c r="AR80" s="38"/>
      <c r="AT80" s="121"/>
      <c r="AU80" s="121"/>
      <c r="AV80" s="121"/>
      <c r="AW80" s="38"/>
      <c r="AX80" s="38"/>
      <c r="AY80" s="38"/>
      <c r="AZ80" s="38"/>
      <c r="BA80" s="38"/>
      <c r="BC80" s="121"/>
      <c r="BD80" s="121"/>
      <c r="BE80" s="121"/>
      <c r="BF80" s="38"/>
      <c r="BG80" s="38"/>
      <c r="BH80" s="38"/>
      <c r="BI80" s="38"/>
      <c r="BJ80" s="38"/>
      <c r="BL80" s="121"/>
      <c r="BM80" s="121"/>
      <c r="BN80" s="121"/>
      <c r="BO80" s="38"/>
      <c r="BP80" s="38"/>
      <c r="BQ80" s="38"/>
      <c r="BR80" s="38"/>
      <c r="BS80" s="38"/>
      <c r="BU80" s="121"/>
      <c r="BV80" s="121"/>
      <c r="BW80" s="121"/>
      <c r="BX80" s="38"/>
      <c r="BY80" s="38"/>
      <c r="BZ80" s="38"/>
      <c r="CA80" s="38"/>
      <c r="CB80" s="38"/>
      <c r="CD80" s="121"/>
      <c r="CE80" s="121"/>
      <c r="CF80" s="121"/>
      <c r="CG80" s="38"/>
      <c r="CH80" s="38"/>
      <c r="CI80" s="38"/>
      <c r="CJ80" s="38"/>
      <c r="CK80" s="38"/>
      <c r="CM80" s="121"/>
      <c r="CN80" s="121"/>
      <c r="CO80" s="121"/>
      <c r="CP80" s="38"/>
      <c r="CQ80" s="38"/>
      <c r="CR80" s="38"/>
      <c r="CS80" s="38"/>
      <c r="CT80" s="38"/>
      <c r="CV80" s="121"/>
      <c r="CW80" s="121"/>
      <c r="CX80" s="121"/>
      <c r="CY80" s="38"/>
      <c r="CZ80" s="38"/>
      <c r="DA80" s="38"/>
      <c r="DB80" s="38"/>
      <c r="DC80" s="38"/>
      <c r="DE80" s="121"/>
      <c r="DF80" s="121"/>
      <c r="DG80" s="121"/>
      <c r="DH80" s="38"/>
      <c r="DI80" s="38"/>
      <c r="DJ80" s="38"/>
      <c r="DK80" s="38"/>
      <c r="DL80" s="38"/>
    </row>
    <row r="81" spans="1:116" ht="17.100000000000001" customHeight="1" x14ac:dyDescent="0.2">
      <c r="A81" s="121"/>
      <c r="B81" s="121"/>
      <c r="C81" s="121"/>
      <c r="D81" s="38"/>
      <c r="E81" s="38"/>
      <c r="F81" s="38"/>
      <c r="G81" s="38"/>
      <c r="H81" s="38"/>
      <c r="J81" s="121"/>
      <c r="K81" s="121"/>
      <c r="L81" s="121"/>
      <c r="M81" s="38"/>
      <c r="N81" s="38"/>
      <c r="O81" s="38"/>
      <c r="P81" s="38"/>
      <c r="Q81" s="38"/>
      <c r="S81" s="121"/>
      <c r="T81" s="121"/>
      <c r="U81" s="121"/>
      <c r="V81" s="38"/>
      <c r="W81" s="38"/>
      <c r="X81" s="38"/>
      <c r="Y81" s="38"/>
      <c r="Z81" s="38"/>
      <c r="AB81" s="121"/>
      <c r="AC81" s="121"/>
      <c r="AD81" s="121"/>
      <c r="AE81" s="38"/>
      <c r="AF81" s="38"/>
      <c r="AG81" s="38"/>
      <c r="AH81" s="38"/>
      <c r="AI81" s="38"/>
      <c r="AK81" s="121"/>
      <c r="AL81" s="121"/>
      <c r="AM81" s="121"/>
      <c r="AN81" s="38"/>
      <c r="AO81" s="38"/>
      <c r="AP81" s="38"/>
      <c r="AQ81" s="38"/>
      <c r="AR81" s="38"/>
      <c r="AT81" s="121"/>
      <c r="AU81" s="121"/>
      <c r="AV81" s="121"/>
      <c r="AW81" s="38"/>
      <c r="AX81" s="38"/>
      <c r="AY81" s="38"/>
      <c r="AZ81" s="38"/>
      <c r="BA81" s="38"/>
      <c r="BC81" s="121"/>
      <c r="BD81" s="121"/>
      <c r="BE81" s="121"/>
      <c r="BF81" s="38"/>
      <c r="BG81" s="38"/>
      <c r="BH81" s="38"/>
      <c r="BI81" s="38"/>
      <c r="BJ81" s="38"/>
      <c r="BL81" s="121"/>
      <c r="BM81" s="121"/>
      <c r="BN81" s="121"/>
      <c r="BO81" s="38"/>
      <c r="BP81" s="38"/>
      <c r="BQ81" s="38"/>
      <c r="BR81" s="38"/>
      <c r="BS81" s="38"/>
      <c r="BU81" s="121"/>
      <c r="BV81" s="121"/>
      <c r="BW81" s="121"/>
      <c r="BX81" s="38"/>
      <c r="BY81" s="38"/>
      <c r="BZ81" s="38"/>
      <c r="CA81" s="38"/>
      <c r="CB81" s="38"/>
      <c r="CD81" s="121"/>
      <c r="CE81" s="121"/>
      <c r="CF81" s="121"/>
      <c r="CG81" s="38"/>
      <c r="CH81" s="38"/>
      <c r="CI81" s="38"/>
      <c r="CJ81" s="38"/>
      <c r="CK81" s="38"/>
      <c r="CM81" s="121"/>
      <c r="CN81" s="121"/>
      <c r="CO81" s="121"/>
      <c r="CP81" s="38"/>
      <c r="CQ81" s="38"/>
      <c r="CR81" s="38"/>
      <c r="CS81" s="38"/>
      <c r="CT81" s="38"/>
      <c r="CV81" s="121"/>
      <c r="CW81" s="121"/>
      <c r="CX81" s="121"/>
      <c r="CY81" s="38"/>
      <c r="CZ81" s="38"/>
      <c r="DA81" s="38"/>
      <c r="DB81" s="38"/>
      <c r="DC81" s="38"/>
      <c r="DE81" s="121"/>
      <c r="DF81" s="121"/>
      <c r="DG81" s="121"/>
      <c r="DH81" s="38"/>
      <c r="DI81" s="38"/>
      <c r="DJ81" s="38"/>
      <c r="DK81" s="38"/>
      <c r="DL81" s="38"/>
    </row>
    <row r="82" spans="1:116" ht="17.100000000000001" customHeight="1" x14ac:dyDescent="0.2">
      <c r="A82" s="121"/>
      <c r="B82" s="121"/>
      <c r="C82" s="121"/>
      <c r="D82" s="38"/>
      <c r="E82" s="38"/>
      <c r="F82" s="38"/>
      <c r="G82" s="38"/>
      <c r="H82" s="38"/>
      <c r="J82" s="121"/>
      <c r="K82" s="121"/>
      <c r="L82" s="121"/>
      <c r="M82" s="38"/>
      <c r="N82" s="38"/>
      <c r="O82" s="38"/>
      <c r="P82" s="38"/>
      <c r="Q82" s="38"/>
      <c r="S82" s="121"/>
      <c r="T82" s="121"/>
      <c r="U82" s="121"/>
      <c r="V82" s="38"/>
      <c r="W82" s="38"/>
      <c r="X82" s="38"/>
      <c r="Y82" s="38"/>
      <c r="Z82" s="38"/>
      <c r="AB82" s="121"/>
      <c r="AC82" s="121"/>
      <c r="AD82" s="121"/>
      <c r="AE82" s="38"/>
      <c r="AF82" s="38"/>
      <c r="AG82" s="38"/>
      <c r="AH82" s="38"/>
      <c r="AI82" s="38"/>
      <c r="AK82" s="121"/>
      <c r="AL82" s="121"/>
      <c r="AM82" s="121"/>
      <c r="AN82" s="38"/>
      <c r="AO82" s="38"/>
      <c r="AP82" s="38"/>
      <c r="AQ82" s="38"/>
      <c r="AR82" s="38"/>
      <c r="AT82" s="121"/>
      <c r="AU82" s="121"/>
      <c r="AV82" s="121"/>
      <c r="AW82" s="38"/>
      <c r="AX82" s="38"/>
      <c r="AY82" s="38"/>
      <c r="AZ82" s="38"/>
      <c r="BA82" s="38"/>
      <c r="BC82" s="121"/>
      <c r="BD82" s="121"/>
      <c r="BE82" s="121"/>
      <c r="BF82" s="38"/>
      <c r="BG82" s="38"/>
      <c r="BH82" s="38"/>
      <c r="BI82" s="38"/>
      <c r="BJ82" s="38"/>
      <c r="BL82" s="121"/>
      <c r="BM82" s="121"/>
      <c r="BN82" s="121"/>
      <c r="BO82" s="38"/>
      <c r="BP82" s="38"/>
      <c r="BQ82" s="38"/>
      <c r="BR82" s="38"/>
      <c r="BS82" s="38"/>
      <c r="BU82" s="121"/>
      <c r="BV82" s="121"/>
      <c r="BW82" s="121"/>
      <c r="BX82" s="38"/>
      <c r="BY82" s="38"/>
      <c r="BZ82" s="38"/>
      <c r="CA82" s="38"/>
      <c r="CB82" s="38"/>
      <c r="CD82" s="121"/>
      <c r="CE82" s="121"/>
      <c r="CF82" s="121"/>
      <c r="CG82" s="38"/>
      <c r="CH82" s="38"/>
      <c r="CI82" s="38"/>
      <c r="CJ82" s="38"/>
      <c r="CK82" s="38"/>
      <c r="CM82" s="121"/>
      <c r="CN82" s="121"/>
      <c r="CO82" s="121"/>
      <c r="CP82" s="38"/>
      <c r="CQ82" s="38"/>
      <c r="CR82" s="38"/>
      <c r="CS82" s="38"/>
      <c r="CT82" s="38"/>
      <c r="CV82" s="121"/>
      <c r="CW82" s="121"/>
      <c r="CX82" s="121"/>
      <c r="CY82" s="38"/>
      <c r="CZ82" s="38"/>
      <c r="DA82" s="38"/>
      <c r="DB82" s="38"/>
      <c r="DC82" s="38"/>
      <c r="DE82" s="121"/>
      <c r="DF82" s="121"/>
      <c r="DG82" s="121"/>
      <c r="DH82" s="38"/>
      <c r="DI82" s="38"/>
      <c r="DJ82" s="38"/>
      <c r="DK82" s="38"/>
      <c r="DL82" s="38"/>
    </row>
    <row r="83" spans="1:116" ht="17.100000000000001" customHeight="1" x14ac:dyDescent="0.2">
      <c r="A83" s="121"/>
      <c r="B83" s="121"/>
      <c r="C83" s="121"/>
      <c r="D83" s="38"/>
      <c r="E83" s="38"/>
      <c r="F83" s="38"/>
      <c r="G83" s="38"/>
      <c r="H83" s="38"/>
      <c r="J83" s="121"/>
      <c r="K83" s="121"/>
      <c r="L83" s="121"/>
      <c r="M83" s="38"/>
      <c r="N83" s="38"/>
      <c r="O83" s="38"/>
      <c r="P83" s="38"/>
      <c r="Q83" s="38"/>
      <c r="S83" s="121"/>
      <c r="T83" s="121"/>
      <c r="U83" s="121"/>
      <c r="V83" s="38"/>
      <c r="W83" s="38"/>
      <c r="X83" s="38"/>
      <c r="Y83" s="38"/>
      <c r="Z83" s="38"/>
      <c r="AB83" s="121"/>
      <c r="AC83" s="121"/>
      <c r="AD83" s="121"/>
      <c r="AE83" s="38"/>
      <c r="AF83" s="38"/>
      <c r="AG83" s="38"/>
      <c r="AH83" s="38"/>
      <c r="AI83" s="38"/>
      <c r="AK83" s="121"/>
      <c r="AL83" s="121"/>
      <c r="AM83" s="121"/>
      <c r="AN83" s="38"/>
      <c r="AO83" s="38"/>
      <c r="AP83" s="38"/>
      <c r="AQ83" s="38"/>
      <c r="AR83" s="38"/>
      <c r="AT83" s="121"/>
      <c r="AU83" s="121"/>
      <c r="AV83" s="121"/>
      <c r="AW83" s="38"/>
      <c r="AX83" s="38"/>
      <c r="AY83" s="38"/>
      <c r="AZ83" s="38"/>
      <c r="BA83" s="38"/>
      <c r="BC83" s="121"/>
      <c r="BD83" s="121"/>
      <c r="BE83" s="121"/>
      <c r="BF83" s="38"/>
      <c r="BG83" s="38"/>
      <c r="BH83" s="38"/>
      <c r="BI83" s="38"/>
      <c r="BJ83" s="38"/>
      <c r="BL83" s="121"/>
      <c r="BM83" s="121"/>
      <c r="BN83" s="121"/>
      <c r="BO83" s="38"/>
      <c r="BP83" s="38"/>
      <c r="BQ83" s="38"/>
      <c r="BR83" s="38"/>
      <c r="BS83" s="38"/>
      <c r="BU83" s="121"/>
      <c r="BV83" s="121"/>
      <c r="BW83" s="121"/>
      <c r="BX83" s="38"/>
      <c r="BY83" s="38"/>
      <c r="BZ83" s="38"/>
      <c r="CA83" s="38"/>
      <c r="CB83" s="38"/>
      <c r="CD83" s="121"/>
      <c r="CE83" s="121"/>
      <c r="CF83" s="121"/>
      <c r="CG83" s="38"/>
      <c r="CH83" s="38"/>
      <c r="CI83" s="38"/>
      <c r="CJ83" s="38"/>
      <c r="CK83" s="38"/>
      <c r="CM83" s="121"/>
      <c r="CN83" s="121"/>
      <c r="CO83" s="121"/>
      <c r="CP83" s="38"/>
      <c r="CQ83" s="38"/>
      <c r="CR83" s="38"/>
      <c r="CS83" s="38"/>
      <c r="CT83" s="38"/>
      <c r="CV83" s="121"/>
      <c r="CW83" s="121"/>
      <c r="CX83" s="121"/>
      <c r="CY83" s="38"/>
      <c r="CZ83" s="38"/>
      <c r="DA83" s="38"/>
      <c r="DB83" s="38"/>
      <c r="DC83" s="38"/>
      <c r="DE83" s="121"/>
      <c r="DF83" s="121"/>
      <c r="DG83" s="121"/>
      <c r="DH83" s="38"/>
      <c r="DI83" s="38"/>
      <c r="DJ83" s="38"/>
      <c r="DK83" s="38"/>
      <c r="DL83" s="38"/>
    </row>
    <row r="84" spans="1:116" ht="17.100000000000001" customHeight="1" x14ac:dyDescent="0.2">
      <c r="A84" s="121"/>
      <c r="B84" s="121"/>
      <c r="C84" s="121"/>
      <c r="D84" s="38"/>
      <c r="E84" s="38"/>
      <c r="F84" s="38"/>
      <c r="G84" s="38"/>
      <c r="H84" s="38"/>
      <c r="J84" s="121"/>
      <c r="K84" s="121"/>
      <c r="L84" s="121"/>
      <c r="M84" s="38"/>
      <c r="N84" s="38"/>
      <c r="O84" s="38"/>
      <c r="P84" s="38"/>
      <c r="Q84" s="38"/>
      <c r="S84" s="121"/>
      <c r="T84" s="121"/>
      <c r="U84" s="121"/>
      <c r="V84" s="38"/>
      <c r="W84" s="38"/>
      <c r="X84" s="38"/>
      <c r="Y84" s="38"/>
      <c r="Z84" s="38"/>
      <c r="AB84" s="121"/>
      <c r="AC84" s="121"/>
      <c r="AD84" s="121"/>
      <c r="AE84" s="38"/>
      <c r="AF84" s="38"/>
      <c r="AG84" s="38"/>
      <c r="AH84" s="38"/>
      <c r="AI84" s="38"/>
      <c r="AK84" s="121"/>
      <c r="AL84" s="121"/>
      <c r="AM84" s="121"/>
      <c r="AN84" s="38"/>
      <c r="AO84" s="38"/>
      <c r="AP84" s="38"/>
      <c r="AQ84" s="38"/>
      <c r="AR84" s="38"/>
      <c r="AT84" s="121"/>
      <c r="AU84" s="121"/>
      <c r="AV84" s="121"/>
      <c r="AW84" s="38"/>
      <c r="AX84" s="38"/>
      <c r="AY84" s="38"/>
      <c r="AZ84" s="38"/>
      <c r="BA84" s="38"/>
      <c r="BC84" s="121"/>
      <c r="BD84" s="121"/>
      <c r="BE84" s="121"/>
      <c r="BF84" s="38"/>
      <c r="BG84" s="38"/>
      <c r="BH84" s="38"/>
      <c r="BI84" s="38"/>
      <c r="BJ84" s="38"/>
      <c r="BL84" s="121"/>
      <c r="BM84" s="121"/>
      <c r="BN84" s="121"/>
      <c r="BO84" s="38"/>
      <c r="BP84" s="38"/>
      <c r="BQ84" s="38"/>
      <c r="BR84" s="38"/>
      <c r="BS84" s="38"/>
      <c r="BU84" s="121"/>
      <c r="BV84" s="121"/>
      <c r="BW84" s="121"/>
      <c r="BX84" s="38"/>
      <c r="BY84" s="38"/>
      <c r="BZ84" s="38"/>
      <c r="CA84" s="38"/>
      <c r="CB84" s="38"/>
      <c r="CD84" s="121"/>
      <c r="CE84" s="121"/>
      <c r="CF84" s="121"/>
      <c r="CG84" s="38"/>
      <c r="CH84" s="38"/>
      <c r="CI84" s="38"/>
      <c r="CJ84" s="38"/>
      <c r="CK84" s="38"/>
      <c r="CM84" s="121"/>
      <c r="CN84" s="121"/>
      <c r="CO84" s="121"/>
      <c r="CP84" s="38"/>
      <c r="CQ84" s="38"/>
      <c r="CR84" s="38"/>
      <c r="CS84" s="38"/>
      <c r="CT84" s="38"/>
      <c r="CV84" s="121"/>
      <c r="CW84" s="121"/>
      <c r="CX84" s="121"/>
      <c r="CY84" s="38"/>
      <c r="CZ84" s="38"/>
      <c r="DA84" s="38"/>
      <c r="DB84" s="38"/>
      <c r="DC84" s="38"/>
      <c r="DE84" s="121"/>
      <c r="DF84" s="121"/>
      <c r="DG84" s="121"/>
      <c r="DH84" s="38"/>
      <c r="DI84" s="38"/>
      <c r="DJ84" s="38"/>
      <c r="DK84" s="38"/>
      <c r="DL84" s="38"/>
    </row>
    <row r="85" spans="1:116" ht="17.100000000000001" customHeight="1" x14ac:dyDescent="0.2">
      <c r="D85" s="38"/>
      <c r="E85" s="38"/>
      <c r="F85" s="38"/>
      <c r="G85" s="38"/>
      <c r="H85" s="38"/>
      <c r="J85" s="78"/>
      <c r="K85" s="78"/>
      <c r="L85" s="78"/>
      <c r="M85" s="38"/>
      <c r="N85" s="38"/>
      <c r="O85" s="38"/>
      <c r="P85" s="38"/>
      <c r="Q85" s="38"/>
      <c r="S85" s="78"/>
      <c r="T85" s="78"/>
      <c r="U85" s="78"/>
      <c r="V85" s="38"/>
      <c r="W85" s="38"/>
      <c r="X85" s="38"/>
      <c r="Y85" s="38"/>
      <c r="Z85" s="38"/>
      <c r="AB85" s="78"/>
      <c r="AC85" s="78"/>
      <c r="AD85" s="78"/>
      <c r="AE85" s="38"/>
      <c r="AF85" s="38"/>
      <c r="AG85" s="38"/>
      <c r="AH85" s="38"/>
      <c r="AI85" s="38"/>
      <c r="AK85" s="78"/>
      <c r="AL85" s="78"/>
      <c r="AM85" s="78"/>
      <c r="AN85" s="38"/>
      <c r="AO85" s="38"/>
      <c r="AP85" s="38"/>
      <c r="AQ85" s="38"/>
      <c r="AR85" s="38"/>
      <c r="AT85" s="78"/>
      <c r="AU85" s="78"/>
      <c r="AV85" s="78"/>
      <c r="AW85" s="38"/>
      <c r="AX85" s="38"/>
      <c r="AY85" s="38"/>
      <c r="AZ85" s="38"/>
      <c r="BA85" s="38"/>
      <c r="BC85" s="78"/>
      <c r="BD85" s="78"/>
      <c r="BE85" s="78"/>
      <c r="BF85" s="38"/>
      <c r="BG85" s="38"/>
      <c r="BH85" s="38"/>
      <c r="BI85" s="38"/>
      <c r="BJ85" s="38"/>
      <c r="BL85" s="78"/>
      <c r="BM85" s="78"/>
      <c r="BN85" s="78"/>
      <c r="BO85" s="38"/>
      <c r="BP85" s="38"/>
      <c r="BQ85" s="38"/>
      <c r="BR85" s="38"/>
      <c r="BS85" s="38"/>
      <c r="BU85" s="78"/>
      <c r="BV85" s="78"/>
      <c r="BW85" s="78"/>
      <c r="BX85" s="38"/>
      <c r="BY85" s="38"/>
      <c r="BZ85" s="38"/>
      <c r="CA85" s="38"/>
      <c r="CB85" s="38"/>
      <c r="CD85" s="78"/>
      <c r="CE85" s="78"/>
      <c r="CF85" s="78"/>
      <c r="CG85" s="38"/>
      <c r="CH85" s="38"/>
      <c r="CI85" s="38"/>
      <c r="CJ85" s="38"/>
      <c r="CK85" s="38"/>
      <c r="CM85" s="78"/>
      <c r="CN85" s="78"/>
      <c r="CO85" s="78"/>
      <c r="CP85" s="38"/>
      <c r="CQ85" s="38"/>
      <c r="CR85" s="38"/>
      <c r="CS85" s="38"/>
      <c r="CT85" s="38"/>
      <c r="CV85" s="78"/>
      <c r="CW85" s="78"/>
      <c r="CX85" s="78"/>
      <c r="CY85" s="38"/>
      <c r="CZ85" s="38"/>
      <c r="DA85" s="38"/>
      <c r="DB85" s="38"/>
      <c r="DC85" s="38"/>
      <c r="DE85" s="78"/>
      <c r="DF85" s="78"/>
      <c r="DG85" s="78"/>
      <c r="DH85" s="38"/>
      <c r="DI85" s="38"/>
      <c r="DJ85" s="38"/>
      <c r="DK85" s="38"/>
      <c r="DL85" s="38"/>
    </row>
    <row r="86" spans="1:116" ht="17.100000000000001" customHeight="1" x14ac:dyDescent="0.2">
      <c r="D86" s="38"/>
      <c r="E86" s="38"/>
      <c r="F86" s="38"/>
      <c r="G86" s="38"/>
      <c r="H86" s="38"/>
      <c r="J86" s="78"/>
      <c r="K86" s="78"/>
      <c r="L86" s="78"/>
      <c r="M86" s="38"/>
      <c r="N86" s="38"/>
      <c r="O86" s="38"/>
      <c r="P86" s="38"/>
      <c r="Q86" s="38"/>
      <c r="S86" s="78"/>
      <c r="T86" s="78"/>
      <c r="U86" s="78"/>
      <c r="V86" s="38"/>
      <c r="W86" s="38"/>
      <c r="X86" s="38"/>
      <c r="Y86" s="38"/>
      <c r="Z86" s="38"/>
      <c r="AB86" s="78"/>
      <c r="AC86" s="78"/>
      <c r="AD86" s="78"/>
      <c r="AE86" s="38"/>
      <c r="AF86" s="38"/>
      <c r="AG86" s="38"/>
      <c r="AH86" s="38"/>
      <c r="AI86" s="38"/>
      <c r="AK86" s="78"/>
      <c r="AL86" s="78"/>
      <c r="AM86" s="78"/>
      <c r="AN86" s="38"/>
      <c r="AO86" s="38"/>
      <c r="AP86" s="38"/>
      <c r="AQ86" s="38"/>
      <c r="AR86" s="38"/>
      <c r="AT86" s="78"/>
      <c r="AU86" s="78"/>
      <c r="AV86" s="78"/>
      <c r="AW86" s="38"/>
      <c r="AX86" s="38"/>
      <c r="AY86" s="38"/>
      <c r="AZ86" s="38"/>
      <c r="BA86" s="38"/>
      <c r="BC86" s="78"/>
      <c r="BD86" s="78"/>
      <c r="BE86" s="78"/>
      <c r="BF86" s="38"/>
      <c r="BG86" s="38"/>
      <c r="BH86" s="38"/>
      <c r="BI86" s="38"/>
      <c r="BJ86" s="38"/>
      <c r="BL86" s="78"/>
      <c r="BM86" s="78"/>
      <c r="BN86" s="78"/>
      <c r="BO86" s="38"/>
      <c r="BP86" s="38"/>
      <c r="BQ86" s="38"/>
      <c r="BR86" s="38"/>
      <c r="BS86" s="38"/>
      <c r="BU86" s="78"/>
      <c r="BV86" s="78"/>
      <c r="BW86" s="78"/>
      <c r="BX86" s="38"/>
      <c r="BY86" s="38"/>
      <c r="BZ86" s="38"/>
      <c r="CA86" s="38"/>
      <c r="CB86" s="38"/>
      <c r="CD86" s="78"/>
      <c r="CE86" s="78"/>
      <c r="CF86" s="78"/>
      <c r="CG86" s="38"/>
      <c r="CH86" s="38"/>
      <c r="CI86" s="38"/>
      <c r="CJ86" s="38"/>
      <c r="CK86" s="38"/>
      <c r="CM86" s="78"/>
      <c r="CN86" s="78"/>
      <c r="CO86" s="78"/>
      <c r="CP86" s="38"/>
      <c r="CQ86" s="38"/>
      <c r="CR86" s="38"/>
      <c r="CS86" s="38"/>
      <c r="CT86" s="38"/>
      <c r="CV86" s="78"/>
      <c r="CW86" s="78"/>
      <c r="CX86" s="78"/>
      <c r="CY86" s="38"/>
      <c r="CZ86" s="38"/>
      <c r="DA86" s="38"/>
      <c r="DB86" s="38"/>
      <c r="DC86" s="38"/>
      <c r="DE86" s="78"/>
      <c r="DF86" s="78"/>
      <c r="DG86" s="78"/>
      <c r="DH86" s="38"/>
      <c r="DI86" s="38"/>
      <c r="DJ86" s="38"/>
      <c r="DK86" s="38"/>
      <c r="DL86" s="38"/>
    </row>
    <row r="87" spans="1:116" ht="17.100000000000001" customHeight="1" x14ac:dyDescent="0.2">
      <c r="D87" s="38"/>
      <c r="E87" s="38"/>
      <c r="F87" s="38"/>
      <c r="G87" s="38"/>
      <c r="H87" s="38"/>
      <c r="J87" s="78"/>
      <c r="K87" s="78"/>
      <c r="L87" s="78"/>
      <c r="M87" s="38"/>
      <c r="N87" s="38"/>
      <c r="O87" s="38"/>
      <c r="P87" s="38"/>
      <c r="Q87" s="38"/>
      <c r="S87" s="78"/>
      <c r="T87" s="78"/>
      <c r="U87" s="78"/>
      <c r="V87" s="38"/>
      <c r="W87" s="38"/>
      <c r="X87" s="38"/>
      <c r="Y87" s="38"/>
      <c r="Z87" s="38"/>
      <c r="AB87" s="78"/>
      <c r="AC87" s="78"/>
      <c r="AD87" s="78"/>
      <c r="AE87" s="38"/>
      <c r="AF87" s="38"/>
      <c r="AG87" s="38"/>
      <c r="AH87" s="38"/>
      <c r="AI87" s="38"/>
      <c r="AK87" s="78"/>
      <c r="AL87" s="78"/>
      <c r="AM87" s="78"/>
      <c r="AN87" s="38"/>
      <c r="AO87" s="38"/>
      <c r="AP87" s="38"/>
      <c r="AQ87" s="38"/>
      <c r="AR87" s="38"/>
      <c r="AT87" s="78"/>
      <c r="AU87" s="78"/>
      <c r="AV87" s="78"/>
      <c r="AW87" s="38"/>
      <c r="AX87" s="38"/>
      <c r="AY87" s="38"/>
      <c r="AZ87" s="38"/>
      <c r="BA87" s="38"/>
      <c r="BC87" s="78"/>
      <c r="BD87" s="78"/>
      <c r="BE87" s="78"/>
      <c r="BF87" s="38"/>
      <c r="BG87" s="38"/>
      <c r="BH87" s="38"/>
      <c r="BI87" s="38"/>
      <c r="BJ87" s="38"/>
      <c r="BL87" s="78"/>
      <c r="BM87" s="78"/>
      <c r="BN87" s="78"/>
      <c r="BO87" s="38"/>
      <c r="BP87" s="38"/>
      <c r="BQ87" s="38"/>
      <c r="BR87" s="38"/>
      <c r="BS87" s="38"/>
      <c r="BU87" s="78"/>
      <c r="BV87" s="78"/>
      <c r="BW87" s="78"/>
      <c r="BX87" s="38"/>
      <c r="BY87" s="38"/>
      <c r="BZ87" s="38"/>
      <c r="CA87" s="38"/>
      <c r="CB87" s="38"/>
      <c r="CD87" s="78"/>
      <c r="CE87" s="78"/>
      <c r="CF87" s="78"/>
      <c r="CG87" s="38"/>
      <c r="CH87" s="38"/>
      <c r="CI87" s="38"/>
      <c r="CJ87" s="38"/>
      <c r="CK87" s="38"/>
      <c r="CM87" s="78"/>
      <c r="CN87" s="78"/>
      <c r="CO87" s="78"/>
      <c r="CP87" s="38"/>
      <c r="CQ87" s="38"/>
      <c r="CR87" s="38"/>
      <c r="CS87" s="38"/>
      <c r="CT87" s="38"/>
      <c r="CV87" s="78"/>
      <c r="CW87" s="78"/>
      <c r="CX87" s="78"/>
      <c r="CY87" s="38"/>
      <c r="CZ87" s="38"/>
      <c r="DA87" s="38"/>
      <c r="DB87" s="38"/>
      <c r="DC87" s="38"/>
      <c r="DE87" s="78"/>
      <c r="DF87" s="78"/>
      <c r="DG87" s="78"/>
      <c r="DH87" s="38"/>
      <c r="DI87" s="38"/>
      <c r="DJ87" s="38"/>
      <c r="DK87" s="38"/>
      <c r="DL87" s="38"/>
    </row>
    <row r="88" spans="1:116" ht="17.100000000000001" customHeight="1" x14ac:dyDescent="0.2">
      <c r="J88" s="78"/>
      <c r="K88" s="78"/>
      <c r="L88" s="78"/>
      <c r="S88" s="78"/>
      <c r="T88" s="78"/>
      <c r="U88" s="78"/>
      <c r="AB88" s="78"/>
      <c r="AC88" s="78"/>
      <c r="AD88" s="78"/>
      <c r="AK88" s="78"/>
      <c r="AL88" s="78"/>
      <c r="AM88" s="78"/>
      <c r="AT88" s="78"/>
      <c r="AU88" s="78"/>
      <c r="AV88" s="78"/>
      <c r="BC88" s="78"/>
      <c r="BD88" s="78"/>
      <c r="BE88" s="78"/>
      <c r="BL88" s="78"/>
      <c r="BM88" s="78"/>
      <c r="BN88" s="78"/>
      <c r="BU88" s="78"/>
      <c r="BV88" s="78"/>
      <c r="BW88" s="78"/>
      <c r="CD88" s="78"/>
      <c r="CE88" s="78"/>
      <c r="CF88" s="78"/>
      <c r="CM88" s="78"/>
      <c r="CN88" s="78"/>
      <c r="CO88" s="78"/>
      <c r="CV88" s="78"/>
      <c r="CW88" s="78"/>
      <c r="CX88" s="78"/>
      <c r="DE88" s="78"/>
    </row>
    <row r="89" spans="1:116" ht="17.100000000000001" customHeight="1" x14ac:dyDescent="0.2">
      <c r="J89" s="78"/>
      <c r="K89" s="78"/>
      <c r="L89" s="78"/>
      <c r="S89" s="78"/>
      <c r="T89" s="78"/>
      <c r="U89" s="78"/>
      <c r="AB89" s="78"/>
      <c r="AC89" s="78"/>
      <c r="AD89" s="78"/>
      <c r="AK89" s="78"/>
      <c r="AL89" s="78"/>
      <c r="AM89" s="78"/>
      <c r="AT89" s="78"/>
      <c r="AU89" s="78"/>
      <c r="AV89" s="78"/>
      <c r="BC89" s="78"/>
      <c r="BD89" s="78"/>
      <c r="BE89" s="78"/>
      <c r="BL89" s="78"/>
      <c r="BM89" s="78"/>
      <c r="BN89" s="78"/>
      <c r="BU89" s="78"/>
      <c r="BV89" s="78"/>
      <c r="BW89" s="78"/>
      <c r="CD89" s="78"/>
      <c r="CE89" s="78"/>
      <c r="CF89" s="78"/>
      <c r="CM89" s="78"/>
      <c r="CN89" s="78"/>
      <c r="CO89" s="78"/>
      <c r="CV89" s="78"/>
      <c r="CW89" s="78"/>
      <c r="CX89" s="78"/>
      <c r="DE89" s="78"/>
    </row>
    <row r="90" spans="1:116" ht="17.100000000000001" customHeight="1" x14ac:dyDescent="0.2">
      <c r="J90" s="78"/>
      <c r="K90" s="78"/>
      <c r="L90" s="78"/>
      <c r="S90" s="78"/>
      <c r="T90" s="78"/>
      <c r="U90" s="78"/>
      <c r="AB90" s="78"/>
      <c r="AC90" s="78"/>
      <c r="AD90" s="78"/>
      <c r="AK90" s="78"/>
      <c r="AL90" s="78"/>
      <c r="AM90" s="78"/>
      <c r="AT90" s="78"/>
      <c r="AU90" s="78"/>
      <c r="AV90" s="78"/>
      <c r="BC90" s="78"/>
      <c r="BD90" s="78"/>
      <c r="BE90" s="78"/>
      <c r="BL90" s="78"/>
      <c r="BM90" s="78"/>
      <c r="BN90" s="78"/>
      <c r="BU90" s="78"/>
      <c r="BV90" s="78"/>
      <c r="BW90" s="78"/>
      <c r="CD90" s="78"/>
      <c r="CE90" s="78"/>
      <c r="CF90" s="78"/>
      <c r="CM90" s="78"/>
      <c r="CN90" s="78"/>
      <c r="CO90" s="78"/>
      <c r="CV90" s="78"/>
      <c r="CW90" s="78"/>
      <c r="CX90" s="78"/>
      <c r="DE90" s="78"/>
    </row>
    <row r="91" spans="1:116" ht="17.100000000000001" customHeight="1" x14ac:dyDescent="0.2">
      <c r="J91" s="78"/>
      <c r="K91" s="78"/>
      <c r="L91" s="78"/>
      <c r="S91" s="78"/>
      <c r="T91" s="78"/>
      <c r="U91" s="78"/>
      <c r="AB91" s="78"/>
      <c r="AC91" s="78"/>
      <c r="AD91" s="78"/>
      <c r="AK91" s="78"/>
      <c r="AL91" s="78"/>
      <c r="AM91" s="78"/>
      <c r="AT91" s="78"/>
      <c r="AU91" s="78"/>
      <c r="AV91" s="78"/>
      <c r="BC91" s="78"/>
      <c r="BD91" s="78"/>
      <c r="BE91" s="78"/>
      <c r="BL91" s="78"/>
      <c r="BM91" s="78"/>
      <c r="BN91" s="78"/>
      <c r="BU91" s="78"/>
      <c r="BV91" s="78"/>
      <c r="BW91" s="78"/>
      <c r="CD91" s="78"/>
      <c r="CE91" s="78"/>
      <c r="CF91" s="78"/>
      <c r="CM91" s="78"/>
      <c r="CN91" s="78"/>
      <c r="CO91" s="78"/>
      <c r="CV91" s="78"/>
      <c r="CW91" s="78"/>
      <c r="CX91" s="78"/>
      <c r="DE91" s="78"/>
    </row>
    <row r="92" spans="1:116" ht="17.100000000000001" customHeight="1" x14ac:dyDescent="0.2">
      <c r="J92" s="78"/>
      <c r="K92" s="78"/>
      <c r="L92" s="78"/>
      <c r="S92" s="78"/>
      <c r="T92" s="78"/>
      <c r="U92" s="78"/>
      <c r="AB92" s="78"/>
      <c r="AC92" s="78"/>
      <c r="AD92" s="78"/>
      <c r="AK92" s="78"/>
      <c r="AL92" s="78"/>
      <c r="AM92" s="78"/>
      <c r="AT92" s="78"/>
      <c r="AU92" s="78"/>
      <c r="AV92" s="78"/>
      <c r="BC92" s="78"/>
      <c r="BD92" s="78"/>
      <c r="BE92" s="78"/>
      <c r="BL92" s="78"/>
      <c r="BM92" s="78"/>
      <c r="BN92" s="78"/>
      <c r="BU92" s="78"/>
      <c r="BV92" s="78"/>
      <c r="BW92" s="78"/>
      <c r="CD92" s="78"/>
      <c r="CE92" s="78"/>
      <c r="CF92" s="78"/>
      <c r="CM92" s="78"/>
      <c r="CN92" s="78"/>
      <c r="CO92" s="78"/>
      <c r="CV92" s="78"/>
      <c r="CW92" s="78"/>
      <c r="CX92" s="78"/>
      <c r="DE92" s="78"/>
    </row>
  </sheetData>
  <mergeCells count="576">
    <mergeCell ref="K39:L39"/>
    <mergeCell ref="T39:U39"/>
    <mergeCell ref="B9:C9"/>
    <mergeCell ref="A15:A19"/>
    <mergeCell ref="A20:A24"/>
    <mergeCell ref="A25:A29"/>
    <mergeCell ref="B35:B36"/>
    <mergeCell ref="B39:C39"/>
    <mergeCell ref="A3:C4"/>
    <mergeCell ref="A10:A14"/>
    <mergeCell ref="B10:B11"/>
    <mergeCell ref="B14:C14"/>
    <mergeCell ref="A5:A9"/>
    <mergeCell ref="B5:B6"/>
    <mergeCell ref="B15:B16"/>
    <mergeCell ref="B19:C19"/>
    <mergeCell ref="B20:B21"/>
    <mergeCell ref="B24:C24"/>
    <mergeCell ref="B25:B26"/>
    <mergeCell ref="B29:C29"/>
    <mergeCell ref="B30:B31"/>
    <mergeCell ref="B34:C34"/>
    <mergeCell ref="M3:O3"/>
    <mergeCell ref="K30:K31"/>
    <mergeCell ref="BU5:BU9"/>
    <mergeCell ref="BU10:BU14"/>
    <mergeCell ref="AK30:AK34"/>
    <mergeCell ref="AQ3:AQ4"/>
    <mergeCell ref="AZ3:AZ4"/>
    <mergeCell ref="AW3:AY3"/>
    <mergeCell ref="DB3:DB4"/>
    <mergeCell ref="CY3:DA3"/>
    <mergeCell ref="CA3:CA4"/>
    <mergeCell ref="CJ3:CJ4"/>
    <mergeCell ref="CG3:CI3"/>
    <mergeCell ref="BI3:BI4"/>
    <mergeCell ref="BX3:BZ3"/>
    <mergeCell ref="BV9:BW9"/>
    <mergeCell ref="BU3:BW4"/>
    <mergeCell ref="BV5:BV6"/>
    <mergeCell ref="AU9:AV9"/>
    <mergeCell ref="CS3:CS4"/>
    <mergeCell ref="CP3:CR3"/>
    <mergeCell ref="CM5:CM9"/>
    <mergeCell ref="CN9:CO9"/>
    <mergeCell ref="CW9:CX9"/>
    <mergeCell ref="CD3:CF4"/>
    <mergeCell ref="CM10:CM14"/>
    <mergeCell ref="K9:L9"/>
    <mergeCell ref="AB25:AB29"/>
    <mergeCell ref="AC29:AD29"/>
    <mergeCell ref="AN3:AP3"/>
    <mergeCell ref="AK5:AK9"/>
    <mergeCell ref="AL9:AM9"/>
    <mergeCell ref="AK10:AK14"/>
    <mergeCell ref="AL14:AM14"/>
    <mergeCell ref="AL19:AM19"/>
    <mergeCell ref="AK20:AK24"/>
    <mergeCell ref="AL24:AM24"/>
    <mergeCell ref="AK25:AK29"/>
    <mergeCell ref="AL29:AM29"/>
    <mergeCell ref="AK15:AK19"/>
    <mergeCell ref="AL5:AL6"/>
    <mergeCell ref="P3:P4"/>
    <mergeCell ref="Y3:Y4"/>
    <mergeCell ref="V3:X3"/>
    <mergeCell ref="AB3:AD4"/>
    <mergeCell ref="AC5:AC6"/>
    <mergeCell ref="AC10:AC11"/>
    <mergeCell ref="AC15:AC16"/>
    <mergeCell ref="AC20:AC21"/>
    <mergeCell ref="AC25:AC26"/>
    <mergeCell ref="AK35:AK39"/>
    <mergeCell ref="AT35:AT39"/>
    <mergeCell ref="AH3:AH4"/>
    <mergeCell ref="AE3:AG3"/>
    <mergeCell ref="BR3:BR4"/>
    <mergeCell ref="BO3:BQ3"/>
    <mergeCell ref="AL39:AM39"/>
    <mergeCell ref="BV14:BW14"/>
    <mergeCell ref="BV19:BW19"/>
    <mergeCell ref="BU20:BU24"/>
    <mergeCell ref="BV24:BW24"/>
    <mergeCell ref="BU25:BU29"/>
    <mergeCell ref="BV29:BW29"/>
    <mergeCell ref="BU15:BU19"/>
    <mergeCell ref="BV10:BV11"/>
    <mergeCell ref="BV15:BV16"/>
    <mergeCell ref="BV20:BV21"/>
    <mergeCell ref="BV25:BV26"/>
    <mergeCell ref="BV39:BW39"/>
    <mergeCell ref="AT30:AT34"/>
    <mergeCell ref="AL34:AM34"/>
    <mergeCell ref="AT10:AT14"/>
    <mergeCell ref="BU35:BU39"/>
    <mergeCell ref="AT5:AT9"/>
    <mergeCell ref="J50:J54"/>
    <mergeCell ref="K54:L54"/>
    <mergeCell ref="D3:F3"/>
    <mergeCell ref="G3:G4"/>
    <mergeCell ref="J40:J44"/>
    <mergeCell ref="K44:L44"/>
    <mergeCell ref="J45:J49"/>
    <mergeCell ref="J20:J24"/>
    <mergeCell ref="K24:L24"/>
    <mergeCell ref="J25:J29"/>
    <mergeCell ref="K29:L29"/>
    <mergeCell ref="J30:J34"/>
    <mergeCell ref="K34:L34"/>
    <mergeCell ref="J10:J14"/>
    <mergeCell ref="K14:L14"/>
    <mergeCell ref="J15:J19"/>
    <mergeCell ref="K19:L19"/>
    <mergeCell ref="J35:J39"/>
    <mergeCell ref="J5:J9"/>
    <mergeCell ref="K5:K6"/>
    <mergeCell ref="K10:K11"/>
    <mergeCell ref="K15:K16"/>
    <mergeCell ref="K20:K21"/>
    <mergeCell ref="K25:K26"/>
    <mergeCell ref="AL44:AM44"/>
    <mergeCell ref="AK45:AK49"/>
    <mergeCell ref="AK50:AK54"/>
    <mergeCell ref="AL54:AM54"/>
    <mergeCell ref="AK67:AK68"/>
    <mergeCell ref="AL67:AL68"/>
    <mergeCell ref="AM67:AM68"/>
    <mergeCell ref="AU14:AV14"/>
    <mergeCell ref="AU19:AV19"/>
    <mergeCell ref="AT15:AT19"/>
    <mergeCell ref="AU24:AV24"/>
    <mergeCell ref="AT25:AT29"/>
    <mergeCell ref="AU29:AV29"/>
    <mergeCell ref="AU44:AV44"/>
    <mergeCell ref="AT40:AT44"/>
    <mergeCell ref="AT20:AT24"/>
    <mergeCell ref="AU34:AV34"/>
    <mergeCell ref="AU39:AV39"/>
    <mergeCell ref="AT50:AT54"/>
    <mergeCell ref="AU54:AV54"/>
    <mergeCell ref="AT45:AT49"/>
    <mergeCell ref="AU64:AV64"/>
    <mergeCell ref="AL50:AL51"/>
    <mergeCell ref="AL55:AL56"/>
    <mergeCell ref="BC40:BC44"/>
    <mergeCell ref="BF3:BH3"/>
    <mergeCell ref="BC5:BC9"/>
    <mergeCell ref="BD9:BE9"/>
    <mergeCell ref="BC10:BC14"/>
    <mergeCell ref="BD14:BE14"/>
    <mergeCell ref="BD19:BE19"/>
    <mergeCell ref="BC20:BC24"/>
    <mergeCell ref="BD24:BE24"/>
    <mergeCell ref="BC25:BC29"/>
    <mergeCell ref="BD29:BE29"/>
    <mergeCell ref="BC15:BC19"/>
    <mergeCell ref="BD44:BE44"/>
    <mergeCell ref="BC3:BE4"/>
    <mergeCell ref="BD5:BD6"/>
    <mergeCell ref="BD10:BD11"/>
    <mergeCell ref="BD15:BD16"/>
    <mergeCell ref="BD20:BD21"/>
    <mergeCell ref="BD25:BD26"/>
    <mergeCell ref="BD30:BD31"/>
    <mergeCell ref="BD35:BD36"/>
    <mergeCell ref="BD40:BD41"/>
    <mergeCell ref="BD39:BE39"/>
    <mergeCell ref="BC35:BC39"/>
    <mergeCell ref="BC45:BC49"/>
    <mergeCell ref="BD73:BE73"/>
    <mergeCell ref="BC50:BC54"/>
    <mergeCell ref="BD54:BE54"/>
    <mergeCell ref="BD64:BE64"/>
    <mergeCell ref="BM9:BN9"/>
    <mergeCell ref="BL10:BL14"/>
    <mergeCell ref="BM14:BN14"/>
    <mergeCell ref="BM19:BN19"/>
    <mergeCell ref="BL15:BL19"/>
    <mergeCell ref="BL5:BL9"/>
    <mergeCell ref="BM24:BN24"/>
    <mergeCell ref="BL25:BL29"/>
    <mergeCell ref="BM29:BN29"/>
    <mergeCell ref="BM44:BN44"/>
    <mergeCell ref="BL40:BL44"/>
    <mergeCell ref="BL20:BL24"/>
    <mergeCell ref="BL30:BL34"/>
    <mergeCell ref="BL50:BL54"/>
    <mergeCell ref="BM54:BN54"/>
    <mergeCell ref="BL45:BL49"/>
    <mergeCell ref="BM64:BN64"/>
    <mergeCell ref="BD34:BE34"/>
    <mergeCell ref="BC30:BC34"/>
    <mergeCell ref="BU45:BU49"/>
    <mergeCell ref="BV59:BW59"/>
    <mergeCell ref="BV64:BW64"/>
    <mergeCell ref="BU67:BU68"/>
    <mergeCell ref="BV67:BV68"/>
    <mergeCell ref="BW67:BW68"/>
    <mergeCell ref="CE9:CF9"/>
    <mergeCell ref="CD10:CD14"/>
    <mergeCell ref="CE14:CF14"/>
    <mergeCell ref="CE19:CF19"/>
    <mergeCell ref="CD15:CD19"/>
    <mergeCell ref="CD5:CD9"/>
    <mergeCell ref="CE24:CF24"/>
    <mergeCell ref="CD25:CD29"/>
    <mergeCell ref="CE29:CF29"/>
    <mergeCell ref="CE44:CF44"/>
    <mergeCell ref="CD40:CD44"/>
    <mergeCell ref="BU50:BU54"/>
    <mergeCell ref="BV54:BW54"/>
    <mergeCell ref="BU40:BU44"/>
    <mergeCell ref="BU60:BU64"/>
    <mergeCell ref="CD60:CD64"/>
    <mergeCell ref="CE5:CE6"/>
    <mergeCell ref="CE10:CE11"/>
    <mergeCell ref="CN14:CO14"/>
    <mergeCell ref="CN19:CO19"/>
    <mergeCell ref="CM20:CM24"/>
    <mergeCell ref="CN24:CO24"/>
    <mergeCell ref="CM25:CM29"/>
    <mergeCell ref="CN29:CO29"/>
    <mergeCell ref="CM15:CM19"/>
    <mergeCell ref="CM3:CO4"/>
    <mergeCell ref="CN5:CN6"/>
    <mergeCell ref="CN10:CN11"/>
    <mergeCell ref="CN15:CN16"/>
    <mergeCell ref="CV10:CV14"/>
    <mergeCell ref="CW14:CX14"/>
    <mergeCell ref="CW19:CX19"/>
    <mergeCell ref="CV15:CV19"/>
    <mergeCell ref="CV5:CV9"/>
    <mergeCell ref="CW24:CX24"/>
    <mergeCell ref="CV25:CV29"/>
    <mergeCell ref="CW29:CX29"/>
    <mergeCell ref="DF64:DG64"/>
    <mergeCell ref="DF59:DG59"/>
    <mergeCell ref="CW44:CX44"/>
    <mergeCell ref="CV40:CV44"/>
    <mergeCell ref="CV20:CV24"/>
    <mergeCell ref="CV35:CV39"/>
    <mergeCell ref="CW39:CX39"/>
    <mergeCell ref="CV50:CV54"/>
    <mergeCell ref="CW54:CX54"/>
    <mergeCell ref="CV45:CV49"/>
    <mergeCell ref="CV30:CV34"/>
    <mergeCell ref="DF39:DG39"/>
    <mergeCell ref="DE25:DE29"/>
    <mergeCell ref="DF29:DG29"/>
    <mergeCell ref="DE35:DE39"/>
    <mergeCell ref="DE15:DE19"/>
    <mergeCell ref="DF44:DG44"/>
    <mergeCell ref="DE45:DE49"/>
    <mergeCell ref="DF49:DG49"/>
    <mergeCell ref="DE50:DE54"/>
    <mergeCell ref="DF54:DG54"/>
    <mergeCell ref="DE40:DE44"/>
    <mergeCell ref="DH3:DJ3"/>
    <mergeCell ref="DE5:DE9"/>
    <mergeCell ref="DF9:DG9"/>
    <mergeCell ref="DE10:DE14"/>
    <mergeCell ref="DF14:DG14"/>
    <mergeCell ref="DF3:DF4"/>
    <mergeCell ref="DE3:DE4"/>
    <mergeCell ref="DF19:DG19"/>
    <mergeCell ref="DE20:DE24"/>
    <mergeCell ref="DF24:DG24"/>
    <mergeCell ref="DH67:DJ67"/>
    <mergeCell ref="DE67:DE68"/>
    <mergeCell ref="DF67:DF68"/>
    <mergeCell ref="DG67:DG68"/>
    <mergeCell ref="DK3:DK4"/>
    <mergeCell ref="DG3:DG4"/>
    <mergeCell ref="A67:A68"/>
    <mergeCell ref="B67:B68"/>
    <mergeCell ref="C67:C68"/>
    <mergeCell ref="B40:B41"/>
    <mergeCell ref="B44:C44"/>
    <mergeCell ref="B50:B51"/>
    <mergeCell ref="B54:C54"/>
    <mergeCell ref="A30:A34"/>
    <mergeCell ref="A35:A39"/>
    <mergeCell ref="A50:A54"/>
    <mergeCell ref="A40:A44"/>
    <mergeCell ref="A45:A49"/>
    <mergeCell ref="BU30:BU34"/>
    <mergeCell ref="CD30:CD34"/>
    <mergeCell ref="BM34:BN34"/>
    <mergeCell ref="BV34:BW34"/>
    <mergeCell ref="DF34:DG34"/>
    <mergeCell ref="DE30:DE34"/>
    <mergeCell ref="CN34:CO34"/>
    <mergeCell ref="CW34:CX34"/>
    <mergeCell ref="D67:F67"/>
    <mergeCell ref="G67:G68"/>
    <mergeCell ref="J67:J68"/>
    <mergeCell ref="K67:K68"/>
    <mergeCell ref="L67:L68"/>
    <mergeCell ref="M67:O67"/>
    <mergeCell ref="P67:P68"/>
    <mergeCell ref="S67:S68"/>
    <mergeCell ref="T67:T68"/>
    <mergeCell ref="U67:U68"/>
    <mergeCell ref="V67:X67"/>
    <mergeCell ref="Y67:Y68"/>
    <mergeCell ref="AB67:AB68"/>
    <mergeCell ref="AC67:AC68"/>
    <mergeCell ref="AD67:AD68"/>
    <mergeCell ref="AE67:AG67"/>
    <mergeCell ref="AH67:AH68"/>
    <mergeCell ref="CJ67:CJ68"/>
    <mergeCell ref="CW64:CX64"/>
    <mergeCell ref="CS67:CS68"/>
    <mergeCell ref="CV67:CV68"/>
    <mergeCell ref="CW67:CW68"/>
    <mergeCell ref="CX67:CX68"/>
    <mergeCell ref="CY67:DA67"/>
    <mergeCell ref="DB67:DB68"/>
    <mergeCell ref="AN67:AP67"/>
    <mergeCell ref="AQ67:AQ68"/>
    <mergeCell ref="AT67:AT68"/>
    <mergeCell ref="AU67:AU68"/>
    <mergeCell ref="AV67:AV68"/>
    <mergeCell ref="AW67:AY67"/>
    <mergeCell ref="AZ67:AZ68"/>
    <mergeCell ref="BC67:BC68"/>
    <mergeCell ref="BD67:BD68"/>
    <mergeCell ref="BE67:BE68"/>
    <mergeCell ref="BF67:BH67"/>
    <mergeCell ref="BI67:BI68"/>
    <mergeCell ref="BL67:BL68"/>
    <mergeCell ref="BM67:BM68"/>
    <mergeCell ref="BN67:BN68"/>
    <mergeCell ref="BO67:BQ67"/>
    <mergeCell ref="BR67:BR68"/>
    <mergeCell ref="CF67:CF68"/>
    <mergeCell ref="CP67:CR67"/>
    <mergeCell ref="DK67:DK68"/>
    <mergeCell ref="A69:A73"/>
    <mergeCell ref="B69:B70"/>
    <mergeCell ref="J69:J73"/>
    <mergeCell ref="S69:S73"/>
    <mergeCell ref="AB69:AB73"/>
    <mergeCell ref="AK69:AK73"/>
    <mergeCell ref="AT69:AT73"/>
    <mergeCell ref="BC69:BC73"/>
    <mergeCell ref="BL69:BL73"/>
    <mergeCell ref="BU69:BU73"/>
    <mergeCell ref="CD69:CD73"/>
    <mergeCell ref="CM69:CM73"/>
    <mergeCell ref="CV69:CV73"/>
    <mergeCell ref="DE69:DE73"/>
    <mergeCell ref="B73:C73"/>
    <mergeCell ref="K73:L73"/>
    <mergeCell ref="T73:U73"/>
    <mergeCell ref="AC73:AD73"/>
    <mergeCell ref="AL73:AM73"/>
    <mergeCell ref="AU73:AV73"/>
    <mergeCell ref="BM73:BN73"/>
    <mergeCell ref="BV73:BW73"/>
    <mergeCell ref="CE73:CF73"/>
    <mergeCell ref="CN73:CO73"/>
    <mergeCell ref="CW73:CX73"/>
    <mergeCell ref="DF73:DG73"/>
    <mergeCell ref="BX67:BZ67"/>
    <mergeCell ref="CA67:CA68"/>
    <mergeCell ref="CD67:CD68"/>
    <mergeCell ref="CE67:CE68"/>
    <mergeCell ref="CG67:CI67"/>
    <mergeCell ref="A55:A59"/>
    <mergeCell ref="B55:B56"/>
    <mergeCell ref="J55:J59"/>
    <mergeCell ref="S55:S59"/>
    <mergeCell ref="AB55:AB59"/>
    <mergeCell ref="AK55:AK59"/>
    <mergeCell ref="AT55:AT59"/>
    <mergeCell ref="BC55:BC59"/>
    <mergeCell ref="BL55:BL59"/>
    <mergeCell ref="BU55:BU59"/>
    <mergeCell ref="CD55:CD59"/>
    <mergeCell ref="CM55:CM59"/>
    <mergeCell ref="CV55:CV59"/>
    <mergeCell ref="DE55:DE59"/>
    <mergeCell ref="B59:C59"/>
    <mergeCell ref="K59:L59"/>
    <mergeCell ref="T59:U59"/>
    <mergeCell ref="AC59:AD59"/>
    <mergeCell ref="AL59:AM59"/>
    <mergeCell ref="AU59:AV59"/>
    <mergeCell ref="BD59:BE59"/>
    <mergeCell ref="BM59:BN59"/>
    <mergeCell ref="CE59:CF59"/>
    <mergeCell ref="CN59:CO59"/>
    <mergeCell ref="CW59:CX59"/>
    <mergeCell ref="A60:A64"/>
    <mergeCell ref="B60:B61"/>
    <mergeCell ref="J60:J64"/>
    <mergeCell ref="S60:S64"/>
    <mergeCell ref="AB60:AB64"/>
    <mergeCell ref="AK60:AK64"/>
    <mergeCell ref="AT60:AT64"/>
    <mergeCell ref="BC60:BC64"/>
    <mergeCell ref="BL60:BL64"/>
    <mergeCell ref="CM60:CM64"/>
    <mergeCell ref="CV60:CV64"/>
    <mergeCell ref="DE60:DE64"/>
    <mergeCell ref="B64:C64"/>
    <mergeCell ref="K64:L64"/>
    <mergeCell ref="T64:U64"/>
    <mergeCell ref="AC64:AD64"/>
    <mergeCell ref="AL60:AL61"/>
    <mergeCell ref="CN60:CN61"/>
    <mergeCell ref="CE64:CF64"/>
    <mergeCell ref="K35:K36"/>
    <mergeCell ref="K40:K41"/>
    <mergeCell ref="K50:K51"/>
    <mergeCell ref="K55:K56"/>
    <mergeCell ref="K60:K61"/>
    <mergeCell ref="K69:K70"/>
    <mergeCell ref="S3:U4"/>
    <mergeCell ref="T5:T6"/>
    <mergeCell ref="T10:T11"/>
    <mergeCell ref="T15:T16"/>
    <mergeCell ref="T20:T21"/>
    <mergeCell ref="T25:T26"/>
    <mergeCell ref="T30:T31"/>
    <mergeCell ref="T35:T36"/>
    <mergeCell ref="T40:T41"/>
    <mergeCell ref="T50:T51"/>
    <mergeCell ref="T55:T56"/>
    <mergeCell ref="T60:T61"/>
    <mergeCell ref="T69:T70"/>
    <mergeCell ref="J3:L4"/>
    <mergeCell ref="S5:S9"/>
    <mergeCell ref="T9:U9"/>
    <mergeCell ref="S10:S14"/>
    <mergeCell ref="T14:U14"/>
    <mergeCell ref="AB5:AB9"/>
    <mergeCell ref="AC9:AD9"/>
    <mergeCell ref="AB10:AB14"/>
    <mergeCell ref="AC14:AD14"/>
    <mergeCell ref="AB15:AB19"/>
    <mergeCell ref="AC19:AD19"/>
    <mergeCell ref="AB20:AB24"/>
    <mergeCell ref="AC24:AD24"/>
    <mergeCell ref="S50:S54"/>
    <mergeCell ref="T54:U54"/>
    <mergeCell ref="S40:S44"/>
    <mergeCell ref="T19:U19"/>
    <mergeCell ref="S20:S24"/>
    <mergeCell ref="T24:U24"/>
    <mergeCell ref="S25:S29"/>
    <mergeCell ref="T29:U29"/>
    <mergeCell ref="S15:S19"/>
    <mergeCell ref="S30:S34"/>
    <mergeCell ref="T34:U34"/>
    <mergeCell ref="T44:U44"/>
    <mergeCell ref="S45:S49"/>
    <mergeCell ref="S35:S39"/>
    <mergeCell ref="AC50:AC51"/>
    <mergeCell ref="AC55:AC56"/>
    <mergeCell ref="AC60:AC61"/>
    <mergeCell ref="AC69:AC70"/>
    <mergeCell ref="AB40:AB44"/>
    <mergeCell ref="AC44:AD44"/>
    <mergeCell ref="AB35:AB39"/>
    <mergeCell ref="AC34:AD34"/>
    <mergeCell ref="AB45:AB49"/>
    <mergeCell ref="AB50:AB54"/>
    <mergeCell ref="AC54:AD54"/>
    <mergeCell ref="AB30:AB34"/>
    <mergeCell ref="AC30:AC31"/>
    <mergeCell ref="AC35:AC36"/>
    <mergeCell ref="AC40:AC41"/>
    <mergeCell ref="AC39:AD39"/>
    <mergeCell ref="AL69:AL70"/>
    <mergeCell ref="AL64:AM64"/>
    <mergeCell ref="AT3:AV4"/>
    <mergeCell ref="AU5:AU6"/>
    <mergeCell ref="AU10:AU11"/>
    <mergeCell ref="AU15:AU16"/>
    <mergeCell ref="AU20:AU21"/>
    <mergeCell ref="AU25:AU26"/>
    <mergeCell ref="AU30:AU31"/>
    <mergeCell ref="AU35:AU36"/>
    <mergeCell ref="AU40:AU41"/>
    <mergeCell ref="AU50:AU51"/>
    <mergeCell ref="AU55:AU56"/>
    <mergeCell ref="AU60:AU61"/>
    <mergeCell ref="AU69:AU70"/>
    <mergeCell ref="AK3:AM4"/>
    <mergeCell ref="AL10:AL11"/>
    <mergeCell ref="AL15:AL16"/>
    <mergeCell ref="AL20:AL21"/>
    <mergeCell ref="AL25:AL26"/>
    <mergeCell ref="AL30:AL31"/>
    <mergeCell ref="AL35:AL36"/>
    <mergeCell ref="AL40:AL41"/>
    <mergeCell ref="AK40:AK44"/>
    <mergeCell ref="BD50:BD51"/>
    <mergeCell ref="BD55:BD56"/>
    <mergeCell ref="BD60:BD61"/>
    <mergeCell ref="BD69:BD70"/>
    <mergeCell ref="BL3:BN4"/>
    <mergeCell ref="BM5:BM6"/>
    <mergeCell ref="BM10:BM11"/>
    <mergeCell ref="BM15:BM16"/>
    <mergeCell ref="BM20:BM21"/>
    <mergeCell ref="BM25:BM26"/>
    <mergeCell ref="BM30:BM31"/>
    <mergeCell ref="BM35:BM36"/>
    <mergeCell ref="BM40:BM41"/>
    <mergeCell ref="BM50:BM51"/>
    <mergeCell ref="BM55:BM56"/>
    <mergeCell ref="BM60:BM61"/>
    <mergeCell ref="BM69:BM70"/>
    <mergeCell ref="BL35:BL39"/>
    <mergeCell ref="BM39:BN39"/>
    <mergeCell ref="CE15:CE16"/>
    <mergeCell ref="CE20:CE21"/>
    <mergeCell ref="CE25:CE26"/>
    <mergeCell ref="CE30:CE31"/>
    <mergeCell ref="CE35:CE36"/>
    <mergeCell ref="CE40:CE41"/>
    <mergeCell ref="CD20:CD24"/>
    <mergeCell ref="CE34:CF34"/>
    <mergeCell ref="CE39:CF39"/>
    <mergeCell ref="CD35:CD39"/>
    <mergeCell ref="CN69:CN70"/>
    <mergeCell ref="BV30:BV31"/>
    <mergeCell ref="BV35:BV36"/>
    <mergeCell ref="BV40:BV41"/>
    <mergeCell ref="BV50:BV51"/>
    <mergeCell ref="BV55:BV56"/>
    <mergeCell ref="BV60:BV61"/>
    <mergeCell ref="BV69:BV70"/>
    <mergeCell ref="CE50:CE51"/>
    <mergeCell ref="CE55:CE56"/>
    <mergeCell ref="CE60:CE61"/>
    <mergeCell ref="CE69:CE70"/>
    <mergeCell ref="CM45:CM49"/>
    <mergeCell ref="CM50:CM54"/>
    <mergeCell ref="CN54:CO54"/>
    <mergeCell ref="CO67:CO68"/>
    <mergeCell ref="CM67:CM68"/>
    <mergeCell ref="CN67:CN68"/>
    <mergeCell ref="CD50:CD54"/>
    <mergeCell ref="CE54:CF54"/>
    <mergeCell ref="CD45:CD49"/>
    <mergeCell ref="CM35:CM39"/>
    <mergeCell ref="CN39:CO39"/>
    <mergeCell ref="BV44:BW44"/>
    <mergeCell ref="CW69:CW70"/>
    <mergeCell ref="CM30:CM34"/>
    <mergeCell ref="CN64:CO64"/>
    <mergeCell ref="CM40:CM44"/>
    <mergeCell ref="CN44:CO44"/>
    <mergeCell ref="CV3:CX4"/>
    <mergeCell ref="CW5:CW6"/>
    <mergeCell ref="CW10:CW11"/>
    <mergeCell ref="CW15:CW16"/>
    <mergeCell ref="CW20:CW21"/>
    <mergeCell ref="CW25:CW26"/>
    <mergeCell ref="CW30:CW31"/>
    <mergeCell ref="CW35:CW36"/>
    <mergeCell ref="CW40:CW41"/>
    <mergeCell ref="CW50:CW51"/>
    <mergeCell ref="CW55:CW56"/>
    <mergeCell ref="CW60:CW61"/>
    <mergeCell ref="CN20:CN21"/>
    <mergeCell ref="CN25:CN26"/>
    <mergeCell ref="CN30:CN31"/>
    <mergeCell ref="CN35:CN36"/>
    <mergeCell ref="CN40:CN41"/>
    <mergeCell ref="CN50:CN51"/>
    <mergeCell ref="CN55:CN56"/>
  </mergeCells>
  <phoneticPr fontId="0" type="noConversion"/>
  <printOptions horizontalCentered="1"/>
  <pageMargins left="0.74803149606299213" right="0.74803149606299213" top="0.28000000000000003" bottom="0.19685039370078741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2"/>
  <sheetViews>
    <sheetView rightToLeft="1" workbookViewId="0">
      <selection activeCell="G19" sqref="G19"/>
    </sheetView>
  </sheetViews>
  <sheetFormatPr defaultColWidth="9.140625" defaultRowHeight="15" x14ac:dyDescent="0.2"/>
  <cols>
    <col min="1" max="1" width="15.140625" style="16" customWidth="1"/>
    <col min="2" max="3" width="9.140625" style="16"/>
    <col min="4" max="4" width="11.85546875" style="16" customWidth="1"/>
    <col min="5" max="5" width="12" style="16" customWidth="1"/>
    <col min="6" max="6" width="11.5703125" style="16" customWidth="1"/>
    <col min="7" max="7" width="12.42578125" style="16" customWidth="1"/>
    <col min="8" max="8" width="10.7109375" style="16" customWidth="1"/>
    <col min="9" max="9" width="3.28515625" style="44" customWidth="1"/>
    <col min="10" max="10" width="15.140625" style="16" customWidth="1"/>
    <col min="11" max="12" width="9.140625" style="16"/>
    <col min="13" max="13" width="11.5703125" style="16" customWidth="1"/>
    <col min="14" max="15" width="12.28515625" style="16" customWidth="1"/>
    <col min="16" max="16" width="12.42578125" style="16" customWidth="1"/>
    <col min="17" max="17" width="10.7109375" style="16" customWidth="1"/>
    <col min="18" max="18" width="3.28515625" style="44" customWidth="1"/>
    <col min="19" max="19" width="15.140625" style="16" customWidth="1"/>
    <col min="20" max="21" width="9.140625" style="16"/>
    <col min="22" max="22" width="12.28515625" style="16" customWidth="1"/>
    <col min="23" max="23" width="11.42578125" style="16" customWidth="1"/>
    <col min="24" max="24" width="12.140625" style="16" customWidth="1"/>
    <col min="25" max="25" width="12.42578125" style="16" customWidth="1"/>
    <col min="26" max="26" width="10.7109375" style="16" customWidth="1"/>
    <col min="27" max="27" width="3.28515625" style="44" customWidth="1"/>
    <col min="28" max="28" width="15.140625" style="16" customWidth="1"/>
    <col min="29" max="30" width="9.140625" style="16"/>
    <col min="31" max="33" width="10.7109375" style="16" customWidth="1"/>
    <col min="34" max="34" width="12.42578125" style="16" customWidth="1"/>
    <col min="35" max="35" width="10.7109375" style="16" customWidth="1"/>
    <col min="36" max="36" width="3.28515625" style="44" customWidth="1"/>
    <col min="37" max="37" width="15.140625" style="16" customWidth="1"/>
    <col min="38" max="39" width="9.140625" style="16"/>
    <col min="40" max="42" width="10.7109375" style="16" customWidth="1"/>
    <col min="43" max="43" width="12.42578125" style="16" customWidth="1"/>
    <col min="44" max="44" width="10.7109375" style="16" customWidth="1"/>
    <col min="45" max="45" width="3.28515625" style="44" customWidth="1"/>
    <col min="46" max="46" width="15.140625" style="16" customWidth="1"/>
    <col min="47" max="48" width="9.140625" style="16"/>
    <col min="49" max="51" width="10.7109375" style="16" customWidth="1"/>
    <col min="52" max="52" width="12.42578125" style="16" customWidth="1"/>
    <col min="53" max="53" width="10.7109375" style="16" customWidth="1"/>
    <col min="54" max="54" width="3.28515625" style="44" customWidth="1"/>
    <col min="55" max="55" width="15.140625" style="16" customWidth="1"/>
    <col min="56" max="57" width="9.140625" style="16"/>
    <col min="58" max="60" width="10.7109375" style="16" customWidth="1"/>
    <col min="61" max="61" width="12.42578125" style="16" customWidth="1"/>
    <col min="62" max="62" width="10.7109375" style="16" customWidth="1"/>
    <col min="63" max="63" width="3.28515625" style="44" customWidth="1"/>
    <col min="64" max="64" width="15.140625" style="16" customWidth="1"/>
    <col min="65" max="66" width="9.140625" style="16"/>
    <col min="67" max="69" width="10.7109375" style="16" customWidth="1"/>
    <col min="70" max="70" width="12.42578125" style="16" customWidth="1"/>
    <col min="71" max="71" width="10.7109375" style="16" customWidth="1"/>
    <col min="72" max="72" width="3.28515625" style="44" customWidth="1"/>
    <col min="73" max="73" width="15.140625" style="16" customWidth="1"/>
    <col min="74" max="75" width="9.140625" style="16"/>
    <col min="76" max="78" width="10.7109375" style="16" customWidth="1"/>
    <col min="79" max="79" width="12.42578125" style="16" customWidth="1"/>
    <col min="80" max="80" width="10.7109375" style="16" customWidth="1"/>
    <col min="81" max="81" width="3.28515625" style="44" customWidth="1"/>
    <col min="82" max="82" width="15.140625" style="16" customWidth="1"/>
    <col min="83" max="84" width="9.140625" style="16"/>
    <col min="85" max="87" width="10.7109375" style="16" customWidth="1"/>
    <col min="88" max="88" width="12.42578125" style="16" customWidth="1"/>
    <col min="89" max="89" width="10.7109375" style="16" customWidth="1"/>
    <col min="90" max="90" width="3.28515625" style="44" customWidth="1"/>
    <col min="91" max="91" width="15.140625" style="16" customWidth="1"/>
    <col min="92" max="93" width="9.140625" style="16"/>
    <col min="94" max="96" width="10.7109375" style="16" customWidth="1"/>
    <col min="97" max="97" width="12.42578125" style="16" customWidth="1"/>
    <col min="98" max="98" width="10.7109375" style="16" customWidth="1"/>
    <col min="99" max="99" width="3.28515625" style="44" customWidth="1"/>
    <col min="100" max="100" width="15.140625" style="16" customWidth="1"/>
    <col min="101" max="102" width="9.140625" style="16"/>
    <col min="103" max="105" width="10.7109375" style="16" customWidth="1"/>
    <col min="106" max="106" width="12.42578125" style="16" customWidth="1"/>
    <col min="107" max="107" width="10.7109375" style="16" customWidth="1"/>
    <col min="108" max="108" width="3.28515625" style="44" customWidth="1"/>
    <col min="109" max="109" width="15.140625" style="16" customWidth="1"/>
    <col min="110" max="111" width="9.140625" style="16"/>
    <col min="112" max="114" width="10.7109375" style="16" customWidth="1"/>
    <col min="115" max="115" width="13.7109375" style="16" customWidth="1"/>
    <col min="116" max="116" width="11.7109375" style="16" customWidth="1"/>
    <col min="117" max="117" width="3.28515625" style="44" customWidth="1"/>
    <col min="118" max="16384" width="9.140625" style="16"/>
  </cols>
  <sheetData>
    <row r="1" spans="1:117" s="43" customFormat="1" ht="15.75" thickBot="1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</row>
    <row r="2" spans="1:117" s="73" customFormat="1" ht="35.25" customHeight="1" thickBot="1" x14ac:dyDescent="0.25">
      <c r="A2" s="66" t="s">
        <v>26</v>
      </c>
      <c r="B2" s="67"/>
      <c r="C2" s="68"/>
      <c r="D2" s="69" t="s">
        <v>1</v>
      </c>
      <c r="E2" s="70">
        <v>1</v>
      </c>
      <c r="F2" s="69">
        <f>SUM(الإحالات!F2)</f>
        <v>1447</v>
      </c>
      <c r="G2" s="67" t="s">
        <v>0</v>
      </c>
      <c r="H2" s="71"/>
      <c r="I2" s="72"/>
      <c r="J2" s="66" t="s">
        <v>26</v>
      </c>
      <c r="K2" s="67"/>
      <c r="L2" s="68"/>
      <c r="M2" s="69" t="s">
        <v>1</v>
      </c>
      <c r="N2" s="70">
        <v>2</v>
      </c>
      <c r="O2" s="69">
        <f>SUM(الإحالات!O2)</f>
        <v>1447</v>
      </c>
      <c r="P2" s="67" t="s">
        <v>0</v>
      </c>
      <c r="Q2" s="71"/>
      <c r="R2" s="72"/>
      <c r="S2" s="66" t="s">
        <v>26</v>
      </c>
      <c r="T2" s="67"/>
      <c r="U2" s="68"/>
      <c r="V2" s="69" t="s">
        <v>1</v>
      </c>
      <c r="W2" s="70">
        <v>3</v>
      </c>
      <c r="X2" s="69">
        <f>SUM(الإحالات!X2)</f>
        <v>1447</v>
      </c>
      <c r="Y2" s="67" t="s">
        <v>0</v>
      </c>
      <c r="Z2" s="71"/>
      <c r="AA2" s="72"/>
      <c r="AB2" s="66" t="s">
        <v>26</v>
      </c>
      <c r="AC2" s="67"/>
      <c r="AD2" s="68"/>
      <c r="AE2" s="69" t="s">
        <v>1</v>
      </c>
      <c r="AF2" s="70">
        <v>4</v>
      </c>
      <c r="AG2" s="69">
        <f>SUM(الإحالات!AG2)</f>
        <v>1447</v>
      </c>
      <c r="AH2" s="67" t="s">
        <v>0</v>
      </c>
      <c r="AI2" s="71"/>
      <c r="AJ2" s="72"/>
      <c r="AK2" s="66" t="s">
        <v>26</v>
      </c>
      <c r="AL2" s="67"/>
      <c r="AM2" s="68"/>
      <c r="AN2" s="69" t="s">
        <v>1</v>
      </c>
      <c r="AO2" s="70">
        <v>5</v>
      </c>
      <c r="AP2" s="69">
        <f>SUM(الإحالات!AP2)</f>
        <v>1447</v>
      </c>
      <c r="AQ2" s="67" t="s">
        <v>0</v>
      </c>
      <c r="AR2" s="71"/>
      <c r="AS2" s="72"/>
      <c r="AT2" s="66" t="s">
        <v>26</v>
      </c>
      <c r="AU2" s="67"/>
      <c r="AV2" s="68"/>
      <c r="AW2" s="69" t="s">
        <v>1</v>
      </c>
      <c r="AX2" s="70">
        <v>6</v>
      </c>
      <c r="AY2" s="69">
        <f>SUM(الإحالات!AY2)</f>
        <v>1447</v>
      </c>
      <c r="AZ2" s="67" t="s">
        <v>0</v>
      </c>
      <c r="BA2" s="71"/>
      <c r="BB2" s="72"/>
      <c r="BC2" s="66" t="s">
        <v>26</v>
      </c>
      <c r="BD2" s="67"/>
      <c r="BE2" s="68"/>
      <c r="BF2" s="69" t="s">
        <v>1</v>
      </c>
      <c r="BG2" s="70">
        <v>7</v>
      </c>
      <c r="BH2" s="69">
        <f>SUM(الإحالات!BH2)</f>
        <v>1447</v>
      </c>
      <c r="BI2" s="67" t="s">
        <v>0</v>
      </c>
      <c r="BJ2" s="71"/>
      <c r="BK2" s="72"/>
      <c r="BL2" s="66" t="s">
        <v>26</v>
      </c>
      <c r="BM2" s="67"/>
      <c r="BN2" s="68"/>
      <c r="BO2" s="69" t="s">
        <v>1</v>
      </c>
      <c r="BP2" s="70">
        <v>8</v>
      </c>
      <c r="BQ2" s="69">
        <f>SUM(الإحالات!BQ2)</f>
        <v>1447</v>
      </c>
      <c r="BR2" s="67" t="s">
        <v>0</v>
      </c>
      <c r="BS2" s="71"/>
      <c r="BT2" s="72"/>
      <c r="BU2" s="66" t="s">
        <v>26</v>
      </c>
      <c r="BV2" s="67"/>
      <c r="BW2" s="68"/>
      <c r="BX2" s="69" t="s">
        <v>1</v>
      </c>
      <c r="BY2" s="70">
        <v>9</v>
      </c>
      <c r="BZ2" s="69">
        <f>SUM(الإحالات!BZ2)</f>
        <v>1447</v>
      </c>
      <c r="CA2" s="67" t="s">
        <v>0</v>
      </c>
      <c r="CB2" s="71"/>
      <c r="CC2" s="72"/>
      <c r="CD2" s="66" t="s">
        <v>26</v>
      </c>
      <c r="CE2" s="67"/>
      <c r="CF2" s="68"/>
      <c r="CG2" s="69" t="s">
        <v>1</v>
      </c>
      <c r="CH2" s="70">
        <v>10</v>
      </c>
      <c r="CI2" s="69">
        <f>SUM(الإحالات!CI2)</f>
        <v>1447</v>
      </c>
      <c r="CJ2" s="67" t="s">
        <v>0</v>
      </c>
      <c r="CK2" s="71"/>
      <c r="CL2" s="72"/>
      <c r="CM2" s="66" t="s">
        <v>26</v>
      </c>
      <c r="CN2" s="67"/>
      <c r="CO2" s="68"/>
      <c r="CP2" s="69" t="s">
        <v>1</v>
      </c>
      <c r="CQ2" s="70">
        <v>11</v>
      </c>
      <c r="CR2" s="69">
        <f>SUM(الإحالات!CR2)</f>
        <v>1447</v>
      </c>
      <c r="CS2" s="67" t="s">
        <v>0</v>
      </c>
      <c r="CT2" s="71"/>
      <c r="CU2" s="72"/>
      <c r="CV2" s="66" t="s">
        <v>26</v>
      </c>
      <c r="CW2" s="67"/>
      <c r="CX2" s="68"/>
      <c r="CY2" s="69" t="s">
        <v>1</v>
      </c>
      <c r="CZ2" s="70">
        <v>12</v>
      </c>
      <c r="DA2" s="69">
        <f>SUM(الإحالات!DA2)</f>
        <v>1447</v>
      </c>
      <c r="DB2" s="67" t="s">
        <v>0</v>
      </c>
      <c r="DC2" s="71"/>
      <c r="DD2" s="72"/>
      <c r="DE2" s="66" t="s">
        <v>26</v>
      </c>
      <c r="DF2" s="67"/>
      <c r="DG2" s="68"/>
      <c r="DH2" s="69"/>
      <c r="DI2" s="70"/>
      <c r="DJ2" s="69">
        <f>SUM(الإحالات!DJ2)</f>
        <v>1447</v>
      </c>
      <c r="DK2" s="67" t="s">
        <v>0</v>
      </c>
      <c r="DL2" s="71"/>
      <c r="DM2" s="72"/>
    </row>
    <row r="3" spans="1:117" ht="20.100000000000001" customHeight="1" thickBot="1" x14ac:dyDescent="0.3">
      <c r="A3" s="245" t="s">
        <v>15</v>
      </c>
      <c r="B3" s="245" t="s">
        <v>5</v>
      </c>
      <c r="C3" s="245" t="s">
        <v>6</v>
      </c>
      <c r="D3" s="240" t="s">
        <v>2</v>
      </c>
      <c r="E3" s="241"/>
      <c r="F3" s="241"/>
      <c r="G3" s="245" t="s">
        <v>3</v>
      </c>
      <c r="H3" s="18" t="s">
        <v>4</v>
      </c>
      <c r="I3" s="62"/>
      <c r="J3" s="245" t="s">
        <v>15</v>
      </c>
      <c r="K3" s="245" t="s">
        <v>5</v>
      </c>
      <c r="L3" s="245" t="s">
        <v>6</v>
      </c>
      <c r="M3" s="240" t="s">
        <v>2</v>
      </c>
      <c r="N3" s="241"/>
      <c r="O3" s="241"/>
      <c r="P3" s="245" t="s">
        <v>3</v>
      </c>
      <c r="Q3" s="18" t="s">
        <v>4</v>
      </c>
      <c r="R3" s="62"/>
      <c r="S3" s="245" t="s">
        <v>15</v>
      </c>
      <c r="T3" s="245" t="s">
        <v>5</v>
      </c>
      <c r="U3" s="245" t="s">
        <v>6</v>
      </c>
      <c r="V3" s="240" t="s">
        <v>2</v>
      </c>
      <c r="W3" s="241"/>
      <c r="X3" s="241"/>
      <c r="Y3" s="245" t="s">
        <v>3</v>
      </c>
      <c r="Z3" s="18" t="s">
        <v>4</v>
      </c>
      <c r="AA3" s="62"/>
      <c r="AB3" s="245" t="s">
        <v>15</v>
      </c>
      <c r="AC3" s="245" t="s">
        <v>5</v>
      </c>
      <c r="AD3" s="245" t="s">
        <v>6</v>
      </c>
      <c r="AE3" s="240" t="s">
        <v>2</v>
      </c>
      <c r="AF3" s="241"/>
      <c r="AG3" s="241"/>
      <c r="AH3" s="245" t="s">
        <v>3</v>
      </c>
      <c r="AI3" s="18" t="s">
        <v>4</v>
      </c>
      <c r="AJ3" s="62"/>
      <c r="AK3" s="245" t="s">
        <v>15</v>
      </c>
      <c r="AL3" s="245" t="s">
        <v>5</v>
      </c>
      <c r="AM3" s="245" t="s">
        <v>6</v>
      </c>
      <c r="AN3" s="240" t="s">
        <v>2</v>
      </c>
      <c r="AO3" s="241"/>
      <c r="AP3" s="241"/>
      <c r="AQ3" s="245" t="s">
        <v>3</v>
      </c>
      <c r="AR3" s="18" t="s">
        <v>4</v>
      </c>
      <c r="AS3" s="62"/>
      <c r="AT3" s="245" t="s">
        <v>15</v>
      </c>
      <c r="AU3" s="245" t="s">
        <v>5</v>
      </c>
      <c r="AV3" s="245" t="s">
        <v>6</v>
      </c>
      <c r="AW3" s="240" t="s">
        <v>2</v>
      </c>
      <c r="AX3" s="241"/>
      <c r="AY3" s="241"/>
      <c r="AZ3" s="245" t="s">
        <v>3</v>
      </c>
      <c r="BA3" s="18" t="s">
        <v>4</v>
      </c>
      <c r="BB3" s="62"/>
      <c r="BC3" s="245" t="s">
        <v>15</v>
      </c>
      <c r="BD3" s="245" t="s">
        <v>5</v>
      </c>
      <c r="BE3" s="245" t="s">
        <v>6</v>
      </c>
      <c r="BF3" s="240" t="s">
        <v>2</v>
      </c>
      <c r="BG3" s="241"/>
      <c r="BH3" s="241"/>
      <c r="BI3" s="245" t="s">
        <v>3</v>
      </c>
      <c r="BJ3" s="18" t="s">
        <v>4</v>
      </c>
      <c r="BK3" s="62"/>
      <c r="BL3" s="245" t="s">
        <v>15</v>
      </c>
      <c r="BM3" s="245" t="s">
        <v>5</v>
      </c>
      <c r="BN3" s="245" t="s">
        <v>6</v>
      </c>
      <c r="BO3" s="240" t="s">
        <v>2</v>
      </c>
      <c r="BP3" s="241"/>
      <c r="BQ3" s="241"/>
      <c r="BR3" s="245" t="s">
        <v>3</v>
      </c>
      <c r="BS3" s="18" t="s">
        <v>4</v>
      </c>
      <c r="BT3" s="62"/>
      <c r="BU3" s="245" t="s">
        <v>15</v>
      </c>
      <c r="BV3" s="245" t="s">
        <v>5</v>
      </c>
      <c r="BW3" s="245" t="s">
        <v>6</v>
      </c>
      <c r="BX3" s="240" t="s">
        <v>2</v>
      </c>
      <c r="BY3" s="241"/>
      <c r="BZ3" s="241"/>
      <c r="CA3" s="245" t="s">
        <v>3</v>
      </c>
      <c r="CB3" s="18" t="s">
        <v>4</v>
      </c>
      <c r="CC3" s="62"/>
      <c r="CD3" s="245" t="s">
        <v>15</v>
      </c>
      <c r="CE3" s="245" t="s">
        <v>5</v>
      </c>
      <c r="CF3" s="245" t="s">
        <v>6</v>
      </c>
      <c r="CG3" s="240" t="s">
        <v>2</v>
      </c>
      <c r="CH3" s="241"/>
      <c r="CI3" s="241"/>
      <c r="CJ3" s="245" t="s">
        <v>3</v>
      </c>
      <c r="CK3" s="18" t="s">
        <v>4</v>
      </c>
      <c r="CL3" s="62"/>
      <c r="CM3" s="245" t="s">
        <v>15</v>
      </c>
      <c r="CN3" s="245" t="s">
        <v>5</v>
      </c>
      <c r="CO3" s="245" t="s">
        <v>6</v>
      </c>
      <c r="CP3" s="240" t="s">
        <v>2</v>
      </c>
      <c r="CQ3" s="241"/>
      <c r="CR3" s="241"/>
      <c r="CS3" s="245" t="s">
        <v>3</v>
      </c>
      <c r="CT3" s="18" t="s">
        <v>4</v>
      </c>
      <c r="CU3" s="62"/>
      <c r="CV3" s="245" t="s">
        <v>15</v>
      </c>
      <c r="CW3" s="245" t="s">
        <v>5</v>
      </c>
      <c r="CX3" s="245" t="s">
        <v>6</v>
      </c>
      <c r="CY3" s="240" t="s">
        <v>2</v>
      </c>
      <c r="CZ3" s="241"/>
      <c r="DA3" s="241"/>
      <c r="DB3" s="245" t="s">
        <v>3</v>
      </c>
      <c r="DC3" s="18" t="s">
        <v>4</v>
      </c>
      <c r="DD3" s="62"/>
      <c r="DE3" s="245" t="s">
        <v>15</v>
      </c>
      <c r="DF3" s="245" t="s">
        <v>5</v>
      </c>
      <c r="DG3" s="245" t="s">
        <v>6</v>
      </c>
      <c r="DH3" s="240" t="s">
        <v>2</v>
      </c>
      <c r="DI3" s="241"/>
      <c r="DJ3" s="241"/>
      <c r="DK3" s="245" t="s">
        <v>3</v>
      </c>
      <c r="DL3" s="18" t="s">
        <v>4</v>
      </c>
      <c r="DM3" s="62"/>
    </row>
    <row r="4" spans="1:117" ht="20.100000000000001" customHeight="1" thickBot="1" x14ac:dyDescent="0.3">
      <c r="A4" s="246"/>
      <c r="B4" s="246"/>
      <c r="C4" s="246"/>
      <c r="D4" s="33" t="s">
        <v>7</v>
      </c>
      <c r="E4" s="34" t="s">
        <v>8</v>
      </c>
      <c r="F4" s="35" t="s">
        <v>9</v>
      </c>
      <c r="G4" s="252"/>
      <c r="H4" s="36" t="s">
        <v>10</v>
      </c>
      <c r="I4" s="62"/>
      <c r="J4" s="246"/>
      <c r="K4" s="246"/>
      <c r="L4" s="246"/>
      <c r="M4" s="33" t="s">
        <v>7</v>
      </c>
      <c r="N4" s="34" t="s">
        <v>8</v>
      </c>
      <c r="O4" s="35" t="s">
        <v>9</v>
      </c>
      <c r="P4" s="252"/>
      <c r="Q4" s="36" t="s">
        <v>10</v>
      </c>
      <c r="R4" s="62"/>
      <c r="S4" s="246"/>
      <c r="T4" s="246"/>
      <c r="U4" s="246"/>
      <c r="V4" s="33" t="s">
        <v>7</v>
      </c>
      <c r="W4" s="34" t="s">
        <v>8</v>
      </c>
      <c r="X4" s="35" t="s">
        <v>9</v>
      </c>
      <c r="Y4" s="252"/>
      <c r="Z4" s="36" t="s">
        <v>10</v>
      </c>
      <c r="AA4" s="62"/>
      <c r="AB4" s="246"/>
      <c r="AC4" s="246"/>
      <c r="AD4" s="246"/>
      <c r="AE4" s="33" t="s">
        <v>7</v>
      </c>
      <c r="AF4" s="34" t="s">
        <v>8</v>
      </c>
      <c r="AG4" s="35" t="s">
        <v>9</v>
      </c>
      <c r="AH4" s="252"/>
      <c r="AI4" s="36" t="s">
        <v>10</v>
      </c>
      <c r="AJ4" s="62"/>
      <c r="AK4" s="246"/>
      <c r="AL4" s="246"/>
      <c r="AM4" s="246"/>
      <c r="AN4" s="33" t="s">
        <v>7</v>
      </c>
      <c r="AO4" s="34" t="s">
        <v>8</v>
      </c>
      <c r="AP4" s="35" t="s">
        <v>9</v>
      </c>
      <c r="AQ4" s="252"/>
      <c r="AR4" s="36" t="s">
        <v>10</v>
      </c>
      <c r="AS4" s="62"/>
      <c r="AT4" s="246"/>
      <c r="AU4" s="246"/>
      <c r="AV4" s="246"/>
      <c r="AW4" s="33" t="s">
        <v>7</v>
      </c>
      <c r="AX4" s="34" t="s">
        <v>8</v>
      </c>
      <c r="AY4" s="35" t="s">
        <v>9</v>
      </c>
      <c r="AZ4" s="252"/>
      <c r="BA4" s="36" t="s">
        <v>10</v>
      </c>
      <c r="BB4" s="62"/>
      <c r="BC4" s="246"/>
      <c r="BD4" s="246"/>
      <c r="BE4" s="246"/>
      <c r="BF4" s="33" t="s">
        <v>7</v>
      </c>
      <c r="BG4" s="34" t="s">
        <v>8</v>
      </c>
      <c r="BH4" s="35" t="s">
        <v>9</v>
      </c>
      <c r="BI4" s="252"/>
      <c r="BJ4" s="36" t="s">
        <v>10</v>
      </c>
      <c r="BK4" s="62"/>
      <c r="BL4" s="246"/>
      <c r="BM4" s="246"/>
      <c r="BN4" s="246"/>
      <c r="BO4" s="33" t="s">
        <v>7</v>
      </c>
      <c r="BP4" s="34" t="s">
        <v>8</v>
      </c>
      <c r="BQ4" s="35" t="s">
        <v>9</v>
      </c>
      <c r="BR4" s="252"/>
      <c r="BS4" s="36" t="s">
        <v>10</v>
      </c>
      <c r="BT4" s="62"/>
      <c r="BU4" s="246"/>
      <c r="BV4" s="246"/>
      <c r="BW4" s="246"/>
      <c r="BX4" s="33" t="s">
        <v>7</v>
      </c>
      <c r="BY4" s="34" t="s">
        <v>8</v>
      </c>
      <c r="BZ4" s="35" t="s">
        <v>9</v>
      </c>
      <c r="CA4" s="252"/>
      <c r="CB4" s="36" t="s">
        <v>10</v>
      </c>
      <c r="CC4" s="62"/>
      <c r="CD4" s="246"/>
      <c r="CE4" s="246"/>
      <c r="CF4" s="246"/>
      <c r="CG4" s="33" t="s">
        <v>7</v>
      </c>
      <c r="CH4" s="34" t="s">
        <v>8</v>
      </c>
      <c r="CI4" s="35" t="s">
        <v>9</v>
      </c>
      <c r="CJ4" s="252"/>
      <c r="CK4" s="36" t="s">
        <v>10</v>
      </c>
      <c r="CL4" s="62"/>
      <c r="CM4" s="246"/>
      <c r="CN4" s="246"/>
      <c r="CO4" s="246"/>
      <c r="CP4" s="33" t="s">
        <v>7</v>
      </c>
      <c r="CQ4" s="34" t="s">
        <v>8</v>
      </c>
      <c r="CR4" s="35" t="s">
        <v>9</v>
      </c>
      <c r="CS4" s="252"/>
      <c r="CT4" s="36" t="s">
        <v>10</v>
      </c>
      <c r="CU4" s="62"/>
      <c r="CV4" s="246"/>
      <c r="CW4" s="246"/>
      <c r="CX4" s="246"/>
      <c r="CY4" s="33" t="s">
        <v>7</v>
      </c>
      <c r="CZ4" s="34" t="s">
        <v>8</v>
      </c>
      <c r="DA4" s="35" t="s">
        <v>9</v>
      </c>
      <c r="DB4" s="252"/>
      <c r="DC4" s="36" t="s">
        <v>10</v>
      </c>
      <c r="DD4" s="62"/>
      <c r="DE4" s="246"/>
      <c r="DF4" s="246"/>
      <c r="DG4" s="246"/>
      <c r="DH4" s="33" t="s">
        <v>7</v>
      </c>
      <c r="DI4" s="34" t="s">
        <v>8</v>
      </c>
      <c r="DJ4" s="35" t="s">
        <v>9</v>
      </c>
      <c r="DK4" s="252"/>
      <c r="DL4" s="36" t="s">
        <v>10</v>
      </c>
      <c r="DM4" s="62"/>
    </row>
    <row r="5" spans="1:117" ht="20.100000000000001" customHeight="1" x14ac:dyDescent="0.2">
      <c r="A5" s="247" t="s">
        <v>27</v>
      </c>
      <c r="B5" s="243" t="s">
        <v>12</v>
      </c>
      <c r="C5" s="45" t="s">
        <v>11</v>
      </c>
      <c r="D5" s="46">
        <f>SUM(الإحالات!D69)</f>
        <v>1</v>
      </c>
      <c r="E5" s="47">
        <f>SUM(الإحالات!E69)</f>
        <v>228</v>
      </c>
      <c r="F5" s="48">
        <f>SUM(الإحالات!F69)</f>
        <v>1933</v>
      </c>
      <c r="G5" s="130">
        <f>SUM(D5:F5)</f>
        <v>2162</v>
      </c>
      <c r="H5" s="49">
        <f>SUM(الإحالات!H69)</f>
        <v>0</v>
      </c>
      <c r="I5" s="62"/>
      <c r="J5" s="247" t="s">
        <v>27</v>
      </c>
      <c r="K5" s="243" t="s">
        <v>12</v>
      </c>
      <c r="L5" s="45" t="s">
        <v>11</v>
      </c>
      <c r="M5" s="46">
        <f>SUM(الإحالات!M69)</f>
        <v>0</v>
      </c>
      <c r="N5" s="47">
        <f>SUM(الإحالات!N69)</f>
        <v>409</v>
      </c>
      <c r="O5" s="48">
        <f>SUM(الإحالات!O69)</f>
        <v>2028</v>
      </c>
      <c r="P5" s="130">
        <f>SUM(M5:O5)</f>
        <v>2437</v>
      </c>
      <c r="Q5" s="49">
        <f>SUM(الإحالات!Q69)</f>
        <v>0</v>
      </c>
      <c r="R5" s="62"/>
      <c r="S5" s="247" t="s">
        <v>27</v>
      </c>
      <c r="T5" s="243" t="s">
        <v>12</v>
      </c>
      <c r="U5" s="45" t="s">
        <v>11</v>
      </c>
      <c r="V5" s="46">
        <f>SUM(الإحالات!V69)</f>
        <v>2</v>
      </c>
      <c r="W5" s="47">
        <f>SUM(الإحالات!W69)</f>
        <v>784</v>
      </c>
      <c r="X5" s="48">
        <f>SUM(الإحالات!X69)</f>
        <v>2798</v>
      </c>
      <c r="Y5" s="130">
        <f>SUM(V5:X5)</f>
        <v>3584</v>
      </c>
      <c r="Z5" s="49">
        <f>SUM(الإحالات!Z69)</f>
        <v>0</v>
      </c>
      <c r="AA5" s="62"/>
      <c r="AB5" s="247" t="s">
        <v>27</v>
      </c>
      <c r="AC5" s="243" t="s">
        <v>12</v>
      </c>
      <c r="AD5" s="45" t="s">
        <v>11</v>
      </c>
      <c r="AE5" s="46">
        <f>SUM(الإحالات!AE69)</f>
        <v>0</v>
      </c>
      <c r="AF5" s="47">
        <f>SUM(الإحالات!AF69)</f>
        <v>316</v>
      </c>
      <c r="AG5" s="48">
        <f>SUM(الإحالات!AG69)</f>
        <v>3295</v>
      </c>
      <c r="AH5" s="130">
        <f>SUM(AE5:AG5)</f>
        <v>3611</v>
      </c>
      <c r="AI5" s="49">
        <f>SUM(الإحالات!AI69)</f>
        <v>0</v>
      </c>
      <c r="AJ5" s="62"/>
      <c r="AK5" s="247" t="s">
        <v>27</v>
      </c>
      <c r="AL5" s="243" t="s">
        <v>12</v>
      </c>
      <c r="AM5" s="45" t="s">
        <v>11</v>
      </c>
      <c r="AN5" s="46">
        <f>SUM(الإحالات!AN69)</f>
        <v>0</v>
      </c>
      <c r="AO5" s="47">
        <f>SUM(الإحالات!AO69)</f>
        <v>122</v>
      </c>
      <c r="AP5" s="48">
        <f>SUM(الإحالات!AP69)</f>
        <v>2199</v>
      </c>
      <c r="AQ5" s="130">
        <f>SUM(AN5:AP5)</f>
        <v>2321</v>
      </c>
      <c r="AR5" s="49">
        <f>SUM(الإحالات!AR69)</f>
        <v>0</v>
      </c>
      <c r="AS5" s="62"/>
      <c r="AT5" s="247" t="s">
        <v>27</v>
      </c>
      <c r="AU5" s="243" t="s">
        <v>12</v>
      </c>
      <c r="AV5" s="45" t="s">
        <v>11</v>
      </c>
      <c r="AW5" s="46">
        <f>SUM(الإحالات!AW69)</f>
        <v>0</v>
      </c>
      <c r="AX5" s="47">
        <f>SUM(الإحالات!AX69)</f>
        <v>107</v>
      </c>
      <c r="AY5" s="48">
        <f>SUM(الإحالات!AY69)</f>
        <v>2712</v>
      </c>
      <c r="AZ5" s="130">
        <f>SUM(AW5:AY5)</f>
        <v>2819</v>
      </c>
      <c r="BA5" s="49">
        <f>SUM(الإحالات!BA69)</f>
        <v>0</v>
      </c>
      <c r="BB5" s="62"/>
      <c r="BC5" s="247" t="s">
        <v>27</v>
      </c>
      <c r="BD5" s="243" t="s">
        <v>12</v>
      </c>
      <c r="BE5" s="45" t="s">
        <v>11</v>
      </c>
      <c r="BF5" s="46">
        <f>SUM(الإحالات!BF69)</f>
        <v>0</v>
      </c>
      <c r="BG5" s="47">
        <f>SUM(الإحالات!BG69)</f>
        <v>894</v>
      </c>
      <c r="BH5" s="48">
        <f>SUM(الإحالات!BH69)</f>
        <v>5401</v>
      </c>
      <c r="BI5" s="130">
        <f>SUM(BF5:BH5)</f>
        <v>6295</v>
      </c>
      <c r="BJ5" s="49">
        <f>SUM(الإحالات!BJ69)</f>
        <v>0</v>
      </c>
      <c r="BK5" s="62"/>
      <c r="BL5" s="247" t="s">
        <v>27</v>
      </c>
      <c r="BM5" s="243" t="s">
        <v>12</v>
      </c>
      <c r="BN5" s="45" t="s">
        <v>11</v>
      </c>
      <c r="BO5" s="46">
        <f>SUM(الإحالات!BO69)</f>
        <v>2</v>
      </c>
      <c r="BP5" s="47">
        <f>SUM(الإحالات!BP69)</f>
        <v>175</v>
      </c>
      <c r="BQ5" s="48">
        <f>SUM(الإحالات!BQ69)</f>
        <v>1788</v>
      </c>
      <c r="BR5" s="130">
        <f>SUM(BO5:BQ5)</f>
        <v>1965</v>
      </c>
      <c r="BS5" s="49">
        <f>SUM(الإحالات!BS69)</f>
        <v>0</v>
      </c>
      <c r="BT5" s="62"/>
      <c r="BU5" s="247" t="s">
        <v>27</v>
      </c>
      <c r="BV5" s="243" t="s">
        <v>12</v>
      </c>
      <c r="BW5" s="45" t="s">
        <v>11</v>
      </c>
      <c r="BX5" s="46">
        <f>SUM(الإحالات!BX69)</f>
        <v>0</v>
      </c>
      <c r="BY5" s="47">
        <f>SUM(الإحالات!BY69)</f>
        <v>121</v>
      </c>
      <c r="BZ5" s="48">
        <f>SUM(الإحالات!BZ69)</f>
        <v>1615</v>
      </c>
      <c r="CA5" s="130">
        <f>SUM(BX5:BZ5)</f>
        <v>1736</v>
      </c>
      <c r="CB5" s="49">
        <f>SUM(الإحالات!CB69)</f>
        <v>0</v>
      </c>
      <c r="CC5" s="62"/>
      <c r="CD5" s="247" t="s">
        <v>27</v>
      </c>
      <c r="CE5" s="243" t="s">
        <v>12</v>
      </c>
      <c r="CF5" s="45" t="s">
        <v>11</v>
      </c>
      <c r="CG5" s="46">
        <f>SUM(الإحالات!CG69)</f>
        <v>0</v>
      </c>
      <c r="CH5" s="47">
        <f>SUM(الإحالات!CH69)</f>
        <v>64</v>
      </c>
      <c r="CI5" s="48">
        <f>SUM(الإحالات!CI69)</f>
        <v>2027</v>
      </c>
      <c r="CJ5" s="130">
        <f>SUM(CG5:CI5)</f>
        <v>2091</v>
      </c>
      <c r="CK5" s="49">
        <f>SUM(الإحالات!CK69)</f>
        <v>0</v>
      </c>
      <c r="CL5" s="62"/>
      <c r="CM5" s="247" t="s">
        <v>27</v>
      </c>
      <c r="CN5" s="243" t="s">
        <v>12</v>
      </c>
      <c r="CO5" s="45" t="s">
        <v>11</v>
      </c>
      <c r="CP5" s="46">
        <f>SUM(الإحالات!CP69)</f>
        <v>0</v>
      </c>
      <c r="CQ5" s="47">
        <f>SUM(الإحالات!CQ69)</f>
        <v>0</v>
      </c>
      <c r="CR5" s="48">
        <f>SUM(الإحالات!CR69)</f>
        <v>0</v>
      </c>
      <c r="CS5" s="130">
        <f>SUM(CP5:CR5)</f>
        <v>0</v>
      </c>
      <c r="CT5" s="49">
        <f>SUM(الإحالات!CT69)</f>
        <v>0</v>
      </c>
      <c r="CU5" s="62"/>
      <c r="CV5" s="247" t="s">
        <v>27</v>
      </c>
      <c r="CW5" s="243" t="s">
        <v>12</v>
      </c>
      <c r="CX5" s="45" t="s">
        <v>11</v>
      </c>
      <c r="CY5" s="46">
        <f>SUM(الإحالات!CY69)</f>
        <v>0</v>
      </c>
      <c r="CZ5" s="47">
        <f>SUM(الإحالات!CZ69)</f>
        <v>0</v>
      </c>
      <c r="DA5" s="48">
        <f>SUM(الإحالات!DA69)</f>
        <v>0</v>
      </c>
      <c r="DB5" s="130">
        <f>SUM(CY5:DA5)</f>
        <v>0</v>
      </c>
      <c r="DC5" s="49">
        <f>SUM(الإحالات!DC69)</f>
        <v>0</v>
      </c>
      <c r="DD5" s="62"/>
      <c r="DE5" s="247" t="s">
        <v>27</v>
      </c>
      <c r="DF5" s="243" t="s">
        <v>12</v>
      </c>
      <c r="DG5" s="45" t="s">
        <v>11</v>
      </c>
      <c r="DH5" s="46">
        <f>SUM(الإحالات!DH69)</f>
        <v>5</v>
      </c>
      <c r="DI5" s="47">
        <f>SUM(الإحالات!DI69)</f>
        <v>3220</v>
      </c>
      <c r="DJ5" s="48">
        <f>SUM(الإحالات!DJ69)</f>
        <v>25796</v>
      </c>
      <c r="DK5" s="130">
        <f>SUM(DH5:DJ5)</f>
        <v>29021</v>
      </c>
      <c r="DL5" s="49">
        <f>SUM(الإحالات!DL69)</f>
        <v>0</v>
      </c>
      <c r="DM5" s="62"/>
    </row>
    <row r="6" spans="1:117" ht="20.100000000000001" customHeight="1" thickBot="1" x14ac:dyDescent="0.25">
      <c r="A6" s="248"/>
      <c r="B6" s="244"/>
      <c r="C6" s="50" t="s">
        <v>13</v>
      </c>
      <c r="D6" s="51">
        <f>SUM(الإحالات!D70)</f>
        <v>0</v>
      </c>
      <c r="E6" s="52">
        <f>SUM(الإحالات!E70)</f>
        <v>162</v>
      </c>
      <c r="F6" s="53">
        <f>SUM(الإحالات!F70)</f>
        <v>2237</v>
      </c>
      <c r="G6" s="131">
        <f>SUM(D6:F6)</f>
        <v>2399</v>
      </c>
      <c r="H6" s="54">
        <f>SUM(الإحالات!H70)</f>
        <v>0</v>
      </c>
      <c r="I6" s="62"/>
      <c r="J6" s="248"/>
      <c r="K6" s="244"/>
      <c r="L6" s="50" t="s">
        <v>13</v>
      </c>
      <c r="M6" s="51">
        <f>SUM(الإحالات!M70)</f>
        <v>0</v>
      </c>
      <c r="N6" s="52">
        <f>SUM(الإحالات!N70)</f>
        <v>409</v>
      </c>
      <c r="O6" s="53">
        <f>SUM(الإحالات!O70)</f>
        <v>2501</v>
      </c>
      <c r="P6" s="131">
        <f>SUM(M6:O6)</f>
        <v>2910</v>
      </c>
      <c r="Q6" s="54">
        <f>SUM(الإحالات!Q70)</f>
        <v>0</v>
      </c>
      <c r="R6" s="62"/>
      <c r="S6" s="248"/>
      <c r="T6" s="244"/>
      <c r="U6" s="50" t="s">
        <v>13</v>
      </c>
      <c r="V6" s="51">
        <f>SUM(الإحالات!V70)</f>
        <v>1</v>
      </c>
      <c r="W6" s="52">
        <f>SUM(الإحالات!W70)</f>
        <v>626</v>
      </c>
      <c r="X6" s="53">
        <f>SUM(الإحالات!X70)</f>
        <v>2260</v>
      </c>
      <c r="Y6" s="131">
        <f>SUM(V6:X6)</f>
        <v>2887</v>
      </c>
      <c r="Z6" s="54">
        <f>SUM(الإحالات!Z70)</f>
        <v>0</v>
      </c>
      <c r="AA6" s="62"/>
      <c r="AB6" s="248"/>
      <c r="AC6" s="244"/>
      <c r="AD6" s="50" t="s">
        <v>13</v>
      </c>
      <c r="AE6" s="51">
        <f>SUM(الإحالات!AE70)</f>
        <v>0</v>
      </c>
      <c r="AF6" s="52">
        <f>SUM(الإحالات!AF70)</f>
        <v>138</v>
      </c>
      <c r="AG6" s="53">
        <f>SUM(الإحالات!AG70)</f>
        <v>1544</v>
      </c>
      <c r="AH6" s="131">
        <f>SUM(AE6:AG6)</f>
        <v>1682</v>
      </c>
      <c r="AI6" s="54">
        <f>SUM(الإحالات!AI70)</f>
        <v>0</v>
      </c>
      <c r="AJ6" s="62"/>
      <c r="AK6" s="248"/>
      <c r="AL6" s="244"/>
      <c r="AM6" s="50" t="s">
        <v>13</v>
      </c>
      <c r="AN6" s="51">
        <f>SUM(الإحالات!AN70)</f>
        <v>0</v>
      </c>
      <c r="AO6" s="52">
        <f>SUM(الإحالات!AO70)</f>
        <v>100</v>
      </c>
      <c r="AP6" s="53">
        <f>SUM(الإحالات!AP70)</f>
        <v>1590</v>
      </c>
      <c r="AQ6" s="131">
        <f>SUM(AN6:AP6)</f>
        <v>1690</v>
      </c>
      <c r="AR6" s="54">
        <f>SUM(الإحالات!AR70)</f>
        <v>0</v>
      </c>
      <c r="AS6" s="62"/>
      <c r="AT6" s="248"/>
      <c r="AU6" s="244"/>
      <c r="AV6" s="50" t="s">
        <v>13</v>
      </c>
      <c r="AW6" s="51">
        <f>SUM(الإحالات!AW70)</f>
        <v>0</v>
      </c>
      <c r="AX6" s="52">
        <f>SUM(الإحالات!AX70)</f>
        <v>76</v>
      </c>
      <c r="AY6" s="53">
        <f>SUM(الإحالات!AY70)</f>
        <v>1821</v>
      </c>
      <c r="AZ6" s="131">
        <f>SUM(AW6:AY6)</f>
        <v>1897</v>
      </c>
      <c r="BA6" s="54">
        <f>SUM(الإحالات!BA70)</f>
        <v>0</v>
      </c>
      <c r="BB6" s="62"/>
      <c r="BC6" s="248"/>
      <c r="BD6" s="244"/>
      <c r="BE6" s="50" t="s">
        <v>13</v>
      </c>
      <c r="BF6" s="51">
        <f>SUM(الإحالات!BF70)</f>
        <v>0</v>
      </c>
      <c r="BG6" s="52">
        <f>SUM(الإحالات!BG70)</f>
        <v>272</v>
      </c>
      <c r="BH6" s="53">
        <f>SUM(الإحالات!BH70)</f>
        <v>2374</v>
      </c>
      <c r="BI6" s="131">
        <f>SUM(BF6:BH6)</f>
        <v>2646</v>
      </c>
      <c r="BJ6" s="54">
        <f>SUM(الإحالات!BJ70)</f>
        <v>0</v>
      </c>
      <c r="BK6" s="62"/>
      <c r="BL6" s="248"/>
      <c r="BM6" s="244"/>
      <c r="BN6" s="50" t="s">
        <v>13</v>
      </c>
      <c r="BO6" s="51">
        <f>SUM(الإحالات!BO70)</f>
        <v>3</v>
      </c>
      <c r="BP6" s="52">
        <f>SUM(الإحالات!BP70)</f>
        <v>152</v>
      </c>
      <c r="BQ6" s="53">
        <f>SUM(الإحالات!BQ70)</f>
        <v>1760</v>
      </c>
      <c r="BR6" s="131">
        <f>SUM(BO6:BQ6)</f>
        <v>1915</v>
      </c>
      <c r="BS6" s="54">
        <f>SUM(الإحالات!BS70)</f>
        <v>0</v>
      </c>
      <c r="BT6" s="62"/>
      <c r="BU6" s="248"/>
      <c r="BV6" s="244"/>
      <c r="BW6" s="50" t="s">
        <v>13</v>
      </c>
      <c r="BX6" s="51">
        <f>SUM(الإحالات!BX70)</f>
        <v>0</v>
      </c>
      <c r="BY6" s="52">
        <f>SUM(الإحالات!BY70)</f>
        <v>122</v>
      </c>
      <c r="BZ6" s="53">
        <f>SUM(الإحالات!BZ70)</f>
        <v>1378</v>
      </c>
      <c r="CA6" s="131">
        <f>SUM(BX6:BZ6)</f>
        <v>1500</v>
      </c>
      <c r="CB6" s="54">
        <f>SUM(الإحالات!CB70)</f>
        <v>0</v>
      </c>
      <c r="CC6" s="62"/>
      <c r="CD6" s="248"/>
      <c r="CE6" s="244"/>
      <c r="CF6" s="50" t="s">
        <v>13</v>
      </c>
      <c r="CG6" s="51">
        <f>SUM(الإحالات!CG70)</f>
        <v>0</v>
      </c>
      <c r="CH6" s="52">
        <f>SUM(الإحالات!CH70)</f>
        <v>78</v>
      </c>
      <c r="CI6" s="53">
        <f>SUM(الإحالات!CI70)</f>
        <v>1423</v>
      </c>
      <c r="CJ6" s="131">
        <f>SUM(CG6:CI6)</f>
        <v>1501</v>
      </c>
      <c r="CK6" s="54">
        <f>SUM(الإحالات!CK70)</f>
        <v>0</v>
      </c>
      <c r="CL6" s="62"/>
      <c r="CM6" s="248"/>
      <c r="CN6" s="244"/>
      <c r="CO6" s="50" t="s">
        <v>13</v>
      </c>
      <c r="CP6" s="51">
        <f>SUM(الإحالات!CP70)</f>
        <v>0</v>
      </c>
      <c r="CQ6" s="52">
        <f>SUM(الإحالات!CQ70)</f>
        <v>0</v>
      </c>
      <c r="CR6" s="53">
        <f>SUM(الإحالات!CR70)</f>
        <v>0</v>
      </c>
      <c r="CS6" s="131">
        <f>SUM(CP6:CR6)</f>
        <v>0</v>
      </c>
      <c r="CT6" s="54">
        <f>SUM(الإحالات!CT70)</f>
        <v>0</v>
      </c>
      <c r="CU6" s="62"/>
      <c r="CV6" s="248"/>
      <c r="CW6" s="244"/>
      <c r="CX6" s="50" t="s">
        <v>13</v>
      </c>
      <c r="CY6" s="51">
        <f>SUM(الإحالات!CY70)</f>
        <v>0</v>
      </c>
      <c r="CZ6" s="52">
        <f>SUM(الإحالات!CZ70)</f>
        <v>0</v>
      </c>
      <c r="DA6" s="53">
        <f>SUM(الإحالات!DA70)</f>
        <v>0</v>
      </c>
      <c r="DB6" s="131">
        <f>SUM(CY6:DA6)</f>
        <v>0</v>
      </c>
      <c r="DC6" s="54">
        <f>SUM(الإحالات!DC70)</f>
        <v>0</v>
      </c>
      <c r="DD6" s="62"/>
      <c r="DE6" s="248"/>
      <c r="DF6" s="244"/>
      <c r="DG6" s="50" t="s">
        <v>13</v>
      </c>
      <c r="DH6" s="51">
        <f>SUM(الإحالات!DH70)</f>
        <v>4</v>
      </c>
      <c r="DI6" s="52">
        <f>SUM(الإحالات!DI70)</f>
        <v>2135</v>
      </c>
      <c r="DJ6" s="53">
        <f>SUM(الإحالات!DJ70)</f>
        <v>18888</v>
      </c>
      <c r="DK6" s="131">
        <f>SUM(DH6:DJ6)</f>
        <v>21027</v>
      </c>
      <c r="DL6" s="54">
        <f>SUM(الإحالات!DL70)</f>
        <v>0</v>
      </c>
      <c r="DM6" s="62"/>
    </row>
    <row r="7" spans="1:117" ht="20.100000000000001" customHeight="1" x14ac:dyDescent="0.25">
      <c r="A7" s="248"/>
      <c r="B7" s="18" t="s">
        <v>14</v>
      </c>
      <c r="C7" s="55" t="s">
        <v>11</v>
      </c>
      <c r="D7" s="132">
        <f>SUM(الإحالات!D71)</f>
        <v>0</v>
      </c>
      <c r="E7" s="133">
        <f>SUM(الإحالات!E71)</f>
        <v>77</v>
      </c>
      <c r="F7" s="134">
        <f>SUM(الإحالات!F71)</f>
        <v>196</v>
      </c>
      <c r="G7" s="135">
        <f>SUM(D7:F7)</f>
        <v>273</v>
      </c>
      <c r="H7" s="136">
        <f>SUM(الإحالات!H71)</f>
        <v>0</v>
      </c>
      <c r="I7" s="62"/>
      <c r="J7" s="248"/>
      <c r="K7" s="18" t="s">
        <v>14</v>
      </c>
      <c r="L7" s="55" t="s">
        <v>11</v>
      </c>
      <c r="M7" s="132">
        <f>SUM(الإحالات!M71)</f>
        <v>0</v>
      </c>
      <c r="N7" s="133">
        <f>SUM(الإحالات!N71)</f>
        <v>60</v>
      </c>
      <c r="O7" s="134">
        <f>SUM(الإحالات!O71)</f>
        <v>98</v>
      </c>
      <c r="P7" s="135">
        <f>SUM(M7:O7)</f>
        <v>158</v>
      </c>
      <c r="Q7" s="136">
        <f>SUM(الإحالات!Q71)</f>
        <v>0</v>
      </c>
      <c r="R7" s="62"/>
      <c r="S7" s="248"/>
      <c r="T7" s="18" t="s">
        <v>14</v>
      </c>
      <c r="U7" s="55" t="s">
        <v>11</v>
      </c>
      <c r="V7" s="132">
        <f>SUM(الإحالات!V71)</f>
        <v>1</v>
      </c>
      <c r="W7" s="133">
        <f>SUM(الإحالات!W71)</f>
        <v>871</v>
      </c>
      <c r="X7" s="134">
        <f>SUM(الإحالات!X71)</f>
        <v>1643</v>
      </c>
      <c r="Y7" s="135">
        <f>SUM(V7:X7)</f>
        <v>2515</v>
      </c>
      <c r="Z7" s="136">
        <f>SUM(الإحالات!Z71)</f>
        <v>0</v>
      </c>
      <c r="AA7" s="62"/>
      <c r="AB7" s="248"/>
      <c r="AC7" s="18" t="s">
        <v>14</v>
      </c>
      <c r="AD7" s="55" t="s">
        <v>11</v>
      </c>
      <c r="AE7" s="132">
        <f>SUM(الإحالات!AE71)</f>
        <v>0</v>
      </c>
      <c r="AF7" s="133">
        <f>SUM(الإحالات!AF71)</f>
        <v>71</v>
      </c>
      <c r="AG7" s="134">
        <f>SUM(الإحالات!AG71)</f>
        <v>1331</v>
      </c>
      <c r="AH7" s="135">
        <f>SUM(AE7:AG7)</f>
        <v>1402</v>
      </c>
      <c r="AI7" s="136">
        <f>SUM(الإحالات!AI71)</f>
        <v>0</v>
      </c>
      <c r="AJ7" s="62"/>
      <c r="AK7" s="248"/>
      <c r="AL7" s="18" t="s">
        <v>14</v>
      </c>
      <c r="AM7" s="55" t="s">
        <v>11</v>
      </c>
      <c r="AN7" s="132">
        <f>SUM(الإحالات!AN71)</f>
        <v>0</v>
      </c>
      <c r="AO7" s="133">
        <f>SUM(الإحالات!AO71)</f>
        <v>48</v>
      </c>
      <c r="AP7" s="134">
        <f>SUM(الإحالات!AP71)</f>
        <v>632</v>
      </c>
      <c r="AQ7" s="135">
        <f>SUM(AN7:AP7)</f>
        <v>680</v>
      </c>
      <c r="AR7" s="136">
        <f>SUM(الإحالات!AR71)</f>
        <v>0</v>
      </c>
      <c r="AS7" s="62"/>
      <c r="AT7" s="248"/>
      <c r="AU7" s="18" t="s">
        <v>14</v>
      </c>
      <c r="AV7" s="55" t="s">
        <v>11</v>
      </c>
      <c r="AW7" s="132">
        <f>SUM(الإحالات!AW71)</f>
        <v>0</v>
      </c>
      <c r="AX7" s="133">
        <f>SUM(الإحالات!AX71)</f>
        <v>11</v>
      </c>
      <c r="AY7" s="134">
        <f>SUM(الإحالات!AY71)</f>
        <v>582</v>
      </c>
      <c r="AZ7" s="135">
        <f>SUM(AW7:AY7)</f>
        <v>593</v>
      </c>
      <c r="BA7" s="136">
        <f>SUM(الإحالات!BA71)</f>
        <v>0</v>
      </c>
      <c r="BB7" s="62"/>
      <c r="BC7" s="248"/>
      <c r="BD7" s="18" t="s">
        <v>14</v>
      </c>
      <c r="BE7" s="55" t="s">
        <v>11</v>
      </c>
      <c r="BF7" s="132">
        <f>SUM(الإحالات!BF71)</f>
        <v>0</v>
      </c>
      <c r="BG7" s="133">
        <f>SUM(الإحالات!BG71)</f>
        <v>199</v>
      </c>
      <c r="BH7" s="134">
        <f>SUM(الإحالات!BH71)</f>
        <v>2100</v>
      </c>
      <c r="BI7" s="135">
        <f>SUM(BF7:BH7)</f>
        <v>2299</v>
      </c>
      <c r="BJ7" s="136">
        <f>SUM(الإحالات!BJ71)</f>
        <v>0</v>
      </c>
      <c r="BK7" s="62"/>
      <c r="BL7" s="248"/>
      <c r="BM7" s="18" t="s">
        <v>14</v>
      </c>
      <c r="BN7" s="55" t="s">
        <v>11</v>
      </c>
      <c r="BO7" s="132">
        <f>SUM(الإحالات!BO71)</f>
        <v>0</v>
      </c>
      <c r="BP7" s="133">
        <f>SUM(الإحالات!BP71)</f>
        <v>33</v>
      </c>
      <c r="BQ7" s="134">
        <f>SUM(الإحالات!BQ71)</f>
        <v>202</v>
      </c>
      <c r="BR7" s="135">
        <f>SUM(BO7:BQ7)</f>
        <v>235</v>
      </c>
      <c r="BS7" s="136">
        <f>SUM(الإحالات!BS71)</f>
        <v>0</v>
      </c>
      <c r="BT7" s="62"/>
      <c r="BU7" s="248"/>
      <c r="BV7" s="18" t="s">
        <v>14</v>
      </c>
      <c r="BW7" s="55" t="s">
        <v>11</v>
      </c>
      <c r="BX7" s="132">
        <f>SUM(الإحالات!BX71)</f>
        <v>0</v>
      </c>
      <c r="BY7" s="133">
        <f>SUM(الإحالات!BY71)</f>
        <v>17</v>
      </c>
      <c r="BZ7" s="134">
        <f>SUM(الإحالات!BZ71)</f>
        <v>139</v>
      </c>
      <c r="CA7" s="135">
        <f>SUM(BX7:BZ7)</f>
        <v>156</v>
      </c>
      <c r="CB7" s="136">
        <f>SUM(الإحالات!CB71)</f>
        <v>0</v>
      </c>
      <c r="CC7" s="62"/>
      <c r="CD7" s="248"/>
      <c r="CE7" s="18" t="s">
        <v>14</v>
      </c>
      <c r="CF7" s="55" t="s">
        <v>11</v>
      </c>
      <c r="CG7" s="132">
        <f>SUM(الإحالات!CG71)</f>
        <v>0</v>
      </c>
      <c r="CH7" s="133">
        <f>SUM(الإحالات!CH71)</f>
        <v>9</v>
      </c>
      <c r="CI7" s="134">
        <f>SUM(الإحالات!CI71)</f>
        <v>129</v>
      </c>
      <c r="CJ7" s="135">
        <f>SUM(CG7:CI7)</f>
        <v>138</v>
      </c>
      <c r="CK7" s="136">
        <f>SUM(الإحالات!CK71)</f>
        <v>0</v>
      </c>
      <c r="CL7" s="62"/>
      <c r="CM7" s="248"/>
      <c r="CN7" s="18" t="s">
        <v>14</v>
      </c>
      <c r="CO7" s="55" t="s">
        <v>11</v>
      </c>
      <c r="CP7" s="132">
        <f>SUM(الإحالات!CP71)</f>
        <v>0</v>
      </c>
      <c r="CQ7" s="133">
        <f>SUM(الإحالات!CQ71)</f>
        <v>0</v>
      </c>
      <c r="CR7" s="134">
        <f>SUM(الإحالات!CR71)</f>
        <v>0</v>
      </c>
      <c r="CS7" s="135">
        <f>SUM(CP7:CR7)</f>
        <v>0</v>
      </c>
      <c r="CT7" s="136">
        <f>SUM(الإحالات!CT71)</f>
        <v>0</v>
      </c>
      <c r="CU7" s="62"/>
      <c r="CV7" s="248"/>
      <c r="CW7" s="18" t="s">
        <v>14</v>
      </c>
      <c r="CX7" s="55" t="s">
        <v>11</v>
      </c>
      <c r="CY7" s="132">
        <f>SUM(الإحالات!CY71)</f>
        <v>0</v>
      </c>
      <c r="CZ7" s="133">
        <f>SUM(الإحالات!CZ71)</f>
        <v>0</v>
      </c>
      <c r="DA7" s="134">
        <f>SUM(الإحالات!DA71)</f>
        <v>0</v>
      </c>
      <c r="DB7" s="135">
        <f>SUM(CY7:DA7)</f>
        <v>0</v>
      </c>
      <c r="DC7" s="136">
        <f>SUM(الإحالات!DC71)</f>
        <v>0</v>
      </c>
      <c r="DD7" s="62"/>
      <c r="DE7" s="248"/>
      <c r="DF7" s="18" t="s">
        <v>14</v>
      </c>
      <c r="DG7" s="55" t="s">
        <v>11</v>
      </c>
      <c r="DH7" s="132">
        <f>SUM(الإحالات!DH71)</f>
        <v>1</v>
      </c>
      <c r="DI7" s="133">
        <f>SUM(الإحالات!DI71)</f>
        <v>1396</v>
      </c>
      <c r="DJ7" s="134">
        <f>SUM(الإحالات!DJ71)</f>
        <v>7052</v>
      </c>
      <c r="DK7" s="135">
        <f>SUM(DH7:DJ7)</f>
        <v>8449</v>
      </c>
      <c r="DL7" s="136">
        <f>SUM(الإحالات!DL71)</f>
        <v>0</v>
      </c>
      <c r="DM7" s="62"/>
    </row>
    <row r="8" spans="1:117" ht="20.100000000000001" customHeight="1" thickBot="1" x14ac:dyDescent="0.3">
      <c r="A8" s="248"/>
      <c r="B8" s="19" t="s">
        <v>12</v>
      </c>
      <c r="C8" s="56" t="s">
        <v>13</v>
      </c>
      <c r="D8" s="51">
        <f>SUM(الإحالات!D72)</f>
        <v>0</v>
      </c>
      <c r="E8" s="52">
        <f>SUM(الإحالات!E72)</f>
        <v>63</v>
      </c>
      <c r="F8" s="53">
        <f>SUM(الإحالات!F72)</f>
        <v>148</v>
      </c>
      <c r="G8" s="131">
        <f>SUM(D8:F8)</f>
        <v>211</v>
      </c>
      <c r="H8" s="54">
        <f>SUM(الإحالات!H72)</f>
        <v>0</v>
      </c>
      <c r="I8" s="62"/>
      <c r="J8" s="248"/>
      <c r="K8" s="19" t="s">
        <v>12</v>
      </c>
      <c r="L8" s="56" t="s">
        <v>13</v>
      </c>
      <c r="M8" s="51">
        <f>SUM(الإحالات!M72)</f>
        <v>0</v>
      </c>
      <c r="N8" s="52">
        <f>SUM(الإحالات!N72)</f>
        <v>21</v>
      </c>
      <c r="O8" s="53">
        <f>SUM(الإحالات!O72)</f>
        <v>101</v>
      </c>
      <c r="P8" s="131">
        <f>SUM(M8:O8)</f>
        <v>122</v>
      </c>
      <c r="Q8" s="54">
        <f>SUM(الإحالات!Q72)</f>
        <v>0</v>
      </c>
      <c r="R8" s="62"/>
      <c r="S8" s="248"/>
      <c r="T8" s="19" t="s">
        <v>12</v>
      </c>
      <c r="U8" s="56" t="s">
        <v>13</v>
      </c>
      <c r="V8" s="51">
        <f>SUM(الإحالات!V72)</f>
        <v>0</v>
      </c>
      <c r="W8" s="52">
        <f>SUM(الإحالات!W72)</f>
        <v>59</v>
      </c>
      <c r="X8" s="53">
        <f>SUM(الإحالات!X72)</f>
        <v>125</v>
      </c>
      <c r="Y8" s="131">
        <f>SUM(V8:X8)</f>
        <v>184</v>
      </c>
      <c r="Z8" s="54">
        <f>SUM(الإحالات!Z72)</f>
        <v>0</v>
      </c>
      <c r="AA8" s="62"/>
      <c r="AB8" s="248"/>
      <c r="AC8" s="19" t="s">
        <v>12</v>
      </c>
      <c r="AD8" s="56" t="s">
        <v>13</v>
      </c>
      <c r="AE8" s="51">
        <f>SUM(الإحالات!AE72)</f>
        <v>0</v>
      </c>
      <c r="AF8" s="52">
        <f>SUM(الإحالات!AF72)</f>
        <v>43</v>
      </c>
      <c r="AG8" s="53">
        <f>SUM(الإحالات!AG72)</f>
        <v>109</v>
      </c>
      <c r="AH8" s="131">
        <f>SUM(AE8:AG8)</f>
        <v>152</v>
      </c>
      <c r="AI8" s="54">
        <f>SUM(الإحالات!AI72)</f>
        <v>0</v>
      </c>
      <c r="AJ8" s="62"/>
      <c r="AK8" s="248"/>
      <c r="AL8" s="19" t="s">
        <v>12</v>
      </c>
      <c r="AM8" s="56" t="s">
        <v>13</v>
      </c>
      <c r="AN8" s="51">
        <f>SUM(الإحالات!AN72)</f>
        <v>0</v>
      </c>
      <c r="AO8" s="52">
        <f>SUM(الإحالات!AO72)</f>
        <v>31</v>
      </c>
      <c r="AP8" s="53">
        <f>SUM(الإحالات!AP72)</f>
        <v>441</v>
      </c>
      <c r="AQ8" s="131">
        <f>SUM(AN8:AP8)</f>
        <v>472</v>
      </c>
      <c r="AR8" s="54">
        <f>SUM(الإحالات!AR72)</f>
        <v>0</v>
      </c>
      <c r="AS8" s="62"/>
      <c r="AT8" s="248"/>
      <c r="AU8" s="19" t="s">
        <v>12</v>
      </c>
      <c r="AV8" s="56" t="s">
        <v>13</v>
      </c>
      <c r="AW8" s="51">
        <f>SUM(الإحالات!AW72)</f>
        <v>0</v>
      </c>
      <c r="AX8" s="52">
        <f>SUM(الإحالات!AX72)</f>
        <v>12</v>
      </c>
      <c r="AY8" s="53">
        <f>SUM(الإحالات!AY72)</f>
        <v>346</v>
      </c>
      <c r="AZ8" s="131">
        <f>SUM(AW8:AY8)</f>
        <v>358</v>
      </c>
      <c r="BA8" s="54">
        <f>SUM(الإحالات!BA72)</f>
        <v>0</v>
      </c>
      <c r="BB8" s="62"/>
      <c r="BC8" s="248"/>
      <c r="BD8" s="19" t="s">
        <v>12</v>
      </c>
      <c r="BE8" s="56" t="s">
        <v>13</v>
      </c>
      <c r="BF8" s="51">
        <f>SUM(الإحالات!BF72)</f>
        <v>0</v>
      </c>
      <c r="BG8" s="52">
        <f>SUM(الإحالات!BG72)</f>
        <v>111</v>
      </c>
      <c r="BH8" s="53">
        <f>SUM(الإحالات!BH72)</f>
        <v>159</v>
      </c>
      <c r="BI8" s="131">
        <f>SUM(BF8:BH8)</f>
        <v>270</v>
      </c>
      <c r="BJ8" s="54">
        <f>SUM(الإحالات!BJ72)</f>
        <v>0</v>
      </c>
      <c r="BK8" s="62"/>
      <c r="BL8" s="248"/>
      <c r="BM8" s="19" t="s">
        <v>12</v>
      </c>
      <c r="BN8" s="56" t="s">
        <v>13</v>
      </c>
      <c r="BO8" s="51">
        <f>SUM(الإحالات!BO72)</f>
        <v>0</v>
      </c>
      <c r="BP8" s="52">
        <f>SUM(الإحالات!BP72)</f>
        <v>25</v>
      </c>
      <c r="BQ8" s="53">
        <f>SUM(الإحالات!BQ72)</f>
        <v>352</v>
      </c>
      <c r="BR8" s="131">
        <f>SUM(BO8:BQ8)</f>
        <v>377</v>
      </c>
      <c r="BS8" s="54">
        <f>SUM(الإحالات!BS72)</f>
        <v>0</v>
      </c>
      <c r="BT8" s="62"/>
      <c r="BU8" s="248"/>
      <c r="BV8" s="19" t="s">
        <v>12</v>
      </c>
      <c r="BW8" s="56" t="s">
        <v>13</v>
      </c>
      <c r="BX8" s="51">
        <f>SUM(الإحالات!BX72)</f>
        <v>0</v>
      </c>
      <c r="BY8" s="52">
        <f>SUM(الإحالات!BY72)</f>
        <v>15</v>
      </c>
      <c r="BZ8" s="53">
        <f>SUM(الإحالات!BZ72)</f>
        <v>117</v>
      </c>
      <c r="CA8" s="131">
        <f>SUM(BX8:BZ8)</f>
        <v>132</v>
      </c>
      <c r="CB8" s="54">
        <f>SUM(الإحالات!CB72)</f>
        <v>0</v>
      </c>
      <c r="CC8" s="62"/>
      <c r="CD8" s="248"/>
      <c r="CE8" s="19" t="s">
        <v>12</v>
      </c>
      <c r="CF8" s="56" t="s">
        <v>13</v>
      </c>
      <c r="CG8" s="51">
        <f>SUM(الإحالات!CG72)</f>
        <v>0</v>
      </c>
      <c r="CH8" s="52">
        <f>SUM(الإحالات!CH72)</f>
        <v>11</v>
      </c>
      <c r="CI8" s="53">
        <f>SUM(الإحالات!CI72)</f>
        <v>56</v>
      </c>
      <c r="CJ8" s="131">
        <f>SUM(CG8:CI8)</f>
        <v>67</v>
      </c>
      <c r="CK8" s="54">
        <f>SUM(الإحالات!CK72)</f>
        <v>0</v>
      </c>
      <c r="CL8" s="62"/>
      <c r="CM8" s="248"/>
      <c r="CN8" s="19" t="s">
        <v>12</v>
      </c>
      <c r="CO8" s="56" t="s">
        <v>13</v>
      </c>
      <c r="CP8" s="51">
        <f>SUM(الإحالات!CP72)</f>
        <v>0</v>
      </c>
      <c r="CQ8" s="52">
        <f>SUM(الإحالات!CQ72)</f>
        <v>0</v>
      </c>
      <c r="CR8" s="53">
        <f>SUM(الإحالات!CR72)</f>
        <v>0</v>
      </c>
      <c r="CS8" s="131">
        <f>SUM(CP8:CR8)</f>
        <v>0</v>
      </c>
      <c r="CT8" s="54">
        <f>SUM(الإحالات!CT72)</f>
        <v>0</v>
      </c>
      <c r="CU8" s="62"/>
      <c r="CV8" s="248"/>
      <c r="CW8" s="19" t="s">
        <v>12</v>
      </c>
      <c r="CX8" s="56" t="s">
        <v>13</v>
      </c>
      <c r="CY8" s="51">
        <f>SUM(الإحالات!CY72)</f>
        <v>0</v>
      </c>
      <c r="CZ8" s="52">
        <f>SUM(الإحالات!CZ72)</f>
        <v>0</v>
      </c>
      <c r="DA8" s="53">
        <f>SUM(الإحالات!DA72)</f>
        <v>0</v>
      </c>
      <c r="DB8" s="131">
        <f>SUM(CY8:DA8)</f>
        <v>0</v>
      </c>
      <c r="DC8" s="54">
        <f>SUM(الإحالات!DC72)</f>
        <v>0</v>
      </c>
      <c r="DD8" s="62"/>
      <c r="DE8" s="248"/>
      <c r="DF8" s="19" t="s">
        <v>12</v>
      </c>
      <c r="DG8" s="56" t="s">
        <v>13</v>
      </c>
      <c r="DH8" s="51">
        <f>SUM(الإحالات!DH72)</f>
        <v>0</v>
      </c>
      <c r="DI8" s="52">
        <f>SUM(الإحالات!DI72)</f>
        <v>391</v>
      </c>
      <c r="DJ8" s="53">
        <f>SUM(الإحالات!DJ72)</f>
        <v>1954</v>
      </c>
      <c r="DK8" s="131">
        <f>SUM(DH8:DJ8)</f>
        <v>2345</v>
      </c>
      <c r="DL8" s="54">
        <f>SUM(الإحالات!DL72)</f>
        <v>0</v>
      </c>
      <c r="DM8" s="62"/>
    </row>
    <row r="9" spans="1:117" ht="20.100000000000001" customHeight="1" thickBot="1" x14ac:dyDescent="0.25">
      <c r="A9" s="249"/>
      <c r="B9" s="250" t="s">
        <v>3</v>
      </c>
      <c r="C9" s="251"/>
      <c r="D9" s="57">
        <f>SUM(D5:D8)</f>
        <v>1</v>
      </c>
      <c r="E9" s="58">
        <f>SUM(E5:E8)</f>
        <v>530</v>
      </c>
      <c r="F9" s="129">
        <f>SUM(F5:F8)</f>
        <v>4514</v>
      </c>
      <c r="G9" s="59">
        <f>SUM(G5:G8)</f>
        <v>5045</v>
      </c>
      <c r="H9" s="59">
        <f>SUM(H5:H8)</f>
        <v>0</v>
      </c>
      <c r="I9" s="62"/>
      <c r="J9" s="249"/>
      <c r="K9" s="250" t="s">
        <v>3</v>
      </c>
      <c r="L9" s="251"/>
      <c r="M9" s="57">
        <f>SUM(M5:M8)</f>
        <v>0</v>
      </c>
      <c r="N9" s="58">
        <f>SUM(N5:N8)</f>
        <v>899</v>
      </c>
      <c r="O9" s="129">
        <f>SUM(O5:O8)</f>
        <v>4728</v>
      </c>
      <c r="P9" s="59">
        <f>SUM(P5:P8)</f>
        <v>5627</v>
      </c>
      <c r="Q9" s="59">
        <f>SUM(Q5:Q8)</f>
        <v>0</v>
      </c>
      <c r="R9" s="62"/>
      <c r="S9" s="249"/>
      <c r="T9" s="250" t="s">
        <v>3</v>
      </c>
      <c r="U9" s="251"/>
      <c r="V9" s="57">
        <f>SUM(V5:V8)</f>
        <v>4</v>
      </c>
      <c r="W9" s="58">
        <f>SUM(W5:W8)</f>
        <v>2340</v>
      </c>
      <c r="X9" s="129">
        <f>SUM(X5:X8)</f>
        <v>6826</v>
      </c>
      <c r="Y9" s="59">
        <f>SUM(Y5:Y8)</f>
        <v>9170</v>
      </c>
      <c r="Z9" s="59">
        <f>SUM(Z5:Z8)</f>
        <v>0</v>
      </c>
      <c r="AA9" s="62"/>
      <c r="AB9" s="249"/>
      <c r="AC9" s="250" t="s">
        <v>3</v>
      </c>
      <c r="AD9" s="251"/>
      <c r="AE9" s="57">
        <f>SUM(AE5:AE8)</f>
        <v>0</v>
      </c>
      <c r="AF9" s="58">
        <f>SUM(AF5:AF8)</f>
        <v>568</v>
      </c>
      <c r="AG9" s="129">
        <f>SUM(AG5:AG8)</f>
        <v>6279</v>
      </c>
      <c r="AH9" s="59">
        <f>SUM(AH5:AH8)</f>
        <v>6847</v>
      </c>
      <c r="AI9" s="59">
        <f>SUM(AI5:AI8)</f>
        <v>0</v>
      </c>
      <c r="AJ9" s="62"/>
      <c r="AK9" s="249"/>
      <c r="AL9" s="250" t="s">
        <v>3</v>
      </c>
      <c r="AM9" s="251"/>
      <c r="AN9" s="57">
        <f>SUM(AN5:AN8)</f>
        <v>0</v>
      </c>
      <c r="AO9" s="58">
        <f>SUM(AO5:AO8)</f>
        <v>301</v>
      </c>
      <c r="AP9" s="129">
        <f>SUM(AP5:AP8)</f>
        <v>4862</v>
      </c>
      <c r="AQ9" s="59">
        <f>SUM(AQ5:AQ8)</f>
        <v>5163</v>
      </c>
      <c r="AR9" s="59">
        <f>SUM(AR5:AR8)</f>
        <v>0</v>
      </c>
      <c r="AS9" s="62"/>
      <c r="AT9" s="249"/>
      <c r="AU9" s="250" t="s">
        <v>3</v>
      </c>
      <c r="AV9" s="251"/>
      <c r="AW9" s="57">
        <f>SUM(AW5:AW8)</f>
        <v>0</v>
      </c>
      <c r="AX9" s="58">
        <f>SUM(AX5:AX8)</f>
        <v>206</v>
      </c>
      <c r="AY9" s="129">
        <f>SUM(AY5:AY8)</f>
        <v>5461</v>
      </c>
      <c r="AZ9" s="59">
        <f>SUM(AZ5:AZ8)</f>
        <v>5667</v>
      </c>
      <c r="BA9" s="59">
        <f>SUM(BA5:BA8)</f>
        <v>0</v>
      </c>
      <c r="BB9" s="62"/>
      <c r="BC9" s="249"/>
      <c r="BD9" s="250" t="s">
        <v>3</v>
      </c>
      <c r="BE9" s="251"/>
      <c r="BF9" s="57">
        <f>SUM(BF5:BF8)</f>
        <v>0</v>
      </c>
      <c r="BG9" s="58">
        <f>SUM(BG5:BG8)</f>
        <v>1476</v>
      </c>
      <c r="BH9" s="129">
        <f>SUM(BH5:BH8)</f>
        <v>10034</v>
      </c>
      <c r="BI9" s="59">
        <f>SUM(BI5:BI8)</f>
        <v>11510</v>
      </c>
      <c r="BJ9" s="59">
        <f>SUM(BJ5:BJ8)</f>
        <v>0</v>
      </c>
      <c r="BK9" s="62"/>
      <c r="BL9" s="249"/>
      <c r="BM9" s="250" t="s">
        <v>3</v>
      </c>
      <c r="BN9" s="251"/>
      <c r="BO9" s="57">
        <f>SUM(BO5:BO8)</f>
        <v>5</v>
      </c>
      <c r="BP9" s="58">
        <f>SUM(BP5:BP8)</f>
        <v>385</v>
      </c>
      <c r="BQ9" s="129">
        <f>SUM(BQ5:BQ8)</f>
        <v>4102</v>
      </c>
      <c r="BR9" s="59">
        <f>SUM(BR5:BR8)</f>
        <v>4492</v>
      </c>
      <c r="BS9" s="59">
        <f>SUM(BS5:BS8)</f>
        <v>0</v>
      </c>
      <c r="BT9" s="62"/>
      <c r="BU9" s="249"/>
      <c r="BV9" s="250" t="s">
        <v>3</v>
      </c>
      <c r="BW9" s="251"/>
      <c r="BX9" s="57">
        <f>SUM(BX5:BX8)</f>
        <v>0</v>
      </c>
      <c r="BY9" s="58">
        <f>SUM(BY5:BY8)</f>
        <v>275</v>
      </c>
      <c r="BZ9" s="129">
        <f>SUM(BZ5:BZ8)</f>
        <v>3249</v>
      </c>
      <c r="CA9" s="59">
        <f>SUM(CA5:CA8)</f>
        <v>3524</v>
      </c>
      <c r="CB9" s="59">
        <f>SUM(CB5:CB8)</f>
        <v>0</v>
      </c>
      <c r="CC9" s="62"/>
      <c r="CD9" s="249"/>
      <c r="CE9" s="250" t="s">
        <v>3</v>
      </c>
      <c r="CF9" s="251"/>
      <c r="CG9" s="57">
        <f>SUM(CG5:CG8)</f>
        <v>0</v>
      </c>
      <c r="CH9" s="58">
        <f>SUM(CH5:CH8)</f>
        <v>162</v>
      </c>
      <c r="CI9" s="129">
        <f>SUM(CI5:CI8)</f>
        <v>3635</v>
      </c>
      <c r="CJ9" s="59">
        <f>SUM(CJ5:CJ8)</f>
        <v>3797</v>
      </c>
      <c r="CK9" s="59">
        <f>SUM(CK5:CK8)</f>
        <v>0</v>
      </c>
      <c r="CL9" s="62"/>
      <c r="CM9" s="249"/>
      <c r="CN9" s="250" t="s">
        <v>3</v>
      </c>
      <c r="CO9" s="251"/>
      <c r="CP9" s="57">
        <f>SUM(CP5:CP8)</f>
        <v>0</v>
      </c>
      <c r="CQ9" s="58">
        <f>SUM(CQ5:CQ8)</f>
        <v>0</v>
      </c>
      <c r="CR9" s="129">
        <f>SUM(CR5:CR8)</f>
        <v>0</v>
      </c>
      <c r="CS9" s="59">
        <f>SUM(CS5:CS8)</f>
        <v>0</v>
      </c>
      <c r="CT9" s="59">
        <f>SUM(CT5:CT8)</f>
        <v>0</v>
      </c>
      <c r="CU9" s="62"/>
      <c r="CV9" s="249"/>
      <c r="CW9" s="250" t="s">
        <v>3</v>
      </c>
      <c r="CX9" s="251"/>
      <c r="CY9" s="57">
        <f>SUM(CY5:CY8)</f>
        <v>0</v>
      </c>
      <c r="CZ9" s="58">
        <f>SUM(CZ5:CZ8)</f>
        <v>0</v>
      </c>
      <c r="DA9" s="129">
        <f>SUM(DA5:DA8)</f>
        <v>0</v>
      </c>
      <c r="DB9" s="59">
        <f>SUM(DB5:DB8)</f>
        <v>0</v>
      </c>
      <c r="DC9" s="59">
        <f>SUM(DC5:DC8)</f>
        <v>0</v>
      </c>
      <c r="DD9" s="62"/>
      <c r="DE9" s="249"/>
      <c r="DF9" s="250" t="s">
        <v>3</v>
      </c>
      <c r="DG9" s="251"/>
      <c r="DH9" s="57">
        <f>SUM(DH5:DH8)</f>
        <v>10</v>
      </c>
      <c r="DI9" s="58">
        <f>SUM(DI5:DI8)</f>
        <v>7142</v>
      </c>
      <c r="DJ9" s="129">
        <f>SUM(DJ5:DJ8)</f>
        <v>53690</v>
      </c>
      <c r="DK9" s="59">
        <f>SUM(DK5:DK8)</f>
        <v>60842</v>
      </c>
      <c r="DL9" s="59">
        <f>SUM(DL5:DL8)</f>
        <v>0</v>
      </c>
      <c r="DM9" s="62"/>
    </row>
    <row r="10" spans="1:117" s="60" customFormat="1" ht="20.100000000000001" customHeight="1" x14ac:dyDescent="0.2">
      <c r="A10" s="64"/>
      <c r="H10" s="65"/>
      <c r="I10" s="62"/>
      <c r="J10" s="64"/>
      <c r="Q10" s="65"/>
      <c r="R10" s="62"/>
      <c r="S10" s="64"/>
      <c r="Z10" s="65"/>
      <c r="AA10" s="62"/>
      <c r="AB10" s="64"/>
      <c r="AI10" s="65"/>
      <c r="AJ10" s="62"/>
      <c r="AK10" s="64"/>
      <c r="AR10" s="65"/>
      <c r="AS10" s="62"/>
      <c r="AT10" s="64"/>
      <c r="BA10" s="65"/>
      <c r="BB10" s="62"/>
      <c r="BC10" s="64"/>
      <c r="BJ10" s="65"/>
      <c r="BK10" s="62"/>
      <c r="BL10" s="64"/>
      <c r="BS10" s="65"/>
      <c r="BT10" s="62"/>
      <c r="BU10" s="64"/>
      <c r="CB10" s="65"/>
      <c r="CC10" s="62"/>
      <c r="CD10" s="64"/>
      <c r="CK10" s="65"/>
      <c r="CL10" s="62"/>
      <c r="CM10" s="64"/>
      <c r="CT10" s="65"/>
      <c r="CU10" s="62"/>
      <c r="CV10" s="64"/>
      <c r="DC10" s="65"/>
      <c r="DD10" s="62"/>
      <c r="DE10" s="64"/>
      <c r="DL10" s="65"/>
      <c r="DM10" s="62"/>
    </row>
    <row r="11" spans="1:117" s="32" customFormat="1" ht="51" customHeight="1" thickBot="1" x14ac:dyDescent="0.3">
      <c r="A11" s="75" t="s">
        <v>18</v>
      </c>
      <c r="B11" s="76"/>
      <c r="C11" s="76"/>
      <c r="D11" s="76"/>
      <c r="E11" s="76"/>
      <c r="F11" s="76"/>
      <c r="G11" s="76"/>
      <c r="H11" s="74" t="s">
        <v>28</v>
      </c>
      <c r="I11" s="77"/>
      <c r="J11" s="75" t="s">
        <v>18</v>
      </c>
      <c r="K11" s="76"/>
      <c r="L11" s="76"/>
      <c r="M11" s="76"/>
      <c r="N11" s="76"/>
      <c r="O11" s="76"/>
      <c r="P11" s="76"/>
      <c r="Q11" s="74" t="s">
        <v>28</v>
      </c>
      <c r="R11" s="77"/>
      <c r="S11" s="75" t="s">
        <v>18</v>
      </c>
      <c r="T11" s="76"/>
      <c r="U11" s="76"/>
      <c r="V11" s="76"/>
      <c r="W11" s="76"/>
      <c r="X11" s="76"/>
      <c r="Y11" s="76"/>
      <c r="Z11" s="74" t="s">
        <v>28</v>
      </c>
      <c r="AA11" s="77"/>
      <c r="AB11" s="75" t="s">
        <v>18</v>
      </c>
      <c r="AC11" s="76"/>
      <c r="AD11" s="76"/>
      <c r="AE11" s="76"/>
      <c r="AF11" s="76"/>
      <c r="AG11" s="76"/>
      <c r="AH11" s="76"/>
      <c r="AI11" s="74" t="s">
        <v>28</v>
      </c>
      <c r="AJ11" s="77"/>
      <c r="AK11" s="75" t="s">
        <v>18</v>
      </c>
      <c r="AL11" s="76"/>
      <c r="AM11" s="76"/>
      <c r="AN11" s="76"/>
      <c r="AO11" s="76"/>
      <c r="AP11" s="76"/>
      <c r="AQ11" s="76"/>
      <c r="AR11" s="74" t="s">
        <v>28</v>
      </c>
      <c r="AS11" s="77"/>
      <c r="AT11" s="75" t="s">
        <v>18</v>
      </c>
      <c r="AU11" s="76"/>
      <c r="AV11" s="76"/>
      <c r="AW11" s="76"/>
      <c r="AX11" s="76"/>
      <c r="AY11" s="76"/>
      <c r="AZ11" s="76"/>
      <c r="BA11" s="74" t="s">
        <v>28</v>
      </c>
      <c r="BB11" s="77"/>
      <c r="BC11" s="75" t="s">
        <v>18</v>
      </c>
      <c r="BD11" s="76"/>
      <c r="BE11" s="76"/>
      <c r="BF11" s="76"/>
      <c r="BG11" s="76"/>
      <c r="BH11" s="76"/>
      <c r="BI11" s="76"/>
      <c r="BJ11" s="74" t="s">
        <v>28</v>
      </c>
      <c r="BK11" s="77"/>
      <c r="BL11" s="75" t="s">
        <v>18</v>
      </c>
      <c r="BM11" s="76"/>
      <c r="BN11" s="76"/>
      <c r="BO11" s="76"/>
      <c r="BP11" s="76"/>
      <c r="BQ11" s="76"/>
      <c r="BR11" s="76"/>
      <c r="BS11" s="74" t="s">
        <v>28</v>
      </c>
      <c r="BT11" s="77"/>
      <c r="BU11" s="75" t="s">
        <v>18</v>
      </c>
      <c r="BV11" s="76"/>
      <c r="BW11" s="76"/>
      <c r="BX11" s="76"/>
      <c r="BY11" s="76"/>
      <c r="BZ11" s="76"/>
      <c r="CA11" s="76"/>
      <c r="CB11" s="74" t="s">
        <v>28</v>
      </c>
      <c r="CC11" s="77"/>
      <c r="CD11" s="75" t="s">
        <v>18</v>
      </c>
      <c r="CE11" s="76"/>
      <c r="CF11" s="76"/>
      <c r="CG11" s="76"/>
      <c r="CH11" s="76"/>
      <c r="CI11" s="76"/>
      <c r="CJ11" s="76"/>
      <c r="CK11" s="74" t="s">
        <v>28</v>
      </c>
      <c r="CL11" s="77"/>
      <c r="CM11" s="75" t="s">
        <v>18</v>
      </c>
      <c r="CN11" s="76"/>
      <c r="CO11" s="76"/>
      <c r="CP11" s="76"/>
      <c r="CQ11" s="76"/>
      <c r="CR11" s="76"/>
      <c r="CS11" s="76"/>
      <c r="CT11" s="74" t="s">
        <v>28</v>
      </c>
      <c r="CU11" s="77"/>
      <c r="CV11" s="75" t="s">
        <v>18</v>
      </c>
      <c r="CW11" s="76"/>
      <c r="CX11" s="76"/>
      <c r="CY11" s="76"/>
      <c r="CZ11" s="76"/>
      <c r="DA11" s="76"/>
      <c r="DB11" s="76"/>
      <c r="DC11" s="74" t="s">
        <v>28</v>
      </c>
      <c r="DD11" s="77"/>
      <c r="DE11" s="75" t="s">
        <v>18</v>
      </c>
      <c r="DF11" s="76"/>
      <c r="DG11" s="76"/>
      <c r="DH11" s="76"/>
      <c r="DI11" s="76"/>
      <c r="DJ11" s="76"/>
      <c r="DK11" s="76"/>
      <c r="DL11" s="74" t="s">
        <v>28</v>
      </c>
      <c r="DM11" s="77"/>
    </row>
    <row r="12" spans="1:117" x14ac:dyDescent="0.2">
      <c r="A12" s="63"/>
      <c r="B12" s="63"/>
      <c r="C12" s="63"/>
      <c r="D12" s="63"/>
      <c r="E12" s="63"/>
      <c r="F12" s="63"/>
      <c r="G12" s="63"/>
      <c r="H12" s="63"/>
      <c r="I12" s="62"/>
      <c r="J12" s="63"/>
      <c r="K12" s="63"/>
      <c r="L12" s="63"/>
      <c r="M12" s="63"/>
      <c r="N12" s="63"/>
      <c r="O12" s="63"/>
      <c r="P12" s="63"/>
      <c r="Q12" s="63"/>
      <c r="R12" s="62"/>
      <c r="S12" s="63"/>
      <c r="T12" s="63"/>
      <c r="U12" s="63"/>
      <c r="V12" s="63"/>
      <c r="W12" s="63"/>
      <c r="X12" s="63"/>
      <c r="Y12" s="63"/>
      <c r="Z12" s="63"/>
      <c r="AA12" s="62"/>
      <c r="AB12" s="63"/>
      <c r="AC12" s="63"/>
      <c r="AD12" s="63"/>
      <c r="AE12" s="63"/>
      <c r="AF12" s="63"/>
      <c r="AG12" s="63"/>
      <c r="AH12" s="63"/>
      <c r="AI12" s="63"/>
      <c r="AJ12" s="62"/>
      <c r="AK12" s="63"/>
      <c r="AL12" s="63"/>
      <c r="AM12" s="63"/>
      <c r="AN12" s="63"/>
      <c r="AO12" s="63"/>
      <c r="AP12" s="63"/>
      <c r="AQ12" s="63"/>
      <c r="AR12" s="63"/>
      <c r="AS12" s="62"/>
      <c r="AT12" s="63"/>
      <c r="AU12" s="63"/>
      <c r="AV12" s="63"/>
      <c r="AW12" s="63"/>
      <c r="AX12" s="63"/>
      <c r="AY12" s="63"/>
      <c r="AZ12" s="63"/>
      <c r="BA12" s="63"/>
      <c r="BB12" s="62"/>
      <c r="BC12" s="63"/>
      <c r="BD12" s="63"/>
      <c r="BE12" s="63"/>
      <c r="BF12" s="63"/>
      <c r="BG12" s="63"/>
      <c r="BH12" s="63"/>
      <c r="BI12" s="63"/>
      <c r="BJ12" s="63"/>
      <c r="BK12" s="62"/>
      <c r="BL12" s="63"/>
      <c r="BM12" s="63"/>
      <c r="BN12" s="63"/>
      <c r="BO12" s="63"/>
      <c r="BP12" s="63"/>
      <c r="BQ12" s="63"/>
      <c r="BR12" s="63"/>
      <c r="BS12" s="63"/>
      <c r="BT12" s="62"/>
      <c r="BU12" s="63"/>
      <c r="BV12" s="63"/>
      <c r="BW12" s="63"/>
      <c r="BX12" s="63"/>
      <c r="BY12" s="63"/>
      <c r="BZ12" s="63"/>
      <c r="CA12" s="63"/>
      <c r="CB12" s="63"/>
      <c r="CC12" s="62"/>
      <c r="CD12" s="63"/>
      <c r="CE12" s="63"/>
      <c r="CF12" s="63"/>
      <c r="CG12" s="63"/>
      <c r="CH12" s="63"/>
      <c r="CI12" s="63"/>
      <c r="CJ12" s="63"/>
      <c r="CK12" s="63"/>
      <c r="CL12" s="62"/>
      <c r="CM12" s="63"/>
      <c r="CN12" s="63"/>
      <c r="CO12" s="63"/>
      <c r="CP12" s="63"/>
      <c r="CQ12" s="63"/>
      <c r="CR12" s="63"/>
      <c r="CS12" s="63"/>
      <c r="CT12" s="63"/>
      <c r="CU12" s="62"/>
      <c r="CV12" s="63"/>
      <c r="CW12" s="63"/>
      <c r="CX12" s="63"/>
      <c r="CY12" s="63"/>
      <c r="CZ12" s="63"/>
      <c r="DA12" s="63"/>
      <c r="DB12" s="63"/>
      <c r="DC12" s="63"/>
      <c r="DD12" s="62"/>
      <c r="DE12" s="63"/>
      <c r="DF12" s="63"/>
      <c r="DG12" s="63"/>
      <c r="DH12" s="63"/>
      <c r="DI12" s="63"/>
      <c r="DJ12" s="63"/>
      <c r="DK12" s="63"/>
      <c r="DL12" s="63"/>
      <c r="DM12" s="62"/>
    </row>
  </sheetData>
  <mergeCells count="104">
    <mergeCell ref="A5:A9"/>
    <mergeCell ref="B9:C9"/>
    <mergeCell ref="B5:B6"/>
    <mergeCell ref="A3:A4"/>
    <mergeCell ref="B3:B4"/>
    <mergeCell ref="C3:C4"/>
    <mergeCell ref="Y3:Y4"/>
    <mergeCell ref="T9:U9"/>
    <mergeCell ref="AE3:AG3"/>
    <mergeCell ref="AC3:AC4"/>
    <mergeCell ref="AD3:AD4"/>
    <mergeCell ref="AC9:AD9"/>
    <mergeCell ref="AH3:AH4"/>
    <mergeCell ref="AL3:AL4"/>
    <mergeCell ref="AB3:AB4"/>
    <mergeCell ref="AB5:AB9"/>
    <mergeCell ref="D3:F3"/>
    <mergeCell ref="G3:G4"/>
    <mergeCell ref="S5:S9"/>
    <mergeCell ref="M3:O3"/>
    <mergeCell ref="S3:S4"/>
    <mergeCell ref="T3:T4"/>
    <mergeCell ref="J3:J4"/>
    <mergeCell ref="K3:K4"/>
    <mergeCell ref="L3:L4"/>
    <mergeCell ref="U3:U4"/>
    <mergeCell ref="V3:X3"/>
    <mergeCell ref="P3:P4"/>
    <mergeCell ref="AC5:AC6"/>
    <mergeCell ref="J5:J9"/>
    <mergeCell ref="K9:L9"/>
    <mergeCell ref="T5:T6"/>
    <mergeCell ref="K5:K6"/>
    <mergeCell ref="AV3:AV4"/>
    <mergeCell ref="AW3:AY3"/>
    <mergeCell ref="AZ3:AZ4"/>
    <mergeCell ref="AT3:AT4"/>
    <mergeCell ref="AU3:AU4"/>
    <mergeCell ref="AT5:AT9"/>
    <mergeCell ref="AU9:AV9"/>
    <mergeCell ref="AU5:AU6"/>
    <mergeCell ref="AK3:AK4"/>
    <mergeCell ref="AN3:AP3"/>
    <mergeCell ref="AQ3:AQ4"/>
    <mergeCell ref="AK5:AK9"/>
    <mergeCell ref="AL9:AM9"/>
    <mergeCell ref="AL5:AL6"/>
    <mergeCell ref="AM3:AM4"/>
    <mergeCell ref="BM3:BM4"/>
    <mergeCell ref="BN3:BN4"/>
    <mergeCell ref="BO3:BQ3"/>
    <mergeCell ref="BR3:BR4"/>
    <mergeCell ref="BM9:BN9"/>
    <mergeCell ref="BL3:BL4"/>
    <mergeCell ref="BL5:BL9"/>
    <mergeCell ref="BI3:BI4"/>
    <mergeCell ref="BC5:BC9"/>
    <mergeCell ref="BD9:BE9"/>
    <mergeCell ref="BC3:BC4"/>
    <mergeCell ref="BD3:BD4"/>
    <mergeCell ref="BE3:BE4"/>
    <mergeCell ref="BF3:BH3"/>
    <mergeCell ref="BM5:BM6"/>
    <mergeCell ref="BD5:BD6"/>
    <mergeCell ref="CA3:CA4"/>
    <mergeCell ref="BU5:BU9"/>
    <mergeCell ref="BV9:BW9"/>
    <mergeCell ref="BV5:BV6"/>
    <mergeCell ref="BX3:BZ3"/>
    <mergeCell ref="BU3:BU4"/>
    <mergeCell ref="BV3:BV4"/>
    <mergeCell ref="BW3:BW4"/>
    <mergeCell ref="CD5:CD9"/>
    <mergeCell ref="CM5:CM9"/>
    <mergeCell ref="CN9:CO9"/>
    <mergeCell ref="CM3:CM4"/>
    <mergeCell ref="CN3:CN4"/>
    <mergeCell ref="CN5:CN6"/>
    <mergeCell ref="CD3:CD4"/>
    <mergeCell ref="CE3:CE4"/>
    <mergeCell ref="CO3:CO4"/>
    <mergeCell ref="CP3:CR3"/>
    <mergeCell ref="CJ3:CJ4"/>
    <mergeCell ref="CF3:CF4"/>
    <mergeCell ref="CG3:CI3"/>
    <mergeCell ref="CE9:CF9"/>
    <mergeCell ref="CE5:CE6"/>
    <mergeCell ref="CW3:CW4"/>
    <mergeCell ref="CX3:CX4"/>
    <mergeCell ref="CV3:CV4"/>
    <mergeCell ref="CV5:CV9"/>
    <mergeCell ref="CW9:CX9"/>
    <mergeCell ref="CW5:CW6"/>
    <mergeCell ref="CS3:CS4"/>
    <mergeCell ref="DK3:DK4"/>
    <mergeCell ref="DE5:DE9"/>
    <mergeCell ref="DF9:DG9"/>
    <mergeCell ref="DE3:DE4"/>
    <mergeCell ref="DF3:DF4"/>
    <mergeCell ref="DG3:DG4"/>
    <mergeCell ref="DF5:DF6"/>
    <mergeCell ref="DH3:DJ3"/>
    <mergeCell ref="CY3:DA3"/>
    <mergeCell ref="DB3:DB4"/>
  </mergeCells>
  <phoneticPr fontId="0" type="noConversion"/>
  <printOptions horizontalCentered="1" verticalCentered="1"/>
  <pageMargins left="0.35433070866141736" right="0.35433070866141736" top="0.39370078740157483" bottom="0.39370078740157483" header="0.51181102362204722" footer="0.51181102362204722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الإحالات</vt:lpstr>
      <vt:lpstr>إجمالية</vt:lpstr>
      <vt:lpstr>الإحالات!Print_Titles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2017-04-10T08:53:26Z</cp:lastPrinted>
  <dcterms:created xsi:type="dcterms:W3CDTF">2001-04-09T05:20:12Z</dcterms:created>
  <dcterms:modified xsi:type="dcterms:W3CDTF">2026-04-14T07:38:10Z</dcterms:modified>
</cp:coreProperties>
</file>