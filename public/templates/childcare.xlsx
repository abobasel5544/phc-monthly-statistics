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ealjedani\Desktop\كراسة الانشطة شهر 10\"/>
    </mc:Choice>
  </mc:AlternateContent>
  <bookViews>
    <workbookView xWindow="0" yWindow="0" windowWidth="15375" windowHeight="8760" tabRatio="544" firstSheet="1" activeTab="1"/>
  </bookViews>
  <sheets>
    <sheet name="ورقة2" sheetId="1" state="hidden" r:id="rId1"/>
    <sheet name="الطفل السليم" sheetId="2" r:id="rId2"/>
    <sheet name="إجمالية" sheetId="3" r:id="rId3"/>
  </sheets>
  <definedNames>
    <definedName name="_xlnm.Print_Titles" localSheetId="1">'الطفل السليم'!$2:$4</definedName>
    <definedName name="Z_683E718B_8FAE_4089_A239_9413018333B3_.wvu.PrintTitles" localSheetId="1" hidden="1">'الطفل السليم'!$2:$4</definedName>
    <definedName name="Z_683E718B_8FAE_4089_A239_9413018333B3_.wvu.Rows" localSheetId="1" hidden="1">'الطفل السليم'!#REF!</definedName>
  </definedNames>
  <calcPr calcId="152511"/>
  <customWorkbookViews>
    <customWorkbookView name="‎TOPK - عرض شخصي" guid="{683E718B-8FAE-4089-A239-9413018333B3}" mergeInterval="0" personalView="1" maximized="1" windowWidth="1020" windowHeight="594" tabRatio="1000" activeSheetId="2"/>
  </customWorkbookViews>
</workbook>
</file>

<file path=xl/calcChain.xml><?xml version="1.0" encoding="utf-8"?>
<calcChain xmlns="http://schemas.openxmlformats.org/spreadsheetml/2006/main">
  <c r="ED51" i="2" l="1"/>
  <c r="EC51" i="2"/>
  <c r="EB51" i="2"/>
  <c r="EA51" i="2"/>
  <c r="DZ51" i="2"/>
  <c r="DY51" i="2"/>
  <c r="DX51" i="2"/>
  <c r="DW51" i="2"/>
  <c r="DV51" i="2"/>
  <c r="DU51" i="2"/>
  <c r="DT51" i="2"/>
  <c r="ED45" i="2"/>
  <c r="EC45" i="2"/>
  <c r="EB45" i="2"/>
  <c r="EA45" i="2"/>
  <c r="DZ45" i="2"/>
  <c r="DY45" i="2"/>
  <c r="DX45" i="2"/>
  <c r="DW45" i="2"/>
  <c r="DV45" i="2"/>
  <c r="DU45" i="2"/>
  <c r="DT45" i="2"/>
  <c r="ED27" i="2"/>
  <c r="EC27" i="2"/>
  <c r="EB27" i="2"/>
  <c r="EA27" i="2"/>
  <c r="DZ27" i="2"/>
  <c r="DY27" i="2"/>
  <c r="DX27" i="2"/>
  <c r="DW27" i="2"/>
  <c r="DV27" i="2"/>
  <c r="DU27" i="2"/>
  <c r="DT27" i="2"/>
  <c r="ED21" i="2"/>
  <c r="EC21" i="2"/>
  <c r="EB21" i="2"/>
  <c r="EA21" i="2"/>
  <c r="DZ21" i="2"/>
  <c r="DY21" i="2"/>
  <c r="DX21" i="2"/>
  <c r="DW21" i="2"/>
  <c r="DV21" i="2"/>
  <c r="DU21" i="2"/>
  <c r="DT21" i="2"/>
  <c r="ED15" i="2"/>
  <c r="EC15" i="2"/>
  <c r="EB15" i="2"/>
  <c r="EA15" i="2"/>
  <c r="DZ15" i="2"/>
  <c r="DY15" i="2"/>
  <c r="DX15" i="2"/>
  <c r="DW15" i="2"/>
  <c r="DV15" i="2"/>
  <c r="DU15" i="2"/>
  <c r="DT15" i="2"/>
  <c r="ED9" i="2"/>
  <c r="EC9" i="2"/>
  <c r="EB9" i="2"/>
  <c r="EA9" i="2"/>
  <c r="DZ9" i="2"/>
  <c r="DY9" i="2"/>
  <c r="DX9" i="2"/>
  <c r="DW9" i="2"/>
  <c r="DV9" i="2"/>
  <c r="DU9" i="2"/>
  <c r="DT9" i="2"/>
  <c r="DO69" i="2" l="1"/>
  <c r="DN69" i="2"/>
  <c r="DM69" i="2"/>
  <c r="DL69" i="2"/>
  <c r="DK69" i="2"/>
  <c r="DJ69" i="2"/>
  <c r="DI69" i="2"/>
  <c r="DH69" i="2"/>
  <c r="DG69" i="2"/>
  <c r="DF69" i="2"/>
  <c r="DE69" i="2"/>
  <c r="DO63" i="2"/>
  <c r="DN63" i="2"/>
  <c r="DM63" i="2"/>
  <c r="DL63" i="2"/>
  <c r="DK63" i="2"/>
  <c r="DJ63" i="2"/>
  <c r="DI63" i="2"/>
  <c r="DH63" i="2"/>
  <c r="DG63" i="2"/>
  <c r="DF63" i="2"/>
  <c r="DE63" i="2"/>
  <c r="DO57" i="2"/>
  <c r="DN57" i="2"/>
  <c r="DM57" i="2"/>
  <c r="DL57" i="2"/>
  <c r="DK57" i="2"/>
  <c r="DJ57" i="2"/>
  <c r="DI57" i="2"/>
  <c r="DH57" i="2"/>
  <c r="DG57" i="2"/>
  <c r="DF57" i="2"/>
  <c r="DE57" i="2"/>
  <c r="DO51" i="2"/>
  <c r="DN51" i="2"/>
  <c r="DM51" i="2"/>
  <c r="DL51" i="2"/>
  <c r="DK51" i="2"/>
  <c r="DJ51" i="2"/>
  <c r="DI51" i="2"/>
  <c r="DH51" i="2"/>
  <c r="DG51" i="2"/>
  <c r="DF51" i="2"/>
  <c r="DE51" i="2"/>
  <c r="DO45" i="2"/>
  <c r="DN45" i="2"/>
  <c r="DM45" i="2"/>
  <c r="DL45" i="2"/>
  <c r="DK45" i="2"/>
  <c r="DJ45" i="2"/>
  <c r="DI45" i="2"/>
  <c r="DH45" i="2"/>
  <c r="DG45" i="2"/>
  <c r="DF45" i="2"/>
  <c r="DE45" i="2"/>
  <c r="DO39" i="2"/>
  <c r="DN39" i="2"/>
  <c r="DM39" i="2"/>
  <c r="DL39" i="2"/>
  <c r="DK39" i="2"/>
  <c r="DJ39" i="2"/>
  <c r="DI39" i="2"/>
  <c r="DH39" i="2"/>
  <c r="DG39" i="2"/>
  <c r="DF39" i="2"/>
  <c r="DE39" i="2"/>
  <c r="DO33" i="2"/>
  <c r="DN33" i="2"/>
  <c r="DM33" i="2"/>
  <c r="DL33" i="2"/>
  <c r="DK33" i="2"/>
  <c r="DJ33" i="2"/>
  <c r="DI33" i="2"/>
  <c r="DH33" i="2"/>
  <c r="DG33" i="2"/>
  <c r="DF33" i="2"/>
  <c r="DE33" i="2"/>
  <c r="DO27" i="2"/>
  <c r="DN27" i="2"/>
  <c r="DM27" i="2"/>
  <c r="DL27" i="2"/>
  <c r="DK27" i="2"/>
  <c r="DJ27" i="2"/>
  <c r="DI27" i="2"/>
  <c r="DH27" i="2"/>
  <c r="DG27" i="2"/>
  <c r="DF27" i="2"/>
  <c r="DE27" i="2"/>
  <c r="DO21" i="2"/>
  <c r="DN21" i="2"/>
  <c r="DM21" i="2"/>
  <c r="DL21" i="2"/>
  <c r="DK21" i="2"/>
  <c r="DJ21" i="2"/>
  <c r="DI21" i="2"/>
  <c r="DH21" i="2"/>
  <c r="DG21" i="2"/>
  <c r="DF21" i="2"/>
  <c r="DE21" i="2"/>
  <c r="DO15" i="2"/>
  <c r="DN15" i="2"/>
  <c r="DM15" i="2"/>
  <c r="DL15" i="2"/>
  <c r="DK15" i="2"/>
  <c r="DJ15" i="2"/>
  <c r="DI15" i="2"/>
  <c r="DH15" i="2"/>
  <c r="DG15" i="2"/>
  <c r="DF15" i="2"/>
  <c r="DE15" i="2"/>
  <c r="DO9" i="2"/>
  <c r="DN9" i="2"/>
  <c r="DM9" i="2"/>
  <c r="DL9" i="2"/>
  <c r="DK9" i="2"/>
  <c r="DJ9" i="2"/>
  <c r="DI9" i="2"/>
  <c r="DH9" i="2"/>
  <c r="DG9" i="2"/>
  <c r="DF9" i="2"/>
  <c r="DE9" i="2"/>
  <c r="FW85" i="2" l="1"/>
  <c r="FU85" i="2"/>
  <c r="FW83" i="2"/>
  <c r="FV83" i="2"/>
  <c r="FU83" i="2"/>
  <c r="FT83" i="2"/>
  <c r="FS83" i="2"/>
  <c r="FR83" i="2"/>
  <c r="FQ83" i="2"/>
  <c r="FP83" i="2"/>
  <c r="FO83" i="2"/>
  <c r="FN83" i="2"/>
  <c r="FM83" i="2"/>
  <c r="FW82" i="2"/>
  <c r="FV82" i="2"/>
  <c r="FU82" i="2"/>
  <c r="FT82" i="2"/>
  <c r="FS82" i="2"/>
  <c r="FR82" i="2"/>
  <c r="FQ82" i="2"/>
  <c r="FP82" i="2"/>
  <c r="FO82" i="2"/>
  <c r="FN82" i="2"/>
  <c r="FM82" i="2"/>
  <c r="FW81" i="2"/>
  <c r="FV81" i="2"/>
  <c r="FU81" i="2"/>
  <c r="FT81" i="2"/>
  <c r="FS81" i="2"/>
  <c r="FR81" i="2"/>
  <c r="FQ81" i="2"/>
  <c r="FP81" i="2"/>
  <c r="FO81" i="2"/>
  <c r="FN81" i="2"/>
  <c r="FM81" i="2"/>
  <c r="FW80" i="2"/>
  <c r="FV80" i="2"/>
  <c r="FU80" i="2"/>
  <c r="FT80" i="2"/>
  <c r="FS80" i="2"/>
  <c r="FR80" i="2"/>
  <c r="FQ80" i="2"/>
  <c r="FP80" i="2"/>
  <c r="FO80" i="2"/>
  <c r="FN80" i="2"/>
  <c r="FM80" i="2"/>
  <c r="FP77" i="2"/>
  <c r="FO77" i="2"/>
  <c r="FW75" i="2"/>
  <c r="FV75" i="2"/>
  <c r="FU75" i="2"/>
  <c r="FT75" i="2"/>
  <c r="FS75" i="2"/>
  <c r="FR75" i="2"/>
  <c r="FQ75" i="2"/>
  <c r="FP75" i="2"/>
  <c r="FO75" i="2"/>
  <c r="FN75" i="2"/>
  <c r="FM75" i="2"/>
  <c r="FW69" i="2"/>
  <c r="FV69" i="2"/>
  <c r="FU69" i="2"/>
  <c r="FT69" i="2"/>
  <c r="FS69" i="2"/>
  <c r="FR69" i="2"/>
  <c r="FQ69" i="2"/>
  <c r="FP69" i="2"/>
  <c r="FO69" i="2"/>
  <c r="FN69" i="2"/>
  <c r="FM69" i="2"/>
  <c r="FW63" i="2"/>
  <c r="FV63" i="2"/>
  <c r="FU63" i="2"/>
  <c r="FT63" i="2"/>
  <c r="FS63" i="2"/>
  <c r="FR63" i="2"/>
  <c r="FQ63" i="2"/>
  <c r="FP63" i="2"/>
  <c r="FO63" i="2"/>
  <c r="FN63" i="2"/>
  <c r="FM63" i="2"/>
  <c r="FW57" i="2"/>
  <c r="FV57" i="2"/>
  <c r="FU57" i="2"/>
  <c r="FT57" i="2"/>
  <c r="FS57" i="2"/>
  <c r="FR57" i="2"/>
  <c r="FQ57" i="2"/>
  <c r="FP57" i="2"/>
  <c r="FO57" i="2"/>
  <c r="FN57" i="2"/>
  <c r="FM57" i="2"/>
  <c r="FW51" i="2"/>
  <c r="FV51" i="2"/>
  <c r="FU51" i="2"/>
  <c r="FT51" i="2"/>
  <c r="FS51" i="2"/>
  <c r="FR51" i="2"/>
  <c r="FQ51" i="2"/>
  <c r="FP51" i="2"/>
  <c r="FO51" i="2"/>
  <c r="FN51" i="2"/>
  <c r="FM51" i="2"/>
  <c r="FW45" i="2"/>
  <c r="FV45" i="2"/>
  <c r="FU45" i="2"/>
  <c r="FT45" i="2"/>
  <c r="FS45" i="2"/>
  <c r="FR45" i="2"/>
  <c r="FQ45" i="2"/>
  <c r="FP45" i="2"/>
  <c r="FO45" i="2"/>
  <c r="FN45" i="2"/>
  <c r="FM45" i="2"/>
  <c r="FW39" i="2"/>
  <c r="FV39" i="2"/>
  <c r="FU39" i="2"/>
  <c r="FT39" i="2"/>
  <c r="FS39" i="2"/>
  <c r="FR39" i="2"/>
  <c r="FQ39" i="2"/>
  <c r="FP39" i="2"/>
  <c r="FO39" i="2"/>
  <c r="FN39" i="2"/>
  <c r="FM39" i="2"/>
  <c r="FW33" i="2"/>
  <c r="FV33" i="2"/>
  <c r="FU33" i="2"/>
  <c r="FT33" i="2"/>
  <c r="FS33" i="2"/>
  <c r="FR33" i="2"/>
  <c r="FQ33" i="2"/>
  <c r="FP33" i="2"/>
  <c r="FO33" i="2"/>
  <c r="FN33" i="2"/>
  <c r="FM33" i="2"/>
  <c r="FW27" i="2"/>
  <c r="FV27" i="2"/>
  <c r="FU27" i="2"/>
  <c r="FT27" i="2"/>
  <c r="FS27" i="2"/>
  <c r="FR27" i="2"/>
  <c r="FQ27" i="2"/>
  <c r="FP27" i="2"/>
  <c r="FO27" i="2"/>
  <c r="FN27" i="2"/>
  <c r="FM27" i="2"/>
  <c r="FW21" i="2"/>
  <c r="FV21" i="2"/>
  <c r="FU21" i="2"/>
  <c r="FT21" i="2"/>
  <c r="FS21" i="2"/>
  <c r="FR21" i="2"/>
  <c r="FQ21" i="2"/>
  <c r="FP21" i="2"/>
  <c r="FO21" i="2"/>
  <c r="FN21" i="2"/>
  <c r="FM21" i="2"/>
  <c r="FW15" i="2"/>
  <c r="FV15" i="2"/>
  <c r="FU15" i="2"/>
  <c r="FT15" i="2"/>
  <c r="FS15" i="2"/>
  <c r="FR15" i="2"/>
  <c r="FQ15" i="2"/>
  <c r="FP15" i="2"/>
  <c r="FO15" i="2"/>
  <c r="FN15" i="2"/>
  <c r="FM15" i="2"/>
  <c r="FW9" i="2"/>
  <c r="FV9" i="2"/>
  <c r="FU9" i="2"/>
  <c r="FT9" i="2"/>
  <c r="FS9" i="2"/>
  <c r="FR9" i="2"/>
  <c r="FQ9" i="2"/>
  <c r="FP9" i="2"/>
  <c r="FO9" i="2"/>
  <c r="FN9" i="2"/>
  <c r="FM9" i="2"/>
  <c r="FH85" i="2"/>
  <c r="FF85" i="2"/>
  <c r="FH83" i="2"/>
  <c r="FG83" i="2"/>
  <c r="FF83" i="2"/>
  <c r="FE83" i="2"/>
  <c r="FD83" i="2"/>
  <c r="FC83" i="2"/>
  <c r="FB83" i="2"/>
  <c r="FA83" i="2"/>
  <c r="EZ83" i="2"/>
  <c r="EY83" i="2"/>
  <c r="EX83" i="2"/>
  <c r="FH82" i="2"/>
  <c r="FG82" i="2"/>
  <c r="FF82" i="2"/>
  <c r="FE82" i="2"/>
  <c r="FD82" i="2"/>
  <c r="FC82" i="2"/>
  <c r="FB82" i="2"/>
  <c r="FA82" i="2"/>
  <c r="EZ82" i="2"/>
  <c r="EY82" i="2"/>
  <c r="EX82" i="2"/>
  <c r="FH81" i="2"/>
  <c r="FG81" i="2"/>
  <c r="FF81" i="2"/>
  <c r="FE81" i="2"/>
  <c r="FD81" i="2"/>
  <c r="FC81" i="2"/>
  <c r="FB81" i="2"/>
  <c r="FA81" i="2"/>
  <c r="EZ81" i="2"/>
  <c r="EY81" i="2"/>
  <c r="EX81" i="2"/>
  <c r="FH80" i="2"/>
  <c r="FG80" i="2"/>
  <c r="FF80" i="2"/>
  <c r="FE80" i="2"/>
  <c r="FD80" i="2"/>
  <c r="FC80" i="2"/>
  <c r="FB80" i="2"/>
  <c r="FA80" i="2"/>
  <c r="EZ80" i="2"/>
  <c r="EY80" i="2"/>
  <c r="EX80" i="2"/>
  <c r="FA77" i="2"/>
  <c r="EZ77" i="2"/>
  <c r="FH75" i="2"/>
  <c r="FG75" i="2"/>
  <c r="FF75" i="2"/>
  <c r="FE75" i="2"/>
  <c r="FD75" i="2"/>
  <c r="FC75" i="2"/>
  <c r="FB75" i="2"/>
  <c r="FA75" i="2"/>
  <c r="EZ75" i="2"/>
  <c r="EY75" i="2"/>
  <c r="EX75" i="2"/>
  <c r="FH69" i="2"/>
  <c r="FG69" i="2"/>
  <c r="FF69" i="2"/>
  <c r="FE69" i="2"/>
  <c r="FD69" i="2"/>
  <c r="FC69" i="2"/>
  <c r="FB69" i="2"/>
  <c r="FA69" i="2"/>
  <c r="EZ69" i="2"/>
  <c r="EY69" i="2"/>
  <c r="EX69" i="2"/>
  <c r="FH63" i="2"/>
  <c r="FG63" i="2"/>
  <c r="FF63" i="2"/>
  <c r="FE63" i="2"/>
  <c r="FD63" i="2"/>
  <c r="FC63" i="2"/>
  <c r="FB63" i="2"/>
  <c r="FA63" i="2"/>
  <c r="EZ63" i="2"/>
  <c r="EY63" i="2"/>
  <c r="EX63" i="2"/>
  <c r="FH57" i="2"/>
  <c r="FG57" i="2"/>
  <c r="FF57" i="2"/>
  <c r="FE57" i="2"/>
  <c r="FD57" i="2"/>
  <c r="FC57" i="2"/>
  <c r="FB57" i="2"/>
  <c r="FA57" i="2"/>
  <c r="EZ57" i="2"/>
  <c r="EY57" i="2"/>
  <c r="EX57" i="2"/>
  <c r="FH51" i="2"/>
  <c r="FG51" i="2"/>
  <c r="FF51" i="2"/>
  <c r="FE51" i="2"/>
  <c r="FD51" i="2"/>
  <c r="FC51" i="2"/>
  <c r="FB51" i="2"/>
  <c r="FA51" i="2"/>
  <c r="EZ51" i="2"/>
  <c r="EY51" i="2"/>
  <c r="EX51" i="2"/>
  <c r="FH45" i="2"/>
  <c r="FG45" i="2"/>
  <c r="FF45" i="2"/>
  <c r="FE45" i="2"/>
  <c r="FD45" i="2"/>
  <c r="FC45" i="2"/>
  <c r="FB45" i="2"/>
  <c r="FA45" i="2"/>
  <c r="EZ45" i="2"/>
  <c r="EY45" i="2"/>
  <c r="EX45" i="2"/>
  <c r="FH39" i="2"/>
  <c r="FG39" i="2"/>
  <c r="FF39" i="2"/>
  <c r="FE39" i="2"/>
  <c r="FD39" i="2"/>
  <c r="FC39" i="2"/>
  <c r="FB39" i="2"/>
  <c r="FA39" i="2"/>
  <c r="EZ39" i="2"/>
  <c r="EY39" i="2"/>
  <c r="EX39" i="2"/>
  <c r="FH33" i="2"/>
  <c r="FG33" i="2"/>
  <c r="FF33" i="2"/>
  <c r="FE33" i="2"/>
  <c r="FD33" i="2"/>
  <c r="FC33" i="2"/>
  <c r="FB33" i="2"/>
  <c r="FA33" i="2"/>
  <c r="EZ33" i="2"/>
  <c r="EY33" i="2"/>
  <c r="EX33" i="2"/>
  <c r="FH27" i="2"/>
  <c r="FG27" i="2"/>
  <c r="FF27" i="2"/>
  <c r="FE27" i="2"/>
  <c r="FD27" i="2"/>
  <c r="FC27" i="2"/>
  <c r="FB27" i="2"/>
  <c r="FA27" i="2"/>
  <c r="EZ27" i="2"/>
  <c r="EY27" i="2"/>
  <c r="EX27" i="2"/>
  <c r="FH21" i="2"/>
  <c r="FG21" i="2"/>
  <c r="FF21" i="2"/>
  <c r="FE21" i="2"/>
  <c r="FD21" i="2"/>
  <c r="FC21" i="2"/>
  <c r="FB21" i="2"/>
  <c r="FA21" i="2"/>
  <c r="EZ21" i="2"/>
  <c r="EY21" i="2"/>
  <c r="EX21" i="2"/>
  <c r="FH15" i="2"/>
  <c r="FG15" i="2"/>
  <c r="FF15" i="2"/>
  <c r="FE15" i="2"/>
  <c r="FD15" i="2"/>
  <c r="FC15" i="2"/>
  <c r="FB15" i="2"/>
  <c r="FA15" i="2"/>
  <c r="EZ15" i="2"/>
  <c r="EY15" i="2"/>
  <c r="EX15" i="2"/>
  <c r="FH9" i="2"/>
  <c r="FG9" i="2"/>
  <c r="FF9" i="2"/>
  <c r="FE9" i="2"/>
  <c r="FD9" i="2"/>
  <c r="FC9" i="2"/>
  <c r="FB9" i="2"/>
  <c r="FA9" i="2"/>
  <c r="EZ9" i="2"/>
  <c r="EY9" i="2"/>
  <c r="EX9" i="2"/>
  <c r="ES85" i="2"/>
  <c r="EQ85" i="2"/>
  <c r="ES83" i="2"/>
  <c r="ER83" i="2"/>
  <c r="EQ83" i="2"/>
  <c r="EP83" i="2"/>
  <c r="EO83" i="2"/>
  <c r="EN83" i="2"/>
  <c r="EM83" i="2"/>
  <c r="EL83" i="2"/>
  <c r="EK83" i="2"/>
  <c r="EJ83" i="2"/>
  <c r="EI83" i="2"/>
  <c r="ES82" i="2"/>
  <c r="ER82" i="2"/>
  <c r="EQ82" i="2"/>
  <c r="EP82" i="2"/>
  <c r="EO82" i="2"/>
  <c r="EN82" i="2"/>
  <c r="EM82" i="2"/>
  <c r="EL82" i="2"/>
  <c r="EK82" i="2"/>
  <c r="EJ82" i="2"/>
  <c r="EI82" i="2"/>
  <c r="ES81" i="2"/>
  <c r="ER81" i="2"/>
  <c r="EQ81" i="2"/>
  <c r="EP81" i="2"/>
  <c r="EO81" i="2"/>
  <c r="EN81" i="2"/>
  <c r="EM81" i="2"/>
  <c r="EL81" i="2"/>
  <c r="EK81" i="2"/>
  <c r="EJ81" i="2"/>
  <c r="EI81" i="2"/>
  <c r="ES80" i="2"/>
  <c r="ER80" i="2"/>
  <c r="EQ80" i="2"/>
  <c r="EP80" i="2"/>
  <c r="EO80" i="2"/>
  <c r="EN80" i="2"/>
  <c r="EM80" i="2"/>
  <c r="EL80" i="2"/>
  <c r="EK80" i="2"/>
  <c r="EJ80" i="2"/>
  <c r="EI80" i="2"/>
  <c r="EL77" i="2"/>
  <c r="EK77" i="2"/>
  <c r="ES75" i="2"/>
  <c r="ER75" i="2"/>
  <c r="EQ75" i="2"/>
  <c r="EP75" i="2"/>
  <c r="EO75" i="2"/>
  <c r="EN75" i="2"/>
  <c r="EM75" i="2"/>
  <c r="EL75" i="2"/>
  <c r="EK75" i="2"/>
  <c r="EJ75" i="2"/>
  <c r="EI75" i="2"/>
  <c r="ES69" i="2"/>
  <c r="ER69" i="2"/>
  <c r="EQ69" i="2"/>
  <c r="EP69" i="2"/>
  <c r="EO69" i="2"/>
  <c r="EN69" i="2"/>
  <c r="EM69" i="2"/>
  <c r="EL69" i="2"/>
  <c r="EK69" i="2"/>
  <c r="EJ69" i="2"/>
  <c r="EI69" i="2"/>
  <c r="ES63" i="2"/>
  <c r="ER63" i="2"/>
  <c r="EQ63" i="2"/>
  <c r="EP63" i="2"/>
  <c r="EO63" i="2"/>
  <c r="EN63" i="2"/>
  <c r="EM63" i="2"/>
  <c r="EL63" i="2"/>
  <c r="EK63" i="2"/>
  <c r="EJ63" i="2"/>
  <c r="EI63" i="2"/>
  <c r="ES57" i="2"/>
  <c r="ER57" i="2"/>
  <c r="EQ57" i="2"/>
  <c r="EP57" i="2"/>
  <c r="EO57" i="2"/>
  <c r="EN57" i="2"/>
  <c r="EM57" i="2"/>
  <c r="EL57" i="2"/>
  <c r="EK57" i="2"/>
  <c r="EJ57" i="2"/>
  <c r="EI57" i="2"/>
  <c r="ES51" i="2"/>
  <c r="ER51" i="2"/>
  <c r="EQ51" i="2"/>
  <c r="EP51" i="2"/>
  <c r="EO51" i="2"/>
  <c r="EN51" i="2"/>
  <c r="EM51" i="2"/>
  <c r="EL51" i="2"/>
  <c r="EK51" i="2"/>
  <c r="EJ51" i="2"/>
  <c r="EI51" i="2"/>
  <c r="ES45" i="2"/>
  <c r="ER45" i="2"/>
  <c r="EQ45" i="2"/>
  <c r="EP45" i="2"/>
  <c r="EO45" i="2"/>
  <c r="EN45" i="2"/>
  <c r="EM45" i="2"/>
  <c r="EL45" i="2"/>
  <c r="EK45" i="2"/>
  <c r="EJ45" i="2"/>
  <c r="EI45" i="2"/>
  <c r="ES39" i="2"/>
  <c r="ER39" i="2"/>
  <c r="EQ39" i="2"/>
  <c r="EP39" i="2"/>
  <c r="EO39" i="2"/>
  <c r="EN39" i="2"/>
  <c r="EM39" i="2"/>
  <c r="EL39" i="2"/>
  <c r="EK39" i="2"/>
  <c r="EJ39" i="2"/>
  <c r="EI39" i="2"/>
  <c r="ES33" i="2"/>
  <c r="ER33" i="2"/>
  <c r="EQ33" i="2"/>
  <c r="EP33" i="2"/>
  <c r="EO33" i="2"/>
  <c r="EN33" i="2"/>
  <c r="EM33" i="2"/>
  <c r="EL33" i="2"/>
  <c r="EK33" i="2"/>
  <c r="EJ33" i="2"/>
  <c r="EI33" i="2"/>
  <c r="ES27" i="2"/>
  <c r="ER27" i="2"/>
  <c r="EQ27" i="2"/>
  <c r="EP27" i="2"/>
  <c r="EO27" i="2"/>
  <c r="EN27" i="2"/>
  <c r="EM27" i="2"/>
  <c r="EL27" i="2"/>
  <c r="EK27" i="2"/>
  <c r="EJ27" i="2"/>
  <c r="EI27" i="2"/>
  <c r="ES21" i="2"/>
  <c r="ER21" i="2"/>
  <c r="EQ21" i="2"/>
  <c r="EP21" i="2"/>
  <c r="EO21" i="2"/>
  <c r="EN21" i="2"/>
  <c r="EM21" i="2"/>
  <c r="EL21" i="2"/>
  <c r="EK21" i="2"/>
  <c r="EJ21" i="2"/>
  <c r="EI21" i="2"/>
  <c r="ES15" i="2"/>
  <c r="ER15" i="2"/>
  <c r="EQ15" i="2"/>
  <c r="EP15" i="2"/>
  <c r="EO15" i="2"/>
  <c r="EN15" i="2"/>
  <c r="EM15" i="2"/>
  <c r="EL15" i="2"/>
  <c r="EK15" i="2"/>
  <c r="EJ15" i="2"/>
  <c r="EI15" i="2"/>
  <c r="ES9" i="2"/>
  <c r="ER9" i="2"/>
  <c r="EQ9" i="2"/>
  <c r="EP9" i="2"/>
  <c r="EO9" i="2"/>
  <c r="EN9" i="2"/>
  <c r="EM9" i="2"/>
  <c r="EL9" i="2"/>
  <c r="EK9" i="2"/>
  <c r="EJ9" i="2"/>
  <c r="EI9" i="2"/>
  <c r="ED85" i="2"/>
  <c r="EB85" i="2"/>
  <c r="ED83" i="2"/>
  <c r="EC83" i="2"/>
  <c r="EB83" i="2"/>
  <c r="EA83" i="2"/>
  <c r="DZ83" i="2"/>
  <c r="DY83" i="2"/>
  <c r="DX83" i="2"/>
  <c r="DW83" i="2"/>
  <c r="DV83" i="2"/>
  <c r="DU83" i="2"/>
  <c r="DT83" i="2"/>
  <c r="ED82" i="2"/>
  <c r="EC82" i="2"/>
  <c r="EB82" i="2"/>
  <c r="EA82" i="2"/>
  <c r="DZ82" i="2"/>
  <c r="DY82" i="2"/>
  <c r="DX82" i="2"/>
  <c r="DW82" i="2"/>
  <c r="DV82" i="2"/>
  <c r="DU82" i="2"/>
  <c r="DT82" i="2"/>
  <c r="ED81" i="2"/>
  <c r="EC81" i="2"/>
  <c r="EB81" i="2"/>
  <c r="EA81" i="2"/>
  <c r="DZ81" i="2"/>
  <c r="DY81" i="2"/>
  <c r="DX81" i="2"/>
  <c r="DW81" i="2"/>
  <c r="DV81" i="2"/>
  <c r="DU81" i="2"/>
  <c r="DT81" i="2"/>
  <c r="ED80" i="2"/>
  <c r="EC80" i="2"/>
  <c r="EB80" i="2"/>
  <c r="EA80" i="2"/>
  <c r="DZ80" i="2"/>
  <c r="DY80" i="2"/>
  <c r="DX80" i="2"/>
  <c r="DW80" i="2"/>
  <c r="DV80" i="2"/>
  <c r="DU80" i="2"/>
  <c r="DT80" i="2"/>
  <c r="DW77" i="2"/>
  <c r="DV77" i="2"/>
  <c r="ED75" i="2"/>
  <c r="EC75" i="2"/>
  <c r="EB75" i="2"/>
  <c r="EA75" i="2"/>
  <c r="DZ75" i="2"/>
  <c r="DY75" i="2"/>
  <c r="DX75" i="2"/>
  <c r="DW75" i="2"/>
  <c r="DV75" i="2"/>
  <c r="DU75" i="2"/>
  <c r="DT75" i="2"/>
  <c r="ED69" i="2"/>
  <c r="EC69" i="2"/>
  <c r="EB69" i="2"/>
  <c r="EA69" i="2"/>
  <c r="DZ69" i="2"/>
  <c r="DY69" i="2"/>
  <c r="DX69" i="2"/>
  <c r="DW69" i="2"/>
  <c r="DV69" i="2"/>
  <c r="DU69" i="2"/>
  <c r="DT69" i="2"/>
  <c r="ED63" i="2"/>
  <c r="EC63" i="2"/>
  <c r="EB63" i="2"/>
  <c r="EA63" i="2"/>
  <c r="DZ63" i="2"/>
  <c r="DY63" i="2"/>
  <c r="DX63" i="2"/>
  <c r="DW63" i="2"/>
  <c r="DV63" i="2"/>
  <c r="DU63" i="2"/>
  <c r="DT63" i="2"/>
  <c r="ED57" i="2"/>
  <c r="EC57" i="2"/>
  <c r="EB57" i="2"/>
  <c r="EA57" i="2"/>
  <c r="DZ57" i="2"/>
  <c r="DY57" i="2"/>
  <c r="DX57" i="2"/>
  <c r="DW57" i="2"/>
  <c r="DV57" i="2"/>
  <c r="DU57" i="2"/>
  <c r="DT57" i="2"/>
  <c r="ED33" i="2"/>
  <c r="EC33" i="2"/>
  <c r="EB33" i="2"/>
  <c r="EA33" i="2"/>
  <c r="DZ33" i="2"/>
  <c r="DY33" i="2"/>
  <c r="DX33" i="2"/>
  <c r="DW33" i="2"/>
  <c r="DV33" i="2"/>
  <c r="DU33" i="2"/>
  <c r="DT33" i="2"/>
  <c r="DO85" i="2"/>
  <c r="DM85" i="2"/>
  <c r="DO83" i="2"/>
  <c r="DN83" i="2"/>
  <c r="DM83" i="2"/>
  <c r="DL83" i="2"/>
  <c r="DK83" i="2"/>
  <c r="DJ83" i="2"/>
  <c r="DI83" i="2"/>
  <c r="DH83" i="2"/>
  <c r="DG83" i="2"/>
  <c r="DF83" i="2"/>
  <c r="DE83" i="2"/>
  <c r="DO82" i="2"/>
  <c r="DN82" i="2"/>
  <c r="DM82" i="2"/>
  <c r="DL82" i="2"/>
  <c r="DK82" i="2"/>
  <c r="DJ82" i="2"/>
  <c r="DI82" i="2"/>
  <c r="DH82" i="2"/>
  <c r="DG82" i="2"/>
  <c r="DF82" i="2"/>
  <c r="DE82" i="2"/>
  <c r="DO81" i="2"/>
  <c r="DN81" i="2"/>
  <c r="DM81" i="2"/>
  <c r="DL81" i="2"/>
  <c r="DK81" i="2"/>
  <c r="DJ81" i="2"/>
  <c r="DI81" i="2"/>
  <c r="DH81" i="2"/>
  <c r="DG81" i="2"/>
  <c r="DF81" i="2"/>
  <c r="DE81" i="2"/>
  <c r="DO80" i="2"/>
  <c r="DN80" i="2"/>
  <c r="DM80" i="2"/>
  <c r="DL80" i="2"/>
  <c r="DK80" i="2"/>
  <c r="DJ80" i="2"/>
  <c r="DI80" i="2"/>
  <c r="DH80" i="2"/>
  <c r="DG80" i="2"/>
  <c r="DF80" i="2"/>
  <c r="DE80" i="2"/>
  <c r="DH77" i="2"/>
  <c r="DG77" i="2"/>
  <c r="DO75" i="2"/>
  <c r="DN75" i="2"/>
  <c r="DM75" i="2"/>
  <c r="DL75" i="2"/>
  <c r="DK75" i="2"/>
  <c r="DJ75" i="2"/>
  <c r="DI75" i="2"/>
  <c r="DH75" i="2"/>
  <c r="DG75" i="2"/>
  <c r="DF75" i="2"/>
  <c r="DE75" i="2"/>
  <c r="CZ85" i="2"/>
  <c r="CX85" i="2"/>
  <c r="CZ83" i="2"/>
  <c r="CY83" i="2"/>
  <c r="CX83" i="2"/>
  <c r="CW83" i="2"/>
  <c r="CV83" i="2"/>
  <c r="CU83" i="2"/>
  <c r="CT83" i="2"/>
  <c r="CS83" i="2"/>
  <c r="CR83" i="2"/>
  <c r="CQ83" i="2"/>
  <c r="CP83" i="2"/>
  <c r="CZ82" i="2"/>
  <c r="CY82" i="2"/>
  <c r="CX82" i="2"/>
  <c r="CW82" i="2"/>
  <c r="CV82" i="2"/>
  <c r="CU82" i="2"/>
  <c r="CT82" i="2"/>
  <c r="CS82" i="2"/>
  <c r="CR82" i="2"/>
  <c r="CQ82" i="2"/>
  <c r="CP82" i="2"/>
  <c r="CZ81" i="2"/>
  <c r="CY81" i="2"/>
  <c r="CX81" i="2"/>
  <c r="CW81" i="2"/>
  <c r="CV81" i="2"/>
  <c r="CU81" i="2"/>
  <c r="CT81" i="2"/>
  <c r="CS81" i="2"/>
  <c r="CR81" i="2"/>
  <c r="CQ81" i="2"/>
  <c r="CP81" i="2"/>
  <c r="CZ80" i="2"/>
  <c r="CY80" i="2"/>
  <c r="CX80" i="2"/>
  <c r="CW80" i="2"/>
  <c r="CV80" i="2"/>
  <c r="CU80" i="2"/>
  <c r="CT80" i="2"/>
  <c r="CS80" i="2"/>
  <c r="CR80" i="2"/>
  <c r="CQ80" i="2"/>
  <c r="CP80" i="2"/>
  <c r="CS77" i="2"/>
  <c r="CR77" i="2"/>
  <c r="CZ75" i="2"/>
  <c r="CY75" i="2"/>
  <c r="CX75" i="2"/>
  <c r="CW75" i="2"/>
  <c r="CV75" i="2"/>
  <c r="CU75" i="2"/>
  <c r="CT75" i="2"/>
  <c r="CS75" i="2"/>
  <c r="CR75" i="2"/>
  <c r="CQ75" i="2"/>
  <c r="CP75" i="2"/>
  <c r="CZ69" i="2"/>
  <c r="CY69" i="2"/>
  <c r="CX69" i="2"/>
  <c r="CW69" i="2"/>
  <c r="CV69" i="2"/>
  <c r="CU69" i="2"/>
  <c r="CT69" i="2"/>
  <c r="CS69" i="2"/>
  <c r="CR69" i="2"/>
  <c r="CQ69" i="2"/>
  <c r="CP69" i="2"/>
  <c r="CZ63" i="2"/>
  <c r="CY63" i="2"/>
  <c r="CX63" i="2"/>
  <c r="CW63" i="2"/>
  <c r="CV63" i="2"/>
  <c r="CU63" i="2"/>
  <c r="CT63" i="2"/>
  <c r="CS63" i="2"/>
  <c r="CR63" i="2"/>
  <c r="CQ63" i="2"/>
  <c r="CP63" i="2"/>
  <c r="CZ57" i="2"/>
  <c r="CY57" i="2"/>
  <c r="CX57" i="2"/>
  <c r="CW57" i="2"/>
  <c r="CV57" i="2"/>
  <c r="CU57" i="2"/>
  <c r="CT57" i="2"/>
  <c r="CS57" i="2"/>
  <c r="CR57" i="2"/>
  <c r="CQ57" i="2"/>
  <c r="CP57" i="2"/>
  <c r="CK85" i="2"/>
  <c r="CI85" i="2"/>
  <c r="CK83" i="2"/>
  <c r="CJ83" i="2"/>
  <c r="CI83" i="2"/>
  <c r="CH83" i="2"/>
  <c r="CG83" i="2"/>
  <c r="CF83" i="2"/>
  <c r="CE83" i="2"/>
  <c r="CD83" i="2"/>
  <c r="CC83" i="2"/>
  <c r="CB83" i="2"/>
  <c r="CA83" i="2"/>
  <c r="CK82" i="2"/>
  <c r="CJ82" i="2"/>
  <c r="CI82" i="2"/>
  <c r="CH82" i="2"/>
  <c r="CG82" i="2"/>
  <c r="CF82" i="2"/>
  <c r="CE82" i="2"/>
  <c r="CD82" i="2"/>
  <c r="CC82" i="2"/>
  <c r="CB82" i="2"/>
  <c r="CA82" i="2"/>
  <c r="CK81" i="2"/>
  <c r="CJ81" i="2"/>
  <c r="CI81" i="2"/>
  <c r="CH81" i="2"/>
  <c r="CG81" i="2"/>
  <c r="CF81" i="2"/>
  <c r="CE81" i="2"/>
  <c r="CD81" i="2"/>
  <c r="CC81" i="2"/>
  <c r="CB81" i="2"/>
  <c r="CA81" i="2"/>
  <c r="CK80" i="2"/>
  <c r="CJ80" i="2"/>
  <c r="CI80" i="2"/>
  <c r="CH80" i="2"/>
  <c r="CG80" i="2"/>
  <c r="CF80" i="2"/>
  <c r="CE80" i="2"/>
  <c r="CD80" i="2"/>
  <c r="CC80" i="2"/>
  <c r="CB80" i="2"/>
  <c r="CA80" i="2"/>
  <c r="CD77" i="2"/>
  <c r="CC77" i="2"/>
  <c r="CK75" i="2"/>
  <c r="CJ75" i="2"/>
  <c r="CI75" i="2"/>
  <c r="CH75" i="2"/>
  <c r="CG75" i="2"/>
  <c r="CF75" i="2"/>
  <c r="CE75" i="2"/>
  <c r="CD75" i="2"/>
  <c r="CC75" i="2"/>
  <c r="CB75" i="2"/>
  <c r="CA75" i="2"/>
  <c r="CK69" i="2"/>
  <c r="CJ69" i="2"/>
  <c r="CI69" i="2"/>
  <c r="CH69" i="2"/>
  <c r="CG69" i="2"/>
  <c r="CF69" i="2"/>
  <c r="CE69" i="2"/>
  <c r="CD69" i="2"/>
  <c r="CC69" i="2"/>
  <c r="CB69" i="2"/>
  <c r="CA69" i="2"/>
  <c r="CK63" i="2"/>
  <c r="CJ63" i="2"/>
  <c r="CI63" i="2"/>
  <c r="CH63" i="2"/>
  <c r="CG63" i="2"/>
  <c r="CF63" i="2"/>
  <c r="CE63" i="2"/>
  <c r="CD63" i="2"/>
  <c r="CC63" i="2"/>
  <c r="CB63" i="2"/>
  <c r="CA63" i="2"/>
  <c r="CK57" i="2"/>
  <c r="CJ57" i="2"/>
  <c r="CI57" i="2"/>
  <c r="CH57" i="2"/>
  <c r="CG57" i="2"/>
  <c r="CF57" i="2"/>
  <c r="CE57" i="2"/>
  <c r="CD57" i="2"/>
  <c r="CC57" i="2"/>
  <c r="CB57" i="2"/>
  <c r="CA57" i="2"/>
  <c r="CK51" i="2"/>
  <c r="CJ51" i="2"/>
  <c r="CI51" i="2"/>
  <c r="CH51" i="2"/>
  <c r="CF51" i="2"/>
  <c r="CE51" i="2"/>
  <c r="CD51" i="2"/>
  <c r="CC51" i="2"/>
  <c r="CB51" i="2"/>
  <c r="CA51" i="2"/>
  <c r="CK45" i="2"/>
  <c r="CJ45" i="2"/>
  <c r="CI45" i="2"/>
  <c r="CH45" i="2"/>
  <c r="CF45" i="2"/>
  <c r="CE45" i="2"/>
  <c r="CD45" i="2"/>
  <c r="CC45" i="2"/>
  <c r="CB45" i="2"/>
  <c r="CA45" i="2"/>
  <c r="CK39" i="2"/>
  <c r="CJ39" i="2"/>
  <c r="CI39" i="2"/>
  <c r="CH39" i="2"/>
  <c r="CF39" i="2"/>
  <c r="CE39" i="2"/>
  <c r="CD39" i="2"/>
  <c r="CC39" i="2"/>
  <c r="CB39" i="2"/>
  <c r="CA39" i="2"/>
  <c r="CK33" i="2"/>
  <c r="CJ33" i="2"/>
  <c r="CI33" i="2"/>
  <c r="CH33" i="2"/>
  <c r="CF33" i="2"/>
  <c r="CE33" i="2"/>
  <c r="CD33" i="2"/>
  <c r="CC33" i="2"/>
  <c r="CB33" i="2"/>
  <c r="CA33" i="2"/>
  <c r="CK27" i="2"/>
  <c r="CJ27" i="2"/>
  <c r="CI27" i="2"/>
  <c r="CH27" i="2"/>
  <c r="CF27" i="2"/>
  <c r="CE27" i="2"/>
  <c r="CD27" i="2"/>
  <c r="CC27" i="2"/>
  <c r="CB27" i="2"/>
  <c r="CA27" i="2"/>
  <c r="CK21" i="2"/>
  <c r="CJ21" i="2"/>
  <c r="CI21" i="2"/>
  <c r="CH21" i="2"/>
  <c r="CF21" i="2"/>
  <c r="CE21" i="2"/>
  <c r="CD21" i="2"/>
  <c r="CC21" i="2"/>
  <c r="CB21" i="2"/>
  <c r="CA21" i="2"/>
  <c r="CK15" i="2"/>
  <c r="CJ15" i="2"/>
  <c r="CI15" i="2"/>
  <c r="CH15" i="2"/>
  <c r="CF15" i="2"/>
  <c r="CE15" i="2"/>
  <c r="CD15" i="2"/>
  <c r="CC15" i="2"/>
  <c r="CB15" i="2"/>
  <c r="CA15" i="2"/>
  <c r="CK9" i="2"/>
  <c r="CJ9" i="2"/>
  <c r="CI9" i="2"/>
  <c r="CH9" i="2"/>
  <c r="CF9" i="2"/>
  <c r="CE9" i="2"/>
  <c r="CD9" i="2"/>
  <c r="CC9" i="2"/>
  <c r="CB9" i="2"/>
  <c r="CA9" i="2"/>
  <c r="BV85" i="2"/>
  <c r="BT85" i="2"/>
  <c r="BV83" i="2"/>
  <c r="BU83" i="2"/>
  <c r="BT83" i="2"/>
  <c r="BS83" i="2"/>
  <c r="BR83" i="2"/>
  <c r="BQ83" i="2"/>
  <c r="BP83" i="2"/>
  <c r="BO83" i="2"/>
  <c r="BN83" i="2"/>
  <c r="BM83" i="2"/>
  <c r="BL83" i="2"/>
  <c r="BV82" i="2"/>
  <c r="BU82" i="2"/>
  <c r="BT82" i="2"/>
  <c r="BS82" i="2"/>
  <c r="BR82" i="2"/>
  <c r="BQ82" i="2"/>
  <c r="BP82" i="2"/>
  <c r="BO82" i="2"/>
  <c r="BN82" i="2"/>
  <c r="BM82" i="2"/>
  <c r="BL82" i="2"/>
  <c r="BV81" i="2"/>
  <c r="BU81" i="2"/>
  <c r="BT81" i="2"/>
  <c r="BS81" i="2"/>
  <c r="BR81" i="2"/>
  <c r="BQ81" i="2"/>
  <c r="BP81" i="2"/>
  <c r="BO81" i="2"/>
  <c r="BN81" i="2"/>
  <c r="BM81" i="2"/>
  <c r="BL81" i="2"/>
  <c r="BV80" i="2"/>
  <c r="BU80" i="2"/>
  <c r="BT80" i="2"/>
  <c r="BS80" i="2"/>
  <c r="BR80" i="2"/>
  <c r="BQ80" i="2"/>
  <c r="BP80" i="2"/>
  <c r="BO80" i="2"/>
  <c r="BN80" i="2"/>
  <c r="BM80" i="2"/>
  <c r="BL80" i="2"/>
  <c r="BO77" i="2"/>
  <c r="BN77" i="2"/>
  <c r="BV75" i="2"/>
  <c r="BU75" i="2"/>
  <c r="BT75" i="2"/>
  <c r="BS75" i="2"/>
  <c r="BR75" i="2"/>
  <c r="BQ75" i="2"/>
  <c r="BP75" i="2"/>
  <c r="BO75" i="2"/>
  <c r="BN75" i="2"/>
  <c r="BM75" i="2"/>
  <c r="BL75" i="2"/>
  <c r="BV69" i="2"/>
  <c r="BU69" i="2"/>
  <c r="BT69" i="2"/>
  <c r="BS69" i="2"/>
  <c r="BR69" i="2"/>
  <c r="BQ69" i="2"/>
  <c r="BP69" i="2"/>
  <c r="BO69" i="2"/>
  <c r="BN69" i="2"/>
  <c r="BM69" i="2"/>
  <c r="BL69" i="2"/>
  <c r="BV63" i="2"/>
  <c r="BU63" i="2"/>
  <c r="BT63" i="2"/>
  <c r="BS63" i="2"/>
  <c r="BR63" i="2"/>
  <c r="BQ63" i="2"/>
  <c r="BP63" i="2"/>
  <c r="BO63" i="2"/>
  <c r="BN63" i="2"/>
  <c r="BM63" i="2"/>
  <c r="BL63" i="2"/>
  <c r="BV57" i="2"/>
  <c r="BU57" i="2"/>
  <c r="BT57" i="2"/>
  <c r="BS57" i="2"/>
  <c r="BR57" i="2"/>
  <c r="BQ57" i="2"/>
  <c r="BP57" i="2"/>
  <c r="BO57" i="2"/>
  <c r="BN57" i="2"/>
  <c r="BM57" i="2"/>
  <c r="BL57" i="2"/>
  <c r="BV51" i="2"/>
  <c r="BU51" i="2"/>
  <c r="BT51" i="2"/>
  <c r="BS51" i="2"/>
  <c r="BR51" i="2"/>
  <c r="BQ51" i="2"/>
  <c r="BP51" i="2"/>
  <c r="BO51" i="2"/>
  <c r="BN51" i="2"/>
  <c r="BM51" i="2"/>
  <c r="BL51" i="2"/>
  <c r="BV45" i="2"/>
  <c r="BU45" i="2"/>
  <c r="BT45" i="2"/>
  <c r="BS45" i="2"/>
  <c r="BR45" i="2"/>
  <c r="BQ45" i="2"/>
  <c r="BP45" i="2"/>
  <c r="BO45" i="2"/>
  <c r="BN45" i="2"/>
  <c r="BM45" i="2"/>
  <c r="BL45" i="2"/>
  <c r="BV39" i="2"/>
  <c r="BU39" i="2"/>
  <c r="BT39" i="2"/>
  <c r="BS39" i="2"/>
  <c r="BR39" i="2"/>
  <c r="BQ39" i="2"/>
  <c r="BP39" i="2"/>
  <c r="BO39" i="2"/>
  <c r="BN39" i="2"/>
  <c r="BM39" i="2"/>
  <c r="BL39" i="2"/>
  <c r="BV33" i="2"/>
  <c r="BU33" i="2"/>
  <c r="BT33" i="2"/>
  <c r="BS33" i="2"/>
  <c r="BR33" i="2"/>
  <c r="BQ33" i="2"/>
  <c r="BP33" i="2"/>
  <c r="BO33" i="2"/>
  <c r="BN33" i="2"/>
  <c r="BM33" i="2"/>
  <c r="BL33" i="2"/>
  <c r="BV27" i="2"/>
  <c r="BU27" i="2"/>
  <c r="BT27" i="2"/>
  <c r="BS27" i="2"/>
  <c r="BR27" i="2"/>
  <c r="BQ27" i="2"/>
  <c r="BP27" i="2"/>
  <c r="BO27" i="2"/>
  <c r="BN27" i="2"/>
  <c r="BM27" i="2"/>
  <c r="BL27" i="2"/>
  <c r="BV21" i="2"/>
  <c r="BU21" i="2"/>
  <c r="BT21" i="2"/>
  <c r="BS21" i="2"/>
  <c r="BR21" i="2"/>
  <c r="BQ21" i="2"/>
  <c r="BP21" i="2"/>
  <c r="BO21" i="2"/>
  <c r="BN21" i="2"/>
  <c r="BM21" i="2"/>
  <c r="BL21" i="2"/>
  <c r="BV15" i="2"/>
  <c r="BU15" i="2"/>
  <c r="BT15" i="2"/>
  <c r="BS15" i="2"/>
  <c r="BR15" i="2"/>
  <c r="BQ15" i="2"/>
  <c r="BP15" i="2"/>
  <c r="BO15" i="2"/>
  <c r="BN15" i="2"/>
  <c r="BM15" i="2"/>
  <c r="BL15" i="2"/>
  <c r="BV9" i="2"/>
  <c r="BU9" i="2"/>
  <c r="BT9" i="2"/>
  <c r="BS9" i="2"/>
  <c r="BR9" i="2"/>
  <c r="BQ9" i="2"/>
  <c r="BP9" i="2"/>
  <c r="BO9" i="2"/>
  <c r="BN9" i="2"/>
  <c r="BM9" i="2"/>
  <c r="BL9" i="2"/>
  <c r="BG85" i="2"/>
  <c r="BE85" i="2"/>
  <c r="BG83" i="2"/>
  <c r="BF83" i="2"/>
  <c r="BE83" i="2"/>
  <c r="BD83" i="2"/>
  <c r="BC83" i="2"/>
  <c r="BB83" i="2"/>
  <c r="BA83" i="2"/>
  <c r="AZ83" i="2"/>
  <c r="AY83" i="2"/>
  <c r="AX83" i="2"/>
  <c r="AW83" i="2"/>
  <c r="BG82" i="2"/>
  <c r="BF82" i="2"/>
  <c r="BE82" i="2"/>
  <c r="BD82" i="2"/>
  <c r="BC82" i="2"/>
  <c r="BB82" i="2"/>
  <c r="BA82" i="2"/>
  <c r="AZ82" i="2"/>
  <c r="AY82" i="2"/>
  <c r="AX82" i="2"/>
  <c r="AW82" i="2"/>
  <c r="BG81" i="2"/>
  <c r="BF81" i="2"/>
  <c r="BE81" i="2"/>
  <c r="BD81" i="2"/>
  <c r="BC81" i="2"/>
  <c r="BB81" i="2"/>
  <c r="BA81" i="2"/>
  <c r="AZ81" i="2"/>
  <c r="AY81" i="2"/>
  <c r="AX81" i="2"/>
  <c r="AW81" i="2"/>
  <c r="BG80" i="2"/>
  <c r="BF80" i="2"/>
  <c r="BE80" i="2"/>
  <c r="BD80" i="2"/>
  <c r="BC80" i="2"/>
  <c r="BB80" i="2"/>
  <c r="BA80" i="2"/>
  <c r="AZ80" i="2"/>
  <c r="AY80" i="2"/>
  <c r="AX80" i="2"/>
  <c r="AW80" i="2"/>
  <c r="AZ77" i="2"/>
  <c r="AY77" i="2"/>
  <c r="BG75" i="2"/>
  <c r="BF75" i="2"/>
  <c r="BE75" i="2"/>
  <c r="BD75" i="2"/>
  <c r="BC75" i="2"/>
  <c r="BB75" i="2"/>
  <c r="BA75" i="2"/>
  <c r="AZ75" i="2"/>
  <c r="AY75" i="2"/>
  <c r="AX75" i="2"/>
  <c r="AW75" i="2"/>
  <c r="BG69" i="2"/>
  <c r="BF69" i="2"/>
  <c r="BE69" i="2"/>
  <c r="BD69" i="2"/>
  <c r="BC69" i="2"/>
  <c r="BB69" i="2"/>
  <c r="BA69" i="2"/>
  <c r="AZ69" i="2"/>
  <c r="AY69" i="2"/>
  <c r="AX69" i="2"/>
  <c r="AW69" i="2"/>
  <c r="BG63" i="2"/>
  <c r="BF63" i="2"/>
  <c r="BE63" i="2"/>
  <c r="BD63" i="2"/>
  <c r="BC63" i="2"/>
  <c r="BB63" i="2"/>
  <c r="BA63" i="2"/>
  <c r="AZ63" i="2"/>
  <c r="AY63" i="2"/>
  <c r="AX63" i="2"/>
  <c r="AW63" i="2"/>
  <c r="BG57" i="2"/>
  <c r="BF57" i="2"/>
  <c r="BE57" i="2"/>
  <c r="BD57" i="2"/>
  <c r="BC57" i="2"/>
  <c r="BB57" i="2"/>
  <c r="BA57" i="2"/>
  <c r="AZ57" i="2"/>
  <c r="AY57" i="2"/>
  <c r="AX57" i="2"/>
  <c r="AW57" i="2"/>
  <c r="BG51" i="2"/>
  <c r="BF51" i="2"/>
  <c r="BE51" i="2"/>
  <c r="BD51" i="2"/>
  <c r="BC51" i="2"/>
  <c r="BB51" i="2"/>
  <c r="BA51" i="2"/>
  <c r="AZ51" i="2"/>
  <c r="AY51" i="2"/>
  <c r="AX51" i="2"/>
  <c r="AW51" i="2"/>
  <c r="BG45" i="2"/>
  <c r="BF45" i="2"/>
  <c r="BE45" i="2"/>
  <c r="BD45" i="2"/>
  <c r="BC45" i="2"/>
  <c r="BB45" i="2"/>
  <c r="BA45" i="2"/>
  <c r="AZ45" i="2"/>
  <c r="AY45" i="2"/>
  <c r="AX45" i="2"/>
  <c r="AW45" i="2"/>
  <c r="BG39" i="2"/>
  <c r="BF39" i="2"/>
  <c r="BE39" i="2"/>
  <c r="BD39" i="2"/>
  <c r="BC39" i="2"/>
  <c r="BB39" i="2"/>
  <c r="BA39" i="2"/>
  <c r="AZ39" i="2"/>
  <c r="AY39" i="2"/>
  <c r="AX39" i="2"/>
  <c r="AW39" i="2"/>
  <c r="BG33" i="2"/>
  <c r="BF33" i="2"/>
  <c r="BE33" i="2"/>
  <c r="BD33" i="2"/>
  <c r="BC33" i="2"/>
  <c r="BB33" i="2"/>
  <c r="BA33" i="2"/>
  <c r="AZ33" i="2"/>
  <c r="AY33" i="2"/>
  <c r="AX33" i="2"/>
  <c r="AW33" i="2"/>
  <c r="BG27" i="2"/>
  <c r="BF27" i="2"/>
  <c r="BE27" i="2"/>
  <c r="BD27" i="2"/>
  <c r="BC27" i="2"/>
  <c r="BB27" i="2"/>
  <c r="BA27" i="2"/>
  <c r="AZ27" i="2"/>
  <c r="AY27" i="2"/>
  <c r="AX27" i="2"/>
  <c r="AW27" i="2"/>
  <c r="BG21" i="2"/>
  <c r="BF21" i="2"/>
  <c r="BE21" i="2"/>
  <c r="BD21" i="2"/>
  <c r="BC21" i="2"/>
  <c r="BB21" i="2"/>
  <c r="BA21" i="2"/>
  <c r="AZ21" i="2"/>
  <c r="AY21" i="2"/>
  <c r="AX21" i="2"/>
  <c r="AW21" i="2"/>
  <c r="BG15" i="2"/>
  <c r="BF15" i="2"/>
  <c r="BE15" i="2"/>
  <c r="BD15" i="2"/>
  <c r="BC15" i="2"/>
  <c r="BB15" i="2"/>
  <c r="BA15" i="2"/>
  <c r="AZ15" i="2"/>
  <c r="AY15" i="2"/>
  <c r="AX15" i="2"/>
  <c r="AW15" i="2"/>
  <c r="BG9" i="2"/>
  <c r="BF9" i="2"/>
  <c r="BE9" i="2"/>
  <c r="BD9" i="2"/>
  <c r="BC9" i="2"/>
  <c r="BB9" i="2"/>
  <c r="BA9" i="2"/>
  <c r="AZ9" i="2"/>
  <c r="AY9" i="2"/>
  <c r="AX9" i="2"/>
  <c r="AW9" i="2"/>
  <c r="AR85" i="2"/>
  <c r="AP85" i="2"/>
  <c r="AR83" i="2"/>
  <c r="AQ83" i="2"/>
  <c r="AP83" i="2"/>
  <c r="AO83" i="2"/>
  <c r="AN83" i="2"/>
  <c r="AM83" i="2"/>
  <c r="AL83" i="2"/>
  <c r="AK83" i="2"/>
  <c r="AJ83" i="2"/>
  <c r="AI83" i="2"/>
  <c r="AH83" i="2"/>
  <c r="AR82" i="2"/>
  <c r="AQ82" i="2"/>
  <c r="AP82" i="2"/>
  <c r="AO82" i="2"/>
  <c r="AN82" i="2"/>
  <c r="AM82" i="2"/>
  <c r="AL82" i="2"/>
  <c r="AK82" i="2"/>
  <c r="AJ82" i="2"/>
  <c r="AI82" i="2"/>
  <c r="AH82" i="2"/>
  <c r="AR81" i="2"/>
  <c r="AQ81" i="2"/>
  <c r="AP81" i="2"/>
  <c r="AO81" i="2"/>
  <c r="AN81" i="2"/>
  <c r="AM81" i="2"/>
  <c r="AL81" i="2"/>
  <c r="AK81" i="2"/>
  <c r="AJ81" i="2"/>
  <c r="AI81" i="2"/>
  <c r="AH81" i="2"/>
  <c r="AR80" i="2"/>
  <c r="AQ80" i="2"/>
  <c r="AP80" i="2"/>
  <c r="AO80" i="2"/>
  <c r="AN80" i="2"/>
  <c r="AM80" i="2"/>
  <c r="AL80" i="2"/>
  <c r="AK80" i="2"/>
  <c r="AJ80" i="2"/>
  <c r="AI80" i="2"/>
  <c r="AH80" i="2"/>
  <c r="AK77" i="2"/>
  <c r="AJ77" i="2"/>
  <c r="AR75" i="2"/>
  <c r="AQ75" i="2"/>
  <c r="AP75" i="2"/>
  <c r="AO75" i="2"/>
  <c r="AN75" i="2"/>
  <c r="AM75" i="2"/>
  <c r="AL75" i="2"/>
  <c r="AK75" i="2"/>
  <c r="AJ75" i="2"/>
  <c r="AI75" i="2"/>
  <c r="AH75" i="2"/>
  <c r="AR69" i="2"/>
  <c r="AQ69" i="2"/>
  <c r="AP69" i="2"/>
  <c r="AO69" i="2"/>
  <c r="AN69" i="2"/>
  <c r="AM69" i="2"/>
  <c r="AL69" i="2"/>
  <c r="AK69" i="2"/>
  <c r="AJ69" i="2"/>
  <c r="AI69" i="2"/>
  <c r="AH69" i="2"/>
  <c r="AR63" i="2"/>
  <c r="AQ63" i="2"/>
  <c r="AP63" i="2"/>
  <c r="AO63" i="2"/>
  <c r="AN63" i="2"/>
  <c r="AM63" i="2"/>
  <c r="AL63" i="2"/>
  <c r="AK63" i="2"/>
  <c r="AJ63" i="2"/>
  <c r="AI63" i="2"/>
  <c r="AH63" i="2"/>
  <c r="AR57" i="2"/>
  <c r="AQ57" i="2"/>
  <c r="AP57" i="2"/>
  <c r="AO57" i="2"/>
  <c r="AN57" i="2"/>
  <c r="AM57" i="2"/>
  <c r="AL57" i="2"/>
  <c r="AK57" i="2"/>
  <c r="AJ57" i="2"/>
  <c r="AI57" i="2"/>
  <c r="AH57" i="2"/>
  <c r="AR51" i="2"/>
  <c r="AQ51" i="2"/>
  <c r="AP51" i="2"/>
  <c r="AO51" i="2"/>
  <c r="AN51" i="2"/>
  <c r="AM51" i="2"/>
  <c r="AL51" i="2"/>
  <c r="AK51" i="2"/>
  <c r="AJ51" i="2"/>
  <c r="AI51" i="2"/>
  <c r="AH51" i="2"/>
  <c r="AR45" i="2"/>
  <c r="AQ45" i="2"/>
  <c r="AP45" i="2"/>
  <c r="AO45" i="2"/>
  <c r="AN45" i="2"/>
  <c r="AM45" i="2"/>
  <c r="AL45" i="2"/>
  <c r="AK45" i="2"/>
  <c r="AJ45" i="2"/>
  <c r="AI45" i="2"/>
  <c r="AH45" i="2"/>
  <c r="AR39" i="2"/>
  <c r="AQ39" i="2"/>
  <c r="AP39" i="2"/>
  <c r="AO39" i="2"/>
  <c r="AN39" i="2"/>
  <c r="AM39" i="2"/>
  <c r="AL39" i="2"/>
  <c r="AK39" i="2"/>
  <c r="AJ39" i="2"/>
  <c r="AI39" i="2"/>
  <c r="AH39" i="2"/>
  <c r="AR33" i="2"/>
  <c r="AQ33" i="2"/>
  <c r="AP33" i="2"/>
  <c r="AO33" i="2"/>
  <c r="AN33" i="2"/>
  <c r="AM33" i="2"/>
  <c r="AL33" i="2"/>
  <c r="AK33" i="2"/>
  <c r="AJ33" i="2"/>
  <c r="AI33" i="2"/>
  <c r="AH33" i="2"/>
  <c r="AR27" i="2"/>
  <c r="AQ27" i="2"/>
  <c r="AP27" i="2"/>
  <c r="AO27" i="2"/>
  <c r="AN27" i="2"/>
  <c r="AM27" i="2"/>
  <c r="AL27" i="2"/>
  <c r="AK27" i="2"/>
  <c r="AJ27" i="2"/>
  <c r="AI27" i="2"/>
  <c r="AH27" i="2"/>
  <c r="AR21" i="2"/>
  <c r="AQ21" i="2"/>
  <c r="AP21" i="2"/>
  <c r="AO21" i="2"/>
  <c r="AN21" i="2"/>
  <c r="AM21" i="2"/>
  <c r="AL21" i="2"/>
  <c r="AK21" i="2"/>
  <c r="AJ21" i="2"/>
  <c r="AI21" i="2"/>
  <c r="AH21" i="2"/>
  <c r="AR15" i="2"/>
  <c r="AQ15" i="2"/>
  <c r="AP15" i="2"/>
  <c r="AO15" i="2"/>
  <c r="AN15" i="2"/>
  <c r="AM15" i="2"/>
  <c r="AL15" i="2"/>
  <c r="AK15" i="2"/>
  <c r="AJ15" i="2"/>
  <c r="AI15" i="2"/>
  <c r="AH15" i="2"/>
  <c r="AR9" i="2"/>
  <c r="AQ9" i="2"/>
  <c r="AP9" i="2"/>
  <c r="AO9" i="2"/>
  <c r="AN9" i="2"/>
  <c r="AM9" i="2"/>
  <c r="AL9" i="2"/>
  <c r="AK9" i="2"/>
  <c r="AJ9" i="2"/>
  <c r="AI9" i="2"/>
  <c r="AH9" i="2"/>
  <c r="AC85" i="2"/>
  <c r="AA85" i="2"/>
  <c r="AC83" i="2"/>
  <c r="AB83" i="2"/>
  <c r="AA83" i="2"/>
  <c r="Z83" i="2"/>
  <c r="Y83" i="2"/>
  <c r="X83" i="2"/>
  <c r="W83" i="2"/>
  <c r="V83" i="2"/>
  <c r="U83" i="2"/>
  <c r="T83" i="2"/>
  <c r="S83" i="2"/>
  <c r="AC82" i="2"/>
  <c r="AB82" i="2"/>
  <c r="AA82" i="2"/>
  <c r="Z82" i="2"/>
  <c r="Y82" i="2"/>
  <c r="X82" i="2"/>
  <c r="W82" i="2"/>
  <c r="V82" i="2"/>
  <c r="U82" i="2"/>
  <c r="T82" i="2"/>
  <c r="S82" i="2"/>
  <c r="AC81" i="2"/>
  <c r="AB81" i="2"/>
  <c r="AA81" i="2"/>
  <c r="Z81" i="2"/>
  <c r="Y81" i="2"/>
  <c r="X81" i="2"/>
  <c r="W81" i="2"/>
  <c r="V81" i="2"/>
  <c r="U81" i="2"/>
  <c r="T81" i="2"/>
  <c r="S81" i="2"/>
  <c r="AC80" i="2"/>
  <c r="AB80" i="2"/>
  <c r="AA80" i="2"/>
  <c r="Z80" i="2"/>
  <c r="Y80" i="2"/>
  <c r="X80" i="2"/>
  <c r="W80" i="2"/>
  <c r="V80" i="2"/>
  <c r="U80" i="2"/>
  <c r="T80" i="2"/>
  <c r="S80" i="2"/>
  <c r="V77" i="2"/>
  <c r="U77" i="2"/>
  <c r="AC75" i="2"/>
  <c r="AB75" i="2"/>
  <c r="AA75" i="2"/>
  <c r="Z75" i="2"/>
  <c r="Y75" i="2"/>
  <c r="X75" i="2"/>
  <c r="W75" i="2"/>
  <c r="V75" i="2"/>
  <c r="U75" i="2"/>
  <c r="T75" i="2"/>
  <c r="S75" i="2"/>
  <c r="AC69" i="2"/>
  <c r="AB69" i="2"/>
  <c r="AA69" i="2"/>
  <c r="Z69" i="2"/>
  <c r="Y69" i="2"/>
  <c r="X69" i="2"/>
  <c r="W69" i="2"/>
  <c r="V69" i="2"/>
  <c r="U69" i="2"/>
  <c r="T69" i="2"/>
  <c r="S69" i="2"/>
  <c r="AC63" i="2"/>
  <c r="AB63" i="2"/>
  <c r="AA63" i="2"/>
  <c r="Z63" i="2"/>
  <c r="Y63" i="2"/>
  <c r="X63" i="2"/>
  <c r="W63" i="2"/>
  <c r="V63" i="2"/>
  <c r="U63" i="2"/>
  <c r="T63" i="2"/>
  <c r="S63" i="2"/>
  <c r="AC57" i="2"/>
  <c r="AB57" i="2"/>
  <c r="AA57" i="2"/>
  <c r="Z57" i="2"/>
  <c r="Y57" i="2"/>
  <c r="X57" i="2"/>
  <c r="W57" i="2"/>
  <c r="V57" i="2"/>
  <c r="U57" i="2"/>
  <c r="T57" i="2"/>
  <c r="S57" i="2"/>
  <c r="AC51" i="2"/>
  <c r="AB51" i="2"/>
  <c r="AA51" i="2"/>
  <c r="Z51" i="2"/>
  <c r="Y51" i="2"/>
  <c r="X51" i="2"/>
  <c r="W51" i="2"/>
  <c r="V51" i="2"/>
  <c r="U51" i="2"/>
  <c r="T51" i="2"/>
  <c r="S51" i="2"/>
  <c r="AC45" i="2"/>
  <c r="AB45" i="2"/>
  <c r="AA45" i="2"/>
  <c r="Z45" i="2"/>
  <c r="Y45" i="2"/>
  <c r="X45" i="2"/>
  <c r="W45" i="2"/>
  <c r="V45" i="2"/>
  <c r="U45" i="2"/>
  <c r="T45" i="2"/>
  <c r="S45" i="2"/>
  <c r="AC39" i="2"/>
  <c r="AB39" i="2"/>
  <c r="AA39" i="2"/>
  <c r="Z39" i="2"/>
  <c r="Y39" i="2"/>
  <c r="X39" i="2"/>
  <c r="W39" i="2"/>
  <c r="V39" i="2"/>
  <c r="U39" i="2"/>
  <c r="T39" i="2"/>
  <c r="S39" i="2"/>
  <c r="AC33" i="2"/>
  <c r="AB33" i="2"/>
  <c r="AA33" i="2"/>
  <c r="Z33" i="2"/>
  <c r="Y33" i="2"/>
  <c r="X33" i="2"/>
  <c r="W33" i="2"/>
  <c r="V33" i="2"/>
  <c r="U33" i="2"/>
  <c r="T33" i="2"/>
  <c r="S33" i="2"/>
  <c r="AC27" i="2"/>
  <c r="AB27" i="2"/>
  <c r="AA27" i="2"/>
  <c r="Z27" i="2"/>
  <c r="Y27" i="2"/>
  <c r="X27" i="2"/>
  <c r="W27" i="2"/>
  <c r="V27" i="2"/>
  <c r="U27" i="2"/>
  <c r="T27" i="2"/>
  <c r="S27" i="2"/>
  <c r="AC21" i="2"/>
  <c r="AB21" i="2"/>
  <c r="AA21" i="2"/>
  <c r="Z21" i="2"/>
  <c r="Y21" i="2"/>
  <c r="X21" i="2"/>
  <c r="W21" i="2"/>
  <c r="V21" i="2"/>
  <c r="U21" i="2"/>
  <c r="T21" i="2"/>
  <c r="S21" i="2"/>
  <c r="AC15" i="2"/>
  <c r="AB15" i="2"/>
  <c r="AA15" i="2"/>
  <c r="Z15" i="2"/>
  <c r="Y15" i="2"/>
  <c r="X15" i="2"/>
  <c r="W15" i="2"/>
  <c r="V15" i="2"/>
  <c r="U15" i="2"/>
  <c r="T15" i="2"/>
  <c r="S15" i="2"/>
  <c r="AC9" i="2"/>
  <c r="AB9" i="2"/>
  <c r="AA9" i="2"/>
  <c r="Z9" i="2"/>
  <c r="Y9" i="2"/>
  <c r="X9" i="2"/>
  <c r="W9" i="2"/>
  <c r="V9" i="2"/>
  <c r="U9" i="2"/>
  <c r="T9" i="2"/>
  <c r="S9" i="2"/>
  <c r="N85" i="2"/>
  <c r="L85" i="2"/>
  <c r="D81" i="2"/>
  <c r="E81" i="2"/>
  <c r="F81" i="2"/>
  <c r="G81" i="2"/>
  <c r="H81" i="2"/>
  <c r="I81" i="2"/>
  <c r="J81" i="2"/>
  <c r="K81" i="2"/>
  <c r="L81" i="2"/>
  <c r="M81" i="2"/>
  <c r="N81" i="2"/>
  <c r="D82" i="2"/>
  <c r="E82" i="2"/>
  <c r="F82" i="2"/>
  <c r="G82" i="2"/>
  <c r="H82" i="2"/>
  <c r="I82" i="2"/>
  <c r="J82" i="2"/>
  <c r="K82" i="2"/>
  <c r="L82" i="2"/>
  <c r="M82" i="2"/>
  <c r="N82" i="2"/>
  <c r="D83" i="2"/>
  <c r="E83" i="2"/>
  <c r="F83" i="2"/>
  <c r="G83" i="2"/>
  <c r="H83" i="2"/>
  <c r="I83" i="2"/>
  <c r="J83" i="2"/>
  <c r="K83" i="2"/>
  <c r="L83" i="2"/>
  <c r="M83" i="2"/>
  <c r="N83" i="2"/>
  <c r="E80" i="2"/>
  <c r="F80" i="2"/>
  <c r="G80" i="2"/>
  <c r="H80" i="2"/>
  <c r="I80" i="2"/>
  <c r="J80" i="2"/>
  <c r="K80" i="2"/>
  <c r="L80" i="2"/>
  <c r="M80" i="2"/>
  <c r="N80" i="2"/>
  <c r="D80" i="2"/>
  <c r="AW84" i="2" l="1"/>
  <c r="BA84" i="2"/>
  <c r="BE84" i="2"/>
  <c r="BL84" i="2"/>
  <c r="BP84" i="2"/>
  <c r="BT84" i="2"/>
  <c r="CA84" i="2"/>
  <c r="CE84" i="2"/>
  <c r="CI84" i="2"/>
  <c r="CP84" i="2"/>
  <c r="CT84" i="2"/>
  <c r="CX84" i="2"/>
  <c r="DE84" i="2"/>
  <c r="DI84" i="2"/>
  <c r="DM84" i="2"/>
  <c r="DT84" i="2"/>
  <c r="DX84" i="2"/>
  <c r="EB84" i="2"/>
  <c r="EI84" i="2"/>
  <c r="EM84" i="2"/>
  <c r="EQ84" i="2"/>
  <c r="EX84" i="2"/>
  <c r="FB84" i="2"/>
  <c r="FF84" i="2"/>
  <c r="FM84" i="2"/>
  <c r="FQ84" i="2"/>
  <c r="FU84" i="2"/>
  <c r="AH84" i="2"/>
  <c r="AL84" i="2"/>
  <c r="AP84" i="2"/>
  <c r="S84" i="2"/>
  <c r="W84" i="2"/>
  <c r="AA84" i="2"/>
  <c r="T84" i="2"/>
  <c r="X84" i="2"/>
  <c r="AB84" i="2"/>
  <c r="AI84" i="2"/>
  <c r="AM84" i="2"/>
  <c r="AQ84" i="2"/>
  <c r="AX84" i="2"/>
  <c r="BB84" i="2"/>
  <c r="BF84" i="2"/>
  <c r="BM84" i="2"/>
  <c r="BQ84" i="2"/>
  <c r="BU84" i="2"/>
  <c r="CB84" i="2"/>
  <c r="CF84" i="2"/>
  <c r="CJ84" i="2"/>
  <c r="CQ84" i="2"/>
  <c r="CU84" i="2"/>
  <c r="CY84" i="2"/>
  <c r="DF84" i="2"/>
  <c r="DJ84" i="2"/>
  <c r="DN84" i="2"/>
  <c r="DU84" i="2"/>
  <c r="DY84" i="2"/>
  <c r="EC84" i="2"/>
  <c r="EJ84" i="2"/>
  <c r="EN84" i="2"/>
  <c r="ER84" i="2"/>
  <c r="EY84" i="2"/>
  <c r="FC84" i="2"/>
  <c r="FG84" i="2"/>
  <c r="FN84" i="2"/>
  <c r="FR84" i="2"/>
  <c r="FV84" i="2"/>
  <c r="U84" i="2"/>
  <c r="Y84" i="2"/>
  <c r="AC84" i="2"/>
  <c r="AJ84" i="2"/>
  <c r="AN84" i="2"/>
  <c r="AR84" i="2"/>
  <c r="AY84" i="2"/>
  <c r="BC84" i="2"/>
  <c r="BG84" i="2"/>
  <c r="BN84" i="2"/>
  <c r="BR84" i="2"/>
  <c r="BV84" i="2"/>
  <c r="CC84" i="2"/>
  <c r="CG84" i="2"/>
  <c r="CK84" i="2"/>
  <c r="CR84" i="2"/>
  <c r="CV84" i="2"/>
  <c r="CZ84" i="2"/>
  <c r="DG84" i="2"/>
  <c r="DK84" i="2"/>
  <c r="DO84" i="2"/>
  <c r="DV84" i="2"/>
  <c r="DZ84" i="2"/>
  <c r="ED84" i="2"/>
  <c r="EK84" i="2"/>
  <c r="EO84" i="2"/>
  <c r="ES84" i="2"/>
  <c r="EZ84" i="2"/>
  <c r="FD84" i="2"/>
  <c r="FH84" i="2"/>
  <c r="FO84" i="2"/>
  <c r="FS84" i="2"/>
  <c r="FW84" i="2"/>
  <c r="V84" i="2"/>
  <c r="Z84" i="2"/>
  <c r="AK84" i="2"/>
  <c r="AO84" i="2"/>
  <c r="AZ84" i="2"/>
  <c r="BD84" i="2"/>
  <c r="BO84" i="2"/>
  <c r="BS84" i="2"/>
  <c r="CD84" i="2"/>
  <c r="CH84" i="2"/>
  <c r="CS84" i="2"/>
  <c r="CW84" i="2"/>
  <c r="DH84" i="2"/>
  <c r="DL84" i="2"/>
  <c r="DW84" i="2"/>
  <c r="EA84" i="2"/>
  <c r="EL84" i="2"/>
  <c r="EP84" i="2"/>
  <c r="FA84" i="2"/>
  <c r="FE84" i="2"/>
  <c r="FP84" i="2"/>
  <c r="FT84" i="2"/>
  <c r="FQ1" i="3"/>
  <c r="FB1" i="3"/>
  <c r="EM1" i="3"/>
  <c r="DX1" i="3"/>
  <c r="DI1" i="3"/>
  <c r="CT1" i="3"/>
  <c r="CE1" i="3"/>
  <c r="BP1" i="3"/>
  <c r="BA1" i="3"/>
  <c r="AL1" i="3"/>
  <c r="W1" i="3"/>
  <c r="FW9" i="3"/>
  <c r="FU9" i="3"/>
  <c r="FW7" i="3"/>
  <c r="FV7" i="3"/>
  <c r="FU7" i="3"/>
  <c r="FT7" i="3"/>
  <c r="FS7" i="3"/>
  <c r="FR7" i="3"/>
  <c r="FQ7" i="3"/>
  <c r="FP7" i="3"/>
  <c r="FO7" i="3"/>
  <c r="FN7" i="3"/>
  <c r="FM7" i="3"/>
  <c r="FW6" i="3"/>
  <c r="FV6" i="3"/>
  <c r="FU6" i="3"/>
  <c r="FT6" i="3"/>
  <c r="FS6" i="3"/>
  <c r="FR6" i="3"/>
  <c r="FQ6" i="3"/>
  <c r="FP6" i="3"/>
  <c r="FO6" i="3"/>
  <c r="FN6" i="3"/>
  <c r="FM6" i="3"/>
  <c r="FW5" i="3"/>
  <c r="FV5" i="3"/>
  <c r="FU5" i="3"/>
  <c r="FT5" i="3"/>
  <c r="FS5" i="3"/>
  <c r="FR5" i="3"/>
  <c r="FQ5" i="3"/>
  <c r="FP5" i="3"/>
  <c r="FO5" i="3"/>
  <c r="FN5" i="3"/>
  <c r="FM5" i="3"/>
  <c r="FS4" i="3"/>
  <c r="FR4" i="3"/>
  <c r="FQ4" i="3"/>
  <c r="FP4" i="3"/>
  <c r="FO4" i="3"/>
  <c r="FN4" i="3"/>
  <c r="FM4" i="3"/>
  <c r="FH9" i="3"/>
  <c r="FF9" i="3"/>
  <c r="FH7" i="3"/>
  <c r="FG7" i="3"/>
  <c r="FF7" i="3"/>
  <c r="FE7" i="3"/>
  <c r="FD7" i="3"/>
  <c r="FC7" i="3"/>
  <c r="FB7" i="3"/>
  <c r="FA7" i="3"/>
  <c r="EZ7" i="3"/>
  <c r="EY7" i="3"/>
  <c r="EX7" i="3"/>
  <c r="FH6" i="3"/>
  <c r="FG6" i="3"/>
  <c r="FF6" i="3"/>
  <c r="FE6" i="3"/>
  <c r="FD6" i="3"/>
  <c r="FC6" i="3"/>
  <c r="FB6" i="3"/>
  <c r="FA6" i="3"/>
  <c r="EZ6" i="3"/>
  <c r="EY6" i="3"/>
  <c r="EX6" i="3"/>
  <c r="FH5" i="3"/>
  <c r="FG5" i="3"/>
  <c r="FF5" i="3"/>
  <c r="FE5" i="3"/>
  <c r="FD5" i="3"/>
  <c r="FC5" i="3"/>
  <c r="FB5" i="3"/>
  <c r="FA5" i="3"/>
  <c r="EZ5" i="3"/>
  <c r="EY5" i="3"/>
  <c r="EX5" i="3"/>
  <c r="ES9" i="3"/>
  <c r="EQ9" i="3"/>
  <c r="ES7" i="3"/>
  <c r="ER7" i="3"/>
  <c r="EQ7" i="3"/>
  <c r="EP7" i="3"/>
  <c r="EO7" i="3"/>
  <c r="EN7" i="3"/>
  <c r="EM7" i="3"/>
  <c r="EL7" i="3"/>
  <c r="EK7" i="3"/>
  <c r="EJ7" i="3"/>
  <c r="EI7" i="3"/>
  <c r="ES6" i="3"/>
  <c r="ER6" i="3"/>
  <c r="EQ6" i="3"/>
  <c r="EP6" i="3"/>
  <c r="EO6" i="3"/>
  <c r="EN6" i="3"/>
  <c r="EM6" i="3"/>
  <c r="EL6" i="3"/>
  <c r="EK6" i="3"/>
  <c r="EJ6" i="3"/>
  <c r="EI6" i="3"/>
  <c r="ES5" i="3"/>
  <c r="ER5" i="3"/>
  <c r="EQ5" i="3"/>
  <c r="EP5" i="3"/>
  <c r="EO5" i="3"/>
  <c r="EN5" i="3"/>
  <c r="EM5" i="3"/>
  <c r="EL5" i="3"/>
  <c r="EK5" i="3"/>
  <c r="EJ5" i="3"/>
  <c r="EI5" i="3"/>
  <c r="ED9" i="3"/>
  <c r="EB9" i="3"/>
  <c r="ED7" i="3"/>
  <c r="EC7" i="3"/>
  <c r="EB7" i="3"/>
  <c r="EA7" i="3"/>
  <c r="DZ7" i="3"/>
  <c r="DY7" i="3"/>
  <c r="DX7" i="3"/>
  <c r="DW7" i="3"/>
  <c r="DV7" i="3"/>
  <c r="DU7" i="3"/>
  <c r="DT7" i="3"/>
  <c r="ED6" i="3"/>
  <c r="EC6" i="3"/>
  <c r="EB6" i="3"/>
  <c r="EA6" i="3"/>
  <c r="DZ6" i="3"/>
  <c r="DY6" i="3"/>
  <c r="DX6" i="3"/>
  <c r="DW6" i="3"/>
  <c r="DV6" i="3"/>
  <c r="DU6" i="3"/>
  <c r="DT6" i="3"/>
  <c r="ED5" i="3"/>
  <c r="EC5" i="3"/>
  <c r="EB5" i="3"/>
  <c r="EA5" i="3"/>
  <c r="DZ5" i="3"/>
  <c r="DY5" i="3"/>
  <c r="DX5" i="3"/>
  <c r="DW5" i="3"/>
  <c r="DV5" i="3"/>
  <c r="DU5" i="3"/>
  <c r="DT5" i="3"/>
  <c r="DO9" i="3"/>
  <c r="DM9" i="3"/>
  <c r="DO7" i="3"/>
  <c r="DN7" i="3"/>
  <c r="DM7" i="3"/>
  <c r="DL7" i="3"/>
  <c r="DK7" i="3"/>
  <c r="DJ7" i="3"/>
  <c r="DI7" i="3"/>
  <c r="DH7" i="3"/>
  <c r="DG7" i="3"/>
  <c r="DF7" i="3"/>
  <c r="DE7" i="3"/>
  <c r="DO6" i="3"/>
  <c r="DN6" i="3"/>
  <c r="DM6" i="3"/>
  <c r="DL6" i="3"/>
  <c r="DK6" i="3"/>
  <c r="DJ6" i="3"/>
  <c r="DI6" i="3"/>
  <c r="DH6" i="3"/>
  <c r="DG6" i="3"/>
  <c r="DF6" i="3"/>
  <c r="DE6" i="3"/>
  <c r="DO5" i="3"/>
  <c r="DN5" i="3"/>
  <c r="DM5" i="3"/>
  <c r="DL5" i="3"/>
  <c r="DK5" i="3"/>
  <c r="DJ5" i="3"/>
  <c r="DI5" i="3"/>
  <c r="DH5" i="3"/>
  <c r="DG5" i="3"/>
  <c r="DF5" i="3"/>
  <c r="DE5" i="3"/>
  <c r="DO4" i="3"/>
  <c r="DL4" i="3"/>
  <c r="CZ9" i="3"/>
  <c r="CX9" i="3"/>
  <c r="CZ7" i="3"/>
  <c r="CY7" i="3"/>
  <c r="CX7" i="3"/>
  <c r="CW7" i="3"/>
  <c r="CV7" i="3"/>
  <c r="CU7" i="3"/>
  <c r="CT7" i="3"/>
  <c r="CS7" i="3"/>
  <c r="CR7" i="3"/>
  <c r="CQ7" i="3"/>
  <c r="CP7" i="3"/>
  <c r="CZ6" i="3"/>
  <c r="CY6" i="3"/>
  <c r="CX6" i="3"/>
  <c r="CW6" i="3"/>
  <c r="CV6" i="3"/>
  <c r="CU6" i="3"/>
  <c r="CT6" i="3"/>
  <c r="CS6" i="3"/>
  <c r="CR6" i="3"/>
  <c r="CQ6" i="3"/>
  <c r="CP6" i="3"/>
  <c r="CZ5" i="3"/>
  <c r="CY5" i="3"/>
  <c r="CX5" i="3"/>
  <c r="CW5" i="3"/>
  <c r="CV5" i="3"/>
  <c r="CU5" i="3"/>
  <c r="CT5" i="3"/>
  <c r="CS5" i="3"/>
  <c r="CR5" i="3"/>
  <c r="CQ5" i="3"/>
  <c r="CP5" i="3"/>
  <c r="CK9" i="3"/>
  <c r="CI9" i="3"/>
  <c r="CK7" i="3"/>
  <c r="CJ7" i="3"/>
  <c r="CI7" i="3"/>
  <c r="CH7" i="3"/>
  <c r="CG7" i="3"/>
  <c r="CF7" i="3"/>
  <c r="CE7" i="3"/>
  <c r="CD7" i="3"/>
  <c r="CC7" i="3"/>
  <c r="CB7" i="3"/>
  <c r="CA7" i="3"/>
  <c r="CK6" i="3"/>
  <c r="CJ6" i="3"/>
  <c r="CI6" i="3"/>
  <c r="CH6" i="3"/>
  <c r="CG6" i="3"/>
  <c r="CF6" i="3"/>
  <c r="CE6" i="3"/>
  <c r="CD6" i="3"/>
  <c r="CC6" i="3"/>
  <c r="CB6" i="3"/>
  <c r="CA6" i="3"/>
  <c r="CK5" i="3"/>
  <c r="CJ5" i="3"/>
  <c r="CI5" i="3"/>
  <c r="CH5" i="3"/>
  <c r="CG5" i="3"/>
  <c r="CF5" i="3"/>
  <c r="CE5" i="3"/>
  <c r="CD5" i="3"/>
  <c r="CC5" i="3"/>
  <c r="CB5" i="3"/>
  <c r="CA5" i="3"/>
  <c r="BV9" i="3"/>
  <c r="BT9" i="3"/>
  <c r="BV7" i="3"/>
  <c r="BU7" i="3"/>
  <c r="BT7" i="3"/>
  <c r="BS7" i="3"/>
  <c r="BR7" i="3"/>
  <c r="BQ7" i="3"/>
  <c r="BP7" i="3"/>
  <c r="BO7" i="3"/>
  <c r="BN7" i="3"/>
  <c r="BM7" i="3"/>
  <c r="BL7" i="3"/>
  <c r="BV6" i="3"/>
  <c r="BU6" i="3"/>
  <c r="BT6" i="3"/>
  <c r="BS6" i="3"/>
  <c r="BR6" i="3"/>
  <c r="BQ6" i="3"/>
  <c r="BP6" i="3"/>
  <c r="BO6" i="3"/>
  <c r="BN6" i="3"/>
  <c r="BM6" i="3"/>
  <c r="BL6" i="3"/>
  <c r="BV5" i="3"/>
  <c r="BU5" i="3"/>
  <c r="BT5" i="3"/>
  <c r="BS5" i="3"/>
  <c r="BR5" i="3"/>
  <c r="BQ5" i="3"/>
  <c r="BP5" i="3"/>
  <c r="BO5" i="3"/>
  <c r="BN5" i="3"/>
  <c r="BM5" i="3"/>
  <c r="BL5" i="3"/>
  <c r="BG9" i="3"/>
  <c r="BE9" i="3"/>
  <c r="BG7" i="3"/>
  <c r="BF7" i="3"/>
  <c r="BE7" i="3"/>
  <c r="BD7" i="3"/>
  <c r="BC7" i="3"/>
  <c r="BB7" i="3"/>
  <c r="BA7" i="3"/>
  <c r="AZ7" i="3"/>
  <c r="AY7" i="3"/>
  <c r="AX7" i="3"/>
  <c r="AW7" i="3"/>
  <c r="BG6" i="3"/>
  <c r="BF6" i="3"/>
  <c r="BE6" i="3"/>
  <c r="BD6" i="3"/>
  <c r="BC6" i="3"/>
  <c r="BB6" i="3"/>
  <c r="BA6" i="3"/>
  <c r="AZ6" i="3"/>
  <c r="AY6" i="3"/>
  <c r="AX6" i="3"/>
  <c r="AW6" i="3"/>
  <c r="BG5" i="3"/>
  <c r="BF5" i="3"/>
  <c r="BE5" i="3"/>
  <c r="BD5" i="3"/>
  <c r="BC5" i="3"/>
  <c r="BB5" i="3"/>
  <c r="BA5" i="3"/>
  <c r="AZ5" i="3"/>
  <c r="AY5" i="3"/>
  <c r="AX5" i="3"/>
  <c r="AW5" i="3"/>
  <c r="AR9" i="3"/>
  <c r="AP9" i="3"/>
  <c r="AR7" i="3"/>
  <c r="AQ7" i="3"/>
  <c r="AP7" i="3"/>
  <c r="AO7" i="3"/>
  <c r="AN7" i="3"/>
  <c r="AM7" i="3"/>
  <c r="AL7" i="3"/>
  <c r="AK7" i="3"/>
  <c r="AJ7" i="3"/>
  <c r="AI7" i="3"/>
  <c r="AH7" i="3"/>
  <c r="AR6" i="3"/>
  <c r="AQ6" i="3"/>
  <c r="AP6" i="3"/>
  <c r="AO6" i="3"/>
  <c r="AN6" i="3"/>
  <c r="AM6" i="3"/>
  <c r="AL6" i="3"/>
  <c r="AK6" i="3"/>
  <c r="AJ6" i="3"/>
  <c r="AI6" i="3"/>
  <c r="AH6" i="3"/>
  <c r="AR5" i="3"/>
  <c r="AQ5" i="3"/>
  <c r="AP5" i="3"/>
  <c r="AO5" i="3"/>
  <c r="AN5" i="3"/>
  <c r="AM5" i="3"/>
  <c r="AL5" i="3"/>
  <c r="AK5" i="3"/>
  <c r="AJ5" i="3"/>
  <c r="AI5" i="3"/>
  <c r="AH5" i="3"/>
  <c r="AC9" i="3"/>
  <c r="AA9" i="3"/>
  <c r="AC7" i="3"/>
  <c r="AB7" i="3"/>
  <c r="AA7" i="3"/>
  <c r="Z7" i="3"/>
  <c r="Y7" i="3"/>
  <c r="X7" i="3"/>
  <c r="W7" i="3"/>
  <c r="V7" i="3"/>
  <c r="U7" i="3"/>
  <c r="T7" i="3"/>
  <c r="S7" i="3"/>
  <c r="AC6" i="3"/>
  <c r="AB6" i="3"/>
  <c r="AA6" i="3"/>
  <c r="Z6" i="3"/>
  <c r="Y6" i="3"/>
  <c r="X6" i="3"/>
  <c r="W6" i="3"/>
  <c r="V6" i="3"/>
  <c r="U6" i="3"/>
  <c r="T6" i="3"/>
  <c r="S6" i="3"/>
  <c r="AC5" i="3"/>
  <c r="AB5" i="3"/>
  <c r="AA5" i="3"/>
  <c r="Z5" i="3"/>
  <c r="Y5" i="3"/>
  <c r="X5" i="3"/>
  <c r="W5" i="3"/>
  <c r="V5" i="3"/>
  <c r="U5" i="3"/>
  <c r="T5" i="3"/>
  <c r="S5" i="3"/>
  <c r="FV4" i="3" l="1"/>
  <c r="FV8" i="3" s="1"/>
  <c r="FU4" i="3"/>
  <c r="FU8" i="3" s="1"/>
  <c r="FT4" i="3"/>
  <c r="FW4" i="3"/>
  <c r="FW8" i="3" s="1"/>
  <c r="FA4" i="3"/>
  <c r="FA8" i="3" s="1"/>
  <c r="FE4" i="3"/>
  <c r="FE8" i="3" s="1"/>
  <c r="EZ4" i="3"/>
  <c r="EZ8" i="3" s="1"/>
  <c r="FD4" i="3"/>
  <c r="FD8" i="3" s="1"/>
  <c r="FH4" i="3"/>
  <c r="EY4" i="3"/>
  <c r="EY8" i="3" s="1"/>
  <c r="FC4" i="3"/>
  <c r="FC8" i="3" s="1"/>
  <c r="FG4" i="3"/>
  <c r="FG8" i="3" s="1"/>
  <c r="EX4" i="3"/>
  <c r="EX8" i="3" s="1"/>
  <c r="FB4" i="3"/>
  <c r="FF4" i="3"/>
  <c r="EQ4" i="3"/>
  <c r="EQ8" i="3" s="1"/>
  <c r="EP4" i="3"/>
  <c r="ES4" i="3"/>
  <c r="ER4" i="3"/>
  <c r="ER8" i="3" s="1"/>
  <c r="EB4" i="3"/>
  <c r="EB8" i="3" s="1"/>
  <c r="EA4" i="3"/>
  <c r="ED4" i="3"/>
  <c r="ED8" i="3" s="1"/>
  <c r="EC4" i="3"/>
  <c r="EC8" i="3" s="1"/>
  <c r="DN4" i="3"/>
  <c r="DM4" i="3"/>
  <c r="CW4" i="3"/>
  <c r="CW8" i="3" s="1"/>
  <c r="CZ4" i="3"/>
  <c r="CZ8" i="3" s="1"/>
  <c r="CY4" i="3"/>
  <c r="CY8" i="3" s="1"/>
  <c r="CX4" i="3"/>
  <c r="CJ4" i="3"/>
  <c r="CJ8" i="3" s="1"/>
  <c r="CI4" i="3"/>
  <c r="CI8" i="3" s="1"/>
  <c r="CH4" i="3"/>
  <c r="CH8" i="3" s="1"/>
  <c r="CK4" i="3"/>
  <c r="BU4" i="3"/>
  <c r="BU8" i="3" s="1"/>
  <c r="BT4" i="3"/>
  <c r="BT8" i="3" s="1"/>
  <c r="BS4" i="3"/>
  <c r="BS8" i="3" s="1"/>
  <c r="BE4" i="3"/>
  <c r="BD4" i="3"/>
  <c r="BD8" i="3" s="1"/>
  <c r="BG4" i="3"/>
  <c r="BF4" i="3"/>
  <c r="BF8" i="3" s="1"/>
  <c r="AR4" i="3"/>
  <c r="AR8" i="3" s="1"/>
  <c r="AQ4" i="3"/>
  <c r="AQ8" i="3" s="1"/>
  <c r="AP4" i="3"/>
  <c r="AO4" i="3"/>
  <c r="AO8" i="3" s="1"/>
  <c r="AA4" i="3"/>
  <c r="AA8" i="3" s="1"/>
  <c r="Z4" i="3"/>
  <c r="Z8" i="3" s="1"/>
  <c r="AC4" i="3"/>
  <c r="AC8" i="3" s="1"/>
  <c r="AB4" i="3"/>
  <c r="AB8" i="3" s="1"/>
  <c r="EO4" i="3"/>
  <c r="EO8" i="3" s="1"/>
  <c r="EN4" i="3"/>
  <c r="EN8" i="3" s="1"/>
  <c r="EM4" i="3"/>
  <c r="EM8" i="3" s="1"/>
  <c r="EL4" i="3"/>
  <c r="EL8" i="3" s="1"/>
  <c r="EK4" i="3"/>
  <c r="EK8" i="3" s="1"/>
  <c r="EJ4" i="3"/>
  <c r="EJ8" i="3" s="1"/>
  <c r="EI4" i="3"/>
  <c r="EI8" i="3" s="1"/>
  <c r="DX4" i="3"/>
  <c r="DZ4" i="3"/>
  <c r="DY4" i="3"/>
  <c r="DW4" i="3"/>
  <c r="DV4" i="3"/>
  <c r="DU4" i="3"/>
  <c r="DU8" i="3" s="1"/>
  <c r="DT4" i="3"/>
  <c r="DK4" i="3"/>
  <c r="DK8" i="3" s="1"/>
  <c r="DJ4" i="3"/>
  <c r="DJ8" i="3" s="1"/>
  <c r="DI4" i="3"/>
  <c r="DI8" i="3" s="1"/>
  <c r="DH4" i="3"/>
  <c r="DH8" i="3" s="1"/>
  <c r="DG4" i="3"/>
  <c r="DG8" i="3" s="1"/>
  <c r="DF4" i="3"/>
  <c r="DF8" i="3" s="1"/>
  <c r="DE4" i="3"/>
  <c r="DE8" i="3" s="1"/>
  <c r="CV4" i="3"/>
  <c r="CV8" i="3" s="1"/>
  <c r="CU4" i="3"/>
  <c r="CU8" i="3" s="1"/>
  <c r="CT4" i="3"/>
  <c r="CT8" i="3" s="1"/>
  <c r="CS4" i="3"/>
  <c r="CS8" i="3" s="1"/>
  <c r="CR4" i="3"/>
  <c r="CR8" i="3" s="1"/>
  <c r="CQ4" i="3"/>
  <c r="CQ8" i="3" s="1"/>
  <c r="CP4" i="3"/>
  <c r="CP8" i="3" s="1"/>
  <c r="CE4" i="3"/>
  <c r="CC4" i="3"/>
  <c r="CC8" i="3" s="1"/>
  <c r="CB4" i="3"/>
  <c r="CG4" i="3"/>
  <c r="CF4" i="3"/>
  <c r="CD4" i="3"/>
  <c r="CA4" i="3"/>
  <c r="BV4" i="3"/>
  <c r="BV8" i="3" s="1"/>
  <c r="BR4" i="3"/>
  <c r="BR8" i="3" s="1"/>
  <c r="BQ4" i="3"/>
  <c r="BP4" i="3"/>
  <c r="BP8" i="3" s="1"/>
  <c r="BO4" i="3"/>
  <c r="BO8" i="3" s="1"/>
  <c r="BN4" i="3"/>
  <c r="BN8" i="3" s="1"/>
  <c r="BM4" i="3"/>
  <c r="BM8" i="3" s="1"/>
  <c r="BL4" i="3"/>
  <c r="BL8" i="3" s="1"/>
  <c r="BC4" i="3"/>
  <c r="BC8" i="3" s="1"/>
  <c r="BB4" i="3"/>
  <c r="BB8" i="3" s="1"/>
  <c r="BA4" i="3"/>
  <c r="BA8" i="3" s="1"/>
  <c r="AZ4" i="3"/>
  <c r="AY4" i="3"/>
  <c r="AY8" i="3" s="1"/>
  <c r="AX4" i="3"/>
  <c r="AX8" i="3" s="1"/>
  <c r="AW4" i="3"/>
  <c r="AW8" i="3" s="1"/>
  <c r="W4" i="3"/>
  <c r="W8" i="3" s="1"/>
  <c r="T4" i="3"/>
  <c r="Y4" i="3"/>
  <c r="X4" i="3"/>
  <c r="V4" i="3"/>
  <c r="V8" i="3" s="1"/>
  <c r="U4" i="3"/>
  <c r="U8" i="3" s="1"/>
  <c r="S4" i="3"/>
  <c r="AJ4" i="3"/>
  <c r="AN4" i="3"/>
  <c r="AI4" i="3"/>
  <c r="AM4" i="3"/>
  <c r="AH4" i="3"/>
  <c r="AL4" i="3"/>
  <c r="AK4" i="3"/>
  <c r="FM8" i="3"/>
  <c r="FQ8" i="3"/>
  <c r="FP8" i="3"/>
  <c r="FO8" i="3"/>
  <c r="FS8" i="3"/>
  <c r="FN8" i="3"/>
  <c r="FR8" i="3"/>
  <c r="FB8" i="3"/>
  <c r="FH8" i="3"/>
  <c r="EP8" i="3"/>
  <c r="ES8" i="3"/>
  <c r="EA8" i="3"/>
  <c r="DM8" i="3"/>
  <c r="DL8" i="3"/>
  <c r="DO8" i="3"/>
  <c r="CX8" i="3"/>
  <c r="CK8" i="3"/>
  <c r="BE8" i="3"/>
  <c r="BG8" i="3"/>
  <c r="GL76" i="2"/>
  <c r="GJ76" i="2"/>
  <c r="N75" i="2"/>
  <c r="M75" i="2"/>
  <c r="L75" i="2"/>
  <c r="K75" i="2"/>
  <c r="J75" i="2"/>
  <c r="I75" i="2"/>
  <c r="H75" i="2"/>
  <c r="G75" i="2"/>
  <c r="F75" i="2"/>
  <c r="E75" i="2"/>
  <c r="D75" i="2"/>
  <c r="GL74" i="2"/>
  <c r="GK74" i="2"/>
  <c r="GJ74" i="2"/>
  <c r="GI74" i="2"/>
  <c r="GH74" i="2"/>
  <c r="GG74" i="2"/>
  <c r="GF74" i="2"/>
  <c r="GE74" i="2"/>
  <c r="GD74" i="2"/>
  <c r="GC74" i="2"/>
  <c r="GB74" i="2"/>
  <c r="GL73" i="2"/>
  <c r="GK73" i="2"/>
  <c r="GJ73" i="2"/>
  <c r="GI73" i="2"/>
  <c r="GH73" i="2"/>
  <c r="GG73" i="2"/>
  <c r="GF73" i="2"/>
  <c r="GE73" i="2"/>
  <c r="GD73" i="2"/>
  <c r="GC73" i="2"/>
  <c r="GB73" i="2"/>
  <c r="GL72" i="2"/>
  <c r="GK72" i="2"/>
  <c r="GJ72" i="2"/>
  <c r="GI72" i="2"/>
  <c r="GH72" i="2"/>
  <c r="GG72" i="2"/>
  <c r="GF72" i="2"/>
  <c r="GE72" i="2"/>
  <c r="GD72" i="2"/>
  <c r="GC72" i="2"/>
  <c r="GB72" i="2"/>
  <c r="GL71" i="2"/>
  <c r="GK71" i="2"/>
  <c r="GJ71" i="2"/>
  <c r="GI71" i="2"/>
  <c r="GH71" i="2"/>
  <c r="GG71" i="2"/>
  <c r="GF71" i="2"/>
  <c r="GE71" i="2"/>
  <c r="GD71" i="2"/>
  <c r="GC71" i="2"/>
  <c r="GB71" i="2"/>
  <c r="FY71" i="2"/>
  <c r="GL70" i="2"/>
  <c r="GJ70" i="2"/>
  <c r="N69" i="2"/>
  <c r="M69" i="2"/>
  <c r="L69" i="2"/>
  <c r="K69" i="2"/>
  <c r="J69" i="2"/>
  <c r="I69" i="2"/>
  <c r="H69" i="2"/>
  <c r="G69" i="2"/>
  <c r="F69" i="2"/>
  <c r="E69" i="2"/>
  <c r="D69" i="2"/>
  <c r="GL68" i="2"/>
  <c r="GK68" i="2"/>
  <c r="GJ68" i="2"/>
  <c r="GI68" i="2"/>
  <c r="GH68" i="2"/>
  <c r="GG68" i="2"/>
  <c r="GF68" i="2"/>
  <c r="GE68" i="2"/>
  <c r="GD68" i="2"/>
  <c r="GC68" i="2"/>
  <c r="GB68" i="2"/>
  <c r="GL67" i="2"/>
  <c r="GK67" i="2"/>
  <c r="GJ67" i="2"/>
  <c r="GI67" i="2"/>
  <c r="GH67" i="2"/>
  <c r="GG67" i="2"/>
  <c r="GF67" i="2"/>
  <c r="GE67" i="2"/>
  <c r="GD67" i="2"/>
  <c r="GC67" i="2"/>
  <c r="GB67" i="2"/>
  <c r="GL66" i="2"/>
  <c r="GK66" i="2"/>
  <c r="GJ66" i="2"/>
  <c r="GI66" i="2"/>
  <c r="GH66" i="2"/>
  <c r="GG66" i="2"/>
  <c r="GF66" i="2"/>
  <c r="GE66" i="2"/>
  <c r="GD66" i="2"/>
  <c r="GC66" i="2"/>
  <c r="GB66" i="2"/>
  <c r="GL65" i="2"/>
  <c r="GK65" i="2"/>
  <c r="GJ65" i="2"/>
  <c r="GI65" i="2"/>
  <c r="GH65" i="2"/>
  <c r="GG65" i="2"/>
  <c r="GF65" i="2"/>
  <c r="GE65" i="2"/>
  <c r="GD65" i="2"/>
  <c r="GC65" i="2"/>
  <c r="GB65" i="2"/>
  <c r="FY65" i="2"/>
  <c r="AP8" i="3" l="1"/>
  <c r="FT8" i="3"/>
  <c r="FF8" i="3"/>
  <c r="GB75" i="2"/>
  <c r="DN8" i="3"/>
  <c r="CF8" i="3"/>
  <c r="DT8" i="3"/>
  <c r="DX8" i="3"/>
  <c r="DY8" i="3"/>
  <c r="DZ8" i="3"/>
  <c r="DV8" i="3"/>
  <c r="DW8" i="3"/>
  <c r="CB8" i="3"/>
  <c r="CE8" i="3"/>
  <c r="CD8" i="3"/>
  <c r="CA8" i="3"/>
  <c r="CG8" i="3"/>
  <c r="BQ8" i="3"/>
  <c r="AZ8" i="3"/>
  <c r="AN8" i="3"/>
  <c r="AL8" i="3"/>
  <c r="AI8" i="3"/>
  <c r="AJ8" i="3"/>
  <c r="AM8" i="3"/>
  <c r="AK8" i="3"/>
  <c r="AH8" i="3"/>
  <c r="S8" i="3"/>
  <c r="Y8" i="3"/>
  <c r="T8" i="3"/>
  <c r="X8" i="3"/>
  <c r="GB69" i="2"/>
  <c r="GE75" i="2"/>
  <c r="GI75" i="2"/>
  <c r="GE69" i="2"/>
  <c r="GF75" i="2"/>
  <c r="GC75" i="2"/>
  <c r="GG75" i="2"/>
  <c r="GK75" i="2"/>
  <c r="GI69" i="2"/>
  <c r="GJ75" i="2"/>
  <c r="GD75" i="2"/>
  <c r="GH75" i="2"/>
  <c r="GL75" i="2"/>
  <c r="GJ69" i="2"/>
  <c r="GC69" i="2"/>
  <c r="GG69" i="2"/>
  <c r="GK69" i="2"/>
  <c r="GF69" i="2"/>
  <c r="GD69" i="2"/>
  <c r="GH69" i="2"/>
  <c r="GL69" i="2"/>
  <c r="GL16" i="2" l="1"/>
  <c r="GJ16" i="2"/>
  <c r="N15" i="2"/>
  <c r="M15" i="2"/>
  <c r="L15" i="2"/>
  <c r="K15" i="2"/>
  <c r="J15" i="2"/>
  <c r="I15" i="2"/>
  <c r="H15" i="2"/>
  <c r="G15" i="2"/>
  <c r="F15" i="2"/>
  <c r="E15" i="2"/>
  <c r="D15" i="2"/>
  <c r="GL14" i="2"/>
  <c r="GK14" i="2"/>
  <c r="GJ14" i="2"/>
  <c r="GI14" i="2"/>
  <c r="GH14" i="2"/>
  <c r="GG14" i="2"/>
  <c r="GF14" i="2"/>
  <c r="GE14" i="2"/>
  <c r="GD14" i="2"/>
  <c r="GC14" i="2"/>
  <c r="GB14" i="2"/>
  <c r="GL13" i="2"/>
  <c r="GK13" i="2"/>
  <c r="GJ13" i="2"/>
  <c r="GI13" i="2"/>
  <c r="GH13" i="2"/>
  <c r="GG13" i="2"/>
  <c r="GF13" i="2"/>
  <c r="GE13" i="2"/>
  <c r="GD13" i="2"/>
  <c r="GC13" i="2"/>
  <c r="GB13" i="2"/>
  <c r="GL12" i="2"/>
  <c r="GK12" i="2"/>
  <c r="GJ12" i="2"/>
  <c r="GI12" i="2"/>
  <c r="GH12" i="2"/>
  <c r="GG12" i="2"/>
  <c r="GF12" i="2"/>
  <c r="GE12" i="2"/>
  <c r="GD12" i="2"/>
  <c r="GC12" i="2"/>
  <c r="GB12" i="2"/>
  <c r="GL11" i="2"/>
  <c r="GK11" i="2"/>
  <c r="GJ11" i="2"/>
  <c r="GI11" i="2"/>
  <c r="GH11" i="2"/>
  <c r="GG11" i="2"/>
  <c r="GF11" i="2"/>
  <c r="GE11" i="2"/>
  <c r="GD11" i="2"/>
  <c r="GC11" i="2"/>
  <c r="GB11" i="2"/>
  <c r="FY11" i="2"/>
  <c r="GL64" i="2"/>
  <c r="GJ64" i="2"/>
  <c r="N63" i="2"/>
  <c r="M63" i="2"/>
  <c r="L63" i="2"/>
  <c r="K63" i="2"/>
  <c r="J63" i="2"/>
  <c r="I63" i="2"/>
  <c r="H63" i="2"/>
  <c r="G63" i="2"/>
  <c r="F63" i="2"/>
  <c r="E63" i="2"/>
  <c r="D63" i="2"/>
  <c r="GL62" i="2"/>
  <c r="GK62" i="2"/>
  <c r="GJ62" i="2"/>
  <c r="GI62" i="2"/>
  <c r="GH62" i="2"/>
  <c r="GG62" i="2"/>
  <c r="GF62" i="2"/>
  <c r="GE62" i="2"/>
  <c r="GD62" i="2"/>
  <c r="GC62" i="2"/>
  <c r="GB62" i="2"/>
  <c r="GL61" i="2"/>
  <c r="GK61" i="2"/>
  <c r="GJ61" i="2"/>
  <c r="GI61" i="2"/>
  <c r="GH61" i="2"/>
  <c r="GG61" i="2"/>
  <c r="GF61" i="2"/>
  <c r="GE61" i="2"/>
  <c r="GD61" i="2"/>
  <c r="GC61" i="2"/>
  <c r="GB61" i="2"/>
  <c r="GL60" i="2"/>
  <c r="GK60" i="2"/>
  <c r="GJ60" i="2"/>
  <c r="GI60" i="2"/>
  <c r="GH60" i="2"/>
  <c r="GG60" i="2"/>
  <c r="GF60" i="2"/>
  <c r="GE60" i="2"/>
  <c r="GD60" i="2"/>
  <c r="GC60" i="2"/>
  <c r="GB60" i="2"/>
  <c r="GL59" i="2"/>
  <c r="GK59" i="2"/>
  <c r="GJ59" i="2"/>
  <c r="GI59" i="2"/>
  <c r="GH59" i="2"/>
  <c r="GG59" i="2"/>
  <c r="GF59" i="2"/>
  <c r="GE59" i="2"/>
  <c r="GD59" i="2"/>
  <c r="GC59" i="2"/>
  <c r="GB59" i="2"/>
  <c r="FY59" i="2"/>
  <c r="GL58" i="2"/>
  <c r="GJ58" i="2"/>
  <c r="N57" i="2"/>
  <c r="M57" i="2"/>
  <c r="L57" i="2"/>
  <c r="K57" i="2"/>
  <c r="J57" i="2"/>
  <c r="I57" i="2"/>
  <c r="H57" i="2"/>
  <c r="G57" i="2"/>
  <c r="F57" i="2"/>
  <c r="E57" i="2"/>
  <c r="D57" i="2"/>
  <c r="GL56" i="2"/>
  <c r="GK56" i="2"/>
  <c r="GJ56" i="2"/>
  <c r="GI56" i="2"/>
  <c r="GH56" i="2"/>
  <c r="GG56" i="2"/>
  <c r="GF56" i="2"/>
  <c r="GE56" i="2"/>
  <c r="GD56" i="2"/>
  <c r="GC56" i="2"/>
  <c r="GB56" i="2"/>
  <c r="GL55" i="2"/>
  <c r="GK55" i="2"/>
  <c r="GJ55" i="2"/>
  <c r="GI55" i="2"/>
  <c r="GH55" i="2"/>
  <c r="GG55" i="2"/>
  <c r="GF55" i="2"/>
  <c r="GE55" i="2"/>
  <c r="GD55" i="2"/>
  <c r="GC55" i="2"/>
  <c r="GB55" i="2"/>
  <c r="GL54" i="2"/>
  <c r="GK54" i="2"/>
  <c r="GJ54" i="2"/>
  <c r="GI54" i="2"/>
  <c r="GH54" i="2"/>
  <c r="GG54" i="2"/>
  <c r="GF54" i="2"/>
  <c r="GE54" i="2"/>
  <c r="GD54" i="2"/>
  <c r="GC54" i="2"/>
  <c r="GB54" i="2"/>
  <c r="GL53" i="2"/>
  <c r="GK53" i="2"/>
  <c r="GJ53" i="2"/>
  <c r="GI53" i="2"/>
  <c r="GH53" i="2"/>
  <c r="GG53" i="2"/>
  <c r="GF53" i="2"/>
  <c r="GE53" i="2"/>
  <c r="GD53" i="2"/>
  <c r="GC53" i="2"/>
  <c r="GB53" i="2"/>
  <c r="FY53" i="2"/>
  <c r="GL52" i="2"/>
  <c r="GJ52" i="2"/>
  <c r="N51" i="2"/>
  <c r="M51" i="2"/>
  <c r="L51" i="2"/>
  <c r="K51" i="2"/>
  <c r="J51" i="2"/>
  <c r="I51" i="2"/>
  <c r="H51" i="2"/>
  <c r="G51" i="2"/>
  <c r="F51" i="2"/>
  <c r="E51" i="2"/>
  <c r="D51" i="2"/>
  <c r="GL50" i="2"/>
  <c r="GK50" i="2"/>
  <c r="GJ50" i="2"/>
  <c r="GI50" i="2"/>
  <c r="GH50" i="2"/>
  <c r="GG50" i="2"/>
  <c r="GF50" i="2"/>
  <c r="GE50" i="2"/>
  <c r="GD50" i="2"/>
  <c r="GC50" i="2"/>
  <c r="GB50" i="2"/>
  <c r="GL49" i="2"/>
  <c r="GK49" i="2"/>
  <c r="GJ49" i="2"/>
  <c r="GI49" i="2"/>
  <c r="GH49" i="2"/>
  <c r="GG49" i="2"/>
  <c r="GF49" i="2"/>
  <c r="GE49" i="2"/>
  <c r="GD49" i="2"/>
  <c r="GC49" i="2"/>
  <c r="GB49" i="2"/>
  <c r="GL48" i="2"/>
  <c r="GK48" i="2"/>
  <c r="GJ48" i="2"/>
  <c r="GI48" i="2"/>
  <c r="GH48" i="2"/>
  <c r="GG48" i="2"/>
  <c r="GF48" i="2"/>
  <c r="GE48" i="2"/>
  <c r="GD48" i="2"/>
  <c r="GC48" i="2"/>
  <c r="GB48" i="2"/>
  <c r="GL47" i="2"/>
  <c r="GK47" i="2"/>
  <c r="GJ47" i="2"/>
  <c r="GI47" i="2"/>
  <c r="GH47" i="2"/>
  <c r="GG47" i="2"/>
  <c r="GF47" i="2"/>
  <c r="GE47" i="2"/>
  <c r="GD47" i="2"/>
  <c r="GC47" i="2"/>
  <c r="GB47" i="2"/>
  <c r="FY47" i="2"/>
  <c r="GL46" i="2"/>
  <c r="GJ46" i="2"/>
  <c r="N45" i="2"/>
  <c r="M45" i="2"/>
  <c r="L45" i="2"/>
  <c r="K45" i="2"/>
  <c r="J45" i="2"/>
  <c r="I45" i="2"/>
  <c r="H45" i="2"/>
  <c r="G45" i="2"/>
  <c r="F45" i="2"/>
  <c r="E45" i="2"/>
  <c r="D45" i="2"/>
  <c r="GL44" i="2"/>
  <c r="GK44" i="2"/>
  <c r="GJ44" i="2"/>
  <c r="GI44" i="2"/>
  <c r="GH44" i="2"/>
  <c r="GG44" i="2"/>
  <c r="GF44" i="2"/>
  <c r="GE44" i="2"/>
  <c r="GD44" i="2"/>
  <c r="GC44" i="2"/>
  <c r="GB44" i="2"/>
  <c r="GL43" i="2"/>
  <c r="GK43" i="2"/>
  <c r="GJ43" i="2"/>
  <c r="GI43" i="2"/>
  <c r="GH43" i="2"/>
  <c r="GG43" i="2"/>
  <c r="GF43" i="2"/>
  <c r="GE43" i="2"/>
  <c r="GD43" i="2"/>
  <c r="GC43" i="2"/>
  <c r="GB43" i="2"/>
  <c r="GL42" i="2"/>
  <c r="GK42" i="2"/>
  <c r="GJ42" i="2"/>
  <c r="GI42" i="2"/>
  <c r="GH42" i="2"/>
  <c r="GG42" i="2"/>
  <c r="GF42" i="2"/>
  <c r="GE42" i="2"/>
  <c r="GD42" i="2"/>
  <c r="GC42" i="2"/>
  <c r="GB42" i="2"/>
  <c r="GL41" i="2"/>
  <c r="GK41" i="2"/>
  <c r="GJ41" i="2"/>
  <c r="GI41" i="2"/>
  <c r="GH41" i="2"/>
  <c r="GG41" i="2"/>
  <c r="GF41" i="2"/>
  <c r="GE41" i="2"/>
  <c r="GD41" i="2"/>
  <c r="GC41" i="2"/>
  <c r="GB41" i="2"/>
  <c r="FY41" i="2"/>
  <c r="GL40" i="2"/>
  <c r="GJ40" i="2"/>
  <c r="N39" i="2"/>
  <c r="M39" i="2"/>
  <c r="L39" i="2"/>
  <c r="K39" i="2"/>
  <c r="J39" i="2"/>
  <c r="I39" i="2"/>
  <c r="H39" i="2"/>
  <c r="G39" i="2"/>
  <c r="F39" i="2"/>
  <c r="E39" i="2"/>
  <c r="D39" i="2"/>
  <c r="GL38" i="2"/>
  <c r="GK38" i="2"/>
  <c r="GJ38" i="2"/>
  <c r="GI38" i="2"/>
  <c r="GH38" i="2"/>
  <c r="GG38" i="2"/>
  <c r="GF38" i="2"/>
  <c r="GE38" i="2"/>
  <c r="GD38" i="2"/>
  <c r="GC38" i="2"/>
  <c r="GB38" i="2"/>
  <c r="GL37" i="2"/>
  <c r="GK37" i="2"/>
  <c r="GJ37" i="2"/>
  <c r="GI37" i="2"/>
  <c r="GH37" i="2"/>
  <c r="GG37" i="2"/>
  <c r="GF37" i="2"/>
  <c r="GE37" i="2"/>
  <c r="GD37" i="2"/>
  <c r="GC37" i="2"/>
  <c r="GB37" i="2"/>
  <c r="GL36" i="2"/>
  <c r="GK36" i="2"/>
  <c r="GJ36" i="2"/>
  <c r="GI36" i="2"/>
  <c r="GH36" i="2"/>
  <c r="GG36" i="2"/>
  <c r="GF36" i="2"/>
  <c r="GE36" i="2"/>
  <c r="GD36" i="2"/>
  <c r="GC36" i="2"/>
  <c r="GB36" i="2"/>
  <c r="GL35" i="2"/>
  <c r="GK35" i="2"/>
  <c r="GJ35" i="2"/>
  <c r="GI35" i="2"/>
  <c r="GH35" i="2"/>
  <c r="GG35" i="2"/>
  <c r="GF35" i="2"/>
  <c r="GE35" i="2"/>
  <c r="GD35" i="2"/>
  <c r="GC35" i="2"/>
  <c r="GB35" i="2"/>
  <c r="FY35" i="2"/>
  <c r="GL34" i="2"/>
  <c r="GJ34" i="2"/>
  <c r="N33" i="2"/>
  <c r="M33" i="2"/>
  <c r="L33" i="2"/>
  <c r="K33" i="2"/>
  <c r="J33" i="2"/>
  <c r="I33" i="2"/>
  <c r="H33" i="2"/>
  <c r="G33" i="2"/>
  <c r="F33" i="2"/>
  <c r="E33" i="2"/>
  <c r="D33" i="2"/>
  <c r="GL32" i="2"/>
  <c r="GK32" i="2"/>
  <c r="GJ32" i="2"/>
  <c r="GI32" i="2"/>
  <c r="GH32" i="2"/>
  <c r="GG32" i="2"/>
  <c r="GF32" i="2"/>
  <c r="GE32" i="2"/>
  <c r="GD32" i="2"/>
  <c r="GC32" i="2"/>
  <c r="GB32" i="2"/>
  <c r="GL31" i="2"/>
  <c r="GK31" i="2"/>
  <c r="GJ31" i="2"/>
  <c r="GI31" i="2"/>
  <c r="GH31" i="2"/>
  <c r="GG31" i="2"/>
  <c r="GF31" i="2"/>
  <c r="GE31" i="2"/>
  <c r="GD31" i="2"/>
  <c r="GC31" i="2"/>
  <c r="GB31" i="2"/>
  <c r="GL30" i="2"/>
  <c r="GK30" i="2"/>
  <c r="GJ30" i="2"/>
  <c r="GI30" i="2"/>
  <c r="GH30" i="2"/>
  <c r="GG30" i="2"/>
  <c r="GF30" i="2"/>
  <c r="GE30" i="2"/>
  <c r="GD30" i="2"/>
  <c r="GC30" i="2"/>
  <c r="GB30" i="2"/>
  <c r="GL29" i="2"/>
  <c r="GK29" i="2"/>
  <c r="GJ29" i="2"/>
  <c r="GI29" i="2"/>
  <c r="GH29" i="2"/>
  <c r="GG29" i="2"/>
  <c r="GF29" i="2"/>
  <c r="GE29" i="2"/>
  <c r="GD29" i="2"/>
  <c r="GC29" i="2"/>
  <c r="GB29" i="2"/>
  <c r="FY29" i="2"/>
  <c r="GL28" i="2"/>
  <c r="GJ28" i="2"/>
  <c r="N27" i="2"/>
  <c r="M27" i="2"/>
  <c r="L27" i="2"/>
  <c r="K27" i="2"/>
  <c r="J27" i="2"/>
  <c r="I27" i="2"/>
  <c r="H27" i="2"/>
  <c r="G27" i="2"/>
  <c r="F27" i="2"/>
  <c r="E27" i="2"/>
  <c r="D27" i="2"/>
  <c r="GL26" i="2"/>
  <c r="GK26" i="2"/>
  <c r="GJ26" i="2"/>
  <c r="GI26" i="2"/>
  <c r="GH26" i="2"/>
  <c r="GG26" i="2"/>
  <c r="GF26" i="2"/>
  <c r="GE26" i="2"/>
  <c r="GD26" i="2"/>
  <c r="GC26" i="2"/>
  <c r="GB26" i="2"/>
  <c r="GL25" i="2"/>
  <c r="GK25" i="2"/>
  <c r="GJ25" i="2"/>
  <c r="GI25" i="2"/>
  <c r="GH25" i="2"/>
  <c r="GG25" i="2"/>
  <c r="GF25" i="2"/>
  <c r="GE25" i="2"/>
  <c r="GD25" i="2"/>
  <c r="GC25" i="2"/>
  <c r="GB25" i="2"/>
  <c r="GL24" i="2"/>
  <c r="GK24" i="2"/>
  <c r="GJ24" i="2"/>
  <c r="GI24" i="2"/>
  <c r="GH24" i="2"/>
  <c r="GG24" i="2"/>
  <c r="GF24" i="2"/>
  <c r="GE24" i="2"/>
  <c r="GD24" i="2"/>
  <c r="GC24" i="2"/>
  <c r="GB24" i="2"/>
  <c r="GL23" i="2"/>
  <c r="GK23" i="2"/>
  <c r="GJ23" i="2"/>
  <c r="GI23" i="2"/>
  <c r="GH23" i="2"/>
  <c r="GG23" i="2"/>
  <c r="GF23" i="2"/>
  <c r="GE23" i="2"/>
  <c r="GD23" i="2"/>
  <c r="GC23" i="2"/>
  <c r="GB23" i="2"/>
  <c r="FY23" i="2"/>
  <c r="GL22" i="2"/>
  <c r="GJ22" i="2"/>
  <c r="N21" i="2"/>
  <c r="M21" i="2"/>
  <c r="L21" i="2"/>
  <c r="K21" i="2"/>
  <c r="J21" i="2"/>
  <c r="I21" i="2"/>
  <c r="H21" i="2"/>
  <c r="G21" i="2"/>
  <c r="F21" i="2"/>
  <c r="E21" i="2"/>
  <c r="D21" i="2"/>
  <c r="GL20" i="2"/>
  <c r="GK20" i="2"/>
  <c r="GJ20" i="2"/>
  <c r="GI20" i="2"/>
  <c r="GH20" i="2"/>
  <c r="GG20" i="2"/>
  <c r="GF20" i="2"/>
  <c r="GE20" i="2"/>
  <c r="GD20" i="2"/>
  <c r="GC20" i="2"/>
  <c r="GB20" i="2"/>
  <c r="GL19" i="2"/>
  <c r="GK19" i="2"/>
  <c r="GJ19" i="2"/>
  <c r="GI19" i="2"/>
  <c r="GH19" i="2"/>
  <c r="GG19" i="2"/>
  <c r="GF19" i="2"/>
  <c r="GE19" i="2"/>
  <c r="GD19" i="2"/>
  <c r="GC19" i="2"/>
  <c r="GB19" i="2"/>
  <c r="GL18" i="2"/>
  <c r="GK18" i="2"/>
  <c r="GJ18" i="2"/>
  <c r="GI18" i="2"/>
  <c r="GH18" i="2"/>
  <c r="GG18" i="2"/>
  <c r="GF18" i="2"/>
  <c r="GE18" i="2"/>
  <c r="GD18" i="2"/>
  <c r="GC18" i="2"/>
  <c r="GB18" i="2"/>
  <c r="GL17" i="2"/>
  <c r="GK17" i="2"/>
  <c r="GJ17" i="2"/>
  <c r="GI17" i="2"/>
  <c r="GH17" i="2"/>
  <c r="GG17" i="2"/>
  <c r="GF17" i="2"/>
  <c r="GE17" i="2"/>
  <c r="GD17" i="2"/>
  <c r="GC17" i="2"/>
  <c r="GB17" i="2"/>
  <c r="FY17" i="2"/>
  <c r="GL10" i="2"/>
  <c r="GJ10" i="2"/>
  <c r="GJ85" i="2" s="1"/>
  <c r="N9" i="2"/>
  <c r="M9" i="2"/>
  <c r="L9" i="2"/>
  <c r="K9" i="2"/>
  <c r="J9" i="2"/>
  <c r="I9" i="2"/>
  <c r="H9" i="2"/>
  <c r="G9" i="2"/>
  <c r="F9" i="2"/>
  <c r="E9" i="2"/>
  <c r="D9" i="2"/>
  <c r="GL8" i="2"/>
  <c r="GL83" i="2" s="1"/>
  <c r="GK8" i="2"/>
  <c r="GJ8" i="2"/>
  <c r="GI8" i="2"/>
  <c r="GH8" i="2"/>
  <c r="GG8" i="2"/>
  <c r="GF8" i="2"/>
  <c r="GE8" i="2"/>
  <c r="GD8" i="2"/>
  <c r="GD83" i="2" s="1"/>
  <c r="GC8" i="2"/>
  <c r="GB8" i="2"/>
  <c r="GL7" i="2"/>
  <c r="GK7" i="2"/>
  <c r="GK82" i="2" s="1"/>
  <c r="GJ7" i="2"/>
  <c r="GI7" i="2"/>
  <c r="GH7" i="2"/>
  <c r="GG7" i="2"/>
  <c r="GG82" i="2" s="1"/>
  <c r="GF7" i="2"/>
  <c r="GE7" i="2"/>
  <c r="GD7" i="2"/>
  <c r="GC7" i="2"/>
  <c r="GC82" i="2" s="1"/>
  <c r="GB7" i="2"/>
  <c r="GL6" i="2"/>
  <c r="GK6" i="2"/>
  <c r="GJ6" i="2"/>
  <c r="GJ81" i="2" s="1"/>
  <c r="GI6" i="2"/>
  <c r="GH6" i="2"/>
  <c r="GG6" i="2"/>
  <c r="GF6" i="2"/>
  <c r="GF81" i="2" s="1"/>
  <c r="GE6" i="2"/>
  <c r="GD6" i="2"/>
  <c r="GC6" i="2"/>
  <c r="GB6" i="2"/>
  <c r="GL5" i="2"/>
  <c r="GK5" i="2"/>
  <c r="GJ5" i="2"/>
  <c r="GI5" i="2"/>
  <c r="GI80" i="2" s="1"/>
  <c r="GH5" i="2"/>
  <c r="GG5" i="2"/>
  <c r="GF5" i="2"/>
  <c r="GE5" i="2"/>
  <c r="GE80" i="2" s="1"/>
  <c r="GD5" i="2"/>
  <c r="GC5" i="2"/>
  <c r="GB5" i="2"/>
  <c r="FY5" i="2"/>
  <c r="GF80" i="2" l="1"/>
  <c r="GL85" i="2"/>
  <c r="GG81" i="2"/>
  <c r="GG5" i="3" s="1"/>
  <c r="GE83" i="2"/>
  <c r="GE7" i="3" s="1"/>
  <c r="GH83" i="2"/>
  <c r="GH7" i="3" s="1"/>
  <c r="GG80" i="2"/>
  <c r="GE82" i="2"/>
  <c r="GF83" i="2"/>
  <c r="GF7" i="3" s="1"/>
  <c r="GE81" i="2"/>
  <c r="GF82" i="2"/>
  <c r="GG83" i="2"/>
  <c r="GC81" i="2"/>
  <c r="GC5" i="3" s="1"/>
  <c r="GK81" i="2"/>
  <c r="GK5" i="3" s="1"/>
  <c r="GD82" i="2"/>
  <c r="GD6" i="3" s="1"/>
  <c r="GL82" i="2"/>
  <c r="GL6" i="3" s="1"/>
  <c r="GI83" i="2"/>
  <c r="GI7" i="3" s="1"/>
  <c r="GJ80" i="2"/>
  <c r="GJ4" i="3" s="1"/>
  <c r="GH82" i="2"/>
  <c r="GH6" i="3" s="1"/>
  <c r="GD80" i="2"/>
  <c r="GD4" i="3" s="1"/>
  <c r="GH80" i="2"/>
  <c r="GH4" i="3" s="1"/>
  <c r="GL80" i="2"/>
  <c r="GL4" i="3" s="1"/>
  <c r="GI81" i="2"/>
  <c r="GI5" i="3" s="1"/>
  <c r="GJ82" i="2"/>
  <c r="GJ6" i="3" s="1"/>
  <c r="GC83" i="2"/>
  <c r="GC7" i="3" s="1"/>
  <c r="GK83" i="2"/>
  <c r="GK7" i="3" s="1"/>
  <c r="GC80" i="2"/>
  <c r="GC4" i="3" s="1"/>
  <c r="GD81" i="2"/>
  <c r="GD5" i="3" s="1"/>
  <c r="GH81" i="2"/>
  <c r="GH5" i="3" s="1"/>
  <c r="GL81" i="2"/>
  <c r="GL5" i="3" s="1"/>
  <c r="GI82" i="2"/>
  <c r="GI6" i="3" s="1"/>
  <c r="GJ83" i="2"/>
  <c r="GJ7" i="3" s="1"/>
  <c r="GK80" i="2"/>
  <c r="GK4" i="3" s="1"/>
  <c r="GJ5" i="3"/>
  <c r="GK6" i="3"/>
  <c r="GL7" i="3"/>
  <c r="GF5" i="3"/>
  <c r="GG6" i="3"/>
  <c r="GI4" i="3"/>
  <c r="GD7" i="3"/>
  <c r="GC6" i="3"/>
  <c r="GB21" i="2"/>
  <c r="GB45" i="2"/>
  <c r="GE4" i="3"/>
  <c r="GG4" i="3"/>
  <c r="GF4" i="3"/>
  <c r="GF6" i="3"/>
  <c r="GG7" i="3"/>
  <c r="GE6" i="3"/>
  <c r="GE5" i="3"/>
  <c r="GL9" i="3"/>
  <c r="GJ9" i="3"/>
  <c r="GJ45" i="2"/>
  <c r="GG51" i="2"/>
  <c r="GK51" i="2"/>
  <c r="GL57" i="2"/>
  <c r="GE63" i="2"/>
  <c r="GI63" i="2"/>
  <c r="GE15" i="2"/>
  <c r="GI15" i="2"/>
  <c r="GE9" i="2"/>
  <c r="GI9" i="2"/>
  <c r="GF21" i="2"/>
  <c r="GJ21" i="2"/>
  <c r="GG27" i="2"/>
  <c r="GK27" i="2"/>
  <c r="GL33" i="2"/>
  <c r="GE39" i="2"/>
  <c r="GI39" i="2"/>
  <c r="GF45" i="2"/>
  <c r="GK9" i="2"/>
  <c r="GL21" i="2"/>
  <c r="GI27" i="2"/>
  <c r="GF33" i="2"/>
  <c r="GK39" i="2"/>
  <c r="GD45" i="2"/>
  <c r="GL45" i="2"/>
  <c r="GE51" i="2"/>
  <c r="GB57" i="2"/>
  <c r="GJ57" i="2"/>
  <c r="GG63" i="2"/>
  <c r="GB15" i="2"/>
  <c r="GF15" i="2"/>
  <c r="GJ15" i="2"/>
  <c r="GB9" i="2"/>
  <c r="GF9" i="2"/>
  <c r="GJ9" i="2"/>
  <c r="GG21" i="2"/>
  <c r="GK21" i="2"/>
  <c r="GL27" i="2"/>
  <c r="GE33" i="2"/>
  <c r="GI33" i="2"/>
  <c r="GB39" i="2"/>
  <c r="GF39" i="2"/>
  <c r="GJ39" i="2"/>
  <c r="GC45" i="2"/>
  <c r="GG45" i="2"/>
  <c r="GK45" i="2"/>
  <c r="GL51" i="2"/>
  <c r="GE57" i="2"/>
  <c r="GI57" i="2"/>
  <c r="GB63" i="2"/>
  <c r="GF63" i="2"/>
  <c r="GJ63" i="2"/>
  <c r="GG9" i="2"/>
  <c r="GE27" i="2"/>
  <c r="GB33" i="2"/>
  <c r="GJ33" i="2"/>
  <c r="GG39" i="2"/>
  <c r="GI51" i="2"/>
  <c r="GF57" i="2"/>
  <c r="GK63" i="2"/>
  <c r="GL9" i="2"/>
  <c r="GE21" i="2"/>
  <c r="GI21" i="2"/>
  <c r="GB27" i="2"/>
  <c r="GF27" i="2"/>
  <c r="GJ27" i="2"/>
  <c r="GG33" i="2"/>
  <c r="GK33" i="2"/>
  <c r="GL39" i="2"/>
  <c r="GE45" i="2"/>
  <c r="GI45" i="2"/>
  <c r="GB51" i="2"/>
  <c r="GF51" i="2"/>
  <c r="GJ51" i="2"/>
  <c r="GG57" i="2"/>
  <c r="GK57" i="2"/>
  <c r="GL63" i="2"/>
  <c r="GG15" i="2"/>
  <c r="GK15" i="2"/>
  <c r="GL15" i="2"/>
  <c r="GD57" i="2"/>
  <c r="GD21" i="2"/>
  <c r="GH15" i="2"/>
  <c r="GD15" i="2"/>
  <c r="GC15" i="2"/>
  <c r="GD63" i="2"/>
  <c r="GC63" i="2"/>
  <c r="GH57" i="2"/>
  <c r="GC57" i="2"/>
  <c r="GH51" i="2"/>
  <c r="GD51" i="2"/>
  <c r="GC51" i="2"/>
  <c r="GH45" i="2"/>
  <c r="GH39" i="2"/>
  <c r="GD39" i="2"/>
  <c r="GC39" i="2"/>
  <c r="GH33" i="2"/>
  <c r="GD33" i="2"/>
  <c r="GC33" i="2"/>
  <c r="GH27" i="2"/>
  <c r="GC27" i="2"/>
  <c r="GH9" i="2"/>
  <c r="GD9" i="2"/>
  <c r="GC9" i="2"/>
  <c r="GH63" i="2"/>
  <c r="GD27" i="2"/>
  <c r="GH21" i="2"/>
  <c r="GC21" i="2"/>
  <c r="GJ8" i="3" l="1"/>
  <c r="GI8" i="3"/>
  <c r="GK8" i="3"/>
  <c r="GL8" i="3"/>
  <c r="GG8" i="3"/>
  <c r="GF8" i="3"/>
  <c r="GE8" i="3"/>
  <c r="GH8" i="3"/>
  <c r="GD8" i="3"/>
  <c r="GC8" i="3"/>
  <c r="N9" i="3"/>
  <c r="L9" i="3"/>
  <c r="N7" i="3"/>
  <c r="M7" i="3"/>
  <c r="L7" i="3"/>
  <c r="K7" i="3"/>
  <c r="J7" i="3"/>
  <c r="I7" i="3"/>
  <c r="H7" i="3"/>
  <c r="G7" i="3"/>
  <c r="F7" i="3"/>
  <c r="E7" i="3"/>
  <c r="D7" i="3"/>
  <c r="N6" i="3"/>
  <c r="M6" i="3"/>
  <c r="L6" i="3"/>
  <c r="K6" i="3"/>
  <c r="J6" i="3"/>
  <c r="I6" i="3"/>
  <c r="H6" i="3"/>
  <c r="G6" i="3"/>
  <c r="F6" i="3"/>
  <c r="E6" i="3"/>
  <c r="D6" i="3"/>
  <c r="N5" i="3"/>
  <c r="M5" i="3"/>
  <c r="L5" i="3"/>
  <c r="K5" i="3"/>
  <c r="J5" i="3"/>
  <c r="I5" i="3"/>
  <c r="H5" i="3"/>
  <c r="G5" i="3"/>
  <c r="F5" i="3"/>
  <c r="E5" i="3"/>
  <c r="D5" i="3"/>
  <c r="GB80" i="2"/>
  <c r="GB4" i="3" s="1"/>
  <c r="FY80" i="2"/>
  <c r="FY77" i="2"/>
  <c r="G77" i="2"/>
  <c r="F77" i="2"/>
  <c r="FY2" i="2"/>
  <c r="N84" i="2" l="1"/>
  <c r="K84" i="2"/>
  <c r="L84" i="2"/>
  <c r="M84" i="2"/>
  <c r="F84" i="2"/>
  <c r="J84" i="2"/>
  <c r="I84" i="2"/>
  <c r="H84" i="2"/>
  <c r="G84" i="2"/>
  <c r="E84" i="2"/>
  <c r="D84" i="2"/>
  <c r="GF84" i="2"/>
  <c r="GB82" i="2"/>
  <c r="GB6" i="3" s="1"/>
  <c r="GB83" i="2"/>
  <c r="GB7" i="3" s="1"/>
  <c r="GB81" i="2"/>
  <c r="GB5" i="3" s="1"/>
  <c r="D4" i="3"/>
  <c r="F4" i="3"/>
  <c r="H4" i="3"/>
  <c r="J4" i="3"/>
  <c r="L4" i="3"/>
  <c r="N4" i="3"/>
  <c r="GJ84" i="2"/>
  <c r="GL84" i="2"/>
  <c r="E4" i="3"/>
  <c r="G4" i="3"/>
  <c r="I4" i="3"/>
  <c r="K4" i="3"/>
  <c r="M4" i="3"/>
  <c r="GD84" i="2"/>
  <c r="GB8" i="3" l="1"/>
  <c r="GB84" i="2"/>
  <c r="GH84" i="2"/>
  <c r="GK84" i="2"/>
  <c r="GG84" i="2"/>
  <c r="GI84" i="2"/>
  <c r="GE84" i="2"/>
  <c r="GC84" i="2"/>
  <c r="H1" i="3" l="1"/>
  <c r="E8" i="3"/>
  <c r="F8" i="3"/>
  <c r="G8" i="3"/>
  <c r="H8" i="3"/>
  <c r="I8" i="3"/>
  <c r="J8" i="3"/>
  <c r="K8" i="3"/>
  <c r="L8" i="3"/>
  <c r="M8" i="3"/>
  <c r="N8" i="3"/>
  <c r="D8" i="3" l="1"/>
  <c r="GF1" i="3" l="1"/>
  <c r="GF2" i="2" l="1"/>
  <c r="GE77" i="2" l="1"/>
</calcChain>
</file>

<file path=xl/sharedStrings.xml><?xml version="1.0" encoding="utf-8"?>
<sst xmlns="http://schemas.openxmlformats.org/spreadsheetml/2006/main" count="2875" uniqueCount="44">
  <si>
    <t>رعاية الطفولة</t>
  </si>
  <si>
    <t>شهر</t>
  </si>
  <si>
    <t>عام</t>
  </si>
  <si>
    <t>الجنسية</t>
  </si>
  <si>
    <t>الجنس</t>
  </si>
  <si>
    <t>عدد الأطفال المسجلين أقل من عام</t>
  </si>
  <si>
    <t>التحصينات الأساسية</t>
  </si>
  <si>
    <t>عدد الأطفال المسجلين أقل من 5 أعوام</t>
  </si>
  <si>
    <t>عدد من رضعوا طبيعياً</t>
  </si>
  <si>
    <t>عدد المعرضين للخطر أقل من 5 سنوات</t>
  </si>
  <si>
    <t>وفيات الأطفال</t>
  </si>
  <si>
    <t>أكلموا التحصينات الأساسية خلال الشهر</t>
  </si>
  <si>
    <t>بلغ عمرهم 15 شهراً ولم يكملوا التحصينات الأساسية</t>
  </si>
  <si>
    <t>من الولادة إلى أقل من 7 آيام</t>
  </si>
  <si>
    <t>من 7 أيام إلى أقل من شهر</t>
  </si>
  <si>
    <t>من شهر إلى أقل من عام</t>
  </si>
  <si>
    <t>من عام إلى أقل من 5 سنوات</t>
  </si>
  <si>
    <t>سعودي</t>
  </si>
  <si>
    <t>ذكر</t>
  </si>
  <si>
    <t>أنثى</t>
  </si>
  <si>
    <t>غير</t>
  </si>
  <si>
    <t>المجموع</t>
  </si>
  <si>
    <t>عدد الأطفال الذين يقل وزنهم بالنسبة لعمرهم ( تحت المنطقة C  في منحنى النمو خلال الشهر</t>
  </si>
  <si>
    <t>المراكز</t>
  </si>
  <si>
    <t>زيارات عيادة الطفل السليم خلال الشهر</t>
  </si>
  <si>
    <t>زيارات عيادة الطفل السليم خلال العام</t>
  </si>
  <si>
    <t>عدد الأطفال الذين يقل وزنهم بالنسبة لعمرهم ( تحت المنطقة C  في منحنى النمو خلال العام</t>
  </si>
  <si>
    <t>أكلموا التحصينات الأساسية خلال العام</t>
  </si>
  <si>
    <t>المركز الصحي</t>
  </si>
  <si>
    <t>هـ</t>
  </si>
  <si>
    <t>محمد الزهراني</t>
  </si>
  <si>
    <t>الربيع والتوفيق</t>
  </si>
  <si>
    <t>السليمانية</t>
  </si>
  <si>
    <t>المطار القديم</t>
  </si>
  <si>
    <t>الروابي</t>
  </si>
  <si>
    <t>قويزة</t>
  </si>
  <si>
    <t>الرغامة</t>
  </si>
  <si>
    <t>الجامعة</t>
  </si>
  <si>
    <t xml:space="preserve"> مراكزمستشفى شرق جدة</t>
  </si>
  <si>
    <t>إجمالي مراكزمستشفى شرق جدة</t>
  </si>
  <si>
    <t>مراكز مستشفى شرق جدة</t>
  </si>
  <si>
    <t>مراكز شرق جدة</t>
  </si>
  <si>
    <t>ادارة الاحصاء</t>
  </si>
  <si>
    <t>الواحة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</si>
</sst>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?/2"/>
  </numFmts>
  <fonts count="33" x14ac:knownFonts="1">
    <font>
      <sz val="10"/>
      <name val="Arial"/>
      <charset val="178"/>
    </font>
    <font>
      <b/>
      <sz val="10"/>
      <color indexed="10"/>
      <name val="Arial"/>
      <family val="2"/>
      <charset val="178"/>
    </font>
    <font>
      <b/>
      <sz val="12"/>
      <color indexed="10"/>
      <name val="Arial"/>
      <family val="2"/>
      <charset val="178"/>
    </font>
    <font>
      <b/>
      <sz val="10"/>
      <name val="Arial"/>
      <family val="2"/>
      <charset val="178"/>
    </font>
    <font>
      <b/>
      <sz val="7"/>
      <name val="Arial"/>
      <family val="2"/>
      <charset val="178"/>
    </font>
    <font>
      <b/>
      <sz val="10"/>
      <name val="Arial"/>
      <family val="2"/>
    </font>
    <font>
      <b/>
      <sz val="16"/>
      <color indexed="48"/>
      <name val="Arial"/>
      <family val="2"/>
    </font>
    <font>
      <b/>
      <sz val="14"/>
      <color indexed="10"/>
      <name val="Arial"/>
      <family val="2"/>
    </font>
    <font>
      <b/>
      <sz val="12"/>
      <color indexed="10"/>
      <name val="Arial"/>
      <family val="2"/>
    </font>
    <font>
      <b/>
      <sz val="12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2"/>
      <color indexed="12"/>
      <name val="Arial"/>
      <family val="2"/>
    </font>
    <font>
      <b/>
      <sz val="11"/>
      <name val="Arial"/>
      <family val="2"/>
    </font>
    <font>
      <b/>
      <sz val="11"/>
      <color indexed="10"/>
      <name val="Arial"/>
      <family val="2"/>
    </font>
    <font>
      <b/>
      <sz val="11"/>
      <name val="Arial"/>
      <family val="2"/>
      <charset val="178"/>
    </font>
    <font>
      <b/>
      <sz val="11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color rgb="FF0000FF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rgb="FF0000FF"/>
      <name val="Arial"/>
      <family val="2"/>
    </font>
    <font>
      <b/>
      <sz val="11"/>
      <color rgb="FF000000"/>
      <name val="Arial"/>
      <family val="2"/>
      <scheme val="minor"/>
    </font>
    <font>
      <sz val="10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rgb="FFCCFFCC"/>
      </patternFill>
    </fill>
    <fill>
      <patternFill patternType="solid">
        <fgColor rgb="FFFFFF99"/>
        <bgColor rgb="FFFFFF99"/>
      </patternFill>
    </fill>
  </fills>
  <borders count="8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2">
    <xf numFmtId="0" fontId="0" fillId="0" borderId="0" xfId="0"/>
    <xf numFmtId="0" fontId="0" fillId="0" borderId="0" xfId="0" applyAlignment="1">
      <alignment readingOrder="2"/>
    </xf>
    <xf numFmtId="0" fontId="0" fillId="2" borderId="0" xfId="0" applyFill="1" applyAlignment="1">
      <alignment readingOrder="2"/>
    </xf>
    <xf numFmtId="0" fontId="4" fillId="0" borderId="1" xfId="0" applyFont="1" applyBorder="1" applyAlignment="1">
      <alignment horizontal="center" vertical="center" wrapText="1" readingOrder="2"/>
    </xf>
    <xf numFmtId="0" fontId="4" fillId="0" borderId="2" xfId="0" applyFont="1" applyBorder="1" applyAlignment="1">
      <alignment horizontal="center" vertical="center" wrapText="1" readingOrder="2"/>
    </xf>
    <xf numFmtId="0" fontId="4" fillId="0" borderId="3" xfId="0" applyFont="1" applyBorder="1" applyAlignment="1">
      <alignment horizontal="center" vertical="center" wrapText="1" readingOrder="2"/>
    </xf>
    <xf numFmtId="0" fontId="0" fillId="3" borderId="0" xfId="0" applyFill="1" applyAlignment="1">
      <alignment readingOrder="2"/>
    </xf>
    <xf numFmtId="0" fontId="4" fillId="0" borderId="14" xfId="0" applyFont="1" applyBorder="1" applyAlignment="1">
      <alignment horizontal="center" vertical="center" wrapText="1" readingOrder="2"/>
    </xf>
    <xf numFmtId="0" fontId="4" fillId="0" borderId="15" xfId="0" applyFont="1" applyBorder="1" applyAlignment="1">
      <alignment horizontal="center" vertical="center" wrapText="1" readingOrder="2"/>
    </xf>
    <xf numFmtId="0" fontId="3" fillId="2" borderId="2" xfId="0" applyFont="1" applyFill="1" applyBorder="1" applyAlignment="1">
      <alignment horizontal="center" vertical="center" readingOrder="2"/>
    </xf>
    <xf numFmtId="0" fontId="0" fillId="3" borderId="0" xfId="0" applyFill="1" applyAlignment="1">
      <alignment vertical="center" readingOrder="2"/>
    </xf>
    <xf numFmtId="0" fontId="0" fillId="0" borderId="0" xfId="0" applyAlignment="1">
      <alignment vertical="center" readingOrder="2"/>
    </xf>
    <xf numFmtId="0" fontId="3" fillId="2" borderId="6" xfId="0" applyFont="1" applyFill="1" applyBorder="1" applyAlignment="1">
      <alignment horizontal="center" vertical="center" readingOrder="2"/>
    </xf>
    <xf numFmtId="0" fontId="3" fillId="0" borderId="5" xfId="0" applyFont="1" applyBorder="1" applyAlignment="1">
      <alignment horizontal="center" vertical="center" readingOrder="2"/>
    </xf>
    <xf numFmtId="0" fontId="3" fillId="0" borderId="8" xfId="0" applyFont="1" applyBorder="1" applyAlignment="1">
      <alignment horizontal="center" vertical="center" readingOrder="2"/>
    </xf>
    <xf numFmtId="0" fontId="20" fillId="0" borderId="27" xfId="0" applyFont="1" applyBorder="1" applyAlignment="1">
      <alignment vertical="center" readingOrder="2"/>
    </xf>
    <xf numFmtId="0" fontId="20" fillId="0" borderId="28" xfId="0" applyFont="1" applyBorder="1" applyAlignment="1">
      <alignment vertical="center" readingOrder="2"/>
    </xf>
    <xf numFmtId="0" fontId="20" fillId="0" borderId="29" xfId="0" applyFont="1" applyBorder="1" applyAlignment="1">
      <alignment vertical="center" readingOrder="2"/>
    </xf>
    <xf numFmtId="0" fontId="0" fillId="4" borderId="0" xfId="0" applyFill="1" applyAlignment="1">
      <alignment readingOrder="2"/>
    </xf>
    <xf numFmtId="0" fontId="0" fillId="4" borderId="0" xfId="0" applyFill="1" applyAlignment="1">
      <alignment vertical="center" readingOrder="2"/>
    </xf>
    <xf numFmtId="0" fontId="7" fillId="4" borderId="1" xfId="0" applyFont="1" applyFill="1" applyBorder="1" applyAlignment="1">
      <alignment readingOrder="2"/>
    </xf>
    <xf numFmtId="0" fontId="2" fillId="4" borderId="31" xfId="0" applyFont="1" applyFill="1" applyBorder="1" applyAlignment="1">
      <alignment readingOrder="2"/>
    </xf>
    <xf numFmtId="0" fontId="0" fillId="4" borderId="31" xfId="0" applyFill="1" applyBorder="1" applyAlignment="1">
      <alignment readingOrder="2"/>
    </xf>
    <xf numFmtId="0" fontId="3" fillId="4" borderId="31" xfId="0" applyFont="1" applyFill="1" applyBorder="1" applyAlignment="1">
      <alignment horizontal="center" readingOrder="2"/>
    </xf>
    <xf numFmtId="0" fontId="2" fillId="4" borderId="31" xfId="0" applyFont="1" applyFill="1" applyBorder="1" applyAlignment="1">
      <alignment horizontal="center" readingOrder="2"/>
    </xf>
    <xf numFmtId="0" fontId="6" fillId="4" borderId="31" xfId="0" applyFont="1" applyFill="1" applyBorder="1" applyAlignment="1">
      <alignment readingOrder="2"/>
    </xf>
    <xf numFmtId="0" fontId="0" fillId="4" borderId="32" xfId="0" applyFill="1" applyBorder="1" applyAlignment="1">
      <alignment readingOrder="2"/>
    </xf>
    <xf numFmtId="0" fontId="9" fillId="2" borderId="30" xfId="0" applyFont="1" applyFill="1" applyBorder="1" applyAlignment="1">
      <alignment readingOrder="2"/>
    </xf>
    <xf numFmtId="0" fontId="9" fillId="2" borderId="35" xfId="0" applyFont="1" applyFill="1" applyBorder="1" applyAlignment="1">
      <alignment readingOrder="2"/>
    </xf>
    <xf numFmtId="0" fontId="9" fillId="2" borderId="36" xfId="0" applyFont="1" applyFill="1" applyBorder="1" applyAlignment="1">
      <alignment horizontal="left" readingOrder="2"/>
    </xf>
    <xf numFmtId="0" fontId="9" fillId="2" borderId="0" xfId="0" applyFont="1" applyFill="1" applyAlignment="1">
      <alignment readingOrder="2"/>
    </xf>
    <xf numFmtId="0" fontId="7" fillId="3" borderId="1" xfId="0" applyFont="1" applyFill="1" applyBorder="1" applyAlignment="1">
      <alignment readingOrder="2"/>
    </xf>
    <xf numFmtId="0" fontId="2" fillId="3" borderId="31" xfId="0" applyFont="1" applyFill="1" applyBorder="1" applyAlignment="1">
      <alignment readingOrder="2"/>
    </xf>
    <xf numFmtId="0" fontId="0" fillId="3" borderId="31" xfId="0" applyFill="1" applyBorder="1" applyAlignment="1">
      <alignment readingOrder="2"/>
    </xf>
    <xf numFmtId="0" fontId="3" fillId="3" borderId="31" xfId="0" applyFont="1" applyFill="1" applyBorder="1" applyAlignment="1">
      <alignment horizontal="center" readingOrder="2"/>
    </xf>
    <xf numFmtId="0" fontId="2" fillId="3" borderId="31" xfId="0" applyFont="1" applyFill="1" applyBorder="1" applyAlignment="1">
      <alignment horizontal="center" readingOrder="2"/>
    </xf>
    <xf numFmtId="0" fontId="8" fillId="3" borderId="31" xfId="0" applyFont="1" applyFill="1" applyBorder="1" applyAlignment="1">
      <alignment horizontal="center" readingOrder="2"/>
    </xf>
    <xf numFmtId="0" fontId="6" fillId="3" borderId="31" xfId="0" applyFont="1" applyFill="1" applyBorder="1" applyAlignment="1">
      <alignment readingOrder="2"/>
    </xf>
    <xf numFmtId="0" fontId="0" fillId="3" borderId="32" xfId="0" applyFill="1" applyBorder="1" applyAlignment="1">
      <alignment readingOrder="2"/>
    </xf>
    <xf numFmtId="0" fontId="15" fillId="6" borderId="1" xfId="0" applyFont="1" applyFill="1" applyBorder="1" applyAlignment="1">
      <alignment horizontal="center" vertical="center" wrapText="1" readingOrder="2"/>
    </xf>
    <xf numFmtId="0" fontId="15" fillId="6" borderId="3" xfId="0" applyFont="1" applyFill="1" applyBorder="1" applyAlignment="1">
      <alignment horizontal="center" vertical="center" wrapText="1" readingOrder="2"/>
    </xf>
    <xf numFmtId="0" fontId="15" fillId="6" borderId="11" xfId="0" applyFont="1" applyFill="1" applyBorder="1" applyAlignment="1">
      <alignment horizontal="center" vertical="center" wrapText="1" readingOrder="2"/>
    </xf>
    <xf numFmtId="0" fontId="15" fillId="6" borderId="12" xfId="0" applyFont="1" applyFill="1" applyBorder="1" applyAlignment="1">
      <alignment horizontal="center" vertical="center" wrapText="1" readingOrder="2"/>
    </xf>
    <xf numFmtId="0" fontId="15" fillId="6" borderId="13" xfId="0" applyFont="1" applyFill="1" applyBorder="1" applyAlignment="1">
      <alignment horizontal="center" vertical="center" wrapText="1" readingOrder="2"/>
    </xf>
    <xf numFmtId="0" fontId="11" fillId="6" borderId="0" xfId="0" applyFont="1" applyFill="1" applyAlignment="1">
      <alignment vertical="center" readingOrder="2"/>
    </xf>
    <xf numFmtId="0" fontId="11" fillId="0" borderId="0" xfId="0" applyFont="1" applyAlignment="1">
      <alignment vertical="center" readingOrder="2"/>
    </xf>
    <xf numFmtId="0" fontId="11" fillId="2" borderId="0" xfId="0" applyFont="1" applyFill="1" applyAlignment="1">
      <alignment vertical="center" readingOrder="2"/>
    </xf>
    <xf numFmtId="0" fontId="5" fillId="0" borderId="25" xfId="0" applyFont="1" applyBorder="1" applyAlignment="1">
      <alignment vertical="center" readingOrder="2"/>
    </xf>
    <xf numFmtId="0" fontId="20" fillId="2" borderId="9" xfId="0" applyFont="1" applyFill="1" applyBorder="1" applyAlignment="1">
      <alignment vertical="center" readingOrder="2"/>
    </xf>
    <xf numFmtId="0" fontId="8" fillId="0" borderId="41" xfId="0" applyFont="1" applyBorder="1" applyAlignment="1">
      <alignment vertical="center" readingOrder="2"/>
    </xf>
    <xf numFmtId="0" fontId="17" fillId="0" borderId="41" xfId="0" applyFont="1" applyBorder="1" applyAlignment="1">
      <alignment vertical="center" readingOrder="2"/>
    </xf>
    <xf numFmtId="0" fontId="9" fillId="0" borderId="41" xfId="0" applyFont="1" applyBorder="1" applyAlignment="1">
      <alignment horizontal="center" vertical="center" readingOrder="2"/>
    </xf>
    <xf numFmtId="0" fontId="18" fillId="0" borderId="41" xfId="0" applyFont="1" applyBorder="1" applyAlignment="1">
      <alignment horizontal="center" vertical="center" readingOrder="2"/>
    </xf>
    <xf numFmtId="0" fontId="17" fillId="2" borderId="42" xfId="0" applyFont="1" applyFill="1" applyBorder="1" applyAlignment="1">
      <alignment vertical="center" readingOrder="2"/>
    </xf>
    <xf numFmtId="0" fontId="17" fillId="6" borderId="0" xfId="0" applyFont="1" applyFill="1" applyAlignment="1">
      <alignment vertical="center" readingOrder="2"/>
    </xf>
    <xf numFmtId="0" fontId="8" fillId="2" borderId="9" xfId="0" applyFont="1" applyFill="1" applyBorder="1" applyAlignment="1">
      <alignment vertical="center" readingOrder="2"/>
    </xf>
    <xf numFmtId="0" fontId="17" fillId="0" borderId="0" xfId="0" applyFont="1" applyAlignment="1">
      <alignment vertical="center" readingOrder="2"/>
    </xf>
    <xf numFmtId="0" fontId="14" fillId="6" borderId="0" xfId="0" applyFont="1" applyFill="1" applyAlignment="1">
      <alignment vertical="center" readingOrder="2"/>
    </xf>
    <xf numFmtId="0" fontId="14" fillId="0" borderId="0" xfId="0" applyFont="1" applyAlignment="1">
      <alignment vertical="center" readingOrder="2"/>
    </xf>
    <xf numFmtId="0" fontId="16" fillId="6" borderId="0" xfId="0" applyFont="1" applyFill="1" applyAlignment="1">
      <alignment vertical="center" readingOrder="2"/>
    </xf>
    <xf numFmtId="0" fontId="16" fillId="0" borderId="0" xfId="0" applyFont="1" applyAlignment="1">
      <alignment vertical="center" readingOrder="2"/>
    </xf>
    <xf numFmtId="0" fontId="5" fillId="5" borderId="38" xfId="0" applyFont="1" applyFill="1" applyBorder="1" applyAlignment="1">
      <alignment horizontal="center" vertical="center" readingOrder="2"/>
    </xf>
    <xf numFmtId="0" fontId="5" fillId="5" borderId="4" xfId="0" applyFont="1" applyFill="1" applyBorder="1" applyAlignment="1">
      <alignment horizontal="center" vertical="center" readingOrder="2"/>
    </xf>
    <xf numFmtId="1" fontId="5" fillId="0" borderId="25" xfId="0" applyNumberFormat="1" applyFont="1" applyBorder="1" applyAlignment="1">
      <alignment vertical="center" readingOrder="2"/>
    </xf>
    <xf numFmtId="1" fontId="5" fillId="0" borderId="38" xfId="0" applyNumberFormat="1" applyFont="1" applyBorder="1" applyAlignment="1">
      <alignment vertical="center" readingOrder="2"/>
    </xf>
    <xf numFmtId="0" fontId="5" fillId="5" borderId="39" xfId="0" applyFont="1" applyFill="1" applyBorder="1" applyAlignment="1">
      <alignment horizontal="center" vertical="center" readingOrder="2"/>
    </xf>
    <xf numFmtId="0" fontId="5" fillId="5" borderId="7" xfId="0" applyFont="1" applyFill="1" applyBorder="1" applyAlignment="1">
      <alignment horizontal="center" vertical="center" readingOrder="2"/>
    </xf>
    <xf numFmtId="1" fontId="5" fillId="0" borderId="26" xfId="0" applyNumberFormat="1" applyFont="1" applyBorder="1" applyAlignment="1">
      <alignment vertical="center" readingOrder="2"/>
    </xf>
    <xf numFmtId="1" fontId="5" fillId="0" borderId="39" xfId="0" applyNumberFormat="1" applyFont="1" applyBorder="1" applyAlignment="1">
      <alignment vertical="center" readingOrder="2"/>
    </xf>
    <xf numFmtId="0" fontId="5" fillId="5" borderId="2" xfId="0" applyFont="1" applyFill="1" applyBorder="1" applyAlignment="1">
      <alignment horizontal="center" vertical="center" readingOrder="2"/>
    </xf>
    <xf numFmtId="0" fontId="5" fillId="5" borderId="25" xfId="0" applyFont="1" applyFill="1" applyBorder="1" applyAlignment="1">
      <alignment horizontal="center" vertical="center" readingOrder="2"/>
    </xf>
    <xf numFmtId="0" fontId="5" fillId="5" borderId="5" xfId="0" applyFont="1" applyFill="1" applyBorder="1" applyAlignment="1">
      <alignment horizontal="center" vertical="center" readingOrder="2"/>
    </xf>
    <xf numFmtId="1" fontId="5" fillId="0" borderId="40" xfId="0" applyNumberFormat="1" applyFont="1" applyBorder="1" applyAlignment="1">
      <alignment vertical="center" readingOrder="2"/>
    </xf>
    <xf numFmtId="0" fontId="5" fillId="5" borderId="6" xfId="0" applyFont="1" applyFill="1" applyBorder="1" applyAlignment="1">
      <alignment horizontal="center" vertical="center" readingOrder="2"/>
    </xf>
    <xf numFmtId="0" fontId="5" fillId="5" borderId="26" xfId="0" applyFont="1" applyFill="1" applyBorder="1" applyAlignment="1">
      <alignment horizontal="center" vertical="center" readingOrder="2"/>
    </xf>
    <xf numFmtId="0" fontId="5" fillId="5" borderId="8" xfId="0" applyFont="1" applyFill="1" applyBorder="1" applyAlignment="1">
      <alignment horizontal="center" vertical="center" readingOrder="2"/>
    </xf>
    <xf numFmtId="1" fontId="10" fillId="0" borderId="43" xfId="0" applyNumberFormat="1" applyFont="1" applyBorder="1" applyAlignment="1">
      <alignment vertical="center" readingOrder="2"/>
    </xf>
    <xf numFmtId="1" fontId="10" fillId="0" borderId="34" xfId="0" applyNumberFormat="1" applyFont="1" applyBorder="1" applyAlignment="1">
      <alignment vertical="center" readingOrder="2"/>
    </xf>
    <xf numFmtId="0" fontId="5" fillId="6" borderId="0" xfId="0" applyFont="1" applyFill="1" applyAlignment="1">
      <alignment vertical="center" readingOrder="2"/>
    </xf>
    <xf numFmtId="0" fontId="10" fillId="6" borderId="0" xfId="0" applyFont="1" applyFill="1" applyAlignment="1">
      <alignment horizontal="center" vertical="center" readingOrder="2"/>
    </xf>
    <xf numFmtId="0" fontId="12" fillId="6" borderId="0" xfId="0" applyFont="1" applyFill="1" applyAlignment="1">
      <alignment vertical="center" readingOrder="2"/>
    </xf>
    <xf numFmtId="0" fontId="5" fillId="6" borderId="41" xfId="0" applyFont="1" applyFill="1" applyBorder="1" applyAlignment="1">
      <alignment vertical="center" readingOrder="2"/>
    </xf>
    <xf numFmtId="0" fontId="11" fillId="6" borderId="41" xfId="0" applyFont="1" applyFill="1" applyBorder="1" applyAlignment="1">
      <alignment vertical="center" readingOrder="2"/>
    </xf>
    <xf numFmtId="0" fontId="10" fillId="6" borderId="41" xfId="0" applyFont="1" applyFill="1" applyBorder="1" applyAlignment="1">
      <alignment horizontal="center" vertical="center" readingOrder="2"/>
    </xf>
    <xf numFmtId="0" fontId="20" fillId="2" borderId="0" xfId="0" applyFont="1" applyFill="1" applyAlignment="1">
      <alignment vertical="center" readingOrder="2"/>
    </xf>
    <xf numFmtId="0" fontId="8" fillId="2" borderId="41" xfId="0" applyFont="1" applyFill="1" applyBorder="1" applyAlignment="1">
      <alignment vertical="center" readingOrder="2"/>
    </xf>
    <xf numFmtId="0" fontId="17" fillId="2" borderId="41" xfId="0" applyFont="1" applyFill="1" applyBorder="1" applyAlignment="1">
      <alignment vertical="center" readingOrder="2"/>
    </xf>
    <xf numFmtId="0" fontId="18" fillId="2" borderId="41" xfId="0" applyFont="1" applyFill="1" applyBorder="1" applyAlignment="1">
      <alignment horizontal="center" vertical="center" readingOrder="2"/>
    </xf>
    <xf numFmtId="0" fontId="5" fillId="6" borderId="4" xfId="0" applyFont="1" applyFill="1" applyBorder="1" applyAlignment="1">
      <alignment horizontal="center" vertical="center" readingOrder="2"/>
    </xf>
    <xf numFmtId="1" fontId="11" fillId="6" borderId="0" xfId="0" applyNumberFormat="1" applyFont="1" applyFill="1" applyAlignment="1">
      <alignment vertical="center" readingOrder="2"/>
    </xf>
    <xf numFmtId="0" fontId="5" fillId="6" borderId="7" xfId="0" applyFont="1" applyFill="1" applyBorder="1" applyAlignment="1">
      <alignment horizontal="center" vertical="center" readingOrder="2"/>
    </xf>
    <xf numFmtId="0" fontId="5" fillId="6" borderId="5" xfId="0" applyFont="1" applyFill="1" applyBorder="1" applyAlignment="1">
      <alignment horizontal="center" vertical="center" readingOrder="2"/>
    </xf>
    <xf numFmtId="0" fontId="5" fillId="6" borderId="8" xfId="0" applyFont="1" applyFill="1" applyBorder="1" applyAlignment="1">
      <alignment horizontal="center" vertical="center" readingOrder="2"/>
    </xf>
    <xf numFmtId="0" fontId="10" fillId="6" borderId="6" xfId="0" applyFont="1" applyFill="1" applyBorder="1" applyAlignment="1">
      <alignment vertical="center" readingOrder="2"/>
    </xf>
    <xf numFmtId="0" fontId="10" fillId="6" borderId="36" xfId="0" applyFont="1" applyFill="1" applyBorder="1" applyAlignment="1">
      <alignment vertical="center" readingOrder="2"/>
    </xf>
    <xf numFmtId="1" fontId="10" fillId="6" borderId="36" xfId="0" applyNumberFormat="1" applyFont="1" applyFill="1" applyBorder="1" applyAlignment="1">
      <alignment vertical="center" readingOrder="2"/>
    </xf>
    <xf numFmtId="0" fontId="10" fillId="6" borderId="36" xfId="0" applyFont="1" applyFill="1" applyBorder="1" applyAlignment="1">
      <alignment horizontal="center" vertical="center" readingOrder="2"/>
    </xf>
    <xf numFmtId="0" fontId="19" fillId="0" borderId="0" xfId="0" applyFont="1" applyAlignment="1">
      <alignment vertical="center" readingOrder="2"/>
    </xf>
    <xf numFmtId="0" fontId="21" fillId="6" borderId="0" xfId="0" applyFont="1" applyFill="1" applyAlignment="1">
      <alignment vertical="center" readingOrder="2"/>
    </xf>
    <xf numFmtId="0" fontId="8" fillId="2" borderId="41" xfId="0" applyFont="1" applyFill="1" applyBorder="1" applyAlignment="1">
      <alignment horizontal="center" vertical="center" readingOrder="2"/>
    </xf>
    <xf numFmtId="0" fontId="15" fillId="6" borderId="2" xfId="0" applyFont="1" applyFill="1" applyBorder="1" applyAlignment="1">
      <alignment horizontal="center" vertical="center" wrapText="1" readingOrder="2"/>
    </xf>
    <xf numFmtId="0" fontId="9" fillId="2" borderId="41" xfId="0" applyFont="1" applyFill="1" applyBorder="1" applyAlignment="1">
      <alignment horizontal="center" vertical="center" readingOrder="2"/>
    </xf>
    <xf numFmtId="0" fontId="11" fillId="8" borderId="0" xfId="0" applyFont="1" applyFill="1" applyAlignment="1">
      <alignment vertical="center" readingOrder="2"/>
    </xf>
    <xf numFmtId="0" fontId="20" fillId="0" borderId="30" xfId="0" applyFont="1" applyBorder="1" applyAlignment="1">
      <alignment vertical="center" readingOrder="2"/>
    </xf>
    <xf numFmtId="0" fontId="19" fillId="0" borderId="38" xfId="0" applyFont="1" applyBorder="1" applyAlignment="1">
      <alignment vertical="center" readingOrder="2"/>
    </xf>
    <xf numFmtId="0" fontId="19" fillId="0" borderId="39" xfId="0" applyFont="1" applyBorder="1" applyAlignment="1">
      <alignment vertical="center" readingOrder="2"/>
    </xf>
    <xf numFmtId="0" fontId="19" fillId="0" borderId="40" xfId="0" applyFont="1" applyBorder="1" applyAlignment="1">
      <alignment vertical="center" readingOrder="2"/>
    </xf>
    <xf numFmtId="0" fontId="19" fillId="0" borderId="25" xfId="0" applyFont="1" applyBorder="1" applyAlignment="1">
      <alignment vertical="center" readingOrder="2"/>
    </xf>
    <xf numFmtId="0" fontId="19" fillId="0" borderId="26" xfId="0" applyFont="1" applyBorder="1" applyAlignment="1">
      <alignment vertical="center" readingOrder="2"/>
    </xf>
    <xf numFmtId="0" fontId="19" fillId="0" borderId="37" xfId="0" applyFont="1" applyBorder="1" applyAlignment="1">
      <alignment vertical="center" readingOrder="2"/>
    </xf>
    <xf numFmtId="0" fontId="19" fillId="0" borderId="10" xfId="0" applyFont="1" applyBorder="1" applyAlignment="1">
      <alignment horizontal="center" vertical="center" readingOrder="2"/>
    </xf>
    <xf numFmtId="0" fontId="19" fillId="0" borderId="22" xfId="0" applyFont="1" applyBorder="1" applyAlignment="1">
      <alignment vertical="center" readingOrder="2"/>
    </xf>
    <xf numFmtId="0" fontId="19" fillId="0" borderId="23" xfId="0" applyFont="1" applyBorder="1" applyAlignment="1">
      <alignment vertical="center" readingOrder="2"/>
    </xf>
    <xf numFmtId="0" fontId="19" fillId="0" borderId="24" xfId="0" applyFont="1" applyBorder="1" applyAlignment="1">
      <alignment vertical="center" readingOrder="2"/>
    </xf>
    <xf numFmtId="0" fontId="19" fillId="0" borderId="16" xfId="0" applyFont="1" applyBorder="1" applyAlignment="1">
      <alignment vertical="center" readingOrder="2"/>
    </xf>
    <xf numFmtId="0" fontId="19" fillId="0" borderId="17" xfId="0" applyFont="1" applyBorder="1" applyAlignment="1">
      <alignment vertical="center" readingOrder="2"/>
    </xf>
    <xf numFmtId="0" fontId="19" fillId="0" borderId="18" xfId="0" applyFont="1" applyBorder="1" applyAlignment="1">
      <alignment vertical="center" readingOrder="2"/>
    </xf>
    <xf numFmtId="0" fontId="19" fillId="0" borderId="19" xfId="0" applyFont="1" applyBorder="1" applyAlignment="1">
      <alignment vertical="center" readingOrder="2"/>
    </xf>
    <xf numFmtId="0" fontId="19" fillId="0" borderId="20" xfId="0" applyFont="1" applyBorder="1" applyAlignment="1">
      <alignment vertical="center" readingOrder="2"/>
    </xf>
    <xf numFmtId="0" fontId="19" fillId="0" borderId="21" xfId="0" applyFont="1" applyBorder="1" applyAlignment="1">
      <alignment vertical="center" readingOrder="2"/>
    </xf>
    <xf numFmtId="0" fontId="20" fillId="7" borderId="30" xfId="0" applyFont="1" applyFill="1" applyBorder="1" applyAlignment="1">
      <alignment vertical="center" readingOrder="2"/>
    </xf>
    <xf numFmtId="0" fontId="20" fillId="7" borderId="6" xfId="0" applyFont="1" applyFill="1" applyBorder="1" applyAlignment="1">
      <alignment vertical="center" readingOrder="2"/>
    </xf>
    <xf numFmtId="0" fontId="20" fillId="7" borderId="35" xfId="0" applyFont="1" applyFill="1" applyBorder="1" applyAlignment="1">
      <alignment vertical="center" readingOrder="2"/>
    </xf>
    <xf numFmtId="0" fontId="20" fillId="7" borderId="27" xfId="0" applyFont="1" applyFill="1" applyBorder="1" applyAlignment="1">
      <alignment vertical="center" readingOrder="2"/>
    </xf>
    <xf numFmtId="0" fontId="20" fillId="7" borderId="28" xfId="0" applyFont="1" applyFill="1" applyBorder="1" applyAlignment="1">
      <alignment vertical="center" readingOrder="2"/>
    </xf>
    <xf numFmtId="0" fontId="20" fillId="7" borderId="29" xfId="0" applyFont="1" applyFill="1" applyBorder="1" applyAlignment="1">
      <alignment vertical="center" readingOrder="2"/>
    </xf>
    <xf numFmtId="0" fontId="5" fillId="5" borderId="2" xfId="0" applyFont="1" applyFill="1" applyBorder="1" applyAlignment="1">
      <alignment horizontal="center" vertical="center" wrapText="1" readingOrder="2"/>
    </xf>
    <xf numFmtId="0" fontId="11" fillId="5" borderId="6" xfId="0" applyFont="1" applyFill="1" applyBorder="1" applyAlignment="1">
      <alignment horizontal="center" vertical="center" wrapText="1" readingOrder="2"/>
    </xf>
    <xf numFmtId="0" fontId="5" fillId="7" borderId="9" xfId="0" applyFont="1" applyFill="1" applyBorder="1" applyAlignment="1">
      <alignment horizontal="center" vertical="center" readingOrder="2"/>
    </xf>
    <xf numFmtId="0" fontId="5" fillId="7" borderId="42" xfId="0" applyFont="1" applyFill="1" applyBorder="1" applyAlignment="1">
      <alignment horizontal="center" vertical="center" readingOrder="2"/>
    </xf>
    <xf numFmtId="0" fontId="19" fillId="9" borderId="0" xfId="0" applyFont="1" applyFill="1" applyAlignment="1">
      <alignment vertical="center" readingOrder="2"/>
    </xf>
    <xf numFmtId="0" fontId="11" fillId="9" borderId="0" xfId="0" applyFont="1" applyFill="1" applyAlignment="1">
      <alignment vertical="center" readingOrder="2"/>
    </xf>
    <xf numFmtId="164" fontId="0" fillId="0" borderId="0" xfId="0" applyNumberFormat="1" applyAlignment="1">
      <alignment readingOrder="2"/>
    </xf>
    <xf numFmtId="12" fontId="0" fillId="0" borderId="0" xfId="0" applyNumberFormat="1" applyAlignment="1">
      <alignment readingOrder="2"/>
    </xf>
    <xf numFmtId="0" fontId="5" fillId="6" borderId="2" xfId="0" applyFont="1" applyFill="1" applyBorder="1" applyAlignment="1">
      <alignment horizontal="center" vertical="center" readingOrder="2"/>
    </xf>
    <xf numFmtId="0" fontId="5" fillId="6" borderId="6" xfId="0" applyFont="1" applyFill="1" applyBorder="1" applyAlignment="1">
      <alignment horizontal="center" vertical="center" readingOrder="2"/>
    </xf>
    <xf numFmtId="0" fontId="11" fillId="6" borderId="31" xfId="0" applyFont="1" applyFill="1" applyBorder="1" applyAlignment="1">
      <alignment vertical="center" readingOrder="2"/>
    </xf>
    <xf numFmtId="0" fontId="5" fillId="6" borderId="35" xfId="0" applyFont="1" applyFill="1" applyBorder="1" applyAlignment="1">
      <alignment vertical="center" readingOrder="2"/>
    </xf>
    <xf numFmtId="0" fontId="11" fillId="6" borderId="35" xfId="0" applyFont="1" applyFill="1" applyBorder="1" applyAlignment="1">
      <alignment vertical="center" readingOrder="2"/>
    </xf>
    <xf numFmtId="0" fontId="5" fillId="0" borderId="42" xfId="0" applyFont="1" applyBorder="1" applyAlignment="1">
      <alignment vertical="center" readingOrder="2"/>
    </xf>
    <xf numFmtId="1" fontId="5" fillId="0" borderId="42" xfId="0" applyNumberFormat="1" applyFont="1" applyBorder="1" applyAlignment="1">
      <alignment vertical="center" readingOrder="2"/>
    </xf>
    <xf numFmtId="0" fontId="0" fillId="5" borderId="9" xfId="0" applyFill="1" applyBorder="1" applyAlignment="1">
      <alignment vertical="center" readingOrder="2"/>
    </xf>
    <xf numFmtId="0" fontId="3" fillId="5" borderId="41" xfId="0" applyFont="1" applyFill="1" applyBorder="1" applyAlignment="1">
      <alignment vertical="center" readingOrder="2"/>
    </xf>
    <xf numFmtId="0" fontId="0" fillId="5" borderId="41" xfId="0" applyFill="1" applyBorder="1" applyAlignment="1">
      <alignment vertical="center" readingOrder="2"/>
    </xf>
    <xf numFmtId="0" fontId="1" fillId="5" borderId="41" xfId="0" applyFont="1" applyFill="1" applyBorder="1" applyAlignment="1">
      <alignment horizontal="center" vertical="center" readingOrder="2"/>
    </xf>
    <xf numFmtId="0" fontId="1" fillId="5" borderId="42" xfId="0" applyFont="1" applyFill="1" applyBorder="1" applyAlignment="1">
      <alignment horizontal="center" vertical="center" readingOrder="2"/>
    </xf>
    <xf numFmtId="0" fontId="20" fillId="0" borderId="33" xfId="0" applyFont="1" applyBorder="1" applyAlignment="1">
      <alignment vertical="center" readingOrder="2"/>
    </xf>
    <xf numFmtId="0" fontId="20" fillId="0" borderId="46" xfId="0" applyFont="1" applyBorder="1" applyAlignment="1">
      <alignment vertical="center" readingOrder="2"/>
    </xf>
    <xf numFmtId="0" fontId="20" fillId="0" borderId="47" xfId="0" applyFont="1" applyBorder="1" applyAlignment="1">
      <alignment vertical="center" readingOrder="2"/>
    </xf>
    <xf numFmtId="0" fontId="20" fillId="0" borderId="48" xfId="0" applyFont="1" applyBorder="1" applyAlignment="1">
      <alignment vertical="center" readingOrder="2"/>
    </xf>
    <xf numFmtId="0" fontId="0" fillId="4" borderId="42" xfId="0" applyFill="1" applyBorder="1" applyAlignment="1">
      <alignment vertical="center" readingOrder="2"/>
    </xf>
    <xf numFmtId="0" fontId="19" fillId="0" borderId="49" xfId="0" applyFont="1" applyBorder="1" applyAlignment="1">
      <alignment horizontal="right" vertical="center" wrapText="1" readingOrder="2"/>
    </xf>
    <xf numFmtId="0" fontId="19" fillId="0" borderId="50" xfId="0" applyFont="1" applyBorder="1" applyAlignment="1">
      <alignment horizontal="right" vertical="center" wrapText="1" readingOrder="2"/>
    </xf>
    <xf numFmtId="0" fontId="19" fillId="0" borderId="51" xfId="0" applyFont="1" applyBorder="1" applyAlignment="1">
      <alignment horizontal="right" vertical="center" wrapText="1" readingOrder="2"/>
    </xf>
    <xf numFmtId="0" fontId="19" fillId="0" borderId="52" xfId="0" applyFont="1" applyBorder="1" applyAlignment="1">
      <alignment horizontal="right" vertical="center" wrapText="1" readingOrder="2"/>
    </xf>
    <xf numFmtId="0" fontId="19" fillId="0" borderId="53" xfId="0" applyFont="1" applyBorder="1" applyAlignment="1">
      <alignment horizontal="right" vertical="center" wrapText="1" readingOrder="2"/>
    </xf>
    <xf numFmtId="0" fontId="19" fillId="0" borderId="54" xfId="0" applyFont="1" applyBorder="1" applyAlignment="1">
      <alignment horizontal="right" vertical="center" wrapText="1" readingOrder="2"/>
    </xf>
    <xf numFmtId="0" fontId="19" fillId="0" borderId="55" xfId="0" applyFont="1" applyBorder="1" applyAlignment="1">
      <alignment horizontal="right" vertical="center" wrapText="1" readingOrder="2"/>
    </xf>
    <xf numFmtId="0" fontId="19" fillId="0" borderId="56" xfId="0" applyFont="1" applyBorder="1" applyAlignment="1">
      <alignment horizontal="right" vertical="center" wrapText="1" readingOrder="2"/>
    </xf>
    <xf numFmtId="0" fontId="19" fillId="0" borderId="57" xfId="0" applyFont="1" applyBorder="1" applyAlignment="1">
      <alignment horizontal="right" vertical="center" wrapText="1" readingOrder="2"/>
    </xf>
    <xf numFmtId="0" fontId="19" fillId="0" borderId="58" xfId="0" applyFont="1" applyBorder="1" applyAlignment="1">
      <alignment horizontal="right" wrapText="1" readingOrder="2"/>
    </xf>
    <xf numFmtId="0" fontId="19" fillId="0" borderId="59" xfId="0" applyFont="1" applyBorder="1" applyAlignment="1">
      <alignment horizontal="right" wrapText="1" readingOrder="2"/>
    </xf>
    <xf numFmtId="0" fontId="19" fillId="0" borderId="60" xfId="0" applyFont="1" applyBorder="1" applyAlignment="1">
      <alignment horizontal="right" wrapText="1" readingOrder="2"/>
    </xf>
    <xf numFmtId="0" fontId="19" fillId="0" borderId="61" xfId="0" applyFont="1" applyBorder="1" applyAlignment="1">
      <alignment horizontal="right" wrapText="1" readingOrder="2"/>
    </xf>
    <xf numFmtId="0" fontId="19" fillId="0" borderId="57" xfId="0" applyFont="1" applyBorder="1" applyAlignment="1">
      <alignment horizontal="right" wrapText="1" readingOrder="2"/>
    </xf>
    <xf numFmtId="0" fontId="19" fillId="0" borderId="56" xfId="0" applyFont="1" applyBorder="1" applyAlignment="1">
      <alignment horizontal="right" wrapText="1" readingOrder="2"/>
    </xf>
    <xf numFmtId="0" fontId="22" fillId="10" borderId="52" xfId="0" applyFont="1" applyFill="1" applyBorder="1" applyAlignment="1">
      <alignment horizontal="right" vertical="center" wrapText="1" readingOrder="2"/>
    </xf>
    <xf numFmtId="0" fontId="11" fillId="11" borderId="62" xfId="0" applyFont="1" applyFill="1" applyBorder="1" applyAlignment="1">
      <alignment vertical="center" wrapText="1" readingOrder="2"/>
    </xf>
    <xf numFmtId="0" fontId="19" fillId="0" borderId="63" xfId="0" applyFont="1" applyBorder="1" applyAlignment="1">
      <alignment horizontal="right" wrapText="1" readingOrder="2"/>
    </xf>
    <xf numFmtId="0" fontId="19" fillId="0" borderId="51" xfId="0" applyFont="1" applyBorder="1" applyAlignment="1">
      <alignment horizontal="right" wrapText="1" readingOrder="2"/>
    </xf>
    <xf numFmtId="0" fontId="19" fillId="0" borderId="50" xfId="0" applyFont="1" applyBorder="1" applyAlignment="1">
      <alignment horizontal="right" wrapText="1" readingOrder="2"/>
    </xf>
    <xf numFmtId="0" fontId="22" fillId="10" borderId="61" xfId="0" applyFont="1" applyFill="1" applyBorder="1" applyAlignment="1">
      <alignment horizontal="right" wrapText="1" readingOrder="2"/>
    </xf>
    <xf numFmtId="0" fontId="22" fillId="10" borderId="57" xfId="0" applyFont="1" applyFill="1" applyBorder="1" applyAlignment="1">
      <alignment horizontal="right" wrapText="1" readingOrder="2"/>
    </xf>
    <xf numFmtId="0" fontId="22" fillId="10" borderId="56" xfId="0" applyFont="1" applyFill="1" applyBorder="1" applyAlignment="1">
      <alignment horizontal="right" wrapText="1" readingOrder="2"/>
    </xf>
    <xf numFmtId="0" fontId="22" fillId="10" borderId="54" xfId="0" applyFont="1" applyFill="1" applyBorder="1" applyAlignment="1">
      <alignment horizontal="right" vertical="center" wrapText="1" readingOrder="2"/>
    </xf>
    <xf numFmtId="0" fontId="22" fillId="10" borderId="53" xfId="0" applyFont="1" applyFill="1" applyBorder="1" applyAlignment="1">
      <alignment horizontal="right" vertical="center" wrapText="1" readingOrder="2"/>
    </xf>
    <xf numFmtId="0" fontId="23" fillId="11" borderId="62" xfId="0" applyFont="1" applyFill="1" applyBorder="1" applyAlignment="1">
      <alignment horizontal="center" vertical="center" wrapText="1" readingOrder="2"/>
    </xf>
    <xf numFmtId="0" fontId="24" fillId="11" borderId="62" xfId="0" applyFont="1" applyFill="1" applyBorder="1" applyAlignment="1">
      <alignment horizontal="right" vertical="center" wrapText="1" readingOrder="2"/>
    </xf>
    <xf numFmtId="0" fontId="11" fillId="11" borderId="64" xfId="0" applyFont="1" applyFill="1" applyBorder="1" applyAlignment="1">
      <alignment vertical="center" wrapText="1" readingOrder="2"/>
    </xf>
    <xf numFmtId="0" fontId="25" fillId="0" borderId="65" xfId="0" applyFont="1" applyBorder="1" applyAlignment="1">
      <alignment horizontal="right" vertical="center" readingOrder="2"/>
    </xf>
    <xf numFmtId="0" fontId="25" fillId="0" borderId="66" xfId="0" applyFont="1" applyBorder="1" applyAlignment="1">
      <alignment horizontal="right" vertical="center" readingOrder="2"/>
    </xf>
    <xf numFmtId="0" fontId="25" fillId="0" borderId="67" xfId="0" applyFont="1" applyBorder="1" applyAlignment="1">
      <alignment horizontal="right" vertical="center" readingOrder="2"/>
    </xf>
    <xf numFmtId="0" fontId="25" fillId="0" borderId="68" xfId="0" applyFont="1" applyBorder="1" applyAlignment="1">
      <alignment horizontal="right" vertical="center" readingOrder="2"/>
    </xf>
    <xf numFmtId="0" fontId="25" fillId="0" borderId="69" xfId="0" applyFont="1" applyBorder="1" applyAlignment="1">
      <alignment horizontal="right" vertical="center" readingOrder="2"/>
    </xf>
    <xf numFmtId="0" fontId="25" fillId="0" borderId="70" xfId="0" applyFont="1" applyBorder="1" applyAlignment="1">
      <alignment horizontal="right" vertical="center" readingOrder="2"/>
    </xf>
    <xf numFmtId="0" fontId="25" fillId="0" borderId="71" xfId="0" applyFont="1" applyBorder="1" applyAlignment="1">
      <alignment horizontal="right" vertical="center" readingOrder="2"/>
    </xf>
    <xf numFmtId="0" fontId="25" fillId="0" borderId="72" xfId="0" applyFont="1" applyBorder="1" applyAlignment="1">
      <alignment horizontal="right" vertical="center" readingOrder="2"/>
    </xf>
    <xf numFmtId="0" fontId="25" fillId="0" borderId="73" xfId="0" applyFont="1" applyBorder="1" applyAlignment="1">
      <alignment horizontal="right" vertical="center" readingOrder="2"/>
    </xf>
    <xf numFmtId="0" fontId="26" fillId="12" borderId="74" xfId="0" applyFont="1" applyFill="1" applyBorder="1" applyAlignment="1">
      <alignment horizontal="right" vertical="center" readingOrder="2"/>
    </xf>
    <xf numFmtId="0" fontId="26" fillId="12" borderId="75" xfId="0" applyFont="1" applyFill="1" applyBorder="1" applyAlignment="1">
      <alignment horizontal="right" vertical="center" readingOrder="2"/>
    </xf>
    <xf numFmtId="0" fontId="26" fillId="12" borderId="76" xfId="0" applyFont="1" applyFill="1" applyBorder="1" applyAlignment="1">
      <alignment horizontal="right" vertical="center" readingOrder="2"/>
    </xf>
    <xf numFmtId="0" fontId="26" fillId="12" borderId="77" xfId="0" applyFont="1" applyFill="1" applyBorder="1" applyAlignment="1">
      <alignment horizontal="right" vertical="center" readingOrder="2"/>
    </xf>
    <xf numFmtId="0" fontId="26" fillId="12" borderId="78" xfId="0" applyFont="1" applyFill="1" applyBorder="1" applyAlignment="1">
      <alignment horizontal="right" vertical="center" readingOrder="2"/>
    </xf>
    <xf numFmtId="0" fontId="26" fillId="12" borderId="79" xfId="0" applyFont="1" applyFill="1" applyBorder="1" applyAlignment="1">
      <alignment horizontal="right" vertical="center" readingOrder="2"/>
    </xf>
    <xf numFmtId="0" fontId="27" fillId="13" borderId="0" xfId="0" applyFont="1" applyFill="1" applyAlignment="1">
      <alignment horizontal="right" vertical="center" readingOrder="2"/>
    </xf>
    <xf numFmtId="0" fontId="28" fillId="13" borderId="0" xfId="0" applyFont="1" applyFill="1" applyAlignment="1">
      <alignment horizontal="right" vertical="center" readingOrder="2"/>
    </xf>
    <xf numFmtId="0" fontId="29" fillId="13" borderId="0" xfId="0" applyFont="1" applyFill="1" applyAlignment="1">
      <alignment horizontal="center" vertical="center" readingOrder="2"/>
    </xf>
    <xf numFmtId="0" fontId="30" fillId="13" borderId="0" xfId="0" applyFont="1" applyFill="1" applyAlignment="1">
      <alignment horizontal="right" vertical="center" readingOrder="2"/>
    </xf>
    <xf numFmtId="0" fontId="31" fillId="0" borderId="49" xfId="0" applyFont="1" applyBorder="1" applyAlignment="1">
      <alignment horizontal="right" vertical="center" wrapText="1" readingOrder="2"/>
    </xf>
    <xf numFmtId="0" fontId="31" fillId="0" borderId="50" xfId="0" applyFont="1" applyBorder="1" applyAlignment="1">
      <alignment horizontal="right" vertical="center" wrapText="1" readingOrder="2"/>
    </xf>
    <xf numFmtId="0" fontId="31" fillId="0" borderId="52" xfId="0" applyFont="1" applyBorder="1" applyAlignment="1">
      <alignment horizontal="right" vertical="center" wrapText="1" readingOrder="2"/>
    </xf>
    <xf numFmtId="0" fontId="31" fillId="0" borderId="53" xfId="0" applyFont="1" applyBorder="1" applyAlignment="1">
      <alignment horizontal="right" vertical="center" wrapText="1" readingOrder="2"/>
    </xf>
    <xf numFmtId="0" fontId="31" fillId="0" borderId="55" xfId="0" applyFont="1" applyBorder="1" applyAlignment="1">
      <alignment horizontal="right" vertical="center" wrapText="1" readingOrder="2"/>
    </xf>
    <xf numFmtId="0" fontId="31" fillId="0" borderId="56" xfId="0" applyFont="1" applyBorder="1" applyAlignment="1">
      <alignment horizontal="right" vertical="center" wrapText="1" readingOrder="2"/>
    </xf>
    <xf numFmtId="0" fontId="31" fillId="0" borderId="51" xfId="0" applyFont="1" applyBorder="1" applyAlignment="1">
      <alignment horizontal="right" vertical="center" wrapText="1" readingOrder="2"/>
    </xf>
    <xf numFmtId="0" fontId="31" fillId="0" borderId="54" xfId="0" applyFont="1" applyBorder="1" applyAlignment="1">
      <alignment horizontal="right" vertical="center" wrapText="1" readingOrder="2"/>
    </xf>
    <xf numFmtId="0" fontId="31" fillId="0" borderId="57" xfId="0" applyFont="1" applyBorder="1" applyAlignment="1">
      <alignment horizontal="right" vertical="center" wrapText="1" readingOrder="2"/>
    </xf>
    <xf numFmtId="0" fontId="27" fillId="13" borderId="0" xfId="0" applyFont="1" applyFill="1" applyBorder="1" applyAlignment="1">
      <alignment horizontal="right" vertical="center" readingOrder="2"/>
    </xf>
    <xf numFmtId="0" fontId="28" fillId="13" borderId="0" xfId="0" applyFont="1" applyFill="1" applyBorder="1" applyAlignment="1">
      <alignment horizontal="right" vertical="center" readingOrder="2"/>
    </xf>
    <xf numFmtId="0" fontId="29" fillId="13" borderId="0" xfId="0" applyFont="1" applyFill="1" applyBorder="1" applyAlignment="1">
      <alignment horizontal="center" vertical="center" readingOrder="2"/>
    </xf>
    <xf numFmtId="0" fontId="30" fillId="13" borderId="0" xfId="0" applyFont="1" applyFill="1" applyBorder="1" applyAlignment="1">
      <alignment horizontal="right" vertical="center" readingOrder="2"/>
    </xf>
    <xf numFmtId="0" fontId="25" fillId="0" borderId="80" xfId="0" applyFont="1" applyBorder="1" applyAlignment="1">
      <alignment horizontal="right"/>
    </xf>
    <xf numFmtId="0" fontId="26" fillId="12" borderId="80" xfId="0" applyFont="1" applyFill="1" applyBorder="1" applyAlignment="1">
      <alignment horizontal="right"/>
    </xf>
    <xf numFmtId="0" fontId="27" fillId="13" borderId="80" xfId="0" applyFont="1" applyFill="1" applyBorder="1"/>
    <xf numFmtId="0" fontId="32" fillId="13" borderId="80" xfId="0" applyFont="1" applyFill="1" applyBorder="1"/>
    <xf numFmtId="0" fontId="29" fillId="13" borderId="80" xfId="0" applyFont="1" applyFill="1" applyBorder="1" applyAlignment="1">
      <alignment horizontal="center"/>
    </xf>
    <xf numFmtId="0" fontId="30" fillId="13" borderId="80" xfId="0" applyFont="1" applyFill="1" applyBorder="1" applyAlignment="1">
      <alignment horizontal="right"/>
    </xf>
    <xf numFmtId="0" fontId="8" fillId="2" borderId="41" xfId="0" applyFont="1" applyFill="1" applyBorder="1" applyAlignment="1">
      <alignment horizontal="center" vertical="center" readingOrder="2"/>
    </xf>
    <xf numFmtId="0" fontId="15" fillId="6" borderId="2" xfId="0" applyFont="1" applyFill="1" applyBorder="1" applyAlignment="1">
      <alignment horizontal="center" vertical="center" wrapText="1" readingOrder="2"/>
    </xf>
    <xf numFmtId="0" fontId="16" fillId="6" borderId="43" xfId="0" applyFont="1" applyFill="1" applyBorder="1" applyAlignment="1">
      <alignment horizontal="center" vertical="center" wrapText="1" readingOrder="2"/>
    </xf>
    <xf numFmtId="0" fontId="15" fillId="6" borderId="43" xfId="0" applyFont="1" applyFill="1" applyBorder="1" applyAlignment="1">
      <alignment horizontal="center" vertical="center" wrapText="1" readingOrder="2"/>
    </xf>
    <xf numFmtId="0" fontId="15" fillId="6" borderId="9" xfId="0" applyFont="1" applyFill="1" applyBorder="1" applyAlignment="1">
      <alignment horizontal="center" vertical="center" readingOrder="2"/>
    </xf>
    <xf numFmtId="0" fontId="15" fillId="6" borderId="42" xfId="0" applyFont="1" applyFill="1" applyBorder="1" applyAlignment="1">
      <alignment horizontal="center" vertical="center" readingOrder="2"/>
    </xf>
    <xf numFmtId="0" fontId="16" fillId="6" borderId="33" xfId="0" applyFont="1" applyFill="1" applyBorder="1" applyAlignment="1">
      <alignment horizontal="center" vertical="center" wrapText="1" readingOrder="2"/>
    </xf>
    <xf numFmtId="0" fontId="15" fillId="6" borderId="41" xfId="0" applyFont="1" applyFill="1" applyBorder="1" applyAlignment="1">
      <alignment horizontal="center" vertical="center" readingOrder="2"/>
    </xf>
    <xf numFmtId="0" fontId="20" fillId="6" borderId="2" xfId="0" applyFont="1" applyFill="1" applyBorder="1" applyAlignment="1">
      <alignment horizontal="center" vertical="center" wrapText="1" readingOrder="2"/>
    </xf>
    <xf numFmtId="0" fontId="20" fillId="6" borderId="43" xfId="0" applyFont="1" applyFill="1" applyBorder="1" applyAlignment="1">
      <alignment horizontal="center" vertical="center" wrapText="1" readingOrder="2"/>
    </xf>
    <xf numFmtId="0" fontId="20" fillId="6" borderId="6" xfId="0" applyFont="1" applyFill="1" applyBorder="1" applyAlignment="1">
      <alignment horizontal="center" vertical="center" wrapText="1" readingOrder="2"/>
    </xf>
    <xf numFmtId="0" fontId="20" fillId="0" borderId="2" xfId="0" applyFont="1" applyBorder="1" applyAlignment="1">
      <alignment horizontal="center" vertical="center" wrapText="1" readingOrder="2"/>
    </xf>
    <xf numFmtId="0" fontId="20" fillId="0" borderId="43" xfId="0" applyFont="1" applyBorder="1" applyAlignment="1">
      <alignment horizontal="center" vertical="center" wrapText="1" readingOrder="2"/>
    </xf>
    <xf numFmtId="0" fontId="20" fillId="0" borderId="6" xfId="0" applyFont="1" applyBorder="1" applyAlignment="1">
      <alignment horizontal="center" vertical="center" wrapText="1" readingOrder="2"/>
    </xf>
    <xf numFmtId="0" fontId="13" fillId="6" borderId="9" xfId="0" applyFont="1" applyFill="1" applyBorder="1" applyAlignment="1">
      <alignment horizontal="center" vertical="center" readingOrder="2"/>
    </xf>
    <xf numFmtId="0" fontId="13" fillId="6" borderId="41" xfId="0" applyFont="1" applyFill="1" applyBorder="1" applyAlignment="1">
      <alignment horizontal="center" vertical="center" readingOrder="2"/>
    </xf>
    <xf numFmtId="0" fontId="13" fillId="6" borderId="42" xfId="0" applyFont="1" applyFill="1" applyBorder="1" applyAlignment="1">
      <alignment horizontal="center" vertical="center" readingOrder="2"/>
    </xf>
    <xf numFmtId="0" fontId="13" fillId="6" borderId="45" xfId="0" applyFont="1" applyFill="1" applyBorder="1" applyAlignment="1">
      <alignment horizontal="center" vertical="center" readingOrder="2"/>
    </xf>
    <xf numFmtId="0" fontId="13" fillId="6" borderId="36" xfId="0" applyFont="1" applyFill="1" applyBorder="1" applyAlignment="1">
      <alignment horizontal="center" vertical="center" readingOrder="2"/>
    </xf>
    <xf numFmtId="0" fontId="13" fillId="6" borderId="43" xfId="0" applyFont="1" applyFill="1" applyBorder="1" applyAlignment="1">
      <alignment horizontal="center" vertical="center" wrapText="1" readingOrder="2"/>
    </xf>
    <xf numFmtId="0" fontId="14" fillId="6" borderId="30" xfId="0" applyFont="1" applyFill="1" applyBorder="1" applyAlignment="1">
      <alignment horizontal="center" vertical="center" wrapText="1" readingOrder="2"/>
    </xf>
    <xf numFmtId="0" fontId="13" fillId="6" borderId="33" xfId="0" applyFont="1" applyFill="1" applyBorder="1" applyAlignment="1">
      <alignment horizontal="center" vertical="center" readingOrder="2"/>
    </xf>
    <xf numFmtId="0" fontId="13" fillId="6" borderId="0" xfId="0" applyFont="1" applyFill="1" applyAlignment="1">
      <alignment horizontal="center" vertical="center" readingOrder="2"/>
    </xf>
    <xf numFmtId="0" fontId="13" fillId="6" borderId="34" xfId="0" applyFont="1" applyFill="1" applyBorder="1" applyAlignment="1">
      <alignment horizontal="center" vertical="center" readingOrder="2"/>
    </xf>
    <xf numFmtId="0" fontId="14" fillId="6" borderId="6" xfId="0" applyFont="1" applyFill="1" applyBorder="1" applyAlignment="1">
      <alignment horizontal="center" vertical="center" wrapText="1" readingOrder="2"/>
    </xf>
    <xf numFmtId="0" fontId="13" fillId="6" borderId="2" xfId="0" applyFont="1" applyFill="1" applyBorder="1" applyAlignment="1">
      <alignment horizontal="center" vertical="center" wrapText="1" readingOrder="2"/>
    </xf>
    <xf numFmtId="0" fontId="14" fillId="6" borderId="33" xfId="0" applyFont="1" applyFill="1" applyBorder="1" applyAlignment="1">
      <alignment horizontal="center" vertical="center" wrapText="1" readingOrder="2"/>
    </xf>
    <xf numFmtId="0" fontId="5" fillId="6" borderId="1" xfId="0" applyFont="1" applyFill="1" applyBorder="1" applyAlignment="1">
      <alignment horizontal="center" vertical="center" readingOrder="2"/>
    </xf>
    <xf numFmtId="0" fontId="5" fillId="6" borderId="31" xfId="0" applyFont="1" applyFill="1" applyBorder="1" applyAlignment="1">
      <alignment horizontal="center" vertical="center" readingOrder="2"/>
    </xf>
    <xf numFmtId="0" fontId="5" fillId="6" borderId="32" xfId="0" applyFont="1" applyFill="1" applyBorder="1" applyAlignment="1">
      <alignment horizontal="center" vertical="center" readingOrder="2"/>
    </xf>
    <xf numFmtId="0" fontId="5" fillId="6" borderId="30" xfId="0" applyFont="1" applyFill="1" applyBorder="1" applyAlignment="1">
      <alignment horizontal="center" vertical="center" readingOrder="2"/>
    </xf>
    <xf numFmtId="0" fontId="5" fillId="6" borderId="35" xfId="0" applyFont="1" applyFill="1" applyBorder="1" applyAlignment="1">
      <alignment horizontal="center" vertical="center" readingOrder="2"/>
    </xf>
    <xf numFmtId="0" fontId="5" fillId="6" borderId="36" xfId="0" applyFont="1" applyFill="1" applyBorder="1" applyAlignment="1">
      <alignment horizontal="center" vertical="center" readingOrder="2"/>
    </xf>
    <xf numFmtId="0" fontId="5" fillId="5" borderId="2" xfId="0" applyFont="1" applyFill="1" applyBorder="1" applyAlignment="1">
      <alignment horizontal="center" vertical="center" wrapText="1" readingOrder="2"/>
    </xf>
    <xf numFmtId="0" fontId="11" fillId="5" borderId="6" xfId="0" applyFont="1" applyFill="1" applyBorder="1" applyAlignment="1">
      <alignment horizontal="center" vertical="center" wrapText="1" readingOrder="2"/>
    </xf>
    <xf numFmtId="0" fontId="5" fillId="7" borderId="9" xfId="0" applyFont="1" applyFill="1" applyBorder="1" applyAlignment="1">
      <alignment horizontal="center" vertical="center" readingOrder="2"/>
    </xf>
    <xf numFmtId="0" fontId="5" fillId="7" borderId="42" xfId="0" applyFont="1" applyFill="1" applyBorder="1" applyAlignment="1">
      <alignment horizontal="center" vertical="center" readingOrder="2"/>
    </xf>
    <xf numFmtId="0" fontId="8" fillId="0" borderId="41" xfId="0" applyFont="1" applyBorder="1" applyAlignment="1">
      <alignment horizontal="center" vertical="center" readingOrder="2"/>
    </xf>
    <xf numFmtId="0" fontId="14" fillId="6" borderId="43" xfId="0" applyFont="1" applyFill="1" applyBorder="1" applyAlignment="1">
      <alignment horizontal="center" vertical="center" wrapText="1" readingOrder="2"/>
    </xf>
    <xf numFmtId="0" fontId="5" fillId="6" borderId="2" xfId="0" applyFont="1" applyFill="1" applyBorder="1" applyAlignment="1">
      <alignment horizontal="center" vertical="center" readingOrder="2"/>
    </xf>
    <xf numFmtId="0" fontId="5" fillId="6" borderId="6" xfId="0" applyFont="1" applyFill="1" applyBorder="1" applyAlignment="1">
      <alignment horizontal="center" vertical="center" readingOrder="2"/>
    </xf>
    <xf numFmtId="0" fontId="13" fillId="6" borderId="44" xfId="0" applyFont="1" applyFill="1" applyBorder="1" applyAlignment="1">
      <alignment horizontal="center" vertical="center" readingOrder="2"/>
    </xf>
    <xf numFmtId="0" fontId="5" fillId="6" borderId="43" xfId="0" applyFont="1" applyFill="1" applyBorder="1" applyAlignment="1">
      <alignment horizontal="center" vertical="center" readingOrder="2"/>
    </xf>
    <xf numFmtId="0" fontId="5" fillId="6" borderId="9" xfId="0" applyFont="1" applyFill="1" applyBorder="1" applyAlignment="1">
      <alignment horizontal="center" vertical="center" readingOrder="2"/>
    </xf>
    <xf numFmtId="0" fontId="5" fillId="6" borderId="42" xfId="0" applyFont="1" applyFill="1" applyBorder="1" applyAlignment="1">
      <alignment horizontal="center" vertical="center" readingOrder="2"/>
    </xf>
    <xf numFmtId="0" fontId="3" fillId="0" borderId="1" xfId="0" applyFont="1" applyBorder="1" applyAlignment="1">
      <alignment horizontal="center" readingOrder="2"/>
    </xf>
    <xf numFmtId="0" fontId="3" fillId="0" borderId="31" xfId="0" applyFont="1" applyBorder="1" applyAlignment="1">
      <alignment horizontal="center" readingOrder="2"/>
    </xf>
    <xf numFmtId="0" fontId="3" fillId="0" borderId="32" xfId="0" applyFont="1" applyBorder="1" applyAlignment="1">
      <alignment horizontal="center" readingOrder="2"/>
    </xf>
    <xf numFmtId="0" fontId="5" fillId="2" borderId="2" xfId="0" applyFont="1" applyFill="1" applyBorder="1" applyAlignment="1">
      <alignment horizontal="center" vertical="center" wrapText="1" readingOrder="2"/>
    </xf>
    <xf numFmtId="0" fontId="5" fillId="2" borderId="43" xfId="0" applyFont="1" applyFill="1" applyBorder="1" applyAlignment="1">
      <alignment horizontal="center" vertical="center" wrapText="1" readingOrder="2"/>
    </xf>
    <xf numFmtId="0" fontId="5" fillId="2" borderId="6" xfId="0" applyFont="1" applyFill="1" applyBorder="1" applyAlignment="1">
      <alignment horizontal="center" vertical="center" wrapText="1" readingOrder="2"/>
    </xf>
    <xf numFmtId="0" fontId="3" fillId="0" borderId="9" xfId="0" applyFont="1" applyBorder="1" applyAlignment="1">
      <alignment horizontal="center" vertical="center" readingOrder="2"/>
    </xf>
    <xf numFmtId="0" fontId="3" fillId="0" borderId="41" xfId="0" applyFont="1" applyBorder="1" applyAlignment="1">
      <alignment horizontal="center" vertical="center" readingOrder="2"/>
    </xf>
    <xf numFmtId="0" fontId="3" fillId="2" borderId="2" xfId="0" applyFont="1" applyFill="1" applyBorder="1" applyAlignment="1">
      <alignment horizontal="center" vertical="center" wrapText="1" readingOrder="2"/>
    </xf>
    <xf numFmtId="0" fontId="0" fillId="0" borderId="6" xfId="0" applyBorder="1" applyAlignment="1">
      <alignment horizontal="center" vertical="center" wrapText="1" readingOrder="2"/>
    </xf>
    <xf numFmtId="0" fontId="0" fillId="0" borderId="33" xfId="0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2"/>
    </xf>
    <xf numFmtId="0" fontId="0" fillId="0" borderId="43" xfId="0" applyBorder="1" applyAlignment="1">
      <alignment horizontal="center" vertical="center" wrapText="1" readingOrder="2"/>
    </xf>
    <xf numFmtId="0" fontId="3" fillId="0" borderId="44" xfId="0" applyFont="1" applyBorder="1" applyAlignment="1">
      <alignment horizontal="center" readingOrder="2"/>
    </xf>
    <xf numFmtId="0" fontId="3" fillId="0" borderId="42" xfId="0" applyFont="1" applyBorder="1" applyAlignment="1">
      <alignment horizontal="center" readingOrder="2"/>
    </xf>
    <xf numFmtId="0" fontId="2" fillId="3" borderId="41" xfId="0" applyFont="1" applyFill="1" applyBorder="1" applyAlignment="1">
      <alignment horizontal="center" readingOrder="2"/>
    </xf>
    <xf numFmtId="0" fontId="2" fillId="4" borderId="41" xfId="0" applyFont="1" applyFill="1" applyBorder="1" applyAlignment="1">
      <alignment horizontal="center" readingOrder="2"/>
    </xf>
    <xf numFmtId="0" fontId="3" fillId="0" borderId="1" xfId="0" applyFont="1" applyBorder="1" applyAlignment="1">
      <alignment horizontal="center" vertical="center" readingOrder="2"/>
    </xf>
    <xf numFmtId="0" fontId="3" fillId="0" borderId="31" xfId="0" applyFont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114</xdr:col>
      <xdr:colOff>19050</xdr:colOff>
      <xdr:row>11</xdr:row>
      <xdr:rowOff>0</xdr:rowOff>
    </xdr:from>
    <xdr:to>
      <xdr:col>115</xdr:col>
      <xdr:colOff>0</xdr:colOff>
      <xdr:row>11</xdr:row>
      <xdr:rowOff>0</xdr:rowOff>
    </xdr:to>
    <xdr:sp macro="" textlink="">
      <xdr:nvSpPr>
        <xdr:cNvPr id="1193" name="Line 39">
          <a:extLst>
            <a:ext uri="{FF2B5EF4-FFF2-40B4-BE49-F238E27FC236}">
              <a16:creationId xmlns:a16="http://schemas.microsoft.com/office/drawing/2014/main" xmlns="" id="{00000000-0008-0000-0200-0000A9040000}"/>
            </a:ext>
          </a:extLst>
        </xdr:cNvPr>
        <xdr:cNvSpPr>
          <a:spLocks noChangeShapeType="1"/>
        </xdr:cNvSpPr>
      </xdr:nvSpPr>
      <xdr:spPr bwMode="auto">
        <a:xfrm flipH="1">
          <a:off x="71151750" y="10972800"/>
          <a:ext cx="5619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114</xdr:col>
      <xdr:colOff>19050</xdr:colOff>
      <xdr:row>11</xdr:row>
      <xdr:rowOff>0</xdr:rowOff>
    </xdr:from>
    <xdr:to>
      <xdr:col>115</xdr:col>
      <xdr:colOff>0</xdr:colOff>
      <xdr:row>11</xdr:row>
      <xdr:rowOff>0</xdr:rowOff>
    </xdr:to>
    <xdr:sp macro="" textlink="">
      <xdr:nvSpPr>
        <xdr:cNvPr id="1194" name="Line 40">
          <a:extLst>
            <a:ext uri="{FF2B5EF4-FFF2-40B4-BE49-F238E27FC236}">
              <a16:creationId xmlns:a16="http://schemas.microsoft.com/office/drawing/2014/main" xmlns="" id="{00000000-0008-0000-0200-0000AA040000}"/>
            </a:ext>
          </a:extLst>
        </xdr:cNvPr>
        <xdr:cNvSpPr>
          <a:spLocks noChangeShapeType="1"/>
        </xdr:cNvSpPr>
      </xdr:nvSpPr>
      <xdr:spPr bwMode="auto">
        <a:xfrm flipH="1">
          <a:off x="71151750" y="10972800"/>
          <a:ext cx="5619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128</xdr:col>
      <xdr:colOff>19050</xdr:colOff>
      <xdr:row>11</xdr:row>
      <xdr:rowOff>0</xdr:rowOff>
    </xdr:from>
    <xdr:to>
      <xdr:col>129</xdr:col>
      <xdr:colOff>0</xdr:colOff>
      <xdr:row>11</xdr:row>
      <xdr:rowOff>0</xdr:rowOff>
    </xdr:to>
    <xdr:sp macro="" textlink="">
      <xdr:nvSpPr>
        <xdr:cNvPr id="1195" name="Line 41">
          <a:extLst>
            <a:ext uri="{FF2B5EF4-FFF2-40B4-BE49-F238E27FC236}">
              <a16:creationId xmlns:a16="http://schemas.microsoft.com/office/drawing/2014/main" xmlns="" id="{00000000-0008-0000-0200-0000AB040000}"/>
            </a:ext>
          </a:extLst>
        </xdr:cNvPr>
        <xdr:cNvSpPr>
          <a:spLocks noChangeShapeType="1"/>
        </xdr:cNvSpPr>
      </xdr:nvSpPr>
      <xdr:spPr bwMode="auto">
        <a:xfrm flipH="1">
          <a:off x="65208150" y="10972800"/>
          <a:ext cx="523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128</xdr:col>
      <xdr:colOff>19050</xdr:colOff>
      <xdr:row>11</xdr:row>
      <xdr:rowOff>0</xdr:rowOff>
    </xdr:from>
    <xdr:to>
      <xdr:col>129</xdr:col>
      <xdr:colOff>0</xdr:colOff>
      <xdr:row>11</xdr:row>
      <xdr:rowOff>0</xdr:rowOff>
    </xdr:to>
    <xdr:sp macro="" textlink="">
      <xdr:nvSpPr>
        <xdr:cNvPr id="1196" name="Line 42">
          <a:extLst>
            <a:ext uri="{FF2B5EF4-FFF2-40B4-BE49-F238E27FC236}">
              <a16:creationId xmlns:a16="http://schemas.microsoft.com/office/drawing/2014/main" xmlns="" id="{00000000-0008-0000-0200-0000AC040000}"/>
            </a:ext>
          </a:extLst>
        </xdr:cNvPr>
        <xdr:cNvSpPr>
          <a:spLocks noChangeShapeType="1"/>
        </xdr:cNvSpPr>
      </xdr:nvSpPr>
      <xdr:spPr bwMode="auto">
        <a:xfrm flipH="1">
          <a:off x="65208150" y="10972800"/>
          <a:ext cx="523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114</xdr:col>
      <xdr:colOff>200025</xdr:colOff>
      <xdr:row>11</xdr:row>
      <xdr:rowOff>0</xdr:rowOff>
    </xdr:from>
    <xdr:to>
      <xdr:col>115</xdr:col>
      <xdr:colOff>180975</xdr:colOff>
      <xdr:row>11</xdr:row>
      <xdr:rowOff>0</xdr:rowOff>
    </xdr:to>
    <xdr:sp macro="" textlink="">
      <xdr:nvSpPr>
        <xdr:cNvPr id="1197" name="Line 44">
          <a:extLst>
            <a:ext uri="{FF2B5EF4-FFF2-40B4-BE49-F238E27FC236}">
              <a16:creationId xmlns:a16="http://schemas.microsoft.com/office/drawing/2014/main" xmlns="" id="{00000000-0008-0000-0200-0000AD040000}"/>
            </a:ext>
          </a:extLst>
        </xdr:cNvPr>
        <xdr:cNvSpPr>
          <a:spLocks noChangeShapeType="1"/>
        </xdr:cNvSpPr>
      </xdr:nvSpPr>
      <xdr:spPr bwMode="auto">
        <a:xfrm flipH="1">
          <a:off x="70970775" y="10972800"/>
          <a:ext cx="5619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128</xdr:col>
      <xdr:colOff>200025</xdr:colOff>
      <xdr:row>11</xdr:row>
      <xdr:rowOff>0</xdr:rowOff>
    </xdr:from>
    <xdr:to>
      <xdr:col>129</xdr:col>
      <xdr:colOff>180975</xdr:colOff>
      <xdr:row>11</xdr:row>
      <xdr:rowOff>0</xdr:rowOff>
    </xdr:to>
    <xdr:sp macro="" textlink="">
      <xdr:nvSpPr>
        <xdr:cNvPr id="1198" name="Line 45">
          <a:extLst>
            <a:ext uri="{FF2B5EF4-FFF2-40B4-BE49-F238E27FC236}">
              <a16:creationId xmlns:a16="http://schemas.microsoft.com/office/drawing/2014/main" xmlns="" id="{00000000-0008-0000-0200-0000AE040000}"/>
            </a:ext>
          </a:extLst>
        </xdr:cNvPr>
        <xdr:cNvSpPr>
          <a:spLocks noChangeShapeType="1"/>
        </xdr:cNvSpPr>
      </xdr:nvSpPr>
      <xdr:spPr bwMode="auto">
        <a:xfrm flipH="1">
          <a:off x="65027175" y="10972800"/>
          <a:ext cx="523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142</xdr:col>
      <xdr:colOff>200025</xdr:colOff>
      <xdr:row>11</xdr:row>
      <xdr:rowOff>0</xdr:rowOff>
    </xdr:from>
    <xdr:to>
      <xdr:col>143</xdr:col>
      <xdr:colOff>180975</xdr:colOff>
      <xdr:row>11</xdr:row>
      <xdr:rowOff>0</xdr:rowOff>
    </xdr:to>
    <xdr:sp macro="" textlink="">
      <xdr:nvSpPr>
        <xdr:cNvPr id="1199" name="Line 46">
          <a:extLst>
            <a:ext uri="{FF2B5EF4-FFF2-40B4-BE49-F238E27FC236}">
              <a16:creationId xmlns:a16="http://schemas.microsoft.com/office/drawing/2014/main" xmlns="" id="{00000000-0008-0000-0200-0000AF040000}"/>
            </a:ext>
          </a:extLst>
        </xdr:cNvPr>
        <xdr:cNvSpPr>
          <a:spLocks noChangeShapeType="1"/>
        </xdr:cNvSpPr>
      </xdr:nvSpPr>
      <xdr:spPr bwMode="auto">
        <a:xfrm flipH="1">
          <a:off x="59045475" y="10972800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156</xdr:col>
      <xdr:colOff>200025</xdr:colOff>
      <xdr:row>11</xdr:row>
      <xdr:rowOff>0</xdr:rowOff>
    </xdr:from>
    <xdr:to>
      <xdr:col>157</xdr:col>
      <xdr:colOff>180975</xdr:colOff>
      <xdr:row>11</xdr:row>
      <xdr:rowOff>0</xdr:rowOff>
    </xdr:to>
    <xdr:sp macro="" textlink="">
      <xdr:nvSpPr>
        <xdr:cNvPr id="1200" name="Line 47">
          <a:extLst>
            <a:ext uri="{FF2B5EF4-FFF2-40B4-BE49-F238E27FC236}">
              <a16:creationId xmlns:a16="http://schemas.microsoft.com/office/drawing/2014/main" xmlns="" id="{00000000-0008-0000-0200-0000B0040000}"/>
            </a:ext>
          </a:extLst>
        </xdr:cNvPr>
        <xdr:cNvSpPr>
          <a:spLocks noChangeShapeType="1"/>
        </xdr:cNvSpPr>
      </xdr:nvSpPr>
      <xdr:spPr bwMode="auto">
        <a:xfrm flipH="1">
          <a:off x="52997100" y="10972800"/>
          <a:ext cx="523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117</xdr:col>
      <xdr:colOff>200025</xdr:colOff>
      <xdr:row>11</xdr:row>
      <xdr:rowOff>0</xdr:rowOff>
    </xdr:from>
    <xdr:to>
      <xdr:col>118</xdr:col>
      <xdr:colOff>180975</xdr:colOff>
      <xdr:row>11</xdr:row>
      <xdr:rowOff>0</xdr:rowOff>
    </xdr:to>
    <xdr:sp macro="" textlink="">
      <xdr:nvSpPr>
        <xdr:cNvPr id="1201" name="Line 56">
          <a:extLst>
            <a:ext uri="{FF2B5EF4-FFF2-40B4-BE49-F238E27FC236}">
              <a16:creationId xmlns:a16="http://schemas.microsoft.com/office/drawing/2014/main" xmlns="" id="{00000000-0008-0000-0200-0000B1040000}"/>
            </a:ext>
          </a:extLst>
        </xdr:cNvPr>
        <xdr:cNvSpPr>
          <a:spLocks noChangeShapeType="1"/>
        </xdr:cNvSpPr>
      </xdr:nvSpPr>
      <xdr:spPr bwMode="auto">
        <a:xfrm flipH="1">
          <a:off x="70027800" y="10972800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106</xdr:col>
      <xdr:colOff>200025</xdr:colOff>
      <xdr:row>11</xdr:row>
      <xdr:rowOff>0</xdr:rowOff>
    </xdr:from>
    <xdr:to>
      <xdr:col>107</xdr:col>
      <xdr:colOff>180975</xdr:colOff>
      <xdr:row>11</xdr:row>
      <xdr:rowOff>0</xdr:rowOff>
    </xdr:to>
    <xdr:sp macro="" textlink="">
      <xdr:nvSpPr>
        <xdr:cNvPr id="1202" name="Line 57">
          <a:extLst>
            <a:ext uri="{FF2B5EF4-FFF2-40B4-BE49-F238E27FC236}">
              <a16:creationId xmlns:a16="http://schemas.microsoft.com/office/drawing/2014/main" xmlns="" id="{00000000-0008-0000-0200-0000B2040000}"/>
            </a:ext>
          </a:extLst>
        </xdr:cNvPr>
        <xdr:cNvSpPr>
          <a:spLocks noChangeShapeType="1"/>
        </xdr:cNvSpPr>
      </xdr:nvSpPr>
      <xdr:spPr bwMode="auto">
        <a:xfrm flipH="1">
          <a:off x="75114150" y="10972800"/>
          <a:ext cx="428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132</xdr:col>
      <xdr:colOff>200025</xdr:colOff>
      <xdr:row>11</xdr:row>
      <xdr:rowOff>0</xdr:rowOff>
    </xdr:from>
    <xdr:to>
      <xdr:col>133</xdr:col>
      <xdr:colOff>180975</xdr:colOff>
      <xdr:row>11</xdr:row>
      <xdr:rowOff>0</xdr:rowOff>
    </xdr:to>
    <xdr:sp macro="" textlink="">
      <xdr:nvSpPr>
        <xdr:cNvPr id="1203" name="Line 58">
          <a:extLst>
            <a:ext uri="{FF2B5EF4-FFF2-40B4-BE49-F238E27FC236}">
              <a16:creationId xmlns:a16="http://schemas.microsoft.com/office/drawing/2014/main" xmlns="" id="{00000000-0008-0000-0200-0000B3040000}"/>
            </a:ext>
          </a:extLst>
        </xdr:cNvPr>
        <xdr:cNvSpPr>
          <a:spLocks noChangeShapeType="1"/>
        </xdr:cNvSpPr>
      </xdr:nvSpPr>
      <xdr:spPr bwMode="auto">
        <a:xfrm flipH="1">
          <a:off x="63503175" y="10972800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121</xdr:col>
      <xdr:colOff>200025</xdr:colOff>
      <xdr:row>11</xdr:row>
      <xdr:rowOff>0</xdr:rowOff>
    </xdr:from>
    <xdr:to>
      <xdr:col>122</xdr:col>
      <xdr:colOff>180975</xdr:colOff>
      <xdr:row>11</xdr:row>
      <xdr:rowOff>0</xdr:rowOff>
    </xdr:to>
    <xdr:sp macro="" textlink="">
      <xdr:nvSpPr>
        <xdr:cNvPr id="1204" name="Line 59">
          <a:extLst>
            <a:ext uri="{FF2B5EF4-FFF2-40B4-BE49-F238E27FC236}">
              <a16:creationId xmlns:a16="http://schemas.microsoft.com/office/drawing/2014/main" xmlns="" id="{00000000-0008-0000-0200-0000B4040000}"/>
            </a:ext>
          </a:extLst>
        </xdr:cNvPr>
        <xdr:cNvSpPr>
          <a:spLocks noChangeShapeType="1"/>
        </xdr:cNvSpPr>
      </xdr:nvSpPr>
      <xdr:spPr bwMode="auto">
        <a:xfrm flipH="1">
          <a:off x="68589525" y="10972800"/>
          <a:ext cx="428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117</xdr:col>
      <xdr:colOff>200025</xdr:colOff>
      <xdr:row>11</xdr:row>
      <xdr:rowOff>0</xdr:rowOff>
    </xdr:from>
    <xdr:to>
      <xdr:col>118</xdr:col>
      <xdr:colOff>180975</xdr:colOff>
      <xdr:row>11</xdr:row>
      <xdr:rowOff>0</xdr:rowOff>
    </xdr:to>
    <xdr:sp macro="" textlink="">
      <xdr:nvSpPr>
        <xdr:cNvPr id="1205" name="Line 64">
          <a:extLst>
            <a:ext uri="{FF2B5EF4-FFF2-40B4-BE49-F238E27FC236}">
              <a16:creationId xmlns:a16="http://schemas.microsoft.com/office/drawing/2014/main" xmlns="" id="{00000000-0008-0000-0200-0000B5040000}"/>
            </a:ext>
          </a:extLst>
        </xdr:cNvPr>
        <xdr:cNvSpPr>
          <a:spLocks noChangeShapeType="1"/>
        </xdr:cNvSpPr>
      </xdr:nvSpPr>
      <xdr:spPr bwMode="auto">
        <a:xfrm flipH="1">
          <a:off x="70027800" y="10972800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106</xdr:col>
      <xdr:colOff>200025</xdr:colOff>
      <xdr:row>11</xdr:row>
      <xdr:rowOff>0</xdr:rowOff>
    </xdr:from>
    <xdr:to>
      <xdr:col>107</xdr:col>
      <xdr:colOff>180975</xdr:colOff>
      <xdr:row>11</xdr:row>
      <xdr:rowOff>0</xdr:rowOff>
    </xdr:to>
    <xdr:sp macro="" textlink="">
      <xdr:nvSpPr>
        <xdr:cNvPr id="1206" name="Line 65">
          <a:extLst>
            <a:ext uri="{FF2B5EF4-FFF2-40B4-BE49-F238E27FC236}">
              <a16:creationId xmlns:a16="http://schemas.microsoft.com/office/drawing/2014/main" xmlns="" id="{00000000-0008-0000-0200-0000B6040000}"/>
            </a:ext>
          </a:extLst>
        </xdr:cNvPr>
        <xdr:cNvSpPr>
          <a:spLocks noChangeShapeType="1"/>
        </xdr:cNvSpPr>
      </xdr:nvSpPr>
      <xdr:spPr bwMode="auto">
        <a:xfrm flipH="1">
          <a:off x="75114150" y="10972800"/>
          <a:ext cx="428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118</xdr:col>
      <xdr:colOff>200025</xdr:colOff>
      <xdr:row>11</xdr:row>
      <xdr:rowOff>0</xdr:rowOff>
    </xdr:from>
    <xdr:to>
      <xdr:col>119</xdr:col>
      <xdr:colOff>180975</xdr:colOff>
      <xdr:row>11</xdr:row>
      <xdr:rowOff>0</xdr:rowOff>
    </xdr:to>
    <xdr:sp macro="" textlink="">
      <xdr:nvSpPr>
        <xdr:cNvPr id="1207" name="Line 66">
          <a:extLst>
            <a:ext uri="{FF2B5EF4-FFF2-40B4-BE49-F238E27FC236}">
              <a16:creationId xmlns:a16="http://schemas.microsoft.com/office/drawing/2014/main" xmlns="" id="{00000000-0008-0000-0200-0000B7040000}"/>
            </a:ext>
          </a:extLst>
        </xdr:cNvPr>
        <xdr:cNvSpPr>
          <a:spLocks noChangeShapeType="1"/>
        </xdr:cNvSpPr>
      </xdr:nvSpPr>
      <xdr:spPr bwMode="auto">
        <a:xfrm flipH="1">
          <a:off x="69713475" y="10972800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132</xdr:col>
      <xdr:colOff>200025</xdr:colOff>
      <xdr:row>11</xdr:row>
      <xdr:rowOff>0</xdr:rowOff>
    </xdr:from>
    <xdr:to>
      <xdr:col>133</xdr:col>
      <xdr:colOff>180975</xdr:colOff>
      <xdr:row>11</xdr:row>
      <xdr:rowOff>0</xdr:rowOff>
    </xdr:to>
    <xdr:sp macro="" textlink="">
      <xdr:nvSpPr>
        <xdr:cNvPr id="1208" name="Line 67">
          <a:extLst>
            <a:ext uri="{FF2B5EF4-FFF2-40B4-BE49-F238E27FC236}">
              <a16:creationId xmlns:a16="http://schemas.microsoft.com/office/drawing/2014/main" xmlns="" id="{00000000-0008-0000-0200-0000B8040000}"/>
            </a:ext>
          </a:extLst>
        </xdr:cNvPr>
        <xdr:cNvSpPr>
          <a:spLocks noChangeShapeType="1"/>
        </xdr:cNvSpPr>
      </xdr:nvSpPr>
      <xdr:spPr bwMode="auto">
        <a:xfrm flipH="1">
          <a:off x="63503175" y="10972800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121</xdr:col>
      <xdr:colOff>200025</xdr:colOff>
      <xdr:row>11</xdr:row>
      <xdr:rowOff>0</xdr:rowOff>
    </xdr:from>
    <xdr:to>
      <xdr:col>122</xdr:col>
      <xdr:colOff>180975</xdr:colOff>
      <xdr:row>11</xdr:row>
      <xdr:rowOff>0</xdr:rowOff>
    </xdr:to>
    <xdr:sp macro="" textlink="">
      <xdr:nvSpPr>
        <xdr:cNvPr id="1209" name="Line 68">
          <a:extLst>
            <a:ext uri="{FF2B5EF4-FFF2-40B4-BE49-F238E27FC236}">
              <a16:creationId xmlns:a16="http://schemas.microsoft.com/office/drawing/2014/main" xmlns="" id="{00000000-0008-0000-0200-0000B9040000}"/>
            </a:ext>
          </a:extLst>
        </xdr:cNvPr>
        <xdr:cNvSpPr>
          <a:spLocks noChangeShapeType="1"/>
        </xdr:cNvSpPr>
      </xdr:nvSpPr>
      <xdr:spPr bwMode="auto">
        <a:xfrm flipH="1">
          <a:off x="68589525" y="10972800"/>
          <a:ext cx="428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133</xdr:col>
      <xdr:colOff>200025</xdr:colOff>
      <xdr:row>11</xdr:row>
      <xdr:rowOff>0</xdr:rowOff>
    </xdr:from>
    <xdr:to>
      <xdr:col>134</xdr:col>
      <xdr:colOff>180975</xdr:colOff>
      <xdr:row>11</xdr:row>
      <xdr:rowOff>0</xdr:rowOff>
    </xdr:to>
    <xdr:sp macro="" textlink="">
      <xdr:nvSpPr>
        <xdr:cNvPr id="1210" name="Line 69">
          <a:extLst>
            <a:ext uri="{FF2B5EF4-FFF2-40B4-BE49-F238E27FC236}">
              <a16:creationId xmlns:a16="http://schemas.microsoft.com/office/drawing/2014/main" xmlns="" id="{00000000-0008-0000-0200-0000BA040000}"/>
            </a:ext>
          </a:extLst>
        </xdr:cNvPr>
        <xdr:cNvSpPr>
          <a:spLocks noChangeShapeType="1"/>
        </xdr:cNvSpPr>
      </xdr:nvSpPr>
      <xdr:spPr bwMode="auto">
        <a:xfrm flipH="1">
          <a:off x="63188850" y="10972800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147</xdr:col>
      <xdr:colOff>200025</xdr:colOff>
      <xdr:row>11</xdr:row>
      <xdr:rowOff>0</xdr:rowOff>
    </xdr:from>
    <xdr:to>
      <xdr:col>148</xdr:col>
      <xdr:colOff>180975</xdr:colOff>
      <xdr:row>11</xdr:row>
      <xdr:rowOff>0</xdr:rowOff>
    </xdr:to>
    <xdr:sp macro="" textlink="">
      <xdr:nvSpPr>
        <xdr:cNvPr id="1211" name="Line 70">
          <a:extLst>
            <a:ext uri="{FF2B5EF4-FFF2-40B4-BE49-F238E27FC236}">
              <a16:creationId xmlns:a16="http://schemas.microsoft.com/office/drawing/2014/main" xmlns="" id="{00000000-0008-0000-0200-0000BB040000}"/>
            </a:ext>
          </a:extLst>
        </xdr:cNvPr>
        <xdr:cNvSpPr>
          <a:spLocks noChangeShapeType="1"/>
        </xdr:cNvSpPr>
      </xdr:nvSpPr>
      <xdr:spPr bwMode="auto">
        <a:xfrm flipH="1">
          <a:off x="56978550" y="10972800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136</xdr:col>
      <xdr:colOff>200025</xdr:colOff>
      <xdr:row>11</xdr:row>
      <xdr:rowOff>0</xdr:rowOff>
    </xdr:from>
    <xdr:to>
      <xdr:col>137</xdr:col>
      <xdr:colOff>180975</xdr:colOff>
      <xdr:row>11</xdr:row>
      <xdr:rowOff>0</xdr:rowOff>
    </xdr:to>
    <xdr:sp macro="" textlink="">
      <xdr:nvSpPr>
        <xdr:cNvPr id="1212" name="Line 71">
          <a:extLst>
            <a:ext uri="{FF2B5EF4-FFF2-40B4-BE49-F238E27FC236}">
              <a16:creationId xmlns:a16="http://schemas.microsoft.com/office/drawing/2014/main" xmlns="" id="{00000000-0008-0000-0200-0000BC040000}"/>
            </a:ext>
          </a:extLst>
        </xdr:cNvPr>
        <xdr:cNvSpPr>
          <a:spLocks noChangeShapeType="1"/>
        </xdr:cNvSpPr>
      </xdr:nvSpPr>
      <xdr:spPr bwMode="auto">
        <a:xfrm flipH="1">
          <a:off x="62064900" y="10972800"/>
          <a:ext cx="428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157</xdr:col>
      <xdr:colOff>200025</xdr:colOff>
      <xdr:row>11</xdr:row>
      <xdr:rowOff>0</xdr:rowOff>
    </xdr:from>
    <xdr:to>
      <xdr:col>158</xdr:col>
      <xdr:colOff>180975</xdr:colOff>
      <xdr:row>11</xdr:row>
      <xdr:rowOff>0</xdr:rowOff>
    </xdr:to>
    <xdr:sp macro="" textlink="">
      <xdr:nvSpPr>
        <xdr:cNvPr id="1213" name="Line 72">
          <a:extLst>
            <a:ext uri="{FF2B5EF4-FFF2-40B4-BE49-F238E27FC236}">
              <a16:creationId xmlns:a16="http://schemas.microsoft.com/office/drawing/2014/main" xmlns="" id="{00000000-0008-0000-0200-0000BD040000}"/>
            </a:ext>
          </a:extLst>
        </xdr:cNvPr>
        <xdr:cNvSpPr>
          <a:spLocks noChangeShapeType="1"/>
        </xdr:cNvSpPr>
      </xdr:nvSpPr>
      <xdr:spPr bwMode="auto">
        <a:xfrm flipH="1">
          <a:off x="52520850" y="10972800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148</xdr:col>
      <xdr:colOff>200025</xdr:colOff>
      <xdr:row>11</xdr:row>
      <xdr:rowOff>0</xdr:rowOff>
    </xdr:from>
    <xdr:to>
      <xdr:col>149</xdr:col>
      <xdr:colOff>180975</xdr:colOff>
      <xdr:row>11</xdr:row>
      <xdr:rowOff>0</xdr:rowOff>
    </xdr:to>
    <xdr:sp macro="" textlink="">
      <xdr:nvSpPr>
        <xdr:cNvPr id="1214" name="Line 73">
          <a:extLst>
            <a:ext uri="{FF2B5EF4-FFF2-40B4-BE49-F238E27FC236}">
              <a16:creationId xmlns:a16="http://schemas.microsoft.com/office/drawing/2014/main" xmlns="" id="{00000000-0008-0000-0200-0000BE040000}"/>
            </a:ext>
          </a:extLst>
        </xdr:cNvPr>
        <xdr:cNvSpPr>
          <a:spLocks noChangeShapeType="1"/>
        </xdr:cNvSpPr>
      </xdr:nvSpPr>
      <xdr:spPr bwMode="auto">
        <a:xfrm flipH="1">
          <a:off x="56664225" y="10972800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162</xdr:col>
      <xdr:colOff>200025</xdr:colOff>
      <xdr:row>11</xdr:row>
      <xdr:rowOff>0</xdr:rowOff>
    </xdr:from>
    <xdr:to>
      <xdr:col>163</xdr:col>
      <xdr:colOff>180975</xdr:colOff>
      <xdr:row>11</xdr:row>
      <xdr:rowOff>0</xdr:rowOff>
    </xdr:to>
    <xdr:sp macro="" textlink="">
      <xdr:nvSpPr>
        <xdr:cNvPr id="1215" name="Line 74">
          <a:extLst>
            <a:ext uri="{FF2B5EF4-FFF2-40B4-BE49-F238E27FC236}">
              <a16:creationId xmlns:a16="http://schemas.microsoft.com/office/drawing/2014/main" xmlns="" id="{00000000-0008-0000-0200-0000BF040000}"/>
            </a:ext>
          </a:extLst>
        </xdr:cNvPr>
        <xdr:cNvSpPr>
          <a:spLocks noChangeShapeType="1"/>
        </xdr:cNvSpPr>
      </xdr:nvSpPr>
      <xdr:spPr bwMode="auto">
        <a:xfrm flipH="1">
          <a:off x="50453925" y="10972800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151</xdr:col>
      <xdr:colOff>200025</xdr:colOff>
      <xdr:row>11</xdr:row>
      <xdr:rowOff>0</xdr:rowOff>
    </xdr:from>
    <xdr:to>
      <xdr:col>152</xdr:col>
      <xdr:colOff>180975</xdr:colOff>
      <xdr:row>11</xdr:row>
      <xdr:rowOff>0</xdr:rowOff>
    </xdr:to>
    <xdr:sp macro="" textlink="">
      <xdr:nvSpPr>
        <xdr:cNvPr id="1216" name="Line 75">
          <a:extLst>
            <a:ext uri="{FF2B5EF4-FFF2-40B4-BE49-F238E27FC236}">
              <a16:creationId xmlns:a16="http://schemas.microsoft.com/office/drawing/2014/main" xmlns="" id="{00000000-0008-0000-0200-0000C0040000}"/>
            </a:ext>
          </a:extLst>
        </xdr:cNvPr>
        <xdr:cNvSpPr>
          <a:spLocks noChangeShapeType="1"/>
        </xdr:cNvSpPr>
      </xdr:nvSpPr>
      <xdr:spPr bwMode="auto">
        <a:xfrm flipH="1">
          <a:off x="55540275" y="10972800"/>
          <a:ext cx="428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171</xdr:col>
      <xdr:colOff>200025</xdr:colOff>
      <xdr:row>11</xdr:row>
      <xdr:rowOff>0</xdr:rowOff>
    </xdr:from>
    <xdr:to>
      <xdr:col>172</xdr:col>
      <xdr:colOff>180975</xdr:colOff>
      <xdr:row>11</xdr:row>
      <xdr:rowOff>0</xdr:rowOff>
    </xdr:to>
    <xdr:sp macro="" textlink="">
      <xdr:nvSpPr>
        <xdr:cNvPr id="1217" name="Line 76">
          <a:extLst>
            <a:ext uri="{FF2B5EF4-FFF2-40B4-BE49-F238E27FC236}">
              <a16:creationId xmlns:a16="http://schemas.microsoft.com/office/drawing/2014/main" xmlns="" id="{00000000-0008-0000-0200-0000C1040000}"/>
            </a:ext>
          </a:extLst>
        </xdr:cNvPr>
        <xdr:cNvSpPr>
          <a:spLocks noChangeShapeType="1"/>
        </xdr:cNvSpPr>
      </xdr:nvSpPr>
      <xdr:spPr bwMode="auto">
        <a:xfrm flipH="1">
          <a:off x="46472475" y="10972800"/>
          <a:ext cx="523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172</xdr:col>
      <xdr:colOff>200025</xdr:colOff>
      <xdr:row>11</xdr:row>
      <xdr:rowOff>0</xdr:rowOff>
    </xdr:from>
    <xdr:to>
      <xdr:col>173</xdr:col>
      <xdr:colOff>180975</xdr:colOff>
      <xdr:row>11</xdr:row>
      <xdr:rowOff>0</xdr:rowOff>
    </xdr:to>
    <xdr:sp macro="" textlink="">
      <xdr:nvSpPr>
        <xdr:cNvPr id="1218" name="Line 77">
          <a:extLst>
            <a:ext uri="{FF2B5EF4-FFF2-40B4-BE49-F238E27FC236}">
              <a16:creationId xmlns:a16="http://schemas.microsoft.com/office/drawing/2014/main" xmlns="" id="{00000000-0008-0000-0200-0000C2040000}"/>
            </a:ext>
          </a:extLst>
        </xdr:cNvPr>
        <xdr:cNvSpPr>
          <a:spLocks noChangeShapeType="1"/>
        </xdr:cNvSpPr>
      </xdr:nvSpPr>
      <xdr:spPr bwMode="auto">
        <a:xfrm flipH="1">
          <a:off x="45996225" y="10972800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163</xdr:col>
      <xdr:colOff>200025</xdr:colOff>
      <xdr:row>11</xdr:row>
      <xdr:rowOff>0</xdr:rowOff>
    </xdr:from>
    <xdr:to>
      <xdr:col>164</xdr:col>
      <xdr:colOff>180975</xdr:colOff>
      <xdr:row>11</xdr:row>
      <xdr:rowOff>0</xdr:rowOff>
    </xdr:to>
    <xdr:sp macro="" textlink="">
      <xdr:nvSpPr>
        <xdr:cNvPr id="1219" name="Line 78">
          <a:extLst>
            <a:ext uri="{FF2B5EF4-FFF2-40B4-BE49-F238E27FC236}">
              <a16:creationId xmlns:a16="http://schemas.microsoft.com/office/drawing/2014/main" xmlns="" id="{00000000-0008-0000-0200-0000C3040000}"/>
            </a:ext>
          </a:extLst>
        </xdr:cNvPr>
        <xdr:cNvSpPr>
          <a:spLocks noChangeShapeType="1"/>
        </xdr:cNvSpPr>
      </xdr:nvSpPr>
      <xdr:spPr bwMode="auto">
        <a:xfrm flipH="1">
          <a:off x="50139600" y="10972800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177</xdr:col>
      <xdr:colOff>200025</xdr:colOff>
      <xdr:row>11</xdr:row>
      <xdr:rowOff>0</xdr:rowOff>
    </xdr:from>
    <xdr:to>
      <xdr:col>178</xdr:col>
      <xdr:colOff>180975</xdr:colOff>
      <xdr:row>11</xdr:row>
      <xdr:rowOff>0</xdr:rowOff>
    </xdr:to>
    <xdr:sp macro="" textlink="">
      <xdr:nvSpPr>
        <xdr:cNvPr id="1220" name="Line 79">
          <a:extLst>
            <a:ext uri="{FF2B5EF4-FFF2-40B4-BE49-F238E27FC236}">
              <a16:creationId xmlns:a16="http://schemas.microsoft.com/office/drawing/2014/main" xmlns="" id="{00000000-0008-0000-0200-0000C4040000}"/>
            </a:ext>
          </a:extLst>
        </xdr:cNvPr>
        <xdr:cNvSpPr>
          <a:spLocks noChangeShapeType="1"/>
        </xdr:cNvSpPr>
      </xdr:nvSpPr>
      <xdr:spPr bwMode="auto">
        <a:xfrm flipH="1">
          <a:off x="43976925" y="10972800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166</xdr:col>
      <xdr:colOff>200025</xdr:colOff>
      <xdr:row>11</xdr:row>
      <xdr:rowOff>0</xdr:rowOff>
    </xdr:from>
    <xdr:to>
      <xdr:col>167</xdr:col>
      <xdr:colOff>180975</xdr:colOff>
      <xdr:row>11</xdr:row>
      <xdr:rowOff>0</xdr:rowOff>
    </xdr:to>
    <xdr:sp macro="" textlink="">
      <xdr:nvSpPr>
        <xdr:cNvPr id="1221" name="Line 80">
          <a:extLst>
            <a:ext uri="{FF2B5EF4-FFF2-40B4-BE49-F238E27FC236}">
              <a16:creationId xmlns:a16="http://schemas.microsoft.com/office/drawing/2014/main" xmlns="" id="{00000000-0008-0000-0200-0000C5040000}"/>
            </a:ext>
          </a:extLst>
        </xdr:cNvPr>
        <xdr:cNvSpPr>
          <a:spLocks noChangeShapeType="1"/>
        </xdr:cNvSpPr>
      </xdr:nvSpPr>
      <xdr:spPr bwMode="auto">
        <a:xfrm flipH="1">
          <a:off x="49015650" y="10972800"/>
          <a:ext cx="428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106</xdr:col>
      <xdr:colOff>200025</xdr:colOff>
      <xdr:row>11</xdr:row>
      <xdr:rowOff>0</xdr:rowOff>
    </xdr:from>
    <xdr:to>
      <xdr:col>107</xdr:col>
      <xdr:colOff>180975</xdr:colOff>
      <xdr:row>11</xdr:row>
      <xdr:rowOff>0</xdr:rowOff>
    </xdr:to>
    <xdr:sp macro="" textlink="">
      <xdr:nvSpPr>
        <xdr:cNvPr id="1222" name="Line 139">
          <a:extLst>
            <a:ext uri="{FF2B5EF4-FFF2-40B4-BE49-F238E27FC236}">
              <a16:creationId xmlns:a16="http://schemas.microsoft.com/office/drawing/2014/main" xmlns="" id="{00000000-0008-0000-0200-0000C6040000}"/>
            </a:ext>
          </a:extLst>
        </xdr:cNvPr>
        <xdr:cNvSpPr>
          <a:spLocks noChangeShapeType="1"/>
        </xdr:cNvSpPr>
      </xdr:nvSpPr>
      <xdr:spPr bwMode="auto">
        <a:xfrm flipH="1">
          <a:off x="75114150" y="10972800"/>
          <a:ext cx="428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106</xdr:col>
      <xdr:colOff>200025</xdr:colOff>
      <xdr:row>11</xdr:row>
      <xdr:rowOff>0</xdr:rowOff>
    </xdr:from>
    <xdr:to>
      <xdr:col>107</xdr:col>
      <xdr:colOff>180975</xdr:colOff>
      <xdr:row>11</xdr:row>
      <xdr:rowOff>0</xdr:rowOff>
    </xdr:to>
    <xdr:sp macro="" textlink="">
      <xdr:nvSpPr>
        <xdr:cNvPr id="1223" name="Line 140">
          <a:extLst>
            <a:ext uri="{FF2B5EF4-FFF2-40B4-BE49-F238E27FC236}">
              <a16:creationId xmlns:a16="http://schemas.microsoft.com/office/drawing/2014/main" xmlns="" id="{00000000-0008-0000-0200-0000C7040000}"/>
            </a:ext>
          </a:extLst>
        </xdr:cNvPr>
        <xdr:cNvSpPr>
          <a:spLocks noChangeShapeType="1"/>
        </xdr:cNvSpPr>
      </xdr:nvSpPr>
      <xdr:spPr bwMode="auto">
        <a:xfrm flipH="1">
          <a:off x="75114150" y="10972800"/>
          <a:ext cx="428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106</xdr:col>
      <xdr:colOff>200025</xdr:colOff>
      <xdr:row>11</xdr:row>
      <xdr:rowOff>0</xdr:rowOff>
    </xdr:from>
    <xdr:to>
      <xdr:col>107</xdr:col>
      <xdr:colOff>180975</xdr:colOff>
      <xdr:row>11</xdr:row>
      <xdr:rowOff>0</xdr:rowOff>
    </xdr:to>
    <xdr:sp macro="" textlink="">
      <xdr:nvSpPr>
        <xdr:cNvPr id="1224" name="Line 141">
          <a:extLst>
            <a:ext uri="{FF2B5EF4-FFF2-40B4-BE49-F238E27FC236}">
              <a16:creationId xmlns:a16="http://schemas.microsoft.com/office/drawing/2014/main" xmlns="" id="{00000000-0008-0000-0200-0000C8040000}"/>
            </a:ext>
          </a:extLst>
        </xdr:cNvPr>
        <xdr:cNvSpPr>
          <a:spLocks noChangeShapeType="1"/>
        </xdr:cNvSpPr>
      </xdr:nvSpPr>
      <xdr:spPr bwMode="auto">
        <a:xfrm flipH="1">
          <a:off x="75114150" y="10972800"/>
          <a:ext cx="428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106</xdr:col>
      <xdr:colOff>200025</xdr:colOff>
      <xdr:row>11</xdr:row>
      <xdr:rowOff>0</xdr:rowOff>
    </xdr:from>
    <xdr:to>
      <xdr:col>107</xdr:col>
      <xdr:colOff>180975</xdr:colOff>
      <xdr:row>11</xdr:row>
      <xdr:rowOff>0</xdr:rowOff>
    </xdr:to>
    <xdr:sp macro="" textlink="">
      <xdr:nvSpPr>
        <xdr:cNvPr id="1225" name="Line 142">
          <a:extLst>
            <a:ext uri="{FF2B5EF4-FFF2-40B4-BE49-F238E27FC236}">
              <a16:creationId xmlns:a16="http://schemas.microsoft.com/office/drawing/2014/main" xmlns="" id="{00000000-0008-0000-0200-0000C9040000}"/>
            </a:ext>
          </a:extLst>
        </xdr:cNvPr>
        <xdr:cNvSpPr>
          <a:spLocks noChangeShapeType="1"/>
        </xdr:cNvSpPr>
      </xdr:nvSpPr>
      <xdr:spPr bwMode="auto">
        <a:xfrm flipH="1">
          <a:off x="75114150" y="10972800"/>
          <a:ext cx="428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106</xdr:col>
      <xdr:colOff>200025</xdr:colOff>
      <xdr:row>11</xdr:row>
      <xdr:rowOff>0</xdr:rowOff>
    </xdr:from>
    <xdr:to>
      <xdr:col>107</xdr:col>
      <xdr:colOff>180975</xdr:colOff>
      <xdr:row>11</xdr:row>
      <xdr:rowOff>0</xdr:rowOff>
    </xdr:to>
    <xdr:sp macro="" textlink="">
      <xdr:nvSpPr>
        <xdr:cNvPr id="1226" name="Line 143">
          <a:extLst>
            <a:ext uri="{FF2B5EF4-FFF2-40B4-BE49-F238E27FC236}">
              <a16:creationId xmlns:a16="http://schemas.microsoft.com/office/drawing/2014/main" xmlns="" id="{00000000-0008-0000-0200-0000CA040000}"/>
            </a:ext>
          </a:extLst>
        </xdr:cNvPr>
        <xdr:cNvSpPr>
          <a:spLocks noChangeShapeType="1"/>
        </xdr:cNvSpPr>
      </xdr:nvSpPr>
      <xdr:spPr bwMode="auto">
        <a:xfrm flipH="1">
          <a:off x="75114150" y="10972800"/>
          <a:ext cx="428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106</xdr:col>
      <xdr:colOff>200025</xdr:colOff>
      <xdr:row>11</xdr:row>
      <xdr:rowOff>0</xdr:rowOff>
    </xdr:from>
    <xdr:to>
      <xdr:col>107</xdr:col>
      <xdr:colOff>180975</xdr:colOff>
      <xdr:row>11</xdr:row>
      <xdr:rowOff>0</xdr:rowOff>
    </xdr:to>
    <xdr:sp macro="" textlink="">
      <xdr:nvSpPr>
        <xdr:cNvPr id="1227" name="Line 144">
          <a:extLst>
            <a:ext uri="{FF2B5EF4-FFF2-40B4-BE49-F238E27FC236}">
              <a16:creationId xmlns:a16="http://schemas.microsoft.com/office/drawing/2014/main" xmlns="" id="{00000000-0008-0000-0200-0000CB040000}"/>
            </a:ext>
          </a:extLst>
        </xdr:cNvPr>
        <xdr:cNvSpPr>
          <a:spLocks noChangeShapeType="1"/>
        </xdr:cNvSpPr>
      </xdr:nvSpPr>
      <xdr:spPr bwMode="auto">
        <a:xfrm flipH="1">
          <a:off x="75114150" y="10972800"/>
          <a:ext cx="428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121</xdr:col>
      <xdr:colOff>200025</xdr:colOff>
      <xdr:row>11</xdr:row>
      <xdr:rowOff>0</xdr:rowOff>
    </xdr:from>
    <xdr:to>
      <xdr:col>122</xdr:col>
      <xdr:colOff>180975</xdr:colOff>
      <xdr:row>11</xdr:row>
      <xdr:rowOff>0</xdr:rowOff>
    </xdr:to>
    <xdr:sp macro="" textlink="">
      <xdr:nvSpPr>
        <xdr:cNvPr id="1228" name="Line 145">
          <a:extLst>
            <a:ext uri="{FF2B5EF4-FFF2-40B4-BE49-F238E27FC236}">
              <a16:creationId xmlns:a16="http://schemas.microsoft.com/office/drawing/2014/main" xmlns="" id="{00000000-0008-0000-0200-0000CC040000}"/>
            </a:ext>
          </a:extLst>
        </xdr:cNvPr>
        <xdr:cNvSpPr>
          <a:spLocks noChangeShapeType="1"/>
        </xdr:cNvSpPr>
      </xdr:nvSpPr>
      <xdr:spPr bwMode="auto">
        <a:xfrm flipH="1">
          <a:off x="68589525" y="10972800"/>
          <a:ext cx="428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121</xdr:col>
      <xdr:colOff>200025</xdr:colOff>
      <xdr:row>11</xdr:row>
      <xdr:rowOff>0</xdr:rowOff>
    </xdr:from>
    <xdr:to>
      <xdr:col>122</xdr:col>
      <xdr:colOff>180975</xdr:colOff>
      <xdr:row>11</xdr:row>
      <xdr:rowOff>0</xdr:rowOff>
    </xdr:to>
    <xdr:sp macro="" textlink="">
      <xdr:nvSpPr>
        <xdr:cNvPr id="1229" name="Line 146">
          <a:extLst>
            <a:ext uri="{FF2B5EF4-FFF2-40B4-BE49-F238E27FC236}">
              <a16:creationId xmlns:a16="http://schemas.microsoft.com/office/drawing/2014/main" xmlns="" id="{00000000-0008-0000-0200-0000CD040000}"/>
            </a:ext>
          </a:extLst>
        </xdr:cNvPr>
        <xdr:cNvSpPr>
          <a:spLocks noChangeShapeType="1"/>
        </xdr:cNvSpPr>
      </xdr:nvSpPr>
      <xdr:spPr bwMode="auto">
        <a:xfrm flipH="1">
          <a:off x="68589525" y="10972800"/>
          <a:ext cx="428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121</xdr:col>
      <xdr:colOff>200025</xdr:colOff>
      <xdr:row>11</xdr:row>
      <xdr:rowOff>0</xdr:rowOff>
    </xdr:from>
    <xdr:to>
      <xdr:col>122</xdr:col>
      <xdr:colOff>180975</xdr:colOff>
      <xdr:row>11</xdr:row>
      <xdr:rowOff>0</xdr:rowOff>
    </xdr:to>
    <xdr:sp macro="" textlink="">
      <xdr:nvSpPr>
        <xdr:cNvPr id="1230" name="Line 147">
          <a:extLst>
            <a:ext uri="{FF2B5EF4-FFF2-40B4-BE49-F238E27FC236}">
              <a16:creationId xmlns:a16="http://schemas.microsoft.com/office/drawing/2014/main" xmlns="" id="{00000000-0008-0000-0200-0000CE040000}"/>
            </a:ext>
          </a:extLst>
        </xdr:cNvPr>
        <xdr:cNvSpPr>
          <a:spLocks noChangeShapeType="1"/>
        </xdr:cNvSpPr>
      </xdr:nvSpPr>
      <xdr:spPr bwMode="auto">
        <a:xfrm flipH="1">
          <a:off x="68589525" y="10972800"/>
          <a:ext cx="428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121</xdr:col>
      <xdr:colOff>200025</xdr:colOff>
      <xdr:row>11</xdr:row>
      <xdr:rowOff>0</xdr:rowOff>
    </xdr:from>
    <xdr:to>
      <xdr:col>122</xdr:col>
      <xdr:colOff>180975</xdr:colOff>
      <xdr:row>11</xdr:row>
      <xdr:rowOff>0</xdr:rowOff>
    </xdr:to>
    <xdr:sp macro="" textlink="">
      <xdr:nvSpPr>
        <xdr:cNvPr id="1231" name="Line 148">
          <a:extLst>
            <a:ext uri="{FF2B5EF4-FFF2-40B4-BE49-F238E27FC236}">
              <a16:creationId xmlns:a16="http://schemas.microsoft.com/office/drawing/2014/main" xmlns="" id="{00000000-0008-0000-0200-0000CF040000}"/>
            </a:ext>
          </a:extLst>
        </xdr:cNvPr>
        <xdr:cNvSpPr>
          <a:spLocks noChangeShapeType="1"/>
        </xdr:cNvSpPr>
      </xdr:nvSpPr>
      <xdr:spPr bwMode="auto">
        <a:xfrm flipH="1">
          <a:off x="68589525" y="10972800"/>
          <a:ext cx="428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121</xdr:col>
      <xdr:colOff>200025</xdr:colOff>
      <xdr:row>11</xdr:row>
      <xdr:rowOff>0</xdr:rowOff>
    </xdr:from>
    <xdr:to>
      <xdr:col>122</xdr:col>
      <xdr:colOff>180975</xdr:colOff>
      <xdr:row>11</xdr:row>
      <xdr:rowOff>0</xdr:rowOff>
    </xdr:to>
    <xdr:sp macro="" textlink="">
      <xdr:nvSpPr>
        <xdr:cNvPr id="1232" name="Line 149">
          <a:extLst>
            <a:ext uri="{FF2B5EF4-FFF2-40B4-BE49-F238E27FC236}">
              <a16:creationId xmlns:a16="http://schemas.microsoft.com/office/drawing/2014/main" xmlns="" id="{00000000-0008-0000-0200-0000D0040000}"/>
            </a:ext>
          </a:extLst>
        </xdr:cNvPr>
        <xdr:cNvSpPr>
          <a:spLocks noChangeShapeType="1"/>
        </xdr:cNvSpPr>
      </xdr:nvSpPr>
      <xdr:spPr bwMode="auto">
        <a:xfrm flipH="1">
          <a:off x="68589525" y="10972800"/>
          <a:ext cx="428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121</xdr:col>
      <xdr:colOff>200025</xdr:colOff>
      <xdr:row>11</xdr:row>
      <xdr:rowOff>0</xdr:rowOff>
    </xdr:from>
    <xdr:to>
      <xdr:col>122</xdr:col>
      <xdr:colOff>180975</xdr:colOff>
      <xdr:row>11</xdr:row>
      <xdr:rowOff>0</xdr:rowOff>
    </xdr:to>
    <xdr:sp macro="" textlink="">
      <xdr:nvSpPr>
        <xdr:cNvPr id="1233" name="Line 150">
          <a:extLst>
            <a:ext uri="{FF2B5EF4-FFF2-40B4-BE49-F238E27FC236}">
              <a16:creationId xmlns:a16="http://schemas.microsoft.com/office/drawing/2014/main" xmlns="" id="{00000000-0008-0000-0200-0000D1040000}"/>
            </a:ext>
          </a:extLst>
        </xdr:cNvPr>
        <xdr:cNvSpPr>
          <a:spLocks noChangeShapeType="1"/>
        </xdr:cNvSpPr>
      </xdr:nvSpPr>
      <xdr:spPr bwMode="auto">
        <a:xfrm flipH="1">
          <a:off x="68589525" y="10972800"/>
          <a:ext cx="428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136</xdr:col>
      <xdr:colOff>200025</xdr:colOff>
      <xdr:row>11</xdr:row>
      <xdr:rowOff>0</xdr:rowOff>
    </xdr:from>
    <xdr:to>
      <xdr:col>137</xdr:col>
      <xdr:colOff>180975</xdr:colOff>
      <xdr:row>11</xdr:row>
      <xdr:rowOff>0</xdr:rowOff>
    </xdr:to>
    <xdr:sp macro="" textlink="">
      <xdr:nvSpPr>
        <xdr:cNvPr id="1234" name="Line 151">
          <a:extLst>
            <a:ext uri="{FF2B5EF4-FFF2-40B4-BE49-F238E27FC236}">
              <a16:creationId xmlns:a16="http://schemas.microsoft.com/office/drawing/2014/main" xmlns="" id="{00000000-0008-0000-0200-0000D2040000}"/>
            </a:ext>
          </a:extLst>
        </xdr:cNvPr>
        <xdr:cNvSpPr>
          <a:spLocks noChangeShapeType="1"/>
        </xdr:cNvSpPr>
      </xdr:nvSpPr>
      <xdr:spPr bwMode="auto">
        <a:xfrm flipH="1">
          <a:off x="62064900" y="10972800"/>
          <a:ext cx="428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136</xdr:col>
      <xdr:colOff>200025</xdr:colOff>
      <xdr:row>11</xdr:row>
      <xdr:rowOff>0</xdr:rowOff>
    </xdr:from>
    <xdr:to>
      <xdr:col>137</xdr:col>
      <xdr:colOff>180975</xdr:colOff>
      <xdr:row>11</xdr:row>
      <xdr:rowOff>0</xdr:rowOff>
    </xdr:to>
    <xdr:sp macro="" textlink="">
      <xdr:nvSpPr>
        <xdr:cNvPr id="1235" name="Line 152">
          <a:extLst>
            <a:ext uri="{FF2B5EF4-FFF2-40B4-BE49-F238E27FC236}">
              <a16:creationId xmlns:a16="http://schemas.microsoft.com/office/drawing/2014/main" xmlns="" id="{00000000-0008-0000-0200-0000D3040000}"/>
            </a:ext>
          </a:extLst>
        </xdr:cNvPr>
        <xdr:cNvSpPr>
          <a:spLocks noChangeShapeType="1"/>
        </xdr:cNvSpPr>
      </xdr:nvSpPr>
      <xdr:spPr bwMode="auto">
        <a:xfrm flipH="1">
          <a:off x="62064900" y="10972800"/>
          <a:ext cx="428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136</xdr:col>
      <xdr:colOff>200025</xdr:colOff>
      <xdr:row>11</xdr:row>
      <xdr:rowOff>0</xdr:rowOff>
    </xdr:from>
    <xdr:to>
      <xdr:col>137</xdr:col>
      <xdr:colOff>180975</xdr:colOff>
      <xdr:row>11</xdr:row>
      <xdr:rowOff>0</xdr:rowOff>
    </xdr:to>
    <xdr:sp macro="" textlink="">
      <xdr:nvSpPr>
        <xdr:cNvPr id="1236" name="Line 153">
          <a:extLst>
            <a:ext uri="{FF2B5EF4-FFF2-40B4-BE49-F238E27FC236}">
              <a16:creationId xmlns:a16="http://schemas.microsoft.com/office/drawing/2014/main" xmlns="" id="{00000000-0008-0000-0200-0000D4040000}"/>
            </a:ext>
          </a:extLst>
        </xdr:cNvPr>
        <xdr:cNvSpPr>
          <a:spLocks noChangeShapeType="1"/>
        </xdr:cNvSpPr>
      </xdr:nvSpPr>
      <xdr:spPr bwMode="auto">
        <a:xfrm flipH="1">
          <a:off x="62064900" y="10972800"/>
          <a:ext cx="428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136</xdr:col>
      <xdr:colOff>200025</xdr:colOff>
      <xdr:row>11</xdr:row>
      <xdr:rowOff>0</xdr:rowOff>
    </xdr:from>
    <xdr:to>
      <xdr:col>137</xdr:col>
      <xdr:colOff>180975</xdr:colOff>
      <xdr:row>11</xdr:row>
      <xdr:rowOff>0</xdr:rowOff>
    </xdr:to>
    <xdr:sp macro="" textlink="">
      <xdr:nvSpPr>
        <xdr:cNvPr id="1237" name="Line 154">
          <a:extLst>
            <a:ext uri="{FF2B5EF4-FFF2-40B4-BE49-F238E27FC236}">
              <a16:creationId xmlns:a16="http://schemas.microsoft.com/office/drawing/2014/main" xmlns="" id="{00000000-0008-0000-0200-0000D5040000}"/>
            </a:ext>
          </a:extLst>
        </xdr:cNvPr>
        <xdr:cNvSpPr>
          <a:spLocks noChangeShapeType="1"/>
        </xdr:cNvSpPr>
      </xdr:nvSpPr>
      <xdr:spPr bwMode="auto">
        <a:xfrm flipH="1">
          <a:off x="62064900" y="10972800"/>
          <a:ext cx="428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136</xdr:col>
      <xdr:colOff>200025</xdr:colOff>
      <xdr:row>11</xdr:row>
      <xdr:rowOff>0</xdr:rowOff>
    </xdr:from>
    <xdr:to>
      <xdr:col>137</xdr:col>
      <xdr:colOff>180975</xdr:colOff>
      <xdr:row>11</xdr:row>
      <xdr:rowOff>0</xdr:rowOff>
    </xdr:to>
    <xdr:sp macro="" textlink="">
      <xdr:nvSpPr>
        <xdr:cNvPr id="1238" name="Line 155">
          <a:extLst>
            <a:ext uri="{FF2B5EF4-FFF2-40B4-BE49-F238E27FC236}">
              <a16:creationId xmlns:a16="http://schemas.microsoft.com/office/drawing/2014/main" xmlns="" id="{00000000-0008-0000-0200-0000D6040000}"/>
            </a:ext>
          </a:extLst>
        </xdr:cNvPr>
        <xdr:cNvSpPr>
          <a:spLocks noChangeShapeType="1"/>
        </xdr:cNvSpPr>
      </xdr:nvSpPr>
      <xdr:spPr bwMode="auto">
        <a:xfrm flipH="1">
          <a:off x="62064900" y="10972800"/>
          <a:ext cx="428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136</xdr:col>
      <xdr:colOff>200025</xdr:colOff>
      <xdr:row>11</xdr:row>
      <xdr:rowOff>0</xdr:rowOff>
    </xdr:from>
    <xdr:to>
      <xdr:col>137</xdr:col>
      <xdr:colOff>180975</xdr:colOff>
      <xdr:row>11</xdr:row>
      <xdr:rowOff>0</xdr:rowOff>
    </xdr:to>
    <xdr:sp macro="" textlink="">
      <xdr:nvSpPr>
        <xdr:cNvPr id="1239" name="Line 156">
          <a:extLst>
            <a:ext uri="{FF2B5EF4-FFF2-40B4-BE49-F238E27FC236}">
              <a16:creationId xmlns:a16="http://schemas.microsoft.com/office/drawing/2014/main" xmlns="" id="{00000000-0008-0000-0200-0000D7040000}"/>
            </a:ext>
          </a:extLst>
        </xdr:cNvPr>
        <xdr:cNvSpPr>
          <a:spLocks noChangeShapeType="1"/>
        </xdr:cNvSpPr>
      </xdr:nvSpPr>
      <xdr:spPr bwMode="auto">
        <a:xfrm flipH="1">
          <a:off x="62064900" y="10972800"/>
          <a:ext cx="428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151</xdr:col>
      <xdr:colOff>200025</xdr:colOff>
      <xdr:row>11</xdr:row>
      <xdr:rowOff>0</xdr:rowOff>
    </xdr:from>
    <xdr:to>
      <xdr:col>152</xdr:col>
      <xdr:colOff>180975</xdr:colOff>
      <xdr:row>11</xdr:row>
      <xdr:rowOff>0</xdr:rowOff>
    </xdr:to>
    <xdr:sp macro="" textlink="">
      <xdr:nvSpPr>
        <xdr:cNvPr id="1240" name="Line 157">
          <a:extLst>
            <a:ext uri="{FF2B5EF4-FFF2-40B4-BE49-F238E27FC236}">
              <a16:creationId xmlns:a16="http://schemas.microsoft.com/office/drawing/2014/main" xmlns="" id="{00000000-0008-0000-0200-0000D8040000}"/>
            </a:ext>
          </a:extLst>
        </xdr:cNvPr>
        <xdr:cNvSpPr>
          <a:spLocks noChangeShapeType="1"/>
        </xdr:cNvSpPr>
      </xdr:nvSpPr>
      <xdr:spPr bwMode="auto">
        <a:xfrm flipH="1">
          <a:off x="55540275" y="10972800"/>
          <a:ext cx="428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151</xdr:col>
      <xdr:colOff>200025</xdr:colOff>
      <xdr:row>11</xdr:row>
      <xdr:rowOff>0</xdr:rowOff>
    </xdr:from>
    <xdr:to>
      <xdr:col>152</xdr:col>
      <xdr:colOff>180975</xdr:colOff>
      <xdr:row>11</xdr:row>
      <xdr:rowOff>0</xdr:rowOff>
    </xdr:to>
    <xdr:sp macro="" textlink="">
      <xdr:nvSpPr>
        <xdr:cNvPr id="1241" name="Line 158">
          <a:extLst>
            <a:ext uri="{FF2B5EF4-FFF2-40B4-BE49-F238E27FC236}">
              <a16:creationId xmlns:a16="http://schemas.microsoft.com/office/drawing/2014/main" xmlns="" id="{00000000-0008-0000-0200-0000D9040000}"/>
            </a:ext>
          </a:extLst>
        </xdr:cNvPr>
        <xdr:cNvSpPr>
          <a:spLocks noChangeShapeType="1"/>
        </xdr:cNvSpPr>
      </xdr:nvSpPr>
      <xdr:spPr bwMode="auto">
        <a:xfrm flipH="1">
          <a:off x="55540275" y="10972800"/>
          <a:ext cx="428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151</xdr:col>
      <xdr:colOff>200025</xdr:colOff>
      <xdr:row>11</xdr:row>
      <xdr:rowOff>0</xdr:rowOff>
    </xdr:from>
    <xdr:to>
      <xdr:col>152</xdr:col>
      <xdr:colOff>180975</xdr:colOff>
      <xdr:row>11</xdr:row>
      <xdr:rowOff>0</xdr:rowOff>
    </xdr:to>
    <xdr:sp macro="" textlink="">
      <xdr:nvSpPr>
        <xdr:cNvPr id="1242" name="Line 159">
          <a:extLst>
            <a:ext uri="{FF2B5EF4-FFF2-40B4-BE49-F238E27FC236}">
              <a16:creationId xmlns:a16="http://schemas.microsoft.com/office/drawing/2014/main" xmlns="" id="{00000000-0008-0000-0200-0000DA040000}"/>
            </a:ext>
          </a:extLst>
        </xdr:cNvPr>
        <xdr:cNvSpPr>
          <a:spLocks noChangeShapeType="1"/>
        </xdr:cNvSpPr>
      </xdr:nvSpPr>
      <xdr:spPr bwMode="auto">
        <a:xfrm flipH="1">
          <a:off x="55540275" y="10972800"/>
          <a:ext cx="428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151</xdr:col>
      <xdr:colOff>200025</xdr:colOff>
      <xdr:row>11</xdr:row>
      <xdr:rowOff>0</xdr:rowOff>
    </xdr:from>
    <xdr:to>
      <xdr:col>152</xdr:col>
      <xdr:colOff>180975</xdr:colOff>
      <xdr:row>11</xdr:row>
      <xdr:rowOff>0</xdr:rowOff>
    </xdr:to>
    <xdr:sp macro="" textlink="">
      <xdr:nvSpPr>
        <xdr:cNvPr id="1243" name="Line 160">
          <a:extLst>
            <a:ext uri="{FF2B5EF4-FFF2-40B4-BE49-F238E27FC236}">
              <a16:creationId xmlns:a16="http://schemas.microsoft.com/office/drawing/2014/main" xmlns="" id="{00000000-0008-0000-0200-0000DB040000}"/>
            </a:ext>
          </a:extLst>
        </xdr:cNvPr>
        <xdr:cNvSpPr>
          <a:spLocks noChangeShapeType="1"/>
        </xdr:cNvSpPr>
      </xdr:nvSpPr>
      <xdr:spPr bwMode="auto">
        <a:xfrm flipH="1">
          <a:off x="55540275" y="10972800"/>
          <a:ext cx="428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151</xdr:col>
      <xdr:colOff>200025</xdr:colOff>
      <xdr:row>11</xdr:row>
      <xdr:rowOff>0</xdr:rowOff>
    </xdr:from>
    <xdr:to>
      <xdr:col>152</xdr:col>
      <xdr:colOff>180975</xdr:colOff>
      <xdr:row>11</xdr:row>
      <xdr:rowOff>0</xdr:rowOff>
    </xdr:to>
    <xdr:sp macro="" textlink="">
      <xdr:nvSpPr>
        <xdr:cNvPr id="1244" name="Line 161">
          <a:extLst>
            <a:ext uri="{FF2B5EF4-FFF2-40B4-BE49-F238E27FC236}">
              <a16:creationId xmlns:a16="http://schemas.microsoft.com/office/drawing/2014/main" xmlns="" id="{00000000-0008-0000-0200-0000DC040000}"/>
            </a:ext>
          </a:extLst>
        </xdr:cNvPr>
        <xdr:cNvSpPr>
          <a:spLocks noChangeShapeType="1"/>
        </xdr:cNvSpPr>
      </xdr:nvSpPr>
      <xdr:spPr bwMode="auto">
        <a:xfrm flipH="1">
          <a:off x="55540275" y="10972800"/>
          <a:ext cx="428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151</xdr:col>
      <xdr:colOff>200025</xdr:colOff>
      <xdr:row>11</xdr:row>
      <xdr:rowOff>0</xdr:rowOff>
    </xdr:from>
    <xdr:to>
      <xdr:col>152</xdr:col>
      <xdr:colOff>180975</xdr:colOff>
      <xdr:row>11</xdr:row>
      <xdr:rowOff>0</xdr:rowOff>
    </xdr:to>
    <xdr:sp macro="" textlink="">
      <xdr:nvSpPr>
        <xdr:cNvPr id="1245" name="Line 162">
          <a:extLst>
            <a:ext uri="{FF2B5EF4-FFF2-40B4-BE49-F238E27FC236}">
              <a16:creationId xmlns:a16="http://schemas.microsoft.com/office/drawing/2014/main" xmlns="" id="{00000000-0008-0000-0200-0000DD040000}"/>
            </a:ext>
          </a:extLst>
        </xdr:cNvPr>
        <xdr:cNvSpPr>
          <a:spLocks noChangeShapeType="1"/>
        </xdr:cNvSpPr>
      </xdr:nvSpPr>
      <xdr:spPr bwMode="auto">
        <a:xfrm flipH="1">
          <a:off x="55540275" y="10972800"/>
          <a:ext cx="428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166</xdr:col>
      <xdr:colOff>200025</xdr:colOff>
      <xdr:row>11</xdr:row>
      <xdr:rowOff>0</xdr:rowOff>
    </xdr:from>
    <xdr:to>
      <xdr:col>167</xdr:col>
      <xdr:colOff>180975</xdr:colOff>
      <xdr:row>11</xdr:row>
      <xdr:rowOff>0</xdr:rowOff>
    </xdr:to>
    <xdr:sp macro="" textlink="">
      <xdr:nvSpPr>
        <xdr:cNvPr id="1246" name="Line 163">
          <a:extLst>
            <a:ext uri="{FF2B5EF4-FFF2-40B4-BE49-F238E27FC236}">
              <a16:creationId xmlns:a16="http://schemas.microsoft.com/office/drawing/2014/main" xmlns="" id="{00000000-0008-0000-0200-0000DE040000}"/>
            </a:ext>
          </a:extLst>
        </xdr:cNvPr>
        <xdr:cNvSpPr>
          <a:spLocks noChangeShapeType="1"/>
        </xdr:cNvSpPr>
      </xdr:nvSpPr>
      <xdr:spPr bwMode="auto">
        <a:xfrm flipH="1">
          <a:off x="49015650" y="10972800"/>
          <a:ext cx="428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166</xdr:col>
      <xdr:colOff>200025</xdr:colOff>
      <xdr:row>11</xdr:row>
      <xdr:rowOff>0</xdr:rowOff>
    </xdr:from>
    <xdr:to>
      <xdr:col>167</xdr:col>
      <xdr:colOff>180975</xdr:colOff>
      <xdr:row>11</xdr:row>
      <xdr:rowOff>0</xdr:rowOff>
    </xdr:to>
    <xdr:sp macro="" textlink="">
      <xdr:nvSpPr>
        <xdr:cNvPr id="1247" name="Line 164">
          <a:extLst>
            <a:ext uri="{FF2B5EF4-FFF2-40B4-BE49-F238E27FC236}">
              <a16:creationId xmlns:a16="http://schemas.microsoft.com/office/drawing/2014/main" xmlns="" id="{00000000-0008-0000-0200-0000DF040000}"/>
            </a:ext>
          </a:extLst>
        </xdr:cNvPr>
        <xdr:cNvSpPr>
          <a:spLocks noChangeShapeType="1"/>
        </xdr:cNvSpPr>
      </xdr:nvSpPr>
      <xdr:spPr bwMode="auto">
        <a:xfrm flipH="1">
          <a:off x="49015650" y="10972800"/>
          <a:ext cx="428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166</xdr:col>
      <xdr:colOff>200025</xdr:colOff>
      <xdr:row>11</xdr:row>
      <xdr:rowOff>0</xdr:rowOff>
    </xdr:from>
    <xdr:to>
      <xdr:col>167</xdr:col>
      <xdr:colOff>180975</xdr:colOff>
      <xdr:row>11</xdr:row>
      <xdr:rowOff>0</xdr:rowOff>
    </xdr:to>
    <xdr:sp macro="" textlink="">
      <xdr:nvSpPr>
        <xdr:cNvPr id="1248" name="Line 165">
          <a:extLst>
            <a:ext uri="{FF2B5EF4-FFF2-40B4-BE49-F238E27FC236}">
              <a16:creationId xmlns:a16="http://schemas.microsoft.com/office/drawing/2014/main" xmlns="" id="{00000000-0008-0000-0200-0000E0040000}"/>
            </a:ext>
          </a:extLst>
        </xdr:cNvPr>
        <xdr:cNvSpPr>
          <a:spLocks noChangeShapeType="1"/>
        </xdr:cNvSpPr>
      </xdr:nvSpPr>
      <xdr:spPr bwMode="auto">
        <a:xfrm flipH="1">
          <a:off x="49015650" y="10972800"/>
          <a:ext cx="428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166</xdr:col>
      <xdr:colOff>200025</xdr:colOff>
      <xdr:row>11</xdr:row>
      <xdr:rowOff>0</xdr:rowOff>
    </xdr:from>
    <xdr:to>
      <xdr:col>167</xdr:col>
      <xdr:colOff>180975</xdr:colOff>
      <xdr:row>11</xdr:row>
      <xdr:rowOff>0</xdr:rowOff>
    </xdr:to>
    <xdr:sp macro="" textlink="">
      <xdr:nvSpPr>
        <xdr:cNvPr id="1249" name="Line 166">
          <a:extLst>
            <a:ext uri="{FF2B5EF4-FFF2-40B4-BE49-F238E27FC236}">
              <a16:creationId xmlns:a16="http://schemas.microsoft.com/office/drawing/2014/main" xmlns="" id="{00000000-0008-0000-0200-0000E1040000}"/>
            </a:ext>
          </a:extLst>
        </xdr:cNvPr>
        <xdr:cNvSpPr>
          <a:spLocks noChangeShapeType="1"/>
        </xdr:cNvSpPr>
      </xdr:nvSpPr>
      <xdr:spPr bwMode="auto">
        <a:xfrm flipH="1">
          <a:off x="49015650" y="10972800"/>
          <a:ext cx="428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166</xdr:col>
      <xdr:colOff>200025</xdr:colOff>
      <xdr:row>11</xdr:row>
      <xdr:rowOff>0</xdr:rowOff>
    </xdr:from>
    <xdr:to>
      <xdr:col>167</xdr:col>
      <xdr:colOff>180975</xdr:colOff>
      <xdr:row>11</xdr:row>
      <xdr:rowOff>0</xdr:rowOff>
    </xdr:to>
    <xdr:sp macro="" textlink="">
      <xdr:nvSpPr>
        <xdr:cNvPr id="1250" name="Line 167">
          <a:extLst>
            <a:ext uri="{FF2B5EF4-FFF2-40B4-BE49-F238E27FC236}">
              <a16:creationId xmlns:a16="http://schemas.microsoft.com/office/drawing/2014/main" xmlns="" id="{00000000-0008-0000-0200-0000E2040000}"/>
            </a:ext>
          </a:extLst>
        </xdr:cNvPr>
        <xdr:cNvSpPr>
          <a:spLocks noChangeShapeType="1"/>
        </xdr:cNvSpPr>
      </xdr:nvSpPr>
      <xdr:spPr bwMode="auto">
        <a:xfrm flipH="1">
          <a:off x="49015650" y="10972800"/>
          <a:ext cx="428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166</xdr:col>
      <xdr:colOff>200025</xdr:colOff>
      <xdr:row>11</xdr:row>
      <xdr:rowOff>0</xdr:rowOff>
    </xdr:from>
    <xdr:to>
      <xdr:col>167</xdr:col>
      <xdr:colOff>180975</xdr:colOff>
      <xdr:row>11</xdr:row>
      <xdr:rowOff>0</xdr:rowOff>
    </xdr:to>
    <xdr:sp macro="" textlink="">
      <xdr:nvSpPr>
        <xdr:cNvPr id="1251" name="Line 168">
          <a:extLst>
            <a:ext uri="{FF2B5EF4-FFF2-40B4-BE49-F238E27FC236}">
              <a16:creationId xmlns:a16="http://schemas.microsoft.com/office/drawing/2014/main" xmlns="" id="{00000000-0008-0000-0200-0000E3040000}"/>
            </a:ext>
          </a:extLst>
        </xdr:cNvPr>
        <xdr:cNvSpPr>
          <a:spLocks noChangeShapeType="1"/>
        </xdr:cNvSpPr>
      </xdr:nvSpPr>
      <xdr:spPr bwMode="auto">
        <a:xfrm flipH="1">
          <a:off x="49015650" y="10972800"/>
          <a:ext cx="428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سمة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>
      <selection sqref="A1:IV65536"/>
    </sheetView>
  </sheetViews>
  <sheetFormatPr defaultRowHeight="12.75" x14ac:dyDescent="0.2"/>
  <sheetData/>
  <customSheetViews>
    <customSheetView guid="{683E718B-8FAE-4089-A239-9413018333B3}" state="hidden" showRuler="0">
      <selection sqref="A1:IV65536"/>
      <pageMargins left="0.75" right="0.75" top="1" bottom="1" header="0.5" footer="0.5"/>
      <headerFooter alignWithMargins="0"/>
    </customSheetView>
  </customSheetView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Y86"/>
  <sheetViews>
    <sheetView rightToLeft="1" tabSelected="1" topLeftCell="EA1" zoomScale="110" zoomScaleNormal="110" workbookViewId="0">
      <pane ySplit="3060" topLeftCell="A38" activePane="bottomLeft"/>
      <selection activeCell="CU1" sqref="CU1:CU1048576"/>
      <selection pane="bottomLeft" activeCell="EO51" sqref="EO51"/>
    </sheetView>
  </sheetViews>
  <sheetFormatPr defaultColWidth="9.140625" defaultRowHeight="17.100000000000001" customHeight="1" x14ac:dyDescent="0.2"/>
  <cols>
    <col min="1" max="1" width="11.28515625" style="97" customWidth="1"/>
    <col min="2" max="2" width="6.28515625" style="45" customWidth="1"/>
    <col min="3" max="3" width="6.42578125" style="45" customWidth="1"/>
    <col min="4" max="4" width="6.85546875" style="45" customWidth="1"/>
    <col min="5" max="5" width="8" style="45" customWidth="1"/>
    <col min="6" max="6" width="8.28515625" style="45" customWidth="1"/>
    <col min="7" max="7" width="7.5703125" style="45" customWidth="1"/>
    <col min="8" max="8" width="7.28515625" style="45" customWidth="1"/>
    <col min="9" max="9" width="7.140625" style="45" customWidth="1"/>
    <col min="10" max="10" width="6.42578125" style="45" customWidth="1"/>
    <col min="11" max="11" width="3.7109375" style="45" customWidth="1"/>
    <col min="12" max="12" width="4.28515625" style="45" customWidth="1"/>
    <col min="13" max="13" width="3.7109375" style="45" customWidth="1"/>
    <col min="14" max="14" width="4.42578125" style="45" customWidth="1"/>
    <col min="15" max="15" width="2.42578125" style="46" customWidth="1"/>
    <col min="16" max="16" width="11" style="97" customWidth="1"/>
    <col min="17" max="17" width="5.5703125" style="45" customWidth="1"/>
    <col min="18" max="18" width="5.7109375" style="45" customWidth="1"/>
    <col min="19" max="19" width="6.85546875" style="45" customWidth="1"/>
    <col min="20" max="20" width="8" style="45" customWidth="1"/>
    <col min="21" max="21" width="8.28515625" style="45" customWidth="1"/>
    <col min="22" max="22" width="8.42578125" style="45" customWidth="1"/>
    <col min="23" max="23" width="7.28515625" style="45" customWidth="1"/>
    <col min="24" max="24" width="7.140625" style="45" customWidth="1"/>
    <col min="25" max="25" width="6.42578125" style="45" customWidth="1"/>
    <col min="26" max="26" width="5.7109375" style="45" customWidth="1"/>
    <col min="27" max="27" width="5.5703125" style="45" customWidth="1"/>
    <col min="28" max="28" width="5.7109375" style="45" customWidth="1"/>
    <col min="29" max="29" width="6" style="45" customWidth="1"/>
    <col min="30" max="30" width="2.42578125" style="46" customWidth="1"/>
    <col min="31" max="31" width="11.140625" style="97" customWidth="1"/>
    <col min="32" max="32" width="5.5703125" style="45" customWidth="1"/>
    <col min="33" max="33" width="5.7109375" style="45" customWidth="1"/>
    <col min="34" max="34" width="6.85546875" style="45" customWidth="1"/>
    <col min="35" max="35" width="8" style="45" customWidth="1"/>
    <col min="36" max="36" width="8.28515625" style="45" customWidth="1"/>
    <col min="37" max="37" width="7" style="45" customWidth="1"/>
    <col min="38" max="38" width="7.28515625" style="45" customWidth="1"/>
    <col min="39" max="39" width="7.140625" style="45" customWidth="1"/>
    <col min="40" max="40" width="5.5703125" style="45" customWidth="1"/>
    <col min="41" max="41" width="5.7109375" style="45" customWidth="1"/>
    <col min="42" max="42" width="5.5703125" style="45" customWidth="1"/>
    <col min="43" max="43" width="5.7109375" style="45" customWidth="1"/>
    <col min="44" max="44" width="6" style="45" customWidth="1"/>
    <col min="45" max="45" width="2.42578125" style="46" customWidth="1"/>
    <col min="46" max="46" width="11.42578125" style="97" customWidth="1"/>
    <col min="47" max="47" width="5.5703125" style="45" customWidth="1"/>
    <col min="48" max="48" width="5.7109375" style="45" customWidth="1"/>
    <col min="49" max="49" width="6.85546875" style="45" customWidth="1"/>
    <col min="50" max="50" width="8" style="45" customWidth="1"/>
    <col min="51" max="51" width="8.28515625" style="45" customWidth="1"/>
    <col min="52" max="52" width="6.5703125" style="45" customWidth="1"/>
    <col min="53" max="53" width="7.28515625" style="45" customWidth="1"/>
    <col min="54" max="54" width="7.140625" style="45" customWidth="1"/>
    <col min="55" max="55" width="5.85546875" style="45" customWidth="1"/>
    <col min="56" max="56" width="5.7109375" style="45" customWidth="1"/>
    <col min="57" max="57" width="5.5703125" style="45" customWidth="1"/>
    <col min="58" max="58" width="5.7109375" style="45" customWidth="1"/>
    <col min="59" max="59" width="6" style="45" customWidth="1"/>
    <col min="60" max="60" width="2.42578125" style="46" customWidth="1"/>
    <col min="61" max="61" width="11" style="97" customWidth="1"/>
    <col min="62" max="62" width="5.5703125" style="45" customWidth="1"/>
    <col min="63" max="63" width="5.7109375" style="45" customWidth="1"/>
    <col min="64" max="64" width="6.85546875" style="45" customWidth="1"/>
    <col min="65" max="65" width="8" style="45" customWidth="1"/>
    <col min="66" max="66" width="8.28515625" style="45" customWidth="1"/>
    <col min="67" max="67" width="6.5703125" style="45" customWidth="1"/>
    <col min="68" max="68" width="7.28515625" style="45" customWidth="1"/>
    <col min="69" max="69" width="7.140625" style="45" customWidth="1"/>
    <col min="70" max="70" width="5.42578125" style="45" customWidth="1"/>
    <col min="71" max="71" width="5.7109375" style="45" customWidth="1"/>
    <col min="72" max="72" width="5.5703125" style="45" customWidth="1"/>
    <col min="73" max="73" width="5.7109375" style="45" customWidth="1"/>
    <col min="74" max="74" width="6" style="45" customWidth="1"/>
    <col min="75" max="75" width="2.42578125" style="46" customWidth="1"/>
    <col min="76" max="76" width="11.140625" style="97" customWidth="1"/>
    <col min="77" max="77" width="5.5703125" style="45" customWidth="1"/>
    <col min="78" max="78" width="5.7109375" style="45" customWidth="1"/>
    <col min="79" max="79" width="6.85546875" style="45" customWidth="1"/>
    <col min="80" max="80" width="8" style="45" customWidth="1"/>
    <col min="81" max="81" width="8.28515625" style="45" customWidth="1"/>
    <col min="82" max="82" width="7.5703125" style="45" customWidth="1"/>
    <col min="83" max="83" width="7.28515625" style="45" customWidth="1"/>
    <col min="84" max="84" width="7.140625" style="45" customWidth="1"/>
    <col min="85" max="85" width="6.42578125" style="45" customWidth="1"/>
    <col min="86" max="86" width="5.7109375" style="45" customWidth="1"/>
    <col min="87" max="87" width="5.5703125" style="45" customWidth="1"/>
    <col min="88" max="88" width="5.7109375" style="45" customWidth="1"/>
    <col min="89" max="89" width="6" style="45" customWidth="1"/>
    <col min="90" max="90" width="2.42578125" style="46" customWidth="1"/>
    <col min="91" max="91" width="11.5703125" style="97" customWidth="1"/>
    <col min="92" max="92" width="5.5703125" style="45" customWidth="1"/>
    <col min="93" max="93" width="5.7109375" style="45" customWidth="1"/>
    <col min="94" max="94" width="6.85546875" style="45" customWidth="1"/>
    <col min="95" max="95" width="8" style="45" customWidth="1"/>
    <col min="96" max="96" width="8.28515625" style="45" customWidth="1"/>
    <col min="97" max="97" width="6.5703125" style="45" customWidth="1"/>
    <col min="98" max="98" width="7.28515625" style="45" customWidth="1"/>
    <col min="99" max="99" width="6.5703125" style="45" customWidth="1"/>
    <col min="100" max="100" width="7.42578125" style="45" customWidth="1"/>
    <col min="101" max="101" width="5.7109375" style="45" customWidth="1"/>
    <col min="102" max="102" width="5.5703125" style="45" customWidth="1"/>
    <col min="103" max="103" width="5.7109375" style="45" customWidth="1"/>
    <col min="104" max="104" width="6" style="45" customWidth="1"/>
    <col min="105" max="105" width="2.42578125" style="46" customWidth="1"/>
    <col min="106" max="106" width="12.42578125" style="97" customWidth="1"/>
    <col min="107" max="107" width="5.5703125" style="45" customWidth="1"/>
    <col min="108" max="108" width="5.7109375" style="45" customWidth="1"/>
    <col min="109" max="109" width="6.85546875" style="45" customWidth="1"/>
    <col min="110" max="110" width="8" style="45" customWidth="1"/>
    <col min="111" max="111" width="8.28515625" style="45" customWidth="1"/>
    <col min="112" max="112" width="6.5703125" style="45" customWidth="1"/>
    <col min="113" max="113" width="7.28515625" style="45" customWidth="1"/>
    <col min="114" max="114" width="7.140625" style="45" customWidth="1"/>
    <col min="115" max="115" width="5.5703125" style="45" customWidth="1"/>
    <col min="116" max="116" width="5.7109375" style="45" customWidth="1"/>
    <col min="117" max="117" width="5.5703125" style="45" customWidth="1"/>
    <col min="118" max="118" width="5.7109375" style="45" customWidth="1"/>
    <col min="119" max="119" width="6" style="45" customWidth="1"/>
    <col min="120" max="120" width="2.42578125" style="46" customWidth="1"/>
    <col min="121" max="121" width="11" style="97" customWidth="1"/>
    <col min="122" max="122" width="5.5703125" style="45" customWidth="1"/>
    <col min="123" max="123" width="5.7109375" style="45" customWidth="1"/>
    <col min="124" max="124" width="6.85546875" style="45" customWidth="1"/>
    <col min="125" max="125" width="8" style="45" customWidth="1"/>
    <col min="126" max="126" width="8.28515625" style="45" customWidth="1"/>
    <col min="127" max="127" width="6.5703125" style="45" customWidth="1"/>
    <col min="128" max="128" width="7.28515625" style="45" customWidth="1"/>
    <col min="129" max="129" width="7.140625" style="45" customWidth="1"/>
    <col min="130" max="130" width="5.85546875" style="45" customWidth="1"/>
    <col min="131" max="131" width="5.7109375" style="45" customWidth="1"/>
    <col min="132" max="132" width="5.5703125" style="45" customWidth="1"/>
    <col min="133" max="133" width="5.7109375" style="45" customWidth="1"/>
    <col min="134" max="134" width="6" style="45" customWidth="1"/>
    <col min="135" max="135" width="2.42578125" style="46" customWidth="1"/>
    <col min="136" max="136" width="11.7109375" style="97" customWidth="1"/>
    <col min="137" max="137" width="5.5703125" style="45" customWidth="1"/>
    <col min="138" max="138" width="5.7109375" style="45" customWidth="1"/>
    <col min="139" max="139" width="6.85546875" style="45" customWidth="1"/>
    <col min="140" max="140" width="8" style="45" customWidth="1"/>
    <col min="141" max="141" width="8.28515625" style="45" customWidth="1"/>
    <col min="142" max="142" width="7.140625" style="45" customWidth="1"/>
    <col min="143" max="143" width="7.28515625" style="45" customWidth="1"/>
    <col min="144" max="144" width="7.140625" style="45" customWidth="1"/>
    <col min="145" max="146" width="5.7109375" style="45" customWidth="1"/>
    <col min="147" max="147" width="5.5703125" style="45" customWidth="1"/>
    <col min="148" max="148" width="5.7109375" style="45" customWidth="1"/>
    <col min="149" max="149" width="6" style="45" customWidth="1"/>
    <col min="150" max="150" width="2.42578125" style="46" customWidth="1"/>
    <col min="151" max="151" width="10.85546875" style="97" customWidth="1"/>
    <col min="152" max="152" width="5.5703125" style="45" customWidth="1"/>
    <col min="153" max="153" width="5.7109375" style="45" customWidth="1"/>
    <col min="154" max="154" width="6.85546875" style="45" customWidth="1"/>
    <col min="155" max="155" width="8" style="45" customWidth="1"/>
    <col min="156" max="156" width="8.28515625" style="45" customWidth="1"/>
    <col min="157" max="157" width="6.5703125" style="45" customWidth="1"/>
    <col min="158" max="158" width="7.28515625" style="45" customWidth="1"/>
    <col min="159" max="159" width="7.140625" style="45" customWidth="1"/>
    <col min="160" max="161" width="5.7109375" style="45" customWidth="1"/>
    <col min="162" max="162" width="5.5703125" style="45" customWidth="1"/>
    <col min="163" max="163" width="5.7109375" style="45" customWidth="1"/>
    <col min="164" max="164" width="6" style="45" customWidth="1"/>
    <col min="165" max="165" width="2.42578125" style="46" customWidth="1"/>
    <col min="166" max="166" width="11.42578125" style="97" customWidth="1"/>
    <col min="167" max="167" width="5.5703125" style="45" customWidth="1"/>
    <col min="168" max="168" width="5.7109375" style="45" customWidth="1"/>
    <col min="169" max="169" width="6.85546875" style="45" customWidth="1"/>
    <col min="170" max="170" width="8" style="45" customWidth="1"/>
    <col min="171" max="171" width="8.28515625" style="45" customWidth="1"/>
    <col min="172" max="172" width="7.42578125" style="45" customWidth="1"/>
    <col min="173" max="173" width="7.28515625" style="45" customWidth="1"/>
    <col min="174" max="174" width="7.140625" style="45" customWidth="1"/>
    <col min="175" max="175" width="6.28515625" style="45" customWidth="1"/>
    <col min="176" max="176" width="5.7109375" style="45" customWidth="1"/>
    <col min="177" max="177" width="5.5703125" style="45" customWidth="1"/>
    <col min="178" max="178" width="5.7109375" style="45" customWidth="1"/>
    <col min="179" max="179" width="6" style="45" customWidth="1"/>
    <col min="180" max="180" width="2.42578125" style="46" customWidth="1"/>
    <col min="181" max="181" width="11.42578125" style="97" customWidth="1"/>
    <col min="182" max="182" width="6.140625" style="45" customWidth="1"/>
    <col min="183" max="183" width="5.7109375" style="45" customWidth="1"/>
    <col min="184" max="184" width="8.5703125" style="45" customWidth="1"/>
    <col min="185" max="185" width="7.28515625" style="45" customWidth="1"/>
    <col min="186" max="186" width="8.28515625" style="45" customWidth="1"/>
    <col min="187" max="187" width="8.42578125" style="45" customWidth="1"/>
    <col min="188" max="188" width="6.5703125" style="45" customWidth="1"/>
    <col min="189" max="189" width="7.140625" style="45" customWidth="1"/>
    <col min="190" max="190" width="6.5703125" style="45" customWidth="1"/>
    <col min="191" max="191" width="4.7109375" style="45" customWidth="1"/>
    <col min="192" max="192" width="6.5703125" style="45" customWidth="1"/>
    <col min="193" max="193" width="4.7109375" style="45" customWidth="1"/>
    <col min="194" max="194" width="6.140625" style="45" customWidth="1"/>
    <col min="195" max="195" width="2.42578125" style="46" customWidth="1"/>
    <col min="196" max="16384" width="9.140625" style="45"/>
  </cols>
  <sheetData>
    <row r="1" spans="1:195" s="131" customFormat="1" ht="17.100000000000001" customHeight="1" thickBot="1" x14ac:dyDescent="0.25">
      <c r="A1" s="130"/>
      <c r="P1" s="130"/>
      <c r="AE1" s="130"/>
      <c r="AT1" s="130"/>
      <c r="BI1" s="130"/>
      <c r="BX1" s="130"/>
      <c r="CM1" s="130"/>
      <c r="DB1" s="130"/>
      <c r="DQ1" s="130"/>
      <c r="EF1" s="130"/>
      <c r="EU1" s="130"/>
      <c r="FJ1" s="130"/>
      <c r="FY1" s="130"/>
    </row>
    <row r="2" spans="1:195" s="56" customFormat="1" ht="17.100000000000001" customHeight="1" thickBot="1" x14ac:dyDescent="0.25">
      <c r="A2" s="48" t="s">
        <v>38</v>
      </c>
      <c r="B2" s="49"/>
      <c r="C2" s="50"/>
      <c r="D2" s="50"/>
      <c r="E2" s="51" t="s">
        <v>1</v>
      </c>
      <c r="F2" s="52">
        <v>1</v>
      </c>
      <c r="G2" s="51" t="s">
        <v>2</v>
      </c>
      <c r="H2" s="254">
        <v>1447</v>
      </c>
      <c r="I2" s="254"/>
      <c r="J2" s="254"/>
      <c r="K2" s="50" t="s">
        <v>29</v>
      </c>
      <c r="L2" s="50"/>
      <c r="M2" s="50"/>
      <c r="N2" s="53"/>
      <c r="O2" s="54"/>
      <c r="P2" s="48" t="s">
        <v>38</v>
      </c>
      <c r="Q2" s="49"/>
      <c r="R2" s="50"/>
      <c r="S2" s="50"/>
      <c r="T2" s="51" t="s">
        <v>1</v>
      </c>
      <c r="U2" s="52">
        <v>2</v>
      </c>
      <c r="V2" s="51" t="s">
        <v>2</v>
      </c>
      <c r="W2" s="254">
        <v>1447</v>
      </c>
      <c r="X2" s="254"/>
      <c r="Y2" s="254"/>
      <c r="Z2" s="50" t="s">
        <v>29</v>
      </c>
      <c r="AA2" s="50"/>
      <c r="AB2" s="50"/>
      <c r="AC2" s="53"/>
      <c r="AD2" s="54"/>
      <c r="AE2" s="48" t="s">
        <v>38</v>
      </c>
      <c r="AF2" s="49"/>
      <c r="AG2" s="50"/>
      <c r="AH2" s="50"/>
      <c r="AI2" s="51" t="s">
        <v>1</v>
      </c>
      <c r="AJ2" s="52">
        <v>3</v>
      </c>
      <c r="AK2" s="51" t="s">
        <v>2</v>
      </c>
      <c r="AL2" s="254">
        <v>1447</v>
      </c>
      <c r="AM2" s="254"/>
      <c r="AN2" s="254"/>
      <c r="AO2" s="50" t="s">
        <v>29</v>
      </c>
      <c r="AP2" s="50"/>
      <c r="AQ2" s="50"/>
      <c r="AR2" s="53"/>
      <c r="AS2" s="54"/>
      <c r="AT2" s="48" t="s">
        <v>38</v>
      </c>
      <c r="AU2" s="49"/>
      <c r="AV2" s="50"/>
      <c r="AW2" s="50"/>
      <c r="AX2" s="51" t="s">
        <v>1</v>
      </c>
      <c r="AY2" s="52">
        <v>4</v>
      </c>
      <c r="AZ2" s="51" t="s">
        <v>2</v>
      </c>
      <c r="BA2" s="254">
        <v>1447</v>
      </c>
      <c r="BB2" s="254"/>
      <c r="BC2" s="254"/>
      <c r="BD2" s="50" t="s">
        <v>29</v>
      </c>
      <c r="BE2" s="50"/>
      <c r="BF2" s="50"/>
      <c r="BG2" s="53"/>
      <c r="BH2" s="54"/>
      <c r="BI2" s="48" t="s">
        <v>38</v>
      </c>
      <c r="BJ2" s="49"/>
      <c r="BK2" s="50"/>
      <c r="BL2" s="50"/>
      <c r="BM2" s="51" t="s">
        <v>1</v>
      </c>
      <c r="BN2" s="52">
        <v>5</v>
      </c>
      <c r="BO2" s="51" t="s">
        <v>2</v>
      </c>
      <c r="BP2" s="254">
        <v>1447</v>
      </c>
      <c r="BQ2" s="254"/>
      <c r="BR2" s="254"/>
      <c r="BS2" s="50" t="s">
        <v>29</v>
      </c>
      <c r="BT2" s="50"/>
      <c r="BU2" s="50"/>
      <c r="BV2" s="53"/>
      <c r="BW2" s="54"/>
      <c r="BX2" s="48" t="s">
        <v>38</v>
      </c>
      <c r="BY2" s="49"/>
      <c r="BZ2" s="50"/>
      <c r="CA2" s="50"/>
      <c r="CB2" s="51" t="s">
        <v>1</v>
      </c>
      <c r="CC2" s="52">
        <v>6</v>
      </c>
      <c r="CD2" s="51" t="s">
        <v>2</v>
      </c>
      <c r="CE2" s="254">
        <v>1447</v>
      </c>
      <c r="CF2" s="254"/>
      <c r="CG2" s="254"/>
      <c r="CH2" s="50" t="s">
        <v>29</v>
      </c>
      <c r="CI2" s="50"/>
      <c r="CJ2" s="50"/>
      <c r="CK2" s="53"/>
      <c r="CL2" s="54"/>
      <c r="CM2" s="48" t="s">
        <v>38</v>
      </c>
      <c r="CN2" s="49"/>
      <c r="CO2" s="50"/>
      <c r="CP2" s="50"/>
      <c r="CQ2" s="51" t="s">
        <v>1</v>
      </c>
      <c r="CR2" s="52">
        <v>7</v>
      </c>
      <c r="CS2" s="51" t="s">
        <v>2</v>
      </c>
      <c r="CT2" s="254">
        <v>1447</v>
      </c>
      <c r="CU2" s="254"/>
      <c r="CV2" s="254"/>
      <c r="CW2" s="50" t="s">
        <v>29</v>
      </c>
      <c r="CX2" s="50"/>
      <c r="CY2" s="50"/>
      <c r="CZ2" s="53"/>
      <c r="DA2" s="54"/>
      <c r="DB2" s="48" t="s">
        <v>38</v>
      </c>
      <c r="DC2" s="49"/>
      <c r="DD2" s="50"/>
      <c r="DE2" s="50"/>
      <c r="DF2" s="51" t="s">
        <v>1</v>
      </c>
      <c r="DG2" s="52">
        <v>8</v>
      </c>
      <c r="DH2" s="51" t="s">
        <v>2</v>
      </c>
      <c r="DI2" s="254">
        <v>1447</v>
      </c>
      <c r="DJ2" s="254"/>
      <c r="DK2" s="254"/>
      <c r="DL2" s="50" t="s">
        <v>29</v>
      </c>
      <c r="DM2" s="50"/>
      <c r="DN2" s="50"/>
      <c r="DO2" s="53"/>
      <c r="DP2" s="54"/>
      <c r="DQ2" s="48" t="s">
        <v>38</v>
      </c>
      <c r="DR2" s="49"/>
      <c r="DS2" s="50"/>
      <c r="DT2" s="50"/>
      <c r="DU2" s="51" t="s">
        <v>1</v>
      </c>
      <c r="DV2" s="52">
        <v>9</v>
      </c>
      <c r="DW2" s="51" t="s">
        <v>2</v>
      </c>
      <c r="DX2" s="254">
        <v>1447</v>
      </c>
      <c r="DY2" s="254"/>
      <c r="DZ2" s="254"/>
      <c r="EA2" s="50" t="s">
        <v>29</v>
      </c>
      <c r="EB2" s="50"/>
      <c r="EC2" s="50"/>
      <c r="ED2" s="53"/>
      <c r="EE2" s="54"/>
      <c r="EF2" s="48" t="s">
        <v>38</v>
      </c>
      <c r="EG2" s="49"/>
      <c r="EH2" s="50"/>
      <c r="EI2" s="50"/>
      <c r="EJ2" s="51" t="s">
        <v>1</v>
      </c>
      <c r="EK2" s="52">
        <v>10</v>
      </c>
      <c r="EL2" s="51" t="s">
        <v>2</v>
      </c>
      <c r="EM2" s="254">
        <v>1447</v>
      </c>
      <c r="EN2" s="254"/>
      <c r="EO2" s="254"/>
      <c r="EP2" s="50" t="s">
        <v>29</v>
      </c>
      <c r="EQ2" s="50"/>
      <c r="ER2" s="50"/>
      <c r="ES2" s="53"/>
      <c r="ET2" s="54"/>
      <c r="EU2" s="48" t="s">
        <v>38</v>
      </c>
      <c r="EV2" s="49"/>
      <c r="EW2" s="50"/>
      <c r="EX2" s="50"/>
      <c r="EY2" s="51" t="s">
        <v>1</v>
      </c>
      <c r="EZ2" s="52">
        <v>11</v>
      </c>
      <c r="FA2" s="51" t="s">
        <v>2</v>
      </c>
      <c r="FB2" s="254">
        <v>1447</v>
      </c>
      <c r="FC2" s="254"/>
      <c r="FD2" s="254"/>
      <c r="FE2" s="50" t="s">
        <v>29</v>
      </c>
      <c r="FF2" s="50"/>
      <c r="FG2" s="50"/>
      <c r="FH2" s="53"/>
      <c r="FI2" s="54"/>
      <c r="FJ2" s="48" t="s">
        <v>38</v>
      </c>
      <c r="FK2" s="49"/>
      <c r="FL2" s="50"/>
      <c r="FM2" s="50"/>
      <c r="FN2" s="51" t="s">
        <v>1</v>
      </c>
      <c r="FO2" s="52">
        <v>12</v>
      </c>
      <c r="FP2" s="51" t="s">
        <v>2</v>
      </c>
      <c r="FQ2" s="254">
        <v>1447</v>
      </c>
      <c r="FR2" s="254"/>
      <c r="FS2" s="254"/>
      <c r="FT2" s="50" t="s">
        <v>29</v>
      </c>
      <c r="FU2" s="50"/>
      <c r="FV2" s="50"/>
      <c r="FW2" s="53"/>
      <c r="FX2" s="54"/>
      <c r="FY2" s="55" t="str">
        <f>(FJ2)</f>
        <v xml:space="preserve"> مراكزمستشفى شرق جدة</v>
      </c>
      <c r="FZ2" s="49"/>
      <c r="GA2" s="50"/>
      <c r="GB2" s="50"/>
      <c r="GC2" s="51"/>
      <c r="GD2" s="52"/>
      <c r="GE2" s="51" t="s">
        <v>2</v>
      </c>
      <c r="GF2" s="254">
        <f>SUM(FQ2)</f>
        <v>1447</v>
      </c>
      <c r="GG2" s="254"/>
      <c r="GH2" s="254"/>
      <c r="GI2" s="50"/>
      <c r="GJ2" s="50"/>
      <c r="GK2" s="50"/>
      <c r="GL2" s="53"/>
      <c r="GM2" s="54"/>
    </row>
    <row r="3" spans="1:195" s="58" customFormat="1" ht="17.100000000000001" customHeight="1" thickBot="1" x14ac:dyDescent="0.25">
      <c r="A3" s="244" t="s">
        <v>28</v>
      </c>
      <c r="B3" s="245"/>
      <c r="C3" s="246"/>
      <c r="D3" s="236" t="s">
        <v>5</v>
      </c>
      <c r="E3" s="234" t="s">
        <v>6</v>
      </c>
      <c r="F3" s="235"/>
      <c r="G3" s="236" t="s">
        <v>7</v>
      </c>
      <c r="H3" s="236" t="s">
        <v>8</v>
      </c>
      <c r="I3" s="236" t="s">
        <v>9</v>
      </c>
      <c r="J3" s="236" t="s">
        <v>24</v>
      </c>
      <c r="K3" s="238" t="s">
        <v>10</v>
      </c>
      <c r="L3" s="239"/>
      <c r="M3" s="239"/>
      <c r="N3" s="240"/>
      <c r="O3" s="57"/>
      <c r="P3" s="244" t="s">
        <v>28</v>
      </c>
      <c r="Q3" s="245"/>
      <c r="R3" s="246"/>
      <c r="S3" s="236" t="s">
        <v>5</v>
      </c>
      <c r="T3" s="234" t="s">
        <v>6</v>
      </c>
      <c r="U3" s="235"/>
      <c r="V3" s="236" t="s">
        <v>7</v>
      </c>
      <c r="W3" s="236" t="s">
        <v>8</v>
      </c>
      <c r="X3" s="236" t="s">
        <v>9</v>
      </c>
      <c r="Y3" s="236" t="s">
        <v>24</v>
      </c>
      <c r="Z3" s="238" t="s">
        <v>10</v>
      </c>
      <c r="AA3" s="239"/>
      <c r="AB3" s="239"/>
      <c r="AC3" s="240"/>
      <c r="AD3" s="57"/>
      <c r="AE3" s="244" t="s">
        <v>28</v>
      </c>
      <c r="AF3" s="245"/>
      <c r="AG3" s="246"/>
      <c r="AH3" s="236" t="s">
        <v>5</v>
      </c>
      <c r="AI3" s="234" t="s">
        <v>6</v>
      </c>
      <c r="AJ3" s="235"/>
      <c r="AK3" s="236" t="s">
        <v>7</v>
      </c>
      <c r="AL3" s="236" t="s">
        <v>8</v>
      </c>
      <c r="AM3" s="236" t="s">
        <v>9</v>
      </c>
      <c r="AN3" s="236" t="s">
        <v>24</v>
      </c>
      <c r="AO3" s="238" t="s">
        <v>10</v>
      </c>
      <c r="AP3" s="239"/>
      <c r="AQ3" s="239"/>
      <c r="AR3" s="240"/>
      <c r="AS3" s="57"/>
      <c r="AT3" s="244" t="s">
        <v>28</v>
      </c>
      <c r="AU3" s="245"/>
      <c r="AV3" s="246"/>
      <c r="AW3" s="236" t="s">
        <v>5</v>
      </c>
      <c r="AX3" s="234" t="s">
        <v>6</v>
      </c>
      <c r="AY3" s="235"/>
      <c r="AZ3" s="236" t="s">
        <v>7</v>
      </c>
      <c r="BA3" s="236" t="s">
        <v>8</v>
      </c>
      <c r="BB3" s="236" t="s">
        <v>9</v>
      </c>
      <c r="BC3" s="236" t="s">
        <v>24</v>
      </c>
      <c r="BD3" s="238" t="s">
        <v>10</v>
      </c>
      <c r="BE3" s="239"/>
      <c r="BF3" s="239"/>
      <c r="BG3" s="240"/>
      <c r="BH3" s="57"/>
      <c r="BI3" s="244" t="s">
        <v>28</v>
      </c>
      <c r="BJ3" s="245"/>
      <c r="BK3" s="246"/>
      <c r="BL3" s="236" t="s">
        <v>5</v>
      </c>
      <c r="BM3" s="234" t="s">
        <v>6</v>
      </c>
      <c r="BN3" s="235"/>
      <c r="BO3" s="236" t="s">
        <v>7</v>
      </c>
      <c r="BP3" s="236" t="s">
        <v>8</v>
      </c>
      <c r="BQ3" s="236" t="s">
        <v>9</v>
      </c>
      <c r="BR3" s="236" t="s">
        <v>24</v>
      </c>
      <c r="BS3" s="238" t="s">
        <v>10</v>
      </c>
      <c r="BT3" s="239"/>
      <c r="BU3" s="239"/>
      <c r="BV3" s="240"/>
      <c r="BW3" s="57"/>
      <c r="BX3" s="244" t="s">
        <v>28</v>
      </c>
      <c r="BY3" s="245"/>
      <c r="BZ3" s="246"/>
      <c r="CA3" s="236" t="s">
        <v>5</v>
      </c>
      <c r="CB3" s="234" t="s">
        <v>6</v>
      </c>
      <c r="CC3" s="235"/>
      <c r="CD3" s="236" t="s">
        <v>7</v>
      </c>
      <c r="CE3" s="236" t="s">
        <v>8</v>
      </c>
      <c r="CF3" s="236" t="s">
        <v>9</v>
      </c>
      <c r="CG3" s="236" t="s">
        <v>24</v>
      </c>
      <c r="CH3" s="238" t="s">
        <v>10</v>
      </c>
      <c r="CI3" s="239"/>
      <c r="CJ3" s="239"/>
      <c r="CK3" s="240"/>
      <c r="CL3" s="57"/>
      <c r="CM3" s="244" t="s">
        <v>28</v>
      </c>
      <c r="CN3" s="245"/>
      <c r="CO3" s="246"/>
      <c r="CP3" s="236" t="s">
        <v>5</v>
      </c>
      <c r="CQ3" s="234" t="s">
        <v>6</v>
      </c>
      <c r="CR3" s="235"/>
      <c r="CS3" s="236" t="s">
        <v>7</v>
      </c>
      <c r="CT3" s="236" t="s">
        <v>8</v>
      </c>
      <c r="CU3" s="236" t="s">
        <v>9</v>
      </c>
      <c r="CV3" s="236" t="s">
        <v>24</v>
      </c>
      <c r="CW3" s="238" t="s">
        <v>10</v>
      </c>
      <c r="CX3" s="239"/>
      <c r="CY3" s="239"/>
      <c r="CZ3" s="240"/>
      <c r="DA3" s="57"/>
      <c r="DB3" s="244" t="s">
        <v>28</v>
      </c>
      <c r="DC3" s="245"/>
      <c r="DD3" s="246"/>
      <c r="DE3" s="236" t="s">
        <v>5</v>
      </c>
      <c r="DF3" s="234" t="s">
        <v>6</v>
      </c>
      <c r="DG3" s="235"/>
      <c r="DH3" s="236" t="s">
        <v>7</v>
      </c>
      <c r="DI3" s="236" t="s">
        <v>8</v>
      </c>
      <c r="DJ3" s="236" t="s">
        <v>9</v>
      </c>
      <c r="DK3" s="236" t="s">
        <v>24</v>
      </c>
      <c r="DL3" s="238" t="s">
        <v>10</v>
      </c>
      <c r="DM3" s="239"/>
      <c r="DN3" s="239"/>
      <c r="DO3" s="240"/>
      <c r="DP3" s="57"/>
      <c r="DQ3" s="244" t="s">
        <v>28</v>
      </c>
      <c r="DR3" s="245"/>
      <c r="DS3" s="246"/>
      <c r="DT3" s="236" t="s">
        <v>5</v>
      </c>
      <c r="DU3" s="234" t="s">
        <v>6</v>
      </c>
      <c r="DV3" s="235"/>
      <c r="DW3" s="236" t="s">
        <v>7</v>
      </c>
      <c r="DX3" s="236" t="s">
        <v>8</v>
      </c>
      <c r="DY3" s="236" t="s">
        <v>9</v>
      </c>
      <c r="DZ3" s="236" t="s">
        <v>24</v>
      </c>
      <c r="EA3" s="238" t="s">
        <v>10</v>
      </c>
      <c r="EB3" s="239"/>
      <c r="EC3" s="239"/>
      <c r="ED3" s="240"/>
      <c r="EE3" s="57"/>
      <c r="EF3" s="244" t="s">
        <v>28</v>
      </c>
      <c r="EG3" s="245"/>
      <c r="EH3" s="246"/>
      <c r="EI3" s="236" t="s">
        <v>5</v>
      </c>
      <c r="EJ3" s="234" t="s">
        <v>6</v>
      </c>
      <c r="EK3" s="235"/>
      <c r="EL3" s="236" t="s">
        <v>7</v>
      </c>
      <c r="EM3" s="236" t="s">
        <v>8</v>
      </c>
      <c r="EN3" s="236" t="s">
        <v>9</v>
      </c>
      <c r="EO3" s="236" t="s">
        <v>24</v>
      </c>
      <c r="EP3" s="238" t="s">
        <v>10</v>
      </c>
      <c r="EQ3" s="239"/>
      <c r="ER3" s="239"/>
      <c r="ES3" s="240"/>
      <c r="ET3" s="57"/>
      <c r="EU3" s="244" t="s">
        <v>28</v>
      </c>
      <c r="EV3" s="245"/>
      <c r="EW3" s="246"/>
      <c r="EX3" s="236" t="s">
        <v>5</v>
      </c>
      <c r="EY3" s="234" t="s">
        <v>6</v>
      </c>
      <c r="EZ3" s="235"/>
      <c r="FA3" s="236" t="s">
        <v>7</v>
      </c>
      <c r="FB3" s="236" t="s">
        <v>8</v>
      </c>
      <c r="FC3" s="236" t="s">
        <v>9</v>
      </c>
      <c r="FD3" s="236" t="s">
        <v>24</v>
      </c>
      <c r="FE3" s="238" t="s">
        <v>10</v>
      </c>
      <c r="FF3" s="239"/>
      <c r="FG3" s="239"/>
      <c r="FH3" s="240"/>
      <c r="FI3" s="57"/>
      <c r="FJ3" s="244" t="s">
        <v>28</v>
      </c>
      <c r="FK3" s="245"/>
      <c r="FL3" s="246"/>
      <c r="FM3" s="236" t="s">
        <v>5</v>
      </c>
      <c r="FN3" s="234" t="s">
        <v>6</v>
      </c>
      <c r="FO3" s="235"/>
      <c r="FP3" s="236" t="s">
        <v>7</v>
      </c>
      <c r="FQ3" s="236" t="s">
        <v>8</v>
      </c>
      <c r="FR3" s="236" t="s">
        <v>9</v>
      </c>
      <c r="FS3" s="236" t="s">
        <v>24</v>
      </c>
      <c r="FT3" s="238" t="s">
        <v>10</v>
      </c>
      <c r="FU3" s="239"/>
      <c r="FV3" s="239"/>
      <c r="FW3" s="240"/>
      <c r="FX3" s="57"/>
      <c r="FY3" s="256" t="s">
        <v>28</v>
      </c>
      <c r="FZ3" s="242" t="s">
        <v>3</v>
      </c>
      <c r="GA3" s="242" t="s">
        <v>4</v>
      </c>
      <c r="GB3" s="242" t="s">
        <v>5</v>
      </c>
      <c r="GC3" s="258" t="s">
        <v>6</v>
      </c>
      <c r="GD3" s="233"/>
      <c r="GE3" s="242" t="s">
        <v>7</v>
      </c>
      <c r="GF3" s="242" t="s">
        <v>8</v>
      </c>
      <c r="GG3" s="242" t="s">
        <v>9</v>
      </c>
      <c r="GH3" s="242" t="s">
        <v>25</v>
      </c>
      <c r="GI3" s="231" t="s">
        <v>10</v>
      </c>
      <c r="GJ3" s="232"/>
      <c r="GK3" s="232"/>
      <c r="GL3" s="233"/>
      <c r="GM3" s="57"/>
    </row>
    <row r="4" spans="1:195" s="60" customFormat="1" ht="77.25" customHeight="1" thickBot="1" x14ac:dyDescent="0.25">
      <c r="A4" s="247"/>
      <c r="B4" s="248"/>
      <c r="C4" s="249"/>
      <c r="D4" s="241"/>
      <c r="E4" s="39" t="s">
        <v>11</v>
      </c>
      <c r="F4" s="100" t="s">
        <v>12</v>
      </c>
      <c r="G4" s="241"/>
      <c r="H4" s="241"/>
      <c r="I4" s="237"/>
      <c r="J4" s="237"/>
      <c r="K4" s="41" t="s">
        <v>13</v>
      </c>
      <c r="L4" s="42" t="s">
        <v>14</v>
      </c>
      <c r="M4" s="42" t="s">
        <v>15</v>
      </c>
      <c r="N4" s="43" t="s">
        <v>16</v>
      </c>
      <c r="O4" s="59"/>
      <c r="P4" s="247"/>
      <c r="Q4" s="248"/>
      <c r="R4" s="249"/>
      <c r="S4" s="241"/>
      <c r="T4" s="39" t="s">
        <v>11</v>
      </c>
      <c r="U4" s="100" t="s">
        <v>12</v>
      </c>
      <c r="V4" s="241"/>
      <c r="W4" s="241"/>
      <c r="X4" s="237"/>
      <c r="Y4" s="237"/>
      <c r="Z4" s="41" t="s">
        <v>13</v>
      </c>
      <c r="AA4" s="42" t="s">
        <v>14</v>
      </c>
      <c r="AB4" s="42" t="s">
        <v>15</v>
      </c>
      <c r="AC4" s="43" t="s">
        <v>16</v>
      </c>
      <c r="AD4" s="59"/>
      <c r="AE4" s="247"/>
      <c r="AF4" s="248"/>
      <c r="AG4" s="249"/>
      <c r="AH4" s="241"/>
      <c r="AI4" s="39" t="s">
        <v>11</v>
      </c>
      <c r="AJ4" s="100" t="s">
        <v>12</v>
      </c>
      <c r="AK4" s="241"/>
      <c r="AL4" s="241"/>
      <c r="AM4" s="237"/>
      <c r="AN4" s="237"/>
      <c r="AO4" s="41" t="s">
        <v>13</v>
      </c>
      <c r="AP4" s="42" t="s">
        <v>14</v>
      </c>
      <c r="AQ4" s="42" t="s">
        <v>15</v>
      </c>
      <c r="AR4" s="43" t="s">
        <v>16</v>
      </c>
      <c r="AS4" s="59"/>
      <c r="AT4" s="247"/>
      <c r="AU4" s="248"/>
      <c r="AV4" s="249"/>
      <c r="AW4" s="241"/>
      <c r="AX4" s="39" t="s">
        <v>11</v>
      </c>
      <c r="AY4" s="100" t="s">
        <v>12</v>
      </c>
      <c r="AZ4" s="241"/>
      <c r="BA4" s="241"/>
      <c r="BB4" s="237"/>
      <c r="BC4" s="237"/>
      <c r="BD4" s="41" t="s">
        <v>13</v>
      </c>
      <c r="BE4" s="42" t="s">
        <v>14</v>
      </c>
      <c r="BF4" s="42" t="s">
        <v>15</v>
      </c>
      <c r="BG4" s="43" t="s">
        <v>16</v>
      </c>
      <c r="BH4" s="59"/>
      <c r="BI4" s="247"/>
      <c r="BJ4" s="248"/>
      <c r="BK4" s="249"/>
      <c r="BL4" s="241"/>
      <c r="BM4" s="39" t="s">
        <v>11</v>
      </c>
      <c r="BN4" s="100" t="s">
        <v>12</v>
      </c>
      <c r="BO4" s="241"/>
      <c r="BP4" s="241"/>
      <c r="BQ4" s="237"/>
      <c r="BR4" s="237"/>
      <c r="BS4" s="41" t="s">
        <v>13</v>
      </c>
      <c r="BT4" s="42" t="s">
        <v>14</v>
      </c>
      <c r="BU4" s="42" t="s">
        <v>15</v>
      </c>
      <c r="BV4" s="43" t="s">
        <v>16</v>
      </c>
      <c r="BW4" s="59"/>
      <c r="BX4" s="247"/>
      <c r="BY4" s="248"/>
      <c r="BZ4" s="249"/>
      <c r="CA4" s="241"/>
      <c r="CB4" s="39" t="s">
        <v>11</v>
      </c>
      <c r="CC4" s="100" t="s">
        <v>12</v>
      </c>
      <c r="CD4" s="241"/>
      <c r="CE4" s="241"/>
      <c r="CF4" s="237"/>
      <c r="CG4" s="237"/>
      <c r="CH4" s="41" t="s">
        <v>13</v>
      </c>
      <c r="CI4" s="42" t="s">
        <v>14</v>
      </c>
      <c r="CJ4" s="42" t="s">
        <v>15</v>
      </c>
      <c r="CK4" s="43" t="s">
        <v>16</v>
      </c>
      <c r="CL4" s="59"/>
      <c r="CM4" s="247"/>
      <c r="CN4" s="248"/>
      <c r="CO4" s="249"/>
      <c r="CP4" s="241"/>
      <c r="CQ4" s="39" t="s">
        <v>11</v>
      </c>
      <c r="CR4" s="100" t="s">
        <v>12</v>
      </c>
      <c r="CS4" s="241"/>
      <c r="CT4" s="241"/>
      <c r="CU4" s="237"/>
      <c r="CV4" s="237"/>
      <c r="CW4" s="41" t="s">
        <v>13</v>
      </c>
      <c r="CX4" s="42" t="s">
        <v>14</v>
      </c>
      <c r="CY4" s="42" t="s">
        <v>15</v>
      </c>
      <c r="CZ4" s="43" t="s">
        <v>16</v>
      </c>
      <c r="DA4" s="59"/>
      <c r="DB4" s="247"/>
      <c r="DC4" s="248"/>
      <c r="DD4" s="249"/>
      <c r="DE4" s="241"/>
      <c r="DF4" s="39" t="s">
        <v>11</v>
      </c>
      <c r="DG4" s="100" t="s">
        <v>12</v>
      </c>
      <c r="DH4" s="241"/>
      <c r="DI4" s="241"/>
      <c r="DJ4" s="237"/>
      <c r="DK4" s="237"/>
      <c r="DL4" s="41" t="s">
        <v>13</v>
      </c>
      <c r="DM4" s="42" t="s">
        <v>14</v>
      </c>
      <c r="DN4" s="42" t="s">
        <v>15</v>
      </c>
      <c r="DO4" s="43" t="s">
        <v>16</v>
      </c>
      <c r="DP4" s="59"/>
      <c r="DQ4" s="247"/>
      <c r="DR4" s="248"/>
      <c r="DS4" s="249"/>
      <c r="DT4" s="241"/>
      <c r="DU4" s="39" t="s">
        <v>11</v>
      </c>
      <c r="DV4" s="100" t="s">
        <v>12</v>
      </c>
      <c r="DW4" s="241"/>
      <c r="DX4" s="241"/>
      <c r="DY4" s="237"/>
      <c r="DZ4" s="237"/>
      <c r="EA4" s="41" t="s">
        <v>13</v>
      </c>
      <c r="EB4" s="42" t="s">
        <v>14</v>
      </c>
      <c r="EC4" s="42" t="s">
        <v>15</v>
      </c>
      <c r="ED4" s="43" t="s">
        <v>16</v>
      </c>
      <c r="EE4" s="59"/>
      <c r="EF4" s="247"/>
      <c r="EG4" s="248"/>
      <c r="EH4" s="249"/>
      <c r="EI4" s="241"/>
      <c r="EJ4" s="39" t="s">
        <v>11</v>
      </c>
      <c r="EK4" s="100" t="s">
        <v>12</v>
      </c>
      <c r="EL4" s="241"/>
      <c r="EM4" s="241"/>
      <c r="EN4" s="237"/>
      <c r="EO4" s="237"/>
      <c r="EP4" s="41" t="s">
        <v>13</v>
      </c>
      <c r="EQ4" s="42" t="s">
        <v>14</v>
      </c>
      <c r="ER4" s="42" t="s">
        <v>15</v>
      </c>
      <c r="ES4" s="43" t="s">
        <v>16</v>
      </c>
      <c r="ET4" s="59"/>
      <c r="EU4" s="247"/>
      <c r="EV4" s="248"/>
      <c r="EW4" s="249"/>
      <c r="EX4" s="241"/>
      <c r="EY4" s="39" t="s">
        <v>11</v>
      </c>
      <c r="EZ4" s="100" t="s">
        <v>12</v>
      </c>
      <c r="FA4" s="241"/>
      <c r="FB4" s="241"/>
      <c r="FC4" s="237"/>
      <c r="FD4" s="237"/>
      <c r="FE4" s="41" t="s">
        <v>13</v>
      </c>
      <c r="FF4" s="42" t="s">
        <v>14</v>
      </c>
      <c r="FG4" s="42" t="s">
        <v>15</v>
      </c>
      <c r="FH4" s="43" t="s">
        <v>16</v>
      </c>
      <c r="FI4" s="59"/>
      <c r="FJ4" s="247"/>
      <c r="FK4" s="248"/>
      <c r="FL4" s="249"/>
      <c r="FM4" s="241"/>
      <c r="FN4" s="39" t="s">
        <v>11</v>
      </c>
      <c r="FO4" s="100" t="s">
        <v>12</v>
      </c>
      <c r="FP4" s="241"/>
      <c r="FQ4" s="241"/>
      <c r="FR4" s="237"/>
      <c r="FS4" s="237"/>
      <c r="FT4" s="41" t="s">
        <v>13</v>
      </c>
      <c r="FU4" s="42" t="s">
        <v>14</v>
      </c>
      <c r="FV4" s="42" t="s">
        <v>15</v>
      </c>
      <c r="FW4" s="43" t="s">
        <v>16</v>
      </c>
      <c r="FX4" s="59"/>
      <c r="FY4" s="257"/>
      <c r="FZ4" s="241"/>
      <c r="GA4" s="241"/>
      <c r="GB4" s="255"/>
      <c r="GC4" s="39" t="s">
        <v>27</v>
      </c>
      <c r="GD4" s="100" t="s">
        <v>12</v>
      </c>
      <c r="GE4" s="255"/>
      <c r="GF4" s="255"/>
      <c r="GG4" s="255"/>
      <c r="GH4" s="243"/>
      <c r="GI4" s="40" t="s">
        <v>13</v>
      </c>
      <c r="GJ4" s="40" t="s">
        <v>14</v>
      </c>
      <c r="GK4" s="40" t="s">
        <v>15</v>
      </c>
      <c r="GL4" s="100" t="s">
        <v>16</v>
      </c>
      <c r="GM4" s="59"/>
    </row>
    <row r="5" spans="1:195" ht="17.100000000000001" customHeight="1" thickTop="1" thickBot="1" x14ac:dyDescent="0.3">
      <c r="A5" s="228" t="s">
        <v>31</v>
      </c>
      <c r="B5" s="250" t="s">
        <v>17</v>
      </c>
      <c r="C5" s="61" t="s">
        <v>18</v>
      </c>
      <c r="D5" s="151">
        <v>7</v>
      </c>
      <c r="E5" s="152">
        <v>3</v>
      </c>
      <c r="F5" s="152">
        <v>1</v>
      </c>
      <c r="G5" s="152">
        <v>335</v>
      </c>
      <c r="H5" s="152">
        <v>1</v>
      </c>
      <c r="I5" s="152">
        <v>23</v>
      </c>
      <c r="J5" s="152">
        <v>338</v>
      </c>
      <c r="K5" s="153">
        <v>0</v>
      </c>
      <c r="L5" s="153">
        <v>0</v>
      </c>
      <c r="M5" s="153">
        <v>0</v>
      </c>
      <c r="N5" s="152">
        <v>0</v>
      </c>
      <c r="O5" s="44"/>
      <c r="P5" s="228" t="s">
        <v>31</v>
      </c>
      <c r="Q5" s="250" t="s">
        <v>17</v>
      </c>
      <c r="R5" s="61" t="s">
        <v>18</v>
      </c>
      <c r="S5" s="151">
        <v>40</v>
      </c>
      <c r="T5" s="152">
        <v>45</v>
      </c>
      <c r="U5" s="152">
        <v>3</v>
      </c>
      <c r="V5" s="152">
        <v>242</v>
      </c>
      <c r="W5" s="152">
        <v>12</v>
      </c>
      <c r="X5" s="152">
        <v>0</v>
      </c>
      <c r="Y5" s="152">
        <v>74</v>
      </c>
      <c r="Z5" s="153">
        <v>0</v>
      </c>
      <c r="AA5" s="153">
        <v>0</v>
      </c>
      <c r="AB5" s="153">
        <v>0</v>
      </c>
      <c r="AC5" s="152">
        <v>0</v>
      </c>
      <c r="AD5" s="44"/>
      <c r="AE5" s="228" t="s">
        <v>31</v>
      </c>
      <c r="AF5" s="250" t="s">
        <v>17</v>
      </c>
      <c r="AG5" s="61" t="s">
        <v>18</v>
      </c>
      <c r="AH5" s="151">
        <v>42</v>
      </c>
      <c r="AI5" s="152">
        <v>72</v>
      </c>
      <c r="AJ5" s="152">
        <v>0</v>
      </c>
      <c r="AK5" s="152">
        <v>614</v>
      </c>
      <c r="AL5" s="152">
        <v>7</v>
      </c>
      <c r="AM5" s="152">
        <v>0</v>
      </c>
      <c r="AN5" s="152">
        <v>69</v>
      </c>
      <c r="AO5" s="153">
        <v>0</v>
      </c>
      <c r="AP5" s="153">
        <v>0</v>
      </c>
      <c r="AQ5" s="153">
        <v>0</v>
      </c>
      <c r="AR5" s="152">
        <v>0</v>
      </c>
      <c r="AS5" s="44"/>
      <c r="AT5" s="228" t="s">
        <v>31</v>
      </c>
      <c r="AU5" s="250" t="s">
        <v>17</v>
      </c>
      <c r="AV5" s="61" t="s">
        <v>18</v>
      </c>
      <c r="AW5" s="151">
        <v>185</v>
      </c>
      <c r="AX5" s="152">
        <v>32</v>
      </c>
      <c r="AY5" s="152">
        <v>0</v>
      </c>
      <c r="AZ5" s="152">
        <v>459</v>
      </c>
      <c r="BA5" s="152">
        <v>7</v>
      </c>
      <c r="BB5" s="152">
        <v>31</v>
      </c>
      <c r="BC5" s="152">
        <v>94</v>
      </c>
      <c r="BD5" s="153">
        <v>0</v>
      </c>
      <c r="BE5" s="153">
        <v>0</v>
      </c>
      <c r="BF5" s="153">
        <v>0</v>
      </c>
      <c r="BG5" s="152">
        <v>0</v>
      </c>
      <c r="BH5" s="44"/>
      <c r="BI5" s="228" t="s">
        <v>31</v>
      </c>
      <c r="BJ5" s="250" t="s">
        <v>17</v>
      </c>
      <c r="BK5" s="61" t="s">
        <v>18</v>
      </c>
      <c r="BL5" s="111">
        <v>185</v>
      </c>
      <c r="BM5" s="111">
        <v>32</v>
      </c>
      <c r="BN5" s="111">
        <v>0</v>
      </c>
      <c r="BO5" s="111">
        <v>459</v>
      </c>
      <c r="BP5" s="111">
        <v>7</v>
      </c>
      <c r="BQ5" s="111">
        <v>31</v>
      </c>
      <c r="BR5" s="111">
        <v>48</v>
      </c>
      <c r="BS5" s="111">
        <v>0</v>
      </c>
      <c r="BT5" s="112">
        <v>0</v>
      </c>
      <c r="BU5" s="112">
        <v>0</v>
      </c>
      <c r="BV5" s="113">
        <v>0</v>
      </c>
      <c r="BW5" s="44"/>
      <c r="BX5" s="228" t="s">
        <v>31</v>
      </c>
      <c r="BY5" s="250" t="s">
        <v>17</v>
      </c>
      <c r="BZ5" s="61" t="s">
        <v>18</v>
      </c>
      <c r="CA5" s="111">
        <v>185</v>
      </c>
      <c r="CB5" s="111">
        <v>44</v>
      </c>
      <c r="CC5" s="111">
        <v>0</v>
      </c>
      <c r="CD5" s="111">
        <v>466</v>
      </c>
      <c r="CE5" s="111">
        <v>0</v>
      </c>
      <c r="CF5" s="111">
        <v>0</v>
      </c>
      <c r="CG5" s="151">
        <v>32</v>
      </c>
      <c r="CH5" s="111">
        <v>0</v>
      </c>
      <c r="CI5" s="112">
        <v>0</v>
      </c>
      <c r="CJ5" s="112">
        <v>0</v>
      </c>
      <c r="CK5" s="113">
        <v>0</v>
      </c>
      <c r="CL5" s="44"/>
      <c r="CM5" s="228" t="s">
        <v>31</v>
      </c>
      <c r="CN5" s="250" t="s">
        <v>17</v>
      </c>
      <c r="CO5" s="61" t="s">
        <v>18</v>
      </c>
      <c r="CP5" s="168">
        <v>26</v>
      </c>
      <c r="CQ5" s="161">
        <v>26</v>
      </c>
      <c r="CR5" s="161">
        <v>26</v>
      </c>
      <c r="CS5" s="169">
        <v>26</v>
      </c>
      <c r="CT5" s="169">
        <v>26</v>
      </c>
      <c r="CU5" s="169">
        <v>26</v>
      </c>
      <c r="CV5" s="170">
        <v>26</v>
      </c>
      <c r="CW5" s="153">
        <v>0</v>
      </c>
      <c r="CX5" s="153">
        <v>0</v>
      </c>
      <c r="CY5" s="153">
        <v>0</v>
      </c>
      <c r="CZ5" s="152">
        <v>0</v>
      </c>
      <c r="DA5" s="44"/>
      <c r="DB5" s="228" t="s">
        <v>31</v>
      </c>
      <c r="DC5" s="250" t="s">
        <v>17</v>
      </c>
      <c r="DD5" s="61" t="s">
        <v>18</v>
      </c>
      <c r="DE5" s="179">
        <v>190</v>
      </c>
      <c r="DF5" s="179">
        <v>58</v>
      </c>
      <c r="DG5" s="179">
        <v>0</v>
      </c>
      <c r="DH5" s="179">
        <v>557</v>
      </c>
      <c r="DI5" s="179">
        <v>7</v>
      </c>
      <c r="DJ5" s="179">
        <v>0</v>
      </c>
      <c r="DK5" s="179">
        <v>32</v>
      </c>
      <c r="DL5" s="179">
        <v>0</v>
      </c>
      <c r="DM5" s="180">
        <v>0</v>
      </c>
      <c r="DN5" s="180">
        <v>0</v>
      </c>
      <c r="DO5" s="181">
        <v>0</v>
      </c>
      <c r="DP5" s="44"/>
      <c r="DQ5" s="228" t="s">
        <v>31</v>
      </c>
      <c r="DR5" s="250" t="s">
        <v>17</v>
      </c>
      <c r="DS5" s="61" t="s">
        <v>18</v>
      </c>
      <c r="DT5" s="179">
        <v>88</v>
      </c>
      <c r="DU5" s="179">
        <v>10</v>
      </c>
      <c r="DV5" s="179">
        <v>0</v>
      </c>
      <c r="DW5" s="179">
        <v>350</v>
      </c>
      <c r="DX5" s="179">
        <v>4</v>
      </c>
      <c r="DY5" s="179">
        <v>3</v>
      </c>
      <c r="DZ5" s="179">
        <v>180</v>
      </c>
      <c r="EA5" s="179">
        <v>0</v>
      </c>
      <c r="EB5" s="180">
        <v>0</v>
      </c>
      <c r="EC5" s="180">
        <v>0</v>
      </c>
      <c r="ED5" s="181">
        <v>0</v>
      </c>
      <c r="EE5" s="44"/>
      <c r="EF5" s="228" t="s">
        <v>31</v>
      </c>
      <c r="EG5" s="250" t="s">
        <v>17</v>
      </c>
      <c r="EH5" s="61" t="s">
        <v>18</v>
      </c>
      <c r="EI5" s="179">
        <v>88</v>
      </c>
      <c r="EJ5" s="179">
        <v>10</v>
      </c>
      <c r="EK5" s="179">
        <v>0</v>
      </c>
      <c r="EL5" s="179">
        <v>350</v>
      </c>
      <c r="EM5" s="179">
        <v>4</v>
      </c>
      <c r="EN5" s="179">
        <v>3</v>
      </c>
      <c r="EO5" s="151">
        <v>500</v>
      </c>
      <c r="EP5" s="111">
        <v>0</v>
      </c>
      <c r="EQ5" s="112">
        <v>0</v>
      </c>
      <c r="ER5" s="112">
        <v>0</v>
      </c>
      <c r="ES5" s="113">
        <v>0</v>
      </c>
      <c r="ET5" s="44"/>
      <c r="EU5" s="228" t="s">
        <v>31</v>
      </c>
      <c r="EV5" s="250" t="s">
        <v>17</v>
      </c>
      <c r="EW5" s="61" t="s">
        <v>18</v>
      </c>
      <c r="EX5" s="111">
        <v>0</v>
      </c>
      <c r="EY5" s="111">
        <v>0</v>
      </c>
      <c r="EZ5" s="111">
        <v>0</v>
      </c>
      <c r="FA5" s="111">
        <v>0</v>
      </c>
      <c r="FB5" s="111">
        <v>0</v>
      </c>
      <c r="FC5" s="111">
        <v>0</v>
      </c>
      <c r="FD5" s="111">
        <v>0</v>
      </c>
      <c r="FE5" s="111">
        <v>0</v>
      </c>
      <c r="FF5" s="112">
        <v>0</v>
      </c>
      <c r="FG5" s="112">
        <v>0</v>
      </c>
      <c r="FH5" s="113">
        <v>0</v>
      </c>
      <c r="FI5" s="44"/>
      <c r="FJ5" s="228" t="s">
        <v>31</v>
      </c>
      <c r="FK5" s="250" t="s">
        <v>17</v>
      </c>
      <c r="FL5" s="61" t="s">
        <v>18</v>
      </c>
      <c r="FM5" s="111">
        <v>0</v>
      </c>
      <c r="FN5" s="111">
        <v>0</v>
      </c>
      <c r="FO5" s="111">
        <v>0</v>
      </c>
      <c r="FP5" s="111">
        <v>0</v>
      </c>
      <c r="FQ5" s="111">
        <v>0</v>
      </c>
      <c r="FR5" s="111">
        <v>0</v>
      </c>
      <c r="FS5" s="111">
        <v>0</v>
      </c>
      <c r="FT5" s="111">
        <v>0</v>
      </c>
      <c r="FU5" s="112">
        <v>0</v>
      </c>
      <c r="FV5" s="112">
        <v>0</v>
      </c>
      <c r="FW5" s="113">
        <v>0</v>
      </c>
      <c r="FX5" s="44"/>
      <c r="FY5" s="228" t="str">
        <f>(FJ5)</f>
        <v>الربيع والتوفيق</v>
      </c>
      <c r="FZ5" s="126" t="s">
        <v>17</v>
      </c>
      <c r="GA5" s="62" t="s">
        <v>18</v>
      </c>
      <c r="GB5" s="63">
        <f>SUM(FM5)</f>
        <v>0</v>
      </c>
      <c r="GC5" s="64">
        <f t="shared" ref="GC5:GC8" si="0">(E5+T5+AI5+AX5+BM5+CB5+CQ5+DF5+DU5+EJ5+EY5+FN5)</f>
        <v>332</v>
      </c>
      <c r="GD5" s="64">
        <f t="shared" ref="GD5:GD8" si="1">(F5+U5+AJ5+AY5+BN5+CC5+CR5+DG5+DV5+EK5+EZ5+FO5)</f>
        <v>30</v>
      </c>
      <c r="GE5" s="64">
        <f t="shared" ref="GE5:GE8" si="2">SUM(FP5)</f>
        <v>0</v>
      </c>
      <c r="GF5" s="64">
        <f t="shared" ref="GF5:GF8" si="3">SUM(FQ5)</f>
        <v>0</v>
      </c>
      <c r="GG5" s="64">
        <f t="shared" ref="GG5:GG8" si="4">SUM(FR5)</f>
        <v>0</v>
      </c>
      <c r="GH5" s="64">
        <f t="shared" ref="GH5:GH8" si="5">(J5+Y5+AN5+BC5+BR5+CG5+CV5+DK5+DZ5+EO5+FD5+FS5)</f>
        <v>1393</v>
      </c>
      <c r="GI5" s="64">
        <f t="shared" ref="GI5:GI8" si="6">(K5+Z5+AO5+BD5+BS5+CH5+CW5+DL5+EA5+EP5+FE5+FT5)</f>
        <v>0</v>
      </c>
      <c r="GJ5" s="64">
        <f t="shared" ref="GJ5:GJ8" si="7">(L5+AA5+AP5+BE5+BT5+CI5+CX5+DM5+EB5+EQ5+FF5+FU5)</f>
        <v>0</v>
      </c>
      <c r="GK5" s="64">
        <f t="shared" ref="GK5:GK8" si="8">(M5+AB5+AQ5+BF5+BU5+CJ5+CY5+DN5+EC5+ER5+FG5+FV5)</f>
        <v>0</v>
      </c>
      <c r="GL5" s="64">
        <f t="shared" ref="GL5:GL8" si="9">(N5+AC5+AR5+BG5+BV5+CK5+CZ5+DO5+ED5+ES5+FH5+FW5)</f>
        <v>0</v>
      </c>
      <c r="GM5" s="44"/>
    </row>
    <row r="6" spans="1:195" ht="17.100000000000001" customHeight="1" thickBot="1" x14ac:dyDescent="0.3">
      <c r="A6" s="229"/>
      <c r="B6" s="251"/>
      <c r="C6" s="65" t="s">
        <v>19</v>
      </c>
      <c r="D6" s="154">
        <v>5</v>
      </c>
      <c r="E6" s="155">
        <v>2</v>
      </c>
      <c r="F6" s="155">
        <v>6</v>
      </c>
      <c r="G6" s="155">
        <v>333</v>
      </c>
      <c r="H6" s="155">
        <v>2</v>
      </c>
      <c r="I6" s="155">
        <v>18</v>
      </c>
      <c r="J6" s="155">
        <v>305</v>
      </c>
      <c r="K6" s="156">
        <v>0</v>
      </c>
      <c r="L6" s="156">
        <v>0</v>
      </c>
      <c r="M6" s="156">
        <v>0</v>
      </c>
      <c r="N6" s="155">
        <v>0</v>
      </c>
      <c r="O6" s="44"/>
      <c r="P6" s="229"/>
      <c r="Q6" s="251"/>
      <c r="R6" s="65" t="s">
        <v>19</v>
      </c>
      <c r="S6" s="154">
        <v>52</v>
      </c>
      <c r="T6" s="155">
        <v>61</v>
      </c>
      <c r="U6" s="155">
        <v>1</v>
      </c>
      <c r="V6" s="155">
        <v>286</v>
      </c>
      <c r="W6" s="155">
        <v>9</v>
      </c>
      <c r="X6" s="155">
        <v>0</v>
      </c>
      <c r="Y6" s="155">
        <v>96</v>
      </c>
      <c r="Z6" s="156">
        <v>0</v>
      </c>
      <c r="AA6" s="156">
        <v>0</v>
      </c>
      <c r="AB6" s="156">
        <v>0</v>
      </c>
      <c r="AC6" s="155">
        <v>0</v>
      </c>
      <c r="AD6" s="44"/>
      <c r="AE6" s="229"/>
      <c r="AF6" s="251"/>
      <c r="AG6" s="65" t="s">
        <v>19</v>
      </c>
      <c r="AH6" s="154">
        <v>46</v>
      </c>
      <c r="AI6" s="155">
        <v>56</v>
      </c>
      <c r="AJ6" s="155">
        <v>0</v>
      </c>
      <c r="AK6" s="155">
        <v>513</v>
      </c>
      <c r="AL6" s="155">
        <v>9</v>
      </c>
      <c r="AM6" s="155">
        <v>0</v>
      </c>
      <c r="AN6" s="155">
        <v>55</v>
      </c>
      <c r="AO6" s="156">
        <v>0</v>
      </c>
      <c r="AP6" s="156">
        <v>0</v>
      </c>
      <c r="AQ6" s="156">
        <v>0</v>
      </c>
      <c r="AR6" s="155">
        <v>0</v>
      </c>
      <c r="AS6" s="44"/>
      <c r="AT6" s="229"/>
      <c r="AU6" s="251"/>
      <c r="AV6" s="65" t="s">
        <v>19</v>
      </c>
      <c r="AW6" s="154">
        <v>238</v>
      </c>
      <c r="AX6" s="155">
        <v>42</v>
      </c>
      <c r="AY6" s="155">
        <v>0</v>
      </c>
      <c r="AZ6" s="155">
        <v>672</v>
      </c>
      <c r="BA6" s="155">
        <v>13</v>
      </c>
      <c r="BB6" s="155">
        <v>43</v>
      </c>
      <c r="BC6" s="155">
        <v>116</v>
      </c>
      <c r="BD6" s="156">
        <v>0</v>
      </c>
      <c r="BE6" s="156">
        <v>0</v>
      </c>
      <c r="BF6" s="156">
        <v>0</v>
      </c>
      <c r="BG6" s="155">
        <v>0</v>
      </c>
      <c r="BH6" s="44"/>
      <c r="BI6" s="229"/>
      <c r="BJ6" s="251"/>
      <c r="BK6" s="65" t="s">
        <v>19</v>
      </c>
      <c r="BL6" s="114">
        <v>238</v>
      </c>
      <c r="BM6" s="114">
        <v>42</v>
      </c>
      <c r="BN6" s="114">
        <v>0</v>
      </c>
      <c r="BO6" s="114">
        <v>672</v>
      </c>
      <c r="BP6" s="114">
        <v>13</v>
      </c>
      <c r="BQ6" s="114">
        <v>43</v>
      </c>
      <c r="BR6" s="114">
        <v>45</v>
      </c>
      <c r="BS6" s="114">
        <v>0</v>
      </c>
      <c r="BT6" s="115">
        <v>0</v>
      </c>
      <c r="BU6" s="115">
        <v>0</v>
      </c>
      <c r="BV6" s="116">
        <v>0</v>
      </c>
      <c r="BW6" s="44"/>
      <c r="BX6" s="229"/>
      <c r="BY6" s="251"/>
      <c r="BZ6" s="65" t="s">
        <v>19</v>
      </c>
      <c r="CA6" s="114">
        <v>238</v>
      </c>
      <c r="CB6" s="114">
        <v>39</v>
      </c>
      <c r="CC6" s="114">
        <v>0</v>
      </c>
      <c r="CD6" s="114">
        <v>680</v>
      </c>
      <c r="CE6" s="114">
        <v>0</v>
      </c>
      <c r="CF6" s="114">
        <v>0</v>
      </c>
      <c r="CG6" s="154">
        <v>42</v>
      </c>
      <c r="CH6" s="114">
        <v>0</v>
      </c>
      <c r="CI6" s="115">
        <v>0</v>
      </c>
      <c r="CJ6" s="115">
        <v>0</v>
      </c>
      <c r="CK6" s="116">
        <v>0</v>
      </c>
      <c r="CL6" s="44"/>
      <c r="CM6" s="229"/>
      <c r="CN6" s="251"/>
      <c r="CO6" s="65" t="s">
        <v>19</v>
      </c>
      <c r="CP6" s="163">
        <v>31</v>
      </c>
      <c r="CQ6" s="164">
        <v>71</v>
      </c>
      <c r="CR6" s="164">
        <v>0</v>
      </c>
      <c r="CS6" s="164">
        <v>260</v>
      </c>
      <c r="CT6" s="164">
        <v>7</v>
      </c>
      <c r="CU6" s="164">
        <v>9</v>
      </c>
      <c r="CV6" s="165">
        <v>58</v>
      </c>
      <c r="CW6" s="156">
        <v>0</v>
      </c>
      <c r="CX6" s="156">
        <v>0</v>
      </c>
      <c r="CY6" s="156">
        <v>0</v>
      </c>
      <c r="CZ6" s="155">
        <v>0</v>
      </c>
      <c r="DA6" s="44"/>
      <c r="DB6" s="229"/>
      <c r="DC6" s="251"/>
      <c r="DD6" s="65" t="s">
        <v>19</v>
      </c>
      <c r="DE6" s="182">
        <v>172</v>
      </c>
      <c r="DF6" s="182">
        <v>53</v>
      </c>
      <c r="DG6" s="182">
        <v>0</v>
      </c>
      <c r="DH6" s="182">
        <v>652</v>
      </c>
      <c r="DI6" s="182">
        <v>8</v>
      </c>
      <c r="DJ6" s="182">
        <v>0</v>
      </c>
      <c r="DK6" s="182">
        <v>42</v>
      </c>
      <c r="DL6" s="182">
        <v>0</v>
      </c>
      <c r="DM6" s="183">
        <v>0</v>
      </c>
      <c r="DN6" s="183">
        <v>0</v>
      </c>
      <c r="DO6" s="184">
        <v>0</v>
      </c>
      <c r="DP6" s="44"/>
      <c r="DQ6" s="229"/>
      <c r="DR6" s="251"/>
      <c r="DS6" s="65" t="s">
        <v>19</v>
      </c>
      <c r="DT6" s="182">
        <v>12</v>
      </c>
      <c r="DU6" s="182">
        <v>5</v>
      </c>
      <c r="DV6" s="182">
        <v>0</v>
      </c>
      <c r="DW6" s="182">
        <v>322</v>
      </c>
      <c r="DX6" s="182">
        <v>2</v>
      </c>
      <c r="DY6" s="182">
        <v>5</v>
      </c>
      <c r="DZ6" s="182">
        <v>164</v>
      </c>
      <c r="EA6" s="182">
        <v>0</v>
      </c>
      <c r="EB6" s="183">
        <v>0</v>
      </c>
      <c r="EC6" s="183">
        <v>0</v>
      </c>
      <c r="ED6" s="184">
        <v>0</v>
      </c>
      <c r="EE6" s="44"/>
      <c r="EF6" s="229"/>
      <c r="EG6" s="251"/>
      <c r="EH6" s="65" t="s">
        <v>19</v>
      </c>
      <c r="EI6" s="182">
        <v>12</v>
      </c>
      <c r="EJ6" s="182">
        <v>5</v>
      </c>
      <c r="EK6" s="182">
        <v>0</v>
      </c>
      <c r="EL6" s="182">
        <v>322</v>
      </c>
      <c r="EM6" s="182">
        <v>2</v>
      </c>
      <c r="EN6" s="182">
        <v>5</v>
      </c>
      <c r="EO6" s="154">
        <v>216</v>
      </c>
      <c r="EP6" s="114">
        <v>0</v>
      </c>
      <c r="EQ6" s="115">
        <v>0</v>
      </c>
      <c r="ER6" s="115">
        <v>0</v>
      </c>
      <c r="ES6" s="116">
        <v>0</v>
      </c>
      <c r="ET6" s="44"/>
      <c r="EU6" s="229"/>
      <c r="EV6" s="251"/>
      <c r="EW6" s="65" t="s">
        <v>19</v>
      </c>
      <c r="EX6" s="114">
        <v>0</v>
      </c>
      <c r="EY6" s="114">
        <v>0</v>
      </c>
      <c r="EZ6" s="114">
        <v>0</v>
      </c>
      <c r="FA6" s="114">
        <v>0</v>
      </c>
      <c r="FB6" s="114">
        <v>0</v>
      </c>
      <c r="FC6" s="114">
        <v>0</v>
      </c>
      <c r="FD6" s="114">
        <v>0</v>
      </c>
      <c r="FE6" s="114">
        <v>0</v>
      </c>
      <c r="FF6" s="115">
        <v>0</v>
      </c>
      <c r="FG6" s="115">
        <v>0</v>
      </c>
      <c r="FH6" s="116">
        <v>0</v>
      </c>
      <c r="FI6" s="44"/>
      <c r="FJ6" s="229"/>
      <c r="FK6" s="251"/>
      <c r="FL6" s="65" t="s">
        <v>19</v>
      </c>
      <c r="FM6" s="114">
        <v>0</v>
      </c>
      <c r="FN6" s="114">
        <v>0</v>
      </c>
      <c r="FO6" s="114">
        <v>0</v>
      </c>
      <c r="FP6" s="114">
        <v>0</v>
      </c>
      <c r="FQ6" s="114">
        <v>0</v>
      </c>
      <c r="FR6" s="114">
        <v>0</v>
      </c>
      <c r="FS6" s="114">
        <v>0</v>
      </c>
      <c r="FT6" s="114">
        <v>0</v>
      </c>
      <c r="FU6" s="115">
        <v>0</v>
      </c>
      <c r="FV6" s="115">
        <v>0</v>
      </c>
      <c r="FW6" s="116">
        <v>0</v>
      </c>
      <c r="FX6" s="44"/>
      <c r="FY6" s="229"/>
      <c r="FZ6" s="127"/>
      <c r="GA6" s="66" t="s">
        <v>19</v>
      </c>
      <c r="GB6" s="67">
        <f>SUM(FM6)</f>
        <v>0</v>
      </c>
      <c r="GC6" s="68">
        <f t="shared" si="0"/>
        <v>376</v>
      </c>
      <c r="GD6" s="68">
        <f t="shared" si="1"/>
        <v>7</v>
      </c>
      <c r="GE6" s="68">
        <f t="shared" si="2"/>
        <v>0</v>
      </c>
      <c r="GF6" s="68">
        <f t="shared" si="3"/>
        <v>0</v>
      </c>
      <c r="GG6" s="68">
        <f t="shared" si="4"/>
        <v>0</v>
      </c>
      <c r="GH6" s="68">
        <f t="shared" si="5"/>
        <v>1139</v>
      </c>
      <c r="GI6" s="68">
        <f t="shared" si="6"/>
        <v>0</v>
      </c>
      <c r="GJ6" s="68">
        <f t="shared" si="7"/>
        <v>0</v>
      </c>
      <c r="GK6" s="68">
        <f t="shared" si="8"/>
        <v>0</v>
      </c>
      <c r="GL6" s="68">
        <f t="shared" si="9"/>
        <v>0</v>
      </c>
      <c r="GM6" s="44"/>
    </row>
    <row r="7" spans="1:195" ht="17.100000000000001" customHeight="1" thickBot="1" x14ac:dyDescent="0.3">
      <c r="A7" s="229"/>
      <c r="B7" s="69" t="s">
        <v>20</v>
      </c>
      <c r="C7" s="70" t="s">
        <v>18</v>
      </c>
      <c r="D7" s="157">
        <v>0</v>
      </c>
      <c r="E7" s="158">
        <v>0</v>
      </c>
      <c r="F7" s="158">
        <v>0</v>
      </c>
      <c r="G7" s="158">
        <v>0</v>
      </c>
      <c r="H7" s="158">
        <v>0</v>
      </c>
      <c r="I7" s="158">
        <v>0</v>
      </c>
      <c r="J7" s="158">
        <v>0</v>
      </c>
      <c r="K7" s="159">
        <v>0</v>
      </c>
      <c r="L7" s="159">
        <v>0</v>
      </c>
      <c r="M7" s="159">
        <v>0</v>
      </c>
      <c r="N7" s="158">
        <v>0</v>
      </c>
      <c r="O7" s="44"/>
      <c r="P7" s="229"/>
      <c r="Q7" s="69" t="s">
        <v>20</v>
      </c>
      <c r="R7" s="70" t="s">
        <v>18</v>
      </c>
      <c r="S7" s="157">
        <v>17</v>
      </c>
      <c r="T7" s="158">
        <v>27</v>
      </c>
      <c r="U7" s="158">
        <v>5</v>
      </c>
      <c r="V7" s="158">
        <v>14</v>
      </c>
      <c r="W7" s="158">
        <v>6</v>
      </c>
      <c r="X7" s="158">
        <v>0</v>
      </c>
      <c r="Y7" s="158">
        <v>12</v>
      </c>
      <c r="Z7" s="159">
        <v>0</v>
      </c>
      <c r="AA7" s="159">
        <v>0</v>
      </c>
      <c r="AB7" s="159">
        <v>0</v>
      </c>
      <c r="AC7" s="158">
        <v>0</v>
      </c>
      <c r="AD7" s="44"/>
      <c r="AE7" s="229"/>
      <c r="AF7" s="69" t="s">
        <v>20</v>
      </c>
      <c r="AG7" s="70" t="s">
        <v>18</v>
      </c>
      <c r="AH7" s="157">
        <v>0</v>
      </c>
      <c r="AI7" s="158">
        <v>0</v>
      </c>
      <c r="AJ7" s="158">
        <v>0</v>
      </c>
      <c r="AK7" s="158">
        <v>0</v>
      </c>
      <c r="AL7" s="158">
        <v>0</v>
      </c>
      <c r="AM7" s="158">
        <v>0</v>
      </c>
      <c r="AN7" s="158">
        <v>29</v>
      </c>
      <c r="AO7" s="159">
        <v>0</v>
      </c>
      <c r="AP7" s="159">
        <v>0</v>
      </c>
      <c r="AQ7" s="159">
        <v>0</v>
      </c>
      <c r="AR7" s="158">
        <v>0</v>
      </c>
      <c r="AS7" s="44"/>
      <c r="AT7" s="229"/>
      <c r="AU7" s="69" t="s">
        <v>20</v>
      </c>
      <c r="AV7" s="70" t="s">
        <v>18</v>
      </c>
      <c r="AW7" s="157">
        <v>0</v>
      </c>
      <c r="AX7" s="158">
        <v>0</v>
      </c>
      <c r="AY7" s="158">
        <v>0</v>
      </c>
      <c r="AZ7" s="158">
        <v>0</v>
      </c>
      <c r="BA7" s="158">
        <v>0</v>
      </c>
      <c r="BB7" s="158">
        <v>0</v>
      </c>
      <c r="BC7" s="158">
        <v>0</v>
      </c>
      <c r="BD7" s="159">
        <v>0</v>
      </c>
      <c r="BE7" s="159">
        <v>0</v>
      </c>
      <c r="BF7" s="159">
        <v>0</v>
      </c>
      <c r="BG7" s="158">
        <v>0</v>
      </c>
      <c r="BH7" s="44"/>
      <c r="BI7" s="229"/>
      <c r="BJ7" s="69" t="s">
        <v>20</v>
      </c>
      <c r="BK7" s="70" t="s">
        <v>18</v>
      </c>
      <c r="BL7" s="111">
        <v>0</v>
      </c>
      <c r="BM7" s="111">
        <v>0</v>
      </c>
      <c r="BN7" s="111">
        <v>0</v>
      </c>
      <c r="BO7" s="111">
        <v>0</v>
      </c>
      <c r="BP7" s="111">
        <v>0</v>
      </c>
      <c r="BQ7" s="111">
        <v>0</v>
      </c>
      <c r="BR7" s="111">
        <v>0</v>
      </c>
      <c r="BS7" s="117">
        <v>0</v>
      </c>
      <c r="BT7" s="118">
        <v>0</v>
      </c>
      <c r="BU7" s="118">
        <v>0</v>
      </c>
      <c r="BV7" s="119">
        <v>0</v>
      </c>
      <c r="BW7" s="44"/>
      <c r="BX7" s="229"/>
      <c r="BY7" s="69" t="s">
        <v>20</v>
      </c>
      <c r="BZ7" s="70" t="s">
        <v>18</v>
      </c>
      <c r="CA7" s="111">
        <v>0</v>
      </c>
      <c r="CB7" s="111">
        <v>0</v>
      </c>
      <c r="CC7" s="111">
        <v>0</v>
      </c>
      <c r="CD7" s="111">
        <v>0</v>
      </c>
      <c r="CE7" s="111">
        <v>0</v>
      </c>
      <c r="CF7" s="111">
        <v>0</v>
      </c>
      <c r="CG7" s="157">
        <v>14</v>
      </c>
      <c r="CH7" s="117">
        <v>0</v>
      </c>
      <c r="CI7" s="118">
        <v>0</v>
      </c>
      <c r="CJ7" s="118">
        <v>0</v>
      </c>
      <c r="CK7" s="119">
        <v>0</v>
      </c>
      <c r="CL7" s="44"/>
      <c r="CM7" s="229"/>
      <c r="CN7" s="69" t="s">
        <v>20</v>
      </c>
      <c r="CO7" s="70" t="s">
        <v>18</v>
      </c>
      <c r="CP7" s="163">
        <v>12</v>
      </c>
      <c r="CQ7" s="164">
        <v>13</v>
      </c>
      <c r="CR7" s="164">
        <v>1</v>
      </c>
      <c r="CS7" s="164">
        <v>21</v>
      </c>
      <c r="CT7" s="164">
        <v>1</v>
      </c>
      <c r="CU7" s="164">
        <v>0</v>
      </c>
      <c r="CV7" s="165">
        <v>23</v>
      </c>
      <c r="CW7" s="159">
        <v>0</v>
      </c>
      <c r="CX7" s="159">
        <v>0</v>
      </c>
      <c r="CY7" s="159">
        <v>0</v>
      </c>
      <c r="CZ7" s="158">
        <v>0</v>
      </c>
      <c r="DA7" s="44"/>
      <c r="DB7" s="229"/>
      <c r="DC7" s="69" t="s">
        <v>20</v>
      </c>
      <c r="DD7" s="70" t="s">
        <v>18</v>
      </c>
      <c r="DE7" s="179">
        <v>0</v>
      </c>
      <c r="DF7" s="179">
        <v>0</v>
      </c>
      <c r="DG7" s="179">
        <v>0</v>
      </c>
      <c r="DH7" s="179">
        <v>0</v>
      </c>
      <c r="DI7" s="179">
        <v>0</v>
      </c>
      <c r="DJ7" s="179">
        <v>0</v>
      </c>
      <c r="DK7" s="179">
        <v>14</v>
      </c>
      <c r="DL7" s="185">
        <v>0</v>
      </c>
      <c r="DM7" s="186">
        <v>0</v>
      </c>
      <c r="DN7" s="186">
        <v>0</v>
      </c>
      <c r="DO7" s="187">
        <v>0</v>
      </c>
      <c r="DP7" s="44"/>
      <c r="DQ7" s="229"/>
      <c r="DR7" s="69" t="s">
        <v>20</v>
      </c>
      <c r="DS7" s="70" t="s">
        <v>18</v>
      </c>
      <c r="DT7" s="179">
        <v>4</v>
      </c>
      <c r="DU7" s="179">
        <v>1</v>
      </c>
      <c r="DV7" s="179">
        <v>0</v>
      </c>
      <c r="DW7" s="179">
        <v>0</v>
      </c>
      <c r="DX7" s="179">
        <v>0</v>
      </c>
      <c r="DY7" s="179">
        <v>0</v>
      </c>
      <c r="DZ7" s="179">
        <v>0</v>
      </c>
      <c r="EA7" s="185">
        <v>0</v>
      </c>
      <c r="EB7" s="186">
        <v>0</v>
      </c>
      <c r="EC7" s="186">
        <v>0</v>
      </c>
      <c r="ED7" s="187">
        <v>0</v>
      </c>
      <c r="EE7" s="44"/>
      <c r="EF7" s="229"/>
      <c r="EG7" s="69" t="s">
        <v>20</v>
      </c>
      <c r="EH7" s="70" t="s">
        <v>18</v>
      </c>
      <c r="EI7" s="179">
        <v>4</v>
      </c>
      <c r="EJ7" s="179">
        <v>1</v>
      </c>
      <c r="EK7" s="179">
        <v>0</v>
      </c>
      <c r="EL7" s="179">
        <v>0</v>
      </c>
      <c r="EM7" s="179">
        <v>0</v>
      </c>
      <c r="EN7" s="179">
        <v>0</v>
      </c>
      <c r="EO7" s="157">
        <v>59</v>
      </c>
      <c r="EP7" s="117">
        <v>0</v>
      </c>
      <c r="EQ7" s="118">
        <v>0</v>
      </c>
      <c r="ER7" s="118">
        <v>0</v>
      </c>
      <c r="ES7" s="119">
        <v>0</v>
      </c>
      <c r="ET7" s="44"/>
      <c r="EU7" s="229"/>
      <c r="EV7" s="69" t="s">
        <v>20</v>
      </c>
      <c r="EW7" s="70" t="s">
        <v>18</v>
      </c>
      <c r="EX7" s="111">
        <v>0</v>
      </c>
      <c r="EY7" s="111">
        <v>0</v>
      </c>
      <c r="EZ7" s="111">
        <v>0</v>
      </c>
      <c r="FA7" s="111">
        <v>0</v>
      </c>
      <c r="FB7" s="111">
        <v>0</v>
      </c>
      <c r="FC7" s="111">
        <v>0</v>
      </c>
      <c r="FD7" s="111">
        <v>0</v>
      </c>
      <c r="FE7" s="117">
        <v>0</v>
      </c>
      <c r="FF7" s="118">
        <v>0</v>
      </c>
      <c r="FG7" s="118">
        <v>0</v>
      </c>
      <c r="FH7" s="119">
        <v>0</v>
      </c>
      <c r="FI7" s="44"/>
      <c r="FJ7" s="229"/>
      <c r="FK7" s="69" t="s">
        <v>20</v>
      </c>
      <c r="FL7" s="70" t="s">
        <v>18</v>
      </c>
      <c r="FM7" s="111">
        <v>0</v>
      </c>
      <c r="FN7" s="111">
        <v>0</v>
      </c>
      <c r="FO7" s="111">
        <v>0</v>
      </c>
      <c r="FP7" s="111">
        <v>0</v>
      </c>
      <c r="FQ7" s="111">
        <v>0</v>
      </c>
      <c r="FR7" s="111">
        <v>0</v>
      </c>
      <c r="FS7" s="111">
        <v>0</v>
      </c>
      <c r="FT7" s="117">
        <v>0</v>
      </c>
      <c r="FU7" s="118">
        <v>0</v>
      </c>
      <c r="FV7" s="118">
        <v>0</v>
      </c>
      <c r="FW7" s="119">
        <v>0</v>
      </c>
      <c r="FX7" s="44"/>
      <c r="FY7" s="229"/>
      <c r="FZ7" s="69" t="s">
        <v>20</v>
      </c>
      <c r="GA7" s="71" t="s">
        <v>18</v>
      </c>
      <c r="GB7" s="63">
        <f>SUM(FM7)</f>
        <v>0</v>
      </c>
      <c r="GC7" s="72">
        <f t="shared" si="0"/>
        <v>42</v>
      </c>
      <c r="GD7" s="72">
        <f t="shared" si="1"/>
        <v>6</v>
      </c>
      <c r="GE7" s="72">
        <f t="shared" si="2"/>
        <v>0</v>
      </c>
      <c r="GF7" s="72">
        <f t="shared" si="3"/>
        <v>0</v>
      </c>
      <c r="GG7" s="72">
        <f t="shared" si="4"/>
        <v>0</v>
      </c>
      <c r="GH7" s="72">
        <f t="shared" si="5"/>
        <v>151</v>
      </c>
      <c r="GI7" s="72">
        <f t="shared" si="6"/>
        <v>0</v>
      </c>
      <c r="GJ7" s="72">
        <f t="shared" si="7"/>
        <v>0</v>
      </c>
      <c r="GK7" s="72">
        <f t="shared" si="8"/>
        <v>0</v>
      </c>
      <c r="GL7" s="72">
        <f t="shared" si="9"/>
        <v>0</v>
      </c>
      <c r="GM7" s="44"/>
    </row>
    <row r="8" spans="1:195" ht="17.100000000000001" customHeight="1" thickBot="1" x14ac:dyDescent="0.3">
      <c r="A8" s="229"/>
      <c r="B8" s="73" t="s">
        <v>17</v>
      </c>
      <c r="C8" s="74" t="s">
        <v>19</v>
      </c>
      <c r="D8" s="154">
        <v>0</v>
      </c>
      <c r="E8" s="155">
        <v>0</v>
      </c>
      <c r="F8" s="155">
        <v>0</v>
      </c>
      <c r="G8" s="155">
        <v>0</v>
      </c>
      <c r="H8" s="155">
        <v>0</v>
      </c>
      <c r="I8" s="155">
        <v>0</v>
      </c>
      <c r="J8" s="155">
        <v>0</v>
      </c>
      <c r="K8" s="156">
        <v>0</v>
      </c>
      <c r="L8" s="156">
        <v>0</v>
      </c>
      <c r="M8" s="156">
        <v>0</v>
      </c>
      <c r="N8" s="155">
        <v>0</v>
      </c>
      <c r="O8" s="44"/>
      <c r="P8" s="229"/>
      <c r="Q8" s="73" t="s">
        <v>17</v>
      </c>
      <c r="R8" s="74" t="s">
        <v>19</v>
      </c>
      <c r="S8" s="154">
        <v>23</v>
      </c>
      <c r="T8" s="155">
        <v>32</v>
      </c>
      <c r="U8" s="155">
        <v>3</v>
      </c>
      <c r="V8" s="155">
        <v>21</v>
      </c>
      <c r="W8" s="155">
        <v>8</v>
      </c>
      <c r="X8" s="155">
        <v>0</v>
      </c>
      <c r="Y8" s="155">
        <v>18</v>
      </c>
      <c r="Z8" s="156">
        <v>0</v>
      </c>
      <c r="AA8" s="156">
        <v>0</v>
      </c>
      <c r="AB8" s="156">
        <v>0</v>
      </c>
      <c r="AC8" s="155">
        <v>0</v>
      </c>
      <c r="AD8" s="44"/>
      <c r="AE8" s="229"/>
      <c r="AF8" s="73" t="s">
        <v>17</v>
      </c>
      <c r="AG8" s="74" t="s">
        <v>19</v>
      </c>
      <c r="AH8" s="154">
        <v>0</v>
      </c>
      <c r="AI8" s="155">
        <v>0</v>
      </c>
      <c r="AJ8" s="155">
        <v>0</v>
      </c>
      <c r="AK8" s="155">
        <v>0</v>
      </c>
      <c r="AL8" s="155">
        <v>0</v>
      </c>
      <c r="AM8" s="155">
        <v>0</v>
      </c>
      <c r="AN8" s="155">
        <v>47</v>
      </c>
      <c r="AO8" s="156">
        <v>0</v>
      </c>
      <c r="AP8" s="156">
        <v>0</v>
      </c>
      <c r="AQ8" s="156">
        <v>0</v>
      </c>
      <c r="AR8" s="155">
        <v>0</v>
      </c>
      <c r="AS8" s="44"/>
      <c r="AT8" s="229"/>
      <c r="AU8" s="73" t="s">
        <v>17</v>
      </c>
      <c r="AV8" s="74" t="s">
        <v>19</v>
      </c>
      <c r="AW8" s="154">
        <v>0</v>
      </c>
      <c r="AX8" s="155">
        <v>0</v>
      </c>
      <c r="AY8" s="155">
        <v>0</v>
      </c>
      <c r="AZ8" s="155">
        <v>0</v>
      </c>
      <c r="BA8" s="155">
        <v>0</v>
      </c>
      <c r="BB8" s="155">
        <v>0</v>
      </c>
      <c r="BC8" s="155">
        <v>0</v>
      </c>
      <c r="BD8" s="156">
        <v>0</v>
      </c>
      <c r="BE8" s="156">
        <v>0</v>
      </c>
      <c r="BF8" s="156">
        <v>0</v>
      </c>
      <c r="BG8" s="155">
        <v>0</v>
      </c>
      <c r="BH8" s="44"/>
      <c r="BI8" s="229"/>
      <c r="BJ8" s="73" t="s">
        <v>17</v>
      </c>
      <c r="BK8" s="74" t="s">
        <v>19</v>
      </c>
      <c r="BL8" s="114">
        <v>0</v>
      </c>
      <c r="BM8" s="114">
        <v>0</v>
      </c>
      <c r="BN8" s="114">
        <v>0</v>
      </c>
      <c r="BO8" s="114">
        <v>0</v>
      </c>
      <c r="BP8" s="114">
        <v>0</v>
      </c>
      <c r="BQ8" s="114">
        <v>0</v>
      </c>
      <c r="BR8" s="114">
        <v>2</v>
      </c>
      <c r="BS8" s="114">
        <v>0</v>
      </c>
      <c r="BT8" s="115">
        <v>0</v>
      </c>
      <c r="BU8" s="115">
        <v>0</v>
      </c>
      <c r="BV8" s="116">
        <v>0</v>
      </c>
      <c r="BW8" s="44"/>
      <c r="BX8" s="229"/>
      <c r="BY8" s="73" t="s">
        <v>17</v>
      </c>
      <c r="BZ8" s="74" t="s">
        <v>19</v>
      </c>
      <c r="CA8" s="114">
        <v>0</v>
      </c>
      <c r="CB8" s="114">
        <v>0</v>
      </c>
      <c r="CC8" s="114">
        <v>0</v>
      </c>
      <c r="CD8" s="114">
        <v>0</v>
      </c>
      <c r="CE8" s="114">
        <v>0</v>
      </c>
      <c r="CF8" s="114">
        <v>0</v>
      </c>
      <c r="CG8" s="154">
        <v>15</v>
      </c>
      <c r="CH8" s="114">
        <v>0</v>
      </c>
      <c r="CI8" s="115">
        <v>0</v>
      </c>
      <c r="CJ8" s="115">
        <v>0</v>
      </c>
      <c r="CK8" s="116">
        <v>0</v>
      </c>
      <c r="CL8" s="44"/>
      <c r="CM8" s="229"/>
      <c r="CN8" s="73" t="s">
        <v>17</v>
      </c>
      <c r="CO8" s="74" t="s">
        <v>19</v>
      </c>
      <c r="CP8" s="163">
        <v>19</v>
      </c>
      <c r="CQ8" s="164">
        <v>18</v>
      </c>
      <c r="CR8" s="164">
        <v>2</v>
      </c>
      <c r="CS8" s="164">
        <v>25</v>
      </c>
      <c r="CT8" s="164">
        <v>3</v>
      </c>
      <c r="CU8" s="164">
        <v>3</v>
      </c>
      <c r="CV8" s="165">
        <v>40</v>
      </c>
      <c r="CW8" s="156">
        <v>0</v>
      </c>
      <c r="CX8" s="156">
        <v>0</v>
      </c>
      <c r="CY8" s="156">
        <v>0</v>
      </c>
      <c r="CZ8" s="155">
        <v>0</v>
      </c>
      <c r="DA8" s="44"/>
      <c r="DB8" s="229"/>
      <c r="DC8" s="73" t="s">
        <v>17</v>
      </c>
      <c r="DD8" s="74" t="s">
        <v>19</v>
      </c>
      <c r="DE8" s="182">
        <v>0</v>
      </c>
      <c r="DF8" s="182">
        <v>0</v>
      </c>
      <c r="DG8" s="182">
        <v>0</v>
      </c>
      <c r="DH8" s="182">
        <v>0</v>
      </c>
      <c r="DI8" s="182">
        <v>0</v>
      </c>
      <c r="DJ8" s="182">
        <v>0</v>
      </c>
      <c r="DK8" s="182">
        <v>15</v>
      </c>
      <c r="DL8" s="182">
        <v>0</v>
      </c>
      <c r="DM8" s="183">
        <v>0</v>
      </c>
      <c r="DN8" s="183">
        <v>0</v>
      </c>
      <c r="DO8" s="184">
        <v>0</v>
      </c>
      <c r="DP8" s="44"/>
      <c r="DQ8" s="229"/>
      <c r="DR8" s="73" t="s">
        <v>17</v>
      </c>
      <c r="DS8" s="74" t="s">
        <v>19</v>
      </c>
      <c r="DT8" s="182">
        <v>5</v>
      </c>
      <c r="DU8" s="182">
        <v>2</v>
      </c>
      <c r="DV8" s="182">
        <v>0</v>
      </c>
      <c r="DW8" s="182">
        <v>0</v>
      </c>
      <c r="DX8" s="182">
        <v>0</v>
      </c>
      <c r="DY8" s="182">
        <v>0</v>
      </c>
      <c r="DZ8" s="182">
        <v>0</v>
      </c>
      <c r="EA8" s="182">
        <v>0</v>
      </c>
      <c r="EB8" s="183">
        <v>0</v>
      </c>
      <c r="EC8" s="183">
        <v>0</v>
      </c>
      <c r="ED8" s="184">
        <v>0</v>
      </c>
      <c r="EE8" s="44"/>
      <c r="EF8" s="229"/>
      <c r="EG8" s="73" t="s">
        <v>17</v>
      </c>
      <c r="EH8" s="74" t="s">
        <v>19</v>
      </c>
      <c r="EI8" s="182">
        <v>5</v>
      </c>
      <c r="EJ8" s="182">
        <v>2</v>
      </c>
      <c r="EK8" s="182">
        <v>0</v>
      </c>
      <c r="EL8" s="182">
        <v>0</v>
      </c>
      <c r="EM8" s="182">
        <v>0</v>
      </c>
      <c r="EN8" s="182">
        <v>0</v>
      </c>
      <c r="EO8" s="154">
        <v>53</v>
      </c>
      <c r="EP8" s="114">
        <v>0</v>
      </c>
      <c r="EQ8" s="115">
        <v>0</v>
      </c>
      <c r="ER8" s="115">
        <v>0</v>
      </c>
      <c r="ES8" s="116">
        <v>0</v>
      </c>
      <c r="ET8" s="44"/>
      <c r="EU8" s="229"/>
      <c r="EV8" s="73" t="s">
        <v>17</v>
      </c>
      <c r="EW8" s="74" t="s">
        <v>19</v>
      </c>
      <c r="EX8" s="114">
        <v>0</v>
      </c>
      <c r="EY8" s="114">
        <v>0</v>
      </c>
      <c r="EZ8" s="114">
        <v>0</v>
      </c>
      <c r="FA8" s="114">
        <v>0</v>
      </c>
      <c r="FB8" s="114">
        <v>0</v>
      </c>
      <c r="FC8" s="114">
        <v>0</v>
      </c>
      <c r="FD8" s="114">
        <v>0</v>
      </c>
      <c r="FE8" s="114">
        <v>0</v>
      </c>
      <c r="FF8" s="115">
        <v>0</v>
      </c>
      <c r="FG8" s="115">
        <v>0</v>
      </c>
      <c r="FH8" s="116">
        <v>0</v>
      </c>
      <c r="FI8" s="44"/>
      <c r="FJ8" s="229"/>
      <c r="FK8" s="73" t="s">
        <v>17</v>
      </c>
      <c r="FL8" s="74" t="s">
        <v>19</v>
      </c>
      <c r="FM8" s="114">
        <v>0</v>
      </c>
      <c r="FN8" s="114">
        <v>0</v>
      </c>
      <c r="FO8" s="114">
        <v>0</v>
      </c>
      <c r="FP8" s="114">
        <v>0</v>
      </c>
      <c r="FQ8" s="114">
        <v>0</v>
      </c>
      <c r="FR8" s="114">
        <v>0</v>
      </c>
      <c r="FS8" s="114">
        <v>0</v>
      </c>
      <c r="FT8" s="114">
        <v>0</v>
      </c>
      <c r="FU8" s="115">
        <v>0</v>
      </c>
      <c r="FV8" s="115">
        <v>0</v>
      </c>
      <c r="FW8" s="116">
        <v>0</v>
      </c>
      <c r="FX8" s="44"/>
      <c r="FY8" s="229"/>
      <c r="FZ8" s="73" t="s">
        <v>17</v>
      </c>
      <c r="GA8" s="75" t="s">
        <v>19</v>
      </c>
      <c r="GB8" s="67">
        <f>SUM(FM8)</f>
        <v>0</v>
      </c>
      <c r="GC8" s="68">
        <f t="shared" si="0"/>
        <v>54</v>
      </c>
      <c r="GD8" s="68">
        <f t="shared" si="1"/>
        <v>5</v>
      </c>
      <c r="GE8" s="68">
        <f t="shared" si="2"/>
        <v>0</v>
      </c>
      <c r="GF8" s="68">
        <f t="shared" si="3"/>
        <v>0</v>
      </c>
      <c r="GG8" s="68">
        <f t="shared" si="4"/>
        <v>0</v>
      </c>
      <c r="GH8" s="68">
        <f t="shared" si="5"/>
        <v>190</v>
      </c>
      <c r="GI8" s="68">
        <f t="shared" si="6"/>
        <v>0</v>
      </c>
      <c r="GJ8" s="68">
        <f t="shared" si="7"/>
        <v>0</v>
      </c>
      <c r="GK8" s="68">
        <f t="shared" si="8"/>
        <v>0</v>
      </c>
      <c r="GL8" s="68">
        <f t="shared" si="9"/>
        <v>0</v>
      </c>
      <c r="GM8" s="44"/>
    </row>
    <row r="9" spans="1:195" ht="17.100000000000001" customHeight="1" thickBot="1" x14ac:dyDescent="0.3">
      <c r="A9" s="229"/>
      <c r="B9" s="252" t="s">
        <v>21</v>
      </c>
      <c r="C9" s="253"/>
      <c r="D9" s="120">
        <f t="shared" ref="D9:N9" si="10">SUM(D5:D8)</f>
        <v>12</v>
      </c>
      <c r="E9" s="120">
        <f t="shared" si="10"/>
        <v>5</v>
      </c>
      <c r="F9" s="121">
        <f t="shared" si="10"/>
        <v>7</v>
      </c>
      <c r="G9" s="122">
        <f t="shared" si="10"/>
        <v>668</v>
      </c>
      <c r="H9" s="121">
        <f t="shared" si="10"/>
        <v>3</v>
      </c>
      <c r="I9" s="120">
        <f t="shared" si="10"/>
        <v>41</v>
      </c>
      <c r="J9" s="120">
        <f t="shared" si="10"/>
        <v>643</v>
      </c>
      <c r="K9" s="123">
        <f t="shared" si="10"/>
        <v>0</v>
      </c>
      <c r="L9" s="124">
        <f t="shared" si="10"/>
        <v>0</v>
      </c>
      <c r="M9" s="124">
        <f t="shared" si="10"/>
        <v>0</v>
      </c>
      <c r="N9" s="125">
        <f t="shared" si="10"/>
        <v>0</v>
      </c>
      <c r="O9" s="44"/>
      <c r="P9" s="229"/>
      <c r="Q9" s="252" t="s">
        <v>21</v>
      </c>
      <c r="R9" s="253"/>
      <c r="S9" s="120">
        <f t="shared" ref="S9:AC9" si="11">SUM(S5:S8)</f>
        <v>132</v>
      </c>
      <c r="T9" s="120">
        <f t="shared" si="11"/>
        <v>165</v>
      </c>
      <c r="U9" s="121">
        <f t="shared" si="11"/>
        <v>12</v>
      </c>
      <c r="V9" s="122">
        <f t="shared" si="11"/>
        <v>563</v>
      </c>
      <c r="W9" s="121">
        <f t="shared" si="11"/>
        <v>35</v>
      </c>
      <c r="X9" s="120">
        <f t="shared" si="11"/>
        <v>0</v>
      </c>
      <c r="Y9" s="120">
        <f t="shared" si="11"/>
        <v>200</v>
      </c>
      <c r="Z9" s="123">
        <f t="shared" si="11"/>
        <v>0</v>
      </c>
      <c r="AA9" s="124">
        <f t="shared" si="11"/>
        <v>0</v>
      </c>
      <c r="AB9" s="124">
        <f t="shared" si="11"/>
        <v>0</v>
      </c>
      <c r="AC9" s="125">
        <f t="shared" si="11"/>
        <v>0</v>
      </c>
      <c r="AD9" s="44"/>
      <c r="AE9" s="229"/>
      <c r="AF9" s="252" t="s">
        <v>21</v>
      </c>
      <c r="AG9" s="253"/>
      <c r="AH9" s="120">
        <f t="shared" ref="AH9:AR9" si="12">SUM(AH5:AH8)</f>
        <v>88</v>
      </c>
      <c r="AI9" s="120">
        <f t="shared" si="12"/>
        <v>128</v>
      </c>
      <c r="AJ9" s="121">
        <f t="shared" si="12"/>
        <v>0</v>
      </c>
      <c r="AK9" s="122">
        <f t="shared" si="12"/>
        <v>1127</v>
      </c>
      <c r="AL9" s="121">
        <f t="shared" si="12"/>
        <v>16</v>
      </c>
      <c r="AM9" s="120">
        <f t="shared" si="12"/>
        <v>0</v>
      </c>
      <c r="AN9" s="120">
        <f t="shared" si="12"/>
        <v>200</v>
      </c>
      <c r="AO9" s="123">
        <f t="shared" si="12"/>
        <v>0</v>
      </c>
      <c r="AP9" s="124">
        <f t="shared" si="12"/>
        <v>0</v>
      </c>
      <c r="AQ9" s="124">
        <f t="shared" si="12"/>
        <v>0</v>
      </c>
      <c r="AR9" s="125">
        <f t="shared" si="12"/>
        <v>0</v>
      </c>
      <c r="AS9" s="44"/>
      <c r="AT9" s="229"/>
      <c r="AU9" s="252" t="s">
        <v>21</v>
      </c>
      <c r="AV9" s="253"/>
      <c r="AW9" s="120">
        <f t="shared" ref="AW9:BG9" si="13">SUM(AW5:AW8)</f>
        <v>423</v>
      </c>
      <c r="AX9" s="120">
        <f t="shared" si="13"/>
        <v>74</v>
      </c>
      <c r="AY9" s="121">
        <f t="shared" si="13"/>
        <v>0</v>
      </c>
      <c r="AZ9" s="122">
        <f t="shared" si="13"/>
        <v>1131</v>
      </c>
      <c r="BA9" s="121">
        <f t="shared" si="13"/>
        <v>20</v>
      </c>
      <c r="BB9" s="120">
        <f t="shared" si="13"/>
        <v>74</v>
      </c>
      <c r="BC9" s="120">
        <f t="shared" si="13"/>
        <v>210</v>
      </c>
      <c r="BD9" s="123">
        <f t="shared" si="13"/>
        <v>0</v>
      </c>
      <c r="BE9" s="124">
        <f t="shared" si="13"/>
        <v>0</v>
      </c>
      <c r="BF9" s="124">
        <f t="shared" si="13"/>
        <v>0</v>
      </c>
      <c r="BG9" s="125">
        <f t="shared" si="13"/>
        <v>0</v>
      </c>
      <c r="BH9" s="44"/>
      <c r="BI9" s="229"/>
      <c r="BJ9" s="252" t="s">
        <v>21</v>
      </c>
      <c r="BK9" s="253"/>
      <c r="BL9" s="120">
        <f t="shared" ref="BL9:BV9" si="14">SUM(BL5:BL8)</f>
        <v>423</v>
      </c>
      <c r="BM9" s="120">
        <f t="shared" si="14"/>
        <v>74</v>
      </c>
      <c r="BN9" s="121">
        <f t="shared" si="14"/>
        <v>0</v>
      </c>
      <c r="BO9" s="122">
        <f t="shared" si="14"/>
        <v>1131</v>
      </c>
      <c r="BP9" s="121">
        <f t="shared" si="14"/>
        <v>20</v>
      </c>
      <c r="BQ9" s="120">
        <f t="shared" si="14"/>
        <v>74</v>
      </c>
      <c r="BR9" s="120">
        <f t="shared" si="14"/>
        <v>95</v>
      </c>
      <c r="BS9" s="123">
        <f t="shared" si="14"/>
        <v>0</v>
      </c>
      <c r="BT9" s="124">
        <f t="shared" si="14"/>
        <v>0</v>
      </c>
      <c r="BU9" s="124">
        <f t="shared" si="14"/>
        <v>0</v>
      </c>
      <c r="BV9" s="125">
        <f t="shared" si="14"/>
        <v>0</v>
      </c>
      <c r="BW9" s="44"/>
      <c r="BX9" s="229"/>
      <c r="BY9" s="252" t="s">
        <v>21</v>
      </c>
      <c r="BZ9" s="253"/>
      <c r="CA9" s="120">
        <f t="shared" ref="CA9:CK9" si="15">SUM(CA5:CA8)</f>
        <v>423</v>
      </c>
      <c r="CB9" s="120">
        <f t="shared" si="15"/>
        <v>83</v>
      </c>
      <c r="CC9" s="121">
        <f t="shared" si="15"/>
        <v>0</v>
      </c>
      <c r="CD9" s="122">
        <f t="shared" si="15"/>
        <v>1146</v>
      </c>
      <c r="CE9" s="121">
        <f t="shared" si="15"/>
        <v>0</v>
      </c>
      <c r="CF9" s="120">
        <f t="shared" si="15"/>
        <v>0</v>
      </c>
      <c r="CG9" s="166">
        <v>103</v>
      </c>
      <c r="CH9" s="123">
        <f t="shared" si="15"/>
        <v>0</v>
      </c>
      <c r="CI9" s="124">
        <f t="shared" si="15"/>
        <v>0</v>
      </c>
      <c r="CJ9" s="124">
        <f t="shared" si="15"/>
        <v>0</v>
      </c>
      <c r="CK9" s="125">
        <f t="shared" si="15"/>
        <v>0</v>
      </c>
      <c r="CL9" s="44"/>
      <c r="CM9" s="229"/>
      <c r="CN9" s="252" t="s">
        <v>21</v>
      </c>
      <c r="CO9" s="253"/>
      <c r="CP9" s="171">
        <v>88</v>
      </c>
      <c r="CQ9" s="172">
        <v>128</v>
      </c>
      <c r="CR9" s="172">
        <v>29</v>
      </c>
      <c r="CS9" s="172">
        <v>332</v>
      </c>
      <c r="CT9" s="172">
        <v>37</v>
      </c>
      <c r="CU9" s="172">
        <v>38</v>
      </c>
      <c r="CV9" s="173">
        <v>147</v>
      </c>
      <c r="CW9" s="174">
        <v>0</v>
      </c>
      <c r="CX9" s="174">
        <v>0</v>
      </c>
      <c r="CY9" s="174">
        <v>0</v>
      </c>
      <c r="CZ9" s="175">
        <v>0</v>
      </c>
      <c r="DA9" s="44"/>
      <c r="DB9" s="229"/>
      <c r="DC9" s="252" t="s">
        <v>21</v>
      </c>
      <c r="DD9" s="253"/>
      <c r="DE9" s="188">
        <f t="shared" ref="DE9:DO9" si="16">SUM(DE5:DE8)</f>
        <v>362</v>
      </c>
      <c r="DF9" s="188">
        <f t="shared" si="16"/>
        <v>111</v>
      </c>
      <c r="DG9" s="189">
        <f t="shared" si="16"/>
        <v>0</v>
      </c>
      <c r="DH9" s="190">
        <f t="shared" si="16"/>
        <v>1209</v>
      </c>
      <c r="DI9" s="189">
        <f t="shared" si="16"/>
        <v>15</v>
      </c>
      <c r="DJ9" s="188">
        <f t="shared" si="16"/>
        <v>0</v>
      </c>
      <c r="DK9" s="188">
        <f t="shared" si="16"/>
        <v>103</v>
      </c>
      <c r="DL9" s="191">
        <f t="shared" si="16"/>
        <v>0</v>
      </c>
      <c r="DM9" s="192">
        <f t="shared" si="16"/>
        <v>0</v>
      </c>
      <c r="DN9" s="192">
        <f t="shared" si="16"/>
        <v>0</v>
      </c>
      <c r="DO9" s="193">
        <f t="shared" si="16"/>
        <v>0</v>
      </c>
      <c r="DP9" s="44"/>
      <c r="DQ9" s="229"/>
      <c r="DR9" s="252" t="s">
        <v>21</v>
      </c>
      <c r="DS9" s="253"/>
      <c r="DT9" s="188">
        <f t="shared" ref="DT9:ED9" si="17">SUM(DT5:DT8)</f>
        <v>109</v>
      </c>
      <c r="DU9" s="188">
        <f t="shared" si="17"/>
        <v>18</v>
      </c>
      <c r="DV9" s="189">
        <f t="shared" si="17"/>
        <v>0</v>
      </c>
      <c r="DW9" s="190">
        <f t="shared" si="17"/>
        <v>672</v>
      </c>
      <c r="DX9" s="189">
        <f t="shared" si="17"/>
        <v>6</v>
      </c>
      <c r="DY9" s="188">
        <f t="shared" si="17"/>
        <v>8</v>
      </c>
      <c r="DZ9" s="188">
        <f t="shared" si="17"/>
        <v>344</v>
      </c>
      <c r="EA9" s="191">
        <f t="shared" si="17"/>
        <v>0</v>
      </c>
      <c r="EB9" s="192">
        <f t="shared" si="17"/>
        <v>0</v>
      </c>
      <c r="EC9" s="192">
        <f t="shared" si="17"/>
        <v>0</v>
      </c>
      <c r="ED9" s="193">
        <f t="shared" si="17"/>
        <v>0</v>
      </c>
      <c r="EE9" s="44"/>
      <c r="EF9" s="229"/>
      <c r="EG9" s="252" t="s">
        <v>21</v>
      </c>
      <c r="EH9" s="253"/>
      <c r="EI9" s="120">
        <f t="shared" ref="EI9:ES9" si="18">SUM(EI5:EI8)</f>
        <v>109</v>
      </c>
      <c r="EJ9" s="120">
        <f t="shared" si="18"/>
        <v>18</v>
      </c>
      <c r="EK9" s="121">
        <f t="shared" si="18"/>
        <v>0</v>
      </c>
      <c r="EL9" s="122">
        <f t="shared" si="18"/>
        <v>672</v>
      </c>
      <c r="EM9" s="121">
        <f t="shared" si="18"/>
        <v>6</v>
      </c>
      <c r="EN9" s="120">
        <f t="shared" si="18"/>
        <v>8</v>
      </c>
      <c r="EO9" s="120">
        <f t="shared" si="18"/>
        <v>828</v>
      </c>
      <c r="EP9" s="123">
        <f t="shared" si="18"/>
        <v>0</v>
      </c>
      <c r="EQ9" s="124">
        <f t="shared" si="18"/>
        <v>0</v>
      </c>
      <c r="ER9" s="124">
        <f t="shared" si="18"/>
        <v>0</v>
      </c>
      <c r="ES9" s="125">
        <f t="shared" si="18"/>
        <v>0</v>
      </c>
      <c r="ET9" s="44"/>
      <c r="EU9" s="229"/>
      <c r="EV9" s="252" t="s">
        <v>21</v>
      </c>
      <c r="EW9" s="253"/>
      <c r="EX9" s="120">
        <f t="shared" ref="EX9:FH9" si="19">SUM(EX5:EX8)</f>
        <v>0</v>
      </c>
      <c r="EY9" s="120">
        <f t="shared" si="19"/>
        <v>0</v>
      </c>
      <c r="EZ9" s="121">
        <f t="shared" si="19"/>
        <v>0</v>
      </c>
      <c r="FA9" s="122">
        <f t="shared" si="19"/>
        <v>0</v>
      </c>
      <c r="FB9" s="121">
        <f t="shared" si="19"/>
        <v>0</v>
      </c>
      <c r="FC9" s="120">
        <f t="shared" si="19"/>
        <v>0</v>
      </c>
      <c r="FD9" s="120">
        <f t="shared" si="19"/>
        <v>0</v>
      </c>
      <c r="FE9" s="123">
        <f t="shared" si="19"/>
        <v>0</v>
      </c>
      <c r="FF9" s="124">
        <f t="shared" si="19"/>
        <v>0</v>
      </c>
      <c r="FG9" s="124">
        <f t="shared" si="19"/>
        <v>0</v>
      </c>
      <c r="FH9" s="125">
        <f t="shared" si="19"/>
        <v>0</v>
      </c>
      <c r="FI9" s="44"/>
      <c r="FJ9" s="229"/>
      <c r="FK9" s="252" t="s">
        <v>21</v>
      </c>
      <c r="FL9" s="253"/>
      <c r="FM9" s="120">
        <f t="shared" ref="FM9:FW9" si="20">SUM(FM5:FM8)</f>
        <v>0</v>
      </c>
      <c r="FN9" s="120">
        <f t="shared" si="20"/>
        <v>0</v>
      </c>
      <c r="FO9" s="121">
        <f t="shared" si="20"/>
        <v>0</v>
      </c>
      <c r="FP9" s="122">
        <f t="shared" si="20"/>
        <v>0</v>
      </c>
      <c r="FQ9" s="121">
        <f t="shared" si="20"/>
        <v>0</v>
      </c>
      <c r="FR9" s="120">
        <f t="shared" si="20"/>
        <v>0</v>
      </c>
      <c r="FS9" s="120">
        <f t="shared" si="20"/>
        <v>0</v>
      </c>
      <c r="FT9" s="123">
        <f t="shared" si="20"/>
        <v>0</v>
      </c>
      <c r="FU9" s="124">
        <f t="shared" si="20"/>
        <v>0</v>
      </c>
      <c r="FV9" s="124">
        <f t="shared" si="20"/>
        <v>0</v>
      </c>
      <c r="FW9" s="125">
        <f t="shared" si="20"/>
        <v>0</v>
      </c>
      <c r="FX9" s="44"/>
      <c r="FY9" s="229"/>
      <c r="FZ9" s="128" t="s">
        <v>21</v>
      </c>
      <c r="GA9" s="129"/>
      <c r="GB9" s="76">
        <f t="shared" ref="GB9:GL9" si="21">SUM(GB5:GB8)</f>
        <v>0</v>
      </c>
      <c r="GC9" s="77">
        <f t="shared" si="21"/>
        <v>804</v>
      </c>
      <c r="GD9" s="77">
        <f t="shared" si="21"/>
        <v>48</v>
      </c>
      <c r="GE9" s="77">
        <f t="shared" si="21"/>
        <v>0</v>
      </c>
      <c r="GF9" s="77">
        <f t="shared" si="21"/>
        <v>0</v>
      </c>
      <c r="GG9" s="77">
        <f t="shared" si="21"/>
        <v>0</v>
      </c>
      <c r="GH9" s="77">
        <f t="shared" si="21"/>
        <v>2873</v>
      </c>
      <c r="GI9" s="77">
        <f t="shared" si="21"/>
        <v>0</v>
      </c>
      <c r="GJ9" s="77">
        <f t="shared" si="21"/>
        <v>0</v>
      </c>
      <c r="GK9" s="77">
        <f t="shared" si="21"/>
        <v>0</v>
      </c>
      <c r="GL9" s="77">
        <f t="shared" si="21"/>
        <v>0</v>
      </c>
      <c r="GM9" s="44"/>
    </row>
    <row r="10" spans="1:195" ht="17.100000000000001" customHeight="1" thickBot="1" x14ac:dyDescent="0.25">
      <c r="A10" s="230"/>
      <c r="B10" s="78" t="s">
        <v>22</v>
      </c>
      <c r="C10" s="44"/>
      <c r="D10" s="78"/>
      <c r="E10" s="44"/>
      <c r="F10" s="44"/>
      <c r="G10" s="44"/>
      <c r="H10" s="44"/>
      <c r="I10" s="44"/>
      <c r="J10" s="44"/>
      <c r="K10" s="79" t="s">
        <v>18</v>
      </c>
      <c r="L10" s="80">
        <v>0</v>
      </c>
      <c r="M10" s="79" t="s">
        <v>19</v>
      </c>
      <c r="N10" s="80">
        <v>0</v>
      </c>
      <c r="O10" s="44"/>
      <c r="P10" s="230"/>
      <c r="Q10" s="78" t="s">
        <v>22</v>
      </c>
      <c r="R10" s="44"/>
      <c r="S10" s="78"/>
      <c r="T10" s="44"/>
      <c r="U10" s="44"/>
      <c r="V10" s="44"/>
      <c r="W10" s="44"/>
      <c r="X10" s="44"/>
      <c r="Y10" s="44"/>
      <c r="Z10" s="79" t="s">
        <v>18</v>
      </c>
      <c r="AA10" s="80">
        <v>0</v>
      </c>
      <c r="AB10" s="79" t="s">
        <v>19</v>
      </c>
      <c r="AC10" s="80">
        <v>0</v>
      </c>
      <c r="AD10" s="44"/>
      <c r="AE10" s="230"/>
      <c r="AF10" s="78" t="s">
        <v>22</v>
      </c>
      <c r="AG10" s="44"/>
      <c r="AH10" s="78"/>
      <c r="AI10" s="44"/>
      <c r="AJ10" s="44"/>
      <c r="AK10" s="44"/>
      <c r="AL10" s="44"/>
      <c r="AM10" s="44"/>
      <c r="AN10" s="44"/>
      <c r="AO10" s="79" t="s">
        <v>18</v>
      </c>
      <c r="AP10" s="80">
        <v>0</v>
      </c>
      <c r="AQ10" s="79" t="s">
        <v>19</v>
      </c>
      <c r="AR10" s="80">
        <v>0</v>
      </c>
      <c r="AS10" s="44"/>
      <c r="AT10" s="230"/>
      <c r="AU10" s="78" t="s">
        <v>22</v>
      </c>
      <c r="AV10" s="44"/>
      <c r="AW10" s="78"/>
      <c r="AX10" s="44"/>
      <c r="AY10" s="44"/>
      <c r="AZ10" s="44"/>
      <c r="BA10" s="44"/>
      <c r="BB10" s="44"/>
      <c r="BC10" s="44"/>
      <c r="BD10" s="79" t="s">
        <v>18</v>
      </c>
      <c r="BE10" s="80">
        <v>0</v>
      </c>
      <c r="BF10" s="79" t="s">
        <v>19</v>
      </c>
      <c r="BG10" s="80">
        <v>0</v>
      </c>
      <c r="BH10" s="44"/>
      <c r="BI10" s="230"/>
      <c r="BJ10" s="78" t="s">
        <v>22</v>
      </c>
      <c r="BK10" s="44"/>
      <c r="BL10" s="78"/>
      <c r="BM10" s="44"/>
      <c r="BN10" s="44"/>
      <c r="BO10" s="44"/>
      <c r="BP10" s="44"/>
      <c r="BQ10" s="44"/>
      <c r="BR10" s="44"/>
      <c r="BS10" s="79" t="s">
        <v>18</v>
      </c>
      <c r="BT10" s="80">
        <v>0</v>
      </c>
      <c r="BU10" s="79" t="s">
        <v>19</v>
      </c>
      <c r="BV10" s="80">
        <v>0</v>
      </c>
      <c r="BW10" s="44"/>
      <c r="BX10" s="230"/>
      <c r="BY10" s="78" t="s">
        <v>22</v>
      </c>
      <c r="BZ10" s="44"/>
      <c r="CA10" s="78"/>
      <c r="CB10" s="44"/>
      <c r="CC10" s="44"/>
      <c r="CD10" s="44"/>
      <c r="CE10" s="44"/>
      <c r="CF10" s="44"/>
      <c r="CG10" s="167"/>
      <c r="CH10" s="79" t="s">
        <v>18</v>
      </c>
      <c r="CI10" s="80">
        <v>0</v>
      </c>
      <c r="CJ10" s="79" t="s">
        <v>19</v>
      </c>
      <c r="CK10" s="80">
        <v>0</v>
      </c>
      <c r="CL10" s="44"/>
      <c r="CM10" s="230"/>
      <c r="CN10" s="78" t="s">
        <v>22</v>
      </c>
      <c r="CO10" s="44"/>
      <c r="CP10" s="167"/>
      <c r="CQ10" s="167"/>
      <c r="CR10" s="167"/>
      <c r="CS10" s="167"/>
      <c r="CT10" s="167"/>
      <c r="CU10" s="167"/>
      <c r="CV10" s="167"/>
      <c r="CW10" s="176" t="s">
        <v>18</v>
      </c>
      <c r="CX10" s="177">
        <v>0</v>
      </c>
      <c r="CY10" s="176" t="s">
        <v>19</v>
      </c>
      <c r="CZ10" s="177">
        <v>0</v>
      </c>
      <c r="DA10" s="44"/>
      <c r="DB10" s="230"/>
      <c r="DC10" s="78" t="s">
        <v>22</v>
      </c>
      <c r="DD10" s="44"/>
      <c r="DE10" s="194"/>
      <c r="DF10" s="195"/>
      <c r="DG10" s="195"/>
      <c r="DH10" s="195"/>
      <c r="DI10" s="195"/>
      <c r="DJ10" s="195"/>
      <c r="DK10" s="195"/>
      <c r="DL10" s="196" t="s">
        <v>18</v>
      </c>
      <c r="DM10" s="197">
        <v>0</v>
      </c>
      <c r="DN10" s="196" t="s">
        <v>19</v>
      </c>
      <c r="DO10" s="197">
        <v>0</v>
      </c>
      <c r="DP10" s="44"/>
      <c r="DQ10" s="230"/>
      <c r="DR10" s="78" t="s">
        <v>22</v>
      </c>
      <c r="DS10" s="44"/>
      <c r="DT10" s="78"/>
      <c r="DU10" s="44"/>
      <c r="DV10" s="44"/>
      <c r="DW10" s="44"/>
      <c r="DX10" s="44"/>
      <c r="DY10" s="44"/>
      <c r="DZ10" s="44"/>
      <c r="EA10" s="79" t="s">
        <v>18</v>
      </c>
      <c r="EB10" s="80">
        <v>0</v>
      </c>
      <c r="EC10" s="79" t="s">
        <v>19</v>
      </c>
      <c r="ED10" s="80">
        <v>0</v>
      </c>
      <c r="EE10" s="44"/>
      <c r="EF10" s="230"/>
      <c r="EG10" s="78" t="s">
        <v>22</v>
      </c>
      <c r="EH10" s="44"/>
      <c r="EI10" s="78"/>
      <c r="EJ10" s="44"/>
      <c r="EK10" s="44"/>
      <c r="EL10" s="44"/>
      <c r="EM10" s="44"/>
      <c r="EN10" s="44"/>
      <c r="EO10" s="44"/>
      <c r="EP10" s="79" t="s">
        <v>18</v>
      </c>
      <c r="EQ10" s="80">
        <v>0</v>
      </c>
      <c r="ER10" s="79" t="s">
        <v>19</v>
      </c>
      <c r="ES10" s="80">
        <v>0</v>
      </c>
      <c r="ET10" s="44"/>
      <c r="EU10" s="230"/>
      <c r="EV10" s="78" t="s">
        <v>22</v>
      </c>
      <c r="EW10" s="44"/>
      <c r="EX10" s="78"/>
      <c r="EY10" s="44"/>
      <c r="EZ10" s="44"/>
      <c r="FA10" s="44"/>
      <c r="FB10" s="44"/>
      <c r="FC10" s="44"/>
      <c r="FD10" s="44"/>
      <c r="FE10" s="79" t="s">
        <v>18</v>
      </c>
      <c r="FF10" s="80">
        <v>0</v>
      </c>
      <c r="FG10" s="79" t="s">
        <v>19</v>
      </c>
      <c r="FH10" s="80">
        <v>0</v>
      </c>
      <c r="FI10" s="44"/>
      <c r="FJ10" s="230"/>
      <c r="FK10" s="78" t="s">
        <v>22</v>
      </c>
      <c r="FL10" s="44"/>
      <c r="FM10" s="78"/>
      <c r="FN10" s="44"/>
      <c r="FO10" s="44"/>
      <c r="FP10" s="44"/>
      <c r="FQ10" s="44"/>
      <c r="FR10" s="44"/>
      <c r="FS10" s="44"/>
      <c r="FT10" s="79" t="s">
        <v>18</v>
      </c>
      <c r="FU10" s="80">
        <v>0</v>
      </c>
      <c r="FV10" s="79" t="s">
        <v>19</v>
      </c>
      <c r="FW10" s="80">
        <v>0</v>
      </c>
      <c r="FX10" s="44"/>
      <c r="FY10" s="230"/>
      <c r="FZ10" s="78" t="s">
        <v>26</v>
      </c>
      <c r="GA10" s="44"/>
      <c r="GB10" s="81"/>
      <c r="GC10" s="82"/>
      <c r="GD10" s="82"/>
      <c r="GE10" s="82"/>
      <c r="GF10" s="82"/>
      <c r="GG10" s="82"/>
      <c r="GH10" s="82"/>
      <c r="GI10" s="83" t="s">
        <v>18</v>
      </c>
      <c r="GJ10" s="64">
        <f>(L10+AA10+AP10+BE10+BT10+CI10+CX10+DM10+EB10+EQ10+FF10+FU10)</f>
        <v>0</v>
      </c>
      <c r="GK10" s="83" t="s">
        <v>19</v>
      </c>
      <c r="GL10" s="64">
        <f>(N10+AC10+AR10+BG10+BV10+CK10+CZ10+DO10+ED10+ES10+FH10+FW10)</f>
        <v>0</v>
      </c>
      <c r="GM10" s="44"/>
    </row>
    <row r="11" spans="1:195" ht="17.100000000000001" customHeight="1" thickTop="1" thickBot="1" x14ac:dyDescent="0.25">
      <c r="A11" s="228" t="s">
        <v>37</v>
      </c>
      <c r="B11" s="250" t="s">
        <v>17</v>
      </c>
      <c r="C11" s="61" t="s">
        <v>18</v>
      </c>
      <c r="D11" s="151">
        <v>9</v>
      </c>
      <c r="E11" s="152">
        <v>3</v>
      </c>
      <c r="F11" s="152">
        <v>2</v>
      </c>
      <c r="G11" s="152">
        <v>202</v>
      </c>
      <c r="H11" s="152">
        <v>6</v>
      </c>
      <c r="I11" s="152">
        <v>14</v>
      </c>
      <c r="J11" s="152">
        <v>178</v>
      </c>
      <c r="K11" s="153">
        <v>0</v>
      </c>
      <c r="L11" s="153">
        <v>0</v>
      </c>
      <c r="M11" s="153">
        <v>0</v>
      </c>
      <c r="N11" s="152">
        <v>0</v>
      </c>
      <c r="O11" s="44"/>
      <c r="P11" s="228" t="s">
        <v>37</v>
      </c>
      <c r="Q11" s="250" t="s">
        <v>17</v>
      </c>
      <c r="R11" s="61" t="s">
        <v>18</v>
      </c>
      <c r="S11" s="151">
        <v>250</v>
      </c>
      <c r="T11" s="152">
        <v>70</v>
      </c>
      <c r="U11" s="152">
        <v>4</v>
      </c>
      <c r="V11" s="152">
        <v>210</v>
      </c>
      <c r="W11" s="152">
        <v>70</v>
      </c>
      <c r="X11" s="152">
        <v>15</v>
      </c>
      <c r="Y11" s="152">
        <v>250</v>
      </c>
      <c r="Z11" s="153">
        <v>0</v>
      </c>
      <c r="AA11" s="153">
        <v>0</v>
      </c>
      <c r="AB11" s="153">
        <v>0</v>
      </c>
      <c r="AC11" s="152">
        <v>0</v>
      </c>
      <c r="AD11" s="44"/>
      <c r="AE11" s="228" t="s">
        <v>37</v>
      </c>
      <c r="AF11" s="250" t="s">
        <v>17</v>
      </c>
      <c r="AG11" s="61" t="s">
        <v>18</v>
      </c>
      <c r="AH11" s="151">
        <v>26</v>
      </c>
      <c r="AI11" s="152">
        <v>14</v>
      </c>
      <c r="AJ11" s="152">
        <v>1</v>
      </c>
      <c r="AK11" s="152">
        <v>209</v>
      </c>
      <c r="AL11" s="152">
        <v>11</v>
      </c>
      <c r="AM11" s="152">
        <v>0</v>
      </c>
      <c r="AN11" s="152">
        <v>223</v>
      </c>
      <c r="AO11" s="153">
        <v>0</v>
      </c>
      <c r="AP11" s="153">
        <v>0</v>
      </c>
      <c r="AQ11" s="153">
        <v>0</v>
      </c>
      <c r="AR11" s="152">
        <v>0</v>
      </c>
      <c r="AS11" s="44"/>
      <c r="AT11" s="228" t="s">
        <v>37</v>
      </c>
      <c r="AU11" s="250" t="s">
        <v>17</v>
      </c>
      <c r="AV11" s="61" t="s">
        <v>18</v>
      </c>
      <c r="AW11" s="151">
        <v>25</v>
      </c>
      <c r="AX11" s="152">
        <v>9</v>
      </c>
      <c r="AY11" s="152">
        <v>0</v>
      </c>
      <c r="AZ11" s="152">
        <v>168</v>
      </c>
      <c r="BA11" s="152">
        <v>12</v>
      </c>
      <c r="BB11" s="152">
        <v>0</v>
      </c>
      <c r="BC11" s="152">
        <v>175</v>
      </c>
      <c r="BD11" s="153">
        <v>0</v>
      </c>
      <c r="BE11" s="153">
        <v>0</v>
      </c>
      <c r="BF11" s="153">
        <v>0</v>
      </c>
      <c r="BG11" s="152">
        <v>0</v>
      </c>
      <c r="BH11" s="44"/>
      <c r="BI11" s="228" t="s">
        <v>37</v>
      </c>
      <c r="BJ11" s="250" t="s">
        <v>17</v>
      </c>
      <c r="BK11" s="61" t="s">
        <v>18</v>
      </c>
      <c r="BL11" s="111">
        <v>25</v>
      </c>
      <c r="BM11" s="111">
        <v>9</v>
      </c>
      <c r="BN11" s="111">
        <v>0</v>
      </c>
      <c r="BO11" s="111">
        <v>168</v>
      </c>
      <c r="BP11" s="111">
        <v>12</v>
      </c>
      <c r="BQ11" s="111">
        <v>0</v>
      </c>
      <c r="BR11" s="111">
        <v>0</v>
      </c>
      <c r="BS11" s="111">
        <v>0</v>
      </c>
      <c r="BT11" s="112">
        <v>0</v>
      </c>
      <c r="BU11" s="112">
        <v>0</v>
      </c>
      <c r="BV11" s="113">
        <v>0</v>
      </c>
      <c r="BW11" s="44"/>
      <c r="BX11" s="228" t="s">
        <v>37</v>
      </c>
      <c r="BY11" s="250" t="s">
        <v>17</v>
      </c>
      <c r="BZ11" s="61" t="s">
        <v>18</v>
      </c>
      <c r="CA11" s="111">
        <v>25</v>
      </c>
      <c r="CB11" s="111">
        <v>0</v>
      </c>
      <c r="CC11" s="111">
        <v>0</v>
      </c>
      <c r="CD11" s="111">
        <v>0</v>
      </c>
      <c r="CE11" s="111">
        <v>0</v>
      </c>
      <c r="CF11" s="111">
        <v>0</v>
      </c>
      <c r="CG11" s="157">
        <v>154</v>
      </c>
      <c r="CH11" s="111">
        <v>0</v>
      </c>
      <c r="CI11" s="112">
        <v>0</v>
      </c>
      <c r="CJ11" s="112">
        <v>0</v>
      </c>
      <c r="CK11" s="113">
        <v>0</v>
      </c>
      <c r="CL11" s="44"/>
      <c r="CM11" s="228" t="s">
        <v>37</v>
      </c>
      <c r="CN11" s="250" t="s">
        <v>17</v>
      </c>
      <c r="CO11" s="61" t="s">
        <v>18</v>
      </c>
      <c r="CP11" s="157">
        <v>9</v>
      </c>
      <c r="CQ11" s="158">
        <v>3</v>
      </c>
      <c r="CR11" s="158">
        <v>2</v>
      </c>
      <c r="CS11" s="158">
        <v>202</v>
      </c>
      <c r="CT11" s="158">
        <v>6</v>
      </c>
      <c r="CU11" s="158">
        <v>14</v>
      </c>
      <c r="CV11" s="158">
        <v>178</v>
      </c>
      <c r="CW11" s="159">
        <v>0</v>
      </c>
      <c r="CX11" s="159">
        <v>0</v>
      </c>
      <c r="CY11" s="159">
        <v>0</v>
      </c>
      <c r="CZ11" s="158">
        <v>0</v>
      </c>
      <c r="DA11" s="44"/>
      <c r="DB11" s="228" t="s">
        <v>37</v>
      </c>
      <c r="DC11" s="250" t="s">
        <v>17</v>
      </c>
      <c r="DD11" s="61" t="s">
        <v>18</v>
      </c>
      <c r="DE11" s="198">
        <v>18</v>
      </c>
      <c r="DF11" s="199">
        <v>10</v>
      </c>
      <c r="DG11" s="199">
        <v>3</v>
      </c>
      <c r="DH11" s="199">
        <v>123</v>
      </c>
      <c r="DI11" s="199">
        <v>12</v>
      </c>
      <c r="DJ11" s="199">
        <v>0</v>
      </c>
      <c r="DK11" s="199">
        <v>154</v>
      </c>
      <c r="DL11" s="179">
        <v>0</v>
      </c>
      <c r="DM11" s="180">
        <v>0</v>
      </c>
      <c r="DN11" s="180">
        <v>0</v>
      </c>
      <c r="DO11" s="181">
        <v>0</v>
      </c>
      <c r="DP11" s="44"/>
      <c r="DQ11" s="228" t="s">
        <v>37</v>
      </c>
      <c r="DR11" s="250" t="s">
        <v>17</v>
      </c>
      <c r="DS11" s="61" t="s">
        <v>18</v>
      </c>
      <c r="DT11" s="179">
        <v>15</v>
      </c>
      <c r="DU11" s="179">
        <v>6</v>
      </c>
      <c r="DV11" s="179">
        <v>0</v>
      </c>
      <c r="DW11" s="179">
        <v>273</v>
      </c>
      <c r="DX11" s="179">
        <v>5</v>
      </c>
      <c r="DY11" s="179">
        <v>0</v>
      </c>
      <c r="DZ11" s="179">
        <v>108</v>
      </c>
      <c r="EA11" s="179">
        <v>0</v>
      </c>
      <c r="EB11" s="180">
        <v>0</v>
      </c>
      <c r="EC11" s="180">
        <v>0</v>
      </c>
      <c r="ED11" s="181">
        <v>0</v>
      </c>
      <c r="EE11" s="44"/>
      <c r="EF11" s="228" t="s">
        <v>37</v>
      </c>
      <c r="EG11" s="250" t="s">
        <v>17</v>
      </c>
      <c r="EH11" s="61" t="s">
        <v>18</v>
      </c>
      <c r="EI11" s="111">
        <v>0</v>
      </c>
      <c r="EJ11" s="111">
        <v>0</v>
      </c>
      <c r="EK11" s="111">
        <v>0</v>
      </c>
      <c r="EL11" s="111">
        <v>0</v>
      </c>
      <c r="EM11" s="111">
        <v>0</v>
      </c>
      <c r="EN11" s="111">
        <v>0</v>
      </c>
      <c r="EO11" s="111">
        <v>0</v>
      </c>
      <c r="EP11" s="111">
        <v>0</v>
      </c>
      <c r="EQ11" s="112">
        <v>0</v>
      </c>
      <c r="ER11" s="112">
        <v>0</v>
      </c>
      <c r="ES11" s="113">
        <v>0</v>
      </c>
      <c r="ET11" s="44"/>
      <c r="EU11" s="228" t="s">
        <v>37</v>
      </c>
      <c r="EV11" s="250" t="s">
        <v>17</v>
      </c>
      <c r="EW11" s="61" t="s">
        <v>18</v>
      </c>
      <c r="EX11" s="111">
        <v>0</v>
      </c>
      <c r="EY11" s="111">
        <v>0</v>
      </c>
      <c r="EZ11" s="111">
        <v>0</v>
      </c>
      <c r="FA11" s="111">
        <v>0</v>
      </c>
      <c r="FB11" s="111">
        <v>0</v>
      </c>
      <c r="FC11" s="111">
        <v>0</v>
      </c>
      <c r="FD11" s="111">
        <v>0</v>
      </c>
      <c r="FE11" s="111">
        <v>0</v>
      </c>
      <c r="FF11" s="112">
        <v>0</v>
      </c>
      <c r="FG11" s="112">
        <v>0</v>
      </c>
      <c r="FH11" s="113">
        <v>0</v>
      </c>
      <c r="FI11" s="44"/>
      <c r="FJ11" s="228" t="s">
        <v>37</v>
      </c>
      <c r="FK11" s="250" t="s">
        <v>17</v>
      </c>
      <c r="FL11" s="61" t="s">
        <v>18</v>
      </c>
      <c r="FM11" s="111">
        <v>0</v>
      </c>
      <c r="FN11" s="111">
        <v>0</v>
      </c>
      <c r="FO11" s="111">
        <v>0</v>
      </c>
      <c r="FP11" s="111">
        <v>0</v>
      </c>
      <c r="FQ11" s="111">
        <v>0</v>
      </c>
      <c r="FR11" s="111">
        <v>0</v>
      </c>
      <c r="FS11" s="111">
        <v>0</v>
      </c>
      <c r="FT11" s="111">
        <v>0</v>
      </c>
      <c r="FU11" s="112">
        <v>0</v>
      </c>
      <c r="FV11" s="112">
        <v>0</v>
      </c>
      <c r="FW11" s="113">
        <v>0</v>
      </c>
      <c r="FX11" s="44"/>
      <c r="FY11" s="228" t="str">
        <f>(FJ11)</f>
        <v>الجامعة</v>
      </c>
      <c r="FZ11" s="126" t="s">
        <v>17</v>
      </c>
      <c r="GA11" s="62" t="s">
        <v>18</v>
      </c>
      <c r="GB11" s="63">
        <f>SUM(FM11)</f>
        <v>0</v>
      </c>
      <c r="GC11" s="64">
        <f t="shared" ref="GC11:GC14" si="22">(E11+T11+AI11+AX11+BM11+CB11+CQ11+DF11+DU11+EJ11+EY11+FN11)</f>
        <v>124</v>
      </c>
      <c r="GD11" s="64">
        <f t="shared" ref="GD11:GD14" si="23">(F11+U11+AJ11+AY11+BN11+CC11+CR11+DG11+DV11+EK11+EZ11+FO11)</f>
        <v>12</v>
      </c>
      <c r="GE11" s="64">
        <f t="shared" ref="GE11:GE14" si="24">SUM(FP11)</f>
        <v>0</v>
      </c>
      <c r="GF11" s="64">
        <f t="shared" ref="GF11:GF14" si="25">SUM(FQ11)</f>
        <v>0</v>
      </c>
      <c r="GG11" s="64">
        <f t="shared" ref="GG11:GG14" si="26">SUM(FR11)</f>
        <v>0</v>
      </c>
      <c r="GH11" s="64">
        <f t="shared" ref="GH11:GH14" si="27">(J11+Y11+AN11+BC11+BR11+CG11+CV11+DK11+DZ11+EO11+FD11+FS11)</f>
        <v>1420</v>
      </c>
      <c r="GI11" s="64">
        <f t="shared" ref="GI11:GI14" si="28">(K11+Z11+AO11+BD11+BS11+CH11+CW11+DL11+EA11+EP11+FE11+FT11)</f>
        <v>0</v>
      </c>
      <c r="GJ11" s="64">
        <f t="shared" ref="GJ11:GJ14" si="29">(L11+AA11+AP11+BE11+BT11+CI11+CX11+DM11+EB11+EQ11+FF11+FU11)</f>
        <v>0</v>
      </c>
      <c r="GK11" s="64">
        <f t="shared" ref="GK11:GK14" si="30">(M11+AB11+AQ11+BF11+BU11+CJ11+CY11+DN11+EC11+ER11+FG11+FV11)</f>
        <v>0</v>
      </c>
      <c r="GL11" s="64">
        <f t="shared" ref="GL11:GL14" si="31">(N11+AC11+AR11+BG11+BV11+CK11+CZ11+DO11+ED11+ES11+FH11+FW11)</f>
        <v>0</v>
      </c>
      <c r="GM11" s="44"/>
    </row>
    <row r="12" spans="1:195" ht="17.100000000000001" customHeight="1" thickBot="1" x14ac:dyDescent="0.25">
      <c r="A12" s="229"/>
      <c r="B12" s="251"/>
      <c r="C12" s="65" t="s">
        <v>19</v>
      </c>
      <c r="D12" s="154">
        <v>11</v>
      </c>
      <c r="E12" s="155">
        <v>2</v>
      </c>
      <c r="F12" s="155">
        <v>0</v>
      </c>
      <c r="G12" s="155">
        <v>243</v>
      </c>
      <c r="H12" s="155">
        <v>3</v>
      </c>
      <c r="I12" s="155">
        <v>15</v>
      </c>
      <c r="J12" s="155">
        <v>174</v>
      </c>
      <c r="K12" s="156">
        <v>0</v>
      </c>
      <c r="L12" s="156">
        <v>0</v>
      </c>
      <c r="M12" s="156">
        <v>0</v>
      </c>
      <c r="N12" s="155">
        <v>0</v>
      </c>
      <c r="O12" s="44"/>
      <c r="P12" s="229"/>
      <c r="Q12" s="251"/>
      <c r="R12" s="65" t="s">
        <v>19</v>
      </c>
      <c r="S12" s="154">
        <v>230</v>
      </c>
      <c r="T12" s="155">
        <v>95</v>
      </c>
      <c r="U12" s="155">
        <v>0</v>
      </c>
      <c r="V12" s="155">
        <v>200</v>
      </c>
      <c r="W12" s="155">
        <v>40</v>
      </c>
      <c r="X12" s="155">
        <v>13</v>
      </c>
      <c r="Y12" s="155">
        <v>230</v>
      </c>
      <c r="Z12" s="156">
        <v>0</v>
      </c>
      <c r="AA12" s="156">
        <v>0</v>
      </c>
      <c r="AB12" s="156">
        <v>0</v>
      </c>
      <c r="AC12" s="155">
        <v>0</v>
      </c>
      <c r="AD12" s="44"/>
      <c r="AE12" s="229"/>
      <c r="AF12" s="251"/>
      <c r="AG12" s="65" t="s">
        <v>19</v>
      </c>
      <c r="AH12" s="154">
        <v>24</v>
      </c>
      <c r="AI12" s="155">
        <v>9</v>
      </c>
      <c r="AJ12" s="155">
        <v>1</v>
      </c>
      <c r="AK12" s="155">
        <v>211</v>
      </c>
      <c r="AL12" s="155">
        <v>10</v>
      </c>
      <c r="AM12" s="155">
        <v>0</v>
      </c>
      <c r="AN12" s="155">
        <v>233</v>
      </c>
      <c r="AO12" s="156">
        <v>0</v>
      </c>
      <c r="AP12" s="156">
        <v>0</v>
      </c>
      <c r="AQ12" s="156">
        <v>0</v>
      </c>
      <c r="AR12" s="155">
        <v>0</v>
      </c>
      <c r="AS12" s="44"/>
      <c r="AT12" s="229"/>
      <c r="AU12" s="251"/>
      <c r="AV12" s="65" t="s">
        <v>19</v>
      </c>
      <c r="AW12" s="154">
        <v>14</v>
      </c>
      <c r="AX12" s="155">
        <v>6</v>
      </c>
      <c r="AY12" s="155">
        <v>0</v>
      </c>
      <c r="AZ12" s="155">
        <v>193</v>
      </c>
      <c r="BA12" s="155">
        <v>10</v>
      </c>
      <c r="BB12" s="155">
        <v>0</v>
      </c>
      <c r="BC12" s="155">
        <v>203</v>
      </c>
      <c r="BD12" s="156">
        <v>0</v>
      </c>
      <c r="BE12" s="156">
        <v>0</v>
      </c>
      <c r="BF12" s="156">
        <v>0</v>
      </c>
      <c r="BG12" s="155">
        <v>0</v>
      </c>
      <c r="BH12" s="44"/>
      <c r="BI12" s="229"/>
      <c r="BJ12" s="251"/>
      <c r="BK12" s="65" t="s">
        <v>19</v>
      </c>
      <c r="BL12" s="114">
        <v>14</v>
      </c>
      <c r="BM12" s="114">
        <v>6</v>
      </c>
      <c r="BN12" s="114">
        <v>0</v>
      </c>
      <c r="BO12" s="114">
        <v>193</v>
      </c>
      <c r="BP12" s="114">
        <v>10</v>
      </c>
      <c r="BQ12" s="114">
        <v>0</v>
      </c>
      <c r="BR12" s="114">
        <v>0</v>
      </c>
      <c r="BS12" s="114">
        <v>0</v>
      </c>
      <c r="BT12" s="115">
        <v>0</v>
      </c>
      <c r="BU12" s="115">
        <v>0</v>
      </c>
      <c r="BV12" s="116">
        <v>0</v>
      </c>
      <c r="BW12" s="44"/>
      <c r="BX12" s="229"/>
      <c r="BY12" s="251"/>
      <c r="BZ12" s="65" t="s">
        <v>19</v>
      </c>
      <c r="CA12" s="114">
        <v>19</v>
      </c>
      <c r="CB12" s="114">
        <v>0</v>
      </c>
      <c r="CC12" s="114">
        <v>0</v>
      </c>
      <c r="CD12" s="114">
        <v>0</v>
      </c>
      <c r="CE12" s="114">
        <v>0</v>
      </c>
      <c r="CF12" s="114">
        <v>0</v>
      </c>
      <c r="CG12" s="154">
        <v>176</v>
      </c>
      <c r="CH12" s="114">
        <v>0</v>
      </c>
      <c r="CI12" s="115">
        <v>0</v>
      </c>
      <c r="CJ12" s="115">
        <v>0</v>
      </c>
      <c r="CK12" s="116">
        <v>0</v>
      </c>
      <c r="CL12" s="44"/>
      <c r="CM12" s="229"/>
      <c r="CN12" s="251"/>
      <c r="CO12" s="65" t="s">
        <v>19</v>
      </c>
      <c r="CP12" s="154">
        <v>11</v>
      </c>
      <c r="CQ12" s="155">
        <v>2</v>
      </c>
      <c r="CR12" s="155">
        <v>0</v>
      </c>
      <c r="CS12" s="155">
        <v>243</v>
      </c>
      <c r="CT12" s="155">
        <v>3</v>
      </c>
      <c r="CU12" s="155">
        <v>15</v>
      </c>
      <c r="CV12" s="155">
        <v>174</v>
      </c>
      <c r="CW12" s="156">
        <v>0</v>
      </c>
      <c r="CX12" s="156">
        <v>0</v>
      </c>
      <c r="CY12" s="156">
        <v>0</v>
      </c>
      <c r="CZ12" s="155">
        <v>0</v>
      </c>
      <c r="DA12" s="44"/>
      <c r="DB12" s="229"/>
      <c r="DC12" s="251"/>
      <c r="DD12" s="65" t="s">
        <v>19</v>
      </c>
      <c r="DE12" s="200">
        <v>12</v>
      </c>
      <c r="DF12" s="201">
        <v>14</v>
      </c>
      <c r="DG12" s="201">
        <v>5</v>
      </c>
      <c r="DH12" s="201">
        <v>179</v>
      </c>
      <c r="DI12" s="201">
        <v>15</v>
      </c>
      <c r="DJ12" s="201">
        <v>0</v>
      </c>
      <c r="DK12" s="201">
        <v>176</v>
      </c>
      <c r="DL12" s="182">
        <v>0</v>
      </c>
      <c r="DM12" s="183">
        <v>0</v>
      </c>
      <c r="DN12" s="183">
        <v>0</v>
      </c>
      <c r="DO12" s="184">
        <v>0</v>
      </c>
      <c r="DP12" s="44"/>
      <c r="DQ12" s="229"/>
      <c r="DR12" s="251"/>
      <c r="DS12" s="65" t="s">
        <v>19</v>
      </c>
      <c r="DT12" s="182">
        <v>14</v>
      </c>
      <c r="DU12" s="182">
        <v>8</v>
      </c>
      <c r="DV12" s="182">
        <v>0</v>
      </c>
      <c r="DW12" s="182">
        <v>409</v>
      </c>
      <c r="DX12" s="182">
        <v>20</v>
      </c>
      <c r="DY12" s="182">
        <v>3</v>
      </c>
      <c r="DZ12" s="182">
        <v>116</v>
      </c>
      <c r="EA12" s="182">
        <v>0</v>
      </c>
      <c r="EB12" s="183">
        <v>0</v>
      </c>
      <c r="EC12" s="183">
        <v>0</v>
      </c>
      <c r="ED12" s="184">
        <v>0</v>
      </c>
      <c r="EE12" s="44"/>
      <c r="EF12" s="229"/>
      <c r="EG12" s="251"/>
      <c r="EH12" s="65" t="s">
        <v>19</v>
      </c>
      <c r="EI12" s="114">
        <v>0</v>
      </c>
      <c r="EJ12" s="114">
        <v>0</v>
      </c>
      <c r="EK12" s="114">
        <v>0</v>
      </c>
      <c r="EL12" s="114">
        <v>0</v>
      </c>
      <c r="EM12" s="114">
        <v>0</v>
      </c>
      <c r="EN12" s="114">
        <v>0</v>
      </c>
      <c r="EO12" s="114">
        <v>0</v>
      </c>
      <c r="EP12" s="114">
        <v>0</v>
      </c>
      <c r="EQ12" s="115">
        <v>0</v>
      </c>
      <c r="ER12" s="115">
        <v>0</v>
      </c>
      <c r="ES12" s="116">
        <v>0</v>
      </c>
      <c r="ET12" s="44"/>
      <c r="EU12" s="229"/>
      <c r="EV12" s="251"/>
      <c r="EW12" s="65" t="s">
        <v>19</v>
      </c>
      <c r="EX12" s="114">
        <v>0</v>
      </c>
      <c r="EY12" s="114">
        <v>0</v>
      </c>
      <c r="EZ12" s="114">
        <v>0</v>
      </c>
      <c r="FA12" s="114">
        <v>0</v>
      </c>
      <c r="FB12" s="114">
        <v>0</v>
      </c>
      <c r="FC12" s="114">
        <v>0</v>
      </c>
      <c r="FD12" s="114">
        <v>0</v>
      </c>
      <c r="FE12" s="114">
        <v>0</v>
      </c>
      <c r="FF12" s="115">
        <v>0</v>
      </c>
      <c r="FG12" s="115">
        <v>0</v>
      </c>
      <c r="FH12" s="116">
        <v>0</v>
      </c>
      <c r="FI12" s="44"/>
      <c r="FJ12" s="229"/>
      <c r="FK12" s="251"/>
      <c r="FL12" s="65" t="s">
        <v>19</v>
      </c>
      <c r="FM12" s="114">
        <v>0</v>
      </c>
      <c r="FN12" s="114">
        <v>0</v>
      </c>
      <c r="FO12" s="114">
        <v>0</v>
      </c>
      <c r="FP12" s="114">
        <v>0</v>
      </c>
      <c r="FQ12" s="114">
        <v>0</v>
      </c>
      <c r="FR12" s="114">
        <v>0</v>
      </c>
      <c r="FS12" s="114">
        <v>0</v>
      </c>
      <c r="FT12" s="114">
        <v>0</v>
      </c>
      <c r="FU12" s="115">
        <v>0</v>
      </c>
      <c r="FV12" s="115">
        <v>0</v>
      </c>
      <c r="FW12" s="116">
        <v>0</v>
      </c>
      <c r="FX12" s="44"/>
      <c r="FY12" s="229"/>
      <c r="FZ12" s="127"/>
      <c r="GA12" s="66" t="s">
        <v>19</v>
      </c>
      <c r="GB12" s="67">
        <f>SUM(FM12)</f>
        <v>0</v>
      </c>
      <c r="GC12" s="68">
        <f t="shared" si="22"/>
        <v>142</v>
      </c>
      <c r="GD12" s="68">
        <f t="shared" si="23"/>
        <v>6</v>
      </c>
      <c r="GE12" s="68">
        <f t="shared" si="24"/>
        <v>0</v>
      </c>
      <c r="GF12" s="68">
        <f t="shared" si="25"/>
        <v>0</v>
      </c>
      <c r="GG12" s="68">
        <f t="shared" si="26"/>
        <v>0</v>
      </c>
      <c r="GH12" s="68">
        <f t="shared" si="27"/>
        <v>1482</v>
      </c>
      <c r="GI12" s="68">
        <f t="shared" si="28"/>
        <v>0</v>
      </c>
      <c r="GJ12" s="68">
        <f t="shared" si="29"/>
        <v>0</v>
      </c>
      <c r="GK12" s="68">
        <f t="shared" si="30"/>
        <v>0</v>
      </c>
      <c r="GL12" s="68">
        <f t="shared" si="31"/>
        <v>0</v>
      </c>
      <c r="GM12" s="44"/>
    </row>
    <row r="13" spans="1:195" ht="17.100000000000001" customHeight="1" thickBot="1" x14ac:dyDescent="0.25">
      <c r="A13" s="229"/>
      <c r="B13" s="69" t="s">
        <v>20</v>
      </c>
      <c r="C13" s="70" t="s">
        <v>18</v>
      </c>
      <c r="D13" s="157">
        <v>0</v>
      </c>
      <c r="E13" s="158">
        <v>0</v>
      </c>
      <c r="F13" s="158">
        <v>0</v>
      </c>
      <c r="G13" s="158">
        <v>0</v>
      </c>
      <c r="H13" s="158">
        <v>0</v>
      </c>
      <c r="I13" s="158">
        <v>0</v>
      </c>
      <c r="J13" s="158">
        <v>182</v>
      </c>
      <c r="K13" s="159">
        <v>0</v>
      </c>
      <c r="L13" s="159">
        <v>0</v>
      </c>
      <c r="M13" s="159">
        <v>0</v>
      </c>
      <c r="N13" s="158">
        <v>0</v>
      </c>
      <c r="O13" s="44"/>
      <c r="P13" s="229"/>
      <c r="Q13" s="69" t="s">
        <v>20</v>
      </c>
      <c r="R13" s="70" t="s">
        <v>18</v>
      </c>
      <c r="S13" s="157">
        <v>350</v>
      </c>
      <c r="T13" s="158">
        <v>100</v>
      </c>
      <c r="U13" s="158">
        <v>0</v>
      </c>
      <c r="V13" s="158">
        <v>150</v>
      </c>
      <c r="W13" s="158">
        <v>0</v>
      </c>
      <c r="X13" s="158">
        <v>0</v>
      </c>
      <c r="Y13" s="158">
        <v>350</v>
      </c>
      <c r="Z13" s="159">
        <v>0</v>
      </c>
      <c r="AA13" s="159">
        <v>0</v>
      </c>
      <c r="AB13" s="159">
        <v>0</v>
      </c>
      <c r="AC13" s="158">
        <v>0</v>
      </c>
      <c r="AD13" s="44"/>
      <c r="AE13" s="229"/>
      <c r="AF13" s="69" t="s">
        <v>20</v>
      </c>
      <c r="AG13" s="70" t="s">
        <v>18</v>
      </c>
      <c r="AH13" s="157">
        <v>0</v>
      </c>
      <c r="AI13" s="158">
        <v>0</v>
      </c>
      <c r="AJ13" s="158">
        <v>0</v>
      </c>
      <c r="AK13" s="158">
        <v>0</v>
      </c>
      <c r="AL13" s="158">
        <v>0</v>
      </c>
      <c r="AM13" s="158">
        <v>0</v>
      </c>
      <c r="AN13" s="158">
        <v>0</v>
      </c>
      <c r="AO13" s="159">
        <v>0</v>
      </c>
      <c r="AP13" s="159">
        <v>0</v>
      </c>
      <c r="AQ13" s="159">
        <v>0</v>
      </c>
      <c r="AR13" s="158">
        <v>0</v>
      </c>
      <c r="AS13" s="44"/>
      <c r="AT13" s="229"/>
      <c r="AU13" s="69" t="s">
        <v>20</v>
      </c>
      <c r="AV13" s="70" t="s">
        <v>18</v>
      </c>
      <c r="AW13" s="157">
        <v>0</v>
      </c>
      <c r="AX13" s="158">
        <v>0</v>
      </c>
      <c r="AY13" s="158">
        <v>0</v>
      </c>
      <c r="AZ13" s="158">
        <v>0</v>
      </c>
      <c r="BA13" s="158">
        <v>0</v>
      </c>
      <c r="BB13" s="158">
        <v>0</v>
      </c>
      <c r="BC13" s="158">
        <v>0</v>
      </c>
      <c r="BD13" s="159">
        <v>0</v>
      </c>
      <c r="BE13" s="159">
        <v>0</v>
      </c>
      <c r="BF13" s="159">
        <v>0</v>
      </c>
      <c r="BG13" s="158">
        <v>0</v>
      </c>
      <c r="BH13" s="44"/>
      <c r="BI13" s="229"/>
      <c r="BJ13" s="69" t="s">
        <v>20</v>
      </c>
      <c r="BK13" s="70" t="s">
        <v>18</v>
      </c>
      <c r="BL13" s="111">
        <v>0</v>
      </c>
      <c r="BM13" s="111">
        <v>0</v>
      </c>
      <c r="BN13" s="111">
        <v>0</v>
      </c>
      <c r="BO13" s="111">
        <v>0</v>
      </c>
      <c r="BP13" s="111">
        <v>0</v>
      </c>
      <c r="BQ13" s="111">
        <v>0</v>
      </c>
      <c r="BR13" s="111">
        <v>0</v>
      </c>
      <c r="BS13" s="117">
        <v>0</v>
      </c>
      <c r="BT13" s="118">
        <v>0</v>
      </c>
      <c r="BU13" s="118">
        <v>0</v>
      </c>
      <c r="BV13" s="119">
        <v>0</v>
      </c>
      <c r="BW13" s="44"/>
      <c r="BX13" s="229"/>
      <c r="BY13" s="69" t="s">
        <v>20</v>
      </c>
      <c r="BZ13" s="70" t="s">
        <v>18</v>
      </c>
      <c r="CA13" s="111">
        <v>0</v>
      </c>
      <c r="CB13" s="111">
        <v>0</v>
      </c>
      <c r="CC13" s="111">
        <v>0</v>
      </c>
      <c r="CD13" s="111">
        <v>0</v>
      </c>
      <c r="CE13" s="111">
        <v>0</v>
      </c>
      <c r="CF13" s="111">
        <v>0</v>
      </c>
      <c r="CG13" s="157">
        <v>0</v>
      </c>
      <c r="CH13" s="117">
        <v>0</v>
      </c>
      <c r="CI13" s="118">
        <v>0</v>
      </c>
      <c r="CJ13" s="118">
        <v>0</v>
      </c>
      <c r="CK13" s="119">
        <v>0</v>
      </c>
      <c r="CL13" s="44"/>
      <c r="CM13" s="229"/>
      <c r="CN13" s="69" t="s">
        <v>20</v>
      </c>
      <c r="CO13" s="70" t="s">
        <v>18</v>
      </c>
      <c r="CP13" s="157">
        <v>0</v>
      </c>
      <c r="CQ13" s="158">
        <v>0</v>
      </c>
      <c r="CR13" s="158">
        <v>0</v>
      </c>
      <c r="CS13" s="158">
        <v>0</v>
      </c>
      <c r="CT13" s="158">
        <v>0</v>
      </c>
      <c r="CU13" s="158">
        <v>0</v>
      </c>
      <c r="CV13" s="158">
        <v>182</v>
      </c>
      <c r="CW13" s="159">
        <v>0</v>
      </c>
      <c r="CX13" s="159">
        <v>0</v>
      </c>
      <c r="CY13" s="159">
        <v>0</v>
      </c>
      <c r="CZ13" s="158">
        <v>0</v>
      </c>
      <c r="DA13" s="44"/>
      <c r="DB13" s="229"/>
      <c r="DC13" s="69" t="s">
        <v>20</v>
      </c>
      <c r="DD13" s="70" t="s">
        <v>18</v>
      </c>
      <c r="DE13" s="202">
        <v>0</v>
      </c>
      <c r="DF13" s="203">
        <v>0</v>
      </c>
      <c r="DG13" s="203">
        <v>0</v>
      </c>
      <c r="DH13" s="203">
        <v>0</v>
      </c>
      <c r="DI13" s="203">
        <v>0</v>
      </c>
      <c r="DJ13" s="203">
        <v>0</v>
      </c>
      <c r="DK13" s="203">
        <v>0</v>
      </c>
      <c r="DL13" s="185">
        <v>0</v>
      </c>
      <c r="DM13" s="186">
        <v>0</v>
      </c>
      <c r="DN13" s="186">
        <v>0</v>
      </c>
      <c r="DO13" s="187">
        <v>0</v>
      </c>
      <c r="DP13" s="44"/>
      <c r="DQ13" s="229"/>
      <c r="DR13" s="69" t="s">
        <v>20</v>
      </c>
      <c r="DS13" s="70" t="s">
        <v>18</v>
      </c>
      <c r="DT13" s="179">
        <v>0</v>
      </c>
      <c r="DU13" s="179">
        <v>0</v>
      </c>
      <c r="DV13" s="179">
        <v>0</v>
      </c>
      <c r="DW13" s="179">
        <v>0</v>
      </c>
      <c r="DX13" s="179">
        <v>0</v>
      </c>
      <c r="DY13" s="179">
        <v>0</v>
      </c>
      <c r="DZ13" s="179">
        <v>0</v>
      </c>
      <c r="EA13" s="185">
        <v>0</v>
      </c>
      <c r="EB13" s="186">
        <v>0</v>
      </c>
      <c r="EC13" s="186">
        <v>0</v>
      </c>
      <c r="ED13" s="187">
        <v>0</v>
      </c>
      <c r="EE13" s="44"/>
      <c r="EF13" s="229"/>
      <c r="EG13" s="69" t="s">
        <v>20</v>
      </c>
      <c r="EH13" s="70" t="s">
        <v>18</v>
      </c>
      <c r="EI13" s="111">
        <v>0</v>
      </c>
      <c r="EJ13" s="111">
        <v>0</v>
      </c>
      <c r="EK13" s="111">
        <v>0</v>
      </c>
      <c r="EL13" s="111">
        <v>0</v>
      </c>
      <c r="EM13" s="111">
        <v>0</v>
      </c>
      <c r="EN13" s="111">
        <v>0</v>
      </c>
      <c r="EO13" s="111">
        <v>0</v>
      </c>
      <c r="EP13" s="117">
        <v>0</v>
      </c>
      <c r="EQ13" s="118">
        <v>0</v>
      </c>
      <c r="ER13" s="118">
        <v>0</v>
      </c>
      <c r="ES13" s="119">
        <v>0</v>
      </c>
      <c r="ET13" s="44"/>
      <c r="EU13" s="229"/>
      <c r="EV13" s="69" t="s">
        <v>20</v>
      </c>
      <c r="EW13" s="70" t="s">
        <v>18</v>
      </c>
      <c r="EX13" s="111">
        <v>0</v>
      </c>
      <c r="EY13" s="111">
        <v>0</v>
      </c>
      <c r="EZ13" s="111">
        <v>0</v>
      </c>
      <c r="FA13" s="111">
        <v>0</v>
      </c>
      <c r="FB13" s="111">
        <v>0</v>
      </c>
      <c r="FC13" s="111">
        <v>0</v>
      </c>
      <c r="FD13" s="111">
        <v>0</v>
      </c>
      <c r="FE13" s="117">
        <v>0</v>
      </c>
      <c r="FF13" s="118">
        <v>0</v>
      </c>
      <c r="FG13" s="118">
        <v>0</v>
      </c>
      <c r="FH13" s="119">
        <v>0</v>
      </c>
      <c r="FI13" s="44"/>
      <c r="FJ13" s="229"/>
      <c r="FK13" s="69" t="s">
        <v>20</v>
      </c>
      <c r="FL13" s="70" t="s">
        <v>18</v>
      </c>
      <c r="FM13" s="111">
        <v>0</v>
      </c>
      <c r="FN13" s="111">
        <v>0</v>
      </c>
      <c r="FO13" s="111">
        <v>0</v>
      </c>
      <c r="FP13" s="111">
        <v>0</v>
      </c>
      <c r="FQ13" s="111">
        <v>0</v>
      </c>
      <c r="FR13" s="111">
        <v>0</v>
      </c>
      <c r="FS13" s="111">
        <v>0</v>
      </c>
      <c r="FT13" s="117">
        <v>0</v>
      </c>
      <c r="FU13" s="118">
        <v>0</v>
      </c>
      <c r="FV13" s="118">
        <v>0</v>
      </c>
      <c r="FW13" s="119">
        <v>0</v>
      </c>
      <c r="FX13" s="44"/>
      <c r="FY13" s="229"/>
      <c r="FZ13" s="69" t="s">
        <v>20</v>
      </c>
      <c r="GA13" s="71" t="s">
        <v>18</v>
      </c>
      <c r="GB13" s="63">
        <f>SUM(FM13)</f>
        <v>0</v>
      </c>
      <c r="GC13" s="72">
        <f t="shared" si="22"/>
        <v>100</v>
      </c>
      <c r="GD13" s="72">
        <f t="shared" si="23"/>
        <v>0</v>
      </c>
      <c r="GE13" s="72">
        <f t="shared" si="24"/>
        <v>0</v>
      </c>
      <c r="GF13" s="72">
        <f t="shared" si="25"/>
        <v>0</v>
      </c>
      <c r="GG13" s="72">
        <f t="shared" si="26"/>
        <v>0</v>
      </c>
      <c r="GH13" s="72">
        <f t="shared" si="27"/>
        <v>714</v>
      </c>
      <c r="GI13" s="72">
        <f t="shared" si="28"/>
        <v>0</v>
      </c>
      <c r="GJ13" s="72">
        <f t="shared" si="29"/>
        <v>0</v>
      </c>
      <c r="GK13" s="72">
        <f t="shared" si="30"/>
        <v>0</v>
      </c>
      <c r="GL13" s="72">
        <f t="shared" si="31"/>
        <v>0</v>
      </c>
      <c r="GM13" s="44"/>
    </row>
    <row r="14" spans="1:195" ht="17.100000000000001" customHeight="1" thickBot="1" x14ac:dyDescent="0.25">
      <c r="A14" s="229"/>
      <c r="B14" s="73" t="s">
        <v>17</v>
      </c>
      <c r="C14" s="74" t="s">
        <v>19</v>
      </c>
      <c r="D14" s="154">
        <v>0</v>
      </c>
      <c r="E14" s="155">
        <v>0</v>
      </c>
      <c r="F14" s="155">
        <v>0</v>
      </c>
      <c r="G14" s="155">
        <v>0</v>
      </c>
      <c r="H14" s="155">
        <v>0</v>
      </c>
      <c r="I14" s="155">
        <v>0</v>
      </c>
      <c r="J14" s="155">
        <v>189</v>
      </c>
      <c r="K14" s="156">
        <v>0</v>
      </c>
      <c r="L14" s="156">
        <v>0</v>
      </c>
      <c r="M14" s="156">
        <v>0</v>
      </c>
      <c r="N14" s="155">
        <v>0</v>
      </c>
      <c r="O14" s="44"/>
      <c r="P14" s="229"/>
      <c r="Q14" s="73" t="s">
        <v>17</v>
      </c>
      <c r="R14" s="74" t="s">
        <v>19</v>
      </c>
      <c r="S14" s="154">
        <v>300</v>
      </c>
      <c r="T14" s="155">
        <v>90</v>
      </c>
      <c r="U14" s="155">
        <v>0</v>
      </c>
      <c r="V14" s="155">
        <v>190</v>
      </c>
      <c r="W14" s="155">
        <v>0</v>
      </c>
      <c r="X14" s="155">
        <v>0</v>
      </c>
      <c r="Y14" s="155">
        <v>300</v>
      </c>
      <c r="Z14" s="156">
        <v>0</v>
      </c>
      <c r="AA14" s="156">
        <v>0</v>
      </c>
      <c r="AB14" s="156">
        <v>0</v>
      </c>
      <c r="AC14" s="155">
        <v>0</v>
      </c>
      <c r="AD14" s="44"/>
      <c r="AE14" s="229"/>
      <c r="AF14" s="73" t="s">
        <v>17</v>
      </c>
      <c r="AG14" s="74" t="s">
        <v>19</v>
      </c>
      <c r="AH14" s="154">
        <v>0</v>
      </c>
      <c r="AI14" s="155">
        <v>0</v>
      </c>
      <c r="AJ14" s="155">
        <v>0</v>
      </c>
      <c r="AK14" s="155">
        <v>0</v>
      </c>
      <c r="AL14" s="155">
        <v>0</v>
      </c>
      <c r="AM14" s="155">
        <v>0</v>
      </c>
      <c r="AN14" s="155">
        <v>0</v>
      </c>
      <c r="AO14" s="156">
        <v>0</v>
      </c>
      <c r="AP14" s="156">
        <v>0</v>
      </c>
      <c r="AQ14" s="156">
        <v>0</v>
      </c>
      <c r="AR14" s="155">
        <v>0</v>
      </c>
      <c r="AS14" s="44"/>
      <c r="AT14" s="229"/>
      <c r="AU14" s="73" t="s">
        <v>17</v>
      </c>
      <c r="AV14" s="74" t="s">
        <v>19</v>
      </c>
      <c r="AW14" s="154">
        <v>0</v>
      </c>
      <c r="AX14" s="155">
        <v>0</v>
      </c>
      <c r="AY14" s="155">
        <v>0</v>
      </c>
      <c r="AZ14" s="155">
        <v>0</v>
      </c>
      <c r="BA14" s="155">
        <v>0</v>
      </c>
      <c r="BB14" s="155">
        <v>0</v>
      </c>
      <c r="BC14" s="155">
        <v>0</v>
      </c>
      <c r="BD14" s="156">
        <v>0</v>
      </c>
      <c r="BE14" s="156">
        <v>0</v>
      </c>
      <c r="BF14" s="156">
        <v>0</v>
      </c>
      <c r="BG14" s="155">
        <v>0</v>
      </c>
      <c r="BH14" s="44"/>
      <c r="BI14" s="229"/>
      <c r="BJ14" s="73" t="s">
        <v>17</v>
      </c>
      <c r="BK14" s="74" t="s">
        <v>19</v>
      </c>
      <c r="BL14" s="114">
        <v>0</v>
      </c>
      <c r="BM14" s="114">
        <v>0</v>
      </c>
      <c r="BN14" s="114">
        <v>0</v>
      </c>
      <c r="BO14" s="114">
        <v>0</v>
      </c>
      <c r="BP14" s="114">
        <v>0</v>
      </c>
      <c r="BQ14" s="114">
        <v>0</v>
      </c>
      <c r="BR14" s="114">
        <v>0</v>
      </c>
      <c r="BS14" s="114">
        <v>0</v>
      </c>
      <c r="BT14" s="115">
        <v>0</v>
      </c>
      <c r="BU14" s="115">
        <v>0</v>
      </c>
      <c r="BV14" s="116">
        <v>0</v>
      </c>
      <c r="BW14" s="44"/>
      <c r="BX14" s="229"/>
      <c r="BY14" s="73" t="s">
        <v>17</v>
      </c>
      <c r="BZ14" s="74" t="s">
        <v>19</v>
      </c>
      <c r="CA14" s="114">
        <v>0</v>
      </c>
      <c r="CB14" s="114">
        <v>0</v>
      </c>
      <c r="CC14" s="114">
        <v>0</v>
      </c>
      <c r="CD14" s="114">
        <v>0</v>
      </c>
      <c r="CE14" s="114">
        <v>0</v>
      </c>
      <c r="CF14" s="114">
        <v>0</v>
      </c>
      <c r="CG14" s="154">
        <v>0</v>
      </c>
      <c r="CH14" s="114">
        <v>0</v>
      </c>
      <c r="CI14" s="115">
        <v>0</v>
      </c>
      <c r="CJ14" s="115">
        <v>0</v>
      </c>
      <c r="CK14" s="116">
        <v>0</v>
      </c>
      <c r="CL14" s="44"/>
      <c r="CM14" s="229"/>
      <c r="CN14" s="73" t="s">
        <v>17</v>
      </c>
      <c r="CO14" s="74" t="s">
        <v>19</v>
      </c>
      <c r="CP14" s="154">
        <v>0</v>
      </c>
      <c r="CQ14" s="155">
        <v>0</v>
      </c>
      <c r="CR14" s="155">
        <v>0</v>
      </c>
      <c r="CS14" s="155">
        <v>0</v>
      </c>
      <c r="CT14" s="155">
        <v>0</v>
      </c>
      <c r="CU14" s="155">
        <v>0</v>
      </c>
      <c r="CV14" s="155">
        <v>189</v>
      </c>
      <c r="CW14" s="156">
        <v>0</v>
      </c>
      <c r="CX14" s="156">
        <v>0</v>
      </c>
      <c r="CY14" s="156">
        <v>0</v>
      </c>
      <c r="CZ14" s="155">
        <v>0</v>
      </c>
      <c r="DA14" s="44"/>
      <c r="DB14" s="229"/>
      <c r="DC14" s="73" t="s">
        <v>17</v>
      </c>
      <c r="DD14" s="74" t="s">
        <v>19</v>
      </c>
      <c r="DE14" s="200">
        <v>0</v>
      </c>
      <c r="DF14" s="201">
        <v>0</v>
      </c>
      <c r="DG14" s="201">
        <v>0</v>
      </c>
      <c r="DH14" s="201">
        <v>0</v>
      </c>
      <c r="DI14" s="201">
        <v>0</v>
      </c>
      <c r="DJ14" s="201">
        <v>0</v>
      </c>
      <c r="DK14" s="201">
        <v>0</v>
      </c>
      <c r="DL14" s="182">
        <v>0</v>
      </c>
      <c r="DM14" s="183">
        <v>0</v>
      </c>
      <c r="DN14" s="183">
        <v>0</v>
      </c>
      <c r="DO14" s="184">
        <v>0</v>
      </c>
      <c r="DP14" s="44"/>
      <c r="DQ14" s="229"/>
      <c r="DR14" s="73" t="s">
        <v>17</v>
      </c>
      <c r="DS14" s="74" t="s">
        <v>19</v>
      </c>
      <c r="DT14" s="182">
        <v>0</v>
      </c>
      <c r="DU14" s="182">
        <v>0</v>
      </c>
      <c r="DV14" s="182">
        <v>0</v>
      </c>
      <c r="DW14" s="182">
        <v>0</v>
      </c>
      <c r="DX14" s="182">
        <v>0</v>
      </c>
      <c r="DY14" s="182">
        <v>0</v>
      </c>
      <c r="DZ14" s="182">
        <v>0</v>
      </c>
      <c r="EA14" s="182">
        <v>0</v>
      </c>
      <c r="EB14" s="183">
        <v>0</v>
      </c>
      <c r="EC14" s="183">
        <v>0</v>
      </c>
      <c r="ED14" s="184">
        <v>0</v>
      </c>
      <c r="EE14" s="44"/>
      <c r="EF14" s="229"/>
      <c r="EG14" s="73" t="s">
        <v>17</v>
      </c>
      <c r="EH14" s="74" t="s">
        <v>19</v>
      </c>
      <c r="EI14" s="114">
        <v>0</v>
      </c>
      <c r="EJ14" s="114">
        <v>0</v>
      </c>
      <c r="EK14" s="114">
        <v>0</v>
      </c>
      <c r="EL14" s="114">
        <v>0</v>
      </c>
      <c r="EM14" s="114">
        <v>0</v>
      </c>
      <c r="EN14" s="114">
        <v>0</v>
      </c>
      <c r="EO14" s="114">
        <v>0</v>
      </c>
      <c r="EP14" s="114">
        <v>0</v>
      </c>
      <c r="EQ14" s="115">
        <v>0</v>
      </c>
      <c r="ER14" s="115">
        <v>0</v>
      </c>
      <c r="ES14" s="116">
        <v>0</v>
      </c>
      <c r="ET14" s="44"/>
      <c r="EU14" s="229"/>
      <c r="EV14" s="73" t="s">
        <v>17</v>
      </c>
      <c r="EW14" s="74" t="s">
        <v>19</v>
      </c>
      <c r="EX14" s="114">
        <v>0</v>
      </c>
      <c r="EY14" s="114">
        <v>0</v>
      </c>
      <c r="EZ14" s="114">
        <v>0</v>
      </c>
      <c r="FA14" s="114">
        <v>0</v>
      </c>
      <c r="FB14" s="114">
        <v>0</v>
      </c>
      <c r="FC14" s="114">
        <v>0</v>
      </c>
      <c r="FD14" s="114">
        <v>0</v>
      </c>
      <c r="FE14" s="114">
        <v>0</v>
      </c>
      <c r="FF14" s="115">
        <v>0</v>
      </c>
      <c r="FG14" s="115">
        <v>0</v>
      </c>
      <c r="FH14" s="116">
        <v>0</v>
      </c>
      <c r="FI14" s="44"/>
      <c r="FJ14" s="229"/>
      <c r="FK14" s="73" t="s">
        <v>17</v>
      </c>
      <c r="FL14" s="74" t="s">
        <v>19</v>
      </c>
      <c r="FM14" s="114">
        <v>0</v>
      </c>
      <c r="FN14" s="114">
        <v>0</v>
      </c>
      <c r="FO14" s="114">
        <v>0</v>
      </c>
      <c r="FP14" s="114">
        <v>0</v>
      </c>
      <c r="FQ14" s="114">
        <v>0</v>
      </c>
      <c r="FR14" s="114">
        <v>0</v>
      </c>
      <c r="FS14" s="114">
        <v>0</v>
      </c>
      <c r="FT14" s="114">
        <v>0</v>
      </c>
      <c r="FU14" s="115">
        <v>0</v>
      </c>
      <c r="FV14" s="115">
        <v>0</v>
      </c>
      <c r="FW14" s="116">
        <v>0</v>
      </c>
      <c r="FX14" s="44"/>
      <c r="FY14" s="229"/>
      <c r="FZ14" s="73" t="s">
        <v>17</v>
      </c>
      <c r="GA14" s="75" t="s">
        <v>19</v>
      </c>
      <c r="GB14" s="67">
        <f>SUM(FM14)</f>
        <v>0</v>
      </c>
      <c r="GC14" s="68">
        <f t="shared" si="22"/>
        <v>90</v>
      </c>
      <c r="GD14" s="68">
        <f t="shared" si="23"/>
        <v>0</v>
      </c>
      <c r="GE14" s="68">
        <f t="shared" si="24"/>
        <v>0</v>
      </c>
      <c r="GF14" s="68">
        <f t="shared" si="25"/>
        <v>0</v>
      </c>
      <c r="GG14" s="68">
        <f t="shared" si="26"/>
        <v>0</v>
      </c>
      <c r="GH14" s="68">
        <f t="shared" si="27"/>
        <v>678</v>
      </c>
      <c r="GI14" s="68">
        <f t="shared" si="28"/>
        <v>0</v>
      </c>
      <c r="GJ14" s="68">
        <f t="shared" si="29"/>
        <v>0</v>
      </c>
      <c r="GK14" s="68">
        <f t="shared" si="30"/>
        <v>0</v>
      </c>
      <c r="GL14" s="68">
        <f t="shared" si="31"/>
        <v>0</v>
      </c>
      <c r="GM14" s="44"/>
    </row>
    <row r="15" spans="1:195" ht="17.100000000000001" customHeight="1" thickBot="1" x14ac:dyDescent="0.25">
      <c r="A15" s="229"/>
      <c r="B15" s="252" t="s">
        <v>21</v>
      </c>
      <c r="C15" s="253"/>
      <c r="D15" s="120">
        <f t="shared" ref="D15:N15" si="32">SUM(D11:D14)</f>
        <v>20</v>
      </c>
      <c r="E15" s="120">
        <f t="shared" si="32"/>
        <v>5</v>
      </c>
      <c r="F15" s="121">
        <f t="shared" si="32"/>
        <v>2</v>
      </c>
      <c r="G15" s="122">
        <f t="shared" si="32"/>
        <v>445</v>
      </c>
      <c r="H15" s="121">
        <f t="shared" si="32"/>
        <v>9</v>
      </c>
      <c r="I15" s="120">
        <f t="shared" si="32"/>
        <v>29</v>
      </c>
      <c r="J15" s="120">
        <f t="shared" si="32"/>
        <v>723</v>
      </c>
      <c r="K15" s="123">
        <f t="shared" si="32"/>
        <v>0</v>
      </c>
      <c r="L15" s="124">
        <f t="shared" si="32"/>
        <v>0</v>
      </c>
      <c r="M15" s="124">
        <f t="shared" si="32"/>
        <v>0</v>
      </c>
      <c r="N15" s="125">
        <f t="shared" si="32"/>
        <v>0</v>
      </c>
      <c r="O15" s="44"/>
      <c r="P15" s="229"/>
      <c r="Q15" s="252" t="s">
        <v>21</v>
      </c>
      <c r="R15" s="253"/>
      <c r="S15" s="120">
        <f t="shared" ref="S15:AC15" si="33">SUM(S11:S14)</f>
        <v>1130</v>
      </c>
      <c r="T15" s="120">
        <f t="shared" si="33"/>
        <v>355</v>
      </c>
      <c r="U15" s="121">
        <f t="shared" si="33"/>
        <v>4</v>
      </c>
      <c r="V15" s="122">
        <f t="shared" si="33"/>
        <v>750</v>
      </c>
      <c r="W15" s="121">
        <f t="shared" si="33"/>
        <v>110</v>
      </c>
      <c r="X15" s="120">
        <f t="shared" si="33"/>
        <v>28</v>
      </c>
      <c r="Y15" s="120">
        <f t="shared" si="33"/>
        <v>1130</v>
      </c>
      <c r="Z15" s="123">
        <f t="shared" si="33"/>
        <v>0</v>
      </c>
      <c r="AA15" s="124">
        <f t="shared" si="33"/>
        <v>0</v>
      </c>
      <c r="AB15" s="124">
        <f t="shared" si="33"/>
        <v>0</v>
      </c>
      <c r="AC15" s="125">
        <f t="shared" si="33"/>
        <v>0</v>
      </c>
      <c r="AD15" s="44"/>
      <c r="AE15" s="229"/>
      <c r="AF15" s="252" t="s">
        <v>21</v>
      </c>
      <c r="AG15" s="253"/>
      <c r="AH15" s="120">
        <f t="shared" ref="AH15:AR15" si="34">SUM(AH11:AH14)</f>
        <v>50</v>
      </c>
      <c r="AI15" s="120">
        <f t="shared" si="34"/>
        <v>23</v>
      </c>
      <c r="AJ15" s="121">
        <f t="shared" si="34"/>
        <v>2</v>
      </c>
      <c r="AK15" s="122">
        <f t="shared" si="34"/>
        <v>420</v>
      </c>
      <c r="AL15" s="121">
        <f t="shared" si="34"/>
        <v>21</v>
      </c>
      <c r="AM15" s="120">
        <f t="shared" si="34"/>
        <v>0</v>
      </c>
      <c r="AN15" s="120">
        <f t="shared" si="34"/>
        <v>456</v>
      </c>
      <c r="AO15" s="123">
        <f t="shared" si="34"/>
        <v>0</v>
      </c>
      <c r="AP15" s="124">
        <f t="shared" si="34"/>
        <v>0</v>
      </c>
      <c r="AQ15" s="124">
        <f t="shared" si="34"/>
        <v>0</v>
      </c>
      <c r="AR15" s="125">
        <f t="shared" si="34"/>
        <v>0</v>
      </c>
      <c r="AS15" s="44"/>
      <c r="AT15" s="229"/>
      <c r="AU15" s="252" t="s">
        <v>21</v>
      </c>
      <c r="AV15" s="253"/>
      <c r="AW15" s="120">
        <f t="shared" ref="AW15:BG15" si="35">SUM(AW11:AW14)</f>
        <v>39</v>
      </c>
      <c r="AX15" s="120">
        <f t="shared" si="35"/>
        <v>15</v>
      </c>
      <c r="AY15" s="121">
        <f t="shared" si="35"/>
        <v>0</v>
      </c>
      <c r="AZ15" s="122">
        <f t="shared" si="35"/>
        <v>361</v>
      </c>
      <c r="BA15" s="121">
        <f t="shared" si="35"/>
        <v>22</v>
      </c>
      <c r="BB15" s="120">
        <f t="shared" si="35"/>
        <v>0</v>
      </c>
      <c r="BC15" s="120">
        <f t="shared" si="35"/>
        <v>378</v>
      </c>
      <c r="BD15" s="123">
        <f t="shared" si="35"/>
        <v>0</v>
      </c>
      <c r="BE15" s="124">
        <f t="shared" si="35"/>
        <v>0</v>
      </c>
      <c r="BF15" s="124">
        <f t="shared" si="35"/>
        <v>0</v>
      </c>
      <c r="BG15" s="125">
        <f t="shared" si="35"/>
        <v>0</v>
      </c>
      <c r="BH15" s="44"/>
      <c r="BI15" s="229"/>
      <c r="BJ15" s="252" t="s">
        <v>21</v>
      </c>
      <c r="BK15" s="253"/>
      <c r="BL15" s="120">
        <f t="shared" ref="BL15:BV15" si="36">SUM(BL11:BL14)</f>
        <v>39</v>
      </c>
      <c r="BM15" s="120">
        <f t="shared" si="36"/>
        <v>15</v>
      </c>
      <c r="BN15" s="121">
        <f t="shared" si="36"/>
        <v>0</v>
      </c>
      <c r="BO15" s="122">
        <f t="shared" si="36"/>
        <v>361</v>
      </c>
      <c r="BP15" s="121">
        <f t="shared" si="36"/>
        <v>22</v>
      </c>
      <c r="BQ15" s="120">
        <f t="shared" si="36"/>
        <v>0</v>
      </c>
      <c r="BR15" s="120">
        <f t="shared" si="36"/>
        <v>0</v>
      </c>
      <c r="BS15" s="123">
        <f t="shared" si="36"/>
        <v>0</v>
      </c>
      <c r="BT15" s="124">
        <f t="shared" si="36"/>
        <v>0</v>
      </c>
      <c r="BU15" s="124">
        <f t="shared" si="36"/>
        <v>0</v>
      </c>
      <c r="BV15" s="125">
        <f t="shared" si="36"/>
        <v>0</v>
      </c>
      <c r="BW15" s="44"/>
      <c r="BX15" s="229"/>
      <c r="BY15" s="252" t="s">
        <v>21</v>
      </c>
      <c r="BZ15" s="253"/>
      <c r="CA15" s="120">
        <f t="shared" ref="CA15:CK15" si="37">SUM(CA11:CA14)</f>
        <v>44</v>
      </c>
      <c r="CB15" s="120">
        <f t="shared" si="37"/>
        <v>0</v>
      </c>
      <c r="CC15" s="121">
        <f t="shared" si="37"/>
        <v>0</v>
      </c>
      <c r="CD15" s="122">
        <f t="shared" si="37"/>
        <v>0</v>
      </c>
      <c r="CE15" s="121">
        <f t="shared" si="37"/>
        <v>0</v>
      </c>
      <c r="CF15" s="120">
        <f t="shared" si="37"/>
        <v>0</v>
      </c>
      <c r="CG15" s="166">
        <v>330</v>
      </c>
      <c r="CH15" s="123">
        <f t="shared" si="37"/>
        <v>0</v>
      </c>
      <c r="CI15" s="124">
        <f t="shared" si="37"/>
        <v>0</v>
      </c>
      <c r="CJ15" s="124">
        <f t="shared" si="37"/>
        <v>0</v>
      </c>
      <c r="CK15" s="125">
        <f t="shared" si="37"/>
        <v>0</v>
      </c>
      <c r="CL15" s="44"/>
      <c r="CM15" s="229"/>
      <c r="CN15" s="252" t="s">
        <v>21</v>
      </c>
      <c r="CO15" s="253"/>
      <c r="CP15" s="166">
        <v>20</v>
      </c>
      <c r="CQ15" s="175">
        <v>5</v>
      </c>
      <c r="CR15" s="175">
        <v>2</v>
      </c>
      <c r="CS15" s="175">
        <v>445</v>
      </c>
      <c r="CT15" s="175">
        <v>9</v>
      </c>
      <c r="CU15" s="175">
        <v>29</v>
      </c>
      <c r="CV15" s="175">
        <v>723</v>
      </c>
      <c r="CW15" s="174">
        <v>0</v>
      </c>
      <c r="CX15" s="174">
        <v>0</v>
      </c>
      <c r="CY15" s="174">
        <v>0</v>
      </c>
      <c r="CZ15" s="175">
        <v>0</v>
      </c>
      <c r="DA15" s="44"/>
      <c r="DB15" s="229"/>
      <c r="DC15" s="252" t="s">
        <v>21</v>
      </c>
      <c r="DD15" s="253"/>
      <c r="DE15" s="188">
        <f t="shared" ref="DE15:DO15" si="38">SUM(DE11:DE14)</f>
        <v>30</v>
      </c>
      <c r="DF15" s="188">
        <f t="shared" si="38"/>
        <v>24</v>
      </c>
      <c r="DG15" s="189">
        <f t="shared" si="38"/>
        <v>8</v>
      </c>
      <c r="DH15" s="190">
        <f t="shared" si="38"/>
        <v>302</v>
      </c>
      <c r="DI15" s="189">
        <f t="shared" si="38"/>
        <v>27</v>
      </c>
      <c r="DJ15" s="188">
        <f t="shared" si="38"/>
        <v>0</v>
      </c>
      <c r="DK15" s="188">
        <f t="shared" si="38"/>
        <v>330</v>
      </c>
      <c r="DL15" s="191">
        <f t="shared" si="38"/>
        <v>0</v>
      </c>
      <c r="DM15" s="192">
        <f t="shared" si="38"/>
        <v>0</v>
      </c>
      <c r="DN15" s="192">
        <f t="shared" si="38"/>
        <v>0</v>
      </c>
      <c r="DO15" s="193">
        <f t="shared" si="38"/>
        <v>0</v>
      </c>
      <c r="DP15" s="44"/>
      <c r="DQ15" s="229"/>
      <c r="DR15" s="252" t="s">
        <v>21</v>
      </c>
      <c r="DS15" s="253"/>
      <c r="DT15" s="188">
        <f t="shared" ref="DT15:ED15" si="39">SUM(DT11:DT14)</f>
        <v>29</v>
      </c>
      <c r="DU15" s="188">
        <f t="shared" si="39"/>
        <v>14</v>
      </c>
      <c r="DV15" s="189">
        <f t="shared" si="39"/>
        <v>0</v>
      </c>
      <c r="DW15" s="190">
        <f t="shared" si="39"/>
        <v>682</v>
      </c>
      <c r="DX15" s="189">
        <f t="shared" si="39"/>
        <v>25</v>
      </c>
      <c r="DY15" s="188">
        <f t="shared" si="39"/>
        <v>3</v>
      </c>
      <c r="DZ15" s="188">
        <f t="shared" si="39"/>
        <v>224</v>
      </c>
      <c r="EA15" s="191">
        <f t="shared" si="39"/>
        <v>0</v>
      </c>
      <c r="EB15" s="192">
        <f t="shared" si="39"/>
        <v>0</v>
      </c>
      <c r="EC15" s="192">
        <f t="shared" si="39"/>
        <v>0</v>
      </c>
      <c r="ED15" s="193">
        <f t="shared" si="39"/>
        <v>0</v>
      </c>
      <c r="EE15" s="44"/>
      <c r="EF15" s="229"/>
      <c r="EG15" s="252" t="s">
        <v>21</v>
      </c>
      <c r="EH15" s="253"/>
      <c r="EI15" s="120">
        <f t="shared" ref="EI15:ES15" si="40">SUM(EI11:EI14)</f>
        <v>0</v>
      </c>
      <c r="EJ15" s="120">
        <f t="shared" si="40"/>
        <v>0</v>
      </c>
      <c r="EK15" s="121">
        <f t="shared" si="40"/>
        <v>0</v>
      </c>
      <c r="EL15" s="122">
        <f t="shared" si="40"/>
        <v>0</v>
      </c>
      <c r="EM15" s="121">
        <f t="shared" si="40"/>
        <v>0</v>
      </c>
      <c r="EN15" s="120">
        <f t="shared" si="40"/>
        <v>0</v>
      </c>
      <c r="EO15" s="120">
        <f t="shared" si="40"/>
        <v>0</v>
      </c>
      <c r="EP15" s="123">
        <f t="shared" si="40"/>
        <v>0</v>
      </c>
      <c r="EQ15" s="124">
        <f t="shared" si="40"/>
        <v>0</v>
      </c>
      <c r="ER15" s="124">
        <f t="shared" si="40"/>
        <v>0</v>
      </c>
      <c r="ES15" s="125">
        <f t="shared" si="40"/>
        <v>0</v>
      </c>
      <c r="ET15" s="44"/>
      <c r="EU15" s="229"/>
      <c r="EV15" s="252" t="s">
        <v>21</v>
      </c>
      <c r="EW15" s="253"/>
      <c r="EX15" s="120">
        <f t="shared" ref="EX15:FH15" si="41">SUM(EX11:EX14)</f>
        <v>0</v>
      </c>
      <c r="EY15" s="120">
        <f t="shared" si="41"/>
        <v>0</v>
      </c>
      <c r="EZ15" s="121">
        <f t="shared" si="41"/>
        <v>0</v>
      </c>
      <c r="FA15" s="122">
        <f t="shared" si="41"/>
        <v>0</v>
      </c>
      <c r="FB15" s="121">
        <f t="shared" si="41"/>
        <v>0</v>
      </c>
      <c r="FC15" s="120">
        <f t="shared" si="41"/>
        <v>0</v>
      </c>
      <c r="FD15" s="120">
        <f t="shared" si="41"/>
        <v>0</v>
      </c>
      <c r="FE15" s="123">
        <f t="shared" si="41"/>
        <v>0</v>
      </c>
      <c r="FF15" s="124">
        <f t="shared" si="41"/>
        <v>0</v>
      </c>
      <c r="FG15" s="124">
        <f t="shared" si="41"/>
        <v>0</v>
      </c>
      <c r="FH15" s="125">
        <f t="shared" si="41"/>
        <v>0</v>
      </c>
      <c r="FI15" s="44"/>
      <c r="FJ15" s="229"/>
      <c r="FK15" s="252" t="s">
        <v>21</v>
      </c>
      <c r="FL15" s="253"/>
      <c r="FM15" s="120">
        <f t="shared" ref="FM15:FW15" si="42">SUM(FM11:FM14)</f>
        <v>0</v>
      </c>
      <c r="FN15" s="120">
        <f t="shared" si="42"/>
        <v>0</v>
      </c>
      <c r="FO15" s="121">
        <f t="shared" si="42"/>
        <v>0</v>
      </c>
      <c r="FP15" s="122">
        <f t="shared" si="42"/>
        <v>0</v>
      </c>
      <c r="FQ15" s="121">
        <f t="shared" si="42"/>
        <v>0</v>
      </c>
      <c r="FR15" s="120">
        <f t="shared" si="42"/>
        <v>0</v>
      </c>
      <c r="FS15" s="120">
        <f t="shared" si="42"/>
        <v>0</v>
      </c>
      <c r="FT15" s="123">
        <f t="shared" si="42"/>
        <v>0</v>
      </c>
      <c r="FU15" s="124">
        <f t="shared" si="42"/>
        <v>0</v>
      </c>
      <c r="FV15" s="124">
        <f t="shared" si="42"/>
        <v>0</v>
      </c>
      <c r="FW15" s="125">
        <f t="shared" si="42"/>
        <v>0</v>
      </c>
      <c r="FX15" s="44"/>
      <c r="FY15" s="229"/>
      <c r="FZ15" s="128" t="s">
        <v>21</v>
      </c>
      <c r="GA15" s="129"/>
      <c r="GB15" s="76">
        <f t="shared" ref="GB15:GL15" si="43">SUM(GB11:GB14)</f>
        <v>0</v>
      </c>
      <c r="GC15" s="77">
        <f t="shared" si="43"/>
        <v>456</v>
      </c>
      <c r="GD15" s="77">
        <f t="shared" si="43"/>
        <v>18</v>
      </c>
      <c r="GE15" s="77">
        <f t="shared" si="43"/>
        <v>0</v>
      </c>
      <c r="GF15" s="77">
        <f t="shared" si="43"/>
        <v>0</v>
      </c>
      <c r="GG15" s="77">
        <f t="shared" si="43"/>
        <v>0</v>
      </c>
      <c r="GH15" s="77">
        <f t="shared" si="43"/>
        <v>4294</v>
      </c>
      <c r="GI15" s="77">
        <f t="shared" si="43"/>
        <v>0</v>
      </c>
      <c r="GJ15" s="77">
        <f t="shared" si="43"/>
        <v>0</v>
      </c>
      <c r="GK15" s="77">
        <f t="shared" si="43"/>
        <v>0</v>
      </c>
      <c r="GL15" s="77">
        <f t="shared" si="43"/>
        <v>0</v>
      </c>
      <c r="GM15" s="44"/>
    </row>
    <row r="16" spans="1:195" ht="17.100000000000001" customHeight="1" thickBot="1" x14ac:dyDescent="0.25">
      <c r="A16" s="230"/>
      <c r="B16" s="78" t="s">
        <v>22</v>
      </c>
      <c r="C16" s="44"/>
      <c r="D16" s="78"/>
      <c r="E16" s="44"/>
      <c r="F16" s="44"/>
      <c r="G16" s="44"/>
      <c r="H16" s="44"/>
      <c r="I16" s="44"/>
      <c r="J16" s="44"/>
      <c r="K16" s="79" t="s">
        <v>18</v>
      </c>
      <c r="L16" s="80">
        <v>0</v>
      </c>
      <c r="M16" s="79" t="s">
        <v>19</v>
      </c>
      <c r="N16" s="80">
        <v>0</v>
      </c>
      <c r="O16" s="44"/>
      <c r="P16" s="230"/>
      <c r="Q16" s="78" t="s">
        <v>22</v>
      </c>
      <c r="R16" s="44"/>
      <c r="S16" s="78"/>
      <c r="T16" s="44"/>
      <c r="U16" s="44"/>
      <c r="V16" s="44"/>
      <c r="W16" s="44"/>
      <c r="X16" s="44"/>
      <c r="Y16" s="44"/>
      <c r="Z16" s="79" t="s">
        <v>18</v>
      </c>
      <c r="AA16" s="80">
        <v>0</v>
      </c>
      <c r="AB16" s="79" t="s">
        <v>19</v>
      </c>
      <c r="AC16" s="80">
        <v>0</v>
      </c>
      <c r="AD16" s="44"/>
      <c r="AE16" s="230"/>
      <c r="AF16" s="78" t="s">
        <v>22</v>
      </c>
      <c r="AG16" s="44"/>
      <c r="AH16" s="78"/>
      <c r="AI16" s="44"/>
      <c r="AJ16" s="44"/>
      <c r="AK16" s="44"/>
      <c r="AL16" s="44"/>
      <c r="AM16" s="44"/>
      <c r="AN16" s="44"/>
      <c r="AO16" s="79" t="s">
        <v>18</v>
      </c>
      <c r="AP16" s="80">
        <v>0</v>
      </c>
      <c r="AQ16" s="79" t="s">
        <v>19</v>
      </c>
      <c r="AR16" s="80">
        <v>0</v>
      </c>
      <c r="AS16" s="44"/>
      <c r="AT16" s="230"/>
      <c r="AU16" s="78" t="s">
        <v>22</v>
      </c>
      <c r="AV16" s="44"/>
      <c r="AW16" s="78"/>
      <c r="AX16" s="44"/>
      <c r="AY16" s="44"/>
      <c r="AZ16" s="44"/>
      <c r="BA16" s="44"/>
      <c r="BB16" s="44"/>
      <c r="BC16" s="44"/>
      <c r="BD16" s="79" t="s">
        <v>18</v>
      </c>
      <c r="BE16" s="80">
        <v>0</v>
      </c>
      <c r="BF16" s="79" t="s">
        <v>19</v>
      </c>
      <c r="BG16" s="80">
        <v>0</v>
      </c>
      <c r="BH16" s="44"/>
      <c r="BI16" s="230"/>
      <c r="BJ16" s="78" t="s">
        <v>22</v>
      </c>
      <c r="BK16" s="44"/>
      <c r="BL16" s="78"/>
      <c r="BM16" s="44"/>
      <c r="BN16" s="44"/>
      <c r="BO16" s="44"/>
      <c r="BP16" s="44"/>
      <c r="BQ16" s="44"/>
      <c r="BR16" s="44"/>
      <c r="BS16" s="79" t="s">
        <v>18</v>
      </c>
      <c r="BT16" s="80">
        <v>0</v>
      </c>
      <c r="BU16" s="79" t="s">
        <v>19</v>
      </c>
      <c r="BV16" s="80">
        <v>0</v>
      </c>
      <c r="BW16" s="44"/>
      <c r="BX16" s="230"/>
      <c r="BY16" s="78" t="s">
        <v>22</v>
      </c>
      <c r="BZ16" s="44"/>
      <c r="CA16" s="78"/>
      <c r="CB16" s="44"/>
      <c r="CC16" s="44"/>
      <c r="CD16" s="44"/>
      <c r="CE16" s="44"/>
      <c r="CF16" s="44"/>
      <c r="CG16" s="167"/>
      <c r="CH16" s="79" t="s">
        <v>18</v>
      </c>
      <c r="CI16" s="80">
        <v>0</v>
      </c>
      <c r="CJ16" s="79" t="s">
        <v>19</v>
      </c>
      <c r="CK16" s="80">
        <v>0</v>
      </c>
      <c r="CL16" s="44"/>
      <c r="CM16" s="230"/>
      <c r="CN16" s="78" t="s">
        <v>22</v>
      </c>
      <c r="CO16" s="44"/>
      <c r="CP16" s="167"/>
      <c r="CQ16" s="167"/>
      <c r="CR16" s="167"/>
      <c r="CS16" s="178"/>
      <c r="CT16" s="178"/>
      <c r="CU16" s="178"/>
      <c r="CV16" s="178"/>
      <c r="CW16" s="176" t="s">
        <v>18</v>
      </c>
      <c r="CX16" s="177">
        <v>0</v>
      </c>
      <c r="CY16" s="176" t="s">
        <v>19</v>
      </c>
      <c r="CZ16" s="177">
        <v>0</v>
      </c>
      <c r="DA16" s="44"/>
      <c r="DB16" s="230"/>
      <c r="DC16" s="78" t="s">
        <v>22</v>
      </c>
      <c r="DD16" s="44"/>
      <c r="DE16" s="194"/>
      <c r="DF16" s="195"/>
      <c r="DG16" s="195"/>
      <c r="DH16" s="195"/>
      <c r="DI16" s="195"/>
      <c r="DJ16" s="195"/>
      <c r="DK16" s="195"/>
      <c r="DL16" s="196" t="s">
        <v>18</v>
      </c>
      <c r="DM16" s="197">
        <v>0</v>
      </c>
      <c r="DN16" s="196" t="s">
        <v>19</v>
      </c>
      <c r="DO16" s="197">
        <v>0</v>
      </c>
      <c r="DP16" s="44"/>
      <c r="DQ16" s="230"/>
      <c r="DR16" s="78" t="s">
        <v>22</v>
      </c>
      <c r="DS16" s="44"/>
      <c r="DT16" s="207"/>
      <c r="DU16" s="208"/>
      <c r="DV16" s="208"/>
      <c r="DW16" s="208"/>
      <c r="DX16" s="208"/>
      <c r="DY16" s="208"/>
      <c r="DZ16" s="208"/>
      <c r="EA16" s="209" t="s">
        <v>18</v>
      </c>
      <c r="EB16" s="210">
        <v>0</v>
      </c>
      <c r="EC16" s="209" t="s">
        <v>19</v>
      </c>
      <c r="ED16" s="210">
        <v>0</v>
      </c>
      <c r="EE16" s="44"/>
      <c r="EF16" s="230"/>
      <c r="EG16" s="78" t="s">
        <v>22</v>
      </c>
      <c r="EH16" s="44"/>
      <c r="EI16" s="78"/>
      <c r="EJ16" s="44"/>
      <c r="EK16" s="44"/>
      <c r="EL16" s="44"/>
      <c r="EM16" s="44"/>
      <c r="EN16" s="44"/>
      <c r="EO16" s="44"/>
      <c r="EP16" s="79" t="s">
        <v>18</v>
      </c>
      <c r="EQ16" s="80">
        <v>0</v>
      </c>
      <c r="ER16" s="79" t="s">
        <v>19</v>
      </c>
      <c r="ES16" s="80">
        <v>0</v>
      </c>
      <c r="ET16" s="44"/>
      <c r="EU16" s="230"/>
      <c r="EV16" s="78" t="s">
        <v>22</v>
      </c>
      <c r="EW16" s="44"/>
      <c r="EX16" s="78"/>
      <c r="EY16" s="44"/>
      <c r="EZ16" s="44"/>
      <c r="FA16" s="44"/>
      <c r="FB16" s="44"/>
      <c r="FC16" s="44"/>
      <c r="FD16" s="44"/>
      <c r="FE16" s="79" t="s">
        <v>18</v>
      </c>
      <c r="FF16" s="80">
        <v>0</v>
      </c>
      <c r="FG16" s="79" t="s">
        <v>19</v>
      </c>
      <c r="FH16" s="80">
        <v>0</v>
      </c>
      <c r="FI16" s="44"/>
      <c r="FJ16" s="230"/>
      <c r="FK16" s="78" t="s">
        <v>22</v>
      </c>
      <c r="FL16" s="44"/>
      <c r="FM16" s="78"/>
      <c r="FN16" s="44"/>
      <c r="FO16" s="44"/>
      <c r="FP16" s="44"/>
      <c r="FQ16" s="44"/>
      <c r="FR16" s="44"/>
      <c r="FS16" s="44"/>
      <c r="FT16" s="79" t="s">
        <v>18</v>
      </c>
      <c r="FU16" s="80">
        <v>0</v>
      </c>
      <c r="FV16" s="79" t="s">
        <v>19</v>
      </c>
      <c r="FW16" s="80">
        <v>0</v>
      </c>
      <c r="FX16" s="44"/>
      <c r="FY16" s="230"/>
      <c r="FZ16" s="78" t="s">
        <v>26</v>
      </c>
      <c r="GA16" s="44"/>
      <c r="GB16" s="81"/>
      <c r="GC16" s="82"/>
      <c r="GD16" s="82"/>
      <c r="GE16" s="82"/>
      <c r="GF16" s="82"/>
      <c r="GG16" s="82"/>
      <c r="GH16" s="82"/>
      <c r="GI16" s="83" t="s">
        <v>18</v>
      </c>
      <c r="GJ16" s="64">
        <f>(L16+AA16+AP16+BE16+BT16+CI16+CX16+DM16+EB16+EQ16+FF16+FU16)</f>
        <v>0</v>
      </c>
      <c r="GK16" s="83" t="s">
        <v>19</v>
      </c>
      <c r="GL16" s="64">
        <f>(N16+AC16+AR16+BG16+BV16+CK16+CZ16+DO16+ED16+ES16+FH16+FW16)</f>
        <v>0</v>
      </c>
      <c r="GM16" s="44"/>
    </row>
    <row r="17" spans="1:195" ht="17.100000000000001" customHeight="1" thickTop="1" thickBot="1" x14ac:dyDescent="0.3">
      <c r="A17" s="228" t="s">
        <v>32</v>
      </c>
      <c r="B17" s="250" t="s">
        <v>17</v>
      </c>
      <c r="C17" s="61" t="s">
        <v>18</v>
      </c>
      <c r="D17" s="160">
        <v>15</v>
      </c>
      <c r="E17" s="161">
        <v>0</v>
      </c>
      <c r="F17" s="161">
        <v>0</v>
      </c>
      <c r="G17" s="161">
        <v>0</v>
      </c>
      <c r="H17" s="161">
        <v>28</v>
      </c>
      <c r="I17" s="161">
        <v>30</v>
      </c>
      <c r="J17" s="162">
        <v>122</v>
      </c>
      <c r="K17" s="153">
        <v>0</v>
      </c>
      <c r="L17" s="153">
        <v>0</v>
      </c>
      <c r="M17" s="153">
        <v>0</v>
      </c>
      <c r="N17" s="152">
        <v>0</v>
      </c>
      <c r="O17" s="44"/>
      <c r="P17" s="228" t="s">
        <v>32</v>
      </c>
      <c r="Q17" s="250" t="s">
        <v>17</v>
      </c>
      <c r="R17" s="61" t="s">
        <v>18</v>
      </c>
      <c r="S17" s="160">
        <v>0</v>
      </c>
      <c r="T17" s="161">
        <v>0</v>
      </c>
      <c r="U17" s="161">
        <v>0</v>
      </c>
      <c r="V17" s="161">
        <v>0</v>
      </c>
      <c r="W17" s="161">
        <v>0</v>
      </c>
      <c r="X17" s="161">
        <v>192</v>
      </c>
      <c r="Y17" s="161">
        <v>79</v>
      </c>
      <c r="Z17" s="161">
        <v>51</v>
      </c>
      <c r="AA17" s="161">
        <v>160</v>
      </c>
      <c r="AB17" s="161">
        <v>0</v>
      </c>
      <c r="AC17" s="161">
        <v>0</v>
      </c>
      <c r="AD17" s="44"/>
      <c r="AE17" s="228" t="s">
        <v>32</v>
      </c>
      <c r="AF17" s="250" t="s">
        <v>17</v>
      </c>
      <c r="AG17" s="61" t="s">
        <v>18</v>
      </c>
      <c r="AH17" s="111">
        <v>0</v>
      </c>
      <c r="AI17" s="111">
        <v>0</v>
      </c>
      <c r="AJ17" s="111">
        <v>0</v>
      </c>
      <c r="AK17" s="111">
        <v>0</v>
      </c>
      <c r="AL17" s="111">
        <v>0</v>
      </c>
      <c r="AM17" s="111">
        <v>0</v>
      </c>
      <c r="AN17" s="111">
        <v>0</v>
      </c>
      <c r="AO17" s="111">
        <v>0</v>
      </c>
      <c r="AP17" s="112">
        <v>0</v>
      </c>
      <c r="AQ17" s="112">
        <v>0</v>
      </c>
      <c r="AR17" s="113">
        <v>0</v>
      </c>
      <c r="AS17" s="44"/>
      <c r="AT17" s="228" t="s">
        <v>32</v>
      </c>
      <c r="AU17" s="250" t="s">
        <v>17</v>
      </c>
      <c r="AV17" s="61" t="s">
        <v>18</v>
      </c>
      <c r="AW17" s="111">
        <v>0</v>
      </c>
      <c r="AX17" s="111">
        <v>0</v>
      </c>
      <c r="AY17" s="111">
        <v>0</v>
      </c>
      <c r="AZ17" s="111">
        <v>0</v>
      </c>
      <c r="BA17" s="111">
        <v>0</v>
      </c>
      <c r="BB17" s="111">
        <v>0</v>
      </c>
      <c r="BC17" s="111">
        <v>0</v>
      </c>
      <c r="BD17" s="111">
        <v>0</v>
      </c>
      <c r="BE17" s="112">
        <v>0</v>
      </c>
      <c r="BF17" s="112">
        <v>0</v>
      </c>
      <c r="BG17" s="113">
        <v>0</v>
      </c>
      <c r="BH17" s="44"/>
      <c r="BI17" s="228" t="s">
        <v>32</v>
      </c>
      <c r="BJ17" s="250" t="s">
        <v>17</v>
      </c>
      <c r="BK17" s="61" t="s">
        <v>18</v>
      </c>
      <c r="BL17" s="111">
        <v>0</v>
      </c>
      <c r="BM17" s="111">
        <v>0</v>
      </c>
      <c r="BN17" s="111">
        <v>0</v>
      </c>
      <c r="BO17" s="111">
        <v>0</v>
      </c>
      <c r="BP17" s="111">
        <v>0</v>
      </c>
      <c r="BQ17" s="111">
        <v>0</v>
      </c>
      <c r="BR17" s="111">
        <v>58</v>
      </c>
      <c r="BS17" s="111">
        <v>0</v>
      </c>
      <c r="BT17" s="112">
        <v>0</v>
      </c>
      <c r="BU17" s="112">
        <v>0</v>
      </c>
      <c r="BV17" s="113">
        <v>0</v>
      </c>
      <c r="BW17" s="44"/>
      <c r="BX17" s="228" t="s">
        <v>32</v>
      </c>
      <c r="BY17" s="250" t="s">
        <v>17</v>
      </c>
      <c r="BZ17" s="61" t="s">
        <v>18</v>
      </c>
      <c r="CA17" s="111">
        <v>0</v>
      </c>
      <c r="CB17" s="111">
        <v>0</v>
      </c>
      <c r="CC17" s="111">
        <v>0</v>
      </c>
      <c r="CD17" s="111">
        <v>0</v>
      </c>
      <c r="CE17" s="111">
        <v>0</v>
      </c>
      <c r="CF17" s="111">
        <v>0</v>
      </c>
      <c r="CG17" s="157">
        <v>0</v>
      </c>
      <c r="CH17" s="111">
        <v>0</v>
      </c>
      <c r="CI17" s="112">
        <v>0</v>
      </c>
      <c r="CJ17" s="112">
        <v>0</v>
      </c>
      <c r="CK17" s="113">
        <v>0</v>
      </c>
      <c r="CL17" s="44"/>
      <c r="CM17" s="228" t="s">
        <v>32</v>
      </c>
      <c r="CN17" s="250" t="s">
        <v>17</v>
      </c>
      <c r="CO17" s="61" t="s">
        <v>18</v>
      </c>
      <c r="CP17" s="157">
        <v>0</v>
      </c>
      <c r="CQ17" s="158">
        <v>0</v>
      </c>
      <c r="CR17" s="159">
        <v>0</v>
      </c>
      <c r="CS17" s="164">
        <v>196</v>
      </c>
      <c r="CT17" s="164">
        <v>80</v>
      </c>
      <c r="CU17" s="164">
        <v>51</v>
      </c>
      <c r="CV17" s="165">
        <v>132</v>
      </c>
      <c r="CW17" s="159">
        <v>0</v>
      </c>
      <c r="CX17" s="159">
        <v>0</v>
      </c>
      <c r="CY17" s="159">
        <v>0</v>
      </c>
      <c r="CZ17" s="158">
        <v>0</v>
      </c>
      <c r="DA17" s="44"/>
      <c r="DB17" s="228" t="s">
        <v>32</v>
      </c>
      <c r="DC17" s="250" t="s">
        <v>17</v>
      </c>
      <c r="DD17" s="61" t="s">
        <v>18</v>
      </c>
      <c r="DE17" s="179">
        <v>0</v>
      </c>
      <c r="DF17" s="179">
        <v>0</v>
      </c>
      <c r="DG17" s="179">
        <v>0</v>
      </c>
      <c r="DH17" s="179">
        <v>0</v>
      </c>
      <c r="DI17" s="179">
        <v>0</v>
      </c>
      <c r="DJ17" s="179">
        <v>0</v>
      </c>
      <c r="DK17" s="179">
        <v>0</v>
      </c>
      <c r="DL17" s="179">
        <v>0</v>
      </c>
      <c r="DM17" s="180">
        <v>0</v>
      </c>
      <c r="DN17" s="180">
        <v>0</v>
      </c>
      <c r="DO17" s="181">
        <v>0</v>
      </c>
      <c r="DP17" s="44"/>
      <c r="DQ17" s="228" t="s">
        <v>32</v>
      </c>
      <c r="DR17" s="250" t="s">
        <v>17</v>
      </c>
      <c r="DS17" s="61" t="s">
        <v>18</v>
      </c>
      <c r="DT17" s="179">
        <v>68</v>
      </c>
      <c r="DU17" s="179">
        <v>44</v>
      </c>
      <c r="DV17" s="179">
        <v>26</v>
      </c>
      <c r="DW17" s="179">
        <v>1289</v>
      </c>
      <c r="DX17" s="179">
        <v>35</v>
      </c>
      <c r="DY17" s="179">
        <v>10</v>
      </c>
      <c r="DZ17" s="179">
        <v>18</v>
      </c>
      <c r="EA17" s="179">
        <v>0</v>
      </c>
      <c r="EB17" s="180">
        <v>0</v>
      </c>
      <c r="EC17" s="180">
        <v>0</v>
      </c>
      <c r="ED17" s="181">
        <v>0</v>
      </c>
      <c r="EE17" s="44"/>
      <c r="EF17" s="228" t="s">
        <v>32</v>
      </c>
      <c r="EG17" s="250" t="s">
        <v>17</v>
      </c>
      <c r="EH17" s="61" t="s">
        <v>18</v>
      </c>
      <c r="EI17" s="179">
        <v>68</v>
      </c>
      <c r="EJ17" s="179">
        <v>44</v>
      </c>
      <c r="EK17" s="179">
        <v>26</v>
      </c>
      <c r="EL17" s="179">
        <v>1289</v>
      </c>
      <c r="EM17" s="179">
        <v>35</v>
      </c>
      <c r="EN17" s="179">
        <v>10</v>
      </c>
      <c r="EO17" s="111">
        <v>686</v>
      </c>
      <c r="EP17" s="111">
        <v>0</v>
      </c>
      <c r="EQ17" s="112">
        <v>0</v>
      </c>
      <c r="ER17" s="112">
        <v>0</v>
      </c>
      <c r="ES17" s="113">
        <v>0</v>
      </c>
      <c r="ET17" s="44"/>
      <c r="EU17" s="228" t="s">
        <v>32</v>
      </c>
      <c r="EV17" s="250" t="s">
        <v>17</v>
      </c>
      <c r="EW17" s="61" t="s">
        <v>18</v>
      </c>
      <c r="EX17" s="111">
        <v>0</v>
      </c>
      <c r="EY17" s="111">
        <v>0</v>
      </c>
      <c r="EZ17" s="111">
        <v>0</v>
      </c>
      <c r="FA17" s="111">
        <v>0</v>
      </c>
      <c r="FB17" s="111">
        <v>0</v>
      </c>
      <c r="FC17" s="111">
        <v>0</v>
      </c>
      <c r="FD17" s="111">
        <v>0</v>
      </c>
      <c r="FE17" s="111">
        <v>0</v>
      </c>
      <c r="FF17" s="112">
        <v>0</v>
      </c>
      <c r="FG17" s="112">
        <v>0</v>
      </c>
      <c r="FH17" s="113">
        <v>0</v>
      </c>
      <c r="FI17" s="44"/>
      <c r="FJ17" s="228" t="s">
        <v>32</v>
      </c>
      <c r="FK17" s="250" t="s">
        <v>17</v>
      </c>
      <c r="FL17" s="61" t="s">
        <v>18</v>
      </c>
      <c r="FM17" s="111">
        <v>0</v>
      </c>
      <c r="FN17" s="111">
        <v>0</v>
      </c>
      <c r="FO17" s="111">
        <v>0</v>
      </c>
      <c r="FP17" s="111">
        <v>0</v>
      </c>
      <c r="FQ17" s="111">
        <v>0</v>
      </c>
      <c r="FR17" s="111">
        <v>0</v>
      </c>
      <c r="FS17" s="111">
        <v>0</v>
      </c>
      <c r="FT17" s="111">
        <v>0</v>
      </c>
      <c r="FU17" s="112">
        <v>0</v>
      </c>
      <c r="FV17" s="112">
        <v>0</v>
      </c>
      <c r="FW17" s="113">
        <v>0</v>
      </c>
      <c r="FX17" s="44"/>
      <c r="FY17" s="228" t="str">
        <f>(FJ17)</f>
        <v>السليمانية</v>
      </c>
      <c r="FZ17" s="126" t="s">
        <v>17</v>
      </c>
      <c r="GA17" s="62" t="s">
        <v>18</v>
      </c>
      <c r="GB17" s="63">
        <f>SUM(FM17)</f>
        <v>0</v>
      </c>
      <c r="GC17" s="64">
        <f t="shared" ref="GC17:GC20" si="44">(E17+T17+AI17+AX17+BM17+CB17+CQ17+DF17+DU17+EJ17+EY17+FN17)</f>
        <v>88</v>
      </c>
      <c r="GD17" s="64">
        <f t="shared" ref="GD17:GD20" si="45">(F17+U17+AJ17+AY17+BN17+CC17+CR17+DG17+DV17+EK17+EZ17+FO17)</f>
        <v>52</v>
      </c>
      <c r="GE17" s="64">
        <f t="shared" ref="GE17:GE20" si="46">SUM(FP17)</f>
        <v>0</v>
      </c>
      <c r="GF17" s="64">
        <f t="shared" ref="GF17:GF20" si="47">SUM(FQ17)</f>
        <v>0</v>
      </c>
      <c r="GG17" s="64">
        <f t="shared" ref="GG17:GG20" si="48">SUM(FR17)</f>
        <v>0</v>
      </c>
      <c r="GH17" s="64">
        <f t="shared" ref="GH17:GH20" si="49">(J17+Y17+AN17+BC17+BR17+CG17+CV17+DK17+DZ17+EO17+FD17+FS17)</f>
        <v>1095</v>
      </c>
      <c r="GI17" s="64">
        <f t="shared" ref="GI17:GI20" si="50">(K17+Z17+AO17+BD17+BS17+CH17+CW17+DL17+EA17+EP17+FE17+FT17)</f>
        <v>51</v>
      </c>
      <c r="GJ17" s="64">
        <f t="shared" ref="GJ17:GJ20" si="51">(L17+AA17+AP17+BE17+BT17+CI17+CX17+DM17+EB17+EQ17+FF17+FU17)</f>
        <v>160</v>
      </c>
      <c r="GK17" s="64">
        <f t="shared" ref="GK17:GK20" si="52">(M17+AB17+AQ17+BF17+BU17+CJ17+CY17+DN17+EC17+ER17+FG17+FV17)</f>
        <v>0</v>
      </c>
      <c r="GL17" s="64">
        <f t="shared" ref="GL17:GL20" si="53">(N17+AC17+AR17+BG17+BV17+CK17+CZ17+DO17+ED17+ES17+FH17+FW17)</f>
        <v>0</v>
      </c>
      <c r="GM17" s="44"/>
    </row>
    <row r="18" spans="1:195" ht="17.100000000000001" customHeight="1" thickBot="1" x14ac:dyDescent="0.3">
      <c r="A18" s="229"/>
      <c r="B18" s="251"/>
      <c r="C18" s="65" t="s">
        <v>19</v>
      </c>
      <c r="D18" s="163">
        <v>10</v>
      </c>
      <c r="E18" s="164">
        <v>0</v>
      </c>
      <c r="F18" s="164">
        <v>0</v>
      </c>
      <c r="G18" s="164">
        <v>0</v>
      </c>
      <c r="H18" s="164">
        <v>32</v>
      </c>
      <c r="I18" s="164">
        <v>40</v>
      </c>
      <c r="J18" s="165">
        <v>133</v>
      </c>
      <c r="K18" s="156">
        <v>0</v>
      </c>
      <c r="L18" s="156">
        <v>0</v>
      </c>
      <c r="M18" s="156">
        <v>0</v>
      </c>
      <c r="N18" s="155">
        <v>0</v>
      </c>
      <c r="O18" s="44"/>
      <c r="P18" s="229"/>
      <c r="Q18" s="251"/>
      <c r="R18" s="65" t="s">
        <v>19</v>
      </c>
      <c r="S18" s="163">
        <v>0</v>
      </c>
      <c r="T18" s="164">
        <v>0</v>
      </c>
      <c r="U18" s="164">
        <v>0</v>
      </c>
      <c r="V18" s="164">
        <v>0</v>
      </c>
      <c r="W18" s="164">
        <v>0</v>
      </c>
      <c r="X18" s="164">
        <v>224</v>
      </c>
      <c r="Y18" s="164">
        <v>55</v>
      </c>
      <c r="Z18" s="164">
        <v>41</v>
      </c>
      <c r="AA18" s="164">
        <v>120</v>
      </c>
      <c r="AB18" s="164">
        <v>0</v>
      </c>
      <c r="AC18" s="164">
        <v>0</v>
      </c>
      <c r="AD18" s="44"/>
      <c r="AE18" s="229"/>
      <c r="AF18" s="251"/>
      <c r="AG18" s="65" t="s">
        <v>19</v>
      </c>
      <c r="AH18" s="114">
        <v>0</v>
      </c>
      <c r="AI18" s="114">
        <v>0</v>
      </c>
      <c r="AJ18" s="114">
        <v>0</v>
      </c>
      <c r="AK18" s="114">
        <v>0</v>
      </c>
      <c r="AL18" s="114">
        <v>0</v>
      </c>
      <c r="AM18" s="114">
        <v>0</v>
      </c>
      <c r="AN18" s="114">
        <v>0</v>
      </c>
      <c r="AO18" s="114">
        <v>0</v>
      </c>
      <c r="AP18" s="115">
        <v>0</v>
      </c>
      <c r="AQ18" s="115">
        <v>0</v>
      </c>
      <c r="AR18" s="116">
        <v>0</v>
      </c>
      <c r="AS18" s="44"/>
      <c r="AT18" s="229"/>
      <c r="AU18" s="251"/>
      <c r="AV18" s="65" t="s">
        <v>19</v>
      </c>
      <c r="AW18" s="114">
        <v>0</v>
      </c>
      <c r="AX18" s="114">
        <v>0</v>
      </c>
      <c r="AY18" s="114">
        <v>0</v>
      </c>
      <c r="AZ18" s="114">
        <v>0</v>
      </c>
      <c r="BA18" s="114">
        <v>0</v>
      </c>
      <c r="BB18" s="114">
        <v>0</v>
      </c>
      <c r="BC18" s="114">
        <v>0</v>
      </c>
      <c r="BD18" s="114">
        <v>0</v>
      </c>
      <c r="BE18" s="115">
        <v>0</v>
      </c>
      <c r="BF18" s="115">
        <v>0</v>
      </c>
      <c r="BG18" s="116">
        <v>0</v>
      </c>
      <c r="BH18" s="44"/>
      <c r="BI18" s="229"/>
      <c r="BJ18" s="251"/>
      <c r="BK18" s="65" t="s">
        <v>19</v>
      </c>
      <c r="BL18" s="114">
        <v>0</v>
      </c>
      <c r="BM18" s="114">
        <v>0</v>
      </c>
      <c r="BN18" s="114">
        <v>0</v>
      </c>
      <c r="BO18" s="114">
        <v>0</v>
      </c>
      <c r="BP18" s="114">
        <v>0</v>
      </c>
      <c r="BQ18" s="114">
        <v>0</v>
      </c>
      <c r="BR18" s="114">
        <v>31</v>
      </c>
      <c r="BS18" s="114">
        <v>0</v>
      </c>
      <c r="BT18" s="115">
        <v>0</v>
      </c>
      <c r="BU18" s="115">
        <v>0</v>
      </c>
      <c r="BV18" s="116">
        <v>0</v>
      </c>
      <c r="BW18" s="44"/>
      <c r="BX18" s="229"/>
      <c r="BY18" s="251"/>
      <c r="BZ18" s="65" t="s">
        <v>19</v>
      </c>
      <c r="CA18" s="114">
        <v>0</v>
      </c>
      <c r="CB18" s="114">
        <v>0</v>
      </c>
      <c r="CC18" s="114">
        <v>0</v>
      </c>
      <c r="CD18" s="114">
        <v>0</v>
      </c>
      <c r="CE18" s="114">
        <v>0</v>
      </c>
      <c r="CF18" s="114">
        <v>0</v>
      </c>
      <c r="CG18" s="154">
        <v>0</v>
      </c>
      <c r="CH18" s="114">
        <v>0</v>
      </c>
      <c r="CI18" s="115">
        <v>0</v>
      </c>
      <c r="CJ18" s="115">
        <v>0</v>
      </c>
      <c r="CK18" s="116">
        <v>0</v>
      </c>
      <c r="CL18" s="44"/>
      <c r="CM18" s="229"/>
      <c r="CN18" s="251"/>
      <c r="CO18" s="65" t="s">
        <v>19</v>
      </c>
      <c r="CP18" s="154">
        <v>0</v>
      </c>
      <c r="CQ18" s="155">
        <v>0</v>
      </c>
      <c r="CR18" s="156">
        <v>0</v>
      </c>
      <c r="CS18" s="164">
        <v>225</v>
      </c>
      <c r="CT18" s="164">
        <v>55</v>
      </c>
      <c r="CU18" s="164">
        <v>41</v>
      </c>
      <c r="CV18" s="165">
        <v>110</v>
      </c>
      <c r="CW18" s="156">
        <v>0</v>
      </c>
      <c r="CX18" s="156">
        <v>0</v>
      </c>
      <c r="CY18" s="156">
        <v>0</v>
      </c>
      <c r="CZ18" s="155">
        <v>0</v>
      </c>
      <c r="DA18" s="44"/>
      <c r="DB18" s="229"/>
      <c r="DC18" s="251"/>
      <c r="DD18" s="65" t="s">
        <v>19</v>
      </c>
      <c r="DE18" s="182">
        <v>0</v>
      </c>
      <c r="DF18" s="182">
        <v>0</v>
      </c>
      <c r="DG18" s="182">
        <v>0</v>
      </c>
      <c r="DH18" s="182">
        <v>0</v>
      </c>
      <c r="DI18" s="182">
        <v>0</v>
      </c>
      <c r="DJ18" s="182">
        <v>0</v>
      </c>
      <c r="DK18" s="182">
        <v>0</v>
      </c>
      <c r="DL18" s="182">
        <v>0</v>
      </c>
      <c r="DM18" s="183">
        <v>0</v>
      </c>
      <c r="DN18" s="183">
        <v>0</v>
      </c>
      <c r="DO18" s="184">
        <v>0</v>
      </c>
      <c r="DP18" s="44"/>
      <c r="DQ18" s="229"/>
      <c r="DR18" s="251"/>
      <c r="DS18" s="65" t="s">
        <v>19</v>
      </c>
      <c r="DT18" s="182">
        <v>52</v>
      </c>
      <c r="DU18" s="182">
        <v>21</v>
      </c>
      <c r="DV18" s="182">
        <v>25</v>
      </c>
      <c r="DW18" s="182">
        <v>1303</v>
      </c>
      <c r="DX18" s="182">
        <v>32</v>
      </c>
      <c r="DY18" s="182">
        <v>12</v>
      </c>
      <c r="DZ18" s="182">
        <v>10</v>
      </c>
      <c r="EA18" s="182">
        <v>0</v>
      </c>
      <c r="EB18" s="183">
        <v>0</v>
      </c>
      <c r="EC18" s="183">
        <v>0</v>
      </c>
      <c r="ED18" s="184">
        <v>0</v>
      </c>
      <c r="EE18" s="44"/>
      <c r="EF18" s="229"/>
      <c r="EG18" s="251"/>
      <c r="EH18" s="65" t="s">
        <v>19</v>
      </c>
      <c r="EI18" s="182">
        <v>52</v>
      </c>
      <c r="EJ18" s="182">
        <v>21</v>
      </c>
      <c r="EK18" s="182">
        <v>25</v>
      </c>
      <c r="EL18" s="182">
        <v>1303</v>
      </c>
      <c r="EM18" s="182">
        <v>32</v>
      </c>
      <c r="EN18" s="182">
        <v>12</v>
      </c>
      <c r="EO18" s="114">
        <v>532</v>
      </c>
      <c r="EP18" s="114">
        <v>0</v>
      </c>
      <c r="EQ18" s="115">
        <v>0</v>
      </c>
      <c r="ER18" s="115">
        <v>0</v>
      </c>
      <c r="ES18" s="116">
        <v>0</v>
      </c>
      <c r="ET18" s="44"/>
      <c r="EU18" s="229"/>
      <c r="EV18" s="251"/>
      <c r="EW18" s="65" t="s">
        <v>19</v>
      </c>
      <c r="EX18" s="114">
        <v>0</v>
      </c>
      <c r="EY18" s="114">
        <v>0</v>
      </c>
      <c r="EZ18" s="114">
        <v>0</v>
      </c>
      <c r="FA18" s="114">
        <v>0</v>
      </c>
      <c r="FB18" s="114">
        <v>0</v>
      </c>
      <c r="FC18" s="114">
        <v>0</v>
      </c>
      <c r="FD18" s="114">
        <v>0</v>
      </c>
      <c r="FE18" s="114">
        <v>0</v>
      </c>
      <c r="FF18" s="115">
        <v>0</v>
      </c>
      <c r="FG18" s="115">
        <v>0</v>
      </c>
      <c r="FH18" s="116">
        <v>0</v>
      </c>
      <c r="FI18" s="44"/>
      <c r="FJ18" s="229"/>
      <c r="FK18" s="251"/>
      <c r="FL18" s="65" t="s">
        <v>19</v>
      </c>
      <c r="FM18" s="114">
        <v>0</v>
      </c>
      <c r="FN18" s="114">
        <v>0</v>
      </c>
      <c r="FO18" s="114">
        <v>0</v>
      </c>
      <c r="FP18" s="114">
        <v>0</v>
      </c>
      <c r="FQ18" s="114">
        <v>0</v>
      </c>
      <c r="FR18" s="114">
        <v>0</v>
      </c>
      <c r="FS18" s="114">
        <v>0</v>
      </c>
      <c r="FT18" s="114">
        <v>0</v>
      </c>
      <c r="FU18" s="115">
        <v>0</v>
      </c>
      <c r="FV18" s="115">
        <v>0</v>
      </c>
      <c r="FW18" s="116">
        <v>0</v>
      </c>
      <c r="FX18" s="44"/>
      <c r="FY18" s="229"/>
      <c r="FZ18" s="127"/>
      <c r="GA18" s="66" t="s">
        <v>19</v>
      </c>
      <c r="GB18" s="67">
        <f>SUM(FM18)</f>
        <v>0</v>
      </c>
      <c r="GC18" s="68">
        <f t="shared" si="44"/>
        <v>42</v>
      </c>
      <c r="GD18" s="68">
        <f t="shared" si="45"/>
        <v>50</v>
      </c>
      <c r="GE18" s="68">
        <f t="shared" si="46"/>
        <v>0</v>
      </c>
      <c r="GF18" s="68">
        <f t="shared" si="47"/>
        <v>0</v>
      </c>
      <c r="GG18" s="68">
        <f t="shared" si="48"/>
        <v>0</v>
      </c>
      <c r="GH18" s="68">
        <f t="shared" si="49"/>
        <v>871</v>
      </c>
      <c r="GI18" s="68">
        <f t="shared" si="50"/>
        <v>41</v>
      </c>
      <c r="GJ18" s="68">
        <f t="shared" si="51"/>
        <v>120</v>
      </c>
      <c r="GK18" s="68">
        <f t="shared" si="52"/>
        <v>0</v>
      </c>
      <c r="GL18" s="68">
        <f t="shared" si="53"/>
        <v>0</v>
      </c>
      <c r="GM18" s="44"/>
    </row>
    <row r="19" spans="1:195" ht="17.100000000000001" customHeight="1" thickBot="1" x14ac:dyDescent="0.3">
      <c r="A19" s="229"/>
      <c r="B19" s="69" t="s">
        <v>20</v>
      </c>
      <c r="C19" s="70" t="s">
        <v>18</v>
      </c>
      <c r="D19" s="163">
        <v>0</v>
      </c>
      <c r="E19" s="164">
        <v>0</v>
      </c>
      <c r="F19" s="164">
        <v>0</v>
      </c>
      <c r="G19" s="164">
        <v>0</v>
      </c>
      <c r="H19" s="164">
        <v>50</v>
      </c>
      <c r="I19" s="164">
        <v>39</v>
      </c>
      <c r="J19" s="165">
        <v>137</v>
      </c>
      <c r="K19" s="159">
        <v>0</v>
      </c>
      <c r="L19" s="159">
        <v>0</v>
      </c>
      <c r="M19" s="159">
        <v>0</v>
      </c>
      <c r="N19" s="158">
        <v>0</v>
      </c>
      <c r="O19" s="44"/>
      <c r="P19" s="229"/>
      <c r="Q19" s="69" t="s">
        <v>20</v>
      </c>
      <c r="R19" s="70" t="s">
        <v>18</v>
      </c>
      <c r="S19" s="163">
        <v>0</v>
      </c>
      <c r="T19" s="164">
        <v>0</v>
      </c>
      <c r="U19" s="164">
        <v>0</v>
      </c>
      <c r="V19" s="164">
        <v>0</v>
      </c>
      <c r="W19" s="164">
        <v>0</v>
      </c>
      <c r="X19" s="164">
        <v>0</v>
      </c>
      <c r="Y19" s="164">
        <v>0</v>
      </c>
      <c r="Z19" s="164">
        <v>0</v>
      </c>
      <c r="AA19" s="164">
        <v>179</v>
      </c>
      <c r="AB19" s="164">
        <v>0</v>
      </c>
      <c r="AC19" s="164">
        <v>0</v>
      </c>
      <c r="AD19" s="44"/>
      <c r="AE19" s="229"/>
      <c r="AF19" s="69" t="s">
        <v>20</v>
      </c>
      <c r="AG19" s="70" t="s">
        <v>18</v>
      </c>
      <c r="AH19" s="111">
        <v>0</v>
      </c>
      <c r="AI19" s="111">
        <v>0</v>
      </c>
      <c r="AJ19" s="111">
        <v>0</v>
      </c>
      <c r="AK19" s="111">
        <v>0</v>
      </c>
      <c r="AL19" s="111">
        <v>0</v>
      </c>
      <c r="AM19" s="111">
        <v>0</v>
      </c>
      <c r="AN19" s="111">
        <v>0</v>
      </c>
      <c r="AO19" s="117">
        <v>0</v>
      </c>
      <c r="AP19" s="118">
        <v>0</v>
      </c>
      <c r="AQ19" s="118">
        <v>0</v>
      </c>
      <c r="AR19" s="119">
        <v>0</v>
      </c>
      <c r="AS19" s="44"/>
      <c r="AT19" s="229"/>
      <c r="AU19" s="69" t="s">
        <v>20</v>
      </c>
      <c r="AV19" s="70" t="s">
        <v>18</v>
      </c>
      <c r="AW19" s="111">
        <v>0</v>
      </c>
      <c r="AX19" s="111">
        <v>0</v>
      </c>
      <c r="AY19" s="111">
        <v>0</v>
      </c>
      <c r="AZ19" s="111">
        <v>0</v>
      </c>
      <c r="BA19" s="111">
        <v>0</v>
      </c>
      <c r="BB19" s="111">
        <v>0</v>
      </c>
      <c r="BC19" s="111">
        <v>0</v>
      </c>
      <c r="BD19" s="117">
        <v>0</v>
      </c>
      <c r="BE19" s="118">
        <v>0</v>
      </c>
      <c r="BF19" s="118">
        <v>0</v>
      </c>
      <c r="BG19" s="119">
        <v>0</v>
      </c>
      <c r="BH19" s="44"/>
      <c r="BI19" s="229"/>
      <c r="BJ19" s="69" t="s">
        <v>20</v>
      </c>
      <c r="BK19" s="70" t="s">
        <v>18</v>
      </c>
      <c r="BL19" s="111">
        <v>0</v>
      </c>
      <c r="BM19" s="111">
        <v>0</v>
      </c>
      <c r="BN19" s="111">
        <v>0</v>
      </c>
      <c r="BO19" s="111">
        <v>0</v>
      </c>
      <c r="BP19" s="111">
        <v>0</v>
      </c>
      <c r="BQ19" s="111">
        <v>0</v>
      </c>
      <c r="BR19" s="111">
        <v>6</v>
      </c>
      <c r="BS19" s="117">
        <v>0</v>
      </c>
      <c r="BT19" s="118">
        <v>0</v>
      </c>
      <c r="BU19" s="118">
        <v>0</v>
      </c>
      <c r="BV19" s="119">
        <v>0</v>
      </c>
      <c r="BW19" s="44"/>
      <c r="BX19" s="229"/>
      <c r="BY19" s="69" t="s">
        <v>20</v>
      </c>
      <c r="BZ19" s="70" t="s">
        <v>18</v>
      </c>
      <c r="CA19" s="111">
        <v>0</v>
      </c>
      <c r="CB19" s="111">
        <v>0</v>
      </c>
      <c r="CC19" s="111">
        <v>0</v>
      </c>
      <c r="CD19" s="111">
        <v>0</v>
      </c>
      <c r="CE19" s="111">
        <v>0</v>
      </c>
      <c r="CF19" s="111">
        <v>0</v>
      </c>
      <c r="CG19" s="157">
        <v>0</v>
      </c>
      <c r="CH19" s="117">
        <v>0</v>
      </c>
      <c r="CI19" s="118">
        <v>0</v>
      </c>
      <c r="CJ19" s="118">
        <v>0</v>
      </c>
      <c r="CK19" s="119">
        <v>0</v>
      </c>
      <c r="CL19" s="44"/>
      <c r="CM19" s="229"/>
      <c r="CN19" s="69" t="s">
        <v>20</v>
      </c>
      <c r="CO19" s="70" t="s">
        <v>18</v>
      </c>
      <c r="CP19" s="157">
        <v>0</v>
      </c>
      <c r="CQ19" s="158">
        <v>0</v>
      </c>
      <c r="CR19" s="159">
        <v>0</v>
      </c>
      <c r="CS19" s="164">
        <v>0</v>
      </c>
      <c r="CT19" s="164">
        <v>0</v>
      </c>
      <c r="CU19" s="164">
        <v>0</v>
      </c>
      <c r="CV19" s="165">
        <v>138</v>
      </c>
      <c r="CW19" s="159">
        <v>0</v>
      </c>
      <c r="CX19" s="159">
        <v>0</v>
      </c>
      <c r="CY19" s="159">
        <v>0</v>
      </c>
      <c r="CZ19" s="158">
        <v>0</v>
      </c>
      <c r="DA19" s="44"/>
      <c r="DB19" s="229"/>
      <c r="DC19" s="69" t="s">
        <v>20</v>
      </c>
      <c r="DD19" s="70" t="s">
        <v>18</v>
      </c>
      <c r="DE19" s="179">
        <v>0</v>
      </c>
      <c r="DF19" s="179">
        <v>0</v>
      </c>
      <c r="DG19" s="179">
        <v>0</v>
      </c>
      <c r="DH19" s="179">
        <v>0</v>
      </c>
      <c r="DI19" s="179">
        <v>0</v>
      </c>
      <c r="DJ19" s="179">
        <v>0</v>
      </c>
      <c r="DK19" s="179">
        <v>0</v>
      </c>
      <c r="DL19" s="185">
        <v>0</v>
      </c>
      <c r="DM19" s="186">
        <v>0</v>
      </c>
      <c r="DN19" s="186">
        <v>0</v>
      </c>
      <c r="DO19" s="187">
        <v>0</v>
      </c>
      <c r="DP19" s="44"/>
      <c r="DQ19" s="229"/>
      <c r="DR19" s="69" t="s">
        <v>20</v>
      </c>
      <c r="DS19" s="70" t="s">
        <v>18</v>
      </c>
      <c r="DT19" s="179">
        <v>41</v>
      </c>
      <c r="DU19" s="179">
        <v>25</v>
      </c>
      <c r="DV19" s="179">
        <v>20</v>
      </c>
      <c r="DW19" s="179">
        <v>150</v>
      </c>
      <c r="DX19" s="179">
        <v>20</v>
      </c>
      <c r="DY19" s="179">
        <v>15</v>
      </c>
      <c r="DZ19" s="179">
        <v>22</v>
      </c>
      <c r="EA19" s="185">
        <v>0</v>
      </c>
      <c r="EB19" s="186">
        <v>0</v>
      </c>
      <c r="EC19" s="186">
        <v>0</v>
      </c>
      <c r="ED19" s="187">
        <v>0</v>
      </c>
      <c r="EE19" s="44"/>
      <c r="EF19" s="229"/>
      <c r="EG19" s="69" t="s">
        <v>20</v>
      </c>
      <c r="EH19" s="70" t="s">
        <v>18</v>
      </c>
      <c r="EI19" s="179">
        <v>41</v>
      </c>
      <c r="EJ19" s="179">
        <v>25</v>
      </c>
      <c r="EK19" s="179">
        <v>20</v>
      </c>
      <c r="EL19" s="179">
        <v>150</v>
      </c>
      <c r="EM19" s="179">
        <v>20</v>
      </c>
      <c r="EN19" s="179">
        <v>15</v>
      </c>
      <c r="EO19" s="111">
        <v>255</v>
      </c>
      <c r="EP19" s="117">
        <v>0</v>
      </c>
      <c r="EQ19" s="118">
        <v>0</v>
      </c>
      <c r="ER19" s="118">
        <v>0</v>
      </c>
      <c r="ES19" s="119">
        <v>0</v>
      </c>
      <c r="ET19" s="44"/>
      <c r="EU19" s="229"/>
      <c r="EV19" s="69" t="s">
        <v>20</v>
      </c>
      <c r="EW19" s="70" t="s">
        <v>18</v>
      </c>
      <c r="EX19" s="111">
        <v>0</v>
      </c>
      <c r="EY19" s="111">
        <v>0</v>
      </c>
      <c r="EZ19" s="111">
        <v>0</v>
      </c>
      <c r="FA19" s="111">
        <v>0</v>
      </c>
      <c r="FB19" s="111">
        <v>0</v>
      </c>
      <c r="FC19" s="111">
        <v>0</v>
      </c>
      <c r="FD19" s="111">
        <v>0</v>
      </c>
      <c r="FE19" s="117">
        <v>0</v>
      </c>
      <c r="FF19" s="118">
        <v>0</v>
      </c>
      <c r="FG19" s="118">
        <v>0</v>
      </c>
      <c r="FH19" s="119">
        <v>0</v>
      </c>
      <c r="FI19" s="44"/>
      <c r="FJ19" s="229"/>
      <c r="FK19" s="69" t="s">
        <v>20</v>
      </c>
      <c r="FL19" s="70" t="s">
        <v>18</v>
      </c>
      <c r="FM19" s="111">
        <v>0</v>
      </c>
      <c r="FN19" s="111">
        <v>0</v>
      </c>
      <c r="FO19" s="111">
        <v>0</v>
      </c>
      <c r="FP19" s="111">
        <v>0</v>
      </c>
      <c r="FQ19" s="111">
        <v>0</v>
      </c>
      <c r="FR19" s="111">
        <v>0</v>
      </c>
      <c r="FS19" s="111">
        <v>0</v>
      </c>
      <c r="FT19" s="117">
        <v>0</v>
      </c>
      <c r="FU19" s="118">
        <v>0</v>
      </c>
      <c r="FV19" s="118">
        <v>0</v>
      </c>
      <c r="FW19" s="119">
        <v>0</v>
      </c>
      <c r="FX19" s="44"/>
      <c r="FY19" s="229"/>
      <c r="FZ19" s="69" t="s">
        <v>20</v>
      </c>
      <c r="GA19" s="71" t="s">
        <v>18</v>
      </c>
      <c r="GB19" s="63">
        <f>SUM(FM19)</f>
        <v>0</v>
      </c>
      <c r="GC19" s="72">
        <f t="shared" si="44"/>
        <v>50</v>
      </c>
      <c r="GD19" s="72">
        <f t="shared" si="45"/>
        <v>40</v>
      </c>
      <c r="GE19" s="72">
        <f t="shared" si="46"/>
        <v>0</v>
      </c>
      <c r="GF19" s="72">
        <f t="shared" si="47"/>
        <v>0</v>
      </c>
      <c r="GG19" s="72">
        <f t="shared" si="48"/>
        <v>0</v>
      </c>
      <c r="GH19" s="72">
        <f t="shared" si="49"/>
        <v>558</v>
      </c>
      <c r="GI19" s="72">
        <f t="shared" si="50"/>
        <v>0</v>
      </c>
      <c r="GJ19" s="72">
        <f t="shared" si="51"/>
        <v>179</v>
      </c>
      <c r="GK19" s="72">
        <f t="shared" si="52"/>
        <v>0</v>
      </c>
      <c r="GL19" s="72">
        <f t="shared" si="53"/>
        <v>0</v>
      </c>
      <c r="GM19" s="44"/>
    </row>
    <row r="20" spans="1:195" ht="17.100000000000001" customHeight="1" thickBot="1" x14ac:dyDescent="0.3">
      <c r="A20" s="229"/>
      <c r="B20" s="73" t="s">
        <v>17</v>
      </c>
      <c r="C20" s="74" t="s">
        <v>19</v>
      </c>
      <c r="D20" s="163">
        <v>0</v>
      </c>
      <c r="E20" s="164">
        <v>0</v>
      </c>
      <c r="F20" s="164">
        <v>0</v>
      </c>
      <c r="G20" s="164">
        <v>0</v>
      </c>
      <c r="H20" s="164">
        <v>60</v>
      </c>
      <c r="I20" s="164">
        <v>41</v>
      </c>
      <c r="J20" s="165">
        <v>138</v>
      </c>
      <c r="K20" s="156">
        <v>0</v>
      </c>
      <c r="L20" s="156">
        <v>0</v>
      </c>
      <c r="M20" s="156">
        <v>0</v>
      </c>
      <c r="N20" s="155">
        <v>0</v>
      </c>
      <c r="O20" s="44"/>
      <c r="P20" s="229"/>
      <c r="Q20" s="73" t="s">
        <v>17</v>
      </c>
      <c r="R20" s="74" t="s">
        <v>19</v>
      </c>
      <c r="S20" s="163">
        <v>0</v>
      </c>
      <c r="T20" s="164">
        <v>0</v>
      </c>
      <c r="U20" s="164">
        <v>0</v>
      </c>
      <c r="V20" s="164">
        <v>0</v>
      </c>
      <c r="W20" s="164">
        <v>0</v>
      </c>
      <c r="X20" s="164">
        <v>0</v>
      </c>
      <c r="Y20" s="164">
        <v>0</v>
      </c>
      <c r="Z20" s="164">
        <v>0</v>
      </c>
      <c r="AA20" s="164">
        <v>170</v>
      </c>
      <c r="AB20" s="164">
        <v>0</v>
      </c>
      <c r="AC20" s="164">
        <v>0</v>
      </c>
      <c r="AD20" s="44"/>
      <c r="AE20" s="229"/>
      <c r="AF20" s="73" t="s">
        <v>17</v>
      </c>
      <c r="AG20" s="74" t="s">
        <v>19</v>
      </c>
      <c r="AH20" s="114">
        <v>0</v>
      </c>
      <c r="AI20" s="114">
        <v>0</v>
      </c>
      <c r="AJ20" s="114">
        <v>0</v>
      </c>
      <c r="AK20" s="114">
        <v>0</v>
      </c>
      <c r="AL20" s="114">
        <v>0</v>
      </c>
      <c r="AM20" s="114">
        <v>0</v>
      </c>
      <c r="AN20" s="114">
        <v>0</v>
      </c>
      <c r="AO20" s="114">
        <v>0</v>
      </c>
      <c r="AP20" s="115">
        <v>0</v>
      </c>
      <c r="AQ20" s="115">
        <v>0</v>
      </c>
      <c r="AR20" s="116">
        <v>0</v>
      </c>
      <c r="AS20" s="44"/>
      <c r="AT20" s="229"/>
      <c r="AU20" s="73" t="s">
        <v>17</v>
      </c>
      <c r="AV20" s="74" t="s">
        <v>19</v>
      </c>
      <c r="AW20" s="114">
        <v>0</v>
      </c>
      <c r="AX20" s="114">
        <v>0</v>
      </c>
      <c r="AY20" s="114">
        <v>0</v>
      </c>
      <c r="AZ20" s="114">
        <v>0</v>
      </c>
      <c r="BA20" s="114">
        <v>0</v>
      </c>
      <c r="BB20" s="114">
        <v>0</v>
      </c>
      <c r="BC20" s="114">
        <v>0</v>
      </c>
      <c r="BD20" s="114">
        <v>0</v>
      </c>
      <c r="BE20" s="115">
        <v>0</v>
      </c>
      <c r="BF20" s="115">
        <v>0</v>
      </c>
      <c r="BG20" s="116">
        <v>0</v>
      </c>
      <c r="BH20" s="44"/>
      <c r="BI20" s="229"/>
      <c r="BJ20" s="73" t="s">
        <v>17</v>
      </c>
      <c r="BK20" s="74" t="s">
        <v>19</v>
      </c>
      <c r="BL20" s="114">
        <v>0</v>
      </c>
      <c r="BM20" s="114">
        <v>0</v>
      </c>
      <c r="BN20" s="114">
        <v>0</v>
      </c>
      <c r="BO20" s="114">
        <v>0</v>
      </c>
      <c r="BP20" s="114">
        <v>0</v>
      </c>
      <c r="BQ20" s="114">
        <v>0</v>
      </c>
      <c r="BR20" s="114">
        <v>7</v>
      </c>
      <c r="BS20" s="114">
        <v>0</v>
      </c>
      <c r="BT20" s="115">
        <v>0</v>
      </c>
      <c r="BU20" s="115">
        <v>0</v>
      </c>
      <c r="BV20" s="116">
        <v>0</v>
      </c>
      <c r="BW20" s="44"/>
      <c r="BX20" s="229"/>
      <c r="BY20" s="73" t="s">
        <v>17</v>
      </c>
      <c r="BZ20" s="74" t="s">
        <v>19</v>
      </c>
      <c r="CA20" s="114">
        <v>0</v>
      </c>
      <c r="CB20" s="114">
        <v>0</v>
      </c>
      <c r="CC20" s="114">
        <v>0</v>
      </c>
      <c r="CD20" s="114">
        <v>0</v>
      </c>
      <c r="CE20" s="114">
        <v>0</v>
      </c>
      <c r="CF20" s="114">
        <v>0</v>
      </c>
      <c r="CG20" s="154">
        <v>0</v>
      </c>
      <c r="CH20" s="114">
        <v>0</v>
      </c>
      <c r="CI20" s="115">
        <v>0</v>
      </c>
      <c r="CJ20" s="115">
        <v>0</v>
      </c>
      <c r="CK20" s="116">
        <v>0</v>
      </c>
      <c r="CL20" s="44"/>
      <c r="CM20" s="229"/>
      <c r="CN20" s="73" t="s">
        <v>17</v>
      </c>
      <c r="CO20" s="74" t="s">
        <v>19</v>
      </c>
      <c r="CP20" s="154">
        <v>0</v>
      </c>
      <c r="CQ20" s="155">
        <v>0</v>
      </c>
      <c r="CR20" s="156">
        <v>0</v>
      </c>
      <c r="CS20" s="164">
        <v>0</v>
      </c>
      <c r="CT20" s="164">
        <v>0</v>
      </c>
      <c r="CU20" s="164">
        <v>0</v>
      </c>
      <c r="CV20" s="165">
        <v>162</v>
      </c>
      <c r="CW20" s="156">
        <v>0</v>
      </c>
      <c r="CX20" s="156">
        <v>0</v>
      </c>
      <c r="CY20" s="156">
        <v>0</v>
      </c>
      <c r="CZ20" s="155">
        <v>0</v>
      </c>
      <c r="DA20" s="44"/>
      <c r="DB20" s="229"/>
      <c r="DC20" s="73" t="s">
        <v>17</v>
      </c>
      <c r="DD20" s="74" t="s">
        <v>19</v>
      </c>
      <c r="DE20" s="182">
        <v>0</v>
      </c>
      <c r="DF20" s="182">
        <v>0</v>
      </c>
      <c r="DG20" s="182">
        <v>0</v>
      </c>
      <c r="DH20" s="182">
        <v>0</v>
      </c>
      <c r="DI20" s="182">
        <v>0</v>
      </c>
      <c r="DJ20" s="182">
        <v>0</v>
      </c>
      <c r="DK20" s="182">
        <v>0</v>
      </c>
      <c r="DL20" s="182">
        <v>0</v>
      </c>
      <c r="DM20" s="183">
        <v>0</v>
      </c>
      <c r="DN20" s="183">
        <v>0</v>
      </c>
      <c r="DO20" s="184">
        <v>0</v>
      </c>
      <c r="DP20" s="44"/>
      <c r="DQ20" s="229"/>
      <c r="DR20" s="73" t="s">
        <v>17</v>
      </c>
      <c r="DS20" s="74" t="s">
        <v>19</v>
      </c>
      <c r="DT20" s="182">
        <v>55</v>
      </c>
      <c r="DU20" s="182">
        <v>20</v>
      </c>
      <c r="DV20" s="182">
        <v>17</v>
      </c>
      <c r="DW20" s="182">
        <v>142</v>
      </c>
      <c r="DX20" s="182">
        <v>25</v>
      </c>
      <c r="DY20" s="182">
        <v>18</v>
      </c>
      <c r="DZ20" s="182">
        <v>20</v>
      </c>
      <c r="EA20" s="182">
        <v>0</v>
      </c>
      <c r="EB20" s="183">
        <v>0</v>
      </c>
      <c r="EC20" s="183">
        <v>0</v>
      </c>
      <c r="ED20" s="184">
        <v>0</v>
      </c>
      <c r="EE20" s="44"/>
      <c r="EF20" s="229"/>
      <c r="EG20" s="73" t="s">
        <v>17</v>
      </c>
      <c r="EH20" s="74" t="s">
        <v>19</v>
      </c>
      <c r="EI20" s="182">
        <v>55</v>
      </c>
      <c r="EJ20" s="182">
        <v>20</v>
      </c>
      <c r="EK20" s="182">
        <v>17</v>
      </c>
      <c r="EL20" s="182">
        <v>142</v>
      </c>
      <c r="EM20" s="182">
        <v>25</v>
      </c>
      <c r="EN20" s="182">
        <v>18</v>
      </c>
      <c r="EO20" s="114">
        <v>163</v>
      </c>
      <c r="EP20" s="114">
        <v>0</v>
      </c>
      <c r="EQ20" s="115">
        <v>0</v>
      </c>
      <c r="ER20" s="115">
        <v>0</v>
      </c>
      <c r="ES20" s="116">
        <v>0</v>
      </c>
      <c r="ET20" s="44"/>
      <c r="EU20" s="229"/>
      <c r="EV20" s="73" t="s">
        <v>17</v>
      </c>
      <c r="EW20" s="74" t="s">
        <v>19</v>
      </c>
      <c r="EX20" s="114">
        <v>0</v>
      </c>
      <c r="EY20" s="114">
        <v>0</v>
      </c>
      <c r="EZ20" s="114">
        <v>0</v>
      </c>
      <c r="FA20" s="114">
        <v>0</v>
      </c>
      <c r="FB20" s="114">
        <v>0</v>
      </c>
      <c r="FC20" s="114">
        <v>0</v>
      </c>
      <c r="FD20" s="114">
        <v>0</v>
      </c>
      <c r="FE20" s="114">
        <v>0</v>
      </c>
      <c r="FF20" s="115">
        <v>0</v>
      </c>
      <c r="FG20" s="115">
        <v>0</v>
      </c>
      <c r="FH20" s="116">
        <v>0</v>
      </c>
      <c r="FI20" s="44"/>
      <c r="FJ20" s="229"/>
      <c r="FK20" s="73" t="s">
        <v>17</v>
      </c>
      <c r="FL20" s="74" t="s">
        <v>19</v>
      </c>
      <c r="FM20" s="114">
        <v>0</v>
      </c>
      <c r="FN20" s="114">
        <v>0</v>
      </c>
      <c r="FO20" s="114">
        <v>0</v>
      </c>
      <c r="FP20" s="114">
        <v>0</v>
      </c>
      <c r="FQ20" s="114">
        <v>0</v>
      </c>
      <c r="FR20" s="114">
        <v>0</v>
      </c>
      <c r="FS20" s="114">
        <v>0</v>
      </c>
      <c r="FT20" s="114">
        <v>0</v>
      </c>
      <c r="FU20" s="115">
        <v>0</v>
      </c>
      <c r="FV20" s="115">
        <v>0</v>
      </c>
      <c r="FW20" s="116">
        <v>0</v>
      </c>
      <c r="FX20" s="44"/>
      <c r="FY20" s="229"/>
      <c r="FZ20" s="73" t="s">
        <v>17</v>
      </c>
      <c r="GA20" s="75" t="s">
        <v>19</v>
      </c>
      <c r="GB20" s="67">
        <f>SUM(FM20)</f>
        <v>0</v>
      </c>
      <c r="GC20" s="68">
        <f t="shared" si="44"/>
        <v>40</v>
      </c>
      <c r="GD20" s="68">
        <f t="shared" si="45"/>
        <v>34</v>
      </c>
      <c r="GE20" s="68">
        <f t="shared" si="46"/>
        <v>0</v>
      </c>
      <c r="GF20" s="68">
        <f t="shared" si="47"/>
        <v>0</v>
      </c>
      <c r="GG20" s="68">
        <f t="shared" si="48"/>
        <v>0</v>
      </c>
      <c r="GH20" s="68">
        <f t="shared" si="49"/>
        <v>490</v>
      </c>
      <c r="GI20" s="68">
        <f t="shared" si="50"/>
        <v>0</v>
      </c>
      <c r="GJ20" s="68">
        <f t="shared" si="51"/>
        <v>170</v>
      </c>
      <c r="GK20" s="68">
        <f t="shared" si="52"/>
        <v>0</v>
      </c>
      <c r="GL20" s="68">
        <f t="shared" si="53"/>
        <v>0</v>
      </c>
      <c r="GM20" s="44"/>
    </row>
    <row r="21" spans="1:195" ht="17.100000000000001" customHeight="1" thickBot="1" x14ac:dyDescent="0.25">
      <c r="A21" s="229"/>
      <c r="B21" s="252" t="s">
        <v>21</v>
      </c>
      <c r="C21" s="253"/>
      <c r="D21" s="120">
        <f t="shared" ref="D21:N21" si="54">SUM(D17:D20)</f>
        <v>25</v>
      </c>
      <c r="E21" s="120">
        <f t="shared" si="54"/>
        <v>0</v>
      </c>
      <c r="F21" s="121">
        <f t="shared" si="54"/>
        <v>0</v>
      </c>
      <c r="G21" s="122">
        <f t="shared" si="54"/>
        <v>0</v>
      </c>
      <c r="H21" s="121">
        <f t="shared" si="54"/>
        <v>170</v>
      </c>
      <c r="I21" s="120">
        <f t="shared" si="54"/>
        <v>150</v>
      </c>
      <c r="J21" s="120">
        <f t="shared" si="54"/>
        <v>530</v>
      </c>
      <c r="K21" s="123">
        <f t="shared" si="54"/>
        <v>0</v>
      </c>
      <c r="L21" s="124">
        <f t="shared" si="54"/>
        <v>0</v>
      </c>
      <c r="M21" s="124">
        <f t="shared" si="54"/>
        <v>0</v>
      </c>
      <c r="N21" s="125">
        <f t="shared" si="54"/>
        <v>0</v>
      </c>
      <c r="O21" s="44"/>
      <c r="P21" s="229"/>
      <c r="Q21" s="252" t="s">
        <v>21</v>
      </c>
      <c r="R21" s="253"/>
      <c r="S21" s="120">
        <f t="shared" ref="S21:AC21" si="55">SUM(S17:S20)</f>
        <v>0</v>
      </c>
      <c r="T21" s="120">
        <f t="shared" si="55"/>
        <v>0</v>
      </c>
      <c r="U21" s="121">
        <f t="shared" si="55"/>
        <v>0</v>
      </c>
      <c r="V21" s="122">
        <f t="shared" si="55"/>
        <v>0</v>
      </c>
      <c r="W21" s="121">
        <f t="shared" si="55"/>
        <v>0</v>
      </c>
      <c r="X21" s="120">
        <f t="shared" si="55"/>
        <v>416</v>
      </c>
      <c r="Y21" s="120">
        <f t="shared" si="55"/>
        <v>134</v>
      </c>
      <c r="Z21" s="123">
        <f t="shared" si="55"/>
        <v>92</v>
      </c>
      <c r="AA21" s="124">
        <f t="shared" si="55"/>
        <v>629</v>
      </c>
      <c r="AB21" s="124">
        <f t="shared" si="55"/>
        <v>0</v>
      </c>
      <c r="AC21" s="125">
        <f t="shared" si="55"/>
        <v>0</v>
      </c>
      <c r="AD21" s="44"/>
      <c r="AE21" s="229"/>
      <c r="AF21" s="252" t="s">
        <v>21</v>
      </c>
      <c r="AG21" s="253"/>
      <c r="AH21" s="120">
        <f t="shared" ref="AH21:AR21" si="56">SUM(AH17:AH20)</f>
        <v>0</v>
      </c>
      <c r="AI21" s="120">
        <f t="shared" si="56"/>
        <v>0</v>
      </c>
      <c r="AJ21" s="121">
        <f t="shared" si="56"/>
        <v>0</v>
      </c>
      <c r="AK21" s="122">
        <f t="shared" si="56"/>
        <v>0</v>
      </c>
      <c r="AL21" s="121">
        <f t="shared" si="56"/>
        <v>0</v>
      </c>
      <c r="AM21" s="120">
        <f t="shared" si="56"/>
        <v>0</v>
      </c>
      <c r="AN21" s="120">
        <f t="shared" si="56"/>
        <v>0</v>
      </c>
      <c r="AO21" s="123">
        <f t="shared" si="56"/>
        <v>0</v>
      </c>
      <c r="AP21" s="124">
        <f t="shared" si="56"/>
        <v>0</v>
      </c>
      <c r="AQ21" s="124">
        <f t="shared" si="56"/>
        <v>0</v>
      </c>
      <c r="AR21" s="125">
        <f t="shared" si="56"/>
        <v>0</v>
      </c>
      <c r="AS21" s="44"/>
      <c r="AT21" s="229"/>
      <c r="AU21" s="252" t="s">
        <v>21</v>
      </c>
      <c r="AV21" s="253"/>
      <c r="AW21" s="120">
        <f t="shared" ref="AW21:BG21" si="57">SUM(AW17:AW20)</f>
        <v>0</v>
      </c>
      <c r="AX21" s="120">
        <f t="shared" si="57"/>
        <v>0</v>
      </c>
      <c r="AY21" s="121">
        <f t="shared" si="57"/>
        <v>0</v>
      </c>
      <c r="AZ21" s="122">
        <f t="shared" si="57"/>
        <v>0</v>
      </c>
      <c r="BA21" s="121">
        <f t="shared" si="57"/>
        <v>0</v>
      </c>
      <c r="BB21" s="120">
        <f t="shared" si="57"/>
        <v>0</v>
      </c>
      <c r="BC21" s="120">
        <f t="shared" si="57"/>
        <v>0</v>
      </c>
      <c r="BD21" s="123">
        <f t="shared" si="57"/>
        <v>0</v>
      </c>
      <c r="BE21" s="124">
        <f t="shared" si="57"/>
        <v>0</v>
      </c>
      <c r="BF21" s="124">
        <f t="shared" si="57"/>
        <v>0</v>
      </c>
      <c r="BG21" s="125">
        <f t="shared" si="57"/>
        <v>0</v>
      </c>
      <c r="BH21" s="44"/>
      <c r="BI21" s="229"/>
      <c r="BJ21" s="252" t="s">
        <v>21</v>
      </c>
      <c r="BK21" s="253"/>
      <c r="BL21" s="120">
        <f t="shared" ref="BL21:BV21" si="58">SUM(BL17:BL20)</f>
        <v>0</v>
      </c>
      <c r="BM21" s="120">
        <f t="shared" si="58"/>
        <v>0</v>
      </c>
      <c r="BN21" s="121">
        <f t="shared" si="58"/>
        <v>0</v>
      </c>
      <c r="BO21" s="122">
        <f t="shared" si="58"/>
        <v>0</v>
      </c>
      <c r="BP21" s="121">
        <f t="shared" si="58"/>
        <v>0</v>
      </c>
      <c r="BQ21" s="120">
        <f t="shared" si="58"/>
        <v>0</v>
      </c>
      <c r="BR21" s="120">
        <f t="shared" si="58"/>
        <v>102</v>
      </c>
      <c r="BS21" s="123">
        <f t="shared" si="58"/>
        <v>0</v>
      </c>
      <c r="BT21" s="124">
        <f t="shared" si="58"/>
        <v>0</v>
      </c>
      <c r="BU21" s="124">
        <f t="shared" si="58"/>
        <v>0</v>
      </c>
      <c r="BV21" s="125">
        <f t="shared" si="58"/>
        <v>0</v>
      </c>
      <c r="BW21" s="44"/>
      <c r="BX21" s="229"/>
      <c r="BY21" s="252" t="s">
        <v>21</v>
      </c>
      <c r="BZ21" s="253"/>
      <c r="CA21" s="120">
        <f t="shared" ref="CA21:CK21" si="59">SUM(CA17:CA20)</f>
        <v>0</v>
      </c>
      <c r="CB21" s="120">
        <f t="shared" si="59"/>
        <v>0</v>
      </c>
      <c r="CC21" s="121">
        <f t="shared" si="59"/>
        <v>0</v>
      </c>
      <c r="CD21" s="122">
        <f t="shared" si="59"/>
        <v>0</v>
      </c>
      <c r="CE21" s="121">
        <f t="shared" si="59"/>
        <v>0</v>
      </c>
      <c r="CF21" s="120">
        <f t="shared" si="59"/>
        <v>0</v>
      </c>
      <c r="CG21" s="166">
        <v>0</v>
      </c>
      <c r="CH21" s="123">
        <f t="shared" si="59"/>
        <v>0</v>
      </c>
      <c r="CI21" s="124">
        <f t="shared" si="59"/>
        <v>0</v>
      </c>
      <c r="CJ21" s="124">
        <f t="shared" si="59"/>
        <v>0</v>
      </c>
      <c r="CK21" s="125">
        <f t="shared" si="59"/>
        <v>0</v>
      </c>
      <c r="CL21" s="44"/>
      <c r="CM21" s="229"/>
      <c r="CN21" s="252" t="s">
        <v>21</v>
      </c>
      <c r="CO21" s="253"/>
      <c r="CP21" s="166">
        <v>0</v>
      </c>
      <c r="CQ21" s="175">
        <v>0</v>
      </c>
      <c r="CR21" s="175">
        <v>0</v>
      </c>
      <c r="CS21" s="175">
        <v>421</v>
      </c>
      <c r="CT21" s="175">
        <v>135</v>
      </c>
      <c r="CU21" s="175">
        <v>92</v>
      </c>
      <c r="CV21" s="175">
        <v>542</v>
      </c>
      <c r="CW21" s="174">
        <v>0</v>
      </c>
      <c r="CX21" s="174">
        <v>0</v>
      </c>
      <c r="CY21" s="174">
        <v>0</v>
      </c>
      <c r="CZ21" s="175">
        <v>0</v>
      </c>
      <c r="DA21" s="44"/>
      <c r="DB21" s="229"/>
      <c r="DC21" s="252" t="s">
        <v>21</v>
      </c>
      <c r="DD21" s="253"/>
      <c r="DE21" s="188">
        <f t="shared" ref="DE21:DO21" si="60">SUM(DE17:DE20)</f>
        <v>0</v>
      </c>
      <c r="DF21" s="188">
        <f t="shared" si="60"/>
        <v>0</v>
      </c>
      <c r="DG21" s="189">
        <f t="shared" si="60"/>
        <v>0</v>
      </c>
      <c r="DH21" s="190">
        <f t="shared" si="60"/>
        <v>0</v>
      </c>
      <c r="DI21" s="189">
        <f t="shared" si="60"/>
        <v>0</v>
      </c>
      <c r="DJ21" s="188">
        <f t="shared" si="60"/>
        <v>0</v>
      </c>
      <c r="DK21" s="188">
        <f t="shared" si="60"/>
        <v>0</v>
      </c>
      <c r="DL21" s="191">
        <f t="shared" si="60"/>
        <v>0</v>
      </c>
      <c r="DM21" s="192">
        <f t="shared" si="60"/>
        <v>0</v>
      </c>
      <c r="DN21" s="192">
        <f t="shared" si="60"/>
        <v>0</v>
      </c>
      <c r="DO21" s="193">
        <f t="shared" si="60"/>
        <v>0</v>
      </c>
      <c r="DP21" s="44"/>
      <c r="DQ21" s="229"/>
      <c r="DR21" s="252" t="s">
        <v>21</v>
      </c>
      <c r="DS21" s="253"/>
      <c r="DT21" s="188">
        <f t="shared" ref="DT21:ED21" si="61">SUM(DT17:DT20)</f>
        <v>216</v>
      </c>
      <c r="DU21" s="188">
        <f t="shared" si="61"/>
        <v>110</v>
      </c>
      <c r="DV21" s="189">
        <f t="shared" si="61"/>
        <v>88</v>
      </c>
      <c r="DW21" s="190">
        <f t="shared" si="61"/>
        <v>2884</v>
      </c>
      <c r="DX21" s="189">
        <f t="shared" si="61"/>
        <v>112</v>
      </c>
      <c r="DY21" s="188">
        <f t="shared" si="61"/>
        <v>55</v>
      </c>
      <c r="DZ21" s="188">
        <f t="shared" si="61"/>
        <v>70</v>
      </c>
      <c r="EA21" s="191">
        <f t="shared" si="61"/>
        <v>0</v>
      </c>
      <c r="EB21" s="192">
        <f t="shared" si="61"/>
        <v>0</v>
      </c>
      <c r="EC21" s="192">
        <f t="shared" si="61"/>
        <v>0</v>
      </c>
      <c r="ED21" s="193">
        <f t="shared" si="61"/>
        <v>0</v>
      </c>
      <c r="EE21" s="44"/>
      <c r="EF21" s="229"/>
      <c r="EG21" s="252" t="s">
        <v>21</v>
      </c>
      <c r="EH21" s="253"/>
      <c r="EI21" s="120">
        <f t="shared" ref="EI21:ES21" si="62">SUM(EI17:EI20)</f>
        <v>216</v>
      </c>
      <c r="EJ21" s="120">
        <f t="shared" si="62"/>
        <v>110</v>
      </c>
      <c r="EK21" s="121">
        <f t="shared" si="62"/>
        <v>88</v>
      </c>
      <c r="EL21" s="122">
        <f t="shared" si="62"/>
        <v>2884</v>
      </c>
      <c r="EM21" s="121">
        <f t="shared" si="62"/>
        <v>112</v>
      </c>
      <c r="EN21" s="120">
        <f t="shared" si="62"/>
        <v>55</v>
      </c>
      <c r="EO21" s="120">
        <f t="shared" si="62"/>
        <v>1636</v>
      </c>
      <c r="EP21" s="123">
        <f t="shared" si="62"/>
        <v>0</v>
      </c>
      <c r="EQ21" s="124">
        <f t="shared" si="62"/>
        <v>0</v>
      </c>
      <c r="ER21" s="124">
        <f t="shared" si="62"/>
        <v>0</v>
      </c>
      <c r="ES21" s="125">
        <f t="shared" si="62"/>
        <v>0</v>
      </c>
      <c r="ET21" s="44"/>
      <c r="EU21" s="229"/>
      <c r="EV21" s="252" t="s">
        <v>21</v>
      </c>
      <c r="EW21" s="253"/>
      <c r="EX21" s="120">
        <f t="shared" ref="EX21:FH21" si="63">SUM(EX17:EX20)</f>
        <v>0</v>
      </c>
      <c r="EY21" s="120">
        <f t="shared" si="63"/>
        <v>0</v>
      </c>
      <c r="EZ21" s="121">
        <f t="shared" si="63"/>
        <v>0</v>
      </c>
      <c r="FA21" s="122">
        <f t="shared" si="63"/>
        <v>0</v>
      </c>
      <c r="FB21" s="121">
        <f t="shared" si="63"/>
        <v>0</v>
      </c>
      <c r="FC21" s="120">
        <f t="shared" si="63"/>
        <v>0</v>
      </c>
      <c r="FD21" s="120">
        <f t="shared" si="63"/>
        <v>0</v>
      </c>
      <c r="FE21" s="123">
        <f t="shared" si="63"/>
        <v>0</v>
      </c>
      <c r="FF21" s="124">
        <f t="shared" si="63"/>
        <v>0</v>
      </c>
      <c r="FG21" s="124">
        <f t="shared" si="63"/>
        <v>0</v>
      </c>
      <c r="FH21" s="125">
        <f t="shared" si="63"/>
        <v>0</v>
      </c>
      <c r="FI21" s="44"/>
      <c r="FJ21" s="229"/>
      <c r="FK21" s="252" t="s">
        <v>21</v>
      </c>
      <c r="FL21" s="253"/>
      <c r="FM21" s="120">
        <f t="shared" ref="FM21:FW21" si="64">SUM(FM17:FM20)</f>
        <v>0</v>
      </c>
      <c r="FN21" s="120">
        <f t="shared" si="64"/>
        <v>0</v>
      </c>
      <c r="FO21" s="121">
        <f t="shared" si="64"/>
        <v>0</v>
      </c>
      <c r="FP21" s="122">
        <f t="shared" si="64"/>
        <v>0</v>
      </c>
      <c r="FQ21" s="121">
        <f t="shared" si="64"/>
        <v>0</v>
      </c>
      <c r="FR21" s="120">
        <f t="shared" si="64"/>
        <v>0</v>
      </c>
      <c r="FS21" s="120">
        <f t="shared" si="64"/>
        <v>0</v>
      </c>
      <c r="FT21" s="123">
        <f t="shared" si="64"/>
        <v>0</v>
      </c>
      <c r="FU21" s="124">
        <f t="shared" si="64"/>
        <v>0</v>
      </c>
      <c r="FV21" s="124">
        <f t="shared" si="64"/>
        <v>0</v>
      </c>
      <c r="FW21" s="125">
        <f t="shared" si="64"/>
        <v>0</v>
      </c>
      <c r="FX21" s="44"/>
      <c r="FY21" s="229"/>
      <c r="FZ21" s="128" t="s">
        <v>21</v>
      </c>
      <c r="GA21" s="129"/>
      <c r="GB21" s="76">
        <f t="shared" ref="GB21:GL21" si="65">SUM(GB17:GB20)</f>
        <v>0</v>
      </c>
      <c r="GC21" s="77">
        <f t="shared" si="65"/>
        <v>220</v>
      </c>
      <c r="GD21" s="77">
        <f t="shared" si="65"/>
        <v>176</v>
      </c>
      <c r="GE21" s="77">
        <f t="shared" si="65"/>
        <v>0</v>
      </c>
      <c r="GF21" s="77">
        <f t="shared" si="65"/>
        <v>0</v>
      </c>
      <c r="GG21" s="77">
        <f t="shared" si="65"/>
        <v>0</v>
      </c>
      <c r="GH21" s="77">
        <f t="shared" si="65"/>
        <v>3014</v>
      </c>
      <c r="GI21" s="77">
        <f t="shared" si="65"/>
        <v>92</v>
      </c>
      <c r="GJ21" s="77">
        <f t="shared" si="65"/>
        <v>629</v>
      </c>
      <c r="GK21" s="77">
        <f t="shared" si="65"/>
        <v>0</v>
      </c>
      <c r="GL21" s="77">
        <f t="shared" si="65"/>
        <v>0</v>
      </c>
      <c r="GM21" s="44"/>
    </row>
    <row r="22" spans="1:195" ht="17.100000000000001" customHeight="1" thickBot="1" x14ac:dyDescent="0.25">
      <c r="A22" s="230"/>
      <c r="B22" s="78" t="s">
        <v>22</v>
      </c>
      <c r="C22" s="44"/>
      <c r="D22" s="78"/>
      <c r="E22" s="44"/>
      <c r="F22" s="44"/>
      <c r="G22" s="44"/>
      <c r="H22" s="44"/>
      <c r="I22" s="44"/>
      <c r="J22" s="44"/>
      <c r="K22" s="79" t="s">
        <v>18</v>
      </c>
      <c r="L22" s="80">
        <v>0</v>
      </c>
      <c r="M22" s="79" t="s">
        <v>19</v>
      </c>
      <c r="N22" s="80">
        <v>0</v>
      </c>
      <c r="O22" s="44"/>
      <c r="P22" s="230"/>
      <c r="Q22" s="78" t="s">
        <v>22</v>
      </c>
      <c r="R22" s="44"/>
      <c r="S22" s="78"/>
      <c r="T22" s="44"/>
      <c r="U22" s="44"/>
      <c r="V22" s="44"/>
      <c r="W22" s="44"/>
      <c r="X22" s="44"/>
      <c r="Y22" s="44"/>
      <c r="Z22" s="79" t="s">
        <v>18</v>
      </c>
      <c r="AA22" s="80">
        <v>0</v>
      </c>
      <c r="AB22" s="79" t="s">
        <v>19</v>
      </c>
      <c r="AC22" s="80">
        <v>0</v>
      </c>
      <c r="AD22" s="44"/>
      <c r="AE22" s="230"/>
      <c r="AF22" s="78" t="s">
        <v>22</v>
      </c>
      <c r="AG22" s="44"/>
      <c r="AH22" s="78"/>
      <c r="AI22" s="44"/>
      <c r="AJ22" s="44"/>
      <c r="AK22" s="44"/>
      <c r="AL22" s="44"/>
      <c r="AM22" s="44"/>
      <c r="AN22" s="44"/>
      <c r="AO22" s="79" t="s">
        <v>18</v>
      </c>
      <c r="AP22" s="80">
        <v>0</v>
      </c>
      <c r="AQ22" s="79" t="s">
        <v>19</v>
      </c>
      <c r="AR22" s="80">
        <v>0</v>
      </c>
      <c r="AS22" s="44"/>
      <c r="AT22" s="230"/>
      <c r="AU22" s="78" t="s">
        <v>22</v>
      </c>
      <c r="AV22" s="44"/>
      <c r="AW22" s="78"/>
      <c r="AX22" s="44"/>
      <c r="AY22" s="44"/>
      <c r="AZ22" s="44"/>
      <c r="BA22" s="44"/>
      <c r="BB22" s="44"/>
      <c r="BC22" s="44"/>
      <c r="BD22" s="79" t="s">
        <v>18</v>
      </c>
      <c r="BE22" s="80">
        <v>0</v>
      </c>
      <c r="BF22" s="79" t="s">
        <v>19</v>
      </c>
      <c r="BG22" s="80">
        <v>0</v>
      </c>
      <c r="BH22" s="44"/>
      <c r="BI22" s="230"/>
      <c r="BJ22" s="78" t="s">
        <v>22</v>
      </c>
      <c r="BK22" s="44"/>
      <c r="BL22" s="78"/>
      <c r="BM22" s="44"/>
      <c r="BN22" s="44"/>
      <c r="BO22" s="44"/>
      <c r="BP22" s="44"/>
      <c r="BQ22" s="44"/>
      <c r="BR22" s="44"/>
      <c r="BS22" s="79" t="s">
        <v>18</v>
      </c>
      <c r="BT22" s="80">
        <v>0</v>
      </c>
      <c r="BU22" s="79" t="s">
        <v>19</v>
      </c>
      <c r="BV22" s="80">
        <v>0</v>
      </c>
      <c r="BW22" s="44"/>
      <c r="BX22" s="230"/>
      <c r="BY22" s="78" t="s">
        <v>22</v>
      </c>
      <c r="BZ22" s="44"/>
      <c r="CA22" s="78"/>
      <c r="CB22" s="44"/>
      <c r="CC22" s="44"/>
      <c r="CD22" s="44"/>
      <c r="CE22" s="44"/>
      <c r="CF22" s="44"/>
      <c r="CG22" s="167"/>
      <c r="CH22" s="79" t="s">
        <v>18</v>
      </c>
      <c r="CI22" s="80">
        <v>0</v>
      </c>
      <c r="CJ22" s="79" t="s">
        <v>19</v>
      </c>
      <c r="CK22" s="80">
        <v>0</v>
      </c>
      <c r="CL22" s="44"/>
      <c r="CM22" s="230"/>
      <c r="CN22" s="78" t="s">
        <v>22</v>
      </c>
      <c r="CO22" s="44"/>
      <c r="CP22" s="167"/>
      <c r="CQ22" s="167"/>
      <c r="CR22" s="167"/>
      <c r="CS22" s="167"/>
      <c r="CT22" s="167"/>
      <c r="CU22" s="167"/>
      <c r="CV22" s="167"/>
      <c r="CW22" s="176" t="s">
        <v>18</v>
      </c>
      <c r="CX22" s="177">
        <v>0</v>
      </c>
      <c r="CY22" s="176" t="s">
        <v>19</v>
      </c>
      <c r="CZ22" s="177">
        <v>0</v>
      </c>
      <c r="DA22" s="44"/>
      <c r="DB22" s="230"/>
      <c r="DC22" s="78" t="s">
        <v>22</v>
      </c>
      <c r="DD22" s="44"/>
      <c r="DE22" s="194"/>
      <c r="DF22" s="195"/>
      <c r="DG22" s="195"/>
      <c r="DH22" s="195"/>
      <c r="DI22" s="195"/>
      <c r="DJ22" s="195"/>
      <c r="DK22" s="195"/>
      <c r="DL22" s="196" t="s">
        <v>18</v>
      </c>
      <c r="DM22" s="197">
        <v>0</v>
      </c>
      <c r="DN22" s="196" t="s">
        <v>19</v>
      </c>
      <c r="DO22" s="197">
        <v>0</v>
      </c>
      <c r="DP22" s="44"/>
      <c r="DQ22" s="230"/>
      <c r="DR22" s="78" t="s">
        <v>22</v>
      </c>
      <c r="DS22" s="44"/>
      <c r="DT22" s="78"/>
      <c r="DU22" s="44"/>
      <c r="DV22" s="44"/>
      <c r="DW22" s="44"/>
      <c r="DX22" s="44"/>
      <c r="DY22" s="44"/>
      <c r="DZ22" s="44"/>
      <c r="EA22" s="79" t="s">
        <v>18</v>
      </c>
      <c r="EB22" s="80">
        <v>0</v>
      </c>
      <c r="EC22" s="79" t="s">
        <v>19</v>
      </c>
      <c r="ED22" s="80">
        <v>0</v>
      </c>
      <c r="EE22" s="44"/>
      <c r="EF22" s="230"/>
      <c r="EG22" s="78" t="s">
        <v>22</v>
      </c>
      <c r="EH22" s="44"/>
      <c r="EI22" s="78"/>
      <c r="EJ22" s="44"/>
      <c r="EK22" s="44"/>
      <c r="EL22" s="44"/>
      <c r="EM22" s="44"/>
      <c r="EN22" s="44"/>
      <c r="EO22" s="44"/>
      <c r="EP22" s="79" t="s">
        <v>18</v>
      </c>
      <c r="EQ22" s="80">
        <v>0</v>
      </c>
      <c r="ER22" s="79" t="s">
        <v>19</v>
      </c>
      <c r="ES22" s="80">
        <v>0</v>
      </c>
      <c r="ET22" s="44"/>
      <c r="EU22" s="230"/>
      <c r="EV22" s="78" t="s">
        <v>22</v>
      </c>
      <c r="EW22" s="44"/>
      <c r="EX22" s="78"/>
      <c r="EY22" s="44"/>
      <c r="EZ22" s="44"/>
      <c r="FA22" s="44"/>
      <c r="FB22" s="44"/>
      <c r="FC22" s="44"/>
      <c r="FD22" s="44"/>
      <c r="FE22" s="79" t="s">
        <v>18</v>
      </c>
      <c r="FF22" s="80">
        <v>0</v>
      </c>
      <c r="FG22" s="79" t="s">
        <v>19</v>
      </c>
      <c r="FH22" s="80">
        <v>0</v>
      </c>
      <c r="FI22" s="44"/>
      <c r="FJ22" s="230"/>
      <c r="FK22" s="78" t="s">
        <v>22</v>
      </c>
      <c r="FL22" s="44"/>
      <c r="FM22" s="78"/>
      <c r="FN22" s="44"/>
      <c r="FO22" s="44"/>
      <c r="FP22" s="44"/>
      <c r="FQ22" s="44"/>
      <c r="FR22" s="44"/>
      <c r="FS22" s="44"/>
      <c r="FT22" s="79" t="s">
        <v>18</v>
      </c>
      <c r="FU22" s="80">
        <v>0</v>
      </c>
      <c r="FV22" s="79" t="s">
        <v>19</v>
      </c>
      <c r="FW22" s="80">
        <v>0</v>
      </c>
      <c r="FX22" s="44"/>
      <c r="FY22" s="230"/>
      <c r="FZ22" s="78" t="s">
        <v>26</v>
      </c>
      <c r="GA22" s="44"/>
      <c r="GB22" s="81"/>
      <c r="GC22" s="82"/>
      <c r="GD22" s="82"/>
      <c r="GE22" s="82"/>
      <c r="GF22" s="82"/>
      <c r="GG22" s="82"/>
      <c r="GH22" s="82"/>
      <c r="GI22" s="83" t="s">
        <v>18</v>
      </c>
      <c r="GJ22" s="64">
        <f>(L22+AA22+AP22+BE22+BT22+CI22+CX22+DM22+EB22+EQ22+FF22+FU22)</f>
        <v>0</v>
      </c>
      <c r="GK22" s="83" t="s">
        <v>19</v>
      </c>
      <c r="GL22" s="64">
        <f>(N22+AC22+AR22+BG22+BV22+CK22+CZ22+DO22+ED22+ES22+FH22+FW22)</f>
        <v>0</v>
      </c>
      <c r="GM22" s="44"/>
    </row>
    <row r="23" spans="1:195" ht="17.100000000000001" customHeight="1" thickTop="1" thickBot="1" x14ac:dyDescent="0.25">
      <c r="A23" s="228" t="s">
        <v>33</v>
      </c>
      <c r="B23" s="250" t="s">
        <v>17</v>
      </c>
      <c r="C23" s="61" t="s">
        <v>18</v>
      </c>
      <c r="D23" s="151">
        <v>4</v>
      </c>
      <c r="E23" s="152">
        <v>1</v>
      </c>
      <c r="F23" s="152">
        <v>0</v>
      </c>
      <c r="G23" s="152">
        <v>218</v>
      </c>
      <c r="H23" s="152">
        <v>91</v>
      </c>
      <c r="I23" s="152">
        <v>0</v>
      </c>
      <c r="J23" s="152">
        <v>120</v>
      </c>
      <c r="K23" s="153">
        <v>0</v>
      </c>
      <c r="L23" s="153">
        <v>0</v>
      </c>
      <c r="M23" s="153">
        <v>0</v>
      </c>
      <c r="N23" s="152">
        <v>0</v>
      </c>
      <c r="O23" s="44"/>
      <c r="P23" s="228" t="s">
        <v>33</v>
      </c>
      <c r="Q23" s="250" t="s">
        <v>17</v>
      </c>
      <c r="R23" s="61" t="s">
        <v>18</v>
      </c>
      <c r="S23" s="151">
        <v>4</v>
      </c>
      <c r="T23" s="152">
        <v>1</v>
      </c>
      <c r="U23" s="152">
        <v>0</v>
      </c>
      <c r="V23" s="152">
        <v>218</v>
      </c>
      <c r="W23" s="152">
        <v>91</v>
      </c>
      <c r="X23" s="152">
        <v>0</v>
      </c>
      <c r="Y23" s="152">
        <v>209</v>
      </c>
      <c r="Z23" s="153">
        <v>0</v>
      </c>
      <c r="AA23" s="153">
        <v>0</v>
      </c>
      <c r="AB23" s="153">
        <v>0</v>
      </c>
      <c r="AC23" s="152">
        <v>0</v>
      </c>
      <c r="AD23" s="44"/>
      <c r="AE23" s="228" t="s">
        <v>33</v>
      </c>
      <c r="AF23" s="250" t="s">
        <v>17</v>
      </c>
      <c r="AG23" s="61" t="s">
        <v>18</v>
      </c>
      <c r="AH23" s="151">
        <v>10</v>
      </c>
      <c r="AI23" s="152">
        <v>6</v>
      </c>
      <c r="AJ23" s="152">
        <v>0</v>
      </c>
      <c r="AK23" s="152">
        <v>215</v>
      </c>
      <c r="AL23" s="152">
        <v>51</v>
      </c>
      <c r="AM23" s="152">
        <v>149</v>
      </c>
      <c r="AN23" s="152">
        <v>201</v>
      </c>
      <c r="AO23" s="153">
        <v>0</v>
      </c>
      <c r="AP23" s="153">
        <v>0</v>
      </c>
      <c r="AQ23" s="153">
        <v>0</v>
      </c>
      <c r="AR23" s="152">
        <v>0</v>
      </c>
      <c r="AS23" s="44"/>
      <c r="AT23" s="228" t="s">
        <v>33</v>
      </c>
      <c r="AU23" s="250" t="s">
        <v>17</v>
      </c>
      <c r="AV23" s="61" t="s">
        <v>18</v>
      </c>
      <c r="AW23" s="111">
        <v>0</v>
      </c>
      <c r="AX23" s="111">
        <v>0</v>
      </c>
      <c r="AY23" s="111">
        <v>0</v>
      </c>
      <c r="AZ23" s="111">
        <v>0</v>
      </c>
      <c r="BA23" s="111">
        <v>0</v>
      </c>
      <c r="BB23" s="111">
        <v>0</v>
      </c>
      <c r="BC23" s="111">
        <v>0</v>
      </c>
      <c r="BD23" s="111">
        <v>0</v>
      </c>
      <c r="BE23" s="112">
        <v>0</v>
      </c>
      <c r="BF23" s="112">
        <v>0</v>
      </c>
      <c r="BG23" s="113">
        <v>0</v>
      </c>
      <c r="BH23" s="44"/>
      <c r="BI23" s="228" t="s">
        <v>33</v>
      </c>
      <c r="BJ23" s="250" t="s">
        <v>17</v>
      </c>
      <c r="BK23" s="61" t="s">
        <v>18</v>
      </c>
      <c r="BL23" s="111">
        <v>0</v>
      </c>
      <c r="BM23" s="111">
        <v>0</v>
      </c>
      <c r="BN23" s="111">
        <v>0</v>
      </c>
      <c r="BO23" s="111">
        <v>0</v>
      </c>
      <c r="BP23" s="111">
        <v>0</v>
      </c>
      <c r="BQ23" s="111">
        <v>0</v>
      </c>
      <c r="BR23" s="111">
        <v>99</v>
      </c>
      <c r="BS23" s="111">
        <v>0</v>
      </c>
      <c r="BT23" s="112">
        <v>0</v>
      </c>
      <c r="BU23" s="112">
        <v>0</v>
      </c>
      <c r="BV23" s="113">
        <v>0</v>
      </c>
      <c r="BW23" s="44"/>
      <c r="BX23" s="228" t="s">
        <v>33</v>
      </c>
      <c r="BY23" s="250" t="s">
        <v>17</v>
      </c>
      <c r="BZ23" s="61" t="s">
        <v>18</v>
      </c>
      <c r="CA23" s="111">
        <v>0</v>
      </c>
      <c r="CB23" s="111">
        <v>0</v>
      </c>
      <c r="CC23" s="111">
        <v>0</v>
      </c>
      <c r="CD23" s="111">
        <v>0</v>
      </c>
      <c r="CE23" s="111">
        <v>0</v>
      </c>
      <c r="CF23" s="111">
        <v>0</v>
      </c>
      <c r="CG23" s="157">
        <v>0</v>
      </c>
      <c r="CH23" s="111">
        <v>0</v>
      </c>
      <c r="CI23" s="112">
        <v>0</v>
      </c>
      <c r="CJ23" s="112">
        <v>0</v>
      </c>
      <c r="CK23" s="113">
        <v>0</v>
      </c>
      <c r="CL23" s="44"/>
      <c r="CM23" s="228" t="s">
        <v>33</v>
      </c>
      <c r="CN23" s="250" t="s">
        <v>17</v>
      </c>
      <c r="CO23" s="61" t="s">
        <v>18</v>
      </c>
      <c r="CP23" s="157">
        <v>4</v>
      </c>
      <c r="CQ23" s="158">
        <v>1</v>
      </c>
      <c r="CR23" s="158">
        <v>0</v>
      </c>
      <c r="CS23" s="158">
        <v>218</v>
      </c>
      <c r="CT23" s="158">
        <v>91</v>
      </c>
      <c r="CU23" s="158">
        <v>0</v>
      </c>
      <c r="CV23" s="158">
        <v>136</v>
      </c>
      <c r="CW23" s="159">
        <v>0</v>
      </c>
      <c r="CX23" s="159">
        <v>0</v>
      </c>
      <c r="CY23" s="159">
        <v>0</v>
      </c>
      <c r="CZ23" s="158">
        <v>0</v>
      </c>
      <c r="DA23" s="44"/>
      <c r="DB23" s="228" t="s">
        <v>33</v>
      </c>
      <c r="DC23" s="250" t="s">
        <v>17</v>
      </c>
      <c r="DD23" s="61" t="s">
        <v>18</v>
      </c>
      <c r="DE23" s="198">
        <v>10</v>
      </c>
      <c r="DF23" s="199">
        <v>1</v>
      </c>
      <c r="DG23" s="199">
        <v>200</v>
      </c>
      <c r="DH23" s="199">
        <v>16</v>
      </c>
      <c r="DI23" s="199">
        <v>0</v>
      </c>
      <c r="DJ23" s="199">
        <v>0</v>
      </c>
      <c r="DK23" s="199">
        <v>101</v>
      </c>
      <c r="DL23" s="204">
        <v>99</v>
      </c>
      <c r="DM23" s="180">
        <v>0</v>
      </c>
      <c r="DN23" s="180">
        <v>0</v>
      </c>
      <c r="DO23" s="181">
        <v>0</v>
      </c>
      <c r="DP23" s="44"/>
      <c r="DQ23" s="228" t="s">
        <v>33</v>
      </c>
      <c r="DR23" s="250" t="s">
        <v>17</v>
      </c>
      <c r="DS23" s="61" t="s">
        <v>18</v>
      </c>
      <c r="DT23" s="179">
        <v>50</v>
      </c>
      <c r="DU23" s="179">
        <v>35</v>
      </c>
      <c r="DV23" s="179">
        <v>25</v>
      </c>
      <c r="DW23" s="179">
        <v>1364</v>
      </c>
      <c r="DX23" s="179">
        <v>34</v>
      </c>
      <c r="DY23" s="179">
        <v>14</v>
      </c>
      <c r="DZ23" s="179">
        <v>19</v>
      </c>
      <c r="EA23" s="179">
        <v>0</v>
      </c>
      <c r="EB23" s="180">
        <v>0</v>
      </c>
      <c r="EC23" s="180">
        <v>0</v>
      </c>
      <c r="ED23" s="181">
        <v>0</v>
      </c>
      <c r="EE23" s="44"/>
      <c r="EF23" s="228" t="s">
        <v>33</v>
      </c>
      <c r="EG23" s="250" t="s">
        <v>17</v>
      </c>
      <c r="EH23" s="61" t="s">
        <v>18</v>
      </c>
      <c r="EI23" s="179">
        <v>50</v>
      </c>
      <c r="EJ23" s="179">
        <v>35</v>
      </c>
      <c r="EK23" s="179">
        <v>25</v>
      </c>
      <c r="EL23" s="179">
        <v>1364</v>
      </c>
      <c r="EM23" s="179">
        <v>34</v>
      </c>
      <c r="EN23" s="179">
        <v>14</v>
      </c>
      <c r="EO23" s="111">
        <v>19</v>
      </c>
      <c r="EP23" s="111">
        <v>0</v>
      </c>
      <c r="EQ23" s="112">
        <v>0</v>
      </c>
      <c r="ER23" s="112">
        <v>0</v>
      </c>
      <c r="ES23" s="113">
        <v>0</v>
      </c>
      <c r="ET23" s="44"/>
      <c r="EU23" s="228" t="s">
        <v>33</v>
      </c>
      <c r="EV23" s="250" t="s">
        <v>17</v>
      </c>
      <c r="EW23" s="61" t="s">
        <v>18</v>
      </c>
      <c r="EX23" s="111">
        <v>0</v>
      </c>
      <c r="EY23" s="111">
        <v>0</v>
      </c>
      <c r="EZ23" s="111">
        <v>0</v>
      </c>
      <c r="FA23" s="111">
        <v>0</v>
      </c>
      <c r="FB23" s="111">
        <v>0</v>
      </c>
      <c r="FC23" s="111">
        <v>0</v>
      </c>
      <c r="FD23" s="111">
        <v>0</v>
      </c>
      <c r="FE23" s="111">
        <v>0</v>
      </c>
      <c r="FF23" s="112">
        <v>0</v>
      </c>
      <c r="FG23" s="112">
        <v>0</v>
      </c>
      <c r="FH23" s="113">
        <v>0</v>
      </c>
      <c r="FI23" s="44"/>
      <c r="FJ23" s="228" t="s">
        <v>33</v>
      </c>
      <c r="FK23" s="250" t="s">
        <v>17</v>
      </c>
      <c r="FL23" s="61" t="s">
        <v>18</v>
      </c>
      <c r="FM23" s="111">
        <v>0</v>
      </c>
      <c r="FN23" s="111">
        <v>0</v>
      </c>
      <c r="FO23" s="111">
        <v>0</v>
      </c>
      <c r="FP23" s="111">
        <v>0</v>
      </c>
      <c r="FQ23" s="111">
        <v>0</v>
      </c>
      <c r="FR23" s="111">
        <v>0</v>
      </c>
      <c r="FS23" s="111">
        <v>0</v>
      </c>
      <c r="FT23" s="111">
        <v>0</v>
      </c>
      <c r="FU23" s="112">
        <v>0</v>
      </c>
      <c r="FV23" s="112">
        <v>0</v>
      </c>
      <c r="FW23" s="113">
        <v>0</v>
      </c>
      <c r="FX23" s="44"/>
      <c r="FY23" s="228" t="str">
        <f>(FJ23)</f>
        <v>المطار القديم</v>
      </c>
      <c r="FZ23" s="126" t="s">
        <v>17</v>
      </c>
      <c r="GA23" s="62" t="s">
        <v>18</v>
      </c>
      <c r="GB23" s="63">
        <f>SUM(FM23)</f>
        <v>0</v>
      </c>
      <c r="GC23" s="64">
        <f t="shared" ref="GC23:GC26" si="66">(E23+T23+AI23+AX23+BM23+CB23+CQ23+DF23+DU23+EJ23+EY23+FN23)</f>
        <v>80</v>
      </c>
      <c r="GD23" s="64">
        <f t="shared" ref="GD23:GD26" si="67">(F23+U23+AJ23+AY23+BN23+CC23+CR23+DG23+DV23+EK23+EZ23+FO23)</f>
        <v>250</v>
      </c>
      <c r="GE23" s="64">
        <f t="shared" ref="GE23:GE26" si="68">SUM(FP23)</f>
        <v>0</v>
      </c>
      <c r="GF23" s="64">
        <f t="shared" ref="GF23:GF26" si="69">SUM(FQ23)</f>
        <v>0</v>
      </c>
      <c r="GG23" s="64">
        <f t="shared" ref="GG23:GG26" si="70">SUM(FR23)</f>
        <v>0</v>
      </c>
      <c r="GH23" s="64">
        <f t="shared" ref="GH23:GH26" si="71">(J23+Y23+AN23+BC23+BR23+CG23+CV23+DK23+DZ23+EO23+FD23+FS23)</f>
        <v>904</v>
      </c>
      <c r="GI23" s="64">
        <f t="shared" ref="GI23:GI26" si="72">(K23+Z23+AO23+BD23+BS23+CH23+CW23+DL23+EA23+EP23+FE23+FT23)</f>
        <v>99</v>
      </c>
      <c r="GJ23" s="64">
        <f t="shared" ref="GJ23:GJ26" si="73">(L23+AA23+AP23+BE23+BT23+CI23+CX23+DM23+EB23+EQ23+FF23+FU23)</f>
        <v>0</v>
      </c>
      <c r="GK23" s="64">
        <f t="shared" ref="GK23:GK26" si="74">(M23+AB23+AQ23+BF23+BU23+CJ23+CY23+DN23+EC23+ER23+FG23+FV23)</f>
        <v>0</v>
      </c>
      <c r="GL23" s="64">
        <f t="shared" ref="GL23:GL26" si="75">(N23+AC23+AR23+BG23+BV23+CK23+CZ23+DO23+ED23+ES23+FH23+FW23)</f>
        <v>0</v>
      </c>
      <c r="GM23" s="44"/>
    </row>
    <row r="24" spans="1:195" ht="17.100000000000001" customHeight="1" thickBot="1" x14ac:dyDescent="0.25">
      <c r="A24" s="229"/>
      <c r="B24" s="251"/>
      <c r="C24" s="65" t="s">
        <v>19</v>
      </c>
      <c r="D24" s="154">
        <v>2</v>
      </c>
      <c r="E24" s="155">
        <v>0</v>
      </c>
      <c r="F24" s="155">
        <v>0</v>
      </c>
      <c r="G24" s="155">
        <v>88</v>
      </c>
      <c r="H24" s="155">
        <v>52</v>
      </c>
      <c r="I24" s="155">
        <v>0</v>
      </c>
      <c r="J24" s="155">
        <v>199</v>
      </c>
      <c r="K24" s="156">
        <v>0</v>
      </c>
      <c r="L24" s="156">
        <v>0</v>
      </c>
      <c r="M24" s="156">
        <v>0</v>
      </c>
      <c r="N24" s="155">
        <v>0</v>
      </c>
      <c r="O24" s="44"/>
      <c r="P24" s="229"/>
      <c r="Q24" s="251"/>
      <c r="R24" s="65" t="s">
        <v>19</v>
      </c>
      <c r="S24" s="154">
        <v>2</v>
      </c>
      <c r="T24" s="155">
        <v>0</v>
      </c>
      <c r="U24" s="155">
        <v>0</v>
      </c>
      <c r="V24" s="155">
        <v>88</v>
      </c>
      <c r="W24" s="155">
        <v>52</v>
      </c>
      <c r="X24" s="155">
        <v>0</v>
      </c>
      <c r="Y24" s="155">
        <v>319</v>
      </c>
      <c r="Z24" s="156">
        <v>0</v>
      </c>
      <c r="AA24" s="156">
        <v>0</v>
      </c>
      <c r="AB24" s="156">
        <v>0</v>
      </c>
      <c r="AC24" s="155">
        <v>0</v>
      </c>
      <c r="AD24" s="44"/>
      <c r="AE24" s="229"/>
      <c r="AF24" s="251"/>
      <c r="AG24" s="65" t="s">
        <v>19</v>
      </c>
      <c r="AH24" s="154">
        <v>2</v>
      </c>
      <c r="AI24" s="155">
        <v>19</v>
      </c>
      <c r="AJ24" s="155">
        <v>0</v>
      </c>
      <c r="AK24" s="155">
        <v>128</v>
      </c>
      <c r="AL24" s="155">
        <v>13</v>
      </c>
      <c r="AM24" s="155">
        <v>183</v>
      </c>
      <c r="AN24" s="155">
        <v>115</v>
      </c>
      <c r="AO24" s="156">
        <v>0</v>
      </c>
      <c r="AP24" s="156">
        <v>0</v>
      </c>
      <c r="AQ24" s="156">
        <v>0</v>
      </c>
      <c r="AR24" s="155">
        <v>0</v>
      </c>
      <c r="AS24" s="44"/>
      <c r="AT24" s="229"/>
      <c r="AU24" s="251"/>
      <c r="AV24" s="65" t="s">
        <v>19</v>
      </c>
      <c r="AW24" s="114">
        <v>0</v>
      </c>
      <c r="AX24" s="114">
        <v>0</v>
      </c>
      <c r="AY24" s="114">
        <v>0</v>
      </c>
      <c r="AZ24" s="114">
        <v>0</v>
      </c>
      <c r="BA24" s="114">
        <v>0</v>
      </c>
      <c r="BB24" s="114">
        <v>0</v>
      </c>
      <c r="BC24" s="114">
        <v>0</v>
      </c>
      <c r="BD24" s="114">
        <v>0</v>
      </c>
      <c r="BE24" s="115">
        <v>0</v>
      </c>
      <c r="BF24" s="115">
        <v>0</v>
      </c>
      <c r="BG24" s="116">
        <v>0</v>
      </c>
      <c r="BH24" s="44"/>
      <c r="BI24" s="229"/>
      <c r="BJ24" s="251"/>
      <c r="BK24" s="65" t="s">
        <v>19</v>
      </c>
      <c r="BL24" s="114">
        <v>0</v>
      </c>
      <c r="BM24" s="114">
        <v>0</v>
      </c>
      <c r="BN24" s="114">
        <v>0</v>
      </c>
      <c r="BO24" s="114">
        <v>0</v>
      </c>
      <c r="BP24" s="114">
        <v>0</v>
      </c>
      <c r="BQ24" s="114">
        <v>0</v>
      </c>
      <c r="BR24" s="114">
        <v>110</v>
      </c>
      <c r="BS24" s="114">
        <v>0</v>
      </c>
      <c r="BT24" s="115">
        <v>0</v>
      </c>
      <c r="BU24" s="115">
        <v>0</v>
      </c>
      <c r="BV24" s="116">
        <v>0</v>
      </c>
      <c r="BW24" s="44"/>
      <c r="BX24" s="229"/>
      <c r="BY24" s="251"/>
      <c r="BZ24" s="65" t="s">
        <v>19</v>
      </c>
      <c r="CA24" s="114">
        <v>0</v>
      </c>
      <c r="CB24" s="114">
        <v>0</v>
      </c>
      <c r="CC24" s="114">
        <v>0</v>
      </c>
      <c r="CD24" s="114">
        <v>0</v>
      </c>
      <c r="CE24" s="114">
        <v>0</v>
      </c>
      <c r="CF24" s="114">
        <v>0</v>
      </c>
      <c r="CG24" s="154">
        <v>0</v>
      </c>
      <c r="CH24" s="114">
        <v>0</v>
      </c>
      <c r="CI24" s="115">
        <v>0</v>
      </c>
      <c r="CJ24" s="115">
        <v>0</v>
      </c>
      <c r="CK24" s="116">
        <v>0</v>
      </c>
      <c r="CL24" s="44"/>
      <c r="CM24" s="229"/>
      <c r="CN24" s="251"/>
      <c r="CO24" s="65" t="s">
        <v>19</v>
      </c>
      <c r="CP24" s="154">
        <v>2</v>
      </c>
      <c r="CQ24" s="155">
        <v>0</v>
      </c>
      <c r="CR24" s="155">
        <v>0</v>
      </c>
      <c r="CS24" s="155">
        <v>88</v>
      </c>
      <c r="CT24" s="155">
        <v>52</v>
      </c>
      <c r="CU24" s="155">
        <v>0</v>
      </c>
      <c r="CV24" s="155">
        <v>200</v>
      </c>
      <c r="CW24" s="156">
        <v>0</v>
      </c>
      <c r="CX24" s="156">
        <v>0</v>
      </c>
      <c r="CY24" s="156">
        <v>0</v>
      </c>
      <c r="CZ24" s="155">
        <v>0</v>
      </c>
      <c r="DA24" s="44"/>
      <c r="DB24" s="229"/>
      <c r="DC24" s="251"/>
      <c r="DD24" s="65" t="s">
        <v>19</v>
      </c>
      <c r="DE24" s="200">
        <v>20</v>
      </c>
      <c r="DF24" s="201">
        <v>0</v>
      </c>
      <c r="DG24" s="201">
        <v>90</v>
      </c>
      <c r="DH24" s="201">
        <v>0</v>
      </c>
      <c r="DI24" s="201">
        <v>0</v>
      </c>
      <c r="DJ24" s="201">
        <v>0</v>
      </c>
      <c r="DK24" s="201">
        <v>60</v>
      </c>
      <c r="DL24" s="205">
        <v>100</v>
      </c>
      <c r="DM24" s="183">
        <v>0</v>
      </c>
      <c r="DN24" s="183">
        <v>0</v>
      </c>
      <c r="DO24" s="184">
        <v>0</v>
      </c>
      <c r="DP24" s="44"/>
      <c r="DQ24" s="229"/>
      <c r="DR24" s="251"/>
      <c r="DS24" s="65" t="s">
        <v>19</v>
      </c>
      <c r="DT24" s="182">
        <v>72</v>
      </c>
      <c r="DU24" s="182">
        <v>19</v>
      </c>
      <c r="DV24" s="182">
        <v>18</v>
      </c>
      <c r="DW24" s="182">
        <v>1328</v>
      </c>
      <c r="DX24" s="182">
        <v>15</v>
      </c>
      <c r="DY24" s="182">
        <v>18</v>
      </c>
      <c r="DZ24" s="182">
        <v>12</v>
      </c>
      <c r="EA24" s="182">
        <v>0</v>
      </c>
      <c r="EB24" s="183">
        <v>0</v>
      </c>
      <c r="EC24" s="183">
        <v>0</v>
      </c>
      <c r="ED24" s="184">
        <v>0</v>
      </c>
      <c r="EE24" s="44"/>
      <c r="EF24" s="229"/>
      <c r="EG24" s="251"/>
      <c r="EH24" s="65" t="s">
        <v>19</v>
      </c>
      <c r="EI24" s="182">
        <v>72</v>
      </c>
      <c r="EJ24" s="182">
        <v>19</v>
      </c>
      <c r="EK24" s="182">
        <v>18</v>
      </c>
      <c r="EL24" s="182">
        <v>1328</v>
      </c>
      <c r="EM24" s="182">
        <v>15</v>
      </c>
      <c r="EN24" s="182">
        <v>18</v>
      </c>
      <c r="EO24" s="114">
        <v>9</v>
      </c>
      <c r="EP24" s="114">
        <v>0</v>
      </c>
      <c r="EQ24" s="115">
        <v>0</v>
      </c>
      <c r="ER24" s="115">
        <v>0</v>
      </c>
      <c r="ES24" s="116">
        <v>0</v>
      </c>
      <c r="ET24" s="44"/>
      <c r="EU24" s="229"/>
      <c r="EV24" s="251"/>
      <c r="EW24" s="65" t="s">
        <v>19</v>
      </c>
      <c r="EX24" s="114">
        <v>0</v>
      </c>
      <c r="EY24" s="114">
        <v>0</v>
      </c>
      <c r="EZ24" s="114">
        <v>0</v>
      </c>
      <c r="FA24" s="114">
        <v>0</v>
      </c>
      <c r="FB24" s="114">
        <v>0</v>
      </c>
      <c r="FC24" s="114">
        <v>0</v>
      </c>
      <c r="FD24" s="114">
        <v>0</v>
      </c>
      <c r="FE24" s="114">
        <v>0</v>
      </c>
      <c r="FF24" s="115">
        <v>0</v>
      </c>
      <c r="FG24" s="115">
        <v>0</v>
      </c>
      <c r="FH24" s="116">
        <v>0</v>
      </c>
      <c r="FI24" s="44"/>
      <c r="FJ24" s="229"/>
      <c r="FK24" s="251"/>
      <c r="FL24" s="65" t="s">
        <v>19</v>
      </c>
      <c r="FM24" s="114">
        <v>0</v>
      </c>
      <c r="FN24" s="114">
        <v>0</v>
      </c>
      <c r="FO24" s="114">
        <v>0</v>
      </c>
      <c r="FP24" s="114">
        <v>0</v>
      </c>
      <c r="FQ24" s="114">
        <v>0</v>
      </c>
      <c r="FR24" s="114">
        <v>0</v>
      </c>
      <c r="FS24" s="114">
        <v>0</v>
      </c>
      <c r="FT24" s="114">
        <v>0</v>
      </c>
      <c r="FU24" s="115">
        <v>0</v>
      </c>
      <c r="FV24" s="115">
        <v>0</v>
      </c>
      <c r="FW24" s="116">
        <v>0</v>
      </c>
      <c r="FX24" s="44"/>
      <c r="FY24" s="229"/>
      <c r="FZ24" s="127"/>
      <c r="GA24" s="66" t="s">
        <v>19</v>
      </c>
      <c r="GB24" s="67">
        <f>SUM(FM24)</f>
        <v>0</v>
      </c>
      <c r="GC24" s="68">
        <f t="shared" si="66"/>
        <v>57</v>
      </c>
      <c r="GD24" s="68">
        <f t="shared" si="67"/>
        <v>126</v>
      </c>
      <c r="GE24" s="68">
        <f t="shared" si="68"/>
        <v>0</v>
      </c>
      <c r="GF24" s="68">
        <f t="shared" si="69"/>
        <v>0</v>
      </c>
      <c r="GG24" s="68">
        <f t="shared" si="70"/>
        <v>0</v>
      </c>
      <c r="GH24" s="68">
        <f t="shared" si="71"/>
        <v>1024</v>
      </c>
      <c r="GI24" s="68">
        <f t="shared" si="72"/>
        <v>100</v>
      </c>
      <c r="GJ24" s="68">
        <f t="shared" si="73"/>
        <v>0</v>
      </c>
      <c r="GK24" s="68">
        <f t="shared" si="74"/>
        <v>0</v>
      </c>
      <c r="GL24" s="68">
        <f t="shared" si="75"/>
        <v>0</v>
      </c>
      <c r="GM24" s="44"/>
    </row>
    <row r="25" spans="1:195" ht="17.100000000000001" customHeight="1" thickBot="1" x14ac:dyDescent="0.25">
      <c r="A25" s="229"/>
      <c r="B25" s="69" t="s">
        <v>20</v>
      </c>
      <c r="C25" s="70" t="s">
        <v>18</v>
      </c>
      <c r="D25" s="157">
        <v>0</v>
      </c>
      <c r="E25" s="158">
        <v>0</v>
      </c>
      <c r="F25" s="158">
        <v>0</v>
      </c>
      <c r="G25" s="158">
        <v>0</v>
      </c>
      <c r="H25" s="158">
        <v>0</v>
      </c>
      <c r="I25" s="158">
        <v>0</v>
      </c>
      <c r="J25" s="158">
        <v>52</v>
      </c>
      <c r="K25" s="159">
        <v>0</v>
      </c>
      <c r="L25" s="159">
        <v>0</v>
      </c>
      <c r="M25" s="159">
        <v>0</v>
      </c>
      <c r="N25" s="158">
        <v>0</v>
      </c>
      <c r="O25" s="44"/>
      <c r="P25" s="229"/>
      <c r="Q25" s="69" t="s">
        <v>20</v>
      </c>
      <c r="R25" s="70" t="s">
        <v>18</v>
      </c>
      <c r="S25" s="157">
        <v>0</v>
      </c>
      <c r="T25" s="158">
        <v>0</v>
      </c>
      <c r="U25" s="158">
        <v>0</v>
      </c>
      <c r="V25" s="158">
        <v>0</v>
      </c>
      <c r="W25" s="158">
        <v>0</v>
      </c>
      <c r="X25" s="158">
        <v>0</v>
      </c>
      <c r="Y25" s="158">
        <v>0</v>
      </c>
      <c r="Z25" s="159">
        <v>0</v>
      </c>
      <c r="AA25" s="159">
        <v>0</v>
      </c>
      <c r="AB25" s="159">
        <v>0</v>
      </c>
      <c r="AC25" s="158">
        <v>0</v>
      </c>
      <c r="AD25" s="44"/>
      <c r="AE25" s="229"/>
      <c r="AF25" s="69" t="s">
        <v>20</v>
      </c>
      <c r="AG25" s="70" t="s">
        <v>18</v>
      </c>
      <c r="AH25" s="157">
        <v>3</v>
      </c>
      <c r="AI25" s="158">
        <v>2</v>
      </c>
      <c r="AJ25" s="158">
        <v>0</v>
      </c>
      <c r="AK25" s="158">
        <v>18</v>
      </c>
      <c r="AL25" s="158">
        <v>2</v>
      </c>
      <c r="AM25" s="158">
        <v>101</v>
      </c>
      <c r="AN25" s="158">
        <v>103</v>
      </c>
      <c r="AO25" s="159">
        <v>0</v>
      </c>
      <c r="AP25" s="159">
        <v>0</v>
      </c>
      <c r="AQ25" s="159">
        <v>0</v>
      </c>
      <c r="AR25" s="158">
        <v>0</v>
      </c>
      <c r="AS25" s="44"/>
      <c r="AT25" s="229"/>
      <c r="AU25" s="69" t="s">
        <v>20</v>
      </c>
      <c r="AV25" s="70" t="s">
        <v>18</v>
      </c>
      <c r="AW25" s="111">
        <v>0</v>
      </c>
      <c r="AX25" s="111">
        <v>0</v>
      </c>
      <c r="AY25" s="111">
        <v>0</v>
      </c>
      <c r="AZ25" s="111">
        <v>0</v>
      </c>
      <c r="BA25" s="111">
        <v>0</v>
      </c>
      <c r="BB25" s="111">
        <v>0</v>
      </c>
      <c r="BC25" s="111">
        <v>0</v>
      </c>
      <c r="BD25" s="117">
        <v>0</v>
      </c>
      <c r="BE25" s="118">
        <v>0</v>
      </c>
      <c r="BF25" s="118">
        <v>0</v>
      </c>
      <c r="BG25" s="119">
        <v>0</v>
      </c>
      <c r="BH25" s="44"/>
      <c r="BI25" s="229"/>
      <c r="BJ25" s="69" t="s">
        <v>20</v>
      </c>
      <c r="BK25" s="70" t="s">
        <v>18</v>
      </c>
      <c r="BL25" s="111">
        <v>0</v>
      </c>
      <c r="BM25" s="111">
        <v>0</v>
      </c>
      <c r="BN25" s="111">
        <v>0</v>
      </c>
      <c r="BO25" s="111">
        <v>0</v>
      </c>
      <c r="BP25" s="111">
        <v>0</v>
      </c>
      <c r="BQ25" s="111">
        <v>0</v>
      </c>
      <c r="BR25" s="111">
        <v>100</v>
      </c>
      <c r="BS25" s="117">
        <v>0</v>
      </c>
      <c r="BT25" s="118">
        <v>0</v>
      </c>
      <c r="BU25" s="118">
        <v>0</v>
      </c>
      <c r="BV25" s="119">
        <v>0</v>
      </c>
      <c r="BW25" s="44"/>
      <c r="BX25" s="229"/>
      <c r="BY25" s="69" t="s">
        <v>20</v>
      </c>
      <c r="BZ25" s="70" t="s">
        <v>18</v>
      </c>
      <c r="CA25" s="111">
        <v>0</v>
      </c>
      <c r="CB25" s="111">
        <v>0</v>
      </c>
      <c r="CC25" s="111">
        <v>0</v>
      </c>
      <c r="CD25" s="111">
        <v>0</v>
      </c>
      <c r="CE25" s="111">
        <v>0</v>
      </c>
      <c r="CF25" s="111">
        <v>0</v>
      </c>
      <c r="CG25" s="157">
        <v>0</v>
      </c>
      <c r="CH25" s="117">
        <v>0</v>
      </c>
      <c r="CI25" s="118">
        <v>0</v>
      </c>
      <c r="CJ25" s="118">
        <v>0</v>
      </c>
      <c r="CK25" s="119">
        <v>0</v>
      </c>
      <c r="CL25" s="44"/>
      <c r="CM25" s="229"/>
      <c r="CN25" s="69" t="s">
        <v>20</v>
      </c>
      <c r="CO25" s="70" t="s">
        <v>18</v>
      </c>
      <c r="CP25" s="157">
        <v>0</v>
      </c>
      <c r="CQ25" s="158">
        <v>0</v>
      </c>
      <c r="CR25" s="158">
        <v>0</v>
      </c>
      <c r="CS25" s="158">
        <v>0</v>
      </c>
      <c r="CT25" s="158">
        <v>0</v>
      </c>
      <c r="CU25" s="158">
        <v>0</v>
      </c>
      <c r="CV25" s="158">
        <v>36</v>
      </c>
      <c r="CW25" s="159">
        <v>0</v>
      </c>
      <c r="CX25" s="159">
        <v>0</v>
      </c>
      <c r="CY25" s="159">
        <v>0</v>
      </c>
      <c r="CZ25" s="158">
        <v>0</v>
      </c>
      <c r="DA25" s="44"/>
      <c r="DB25" s="229"/>
      <c r="DC25" s="69" t="s">
        <v>20</v>
      </c>
      <c r="DD25" s="70" t="s">
        <v>18</v>
      </c>
      <c r="DE25" s="202">
        <v>0</v>
      </c>
      <c r="DF25" s="203">
        <v>0</v>
      </c>
      <c r="DG25" s="203">
        <v>3</v>
      </c>
      <c r="DH25" s="203">
        <v>0</v>
      </c>
      <c r="DI25" s="203">
        <v>0</v>
      </c>
      <c r="DJ25" s="203">
        <v>0</v>
      </c>
      <c r="DK25" s="203">
        <v>18</v>
      </c>
      <c r="DL25" s="206">
        <v>9</v>
      </c>
      <c r="DM25" s="186">
        <v>0</v>
      </c>
      <c r="DN25" s="186">
        <v>0</v>
      </c>
      <c r="DO25" s="187">
        <v>0</v>
      </c>
      <c r="DP25" s="44"/>
      <c r="DQ25" s="229"/>
      <c r="DR25" s="69" t="s">
        <v>20</v>
      </c>
      <c r="DS25" s="70" t="s">
        <v>18</v>
      </c>
      <c r="DT25" s="179">
        <v>61</v>
      </c>
      <c r="DU25" s="179">
        <v>22</v>
      </c>
      <c r="DV25" s="179">
        <v>16</v>
      </c>
      <c r="DW25" s="179">
        <v>33</v>
      </c>
      <c r="DX25" s="179">
        <v>25</v>
      </c>
      <c r="DY25" s="179">
        <v>22</v>
      </c>
      <c r="DZ25" s="179">
        <v>23</v>
      </c>
      <c r="EA25" s="185">
        <v>0</v>
      </c>
      <c r="EB25" s="186">
        <v>0</v>
      </c>
      <c r="EC25" s="186">
        <v>0</v>
      </c>
      <c r="ED25" s="187">
        <v>0</v>
      </c>
      <c r="EE25" s="44"/>
      <c r="EF25" s="229"/>
      <c r="EG25" s="69" t="s">
        <v>20</v>
      </c>
      <c r="EH25" s="70" t="s">
        <v>18</v>
      </c>
      <c r="EI25" s="179">
        <v>61</v>
      </c>
      <c r="EJ25" s="179">
        <v>22</v>
      </c>
      <c r="EK25" s="179">
        <v>16</v>
      </c>
      <c r="EL25" s="179">
        <v>33</v>
      </c>
      <c r="EM25" s="179">
        <v>25</v>
      </c>
      <c r="EN25" s="179">
        <v>22</v>
      </c>
      <c r="EO25" s="111">
        <v>4</v>
      </c>
      <c r="EP25" s="117">
        <v>0</v>
      </c>
      <c r="EQ25" s="118">
        <v>0</v>
      </c>
      <c r="ER25" s="118">
        <v>0</v>
      </c>
      <c r="ES25" s="119">
        <v>0</v>
      </c>
      <c r="ET25" s="44"/>
      <c r="EU25" s="229"/>
      <c r="EV25" s="69" t="s">
        <v>20</v>
      </c>
      <c r="EW25" s="70" t="s">
        <v>18</v>
      </c>
      <c r="EX25" s="111">
        <v>0</v>
      </c>
      <c r="EY25" s="111">
        <v>0</v>
      </c>
      <c r="EZ25" s="111">
        <v>0</v>
      </c>
      <c r="FA25" s="111">
        <v>0</v>
      </c>
      <c r="FB25" s="111">
        <v>0</v>
      </c>
      <c r="FC25" s="111">
        <v>0</v>
      </c>
      <c r="FD25" s="111">
        <v>0</v>
      </c>
      <c r="FE25" s="117">
        <v>0</v>
      </c>
      <c r="FF25" s="118">
        <v>0</v>
      </c>
      <c r="FG25" s="118">
        <v>0</v>
      </c>
      <c r="FH25" s="119">
        <v>0</v>
      </c>
      <c r="FI25" s="44"/>
      <c r="FJ25" s="229"/>
      <c r="FK25" s="69" t="s">
        <v>20</v>
      </c>
      <c r="FL25" s="70" t="s">
        <v>18</v>
      </c>
      <c r="FM25" s="111">
        <v>0</v>
      </c>
      <c r="FN25" s="111">
        <v>0</v>
      </c>
      <c r="FO25" s="111">
        <v>0</v>
      </c>
      <c r="FP25" s="111">
        <v>0</v>
      </c>
      <c r="FQ25" s="111">
        <v>0</v>
      </c>
      <c r="FR25" s="111">
        <v>0</v>
      </c>
      <c r="FS25" s="111">
        <v>0</v>
      </c>
      <c r="FT25" s="117">
        <v>0</v>
      </c>
      <c r="FU25" s="118">
        <v>0</v>
      </c>
      <c r="FV25" s="118">
        <v>0</v>
      </c>
      <c r="FW25" s="119">
        <v>0</v>
      </c>
      <c r="FX25" s="44"/>
      <c r="FY25" s="229"/>
      <c r="FZ25" s="69" t="s">
        <v>20</v>
      </c>
      <c r="GA25" s="71" t="s">
        <v>18</v>
      </c>
      <c r="GB25" s="63">
        <f>SUM(FM25)</f>
        <v>0</v>
      </c>
      <c r="GC25" s="72">
        <f t="shared" si="66"/>
        <v>46</v>
      </c>
      <c r="GD25" s="72">
        <f t="shared" si="67"/>
        <v>35</v>
      </c>
      <c r="GE25" s="72">
        <f t="shared" si="68"/>
        <v>0</v>
      </c>
      <c r="GF25" s="72">
        <f t="shared" si="69"/>
        <v>0</v>
      </c>
      <c r="GG25" s="72">
        <f t="shared" si="70"/>
        <v>0</v>
      </c>
      <c r="GH25" s="72">
        <f t="shared" si="71"/>
        <v>336</v>
      </c>
      <c r="GI25" s="72">
        <f t="shared" si="72"/>
        <v>9</v>
      </c>
      <c r="GJ25" s="72">
        <f t="shared" si="73"/>
        <v>0</v>
      </c>
      <c r="GK25" s="72">
        <f t="shared" si="74"/>
        <v>0</v>
      </c>
      <c r="GL25" s="72">
        <f t="shared" si="75"/>
        <v>0</v>
      </c>
      <c r="GM25" s="44"/>
    </row>
    <row r="26" spans="1:195" ht="17.100000000000001" customHeight="1" thickBot="1" x14ac:dyDescent="0.25">
      <c r="A26" s="229"/>
      <c r="B26" s="73" t="s">
        <v>17</v>
      </c>
      <c r="C26" s="74" t="s">
        <v>19</v>
      </c>
      <c r="D26" s="154">
        <v>0</v>
      </c>
      <c r="E26" s="155">
        <v>0</v>
      </c>
      <c r="F26" s="155">
        <v>0</v>
      </c>
      <c r="G26" s="155">
        <v>0</v>
      </c>
      <c r="H26" s="155">
        <v>0</v>
      </c>
      <c r="I26" s="155">
        <v>0</v>
      </c>
      <c r="J26" s="155">
        <v>40</v>
      </c>
      <c r="K26" s="156">
        <v>0</v>
      </c>
      <c r="L26" s="156">
        <v>0</v>
      </c>
      <c r="M26" s="156">
        <v>0</v>
      </c>
      <c r="N26" s="155">
        <v>0</v>
      </c>
      <c r="O26" s="44"/>
      <c r="P26" s="229"/>
      <c r="Q26" s="73" t="s">
        <v>17</v>
      </c>
      <c r="R26" s="74" t="s">
        <v>19</v>
      </c>
      <c r="S26" s="154">
        <v>0</v>
      </c>
      <c r="T26" s="155">
        <v>0</v>
      </c>
      <c r="U26" s="155">
        <v>0</v>
      </c>
      <c r="V26" s="155">
        <v>0</v>
      </c>
      <c r="W26" s="155">
        <v>0</v>
      </c>
      <c r="X26" s="155">
        <v>0</v>
      </c>
      <c r="Y26" s="155">
        <v>0</v>
      </c>
      <c r="Z26" s="156">
        <v>0</v>
      </c>
      <c r="AA26" s="156">
        <v>0</v>
      </c>
      <c r="AB26" s="156">
        <v>0</v>
      </c>
      <c r="AC26" s="155">
        <v>0</v>
      </c>
      <c r="AD26" s="44"/>
      <c r="AE26" s="229"/>
      <c r="AF26" s="73" t="s">
        <v>17</v>
      </c>
      <c r="AG26" s="74" t="s">
        <v>19</v>
      </c>
      <c r="AH26" s="154">
        <v>9</v>
      </c>
      <c r="AI26" s="155">
        <v>1</v>
      </c>
      <c r="AJ26" s="155">
        <v>0</v>
      </c>
      <c r="AK26" s="155">
        <v>0</v>
      </c>
      <c r="AL26" s="155">
        <v>0</v>
      </c>
      <c r="AM26" s="155">
        <v>119</v>
      </c>
      <c r="AN26" s="155">
        <v>99</v>
      </c>
      <c r="AO26" s="156">
        <v>0</v>
      </c>
      <c r="AP26" s="156">
        <v>0</v>
      </c>
      <c r="AQ26" s="156">
        <v>0</v>
      </c>
      <c r="AR26" s="155">
        <v>0</v>
      </c>
      <c r="AS26" s="44"/>
      <c r="AT26" s="229"/>
      <c r="AU26" s="73" t="s">
        <v>17</v>
      </c>
      <c r="AV26" s="74" t="s">
        <v>19</v>
      </c>
      <c r="AW26" s="114">
        <v>0</v>
      </c>
      <c r="AX26" s="114">
        <v>0</v>
      </c>
      <c r="AY26" s="114">
        <v>0</v>
      </c>
      <c r="AZ26" s="114">
        <v>0</v>
      </c>
      <c r="BA26" s="114">
        <v>0</v>
      </c>
      <c r="BB26" s="114">
        <v>0</v>
      </c>
      <c r="BC26" s="114">
        <v>0</v>
      </c>
      <c r="BD26" s="114">
        <v>0</v>
      </c>
      <c r="BE26" s="115">
        <v>0</v>
      </c>
      <c r="BF26" s="115">
        <v>0</v>
      </c>
      <c r="BG26" s="116">
        <v>0</v>
      </c>
      <c r="BH26" s="44"/>
      <c r="BI26" s="229"/>
      <c r="BJ26" s="73" t="s">
        <v>17</v>
      </c>
      <c r="BK26" s="74" t="s">
        <v>19</v>
      </c>
      <c r="BL26" s="114">
        <v>0</v>
      </c>
      <c r="BM26" s="114">
        <v>0</v>
      </c>
      <c r="BN26" s="114">
        <v>0</v>
      </c>
      <c r="BO26" s="114">
        <v>0</v>
      </c>
      <c r="BP26" s="114">
        <v>0</v>
      </c>
      <c r="BQ26" s="114">
        <v>0</v>
      </c>
      <c r="BR26" s="114">
        <v>90</v>
      </c>
      <c r="BS26" s="114">
        <v>0</v>
      </c>
      <c r="BT26" s="115">
        <v>0</v>
      </c>
      <c r="BU26" s="115">
        <v>0</v>
      </c>
      <c r="BV26" s="116">
        <v>0</v>
      </c>
      <c r="BW26" s="44"/>
      <c r="BX26" s="229"/>
      <c r="BY26" s="73" t="s">
        <v>17</v>
      </c>
      <c r="BZ26" s="74" t="s">
        <v>19</v>
      </c>
      <c r="CA26" s="114">
        <v>0</v>
      </c>
      <c r="CB26" s="114">
        <v>0</v>
      </c>
      <c r="CC26" s="114">
        <v>0</v>
      </c>
      <c r="CD26" s="114">
        <v>0</v>
      </c>
      <c r="CE26" s="114">
        <v>0</v>
      </c>
      <c r="CF26" s="114">
        <v>0</v>
      </c>
      <c r="CG26" s="154">
        <v>0</v>
      </c>
      <c r="CH26" s="114">
        <v>0</v>
      </c>
      <c r="CI26" s="115">
        <v>0</v>
      </c>
      <c r="CJ26" s="115">
        <v>0</v>
      </c>
      <c r="CK26" s="116">
        <v>0</v>
      </c>
      <c r="CL26" s="44"/>
      <c r="CM26" s="229"/>
      <c r="CN26" s="73" t="s">
        <v>17</v>
      </c>
      <c r="CO26" s="74" t="s">
        <v>19</v>
      </c>
      <c r="CP26" s="154">
        <v>0</v>
      </c>
      <c r="CQ26" s="155">
        <v>0</v>
      </c>
      <c r="CR26" s="155">
        <v>0</v>
      </c>
      <c r="CS26" s="155">
        <v>0</v>
      </c>
      <c r="CT26" s="155">
        <v>0</v>
      </c>
      <c r="CU26" s="155">
        <v>0</v>
      </c>
      <c r="CV26" s="155">
        <v>40</v>
      </c>
      <c r="CW26" s="156">
        <v>0</v>
      </c>
      <c r="CX26" s="156">
        <v>0</v>
      </c>
      <c r="CY26" s="156">
        <v>0</v>
      </c>
      <c r="CZ26" s="155">
        <v>0</v>
      </c>
      <c r="DA26" s="44"/>
      <c r="DB26" s="229"/>
      <c r="DC26" s="73" t="s">
        <v>17</v>
      </c>
      <c r="DD26" s="74" t="s">
        <v>19</v>
      </c>
      <c r="DE26" s="200">
        <v>0</v>
      </c>
      <c r="DF26" s="201">
        <v>0</v>
      </c>
      <c r="DG26" s="201">
        <v>1</v>
      </c>
      <c r="DH26" s="201">
        <v>0</v>
      </c>
      <c r="DI26" s="201">
        <v>0</v>
      </c>
      <c r="DJ26" s="201">
        <v>0</v>
      </c>
      <c r="DK26" s="201">
        <v>10</v>
      </c>
      <c r="DL26" s="205">
        <v>7</v>
      </c>
      <c r="DM26" s="183">
        <v>0</v>
      </c>
      <c r="DN26" s="183">
        <v>0</v>
      </c>
      <c r="DO26" s="184">
        <v>0</v>
      </c>
      <c r="DP26" s="44"/>
      <c r="DQ26" s="229"/>
      <c r="DR26" s="73" t="s">
        <v>17</v>
      </c>
      <c r="DS26" s="74" t="s">
        <v>19</v>
      </c>
      <c r="DT26" s="182">
        <v>44</v>
      </c>
      <c r="DU26" s="182">
        <v>15</v>
      </c>
      <c r="DV26" s="182">
        <v>11</v>
      </c>
      <c r="DW26" s="182">
        <v>44</v>
      </c>
      <c r="DX26" s="182">
        <v>42</v>
      </c>
      <c r="DY26" s="182">
        <v>11</v>
      </c>
      <c r="DZ26" s="182">
        <v>15</v>
      </c>
      <c r="EA26" s="182">
        <v>0</v>
      </c>
      <c r="EB26" s="183">
        <v>0</v>
      </c>
      <c r="EC26" s="183">
        <v>0</v>
      </c>
      <c r="ED26" s="184">
        <v>0</v>
      </c>
      <c r="EE26" s="44"/>
      <c r="EF26" s="229"/>
      <c r="EG26" s="73" t="s">
        <v>17</v>
      </c>
      <c r="EH26" s="74" t="s">
        <v>19</v>
      </c>
      <c r="EI26" s="182">
        <v>44</v>
      </c>
      <c r="EJ26" s="182">
        <v>15</v>
      </c>
      <c r="EK26" s="182">
        <v>11</v>
      </c>
      <c r="EL26" s="182">
        <v>44</v>
      </c>
      <c r="EM26" s="182">
        <v>42</v>
      </c>
      <c r="EN26" s="182">
        <v>11</v>
      </c>
      <c r="EO26" s="114">
        <v>1</v>
      </c>
      <c r="EP26" s="114">
        <v>0</v>
      </c>
      <c r="EQ26" s="115">
        <v>0</v>
      </c>
      <c r="ER26" s="115">
        <v>0</v>
      </c>
      <c r="ES26" s="116">
        <v>0</v>
      </c>
      <c r="ET26" s="44"/>
      <c r="EU26" s="229"/>
      <c r="EV26" s="73" t="s">
        <v>17</v>
      </c>
      <c r="EW26" s="74" t="s">
        <v>19</v>
      </c>
      <c r="EX26" s="114">
        <v>0</v>
      </c>
      <c r="EY26" s="114">
        <v>0</v>
      </c>
      <c r="EZ26" s="114">
        <v>0</v>
      </c>
      <c r="FA26" s="114">
        <v>0</v>
      </c>
      <c r="FB26" s="114">
        <v>0</v>
      </c>
      <c r="FC26" s="114">
        <v>0</v>
      </c>
      <c r="FD26" s="114">
        <v>0</v>
      </c>
      <c r="FE26" s="114">
        <v>0</v>
      </c>
      <c r="FF26" s="115">
        <v>0</v>
      </c>
      <c r="FG26" s="115">
        <v>0</v>
      </c>
      <c r="FH26" s="116">
        <v>0</v>
      </c>
      <c r="FI26" s="44"/>
      <c r="FJ26" s="229"/>
      <c r="FK26" s="73" t="s">
        <v>17</v>
      </c>
      <c r="FL26" s="74" t="s">
        <v>19</v>
      </c>
      <c r="FM26" s="114">
        <v>0</v>
      </c>
      <c r="FN26" s="114">
        <v>0</v>
      </c>
      <c r="FO26" s="114">
        <v>0</v>
      </c>
      <c r="FP26" s="114">
        <v>0</v>
      </c>
      <c r="FQ26" s="114">
        <v>0</v>
      </c>
      <c r="FR26" s="114">
        <v>0</v>
      </c>
      <c r="FS26" s="114">
        <v>0</v>
      </c>
      <c r="FT26" s="114">
        <v>0</v>
      </c>
      <c r="FU26" s="115">
        <v>0</v>
      </c>
      <c r="FV26" s="115">
        <v>0</v>
      </c>
      <c r="FW26" s="116">
        <v>0</v>
      </c>
      <c r="FX26" s="44"/>
      <c r="FY26" s="229"/>
      <c r="FZ26" s="73" t="s">
        <v>17</v>
      </c>
      <c r="GA26" s="75" t="s">
        <v>19</v>
      </c>
      <c r="GB26" s="67">
        <f>SUM(FM26)</f>
        <v>0</v>
      </c>
      <c r="GC26" s="68">
        <f t="shared" si="66"/>
        <v>31</v>
      </c>
      <c r="GD26" s="68">
        <f t="shared" si="67"/>
        <v>23</v>
      </c>
      <c r="GE26" s="68">
        <f t="shared" si="68"/>
        <v>0</v>
      </c>
      <c r="GF26" s="68">
        <f t="shared" si="69"/>
        <v>0</v>
      </c>
      <c r="GG26" s="68">
        <f t="shared" si="70"/>
        <v>0</v>
      </c>
      <c r="GH26" s="68">
        <f t="shared" si="71"/>
        <v>295</v>
      </c>
      <c r="GI26" s="68">
        <f t="shared" si="72"/>
        <v>7</v>
      </c>
      <c r="GJ26" s="68">
        <f t="shared" si="73"/>
        <v>0</v>
      </c>
      <c r="GK26" s="68">
        <f t="shared" si="74"/>
        <v>0</v>
      </c>
      <c r="GL26" s="68">
        <f t="shared" si="75"/>
        <v>0</v>
      </c>
      <c r="GM26" s="44"/>
    </row>
    <row r="27" spans="1:195" ht="17.100000000000001" customHeight="1" thickBot="1" x14ac:dyDescent="0.25">
      <c r="A27" s="229"/>
      <c r="B27" s="252" t="s">
        <v>21</v>
      </c>
      <c r="C27" s="253"/>
      <c r="D27" s="120">
        <f t="shared" ref="D27:N27" si="76">SUM(D23:D26)</f>
        <v>6</v>
      </c>
      <c r="E27" s="120">
        <f t="shared" si="76"/>
        <v>1</v>
      </c>
      <c r="F27" s="121">
        <f t="shared" si="76"/>
        <v>0</v>
      </c>
      <c r="G27" s="122">
        <f t="shared" si="76"/>
        <v>306</v>
      </c>
      <c r="H27" s="121">
        <f t="shared" si="76"/>
        <v>143</v>
      </c>
      <c r="I27" s="120">
        <f t="shared" si="76"/>
        <v>0</v>
      </c>
      <c r="J27" s="120">
        <f t="shared" si="76"/>
        <v>411</v>
      </c>
      <c r="K27" s="123">
        <f t="shared" si="76"/>
        <v>0</v>
      </c>
      <c r="L27" s="124">
        <f t="shared" si="76"/>
        <v>0</v>
      </c>
      <c r="M27" s="124">
        <f t="shared" si="76"/>
        <v>0</v>
      </c>
      <c r="N27" s="125">
        <f t="shared" si="76"/>
        <v>0</v>
      </c>
      <c r="O27" s="44"/>
      <c r="P27" s="229"/>
      <c r="Q27" s="252" t="s">
        <v>21</v>
      </c>
      <c r="R27" s="253"/>
      <c r="S27" s="120">
        <f t="shared" ref="S27:AC27" si="77">SUM(S23:S26)</f>
        <v>6</v>
      </c>
      <c r="T27" s="120">
        <f t="shared" si="77"/>
        <v>1</v>
      </c>
      <c r="U27" s="121">
        <f t="shared" si="77"/>
        <v>0</v>
      </c>
      <c r="V27" s="122">
        <f t="shared" si="77"/>
        <v>306</v>
      </c>
      <c r="W27" s="121">
        <f t="shared" si="77"/>
        <v>143</v>
      </c>
      <c r="X27" s="120">
        <f t="shared" si="77"/>
        <v>0</v>
      </c>
      <c r="Y27" s="120">
        <f t="shared" si="77"/>
        <v>528</v>
      </c>
      <c r="Z27" s="123">
        <f t="shared" si="77"/>
        <v>0</v>
      </c>
      <c r="AA27" s="124">
        <f t="shared" si="77"/>
        <v>0</v>
      </c>
      <c r="AB27" s="124">
        <f t="shared" si="77"/>
        <v>0</v>
      </c>
      <c r="AC27" s="125">
        <f t="shared" si="77"/>
        <v>0</v>
      </c>
      <c r="AD27" s="44"/>
      <c r="AE27" s="229"/>
      <c r="AF27" s="252" t="s">
        <v>21</v>
      </c>
      <c r="AG27" s="253"/>
      <c r="AH27" s="120">
        <f t="shared" ref="AH27:AR27" si="78">SUM(AH23:AH26)</f>
        <v>24</v>
      </c>
      <c r="AI27" s="120">
        <f t="shared" si="78"/>
        <v>28</v>
      </c>
      <c r="AJ27" s="121">
        <f t="shared" si="78"/>
        <v>0</v>
      </c>
      <c r="AK27" s="122">
        <f t="shared" si="78"/>
        <v>361</v>
      </c>
      <c r="AL27" s="121">
        <f t="shared" si="78"/>
        <v>66</v>
      </c>
      <c r="AM27" s="120">
        <f t="shared" si="78"/>
        <v>552</v>
      </c>
      <c r="AN27" s="120">
        <f t="shared" si="78"/>
        <v>518</v>
      </c>
      <c r="AO27" s="123">
        <f t="shared" si="78"/>
        <v>0</v>
      </c>
      <c r="AP27" s="124">
        <f t="shared" si="78"/>
        <v>0</v>
      </c>
      <c r="AQ27" s="124">
        <f t="shared" si="78"/>
        <v>0</v>
      </c>
      <c r="AR27" s="125">
        <f t="shared" si="78"/>
        <v>0</v>
      </c>
      <c r="AS27" s="44"/>
      <c r="AT27" s="229"/>
      <c r="AU27" s="252" t="s">
        <v>21</v>
      </c>
      <c r="AV27" s="253"/>
      <c r="AW27" s="120">
        <f t="shared" ref="AW27:BG27" si="79">SUM(AW23:AW26)</f>
        <v>0</v>
      </c>
      <c r="AX27" s="120">
        <f t="shared" si="79"/>
        <v>0</v>
      </c>
      <c r="AY27" s="121">
        <f t="shared" si="79"/>
        <v>0</v>
      </c>
      <c r="AZ27" s="122">
        <f t="shared" si="79"/>
        <v>0</v>
      </c>
      <c r="BA27" s="121">
        <f t="shared" si="79"/>
        <v>0</v>
      </c>
      <c r="BB27" s="120">
        <f t="shared" si="79"/>
        <v>0</v>
      </c>
      <c r="BC27" s="120">
        <f t="shared" si="79"/>
        <v>0</v>
      </c>
      <c r="BD27" s="123">
        <f t="shared" si="79"/>
        <v>0</v>
      </c>
      <c r="BE27" s="124">
        <f t="shared" si="79"/>
        <v>0</v>
      </c>
      <c r="BF27" s="124">
        <f t="shared" si="79"/>
        <v>0</v>
      </c>
      <c r="BG27" s="125">
        <f t="shared" si="79"/>
        <v>0</v>
      </c>
      <c r="BH27" s="44"/>
      <c r="BI27" s="229"/>
      <c r="BJ27" s="252" t="s">
        <v>21</v>
      </c>
      <c r="BK27" s="253"/>
      <c r="BL27" s="120">
        <f t="shared" ref="BL27:BV27" si="80">SUM(BL23:BL26)</f>
        <v>0</v>
      </c>
      <c r="BM27" s="120">
        <f t="shared" si="80"/>
        <v>0</v>
      </c>
      <c r="BN27" s="121">
        <f t="shared" si="80"/>
        <v>0</v>
      </c>
      <c r="BO27" s="122">
        <f t="shared" si="80"/>
        <v>0</v>
      </c>
      <c r="BP27" s="121">
        <f t="shared" si="80"/>
        <v>0</v>
      </c>
      <c r="BQ27" s="120">
        <f t="shared" si="80"/>
        <v>0</v>
      </c>
      <c r="BR27" s="120">
        <f t="shared" si="80"/>
        <v>399</v>
      </c>
      <c r="BS27" s="123">
        <f t="shared" si="80"/>
        <v>0</v>
      </c>
      <c r="BT27" s="124">
        <f t="shared" si="80"/>
        <v>0</v>
      </c>
      <c r="BU27" s="124">
        <f t="shared" si="80"/>
        <v>0</v>
      </c>
      <c r="BV27" s="125">
        <f t="shared" si="80"/>
        <v>0</v>
      </c>
      <c r="BW27" s="44"/>
      <c r="BX27" s="229"/>
      <c r="BY27" s="252" t="s">
        <v>21</v>
      </c>
      <c r="BZ27" s="253"/>
      <c r="CA27" s="120">
        <f t="shared" ref="CA27:CK27" si="81">SUM(CA23:CA26)</f>
        <v>0</v>
      </c>
      <c r="CB27" s="120">
        <f t="shared" si="81"/>
        <v>0</v>
      </c>
      <c r="CC27" s="121">
        <f t="shared" si="81"/>
        <v>0</v>
      </c>
      <c r="CD27" s="122">
        <f t="shared" si="81"/>
        <v>0</v>
      </c>
      <c r="CE27" s="121">
        <f t="shared" si="81"/>
        <v>0</v>
      </c>
      <c r="CF27" s="120">
        <f t="shared" si="81"/>
        <v>0</v>
      </c>
      <c r="CG27" s="166">
        <v>0</v>
      </c>
      <c r="CH27" s="123">
        <f t="shared" si="81"/>
        <v>0</v>
      </c>
      <c r="CI27" s="124">
        <f t="shared" si="81"/>
        <v>0</v>
      </c>
      <c r="CJ27" s="124">
        <f t="shared" si="81"/>
        <v>0</v>
      </c>
      <c r="CK27" s="125">
        <f t="shared" si="81"/>
        <v>0</v>
      </c>
      <c r="CL27" s="44"/>
      <c r="CM27" s="229"/>
      <c r="CN27" s="252" t="s">
        <v>21</v>
      </c>
      <c r="CO27" s="253"/>
      <c r="CP27" s="166">
        <v>6</v>
      </c>
      <c r="CQ27" s="175">
        <v>1</v>
      </c>
      <c r="CR27" s="175">
        <v>0</v>
      </c>
      <c r="CS27" s="175">
        <v>306</v>
      </c>
      <c r="CT27" s="175">
        <v>143</v>
      </c>
      <c r="CU27" s="175">
        <v>0</v>
      </c>
      <c r="CV27" s="175">
        <v>412</v>
      </c>
      <c r="CW27" s="174">
        <v>0</v>
      </c>
      <c r="CX27" s="174">
        <v>0</v>
      </c>
      <c r="CY27" s="174">
        <v>0</v>
      </c>
      <c r="CZ27" s="175">
        <v>0</v>
      </c>
      <c r="DA27" s="44"/>
      <c r="DB27" s="229"/>
      <c r="DC27" s="252" t="s">
        <v>21</v>
      </c>
      <c r="DD27" s="253"/>
      <c r="DE27" s="188">
        <f t="shared" ref="DE27:DO27" si="82">SUM(DE23:DE26)</f>
        <v>30</v>
      </c>
      <c r="DF27" s="188">
        <f t="shared" si="82"/>
        <v>1</v>
      </c>
      <c r="DG27" s="189">
        <f t="shared" si="82"/>
        <v>294</v>
      </c>
      <c r="DH27" s="190">
        <f t="shared" si="82"/>
        <v>16</v>
      </c>
      <c r="DI27" s="189">
        <f t="shared" si="82"/>
        <v>0</v>
      </c>
      <c r="DJ27" s="188">
        <f t="shared" si="82"/>
        <v>0</v>
      </c>
      <c r="DK27" s="188">
        <f t="shared" si="82"/>
        <v>189</v>
      </c>
      <c r="DL27" s="191">
        <f t="shared" si="82"/>
        <v>215</v>
      </c>
      <c r="DM27" s="192">
        <f t="shared" si="82"/>
        <v>0</v>
      </c>
      <c r="DN27" s="192">
        <f t="shared" si="82"/>
        <v>0</v>
      </c>
      <c r="DO27" s="193">
        <f t="shared" si="82"/>
        <v>0</v>
      </c>
      <c r="DP27" s="44"/>
      <c r="DQ27" s="229"/>
      <c r="DR27" s="252" t="s">
        <v>21</v>
      </c>
      <c r="DS27" s="253"/>
      <c r="DT27" s="188">
        <f t="shared" ref="DT27:ED27" si="83">SUM(DT23:DT26)</f>
        <v>227</v>
      </c>
      <c r="DU27" s="188">
        <f t="shared" si="83"/>
        <v>91</v>
      </c>
      <c r="DV27" s="189">
        <f t="shared" si="83"/>
        <v>70</v>
      </c>
      <c r="DW27" s="190">
        <f t="shared" si="83"/>
        <v>2769</v>
      </c>
      <c r="DX27" s="189">
        <f t="shared" si="83"/>
        <v>116</v>
      </c>
      <c r="DY27" s="188">
        <f t="shared" si="83"/>
        <v>65</v>
      </c>
      <c r="DZ27" s="188">
        <f t="shared" si="83"/>
        <v>69</v>
      </c>
      <c r="EA27" s="191">
        <f t="shared" si="83"/>
        <v>0</v>
      </c>
      <c r="EB27" s="192">
        <f t="shared" si="83"/>
        <v>0</v>
      </c>
      <c r="EC27" s="192">
        <f t="shared" si="83"/>
        <v>0</v>
      </c>
      <c r="ED27" s="193">
        <f t="shared" si="83"/>
        <v>0</v>
      </c>
      <c r="EE27" s="44"/>
      <c r="EF27" s="229"/>
      <c r="EG27" s="252" t="s">
        <v>21</v>
      </c>
      <c r="EH27" s="253"/>
      <c r="EI27" s="120">
        <f t="shared" ref="EI27:ES27" si="84">SUM(EI23:EI26)</f>
        <v>227</v>
      </c>
      <c r="EJ27" s="120">
        <f t="shared" si="84"/>
        <v>91</v>
      </c>
      <c r="EK27" s="121">
        <f t="shared" si="84"/>
        <v>70</v>
      </c>
      <c r="EL27" s="122">
        <f t="shared" si="84"/>
        <v>2769</v>
      </c>
      <c r="EM27" s="121">
        <f t="shared" si="84"/>
        <v>116</v>
      </c>
      <c r="EN27" s="120">
        <f t="shared" si="84"/>
        <v>65</v>
      </c>
      <c r="EO27" s="120">
        <f t="shared" si="84"/>
        <v>33</v>
      </c>
      <c r="EP27" s="123">
        <f t="shared" si="84"/>
        <v>0</v>
      </c>
      <c r="EQ27" s="124">
        <f t="shared" si="84"/>
        <v>0</v>
      </c>
      <c r="ER27" s="124">
        <f t="shared" si="84"/>
        <v>0</v>
      </c>
      <c r="ES27" s="125">
        <f t="shared" si="84"/>
        <v>0</v>
      </c>
      <c r="ET27" s="44"/>
      <c r="EU27" s="229"/>
      <c r="EV27" s="252" t="s">
        <v>21</v>
      </c>
      <c r="EW27" s="253"/>
      <c r="EX27" s="120">
        <f t="shared" ref="EX27:FH27" si="85">SUM(EX23:EX26)</f>
        <v>0</v>
      </c>
      <c r="EY27" s="120">
        <f t="shared" si="85"/>
        <v>0</v>
      </c>
      <c r="EZ27" s="121">
        <f t="shared" si="85"/>
        <v>0</v>
      </c>
      <c r="FA27" s="122">
        <f t="shared" si="85"/>
        <v>0</v>
      </c>
      <c r="FB27" s="121">
        <f t="shared" si="85"/>
        <v>0</v>
      </c>
      <c r="FC27" s="120">
        <f t="shared" si="85"/>
        <v>0</v>
      </c>
      <c r="FD27" s="120">
        <f t="shared" si="85"/>
        <v>0</v>
      </c>
      <c r="FE27" s="123">
        <f t="shared" si="85"/>
        <v>0</v>
      </c>
      <c r="FF27" s="124">
        <f t="shared" si="85"/>
        <v>0</v>
      </c>
      <c r="FG27" s="124">
        <f t="shared" si="85"/>
        <v>0</v>
      </c>
      <c r="FH27" s="125">
        <f t="shared" si="85"/>
        <v>0</v>
      </c>
      <c r="FI27" s="44"/>
      <c r="FJ27" s="229"/>
      <c r="FK27" s="252" t="s">
        <v>21</v>
      </c>
      <c r="FL27" s="253"/>
      <c r="FM27" s="120">
        <f t="shared" ref="FM27:FW27" si="86">SUM(FM23:FM26)</f>
        <v>0</v>
      </c>
      <c r="FN27" s="120">
        <f t="shared" si="86"/>
        <v>0</v>
      </c>
      <c r="FO27" s="121">
        <f t="shared" si="86"/>
        <v>0</v>
      </c>
      <c r="FP27" s="122">
        <f t="shared" si="86"/>
        <v>0</v>
      </c>
      <c r="FQ27" s="121">
        <f t="shared" si="86"/>
        <v>0</v>
      </c>
      <c r="FR27" s="120">
        <f t="shared" si="86"/>
        <v>0</v>
      </c>
      <c r="FS27" s="120">
        <f t="shared" si="86"/>
        <v>0</v>
      </c>
      <c r="FT27" s="123">
        <f t="shared" si="86"/>
        <v>0</v>
      </c>
      <c r="FU27" s="124">
        <f t="shared" si="86"/>
        <v>0</v>
      </c>
      <c r="FV27" s="124">
        <f t="shared" si="86"/>
        <v>0</v>
      </c>
      <c r="FW27" s="125">
        <f t="shared" si="86"/>
        <v>0</v>
      </c>
      <c r="FX27" s="44"/>
      <c r="FY27" s="229"/>
      <c r="FZ27" s="128" t="s">
        <v>21</v>
      </c>
      <c r="GA27" s="129"/>
      <c r="GB27" s="76">
        <f t="shared" ref="GB27:GL27" si="87">SUM(GB23:GB26)</f>
        <v>0</v>
      </c>
      <c r="GC27" s="77">
        <f t="shared" si="87"/>
        <v>214</v>
      </c>
      <c r="GD27" s="77">
        <f t="shared" si="87"/>
        <v>434</v>
      </c>
      <c r="GE27" s="77">
        <f t="shared" si="87"/>
        <v>0</v>
      </c>
      <c r="GF27" s="77">
        <f t="shared" si="87"/>
        <v>0</v>
      </c>
      <c r="GG27" s="77">
        <f t="shared" si="87"/>
        <v>0</v>
      </c>
      <c r="GH27" s="77">
        <f t="shared" si="87"/>
        <v>2559</v>
      </c>
      <c r="GI27" s="77">
        <f t="shared" si="87"/>
        <v>215</v>
      </c>
      <c r="GJ27" s="77">
        <f t="shared" si="87"/>
        <v>0</v>
      </c>
      <c r="GK27" s="77">
        <f t="shared" si="87"/>
        <v>0</v>
      </c>
      <c r="GL27" s="77">
        <f t="shared" si="87"/>
        <v>0</v>
      </c>
      <c r="GM27" s="44"/>
    </row>
    <row r="28" spans="1:195" ht="17.100000000000001" customHeight="1" thickBot="1" x14ac:dyDescent="0.25">
      <c r="A28" s="230"/>
      <c r="B28" s="78" t="s">
        <v>22</v>
      </c>
      <c r="C28" s="44"/>
      <c r="D28" s="78"/>
      <c r="E28" s="44"/>
      <c r="F28" s="44"/>
      <c r="G28" s="44"/>
      <c r="H28" s="44"/>
      <c r="I28" s="44"/>
      <c r="J28" s="44"/>
      <c r="K28" s="79" t="s">
        <v>18</v>
      </c>
      <c r="L28" s="80">
        <v>0</v>
      </c>
      <c r="M28" s="79" t="s">
        <v>19</v>
      </c>
      <c r="N28" s="80">
        <v>0</v>
      </c>
      <c r="O28" s="44"/>
      <c r="P28" s="230"/>
      <c r="Q28" s="78" t="s">
        <v>22</v>
      </c>
      <c r="R28" s="44"/>
      <c r="S28" s="78"/>
      <c r="T28" s="44"/>
      <c r="U28" s="44"/>
      <c r="V28" s="44"/>
      <c r="W28" s="44"/>
      <c r="X28" s="44"/>
      <c r="Y28" s="44"/>
      <c r="Z28" s="79" t="s">
        <v>18</v>
      </c>
      <c r="AA28" s="80">
        <v>0</v>
      </c>
      <c r="AB28" s="79" t="s">
        <v>19</v>
      </c>
      <c r="AC28" s="80">
        <v>0</v>
      </c>
      <c r="AD28" s="44"/>
      <c r="AE28" s="230"/>
      <c r="AF28" s="78" t="s">
        <v>22</v>
      </c>
      <c r="AG28" s="44"/>
      <c r="AH28" s="78"/>
      <c r="AI28" s="44"/>
      <c r="AJ28" s="44"/>
      <c r="AK28" s="44"/>
      <c r="AL28" s="44"/>
      <c r="AM28" s="44"/>
      <c r="AN28" s="44"/>
      <c r="AO28" s="79" t="s">
        <v>18</v>
      </c>
      <c r="AP28" s="80">
        <v>0</v>
      </c>
      <c r="AQ28" s="79" t="s">
        <v>19</v>
      </c>
      <c r="AR28" s="80">
        <v>0</v>
      </c>
      <c r="AS28" s="44"/>
      <c r="AT28" s="230"/>
      <c r="AU28" s="78" t="s">
        <v>22</v>
      </c>
      <c r="AV28" s="44"/>
      <c r="AW28" s="78"/>
      <c r="AX28" s="44"/>
      <c r="AY28" s="44"/>
      <c r="AZ28" s="44"/>
      <c r="BA28" s="44"/>
      <c r="BB28" s="44"/>
      <c r="BC28" s="44"/>
      <c r="BD28" s="79" t="s">
        <v>18</v>
      </c>
      <c r="BE28" s="80">
        <v>0</v>
      </c>
      <c r="BF28" s="79" t="s">
        <v>19</v>
      </c>
      <c r="BG28" s="80">
        <v>0</v>
      </c>
      <c r="BH28" s="44"/>
      <c r="BI28" s="230"/>
      <c r="BJ28" s="78" t="s">
        <v>22</v>
      </c>
      <c r="BK28" s="44"/>
      <c r="BL28" s="78"/>
      <c r="BM28" s="44"/>
      <c r="BN28" s="44"/>
      <c r="BO28" s="44"/>
      <c r="BP28" s="44"/>
      <c r="BQ28" s="44"/>
      <c r="BR28" s="44"/>
      <c r="BS28" s="79" t="s">
        <v>18</v>
      </c>
      <c r="BT28" s="80">
        <v>0</v>
      </c>
      <c r="BU28" s="79" t="s">
        <v>19</v>
      </c>
      <c r="BV28" s="80">
        <v>0</v>
      </c>
      <c r="BW28" s="44"/>
      <c r="BX28" s="230"/>
      <c r="BY28" s="78" t="s">
        <v>22</v>
      </c>
      <c r="BZ28" s="44"/>
      <c r="CA28" s="78"/>
      <c r="CB28" s="44"/>
      <c r="CC28" s="44"/>
      <c r="CD28" s="44"/>
      <c r="CE28" s="44"/>
      <c r="CF28" s="44"/>
      <c r="CG28" s="167"/>
      <c r="CH28" s="79" t="s">
        <v>18</v>
      </c>
      <c r="CI28" s="80">
        <v>0</v>
      </c>
      <c r="CJ28" s="79" t="s">
        <v>19</v>
      </c>
      <c r="CK28" s="80">
        <v>0</v>
      </c>
      <c r="CL28" s="44"/>
      <c r="CM28" s="230"/>
      <c r="CN28" s="78" t="s">
        <v>22</v>
      </c>
      <c r="CO28" s="44"/>
      <c r="CP28" s="167"/>
      <c r="CQ28" s="167"/>
      <c r="CR28" s="167"/>
      <c r="CS28" s="167"/>
      <c r="CT28" s="167"/>
      <c r="CU28" s="167"/>
      <c r="CV28" s="167"/>
      <c r="CW28" s="176" t="s">
        <v>18</v>
      </c>
      <c r="CX28" s="177">
        <v>0</v>
      </c>
      <c r="CY28" s="176" t="s">
        <v>19</v>
      </c>
      <c r="CZ28" s="177">
        <v>0</v>
      </c>
      <c r="DA28" s="44"/>
      <c r="DB28" s="230"/>
      <c r="DC28" s="78" t="s">
        <v>22</v>
      </c>
      <c r="DD28" s="44"/>
      <c r="DE28" s="194"/>
      <c r="DF28" s="195"/>
      <c r="DG28" s="195"/>
      <c r="DH28" s="195"/>
      <c r="DI28" s="195"/>
      <c r="DJ28" s="195"/>
      <c r="DK28" s="195"/>
      <c r="DL28" s="196" t="s">
        <v>18</v>
      </c>
      <c r="DM28" s="197">
        <v>0</v>
      </c>
      <c r="DN28" s="196" t="s">
        <v>19</v>
      </c>
      <c r="DO28" s="197">
        <v>0</v>
      </c>
      <c r="DP28" s="44"/>
      <c r="DQ28" s="230"/>
      <c r="DR28" s="78" t="s">
        <v>22</v>
      </c>
      <c r="DS28" s="44"/>
      <c r="DT28" s="78"/>
      <c r="DU28" s="44"/>
      <c r="DV28" s="44"/>
      <c r="DW28" s="44"/>
      <c r="DX28" s="44"/>
      <c r="DY28" s="44"/>
      <c r="DZ28" s="44"/>
      <c r="EA28" s="79" t="s">
        <v>18</v>
      </c>
      <c r="EB28" s="80">
        <v>0</v>
      </c>
      <c r="EC28" s="79" t="s">
        <v>19</v>
      </c>
      <c r="ED28" s="80">
        <v>0</v>
      </c>
      <c r="EE28" s="44"/>
      <c r="EF28" s="230"/>
      <c r="EG28" s="78" t="s">
        <v>22</v>
      </c>
      <c r="EH28" s="44"/>
      <c r="EI28" s="78"/>
      <c r="EJ28" s="44"/>
      <c r="EK28" s="44"/>
      <c r="EL28" s="44"/>
      <c r="EM28" s="44"/>
      <c r="EN28" s="44"/>
      <c r="EO28" s="44"/>
      <c r="EP28" s="79" t="s">
        <v>18</v>
      </c>
      <c r="EQ28" s="80">
        <v>0</v>
      </c>
      <c r="ER28" s="79" t="s">
        <v>19</v>
      </c>
      <c r="ES28" s="80">
        <v>0</v>
      </c>
      <c r="ET28" s="44"/>
      <c r="EU28" s="230"/>
      <c r="EV28" s="78" t="s">
        <v>22</v>
      </c>
      <c r="EW28" s="44"/>
      <c r="EX28" s="78"/>
      <c r="EY28" s="44"/>
      <c r="EZ28" s="44"/>
      <c r="FA28" s="44"/>
      <c r="FB28" s="44"/>
      <c r="FC28" s="44"/>
      <c r="FD28" s="44"/>
      <c r="FE28" s="79" t="s">
        <v>18</v>
      </c>
      <c r="FF28" s="80">
        <v>0</v>
      </c>
      <c r="FG28" s="79" t="s">
        <v>19</v>
      </c>
      <c r="FH28" s="80">
        <v>0</v>
      </c>
      <c r="FI28" s="44"/>
      <c r="FJ28" s="230"/>
      <c r="FK28" s="78" t="s">
        <v>22</v>
      </c>
      <c r="FL28" s="44"/>
      <c r="FM28" s="78"/>
      <c r="FN28" s="44"/>
      <c r="FO28" s="44"/>
      <c r="FP28" s="44"/>
      <c r="FQ28" s="44"/>
      <c r="FR28" s="44"/>
      <c r="FS28" s="44"/>
      <c r="FT28" s="79" t="s">
        <v>18</v>
      </c>
      <c r="FU28" s="80">
        <v>0</v>
      </c>
      <c r="FV28" s="79" t="s">
        <v>19</v>
      </c>
      <c r="FW28" s="80">
        <v>0</v>
      </c>
      <c r="FX28" s="44"/>
      <c r="FY28" s="230"/>
      <c r="FZ28" s="78" t="s">
        <v>26</v>
      </c>
      <c r="GA28" s="44"/>
      <c r="GB28" s="81"/>
      <c r="GC28" s="82"/>
      <c r="GD28" s="82"/>
      <c r="GE28" s="82"/>
      <c r="GF28" s="82"/>
      <c r="GG28" s="82"/>
      <c r="GH28" s="82"/>
      <c r="GI28" s="83" t="s">
        <v>18</v>
      </c>
      <c r="GJ28" s="64">
        <f>(L28+AA28+AP28+BE28+BT28+CI28+CX28+DM28+EB28+EQ28+FF28+FU28)</f>
        <v>0</v>
      </c>
      <c r="GK28" s="83" t="s">
        <v>19</v>
      </c>
      <c r="GL28" s="64">
        <f>(N28+AC28+AR28+BG28+BV28+CK28+CZ28+DO28+ED28+ES28+FH28+FW28)</f>
        <v>0</v>
      </c>
      <c r="GM28" s="44"/>
    </row>
    <row r="29" spans="1:195" ht="17.100000000000001" customHeight="1" thickBot="1" x14ac:dyDescent="0.25">
      <c r="A29" s="228" t="s">
        <v>34</v>
      </c>
      <c r="B29" s="250" t="s">
        <v>17</v>
      </c>
      <c r="C29" s="61" t="s">
        <v>18</v>
      </c>
      <c r="D29" s="111">
        <v>0</v>
      </c>
      <c r="E29" s="111">
        <v>0</v>
      </c>
      <c r="F29" s="111">
        <v>0</v>
      </c>
      <c r="G29" s="111">
        <v>0</v>
      </c>
      <c r="H29" s="111">
        <v>0</v>
      </c>
      <c r="I29" s="111">
        <v>0</v>
      </c>
      <c r="J29" s="111">
        <v>0</v>
      </c>
      <c r="K29" s="111">
        <v>0</v>
      </c>
      <c r="L29" s="112">
        <v>0</v>
      </c>
      <c r="M29" s="112">
        <v>0</v>
      </c>
      <c r="N29" s="113">
        <v>0</v>
      </c>
      <c r="O29" s="44"/>
      <c r="P29" s="228" t="s">
        <v>34</v>
      </c>
      <c r="Q29" s="250" t="s">
        <v>17</v>
      </c>
      <c r="R29" s="61" t="s">
        <v>18</v>
      </c>
      <c r="S29" s="111">
        <v>0</v>
      </c>
      <c r="T29" s="111">
        <v>0</v>
      </c>
      <c r="U29" s="111">
        <v>0</v>
      </c>
      <c r="V29" s="111">
        <v>0</v>
      </c>
      <c r="W29" s="111">
        <v>0</v>
      </c>
      <c r="X29" s="111">
        <v>0</v>
      </c>
      <c r="Y29" s="111">
        <v>0</v>
      </c>
      <c r="Z29" s="111">
        <v>0</v>
      </c>
      <c r="AA29" s="112">
        <v>0</v>
      </c>
      <c r="AB29" s="112">
        <v>0</v>
      </c>
      <c r="AC29" s="113">
        <v>0</v>
      </c>
      <c r="AD29" s="44"/>
      <c r="AE29" s="228" t="s">
        <v>34</v>
      </c>
      <c r="AF29" s="250" t="s">
        <v>17</v>
      </c>
      <c r="AG29" s="61" t="s">
        <v>18</v>
      </c>
      <c r="AH29" s="111">
        <v>0</v>
      </c>
      <c r="AI29" s="111">
        <v>0</v>
      </c>
      <c r="AJ29" s="111">
        <v>0</v>
      </c>
      <c r="AK29" s="111">
        <v>0</v>
      </c>
      <c r="AL29" s="111">
        <v>0</v>
      </c>
      <c r="AM29" s="111">
        <v>0</v>
      </c>
      <c r="AN29" s="111">
        <v>0</v>
      </c>
      <c r="AO29" s="111">
        <v>0</v>
      </c>
      <c r="AP29" s="112">
        <v>0</v>
      </c>
      <c r="AQ29" s="112">
        <v>0</v>
      </c>
      <c r="AR29" s="113">
        <v>0</v>
      </c>
      <c r="AS29" s="44"/>
      <c r="AT29" s="228" t="s">
        <v>34</v>
      </c>
      <c r="AU29" s="250" t="s">
        <v>17</v>
      </c>
      <c r="AV29" s="61" t="s">
        <v>18</v>
      </c>
      <c r="AW29" s="111">
        <v>0</v>
      </c>
      <c r="AX29" s="111">
        <v>0</v>
      </c>
      <c r="AY29" s="111">
        <v>0</v>
      </c>
      <c r="AZ29" s="111">
        <v>0</v>
      </c>
      <c r="BA29" s="111">
        <v>0</v>
      </c>
      <c r="BB29" s="111">
        <v>0</v>
      </c>
      <c r="BC29" s="111">
        <v>0</v>
      </c>
      <c r="BD29" s="111">
        <v>0</v>
      </c>
      <c r="BE29" s="112">
        <v>0</v>
      </c>
      <c r="BF29" s="112">
        <v>0</v>
      </c>
      <c r="BG29" s="113">
        <v>0</v>
      </c>
      <c r="BH29" s="44"/>
      <c r="BI29" s="228" t="s">
        <v>34</v>
      </c>
      <c r="BJ29" s="250" t="s">
        <v>17</v>
      </c>
      <c r="BK29" s="61" t="s">
        <v>18</v>
      </c>
      <c r="BL29" s="111">
        <v>0</v>
      </c>
      <c r="BM29" s="111">
        <v>0</v>
      </c>
      <c r="BN29" s="111">
        <v>0</v>
      </c>
      <c r="BO29" s="111">
        <v>0</v>
      </c>
      <c r="BP29" s="111">
        <v>0</v>
      </c>
      <c r="BQ29" s="111">
        <v>0</v>
      </c>
      <c r="BR29" s="111">
        <v>0</v>
      </c>
      <c r="BS29" s="111">
        <v>0</v>
      </c>
      <c r="BT29" s="112">
        <v>0</v>
      </c>
      <c r="BU29" s="112">
        <v>0</v>
      </c>
      <c r="BV29" s="113">
        <v>0</v>
      </c>
      <c r="BW29" s="44"/>
      <c r="BX29" s="228" t="s">
        <v>34</v>
      </c>
      <c r="BY29" s="250" t="s">
        <v>17</v>
      </c>
      <c r="BZ29" s="61" t="s">
        <v>18</v>
      </c>
      <c r="CA29" s="111">
        <v>0</v>
      </c>
      <c r="CB29" s="111">
        <v>0</v>
      </c>
      <c r="CC29" s="111">
        <v>0</v>
      </c>
      <c r="CD29" s="111">
        <v>0</v>
      </c>
      <c r="CE29" s="111">
        <v>0</v>
      </c>
      <c r="CF29" s="111">
        <v>0</v>
      </c>
      <c r="CG29" s="157">
        <v>0</v>
      </c>
      <c r="CH29" s="111">
        <v>0</v>
      </c>
      <c r="CI29" s="112">
        <v>0</v>
      </c>
      <c r="CJ29" s="112">
        <v>0</v>
      </c>
      <c r="CK29" s="113">
        <v>0</v>
      </c>
      <c r="CL29" s="44"/>
      <c r="CM29" s="228" t="s">
        <v>34</v>
      </c>
      <c r="CN29" s="250" t="s">
        <v>17</v>
      </c>
      <c r="CO29" s="61" t="s">
        <v>18</v>
      </c>
      <c r="CP29" s="157">
        <v>0</v>
      </c>
      <c r="CQ29" s="158">
        <v>0</v>
      </c>
      <c r="CR29" s="158">
        <v>0</v>
      </c>
      <c r="CS29" s="158">
        <v>0</v>
      </c>
      <c r="CT29" s="158">
        <v>0</v>
      </c>
      <c r="CU29" s="158">
        <v>0</v>
      </c>
      <c r="CV29" s="158">
        <v>0</v>
      </c>
      <c r="CW29" s="159">
        <v>0</v>
      </c>
      <c r="CX29" s="159">
        <v>0</v>
      </c>
      <c r="CY29" s="159">
        <v>0</v>
      </c>
      <c r="CZ29" s="158">
        <v>0</v>
      </c>
      <c r="DA29" s="44"/>
      <c r="DB29" s="228" t="s">
        <v>34</v>
      </c>
      <c r="DC29" s="250" t="s">
        <v>17</v>
      </c>
      <c r="DD29" s="61" t="s">
        <v>18</v>
      </c>
      <c r="DE29" s="179">
        <v>0</v>
      </c>
      <c r="DF29" s="179">
        <v>0</v>
      </c>
      <c r="DG29" s="179">
        <v>0</v>
      </c>
      <c r="DH29" s="179">
        <v>0</v>
      </c>
      <c r="DI29" s="179">
        <v>0</v>
      </c>
      <c r="DJ29" s="179">
        <v>0</v>
      </c>
      <c r="DK29" s="179">
        <v>0</v>
      </c>
      <c r="DL29" s="179">
        <v>0</v>
      </c>
      <c r="DM29" s="180">
        <v>0</v>
      </c>
      <c r="DN29" s="180">
        <v>0</v>
      </c>
      <c r="DO29" s="181">
        <v>0</v>
      </c>
      <c r="DP29" s="44"/>
      <c r="DQ29" s="228" t="s">
        <v>34</v>
      </c>
      <c r="DR29" s="250" t="s">
        <v>17</v>
      </c>
      <c r="DS29" s="61" t="s">
        <v>18</v>
      </c>
      <c r="DT29" s="111">
        <v>0</v>
      </c>
      <c r="DU29" s="111">
        <v>0</v>
      </c>
      <c r="DV29" s="111">
        <v>0</v>
      </c>
      <c r="DW29" s="111">
        <v>0</v>
      </c>
      <c r="DX29" s="111">
        <v>0</v>
      </c>
      <c r="DY29" s="111">
        <v>0</v>
      </c>
      <c r="DZ29" s="111">
        <v>0</v>
      </c>
      <c r="EA29" s="111">
        <v>0</v>
      </c>
      <c r="EB29" s="112">
        <v>0</v>
      </c>
      <c r="EC29" s="112">
        <v>0</v>
      </c>
      <c r="ED29" s="113">
        <v>0</v>
      </c>
      <c r="EE29" s="44"/>
      <c r="EF29" s="228" t="s">
        <v>34</v>
      </c>
      <c r="EG29" s="250" t="s">
        <v>17</v>
      </c>
      <c r="EH29" s="61" t="s">
        <v>18</v>
      </c>
      <c r="EI29" s="111">
        <v>0</v>
      </c>
      <c r="EJ29" s="111">
        <v>0</v>
      </c>
      <c r="EK29" s="111">
        <v>0</v>
      </c>
      <c r="EL29" s="111">
        <v>0</v>
      </c>
      <c r="EM29" s="111">
        <v>0</v>
      </c>
      <c r="EN29" s="111">
        <v>0</v>
      </c>
      <c r="EO29" s="111">
        <v>119</v>
      </c>
      <c r="EP29" s="111">
        <v>0</v>
      </c>
      <c r="EQ29" s="112">
        <v>0</v>
      </c>
      <c r="ER29" s="112">
        <v>0</v>
      </c>
      <c r="ES29" s="113">
        <v>0</v>
      </c>
      <c r="ET29" s="44"/>
      <c r="EU29" s="228" t="s">
        <v>34</v>
      </c>
      <c r="EV29" s="250" t="s">
        <v>17</v>
      </c>
      <c r="EW29" s="61" t="s">
        <v>18</v>
      </c>
      <c r="EX29" s="111">
        <v>0</v>
      </c>
      <c r="EY29" s="111">
        <v>0</v>
      </c>
      <c r="EZ29" s="111">
        <v>0</v>
      </c>
      <c r="FA29" s="111">
        <v>0</v>
      </c>
      <c r="FB29" s="111">
        <v>0</v>
      </c>
      <c r="FC29" s="111">
        <v>0</v>
      </c>
      <c r="FD29" s="111">
        <v>0</v>
      </c>
      <c r="FE29" s="111">
        <v>0</v>
      </c>
      <c r="FF29" s="112">
        <v>0</v>
      </c>
      <c r="FG29" s="112">
        <v>0</v>
      </c>
      <c r="FH29" s="113">
        <v>0</v>
      </c>
      <c r="FI29" s="44"/>
      <c r="FJ29" s="228" t="s">
        <v>34</v>
      </c>
      <c r="FK29" s="250" t="s">
        <v>17</v>
      </c>
      <c r="FL29" s="61" t="s">
        <v>18</v>
      </c>
      <c r="FM29" s="111">
        <v>0</v>
      </c>
      <c r="FN29" s="111">
        <v>0</v>
      </c>
      <c r="FO29" s="111">
        <v>0</v>
      </c>
      <c r="FP29" s="111">
        <v>0</v>
      </c>
      <c r="FQ29" s="111">
        <v>0</v>
      </c>
      <c r="FR29" s="111">
        <v>0</v>
      </c>
      <c r="FS29" s="111">
        <v>0</v>
      </c>
      <c r="FT29" s="111">
        <v>0</v>
      </c>
      <c r="FU29" s="112">
        <v>0</v>
      </c>
      <c r="FV29" s="112">
        <v>0</v>
      </c>
      <c r="FW29" s="113">
        <v>0</v>
      </c>
      <c r="FX29" s="44"/>
      <c r="FY29" s="228" t="str">
        <f>(FJ29)</f>
        <v>الروابي</v>
      </c>
      <c r="FZ29" s="126" t="s">
        <v>17</v>
      </c>
      <c r="GA29" s="62" t="s">
        <v>18</v>
      </c>
      <c r="GB29" s="63">
        <f>SUM(FM29)</f>
        <v>0</v>
      </c>
      <c r="GC29" s="64">
        <f t="shared" ref="GC29:GC32" si="88">(E29+T29+AI29+AX29+BM29+CB29+CQ29+DF29+DU29+EJ29+EY29+FN29)</f>
        <v>0</v>
      </c>
      <c r="GD29" s="64">
        <f t="shared" ref="GD29:GD32" si="89">(F29+U29+AJ29+AY29+BN29+CC29+CR29+DG29+DV29+EK29+EZ29+FO29)</f>
        <v>0</v>
      </c>
      <c r="GE29" s="64">
        <f t="shared" ref="GE29:GE32" si="90">SUM(FP29)</f>
        <v>0</v>
      </c>
      <c r="GF29" s="64">
        <f t="shared" ref="GF29:GF32" si="91">SUM(FQ29)</f>
        <v>0</v>
      </c>
      <c r="GG29" s="64">
        <f t="shared" ref="GG29:GG32" si="92">SUM(FR29)</f>
        <v>0</v>
      </c>
      <c r="GH29" s="64">
        <f t="shared" ref="GH29:GH32" si="93">(J29+Y29+AN29+BC29+BR29+CG29+CV29+DK29+DZ29+EO29+FD29+FS29)</f>
        <v>119</v>
      </c>
      <c r="GI29" s="64">
        <f t="shared" ref="GI29:GI32" si="94">(K29+Z29+AO29+BD29+BS29+CH29+CW29+DL29+EA29+EP29+FE29+FT29)</f>
        <v>0</v>
      </c>
      <c r="GJ29" s="64">
        <f t="shared" ref="GJ29:GJ32" si="95">(L29+AA29+AP29+BE29+BT29+CI29+CX29+DM29+EB29+EQ29+FF29+FU29)</f>
        <v>0</v>
      </c>
      <c r="GK29" s="64">
        <f t="shared" ref="GK29:GK32" si="96">(M29+AB29+AQ29+BF29+BU29+CJ29+CY29+DN29+EC29+ER29+FG29+FV29)</f>
        <v>0</v>
      </c>
      <c r="GL29" s="64">
        <f t="shared" ref="GL29:GL32" si="97">(N29+AC29+AR29+BG29+BV29+CK29+CZ29+DO29+ED29+ES29+FH29+FW29)</f>
        <v>0</v>
      </c>
      <c r="GM29" s="44"/>
    </row>
    <row r="30" spans="1:195" ht="17.100000000000001" customHeight="1" thickBot="1" x14ac:dyDescent="0.25">
      <c r="A30" s="229"/>
      <c r="B30" s="251"/>
      <c r="C30" s="65" t="s">
        <v>19</v>
      </c>
      <c r="D30" s="114">
        <v>0</v>
      </c>
      <c r="E30" s="114">
        <v>0</v>
      </c>
      <c r="F30" s="114">
        <v>0</v>
      </c>
      <c r="G30" s="114">
        <v>0</v>
      </c>
      <c r="H30" s="114">
        <v>0</v>
      </c>
      <c r="I30" s="114">
        <v>0</v>
      </c>
      <c r="J30" s="114">
        <v>0</v>
      </c>
      <c r="K30" s="114">
        <v>0</v>
      </c>
      <c r="L30" s="115">
        <v>0</v>
      </c>
      <c r="M30" s="115">
        <v>0</v>
      </c>
      <c r="N30" s="116">
        <v>0</v>
      </c>
      <c r="O30" s="44"/>
      <c r="P30" s="229"/>
      <c r="Q30" s="251"/>
      <c r="R30" s="65" t="s">
        <v>19</v>
      </c>
      <c r="S30" s="114">
        <v>0</v>
      </c>
      <c r="T30" s="114">
        <v>0</v>
      </c>
      <c r="U30" s="114">
        <v>0</v>
      </c>
      <c r="V30" s="114">
        <v>0</v>
      </c>
      <c r="W30" s="114">
        <v>0</v>
      </c>
      <c r="X30" s="114">
        <v>0</v>
      </c>
      <c r="Y30" s="114">
        <v>0</v>
      </c>
      <c r="Z30" s="114">
        <v>0</v>
      </c>
      <c r="AA30" s="115">
        <v>0</v>
      </c>
      <c r="AB30" s="115">
        <v>0</v>
      </c>
      <c r="AC30" s="116">
        <v>0</v>
      </c>
      <c r="AD30" s="44"/>
      <c r="AE30" s="229"/>
      <c r="AF30" s="251"/>
      <c r="AG30" s="65" t="s">
        <v>19</v>
      </c>
      <c r="AH30" s="114">
        <v>0</v>
      </c>
      <c r="AI30" s="114">
        <v>0</v>
      </c>
      <c r="AJ30" s="114">
        <v>0</v>
      </c>
      <c r="AK30" s="114">
        <v>0</v>
      </c>
      <c r="AL30" s="114">
        <v>0</v>
      </c>
      <c r="AM30" s="114">
        <v>0</v>
      </c>
      <c r="AN30" s="114">
        <v>0</v>
      </c>
      <c r="AO30" s="114">
        <v>0</v>
      </c>
      <c r="AP30" s="115">
        <v>0</v>
      </c>
      <c r="AQ30" s="115">
        <v>0</v>
      </c>
      <c r="AR30" s="116">
        <v>0</v>
      </c>
      <c r="AS30" s="44"/>
      <c r="AT30" s="229"/>
      <c r="AU30" s="251"/>
      <c r="AV30" s="65" t="s">
        <v>19</v>
      </c>
      <c r="AW30" s="114">
        <v>0</v>
      </c>
      <c r="AX30" s="114">
        <v>0</v>
      </c>
      <c r="AY30" s="114">
        <v>0</v>
      </c>
      <c r="AZ30" s="114">
        <v>0</v>
      </c>
      <c r="BA30" s="114">
        <v>0</v>
      </c>
      <c r="BB30" s="114">
        <v>0</v>
      </c>
      <c r="BC30" s="114">
        <v>0</v>
      </c>
      <c r="BD30" s="114">
        <v>0</v>
      </c>
      <c r="BE30" s="115">
        <v>0</v>
      </c>
      <c r="BF30" s="115">
        <v>0</v>
      </c>
      <c r="BG30" s="116">
        <v>0</v>
      </c>
      <c r="BH30" s="44"/>
      <c r="BI30" s="229"/>
      <c r="BJ30" s="251"/>
      <c r="BK30" s="65" t="s">
        <v>19</v>
      </c>
      <c r="BL30" s="114">
        <v>0</v>
      </c>
      <c r="BM30" s="114">
        <v>0</v>
      </c>
      <c r="BN30" s="114">
        <v>0</v>
      </c>
      <c r="BO30" s="114">
        <v>0</v>
      </c>
      <c r="BP30" s="114">
        <v>0</v>
      </c>
      <c r="BQ30" s="114">
        <v>0</v>
      </c>
      <c r="BR30" s="114">
        <v>0</v>
      </c>
      <c r="BS30" s="114">
        <v>0</v>
      </c>
      <c r="BT30" s="115">
        <v>0</v>
      </c>
      <c r="BU30" s="115">
        <v>0</v>
      </c>
      <c r="BV30" s="116">
        <v>0</v>
      </c>
      <c r="BW30" s="44"/>
      <c r="BX30" s="229"/>
      <c r="BY30" s="251"/>
      <c r="BZ30" s="65" t="s">
        <v>19</v>
      </c>
      <c r="CA30" s="114">
        <v>0</v>
      </c>
      <c r="CB30" s="114">
        <v>0</v>
      </c>
      <c r="CC30" s="114">
        <v>0</v>
      </c>
      <c r="CD30" s="114">
        <v>0</v>
      </c>
      <c r="CE30" s="114">
        <v>0</v>
      </c>
      <c r="CF30" s="114">
        <v>0</v>
      </c>
      <c r="CG30" s="154">
        <v>0</v>
      </c>
      <c r="CH30" s="114">
        <v>0</v>
      </c>
      <c r="CI30" s="115">
        <v>0</v>
      </c>
      <c r="CJ30" s="115">
        <v>0</v>
      </c>
      <c r="CK30" s="116">
        <v>0</v>
      </c>
      <c r="CL30" s="44"/>
      <c r="CM30" s="229"/>
      <c r="CN30" s="251"/>
      <c r="CO30" s="65" t="s">
        <v>19</v>
      </c>
      <c r="CP30" s="154">
        <v>0</v>
      </c>
      <c r="CQ30" s="155">
        <v>0</v>
      </c>
      <c r="CR30" s="155">
        <v>0</v>
      </c>
      <c r="CS30" s="155">
        <v>0</v>
      </c>
      <c r="CT30" s="155">
        <v>0</v>
      </c>
      <c r="CU30" s="155">
        <v>0</v>
      </c>
      <c r="CV30" s="155">
        <v>0</v>
      </c>
      <c r="CW30" s="156">
        <v>0</v>
      </c>
      <c r="CX30" s="156">
        <v>0</v>
      </c>
      <c r="CY30" s="156">
        <v>0</v>
      </c>
      <c r="CZ30" s="155">
        <v>0</v>
      </c>
      <c r="DA30" s="44"/>
      <c r="DB30" s="229"/>
      <c r="DC30" s="251"/>
      <c r="DD30" s="65" t="s">
        <v>19</v>
      </c>
      <c r="DE30" s="182">
        <v>0</v>
      </c>
      <c r="DF30" s="182">
        <v>0</v>
      </c>
      <c r="DG30" s="182">
        <v>0</v>
      </c>
      <c r="DH30" s="182">
        <v>0</v>
      </c>
      <c r="DI30" s="182">
        <v>0</v>
      </c>
      <c r="DJ30" s="182">
        <v>0</v>
      </c>
      <c r="DK30" s="182">
        <v>0</v>
      </c>
      <c r="DL30" s="182">
        <v>0</v>
      </c>
      <c r="DM30" s="183">
        <v>0</v>
      </c>
      <c r="DN30" s="183">
        <v>0</v>
      </c>
      <c r="DO30" s="184">
        <v>0</v>
      </c>
      <c r="DP30" s="44"/>
      <c r="DQ30" s="229"/>
      <c r="DR30" s="251"/>
      <c r="DS30" s="65" t="s">
        <v>19</v>
      </c>
      <c r="DT30" s="114">
        <v>0</v>
      </c>
      <c r="DU30" s="114">
        <v>0</v>
      </c>
      <c r="DV30" s="114">
        <v>0</v>
      </c>
      <c r="DW30" s="114">
        <v>0</v>
      </c>
      <c r="DX30" s="114">
        <v>0</v>
      </c>
      <c r="DY30" s="114">
        <v>0</v>
      </c>
      <c r="DZ30" s="114">
        <v>0</v>
      </c>
      <c r="EA30" s="114">
        <v>0</v>
      </c>
      <c r="EB30" s="115">
        <v>0</v>
      </c>
      <c r="EC30" s="115">
        <v>0</v>
      </c>
      <c r="ED30" s="116">
        <v>0</v>
      </c>
      <c r="EE30" s="44"/>
      <c r="EF30" s="229"/>
      <c r="EG30" s="251"/>
      <c r="EH30" s="65" t="s">
        <v>19</v>
      </c>
      <c r="EI30" s="114">
        <v>0</v>
      </c>
      <c r="EJ30" s="114">
        <v>0</v>
      </c>
      <c r="EK30" s="114">
        <v>0</v>
      </c>
      <c r="EL30" s="114">
        <v>0</v>
      </c>
      <c r="EM30" s="114">
        <v>0</v>
      </c>
      <c r="EN30" s="114">
        <v>0</v>
      </c>
      <c r="EO30" s="114">
        <v>9</v>
      </c>
      <c r="EP30" s="114">
        <v>0</v>
      </c>
      <c r="EQ30" s="115">
        <v>0</v>
      </c>
      <c r="ER30" s="115">
        <v>0</v>
      </c>
      <c r="ES30" s="116">
        <v>0</v>
      </c>
      <c r="ET30" s="44"/>
      <c r="EU30" s="229"/>
      <c r="EV30" s="251"/>
      <c r="EW30" s="65" t="s">
        <v>19</v>
      </c>
      <c r="EX30" s="114">
        <v>0</v>
      </c>
      <c r="EY30" s="114">
        <v>0</v>
      </c>
      <c r="EZ30" s="114">
        <v>0</v>
      </c>
      <c r="FA30" s="114">
        <v>0</v>
      </c>
      <c r="FB30" s="114">
        <v>0</v>
      </c>
      <c r="FC30" s="114">
        <v>0</v>
      </c>
      <c r="FD30" s="114">
        <v>0</v>
      </c>
      <c r="FE30" s="114">
        <v>0</v>
      </c>
      <c r="FF30" s="115">
        <v>0</v>
      </c>
      <c r="FG30" s="115">
        <v>0</v>
      </c>
      <c r="FH30" s="116">
        <v>0</v>
      </c>
      <c r="FI30" s="44"/>
      <c r="FJ30" s="229"/>
      <c r="FK30" s="251"/>
      <c r="FL30" s="65" t="s">
        <v>19</v>
      </c>
      <c r="FM30" s="114">
        <v>0</v>
      </c>
      <c r="FN30" s="114">
        <v>0</v>
      </c>
      <c r="FO30" s="114">
        <v>0</v>
      </c>
      <c r="FP30" s="114">
        <v>0</v>
      </c>
      <c r="FQ30" s="114">
        <v>0</v>
      </c>
      <c r="FR30" s="114">
        <v>0</v>
      </c>
      <c r="FS30" s="114">
        <v>0</v>
      </c>
      <c r="FT30" s="114">
        <v>0</v>
      </c>
      <c r="FU30" s="115">
        <v>0</v>
      </c>
      <c r="FV30" s="115">
        <v>0</v>
      </c>
      <c r="FW30" s="116">
        <v>0</v>
      </c>
      <c r="FX30" s="44"/>
      <c r="FY30" s="229"/>
      <c r="FZ30" s="127"/>
      <c r="GA30" s="66" t="s">
        <v>19</v>
      </c>
      <c r="GB30" s="67">
        <f>SUM(FM30)</f>
        <v>0</v>
      </c>
      <c r="GC30" s="68">
        <f t="shared" si="88"/>
        <v>0</v>
      </c>
      <c r="GD30" s="68">
        <f t="shared" si="89"/>
        <v>0</v>
      </c>
      <c r="GE30" s="68">
        <f t="shared" si="90"/>
        <v>0</v>
      </c>
      <c r="GF30" s="68">
        <f t="shared" si="91"/>
        <v>0</v>
      </c>
      <c r="GG30" s="68">
        <f t="shared" si="92"/>
        <v>0</v>
      </c>
      <c r="GH30" s="68">
        <f t="shared" si="93"/>
        <v>9</v>
      </c>
      <c r="GI30" s="68">
        <f t="shared" si="94"/>
        <v>0</v>
      </c>
      <c r="GJ30" s="68">
        <f t="shared" si="95"/>
        <v>0</v>
      </c>
      <c r="GK30" s="68">
        <f t="shared" si="96"/>
        <v>0</v>
      </c>
      <c r="GL30" s="68">
        <f t="shared" si="97"/>
        <v>0</v>
      </c>
      <c r="GM30" s="44"/>
    </row>
    <row r="31" spans="1:195" ht="17.100000000000001" customHeight="1" thickBot="1" x14ac:dyDescent="0.25">
      <c r="A31" s="229"/>
      <c r="B31" s="69" t="s">
        <v>20</v>
      </c>
      <c r="C31" s="70" t="s">
        <v>18</v>
      </c>
      <c r="D31" s="111">
        <v>0</v>
      </c>
      <c r="E31" s="111">
        <v>0</v>
      </c>
      <c r="F31" s="111">
        <v>0</v>
      </c>
      <c r="G31" s="111">
        <v>0</v>
      </c>
      <c r="H31" s="111">
        <v>0</v>
      </c>
      <c r="I31" s="111">
        <v>0</v>
      </c>
      <c r="J31" s="111">
        <v>0</v>
      </c>
      <c r="K31" s="117">
        <v>0</v>
      </c>
      <c r="L31" s="118">
        <v>0</v>
      </c>
      <c r="M31" s="118">
        <v>0</v>
      </c>
      <c r="N31" s="119">
        <v>0</v>
      </c>
      <c r="O31" s="44"/>
      <c r="P31" s="229"/>
      <c r="Q31" s="69" t="s">
        <v>20</v>
      </c>
      <c r="R31" s="70" t="s">
        <v>18</v>
      </c>
      <c r="S31" s="111">
        <v>0</v>
      </c>
      <c r="T31" s="111">
        <v>0</v>
      </c>
      <c r="U31" s="111">
        <v>0</v>
      </c>
      <c r="V31" s="111">
        <v>0</v>
      </c>
      <c r="W31" s="111">
        <v>0</v>
      </c>
      <c r="X31" s="111">
        <v>0</v>
      </c>
      <c r="Y31" s="111">
        <v>0</v>
      </c>
      <c r="Z31" s="117">
        <v>0</v>
      </c>
      <c r="AA31" s="118">
        <v>0</v>
      </c>
      <c r="AB31" s="118">
        <v>0</v>
      </c>
      <c r="AC31" s="119">
        <v>0</v>
      </c>
      <c r="AD31" s="44"/>
      <c r="AE31" s="229"/>
      <c r="AF31" s="69" t="s">
        <v>20</v>
      </c>
      <c r="AG31" s="70" t="s">
        <v>18</v>
      </c>
      <c r="AH31" s="111">
        <v>0</v>
      </c>
      <c r="AI31" s="111">
        <v>0</v>
      </c>
      <c r="AJ31" s="111">
        <v>0</v>
      </c>
      <c r="AK31" s="111">
        <v>0</v>
      </c>
      <c r="AL31" s="111">
        <v>0</v>
      </c>
      <c r="AM31" s="111">
        <v>0</v>
      </c>
      <c r="AN31" s="111">
        <v>0</v>
      </c>
      <c r="AO31" s="117">
        <v>0</v>
      </c>
      <c r="AP31" s="118">
        <v>0</v>
      </c>
      <c r="AQ31" s="118">
        <v>0</v>
      </c>
      <c r="AR31" s="119">
        <v>0</v>
      </c>
      <c r="AS31" s="44"/>
      <c r="AT31" s="229"/>
      <c r="AU31" s="69" t="s">
        <v>20</v>
      </c>
      <c r="AV31" s="70" t="s">
        <v>18</v>
      </c>
      <c r="AW31" s="111">
        <v>0</v>
      </c>
      <c r="AX31" s="111">
        <v>0</v>
      </c>
      <c r="AY31" s="111">
        <v>0</v>
      </c>
      <c r="AZ31" s="111">
        <v>0</v>
      </c>
      <c r="BA31" s="111">
        <v>0</v>
      </c>
      <c r="BB31" s="111">
        <v>0</v>
      </c>
      <c r="BC31" s="111">
        <v>0</v>
      </c>
      <c r="BD31" s="117">
        <v>0</v>
      </c>
      <c r="BE31" s="118">
        <v>0</v>
      </c>
      <c r="BF31" s="118">
        <v>0</v>
      </c>
      <c r="BG31" s="119">
        <v>0</v>
      </c>
      <c r="BH31" s="44"/>
      <c r="BI31" s="229"/>
      <c r="BJ31" s="69" t="s">
        <v>20</v>
      </c>
      <c r="BK31" s="70" t="s">
        <v>18</v>
      </c>
      <c r="BL31" s="111">
        <v>0</v>
      </c>
      <c r="BM31" s="111">
        <v>0</v>
      </c>
      <c r="BN31" s="111">
        <v>0</v>
      </c>
      <c r="BO31" s="111">
        <v>0</v>
      </c>
      <c r="BP31" s="111">
        <v>0</v>
      </c>
      <c r="BQ31" s="111">
        <v>0</v>
      </c>
      <c r="BR31" s="111">
        <v>0</v>
      </c>
      <c r="BS31" s="117">
        <v>0</v>
      </c>
      <c r="BT31" s="118">
        <v>0</v>
      </c>
      <c r="BU31" s="118">
        <v>0</v>
      </c>
      <c r="BV31" s="119">
        <v>0</v>
      </c>
      <c r="BW31" s="44"/>
      <c r="BX31" s="229"/>
      <c r="BY31" s="69" t="s">
        <v>20</v>
      </c>
      <c r="BZ31" s="70" t="s">
        <v>18</v>
      </c>
      <c r="CA31" s="111">
        <v>0</v>
      </c>
      <c r="CB31" s="111">
        <v>0</v>
      </c>
      <c r="CC31" s="111">
        <v>0</v>
      </c>
      <c r="CD31" s="111">
        <v>0</v>
      </c>
      <c r="CE31" s="111">
        <v>0</v>
      </c>
      <c r="CF31" s="111">
        <v>0</v>
      </c>
      <c r="CG31" s="157">
        <v>0</v>
      </c>
      <c r="CH31" s="117">
        <v>0</v>
      </c>
      <c r="CI31" s="118">
        <v>0</v>
      </c>
      <c r="CJ31" s="118">
        <v>0</v>
      </c>
      <c r="CK31" s="119">
        <v>0</v>
      </c>
      <c r="CL31" s="44"/>
      <c r="CM31" s="229"/>
      <c r="CN31" s="69" t="s">
        <v>20</v>
      </c>
      <c r="CO31" s="70" t="s">
        <v>18</v>
      </c>
      <c r="CP31" s="157">
        <v>0</v>
      </c>
      <c r="CQ31" s="158">
        <v>0</v>
      </c>
      <c r="CR31" s="158">
        <v>0</v>
      </c>
      <c r="CS31" s="158">
        <v>0</v>
      </c>
      <c r="CT31" s="158">
        <v>0</v>
      </c>
      <c r="CU31" s="158">
        <v>0</v>
      </c>
      <c r="CV31" s="158">
        <v>0</v>
      </c>
      <c r="CW31" s="159">
        <v>0</v>
      </c>
      <c r="CX31" s="159">
        <v>0</v>
      </c>
      <c r="CY31" s="159">
        <v>0</v>
      </c>
      <c r="CZ31" s="158">
        <v>0</v>
      </c>
      <c r="DA31" s="44"/>
      <c r="DB31" s="229"/>
      <c r="DC31" s="69" t="s">
        <v>20</v>
      </c>
      <c r="DD31" s="70" t="s">
        <v>18</v>
      </c>
      <c r="DE31" s="179">
        <v>0</v>
      </c>
      <c r="DF31" s="179">
        <v>0</v>
      </c>
      <c r="DG31" s="179">
        <v>0</v>
      </c>
      <c r="DH31" s="179">
        <v>0</v>
      </c>
      <c r="DI31" s="179">
        <v>0</v>
      </c>
      <c r="DJ31" s="179">
        <v>0</v>
      </c>
      <c r="DK31" s="179">
        <v>0</v>
      </c>
      <c r="DL31" s="185">
        <v>0</v>
      </c>
      <c r="DM31" s="186">
        <v>0</v>
      </c>
      <c r="DN31" s="186">
        <v>0</v>
      </c>
      <c r="DO31" s="187">
        <v>0</v>
      </c>
      <c r="DP31" s="44"/>
      <c r="DQ31" s="229"/>
      <c r="DR31" s="69" t="s">
        <v>20</v>
      </c>
      <c r="DS31" s="70" t="s">
        <v>18</v>
      </c>
      <c r="DT31" s="111">
        <v>0</v>
      </c>
      <c r="DU31" s="111">
        <v>0</v>
      </c>
      <c r="DV31" s="111">
        <v>0</v>
      </c>
      <c r="DW31" s="111">
        <v>0</v>
      </c>
      <c r="DX31" s="111">
        <v>0</v>
      </c>
      <c r="DY31" s="111">
        <v>0</v>
      </c>
      <c r="DZ31" s="111">
        <v>0</v>
      </c>
      <c r="EA31" s="117">
        <v>0</v>
      </c>
      <c r="EB31" s="118">
        <v>0</v>
      </c>
      <c r="EC31" s="118">
        <v>0</v>
      </c>
      <c r="ED31" s="119">
        <v>0</v>
      </c>
      <c r="EE31" s="44"/>
      <c r="EF31" s="229"/>
      <c r="EG31" s="69" t="s">
        <v>20</v>
      </c>
      <c r="EH31" s="70" t="s">
        <v>18</v>
      </c>
      <c r="EI31" s="111">
        <v>0</v>
      </c>
      <c r="EJ31" s="111">
        <v>0</v>
      </c>
      <c r="EK31" s="111">
        <v>0</v>
      </c>
      <c r="EL31" s="111">
        <v>0</v>
      </c>
      <c r="EM31" s="111">
        <v>0</v>
      </c>
      <c r="EN31" s="111">
        <v>0</v>
      </c>
      <c r="EO31" s="111">
        <v>5</v>
      </c>
      <c r="EP31" s="117">
        <v>0</v>
      </c>
      <c r="EQ31" s="118">
        <v>0</v>
      </c>
      <c r="ER31" s="118">
        <v>0</v>
      </c>
      <c r="ES31" s="119">
        <v>0</v>
      </c>
      <c r="ET31" s="44"/>
      <c r="EU31" s="229"/>
      <c r="EV31" s="69" t="s">
        <v>20</v>
      </c>
      <c r="EW31" s="70" t="s">
        <v>18</v>
      </c>
      <c r="EX31" s="111">
        <v>0</v>
      </c>
      <c r="EY31" s="111">
        <v>0</v>
      </c>
      <c r="EZ31" s="111">
        <v>0</v>
      </c>
      <c r="FA31" s="111">
        <v>0</v>
      </c>
      <c r="FB31" s="111">
        <v>0</v>
      </c>
      <c r="FC31" s="111">
        <v>0</v>
      </c>
      <c r="FD31" s="111">
        <v>0</v>
      </c>
      <c r="FE31" s="117">
        <v>0</v>
      </c>
      <c r="FF31" s="118">
        <v>0</v>
      </c>
      <c r="FG31" s="118">
        <v>0</v>
      </c>
      <c r="FH31" s="119">
        <v>0</v>
      </c>
      <c r="FI31" s="44"/>
      <c r="FJ31" s="229"/>
      <c r="FK31" s="69" t="s">
        <v>20</v>
      </c>
      <c r="FL31" s="70" t="s">
        <v>18</v>
      </c>
      <c r="FM31" s="111">
        <v>0</v>
      </c>
      <c r="FN31" s="111">
        <v>0</v>
      </c>
      <c r="FO31" s="111">
        <v>0</v>
      </c>
      <c r="FP31" s="111">
        <v>0</v>
      </c>
      <c r="FQ31" s="111">
        <v>0</v>
      </c>
      <c r="FR31" s="111">
        <v>0</v>
      </c>
      <c r="FS31" s="111">
        <v>0</v>
      </c>
      <c r="FT31" s="117">
        <v>0</v>
      </c>
      <c r="FU31" s="118">
        <v>0</v>
      </c>
      <c r="FV31" s="118">
        <v>0</v>
      </c>
      <c r="FW31" s="119">
        <v>0</v>
      </c>
      <c r="FX31" s="44"/>
      <c r="FY31" s="229"/>
      <c r="FZ31" s="69" t="s">
        <v>20</v>
      </c>
      <c r="GA31" s="71" t="s">
        <v>18</v>
      </c>
      <c r="GB31" s="63">
        <f>SUM(FM31)</f>
        <v>0</v>
      </c>
      <c r="GC31" s="72">
        <f t="shared" si="88"/>
        <v>0</v>
      </c>
      <c r="GD31" s="72">
        <f t="shared" si="89"/>
        <v>0</v>
      </c>
      <c r="GE31" s="72">
        <f t="shared" si="90"/>
        <v>0</v>
      </c>
      <c r="GF31" s="72">
        <f t="shared" si="91"/>
        <v>0</v>
      </c>
      <c r="GG31" s="72">
        <f t="shared" si="92"/>
        <v>0</v>
      </c>
      <c r="GH31" s="72">
        <f t="shared" si="93"/>
        <v>5</v>
      </c>
      <c r="GI31" s="72">
        <f t="shared" si="94"/>
        <v>0</v>
      </c>
      <c r="GJ31" s="72">
        <f t="shared" si="95"/>
        <v>0</v>
      </c>
      <c r="GK31" s="72">
        <f t="shared" si="96"/>
        <v>0</v>
      </c>
      <c r="GL31" s="72">
        <f t="shared" si="97"/>
        <v>0</v>
      </c>
      <c r="GM31" s="44"/>
    </row>
    <row r="32" spans="1:195" ht="17.100000000000001" customHeight="1" thickBot="1" x14ac:dyDescent="0.25">
      <c r="A32" s="229"/>
      <c r="B32" s="73" t="s">
        <v>17</v>
      </c>
      <c r="C32" s="74" t="s">
        <v>19</v>
      </c>
      <c r="D32" s="114">
        <v>0</v>
      </c>
      <c r="E32" s="114">
        <v>0</v>
      </c>
      <c r="F32" s="114">
        <v>0</v>
      </c>
      <c r="G32" s="114">
        <v>0</v>
      </c>
      <c r="H32" s="114">
        <v>0</v>
      </c>
      <c r="I32" s="114">
        <v>0</v>
      </c>
      <c r="J32" s="114">
        <v>0</v>
      </c>
      <c r="K32" s="114">
        <v>0</v>
      </c>
      <c r="L32" s="115">
        <v>0</v>
      </c>
      <c r="M32" s="115">
        <v>0</v>
      </c>
      <c r="N32" s="116">
        <v>0</v>
      </c>
      <c r="O32" s="44"/>
      <c r="P32" s="229"/>
      <c r="Q32" s="73" t="s">
        <v>17</v>
      </c>
      <c r="R32" s="74" t="s">
        <v>19</v>
      </c>
      <c r="S32" s="114">
        <v>0</v>
      </c>
      <c r="T32" s="114">
        <v>0</v>
      </c>
      <c r="U32" s="114">
        <v>0</v>
      </c>
      <c r="V32" s="114">
        <v>0</v>
      </c>
      <c r="W32" s="114">
        <v>0</v>
      </c>
      <c r="X32" s="114">
        <v>0</v>
      </c>
      <c r="Y32" s="114">
        <v>0</v>
      </c>
      <c r="Z32" s="114">
        <v>0</v>
      </c>
      <c r="AA32" s="115">
        <v>0</v>
      </c>
      <c r="AB32" s="115">
        <v>0</v>
      </c>
      <c r="AC32" s="116">
        <v>0</v>
      </c>
      <c r="AD32" s="44"/>
      <c r="AE32" s="229"/>
      <c r="AF32" s="73" t="s">
        <v>17</v>
      </c>
      <c r="AG32" s="74" t="s">
        <v>19</v>
      </c>
      <c r="AH32" s="114">
        <v>0</v>
      </c>
      <c r="AI32" s="114">
        <v>0</v>
      </c>
      <c r="AJ32" s="114">
        <v>0</v>
      </c>
      <c r="AK32" s="114">
        <v>0</v>
      </c>
      <c r="AL32" s="114">
        <v>0</v>
      </c>
      <c r="AM32" s="114">
        <v>0</v>
      </c>
      <c r="AN32" s="114">
        <v>0</v>
      </c>
      <c r="AO32" s="114">
        <v>0</v>
      </c>
      <c r="AP32" s="115">
        <v>0</v>
      </c>
      <c r="AQ32" s="115">
        <v>0</v>
      </c>
      <c r="AR32" s="116">
        <v>0</v>
      </c>
      <c r="AS32" s="44"/>
      <c r="AT32" s="229"/>
      <c r="AU32" s="73" t="s">
        <v>17</v>
      </c>
      <c r="AV32" s="74" t="s">
        <v>19</v>
      </c>
      <c r="AW32" s="114">
        <v>0</v>
      </c>
      <c r="AX32" s="114">
        <v>0</v>
      </c>
      <c r="AY32" s="114">
        <v>0</v>
      </c>
      <c r="AZ32" s="114">
        <v>0</v>
      </c>
      <c r="BA32" s="114">
        <v>0</v>
      </c>
      <c r="BB32" s="114">
        <v>0</v>
      </c>
      <c r="BC32" s="114">
        <v>0</v>
      </c>
      <c r="BD32" s="114">
        <v>0</v>
      </c>
      <c r="BE32" s="115">
        <v>0</v>
      </c>
      <c r="BF32" s="115">
        <v>0</v>
      </c>
      <c r="BG32" s="116">
        <v>0</v>
      </c>
      <c r="BH32" s="44"/>
      <c r="BI32" s="229"/>
      <c r="BJ32" s="73" t="s">
        <v>17</v>
      </c>
      <c r="BK32" s="74" t="s">
        <v>19</v>
      </c>
      <c r="BL32" s="114">
        <v>0</v>
      </c>
      <c r="BM32" s="114">
        <v>0</v>
      </c>
      <c r="BN32" s="114">
        <v>0</v>
      </c>
      <c r="BO32" s="114">
        <v>0</v>
      </c>
      <c r="BP32" s="114">
        <v>0</v>
      </c>
      <c r="BQ32" s="114">
        <v>0</v>
      </c>
      <c r="BR32" s="114">
        <v>0</v>
      </c>
      <c r="BS32" s="114">
        <v>0</v>
      </c>
      <c r="BT32" s="115">
        <v>0</v>
      </c>
      <c r="BU32" s="115">
        <v>0</v>
      </c>
      <c r="BV32" s="116">
        <v>0</v>
      </c>
      <c r="BW32" s="44"/>
      <c r="BX32" s="229"/>
      <c r="BY32" s="73" t="s">
        <v>17</v>
      </c>
      <c r="BZ32" s="74" t="s">
        <v>19</v>
      </c>
      <c r="CA32" s="114">
        <v>0</v>
      </c>
      <c r="CB32" s="114">
        <v>0</v>
      </c>
      <c r="CC32" s="114">
        <v>0</v>
      </c>
      <c r="CD32" s="114">
        <v>0</v>
      </c>
      <c r="CE32" s="114">
        <v>0</v>
      </c>
      <c r="CF32" s="114">
        <v>0</v>
      </c>
      <c r="CG32" s="154">
        <v>0</v>
      </c>
      <c r="CH32" s="114">
        <v>0</v>
      </c>
      <c r="CI32" s="115">
        <v>0</v>
      </c>
      <c r="CJ32" s="115">
        <v>0</v>
      </c>
      <c r="CK32" s="116">
        <v>0</v>
      </c>
      <c r="CL32" s="44"/>
      <c r="CM32" s="229"/>
      <c r="CN32" s="73" t="s">
        <v>17</v>
      </c>
      <c r="CO32" s="74" t="s">
        <v>19</v>
      </c>
      <c r="CP32" s="154">
        <v>0</v>
      </c>
      <c r="CQ32" s="155">
        <v>0</v>
      </c>
      <c r="CR32" s="155">
        <v>0</v>
      </c>
      <c r="CS32" s="155">
        <v>0</v>
      </c>
      <c r="CT32" s="155">
        <v>0</v>
      </c>
      <c r="CU32" s="155">
        <v>0</v>
      </c>
      <c r="CV32" s="155">
        <v>0</v>
      </c>
      <c r="CW32" s="156">
        <v>0</v>
      </c>
      <c r="CX32" s="156">
        <v>0</v>
      </c>
      <c r="CY32" s="156">
        <v>0</v>
      </c>
      <c r="CZ32" s="155">
        <v>0</v>
      </c>
      <c r="DA32" s="44"/>
      <c r="DB32" s="229"/>
      <c r="DC32" s="73" t="s">
        <v>17</v>
      </c>
      <c r="DD32" s="74" t="s">
        <v>19</v>
      </c>
      <c r="DE32" s="182">
        <v>0</v>
      </c>
      <c r="DF32" s="182">
        <v>0</v>
      </c>
      <c r="DG32" s="182">
        <v>0</v>
      </c>
      <c r="DH32" s="182">
        <v>0</v>
      </c>
      <c r="DI32" s="182">
        <v>0</v>
      </c>
      <c r="DJ32" s="182">
        <v>0</v>
      </c>
      <c r="DK32" s="182">
        <v>0</v>
      </c>
      <c r="DL32" s="182">
        <v>0</v>
      </c>
      <c r="DM32" s="183">
        <v>0</v>
      </c>
      <c r="DN32" s="183">
        <v>0</v>
      </c>
      <c r="DO32" s="184">
        <v>0</v>
      </c>
      <c r="DP32" s="44"/>
      <c r="DQ32" s="229"/>
      <c r="DR32" s="73" t="s">
        <v>17</v>
      </c>
      <c r="DS32" s="74" t="s">
        <v>19</v>
      </c>
      <c r="DT32" s="114">
        <v>0</v>
      </c>
      <c r="DU32" s="114">
        <v>0</v>
      </c>
      <c r="DV32" s="114">
        <v>0</v>
      </c>
      <c r="DW32" s="114">
        <v>0</v>
      </c>
      <c r="DX32" s="114">
        <v>0</v>
      </c>
      <c r="DY32" s="114">
        <v>0</v>
      </c>
      <c r="DZ32" s="114">
        <v>0</v>
      </c>
      <c r="EA32" s="114">
        <v>0</v>
      </c>
      <c r="EB32" s="115">
        <v>0</v>
      </c>
      <c r="EC32" s="115">
        <v>0</v>
      </c>
      <c r="ED32" s="116">
        <v>0</v>
      </c>
      <c r="EE32" s="44"/>
      <c r="EF32" s="229"/>
      <c r="EG32" s="73" t="s">
        <v>17</v>
      </c>
      <c r="EH32" s="74" t="s">
        <v>19</v>
      </c>
      <c r="EI32" s="114">
        <v>0</v>
      </c>
      <c r="EJ32" s="114">
        <v>0</v>
      </c>
      <c r="EK32" s="114">
        <v>0</v>
      </c>
      <c r="EL32" s="114">
        <v>0</v>
      </c>
      <c r="EM32" s="114">
        <v>0</v>
      </c>
      <c r="EN32" s="114">
        <v>0</v>
      </c>
      <c r="EO32" s="114">
        <v>2</v>
      </c>
      <c r="EP32" s="114">
        <v>0</v>
      </c>
      <c r="EQ32" s="115">
        <v>0</v>
      </c>
      <c r="ER32" s="115">
        <v>0</v>
      </c>
      <c r="ES32" s="116">
        <v>0</v>
      </c>
      <c r="ET32" s="44"/>
      <c r="EU32" s="229"/>
      <c r="EV32" s="73" t="s">
        <v>17</v>
      </c>
      <c r="EW32" s="74" t="s">
        <v>19</v>
      </c>
      <c r="EX32" s="114">
        <v>0</v>
      </c>
      <c r="EY32" s="114">
        <v>0</v>
      </c>
      <c r="EZ32" s="114">
        <v>0</v>
      </c>
      <c r="FA32" s="114">
        <v>0</v>
      </c>
      <c r="FB32" s="114">
        <v>0</v>
      </c>
      <c r="FC32" s="114">
        <v>0</v>
      </c>
      <c r="FD32" s="114">
        <v>0</v>
      </c>
      <c r="FE32" s="114">
        <v>0</v>
      </c>
      <c r="FF32" s="115">
        <v>0</v>
      </c>
      <c r="FG32" s="115">
        <v>0</v>
      </c>
      <c r="FH32" s="116">
        <v>0</v>
      </c>
      <c r="FI32" s="44"/>
      <c r="FJ32" s="229"/>
      <c r="FK32" s="73" t="s">
        <v>17</v>
      </c>
      <c r="FL32" s="74" t="s">
        <v>19</v>
      </c>
      <c r="FM32" s="114">
        <v>0</v>
      </c>
      <c r="FN32" s="114">
        <v>0</v>
      </c>
      <c r="FO32" s="114">
        <v>0</v>
      </c>
      <c r="FP32" s="114">
        <v>0</v>
      </c>
      <c r="FQ32" s="114">
        <v>0</v>
      </c>
      <c r="FR32" s="114">
        <v>0</v>
      </c>
      <c r="FS32" s="114">
        <v>0</v>
      </c>
      <c r="FT32" s="114">
        <v>0</v>
      </c>
      <c r="FU32" s="115">
        <v>0</v>
      </c>
      <c r="FV32" s="115">
        <v>0</v>
      </c>
      <c r="FW32" s="116">
        <v>0</v>
      </c>
      <c r="FX32" s="44"/>
      <c r="FY32" s="229"/>
      <c r="FZ32" s="73" t="s">
        <v>17</v>
      </c>
      <c r="GA32" s="75" t="s">
        <v>19</v>
      </c>
      <c r="GB32" s="67">
        <f>SUM(FM32)</f>
        <v>0</v>
      </c>
      <c r="GC32" s="68">
        <f t="shared" si="88"/>
        <v>0</v>
      </c>
      <c r="GD32" s="68">
        <f t="shared" si="89"/>
        <v>0</v>
      </c>
      <c r="GE32" s="68">
        <f t="shared" si="90"/>
        <v>0</v>
      </c>
      <c r="GF32" s="68">
        <f t="shared" si="91"/>
        <v>0</v>
      </c>
      <c r="GG32" s="68">
        <f t="shared" si="92"/>
        <v>0</v>
      </c>
      <c r="GH32" s="68">
        <f t="shared" si="93"/>
        <v>2</v>
      </c>
      <c r="GI32" s="68">
        <f t="shared" si="94"/>
        <v>0</v>
      </c>
      <c r="GJ32" s="68">
        <f t="shared" si="95"/>
        <v>0</v>
      </c>
      <c r="GK32" s="68">
        <f t="shared" si="96"/>
        <v>0</v>
      </c>
      <c r="GL32" s="68">
        <f t="shared" si="97"/>
        <v>0</v>
      </c>
      <c r="GM32" s="44"/>
    </row>
    <row r="33" spans="1:195" ht="17.100000000000001" customHeight="1" thickBot="1" x14ac:dyDescent="0.25">
      <c r="A33" s="229"/>
      <c r="B33" s="252" t="s">
        <v>21</v>
      </c>
      <c r="C33" s="253"/>
      <c r="D33" s="120">
        <f t="shared" ref="D33:N33" si="98">SUM(D29:D32)</f>
        <v>0</v>
      </c>
      <c r="E33" s="120">
        <f t="shared" si="98"/>
        <v>0</v>
      </c>
      <c r="F33" s="121">
        <f t="shared" si="98"/>
        <v>0</v>
      </c>
      <c r="G33" s="122">
        <f t="shared" si="98"/>
        <v>0</v>
      </c>
      <c r="H33" s="121">
        <f t="shared" si="98"/>
        <v>0</v>
      </c>
      <c r="I33" s="120">
        <f t="shared" si="98"/>
        <v>0</v>
      </c>
      <c r="J33" s="120">
        <f t="shared" si="98"/>
        <v>0</v>
      </c>
      <c r="K33" s="123">
        <f t="shared" si="98"/>
        <v>0</v>
      </c>
      <c r="L33" s="124">
        <f t="shared" si="98"/>
        <v>0</v>
      </c>
      <c r="M33" s="124">
        <f t="shared" si="98"/>
        <v>0</v>
      </c>
      <c r="N33" s="125">
        <f t="shared" si="98"/>
        <v>0</v>
      </c>
      <c r="O33" s="44"/>
      <c r="P33" s="229"/>
      <c r="Q33" s="252" t="s">
        <v>21</v>
      </c>
      <c r="R33" s="253"/>
      <c r="S33" s="120">
        <f t="shared" ref="S33:AC33" si="99">SUM(S29:S32)</f>
        <v>0</v>
      </c>
      <c r="T33" s="120">
        <f t="shared" si="99"/>
        <v>0</v>
      </c>
      <c r="U33" s="121">
        <f t="shared" si="99"/>
        <v>0</v>
      </c>
      <c r="V33" s="122">
        <f t="shared" si="99"/>
        <v>0</v>
      </c>
      <c r="W33" s="121">
        <f t="shared" si="99"/>
        <v>0</v>
      </c>
      <c r="X33" s="120">
        <f t="shared" si="99"/>
        <v>0</v>
      </c>
      <c r="Y33" s="120">
        <f t="shared" si="99"/>
        <v>0</v>
      </c>
      <c r="Z33" s="123">
        <f t="shared" si="99"/>
        <v>0</v>
      </c>
      <c r="AA33" s="124">
        <f t="shared" si="99"/>
        <v>0</v>
      </c>
      <c r="AB33" s="124">
        <f t="shared" si="99"/>
        <v>0</v>
      </c>
      <c r="AC33" s="125">
        <f t="shared" si="99"/>
        <v>0</v>
      </c>
      <c r="AD33" s="44"/>
      <c r="AE33" s="229"/>
      <c r="AF33" s="252" t="s">
        <v>21</v>
      </c>
      <c r="AG33" s="253"/>
      <c r="AH33" s="120">
        <f t="shared" ref="AH33:AR33" si="100">SUM(AH29:AH32)</f>
        <v>0</v>
      </c>
      <c r="AI33" s="120">
        <f t="shared" si="100"/>
        <v>0</v>
      </c>
      <c r="AJ33" s="121">
        <f t="shared" si="100"/>
        <v>0</v>
      </c>
      <c r="AK33" s="122">
        <f t="shared" si="100"/>
        <v>0</v>
      </c>
      <c r="AL33" s="121">
        <f t="shared" si="100"/>
        <v>0</v>
      </c>
      <c r="AM33" s="120">
        <f t="shared" si="100"/>
        <v>0</v>
      </c>
      <c r="AN33" s="120">
        <f t="shared" si="100"/>
        <v>0</v>
      </c>
      <c r="AO33" s="123">
        <f t="shared" si="100"/>
        <v>0</v>
      </c>
      <c r="AP33" s="124">
        <f t="shared" si="100"/>
        <v>0</v>
      </c>
      <c r="AQ33" s="124">
        <f t="shared" si="100"/>
        <v>0</v>
      </c>
      <c r="AR33" s="125">
        <f t="shared" si="100"/>
        <v>0</v>
      </c>
      <c r="AS33" s="44"/>
      <c r="AT33" s="229"/>
      <c r="AU33" s="252" t="s">
        <v>21</v>
      </c>
      <c r="AV33" s="253"/>
      <c r="AW33" s="120">
        <f t="shared" ref="AW33:BG33" si="101">SUM(AW29:AW32)</f>
        <v>0</v>
      </c>
      <c r="AX33" s="120">
        <f t="shared" si="101"/>
        <v>0</v>
      </c>
      <c r="AY33" s="121">
        <f t="shared" si="101"/>
        <v>0</v>
      </c>
      <c r="AZ33" s="122">
        <f t="shared" si="101"/>
        <v>0</v>
      </c>
      <c r="BA33" s="121">
        <f t="shared" si="101"/>
        <v>0</v>
      </c>
      <c r="BB33" s="120">
        <f t="shared" si="101"/>
        <v>0</v>
      </c>
      <c r="BC33" s="120">
        <f t="shared" si="101"/>
        <v>0</v>
      </c>
      <c r="BD33" s="123">
        <f t="shared" si="101"/>
        <v>0</v>
      </c>
      <c r="BE33" s="124">
        <f t="shared" si="101"/>
        <v>0</v>
      </c>
      <c r="BF33" s="124">
        <f t="shared" si="101"/>
        <v>0</v>
      </c>
      <c r="BG33" s="125">
        <f t="shared" si="101"/>
        <v>0</v>
      </c>
      <c r="BH33" s="44"/>
      <c r="BI33" s="229"/>
      <c r="BJ33" s="252" t="s">
        <v>21</v>
      </c>
      <c r="BK33" s="253"/>
      <c r="BL33" s="120">
        <f t="shared" ref="BL33:BV33" si="102">SUM(BL29:BL32)</f>
        <v>0</v>
      </c>
      <c r="BM33" s="120">
        <f t="shared" si="102"/>
        <v>0</v>
      </c>
      <c r="BN33" s="121">
        <f t="shared" si="102"/>
        <v>0</v>
      </c>
      <c r="BO33" s="122">
        <f t="shared" si="102"/>
        <v>0</v>
      </c>
      <c r="BP33" s="121">
        <f t="shared" si="102"/>
        <v>0</v>
      </c>
      <c r="BQ33" s="120">
        <f t="shared" si="102"/>
        <v>0</v>
      </c>
      <c r="BR33" s="120">
        <f t="shared" si="102"/>
        <v>0</v>
      </c>
      <c r="BS33" s="123">
        <f t="shared" si="102"/>
        <v>0</v>
      </c>
      <c r="BT33" s="124">
        <f t="shared" si="102"/>
        <v>0</v>
      </c>
      <c r="BU33" s="124">
        <f t="shared" si="102"/>
        <v>0</v>
      </c>
      <c r="BV33" s="125">
        <f t="shared" si="102"/>
        <v>0</v>
      </c>
      <c r="BW33" s="44"/>
      <c r="BX33" s="229"/>
      <c r="BY33" s="252" t="s">
        <v>21</v>
      </c>
      <c r="BZ33" s="253"/>
      <c r="CA33" s="120">
        <f t="shared" ref="CA33:CK33" si="103">SUM(CA29:CA32)</f>
        <v>0</v>
      </c>
      <c r="CB33" s="120">
        <f t="shared" si="103"/>
        <v>0</v>
      </c>
      <c r="CC33" s="121">
        <f t="shared" si="103"/>
        <v>0</v>
      </c>
      <c r="CD33" s="122">
        <f t="shared" si="103"/>
        <v>0</v>
      </c>
      <c r="CE33" s="121">
        <f t="shared" si="103"/>
        <v>0</v>
      </c>
      <c r="CF33" s="120">
        <f t="shared" si="103"/>
        <v>0</v>
      </c>
      <c r="CG33" s="166">
        <v>0</v>
      </c>
      <c r="CH33" s="123">
        <f t="shared" si="103"/>
        <v>0</v>
      </c>
      <c r="CI33" s="124">
        <f t="shared" si="103"/>
        <v>0</v>
      </c>
      <c r="CJ33" s="124">
        <f t="shared" si="103"/>
        <v>0</v>
      </c>
      <c r="CK33" s="125">
        <f t="shared" si="103"/>
        <v>0</v>
      </c>
      <c r="CL33" s="44"/>
      <c r="CM33" s="229"/>
      <c r="CN33" s="252" t="s">
        <v>21</v>
      </c>
      <c r="CO33" s="253"/>
      <c r="CP33" s="166">
        <v>0</v>
      </c>
      <c r="CQ33" s="175">
        <v>0</v>
      </c>
      <c r="CR33" s="175">
        <v>0</v>
      </c>
      <c r="CS33" s="175">
        <v>0</v>
      </c>
      <c r="CT33" s="175">
        <v>0</v>
      </c>
      <c r="CU33" s="175">
        <v>0</v>
      </c>
      <c r="CV33" s="175">
        <v>0</v>
      </c>
      <c r="CW33" s="174">
        <v>0</v>
      </c>
      <c r="CX33" s="174">
        <v>0</v>
      </c>
      <c r="CY33" s="174">
        <v>0</v>
      </c>
      <c r="CZ33" s="175">
        <v>0</v>
      </c>
      <c r="DA33" s="44"/>
      <c r="DB33" s="229"/>
      <c r="DC33" s="252" t="s">
        <v>21</v>
      </c>
      <c r="DD33" s="253"/>
      <c r="DE33" s="188">
        <f t="shared" ref="DE33:DO33" si="104">SUM(DE29:DE32)</f>
        <v>0</v>
      </c>
      <c r="DF33" s="188">
        <f t="shared" si="104"/>
        <v>0</v>
      </c>
      <c r="DG33" s="189">
        <f t="shared" si="104"/>
        <v>0</v>
      </c>
      <c r="DH33" s="190">
        <f t="shared" si="104"/>
        <v>0</v>
      </c>
      <c r="DI33" s="189">
        <f t="shared" si="104"/>
        <v>0</v>
      </c>
      <c r="DJ33" s="188">
        <f t="shared" si="104"/>
        <v>0</v>
      </c>
      <c r="DK33" s="188">
        <f t="shared" si="104"/>
        <v>0</v>
      </c>
      <c r="DL33" s="191">
        <f t="shared" si="104"/>
        <v>0</v>
      </c>
      <c r="DM33" s="192">
        <f t="shared" si="104"/>
        <v>0</v>
      </c>
      <c r="DN33" s="192">
        <f t="shared" si="104"/>
        <v>0</v>
      </c>
      <c r="DO33" s="193">
        <f t="shared" si="104"/>
        <v>0</v>
      </c>
      <c r="DP33" s="44"/>
      <c r="DQ33" s="229"/>
      <c r="DR33" s="252" t="s">
        <v>21</v>
      </c>
      <c r="DS33" s="253"/>
      <c r="DT33" s="120">
        <f t="shared" ref="DT33:ED33" si="105">SUM(DT29:DT32)</f>
        <v>0</v>
      </c>
      <c r="DU33" s="120">
        <f t="shared" si="105"/>
        <v>0</v>
      </c>
      <c r="DV33" s="121">
        <f t="shared" si="105"/>
        <v>0</v>
      </c>
      <c r="DW33" s="122">
        <f t="shared" si="105"/>
        <v>0</v>
      </c>
      <c r="DX33" s="121">
        <f t="shared" si="105"/>
        <v>0</v>
      </c>
      <c r="DY33" s="120">
        <f t="shared" si="105"/>
        <v>0</v>
      </c>
      <c r="DZ33" s="120">
        <f t="shared" si="105"/>
        <v>0</v>
      </c>
      <c r="EA33" s="123">
        <f t="shared" si="105"/>
        <v>0</v>
      </c>
      <c r="EB33" s="124">
        <f t="shared" si="105"/>
        <v>0</v>
      </c>
      <c r="EC33" s="124">
        <f t="shared" si="105"/>
        <v>0</v>
      </c>
      <c r="ED33" s="125">
        <f t="shared" si="105"/>
        <v>0</v>
      </c>
      <c r="EE33" s="44"/>
      <c r="EF33" s="229"/>
      <c r="EG33" s="252" t="s">
        <v>21</v>
      </c>
      <c r="EH33" s="253"/>
      <c r="EI33" s="120">
        <f t="shared" ref="EI33:ES33" si="106">SUM(EI29:EI32)</f>
        <v>0</v>
      </c>
      <c r="EJ33" s="120">
        <f t="shared" si="106"/>
        <v>0</v>
      </c>
      <c r="EK33" s="121">
        <f t="shared" si="106"/>
        <v>0</v>
      </c>
      <c r="EL33" s="122">
        <f t="shared" si="106"/>
        <v>0</v>
      </c>
      <c r="EM33" s="121">
        <f t="shared" si="106"/>
        <v>0</v>
      </c>
      <c r="EN33" s="120">
        <f t="shared" si="106"/>
        <v>0</v>
      </c>
      <c r="EO33" s="120">
        <f t="shared" si="106"/>
        <v>135</v>
      </c>
      <c r="EP33" s="123">
        <f t="shared" si="106"/>
        <v>0</v>
      </c>
      <c r="EQ33" s="124">
        <f t="shared" si="106"/>
        <v>0</v>
      </c>
      <c r="ER33" s="124">
        <f t="shared" si="106"/>
        <v>0</v>
      </c>
      <c r="ES33" s="125">
        <f t="shared" si="106"/>
        <v>0</v>
      </c>
      <c r="ET33" s="44"/>
      <c r="EU33" s="229"/>
      <c r="EV33" s="252" t="s">
        <v>21</v>
      </c>
      <c r="EW33" s="253"/>
      <c r="EX33" s="120">
        <f t="shared" ref="EX33:FH33" si="107">SUM(EX29:EX32)</f>
        <v>0</v>
      </c>
      <c r="EY33" s="120">
        <f t="shared" si="107"/>
        <v>0</v>
      </c>
      <c r="EZ33" s="121">
        <f t="shared" si="107"/>
        <v>0</v>
      </c>
      <c r="FA33" s="122">
        <f t="shared" si="107"/>
        <v>0</v>
      </c>
      <c r="FB33" s="121">
        <f t="shared" si="107"/>
        <v>0</v>
      </c>
      <c r="FC33" s="120">
        <f t="shared" si="107"/>
        <v>0</v>
      </c>
      <c r="FD33" s="120">
        <f t="shared" si="107"/>
        <v>0</v>
      </c>
      <c r="FE33" s="123">
        <f t="shared" si="107"/>
        <v>0</v>
      </c>
      <c r="FF33" s="124">
        <f t="shared" si="107"/>
        <v>0</v>
      </c>
      <c r="FG33" s="124">
        <f t="shared" si="107"/>
        <v>0</v>
      </c>
      <c r="FH33" s="125">
        <f t="shared" si="107"/>
        <v>0</v>
      </c>
      <c r="FI33" s="44"/>
      <c r="FJ33" s="229"/>
      <c r="FK33" s="252" t="s">
        <v>21</v>
      </c>
      <c r="FL33" s="253"/>
      <c r="FM33" s="120">
        <f t="shared" ref="FM33:FW33" si="108">SUM(FM29:FM32)</f>
        <v>0</v>
      </c>
      <c r="FN33" s="120">
        <f t="shared" si="108"/>
        <v>0</v>
      </c>
      <c r="FO33" s="121">
        <f t="shared" si="108"/>
        <v>0</v>
      </c>
      <c r="FP33" s="122">
        <f t="shared" si="108"/>
        <v>0</v>
      </c>
      <c r="FQ33" s="121">
        <f t="shared" si="108"/>
        <v>0</v>
      </c>
      <c r="FR33" s="120">
        <f t="shared" si="108"/>
        <v>0</v>
      </c>
      <c r="FS33" s="120">
        <f t="shared" si="108"/>
        <v>0</v>
      </c>
      <c r="FT33" s="123">
        <f t="shared" si="108"/>
        <v>0</v>
      </c>
      <c r="FU33" s="124">
        <f t="shared" si="108"/>
        <v>0</v>
      </c>
      <c r="FV33" s="124">
        <f t="shared" si="108"/>
        <v>0</v>
      </c>
      <c r="FW33" s="125">
        <f t="shared" si="108"/>
        <v>0</v>
      </c>
      <c r="FX33" s="44"/>
      <c r="FY33" s="229"/>
      <c r="FZ33" s="128" t="s">
        <v>21</v>
      </c>
      <c r="GA33" s="129"/>
      <c r="GB33" s="76">
        <f t="shared" ref="GB33:GL33" si="109">SUM(GB29:GB32)</f>
        <v>0</v>
      </c>
      <c r="GC33" s="77">
        <f t="shared" si="109"/>
        <v>0</v>
      </c>
      <c r="GD33" s="77">
        <f t="shared" si="109"/>
        <v>0</v>
      </c>
      <c r="GE33" s="77">
        <f t="shared" si="109"/>
        <v>0</v>
      </c>
      <c r="GF33" s="77">
        <f t="shared" si="109"/>
        <v>0</v>
      </c>
      <c r="GG33" s="77">
        <f t="shared" si="109"/>
        <v>0</v>
      </c>
      <c r="GH33" s="77">
        <f t="shared" si="109"/>
        <v>135</v>
      </c>
      <c r="GI33" s="77">
        <f t="shared" si="109"/>
        <v>0</v>
      </c>
      <c r="GJ33" s="77">
        <f t="shared" si="109"/>
        <v>0</v>
      </c>
      <c r="GK33" s="77">
        <f t="shared" si="109"/>
        <v>0</v>
      </c>
      <c r="GL33" s="77">
        <f t="shared" si="109"/>
        <v>0</v>
      </c>
      <c r="GM33" s="44"/>
    </row>
    <row r="34" spans="1:195" ht="17.100000000000001" customHeight="1" thickBot="1" x14ac:dyDescent="0.25">
      <c r="A34" s="230"/>
      <c r="B34" s="78" t="s">
        <v>22</v>
      </c>
      <c r="C34" s="44"/>
      <c r="D34" s="78"/>
      <c r="E34" s="44"/>
      <c r="F34" s="44"/>
      <c r="G34" s="44"/>
      <c r="H34" s="44"/>
      <c r="I34" s="44"/>
      <c r="J34" s="44"/>
      <c r="K34" s="79" t="s">
        <v>18</v>
      </c>
      <c r="L34" s="80">
        <v>0</v>
      </c>
      <c r="M34" s="79" t="s">
        <v>19</v>
      </c>
      <c r="N34" s="80">
        <v>0</v>
      </c>
      <c r="O34" s="44"/>
      <c r="P34" s="230"/>
      <c r="Q34" s="78" t="s">
        <v>22</v>
      </c>
      <c r="R34" s="44"/>
      <c r="S34" s="78"/>
      <c r="T34" s="44"/>
      <c r="U34" s="44"/>
      <c r="V34" s="44"/>
      <c r="W34" s="44"/>
      <c r="X34" s="44"/>
      <c r="Y34" s="44"/>
      <c r="Z34" s="79" t="s">
        <v>18</v>
      </c>
      <c r="AA34" s="80">
        <v>0</v>
      </c>
      <c r="AB34" s="79" t="s">
        <v>19</v>
      </c>
      <c r="AC34" s="80">
        <v>0</v>
      </c>
      <c r="AD34" s="44"/>
      <c r="AE34" s="230"/>
      <c r="AF34" s="78" t="s">
        <v>22</v>
      </c>
      <c r="AG34" s="44"/>
      <c r="AH34" s="78"/>
      <c r="AI34" s="44"/>
      <c r="AJ34" s="44"/>
      <c r="AK34" s="44"/>
      <c r="AL34" s="44"/>
      <c r="AM34" s="44"/>
      <c r="AN34" s="44"/>
      <c r="AO34" s="79" t="s">
        <v>18</v>
      </c>
      <c r="AP34" s="80">
        <v>0</v>
      </c>
      <c r="AQ34" s="79" t="s">
        <v>19</v>
      </c>
      <c r="AR34" s="80">
        <v>0</v>
      </c>
      <c r="AS34" s="44"/>
      <c r="AT34" s="230"/>
      <c r="AU34" s="78" t="s">
        <v>22</v>
      </c>
      <c r="AV34" s="44"/>
      <c r="AW34" s="78"/>
      <c r="AX34" s="44"/>
      <c r="AY34" s="44"/>
      <c r="AZ34" s="44"/>
      <c r="BA34" s="44"/>
      <c r="BB34" s="44"/>
      <c r="BC34" s="44"/>
      <c r="BD34" s="79" t="s">
        <v>18</v>
      </c>
      <c r="BE34" s="80">
        <v>0</v>
      </c>
      <c r="BF34" s="79" t="s">
        <v>19</v>
      </c>
      <c r="BG34" s="80">
        <v>0</v>
      </c>
      <c r="BH34" s="44"/>
      <c r="BI34" s="230"/>
      <c r="BJ34" s="78" t="s">
        <v>22</v>
      </c>
      <c r="BK34" s="44"/>
      <c r="BL34" s="78"/>
      <c r="BM34" s="44"/>
      <c r="BN34" s="44"/>
      <c r="BO34" s="44"/>
      <c r="BP34" s="44"/>
      <c r="BQ34" s="44"/>
      <c r="BR34" s="44"/>
      <c r="BS34" s="79" t="s">
        <v>18</v>
      </c>
      <c r="BT34" s="80">
        <v>0</v>
      </c>
      <c r="BU34" s="79" t="s">
        <v>19</v>
      </c>
      <c r="BV34" s="80">
        <v>0</v>
      </c>
      <c r="BW34" s="44"/>
      <c r="BX34" s="230"/>
      <c r="BY34" s="78" t="s">
        <v>22</v>
      </c>
      <c r="BZ34" s="44"/>
      <c r="CA34" s="78"/>
      <c r="CB34" s="44"/>
      <c r="CC34" s="44"/>
      <c r="CD34" s="44"/>
      <c r="CE34" s="44"/>
      <c r="CF34" s="44"/>
      <c r="CG34" s="167"/>
      <c r="CH34" s="79" t="s">
        <v>18</v>
      </c>
      <c r="CI34" s="80">
        <v>0</v>
      </c>
      <c r="CJ34" s="79" t="s">
        <v>19</v>
      </c>
      <c r="CK34" s="80">
        <v>0</v>
      </c>
      <c r="CL34" s="44"/>
      <c r="CM34" s="230"/>
      <c r="CN34" s="78" t="s">
        <v>22</v>
      </c>
      <c r="CO34" s="44"/>
      <c r="CP34" s="167"/>
      <c r="CQ34" s="167"/>
      <c r="CR34" s="167"/>
      <c r="CS34" s="167"/>
      <c r="CT34" s="167"/>
      <c r="CU34" s="167"/>
      <c r="CV34" s="167"/>
      <c r="CW34" s="176" t="s">
        <v>18</v>
      </c>
      <c r="CX34" s="177">
        <v>0</v>
      </c>
      <c r="CY34" s="176" t="s">
        <v>19</v>
      </c>
      <c r="CZ34" s="177">
        <v>0</v>
      </c>
      <c r="DA34" s="44"/>
      <c r="DB34" s="230"/>
      <c r="DC34" s="78" t="s">
        <v>22</v>
      </c>
      <c r="DD34" s="44"/>
      <c r="DE34" s="194"/>
      <c r="DF34" s="195"/>
      <c r="DG34" s="195"/>
      <c r="DH34" s="195"/>
      <c r="DI34" s="195"/>
      <c r="DJ34" s="195"/>
      <c r="DK34" s="195"/>
      <c r="DL34" s="196" t="s">
        <v>18</v>
      </c>
      <c r="DM34" s="197">
        <v>0</v>
      </c>
      <c r="DN34" s="196" t="s">
        <v>19</v>
      </c>
      <c r="DO34" s="197">
        <v>0</v>
      </c>
      <c r="DP34" s="44"/>
      <c r="DQ34" s="230"/>
      <c r="DR34" s="78" t="s">
        <v>22</v>
      </c>
      <c r="DS34" s="44"/>
      <c r="DT34" s="78"/>
      <c r="DU34" s="44"/>
      <c r="DV34" s="44"/>
      <c r="DW34" s="44"/>
      <c r="DX34" s="44"/>
      <c r="DY34" s="44"/>
      <c r="DZ34" s="44"/>
      <c r="EA34" s="79" t="s">
        <v>18</v>
      </c>
      <c r="EB34" s="80">
        <v>0</v>
      </c>
      <c r="EC34" s="79" t="s">
        <v>19</v>
      </c>
      <c r="ED34" s="80">
        <v>0</v>
      </c>
      <c r="EE34" s="44"/>
      <c r="EF34" s="230"/>
      <c r="EG34" s="78" t="s">
        <v>22</v>
      </c>
      <c r="EH34" s="44"/>
      <c r="EI34" s="78"/>
      <c r="EJ34" s="44"/>
      <c r="EK34" s="44"/>
      <c r="EL34" s="44"/>
      <c r="EM34" s="44"/>
      <c r="EN34" s="44"/>
      <c r="EO34" s="44"/>
      <c r="EP34" s="79" t="s">
        <v>18</v>
      </c>
      <c r="EQ34" s="80">
        <v>0</v>
      </c>
      <c r="ER34" s="79" t="s">
        <v>19</v>
      </c>
      <c r="ES34" s="80">
        <v>0</v>
      </c>
      <c r="ET34" s="44"/>
      <c r="EU34" s="230"/>
      <c r="EV34" s="78" t="s">
        <v>22</v>
      </c>
      <c r="EW34" s="44"/>
      <c r="EX34" s="78"/>
      <c r="EY34" s="44"/>
      <c r="EZ34" s="44"/>
      <c r="FA34" s="44"/>
      <c r="FB34" s="44"/>
      <c r="FC34" s="44"/>
      <c r="FD34" s="44"/>
      <c r="FE34" s="79" t="s">
        <v>18</v>
      </c>
      <c r="FF34" s="80">
        <v>0</v>
      </c>
      <c r="FG34" s="79" t="s">
        <v>19</v>
      </c>
      <c r="FH34" s="80">
        <v>0</v>
      </c>
      <c r="FI34" s="44"/>
      <c r="FJ34" s="230"/>
      <c r="FK34" s="78" t="s">
        <v>22</v>
      </c>
      <c r="FL34" s="44"/>
      <c r="FM34" s="78"/>
      <c r="FN34" s="44"/>
      <c r="FO34" s="44"/>
      <c r="FP34" s="44"/>
      <c r="FQ34" s="44"/>
      <c r="FR34" s="44"/>
      <c r="FS34" s="44"/>
      <c r="FT34" s="79" t="s">
        <v>18</v>
      </c>
      <c r="FU34" s="80">
        <v>0</v>
      </c>
      <c r="FV34" s="79" t="s">
        <v>19</v>
      </c>
      <c r="FW34" s="80">
        <v>0</v>
      </c>
      <c r="FX34" s="44"/>
      <c r="FY34" s="230"/>
      <c r="FZ34" s="78" t="s">
        <v>26</v>
      </c>
      <c r="GA34" s="44"/>
      <c r="GB34" s="81"/>
      <c r="GC34" s="82"/>
      <c r="GD34" s="82"/>
      <c r="GE34" s="82"/>
      <c r="GF34" s="82"/>
      <c r="GG34" s="82"/>
      <c r="GH34" s="82"/>
      <c r="GI34" s="83" t="s">
        <v>18</v>
      </c>
      <c r="GJ34" s="64">
        <f>(L34+AA34+AP34+BE34+BT34+CI34+CX34+DM34+EB34+EQ34+FF34+FU34)</f>
        <v>0</v>
      </c>
      <c r="GK34" s="83" t="s">
        <v>19</v>
      </c>
      <c r="GL34" s="64">
        <f>(N34+AC34+AR34+BG34+BV34+CK34+CZ34+DO34+ED34+ES34+FH34+FW34)</f>
        <v>0</v>
      </c>
      <c r="GM34" s="44"/>
    </row>
    <row r="35" spans="1:195" ht="17.100000000000001" customHeight="1" thickTop="1" thickBot="1" x14ac:dyDescent="0.25">
      <c r="A35" s="228" t="s">
        <v>35</v>
      </c>
      <c r="B35" s="250" t="s">
        <v>17</v>
      </c>
      <c r="C35" s="61" t="s">
        <v>18</v>
      </c>
      <c r="D35" s="151">
        <v>19</v>
      </c>
      <c r="E35" s="152">
        <v>0</v>
      </c>
      <c r="F35" s="152">
        <v>0</v>
      </c>
      <c r="G35" s="152">
        <v>952</v>
      </c>
      <c r="H35" s="152">
        <v>324</v>
      </c>
      <c r="I35" s="152">
        <v>162</v>
      </c>
      <c r="J35" s="152">
        <v>92</v>
      </c>
      <c r="K35" s="153">
        <v>0</v>
      </c>
      <c r="L35" s="153">
        <v>0</v>
      </c>
      <c r="M35" s="153">
        <v>0</v>
      </c>
      <c r="N35" s="152">
        <v>0</v>
      </c>
      <c r="O35" s="44"/>
      <c r="P35" s="228" t="s">
        <v>35</v>
      </c>
      <c r="Q35" s="250" t="s">
        <v>17</v>
      </c>
      <c r="R35" s="61" t="s">
        <v>18</v>
      </c>
      <c r="S35" s="151">
        <v>19</v>
      </c>
      <c r="T35" s="152">
        <v>0</v>
      </c>
      <c r="U35" s="152">
        <v>0</v>
      </c>
      <c r="V35" s="152">
        <v>953</v>
      </c>
      <c r="W35" s="152">
        <v>324</v>
      </c>
      <c r="X35" s="152">
        <v>163</v>
      </c>
      <c r="Y35" s="152">
        <v>109</v>
      </c>
      <c r="Z35" s="153">
        <v>0</v>
      </c>
      <c r="AA35" s="153">
        <v>0</v>
      </c>
      <c r="AB35" s="153">
        <v>0</v>
      </c>
      <c r="AC35" s="152">
        <v>0</v>
      </c>
      <c r="AD35" s="44"/>
      <c r="AE35" s="228" t="s">
        <v>35</v>
      </c>
      <c r="AF35" s="250" t="s">
        <v>17</v>
      </c>
      <c r="AG35" s="61" t="s">
        <v>18</v>
      </c>
      <c r="AH35" s="151">
        <v>21</v>
      </c>
      <c r="AI35" s="152">
        <v>0</v>
      </c>
      <c r="AJ35" s="152">
        <v>0</v>
      </c>
      <c r="AK35" s="152">
        <v>955</v>
      </c>
      <c r="AL35" s="152">
        <v>326</v>
      </c>
      <c r="AM35" s="152">
        <v>164</v>
      </c>
      <c r="AN35" s="152">
        <v>101</v>
      </c>
      <c r="AO35" s="153">
        <v>0</v>
      </c>
      <c r="AP35" s="153">
        <v>0</v>
      </c>
      <c r="AQ35" s="153">
        <v>0</v>
      </c>
      <c r="AR35" s="152">
        <v>0</v>
      </c>
      <c r="AS35" s="44"/>
      <c r="AT35" s="228" t="s">
        <v>35</v>
      </c>
      <c r="AU35" s="250" t="s">
        <v>17</v>
      </c>
      <c r="AV35" s="61" t="s">
        <v>18</v>
      </c>
      <c r="AW35" s="151">
        <v>20</v>
      </c>
      <c r="AX35" s="152">
        <v>0</v>
      </c>
      <c r="AY35" s="152">
        <v>0</v>
      </c>
      <c r="AZ35" s="152">
        <v>953</v>
      </c>
      <c r="BA35" s="152">
        <v>324</v>
      </c>
      <c r="BB35" s="152">
        <v>163</v>
      </c>
      <c r="BC35" s="152">
        <v>130</v>
      </c>
      <c r="BD35" s="153">
        <v>0</v>
      </c>
      <c r="BE35" s="153">
        <v>0</v>
      </c>
      <c r="BF35" s="153">
        <v>0</v>
      </c>
      <c r="BG35" s="152">
        <v>0</v>
      </c>
      <c r="BH35" s="44"/>
      <c r="BI35" s="228" t="s">
        <v>35</v>
      </c>
      <c r="BJ35" s="250" t="s">
        <v>17</v>
      </c>
      <c r="BK35" s="61" t="s">
        <v>18</v>
      </c>
      <c r="BL35" s="111">
        <v>20</v>
      </c>
      <c r="BM35" s="111">
        <v>0</v>
      </c>
      <c r="BN35" s="111">
        <v>0</v>
      </c>
      <c r="BO35" s="111">
        <v>953</v>
      </c>
      <c r="BP35" s="111">
        <v>324</v>
      </c>
      <c r="BQ35" s="111">
        <v>163</v>
      </c>
      <c r="BR35" s="111">
        <v>98</v>
      </c>
      <c r="BS35" s="111">
        <v>0</v>
      </c>
      <c r="BT35" s="112">
        <v>0</v>
      </c>
      <c r="BU35" s="112">
        <v>0</v>
      </c>
      <c r="BV35" s="113">
        <v>0</v>
      </c>
      <c r="BW35" s="44"/>
      <c r="BX35" s="228" t="s">
        <v>35</v>
      </c>
      <c r="BY35" s="250" t="s">
        <v>17</v>
      </c>
      <c r="BZ35" s="61" t="s">
        <v>18</v>
      </c>
      <c r="CA35" s="111">
        <v>22</v>
      </c>
      <c r="CB35" s="111">
        <v>0</v>
      </c>
      <c r="CC35" s="111">
        <v>0</v>
      </c>
      <c r="CD35" s="111">
        <v>953</v>
      </c>
      <c r="CE35" s="111">
        <v>324</v>
      </c>
      <c r="CF35" s="111">
        <v>163</v>
      </c>
      <c r="CG35" s="157">
        <v>121</v>
      </c>
      <c r="CH35" s="111">
        <v>0</v>
      </c>
      <c r="CI35" s="112">
        <v>0</v>
      </c>
      <c r="CJ35" s="112">
        <v>0</v>
      </c>
      <c r="CK35" s="113">
        <v>0</v>
      </c>
      <c r="CL35" s="44"/>
      <c r="CM35" s="228" t="s">
        <v>35</v>
      </c>
      <c r="CN35" s="250" t="s">
        <v>17</v>
      </c>
      <c r="CO35" s="61" t="s">
        <v>18</v>
      </c>
      <c r="CP35" s="157">
        <v>19</v>
      </c>
      <c r="CQ35" s="158">
        <v>0</v>
      </c>
      <c r="CR35" s="158">
        <v>0</v>
      </c>
      <c r="CS35" s="158">
        <v>952</v>
      </c>
      <c r="CT35" s="158">
        <v>324</v>
      </c>
      <c r="CU35" s="158">
        <v>162</v>
      </c>
      <c r="CV35" s="158">
        <v>101</v>
      </c>
      <c r="CW35" s="159">
        <v>0</v>
      </c>
      <c r="CX35" s="159">
        <v>0</v>
      </c>
      <c r="CY35" s="159">
        <v>0</v>
      </c>
      <c r="CZ35" s="158">
        <v>0</v>
      </c>
      <c r="DA35" s="44"/>
      <c r="DB35" s="228" t="s">
        <v>35</v>
      </c>
      <c r="DC35" s="250" t="s">
        <v>17</v>
      </c>
      <c r="DD35" s="61" t="s">
        <v>18</v>
      </c>
      <c r="DE35" s="198">
        <v>3</v>
      </c>
      <c r="DF35" s="199">
        <v>0</v>
      </c>
      <c r="DG35" s="199">
        <v>2</v>
      </c>
      <c r="DH35" s="199">
        <v>334</v>
      </c>
      <c r="DI35" s="199">
        <v>1</v>
      </c>
      <c r="DJ35" s="199">
        <v>23</v>
      </c>
      <c r="DK35" s="199">
        <v>121</v>
      </c>
      <c r="DL35" s="179">
        <v>0</v>
      </c>
      <c r="DM35" s="180">
        <v>0</v>
      </c>
      <c r="DN35" s="180">
        <v>0</v>
      </c>
      <c r="DO35" s="181">
        <v>0</v>
      </c>
      <c r="DP35" s="44"/>
      <c r="DQ35" s="228" t="s">
        <v>35</v>
      </c>
      <c r="DR35" s="250" t="s">
        <v>17</v>
      </c>
      <c r="DS35" s="61" t="s">
        <v>18</v>
      </c>
      <c r="DT35" s="179">
        <v>8</v>
      </c>
      <c r="DU35" s="179">
        <v>0</v>
      </c>
      <c r="DV35" s="179">
        <v>0</v>
      </c>
      <c r="DW35" s="179">
        <v>904</v>
      </c>
      <c r="DX35" s="179">
        <v>104</v>
      </c>
      <c r="DY35" s="179">
        <v>171</v>
      </c>
      <c r="DZ35" s="179">
        <v>122</v>
      </c>
      <c r="EA35" s="179">
        <v>0</v>
      </c>
      <c r="EB35" s="180">
        <v>0</v>
      </c>
      <c r="EC35" s="180">
        <v>0</v>
      </c>
      <c r="ED35" s="181">
        <v>0</v>
      </c>
      <c r="EE35" s="44"/>
      <c r="EF35" s="228" t="s">
        <v>35</v>
      </c>
      <c r="EG35" s="250" t="s">
        <v>17</v>
      </c>
      <c r="EH35" s="61" t="s">
        <v>18</v>
      </c>
      <c r="EI35" s="179">
        <v>8</v>
      </c>
      <c r="EJ35" s="179">
        <v>0</v>
      </c>
      <c r="EK35" s="179">
        <v>0</v>
      </c>
      <c r="EL35" s="179">
        <v>904</v>
      </c>
      <c r="EM35" s="179">
        <v>104</v>
      </c>
      <c r="EN35" s="179">
        <v>171</v>
      </c>
      <c r="EO35" s="111">
        <v>88</v>
      </c>
      <c r="EP35" s="111">
        <v>0</v>
      </c>
      <c r="EQ35" s="112">
        <v>0</v>
      </c>
      <c r="ER35" s="112">
        <v>0</v>
      </c>
      <c r="ES35" s="113">
        <v>0</v>
      </c>
      <c r="ET35" s="44"/>
      <c r="EU35" s="228" t="s">
        <v>35</v>
      </c>
      <c r="EV35" s="250" t="s">
        <v>17</v>
      </c>
      <c r="EW35" s="61" t="s">
        <v>18</v>
      </c>
      <c r="EX35" s="111">
        <v>0</v>
      </c>
      <c r="EY35" s="111">
        <v>0</v>
      </c>
      <c r="EZ35" s="111">
        <v>0</v>
      </c>
      <c r="FA35" s="111">
        <v>0</v>
      </c>
      <c r="FB35" s="111">
        <v>0</v>
      </c>
      <c r="FC35" s="111">
        <v>0</v>
      </c>
      <c r="FD35" s="111">
        <v>0</v>
      </c>
      <c r="FE35" s="111">
        <v>0</v>
      </c>
      <c r="FF35" s="112">
        <v>0</v>
      </c>
      <c r="FG35" s="112">
        <v>0</v>
      </c>
      <c r="FH35" s="113">
        <v>0</v>
      </c>
      <c r="FI35" s="44"/>
      <c r="FJ35" s="228" t="s">
        <v>35</v>
      </c>
      <c r="FK35" s="250" t="s">
        <v>17</v>
      </c>
      <c r="FL35" s="61" t="s">
        <v>18</v>
      </c>
      <c r="FM35" s="111">
        <v>0</v>
      </c>
      <c r="FN35" s="111">
        <v>0</v>
      </c>
      <c r="FO35" s="111">
        <v>0</v>
      </c>
      <c r="FP35" s="111">
        <v>0</v>
      </c>
      <c r="FQ35" s="111">
        <v>0</v>
      </c>
      <c r="FR35" s="111">
        <v>0</v>
      </c>
      <c r="FS35" s="111">
        <v>0</v>
      </c>
      <c r="FT35" s="111">
        <v>0</v>
      </c>
      <c r="FU35" s="112">
        <v>0</v>
      </c>
      <c r="FV35" s="112">
        <v>0</v>
      </c>
      <c r="FW35" s="113">
        <v>0</v>
      </c>
      <c r="FX35" s="44"/>
      <c r="FY35" s="228" t="str">
        <f>(FJ35)</f>
        <v>قويزة</v>
      </c>
      <c r="FZ35" s="126" t="s">
        <v>17</v>
      </c>
      <c r="GA35" s="62" t="s">
        <v>18</v>
      </c>
      <c r="GB35" s="63">
        <f>SUM(FM35)</f>
        <v>0</v>
      </c>
      <c r="GC35" s="64">
        <f t="shared" ref="GC35:GC38" si="110">(E35+T35+AI35+AX35+BM35+CB35+CQ35+DF35+DU35+EJ35+EY35+FN35)</f>
        <v>0</v>
      </c>
      <c r="GD35" s="64">
        <f t="shared" ref="GD35:GD38" si="111">(F35+U35+AJ35+AY35+BN35+CC35+CR35+DG35+DV35+EK35+EZ35+FO35)</f>
        <v>2</v>
      </c>
      <c r="GE35" s="64">
        <f t="shared" ref="GE35:GE38" si="112">SUM(FP35)</f>
        <v>0</v>
      </c>
      <c r="GF35" s="64">
        <f t="shared" ref="GF35:GF38" si="113">SUM(FQ35)</f>
        <v>0</v>
      </c>
      <c r="GG35" s="64">
        <f t="shared" ref="GG35:GG38" si="114">SUM(FR35)</f>
        <v>0</v>
      </c>
      <c r="GH35" s="64">
        <f t="shared" ref="GH35:GH38" si="115">(J35+Y35+AN35+BC35+BR35+CG35+CV35+DK35+DZ35+EO35+FD35+FS35)</f>
        <v>1083</v>
      </c>
      <c r="GI35" s="64">
        <f t="shared" ref="GI35:GI38" si="116">(K35+Z35+AO35+BD35+BS35+CH35+CW35+DL35+EA35+EP35+FE35+FT35)</f>
        <v>0</v>
      </c>
      <c r="GJ35" s="64">
        <f t="shared" ref="GJ35:GJ38" si="117">(L35+AA35+AP35+BE35+BT35+CI35+CX35+DM35+EB35+EQ35+FF35+FU35)</f>
        <v>0</v>
      </c>
      <c r="GK35" s="64">
        <f t="shared" ref="GK35:GK38" si="118">(M35+AB35+AQ35+BF35+BU35+CJ35+CY35+DN35+EC35+ER35+FG35+FV35)</f>
        <v>0</v>
      </c>
      <c r="GL35" s="64">
        <f t="shared" ref="GL35:GL38" si="119">(N35+AC35+AR35+BG35+BV35+CK35+CZ35+DO35+ED35+ES35+FH35+FW35)</f>
        <v>0</v>
      </c>
      <c r="GM35" s="44"/>
    </row>
    <row r="36" spans="1:195" ht="17.100000000000001" customHeight="1" thickBot="1" x14ac:dyDescent="0.25">
      <c r="A36" s="229"/>
      <c r="B36" s="251"/>
      <c r="C36" s="65" t="s">
        <v>19</v>
      </c>
      <c r="D36" s="154">
        <v>22</v>
      </c>
      <c r="E36" s="155">
        <v>0</v>
      </c>
      <c r="F36" s="155">
        <v>0</v>
      </c>
      <c r="G36" s="155">
        <v>1074</v>
      </c>
      <c r="H36" s="155">
        <v>225</v>
      </c>
      <c r="I36" s="155">
        <v>145</v>
      </c>
      <c r="J36" s="155">
        <v>84</v>
      </c>
      <c r="K36" s="156">
        <v>0</v>
      </c>
      <c r="L36" s="156">
        <v>0</v>
      </c>
      <c r="M36" s="156">
        <v>0</v>
      </c>
      <c r="N36" s="155">
        <v>0</v>
      </c>
      <c r="O36" s="44"/>
      <c r="P36" s="229"/>
      <c r="Q36" s="251"/>
      <c r="R36" s="65" t="s">
        <v>19</v>
      </c>
      <c r="S36" s="154">
        <v>22</v>
      </c>
      <c r="T36" s="155">
        <v>0</v>
      </c>
      <c r="U36" s="155">
        <v>0</v>
      </c>
      <c r="V36" s="155">
        <v>175</v>
      </c>
      <c r="W36" s="155">
        <v>226</v>
      </c>
      <c r="X36" s="155">
        <v>145</v>
      </c>
      <c r="Y36" s="155">
        <v>105</v>
      </c>
      <c r="Z36" s="156">
        <v>0</v>
      </c>
      <c r="AA36" s="156">
        <v>0</v>
      </c>
      <c r="AB36" s="156">
        <v>0</v>
      </c>
      <c r="AC36" s="155">
        <v>0</v>
      </c>
      <c r="AD36" s="44"/>
      <c r="AE36" s="229"/>
      <c r="AF36" s="251"/>
      <c r="AG36" s="65" t="s">
        <v>19</v>
      </c>
      <c r="AH36" s="154">
        <v>22</v>
      </c>
      <c r="AI36" s="155">
        <v>0</v>
      </c>
      <c r="AJ36" s="155">
        <v>0</v>
      </c>
      <c r="AK36" s="155">
        <v>177</v>
      </c>
      <c r="AL36" s="155">
        <v>231</v>
      </c>
      <c r="AM36" s="155">
        <v>149</v>
      </c>
      <c r="AN36" s="155">
        <v>99</v>
      </c>
      <c r="AO36" s="156">
        <v>0</v>
      </c>
      <c r="AP36" s="156">
        <v>0</v>
      </c>
      <c r="AQ36" s="156">
        <v>0</v>
      </c>
      <c r="AR36" s="155">
        <v>0</v>
      </c>
      <c r="AS36" s="44"/>
      <c r="AT36" s="229"/>
      <c r="AU36" s="251"/>
      <c r="AV36" s="65" t="s">
        <v>19</v>
      </c>
      <c r="AW36" s="154">
        <v>21</v>
      </c>
      <c r="AX36" s="155">
        <v>0</v>
      </c>
      <c r="AY36" s="155">
        <v>0</v>
      </c>
      <c r="AZ36" s="155">
        <v>175</v>
      </c>
      <c r="BA36" s="155">
        <v>226</v>
      </c>
      <c r="BB36" s="155">
        <v>145</v>
      </c>
      <c r="BC36" s="155">
        <v>144</v>
      </c>
      <c r="BD36" s="156">
        <v>0</v>
      </c>
      <c r="BE36" s="156">
        <v>0</v>
      </c>
      <c r="BF36" s="156">
        <v>0</v>
      </c>
      <c r="BG36" s="155">
        <v>0</v>
      </c>
      <c r="BH36" s="44"/>
      <c r="BI36" s="229"/>
      <c r="BJ36" s="251"/>
      <c r="BK36" s="65" t="s">
        <v>19</v>
      </c>
      <c r="BL36" s="114">
        <v>21</v>
      </c>
      <c r="BM36" s="114">
        <v>0</v>
      </c>
      <c r="BN36" s="114">
        <v>0</v>
      </c>
      <c r="BO36" s="114">
        <v>175</v>
      </c>
      <c r="BP36" s="114">
        <v>226</v>
      </c>
      <c r="BQ36" s="114">
        <v>145</v>
      </c>
      <c r="BR36" s="114">
        <v>91</v>
      </c>
      <c r="BS36" s="114">
        <v>0</v>
      </c>
      <c r="BT36" s="115">
        <v>0</v>
      </c>
      <c r="BU36" s="115">
        <v>0</v>
      </c>
      <c r="BV36" s="116">
        <v>0</v>
      </c>
      <c r="BW36" s="44"/>
      <c r="BX36" s="229"/>
      <c r="BY36" s="251"/>
      <c r="BZ36" s="65" t="s">
        <v>19</v>
      </c>
      <c r="CA36" s="114">
        <v>23</v>
      </c>
      <c r="CB36" s="114">
        <v>0</v>
      </c>
      <c r="CC36" s="114">
        <v>0</v>
      </c>
      <c r="CD36" s="114">
        <v>175</v>
      </c>
      <c r="CE36" s="114">
        <v>226</v>
      </c>
      <c r="CF36" s="114">
        <v>145</v>
      </c>
      <c r="CG36" s="154">
        <v>110</v>
      </c>
      <c r="CH36" s="114">
        <v>0</v>
      </c>
      <c r="CI36" s="115">
        <v>0</v>
      </c>
      <c r="CJ36" s="115">
        <v>0</v>
      </c>
      <c r="CK36" s="116">
        <v>0</v>
      </c>
      <c r="CL36" s="44"/>
      <c r="CM36" s="229"/>
      <c r="CN36" s="251"/>
      <c r="CO36" s="65" t="s">
        <v>19</v>
      </c>
      <c r="CP36" s="154">
        <v>22</v>
      </c>
      <c r="CQ36" s="155">
        <v>0</v>
      </c>
      <c r="CR36" s="155">
        <v>0</v>
      </c>
      <c r="CS36" s="155">
        <v>1074</v>
      </c>
      <c r="CT36" s="155">
        <v>225</v>
      </c>
      <c r="CU36" s="155">
        <v>145</v>
      </c>
      <c r="CV36" s="155">
        <v>99</v>
      </c>
      <c r="CW36" s="156">
        <v>0</v>
      </c>
      <c r="CX36" s="156">
        <v>0</v>
      </c>
      <c r="CY36" s="156">
        <v>0</v>
      </c>
      <c r="CZ36" s="155">
        <v>0</v>
      </c>
      <c r="DA36" s="44"/>
      <c r="DB36" s="229"/>
      <c r="DC36" s="251"/>
      <c r="DD36" s="65" t="s">
        <v>19</v>
      </c>
      <c r="DE36" s="200">
        <v>9</v>
      </c>
      <c r="DF36" s="201">
        <v>0</v>
      </c>
      <c r="DG36" s="201">
        <v>5</v>
      </c>
      <c r="DH36" s="201">
        <v>332</v>
      </c>
      <c r="DI36" s="201">
        <v>0</v>
      </c>
      <c r="DJ36" s="201">
        <v>18</v>
      </c>
      <c r="DK36" s="201">
        <v>110</v>
      </c>
      <c r="DL36" s="182">
        <v>0</v>
      </c>
      <c r="DM36" s="183">
        <v>0</v>
      </c>
      <c r="DN36" s="183">
        <v>0</v>
      </c>
      <c r="DO36" s="184">
        <v>0</v>
      </c>
      <c r="DP36" s="44"/>
      <c r="DQ36" s="229"/>
      <c r="DR36" s="251"/>
      <c r="DS36" s="65" t="s">
        <v>19</v>
      </c>
      <c r="DT36" s="182">
        <v>8</v>
      </c>
      <c r="DU36" s="182">
        <v>0</v>
      </c>
      <c r="DV36" s="182">
        <v>0</v>
      </c>
      <c r="DW36" s="182">
        <v>1179</v>
      </c>
      <c r="DX36" s="182">
        <v>69</v>
      </c>
      <c r="DY36" s="182">
        <v>147</v>
      </c>
      <c r="DZ36" s="182">
        <v>83</v>
      </c>
      <c r="EA36" s="182">
        <v>0</v>
      </c>
      <c r="EB36" s="183">
        <v>0</v>
      </c>
      <c r="EC36" s="183">
        <v>0</v>
      </c>
      <c r="ED36" s="184">
        <v>0</v>
      </c>
      <c r="EE36" s="44"/>
      <c r="EF36" s="229"/>
      <c r="EG36" s="251"/>
      <c r="EH36" s="65" t="s">
        <v>19</v>
      </c>
      <c r="EI36" s="182">
        <v>8</v>
      </c>
      <c r="EJ36" s="182">
        <v>0</v>
      </c>
      <c r="EK36" s="182">
        <v>0</v>
      </c>
      <c r="EL36" s="182">
        <v>1179</v>
      </c>
      <c r="EM36" s="182">
        <v>69</v>
      </c>
      <c r="EN36" s="182">
        <v>147</v>
      </c>
      <c r="EO36" s="114">
        <v>82</v>
      </c>
      <c r="EP36" s="114">
        <v>0</v>
      </c>
      <c r="EQ36" s="115">
        <v>0</v>
      </c>
      <c r="ER36" s="115">
        <v>0</v>
      </c>
      <c r="ES36" s="116">
        <v>0</v>
      </c>
      <c r="ET36" s="44"/>
      <c r="EU36" s="229"/>
      <c r="EV36" s="251"/>
      <c r="EW36" s="65" t="s">
        <v>19</v>
      </c>
      <c r="EX36" s="114">
        <v>0</v>
      </c>
      <c r="EY36" s="114">
        <v>0</v>
      </c>
      <c r="EZ36" s="114">
        <v>0</v>
      </c>
      <c r="FA36" s="114">
        <v>0</v>
      </c>
      <c r="FB36" s="114">
        <v>0</v>
      </c>
      <c r="FC36" s="114">
        <v>0</v>
      </c>
      <c r="FD36" s="114">
        <v>0</v>
      </c>
      <c r="FE36" s="114">
        <v>0</v>
      </c>
      <c r="FF36" s="115">
        <v>0</v>
      </c>
      <c r="FG36" s="115">
        <v>0</v>
      </c>
      <c r="FH36" s="116">
        <v>0</v>
      </c>
      <c r="FI36" s="44"/>
      <c r="FJ36" s="229"/>
      <c r="FK36" s="251"/>
      <c r="FL36" s="65" t="s">
        <v>19</v>
      </c>
      <c r="FM36" s="114">
        <v>0</v>
      </c>
      <c r="FN36" s="114">
        <v>0</v>
      </c>
      <c r="FO36" s="114">
        <v>0</v>
      </c>
      <c r="FP36" s="114">
        <v>0</v>
      </c>
      <c r="FQ36" s="114">
        <v>0</v>
      </c>
      <c r="FR36" s="114">
        <v>0</v>
      </c>
      <c r="FS36" s="114">
        <v>0</v>
      </c>
      <c r="FT36" s="114">
        <v>0</v>
      </c>
      <c r="FU36" s="115">
        <v>0</v>
      </c>
      <c r="FV36" s="115">
        <v>0</v>
      </c>
      <c r="FW36" s="116">
        <v>0</v>
      </c>
      <c r="FX36" s="44"/>
      <c r="FY36" s="229"/>
      <c r="FZ36" s="127"/>
      <c r="GA36" s="66" t="s">
        <v>19</v>
      </c>
      <c r="GB36" s="67">
        <f>SUM(FM36)</f>
        <v>0</v>
      </c>
      <c r="GC36" s="68">
        <f t="shared" si="110"/>
        <v>0</v>
      </c>
      <c r="GD36" s="68">
        <f t="shared" si="111"/>
        <v>5</v>
      </c>
      <c r="GE36" s="68">
        <f t="shared" si="112"/>
        <v>0</v>
      </c>
      <c r="GF36" s="68">
        <f t="shared" si="113"/>
        <v>0</v>
      </c>
      <c r="GG36" s="68">
        <f t="shared" si="114"/>
        <v>0</v>
      </c>
      <c r="GH36" s="68">
        <f t="shared" si="115"/>
        <v>1007</v>
      </c>
      <c r="GI36" s="68">
        <f t="shared" si="116"/>
        <v>0</v>
      </c>
      <c r="GJ36" s="68">
        <f t="shared" si="117"/>
        <v>0</v>
      </c>
      <c r="GK36" s="68">
        <f t="shared" si="118"/>
        <v>0</v>
      </c>
      <c r="GL36" s="68">
        <f t="shared" si="119"/>
        <v>0</v>
      </c>
      <c r="GM36" s="44"/>
    </row>
    <row r="37" spans="1:195" ht="17.100000000000001" customHeight="1" thickBot="1" x14ac:dyDescent="0.25">
      <c r="A37" s="229"/>
      <c r="B37" s="69" t="s">
        <v>20</v>
      </c>
      <c r="C37" s="70" t="s">
        <v>18</v>
      </c>
      <c r="D37" s="157">
        <v>0</v>
      </c>
      <c r="E37" s="158">
        <v>0</v>
      </c>
      <c r="F37" s="158">
        <v>0</v>
      </c>
      <c r="G37" s="158">
        <v>0</v>
      </c>
      <c r="H37" s="158">
        <v>0</v>
      </c>
      <c r="I37" s="158">
        <v>0</v>
      </c>
      <c r="J37" s="158">
        <v>19</v>
      </c>
      <c r="K37" s="159">
        <v>0</v>
      </c>
      <c r="L37" s="159">
        <v>0</v>
      </c>
      <c r="M37" s="159">
        <v>0</v>
      </c>
      <c r="N37" s="158">
        <v>0</v>
      </c>
      <c r="O37" s="44"/>
      <c r="P37" s="229"/>
      <c r="Q37" s="69" t="s">
        <v>20</v>
      </c>
      <c r="R37" s="70" t="s">
        <v>18</v>
      </c>
      <c r="S37" s="157">
        <v>0</v>
      </c>
      <c r="T37" s="158">
        <v>0</v>
      </c>
      <c r="U37" s="158">
        <v>0</v>
      </c>
      <c r="V37" s="158">
        <v>0</v>
      </c>
      <c r="W37" s="158">
        <v>0</v>
      </c>
      <c r="X37" s="158">
        <v>0</v>
      </c>
      <c r="Y37" s="158">
        <v>0</v>
      </c>
      <c r="Z37" s="159">
        <v>0</v>
      </c>
      <c r="AA37" s="159">
        <v>0</v>
      </c>
      <c r="AB37" s="159">
        <v>0</v>
      </c>
      <c r="AC37" s="158">
        <v>0</v>
      </c>
      <c r="AD37" s="44"/>
      <c r="AE37" s="229"/>
      <c r="AF37" s="69" t="s">
        <v>20</v>
      </c>
      <c r="AG37" s="70" t="s">
        <v>18</v>
      </c>
      <c r="AH37" s="157">
        <v>0</v>
      </c>
      <c r="AI37" s="158">
        <v>0</v>
      </c>
      <c r="AJ37" s="158">
        <v>0</v>
      </c>
      <c r="AK37" s="158">
        <v>0</v>
      </c>
      <c r="AL37" s="158">
        <v>0</v>
      </c>
      <c r="AM37" s="158">
        <v>0</v>
      </c>
      <c r="AN37" s="158">
        <v>0</v>
      </c>
      <c r="AO37" s="159">
        <v>0</v>
      </c>
      <c r="AP37" s="159">
        <v>0</v>
      </c>
      <c r="AQ37" s="159">
        <v>0</v>
      </c>
      <c r="AR37" s="158">
        <v>0</v>
      </c>
      <c r="AS37" s="44"/>
      <c r="AT37" s="229"/>
      <c r="AU37" s="69" t="s">
        <v>20</v>
      </c>
      <c r="AV37" s="70" t="s">
        <v>18</v>
      </c>
      <c r="AW37" s="157">
        <v>0</v>
      </c>
      <c r="AX37" s="158">
        <v>0</v>
      </c>
      <c r="AY37" s="158">
        <v>0</v>
      </c>
      <c r="AZ37" s="158">
        <v>0</v>
      </c>
      <c r="BA37" s="158">
        <v>0</v>
      </c>
      <c r="BB37" s="158">
        <v>0</v>
      </c>
      <c r="BC37" s="158">
        <v>0</v>
      </c>
      <c r="BD37" s="159">
        <v>0</v>
      </c>
      <c r="BE37" s="159">
        <v>0</v>
      </c>
      <c r="BF37" s="159">
        <v>0</v>
      </c>
      <c r="BG37" s="158">
        <v>0</v>
      </c>
      <c r="BH37" s="44"/>
      <c r="BI37" s="229"/>
      <c r="BJ37" s="69" t="s">
        <v>20</v>
      </c>
      <c r="BK37" s="70" t="s">
        <v>18</v>
      </c>
      <c r="BL37" s="111">
        <v>0</v>
      </c>
      <c r="BM37" s="111">
        <v>0</v>
      </c>
      <c r="BN37" s="111">
        <v>0</v>
      </c>
      <c r="BO37" s="111">
        <v>0</v>
      </c>
      <c r="BP37" s="111">
        <v>0</v>
      </c>
      <c r="BQ37" s="111">
        <v>0</v>
      </c>
      <c r="BR37" s="111">
        <v>0</v>
      </c>
      <c r="BS37" s="117">
        <v>0</v>
      </c>
      <c r="BT37" s="118">
        <v>0</v>
      </c>
      <c r="BU37" s="118">
        <v>0</v>
      </c>
      <c r="BV37" s="119">
        <v>0</v>
      </c>
      <c r="BW37" s="44"/>
      <c r="BX37" s="229"/>
      <c r="BY37" s="69" t="s">
        <v>20</v>
      </c>
      <c r="BZ37" s="70" t="s">
        <v>18</v>
      </c>
      <c r="CA37" s="111">
        <v>0</v>
      </c>
      <c r="CB37" s="111">
        <v>0</v>
      </c>
      <c r="CC37" s="111">
        <v>0</v>
      </c>
      <c r="CD37" s="111">
        <v>0</v>
      </c>
      <c r="CE37" s="111">
        <v>0</v>
      </c>
      <c r="CF37" s="111">
        <v>0</v>
      </c>
      <c r="CG37" s="157">
        <v>21</v>
      </c>
      <c r="CH37" s="117">
        <v>0</v>
      </c>
      <c r="CI37" s="118">
        <v>0</v>
      </c>
      <c r="CJ37" s="118">
        <v>0</v>
      </c>
      <c r="CK37" s="119">
        <v>0</v>
      </c>
      <c r="CL37" s="44"/>
      <c r="CM37" s="229"/>
      <c r="CN37" s="69" t="s">
        <v>20</v>
      </c>
      <c r="CO37" s="70" t="s">
        <v>18</v>
      </c>
      <c r="CP37" s="157">
        <v>0</v>
      </c>
      <c r="CQ37" s="158">
        <v>0</v>
      </c>
      <c r="CR37" s="158">
        <v>0</v>
      </c>
      <c r="CS37" s="158">
        <v>0</v>
      </c>
      <c r="CT37" s="158">
        <v>0</v>
      </c>
      <c r="CU37" s="158">
        <v>0</v>
      </c>
      <c r="CV37" s="158">
        <v>11</v>
      </c>
      <c r="CW37" s="159">
        <v>0</v>
      </c>
      <c r="CX37" s="159">
        <v>0</v>
      </c>
      <c r="CY37" s="159">
        <v>0</v>
      </c>
      <c r="CZ37" s="158">
        <v>0</v>
      </c>
      <c r="DA37" s="44"/>
      <c r="DB37" s="229"/>
      <c r="DC37" s="69" t="s">
        <v>20</v>
      </c>
      <c r="DD37" s="70" t="s">
        <v>18</v>
      </c>
      <c r="DE37" s="202">
        <v>0</v>
      </c>
      <c r="DF37" s="203">
        <v>0</v>
      </c>
      <c r="DG37" s="203">
        <v>0</v>
      </c>
      <c r="DH37" s="203">
        <v>0</v>
      </c>
      <c r="DI37" s="203">
        <v>0</v>
      </c>
      <c r="DJ37" s="203">
        <v>0</v>
      </c>
      <c r="DK37" s="203">
        <v>21</v>
      </c>
      <c r="DL37" s="185">
        <v>0</v>
      </c>
      <c r="DM37" s="186">
        <v>0</v>
      </c>
      <c r="DN37" s="186">
        <v>0</v>
      </c>
      <c r="DO37" s="187">
        <v>0</v>
      </c>
      <c r="DP37" s="44"/>
      <c r="DQ37" s="229"/>
      <c r="DR37" s="69" t="s">
        <v>20</v>
      </c>
      <c r="DS37" s="70" t="s">
        <v>18</v>
      </c>
      <c r="DT37" s="179">
        <v>0</v>
      </c>
      <c r="DU37" s="179">
        <v>0</v>
      </c>
      <c r="DV37" s="179">
        <v>0</v>
      </c>
      <c r="DW37" s="179">
        <v>0</v>
      </c>
      <c r="DX37" s="179">
        <v>0</v>
      </c>
      <c r="DY37" s="179">
        <v>0</v>
      </c>
      <c r="DZ37" s="179">
        <v>30</v>
      </c>
      <c r="EA37" s="185">
        <v>0</v>
      </c>
      <c r="EB37" s="186">
        <v>0</v>
      </c>
      <c r="EC37" s="186">
        <v>0</v>
      </c>
      <c r="ED37" s="187">
        <v>0</v>
      </c>
      <c r="EE37" s="44"/>
      <c r="EF37" s="229"/>
      <c r="EG37" s="69" t="s">
        <v>20</v>
      </c>
      <c r="EH37" s="70" t="s">
        <v>18</v>
      </c>
      <c r="EI37" s="179">
        <v>0</v>
      </c>
      <c r="EJ37" s="179">
        <v>0</v>
      </c>
      <c r="EK37" s="179">
        <v>0</v>
      </c>
      <c r="EL37" s="179">
        <v>0</v>
      </c>
      <c r="EM37" s="179">
        <v>0</v>
      </c>
      <c r="EN37" s="179">
        <v>0</v>
      </c>
      <c r="EO37" s="111">
        <v>0</v>
      </c>
      <c r="EP37" s="117">
        <v>0</v>
      </c>
      <c r="EQ37" s="118">
        <v>0</v>
      </c>
      <c r="ER37" s="118">
        <v>0</v>
      </c>
      <c r="ES37" s="119">
        <v>0</v>
      </c>
      <c r="ET37" s="44"/>
      <c r="EU37" s="229"/>
      <c r="EV37" s="69" t="s">
        <v>20</v>
      </c>
      <c r="EW37" s="70" t="s">
        <v>18</v>
      </c>
      <c r="EX37" s="111">
        <v>0</v>
      </c>
      <c r="EY37" s="111">
        <v>0</v>
      </c>
      <c r="EZ37" s="111">
        <v>0</v>
      </c>
      <c r="FA37" s="111">
        <v>0</v>
      </c>
      <c r="FB37" s="111">
        <v>0</v>
      </c>
      <c r="FC37" s="111">
        <v>0</v>
      </c>
      <c r="FD37" s="111">
        <v>0</v>
      </c>
      <c r="FE37" s="117">
        <v>0</v>
      </c>
      <c r="FF37" s="118">
        <v>0</v>
      </c>
      <c r="FG37" s="118">
        <v>0</v>
      </c>
      <c r="FH37" s="119">
        <v>0</v>
      </c>
      <c r="FI37" s="44"/>
      <c r="FJ37" s="229"/>
      <c r="FK37" s="69" t="s">
        <v>20</v>
      </c>
      <c r="FL37" s="70" t="s">
        <v>18</v>
      </c>
      <c r="FM37" s="111">
        <v>0</v>
      </c>
      <c r="FN37" s="111">
        <v>0</v>
      </c>
      <c r="FO37" s="111">
        <v>0</v>
      </c>
      <c r="FP37" s="111">
        <v>0</v>
      </c>
      <c r="FQ37" s="111">
        <v>0</v>
      </c>
      <c r="FR37" s="111">
        <v>0</v>
      </c>
      <c r="FS37" s="111">
        <v>0</v>
      </c>
      <c r="FT37" s="117">
        <v>0</v>
      </c>
      <c r="FU37" s="118">
        <v>0</v>
      </c>
      <c r="FV37" s="118">
        <v>0</v>
      </c>
      <c r="FW37" s="119">
        <v>0</v>
      </c>
      <c r="FX37" s="44"/>
      <c r="FY37" s="229"/>
      <c r="FZ37" s="69" t="s">
        <v>20</v>
      </c>
      <c r="GA37" s="71" t="s">
        <v>18</v>
      </c>
      <c r="GB37" s="63">
        <f>SUM(FM37)</f>
        <v>0</v>
      </c>
      <c r="GC37" s="72">
        <f t="shared" si="110"/>
        <v>0</v>
      </c>
      <c r="GD37" s="72">
        <f t="shared" si="111"/>
        <v>0</v>
      </c>
      <c r="GE37" s="72">
        <f t="shared" si="112"/>
        <v>0</v>
      </c>
      <c r="GF37" s="72">
        <f t="shared" si="113"/>
        <v>0</v>
      </c>
      <c r="GG37" s="72">
        <f t="shared" si="114"/>
        <v>0</v>
      </c>
      <c r="GH37" s="72">
        <f t="shared" si="115"/>
        <v>102</v>
      </c>
      <c r="GI37" s="72">
        <f t="shared" si="116"/>
        <v>0</v>
      </c>
      <c r="GJ37" s="72">
        <f t="shared" si="117"/>
        <v>0</v>
      </c>
      <c r="GK37" s="72">
        <f t="shared" si="118"/>
        <v>0</v>
      </c>
      <c r="GL37" s="72">
        <f t="shared" si="119"/>
        <v>0</v>
      </c>
      <c r="GM37" s="44"/>
    </row>
    <row r="38" spans="1:195" ht="17.100000000000001" customHeight="1" thickBot="1" x14ac:dyDescent="0.25">
      <c r="A38" s="229"/>
      <c r="B38" s="73" t="s">
        <v>17</v>
      </c>
      <c r="C38" s="74" t="s">
        <v>19</v>
      </c>
      <c r="D38" s="154">
        <v>0</v>
      </c>
      <c r="E38" s="155">
        <v>0</v>
      </c>
      <c r="F38" s="155">
        <v>0</v>
      </c>
      <c r="G38" s="155">
        <v>0</v>
      </c>
      <c r="H38" s="155">
        <v>0</v>
      </c>
      <c r="I38" s="155">
        <v>0</v>
      </c>
      <c r="J38" s="155">
        <v>25</v>
      </c>
      <c r="K38" s="156">
        <v>0</v>
      </c>
      <c r="L38" s="156">
        <v>0</v>
      </c>
      <c r="M38" s="156">
        <v>0</v>
      </c>
      <c r="N38" s="155">
        <v>0</v>
      </c>
      <c r="O38" s="44"/>
      <c r="P38" s="229"/>
      <c r="Q38" s="73" t="s">
        <v>17</v>
      </c>
      <c r="R38" s="74" t="s">
        <v>19</v>
      </c>
      <c r="S38" s="154">
        <v>0</v>
      </c>
      <c r="T38" s="155">
        <v>0</v>
      </c>
      <c r="U38" s="155">
        <v>0</v>
      </c>
      <c r="V38" s="155">
        <v>0</v>
      </c>
      <c r="W38" s="155">
        <v>0</v>
      </c>
      <c r="X38" s="155">
        <v>0</v>
      </c>
      <c r="Y38" s="155">
        <v>0</v>
      </c>
      <c r="Z38" s="156">
        <v>0</v>
      </c>
      <c r="AA38" s="156">
        <v>0</v>
      </c>
      <c r="AB38" s="156">
        <v>0</v>
      </c>
      <c r="AC38" s="155">
        <v>0</v>
      </c>
      <c r="AD38" s="44"/>
      <c r="AE38" s="229"/>
      <c r="AF38" s="73" t="s">
        <v>17</v>
      </c>
      <c r="AG38" s="74" t="s">
        <v>19</v>
      </c>
      <c r="AH38" s="154">
        <v>0</v>
      </c>
      <c r="AI38" s="155">
        <v>0</v>
      </c>
      <c r="AJ38" s="155">
        <v>0</v>
      </c>
      <c r="AK38" s="155">
        <v>0</v>
      </c>
      <c r="AL38" s="155">
        <v>0</v>
      </c>
      <c r="AM38" s="155">
        <v>0</v>
      </c>
      <c r="AN38" s="155">
        <v>0</v>
      </c>
      <c r="AO38" s="156">
        <v>0</v>
      </c>
      <c r="AP38" s="156">
        <v>0</v>
      </c>
      <c r="AQ38" s="156">
        <v>0</v>
      </c>
      <c r="AR38" s="155">
        <v>0</v>
      </c>
      <c r="AS38" s="44"/>
      <c r="AT38" s="229"/>
      <c r="AU38" s="73" t="s">
        <v>17</v>
      </c>
      <c r="AV38" s="74" t="s">
        <v>19</v>
      </c>
      <c r="AW38" s="154">
        <v>0</v>
      </c>
      <c r="AX38" s="155">
        <v>0</v>
      </c>
      <c r="AY38" s="155">
        <v>0</v>
      </c>
      <c r="AZ38" s="155">
        <v>0</v>
      </c>
      <c r="BA38" s="155">
        <v>0</v>
      </c>
      <c r="BB38" s="155">
        <v>0</v>
      </c>
      <c r="BC38" s="155">
        <v>0</v>
      </c>
      <c r="BD38" s="156">
        <v>0</v>
      </c>
      <c r="BE38" s="156">
        <v>0</v>
      </c>
      <c r="BF38" s="156">
        <v>0</v>
      </c>
      <c r="BG38" s="155">
        <v>0</v>
      </c>
      <c r="BH38" s="44"/>
      <c r="BI38" s="229"/>
      <c r="BJ38" s="73" t="s">
        <v>17</v>
      </c>
      <c r="BK38" s="74" t="s">
        <v>19</v>
      </c>
      <c r="BL38" s="114">
        <v>0</v>
      </c>
      <c r="BM38" s="114">
        <v>0</v>
      </c>
      <c r="BN38" s="114">
        <v>0</v>
      </c>
      <c r="BO38" s="114">
        <v>0</v>
      </c>
      <c r="BP38" s="114">
        <v>0</v>
      </c>
      <c r="BQ38" s="114">
        <v>0</v>
      </c>
      <c r="BR38" s="114">
        <v>0</v>
      </c>
      <c r="BS38" s="114">
        <v>0</v>
      </c>
      <c r="BT38" s="115">
        <v>0</v>
      </c>
      <c r="BU38" s="115">
        <v>0</v>
      </c>
      <c r="BV38" s="116">
        <v>0</v>
      </c>
      <c r="BW38" s="44"/>
      <c r="BX38" s="229"/>
      <c r="BY38" s="73" t="s">
        <v>17</v>
      </c>
      <c r="BZ38" s="74" t="s">
        <v>19</v>
      </c>
      <c r="CA38" s="114">
        <v>0</v>
      </c>
      <c r="CB38" s="114">
        <v>0</v>
      </c>
      <c r="CC38" s="114">
        <v>0</v>
      </c>
      <c r="CD38" s="114">
        <v>0</v>
      </c>
      <c r="CE38" s="114">
        <v>0</v>
      </c>
      <c r="CF38" s="114">
        <v>0</v>
      </c>
      <c r="CG38" s="154">
        <v>15</v>
      </c>
      <c r="CH38" s="114">
        <v>0</v>
      </c>
      <c r="CI38" s="115">
        <v>0</v>
      </c>
      <c r="CJ38" s="115">
        <v>0</v>
      </c>
      <c r="CK38" s="116">
        <v>0</v>
      </c>
      <c r="CL38" s="44"/>
      <c r="CM38" s="229"/>
      <c r="CN38" s="73" t="s">
        <v>17</v>
      </c>
      <c r="CO38" s="74" t="s">
        <v>19</v>
      </c>
      <c r="CP38" s="154">
        <v>0</v>
      </c>
      <c r="CQ38" s="155">
        <v>0</v>
      </c>
      <c r="CR38" s="155">
        <v>0</v>
      </c>
      <c r="CS38" s="155">
        <v>0</v>
      </c>
      <c r="CT38" s="155">
        <v>0</v>
      </c>
      <c r="CU38" s="155">
        <v>0</v>
      </c>
      <c r="CV38" s="155">
        <v>14</v>
      </c>
      <c r="CW38" s="156">
        <v>0</v>
      </c>
      <c r="CX38" s="156">
        <v>0</v>
      </c>
      <c r="CY38" s="156">
        <v>0</v>
      </c>
      <c r="CZ38" s="155">
        <v>0</v>
      </c>
      <c r="DA38" s="44"/>
      <c r="DB38" s="229"/>
      <c r="DC38" s="73" t="s">
        <v>17</v>
      </c>
      <c r="DD38" s="74" t="s">
        <v>19</v>
      </c>
      <c r="DE38" s="200">
        <v>0</v>
      </c>
      <c r="DF38" s="201">
        <v>0</v>
      </c>
      <c r="DG38" s="201">
        <v>0</v>
      </c>
      <c r="DH38" s="201">
        <v>0</v>
      </c>
      <c r="DI38" s="201">
        <v>0</v>
      </c>
      <c r="DJ38" s="201">
        <v>0</v>
      </c>
      <c r="DK38" s="201">
        <v>15</v>
      </c>
      <c r="DL38" s="182">
        <v>0</v>
      </c>
      <c r="DM38" s="183">
        <v>0</v>
      </c>
      <c r="DN38" s="183">
        <v>0</v>
      </c>
      <c r="DO38" s="184">
        <v>0</v>
      </c>
      <c r="DP38" s="44"/>
      <c r="DQ38" s="229"/>
      <c r="DR38" s="73" t="s">
        <v>17</v>
      </c>
      <c r="DS38" s="74" t="s">
        <v>19</v>
      </c>
      <c r="DT38" s="182">
        <v>0</v>
      </c>
      <c r="DU38" s="182">
        <v>0</v>
      </c>
      <c r="DV38" s="182">
        <v>0</v>
      </c>
      <c r="DW38" s="182">
        <v>0</v>
      </c>
      <c r="DX38" s="182">
        <v>0</v>
      </c>
      <c r="DY38" s="182">
        <v>0</v>
      </c>
      <c r="DZ38" s="182">
        <v>21</v>
      </c>
      <c r="EA38" s="182">
        <v>0</v>
      </c>
      <c r="EB38" s="183">
        <v>0</v>
      </c>
      <c r="EC38" s="183">
        <v>0</v>
      </c>
      <c r="ED38" s="184">
        <v>0</v>
      </c>
      <c r="EE38" s="44"/>
      <c r="EF38" s="229"/>
      <c r="EG38" s="73" t="s">
        <v>17</v>
      </c>
      <c r="EH38" s="74" t="s">
        <v>19</v>
      </c>
      <c r="EI38" s="182">
        <v>0</v>
      </c>
      <c r="EJ38" s="182">
        <v>0</v>
      </c>
      <c r="EK38" s="182">
        <v>0</v>
      </c>
      <c r="EL38" s="182">
        <v>0</v>
      </c>
      <c r="EM38" s="182">
        <v>0</v>
      </c>
      <c r="EN38" s="182">
        <v>0</v>
      </c>
      <c r="EO38" s="114">
        <v>0</v>
      </c>
      <c r="EP38" s="114">
        <v>0</v>
      </c>
      <c r="EQ38" s="115">
        <v>0</v>
      </c>
      <c r="ER38" s="115">
        <v>0</v>
      </c>
      <c r="ES38" s="116">
        <v>0</v>
      </c>
      <c r="ET38" s="44"/>
      <c r="EU38" s="229"/>
      <c r="EV38" s="73" t="s">
        <v>17</v>
      </c>
      <c r="EW38" s="74" t="s">
        <v>19</v>
      </c>
      <c r="EX38" s="114">
        <v>0</v>
      </c>
      <c r="EY38" s="114">
        <v>0</v>
      </c>
      <c r="EZ38" s="114">
        <v>0</v>
      </c>
      <c r="FA38" s="114">
        <v>0</v>
      </c>
      <c r="FB38" s="114">
        <v>0</v>
      </c>
      <c r="FC38" s="114">
        <v>0</v>
      </c>
      <c r="FD38" s="114">
        <v>0</v>
      </c>
      <c r="FE38" s="114">
        <v>0</v>
      </c>
      <c r="FF38" s="115">
        <v>0</v>
      </c>
      <c r="FG38" s="115">
        <v>0</v>
      </c>
      <c r="FH38" s="116">
        <v>0</v>
      </c>
      <c r="FI38" s="44"/>
      <c r="FJ38" s="229"/>
      <c r="FK38" s="73" t="s">
        <v>17</v>
      </c>
      <c r="FL38" s="74" t="s">
        <v>19</v>
      </c>
      <c r="FM38" s="114">
        <v>0</v>
      </c>
      <c r="FN38" s="114">
        <v>0</v>
      </c>
      <c r="FO38" s="114">
        <v>0</v>
      </c>
      <c r="FP38" s="114">
        <v>0</v>
      </c>
      <c r="FQ38" s="114">
        <v>0</v>
      </c>
      <c r="FR38" s="114">
        <v>0</v>
      </c>
      <c r="FS38" s="114">
        <v>0</v>
      </c>
      <c r="FT38" s="114">
        <v>0</v>
      </c>
      <c r="FU38" s="115">
        <v>0</v>
      </c>
      <c r="FV38" s="115">
        <v>0</v>
      </c>
      <c r="FW38" s="116">
        <v>0</v>
      </c>
      <c r="FX38" s="44"/>
      <c r="FY38" s="229"/>
      <c r="FZ38" s="73" t="s">
        <v>17</v>
      </c>
      <c r="GA38" s="75" t="s">
        <v>19</v>
      </c>
      <c r="GB38" s="67">
        <f>SUM(FM38)</f>
        <v>0</v>
      </c>
      <c r="GC38" s="68">
        <f t="shared" si="110"/>
        <v>0</v>
      </c>
      <c r="GD38" s="68">
        <f t="shared" si="111"/>
        <v>0</v>
      </c>
      <c r="GE38" s="68">
        <f t="shared" si="112"/>
        <v>0</v>
      </c>
      <c r="GF38" s="68">
        <f t="shared" si="113"/>
        <v>0</v>
      </c>
      <c r="GG38" s="68">
        <f t="shared" si="114"/>
        <v>0</v>
      </c>
      <c r="GH38" s="68">
        <f t="shared" si="115"/>
        <v>90</v>
      </c>
      <c r="GI38" s="68">
        <f t="shared" si="116"/>
        <v>0</v>
      </c>
      <c r="GJ38" s="68">
        <f t="shared" si="117"/>
        <v>0</v>
      </c>
      <c r="GK38" s="68">
        <f t="shared" si="118"/>
        <v>0</v>
      </c>
      <c r="GL38" s="68">
        <f t="shared" si="119"/>
        <v>0</v>
      </c>
      <c r="GM38" s="44"/>
    </row>
    <row r="39" spans="1:195" ht="17.100000000000001" customHeight="1" thickBot="1" x14ac:dyDescent="0.25">
      <c r="A39" s="229"/>
      <c r="B39" s="252" t="s">
        <v>21</v>
      </c>
      <c r="C39" s="253"/>
      <c r="D39" s="120">
        <f t="shared" ref="D39:N39" si="120">SUM(D35:D38)</f>
        <v>41</v>
      </c>
      <c r="E39" s="120">
        <f t="shared" si="120"/>
        <v>0</v>
      </c>
      <c r="F39" s="121">
        <f t="shared" si="120"/>
        <v>0</v>
      </c>
      <c r="G39" s="122">
        <f t="shared" si="120"/>
        <v>2026</v>
      </c>
      <c r="H39" s="121">
        <f t="shared" si="120"/>
        <v>549</v>
      </c>
      <c r="I39" s="120">
        <f t="shared" si="120"/>
        <v>307</v>
      </c>
      <c r="J39" s="120">
        <f t="shared" si="120"/>
        <v>220</v>
      </c>
      <c r="K39" s="123">
        <f t="shared" si="120"/>
        <v>0</v>
      </c>
      <c r="L39" s="124">
        <f t="shared" si="120"/>
        <v>0</v>
      </c>
      <c r="M39" s="124">
        <f t="shared" si="120"/>
        <v>0</v>
      </c>
      <c r="N39" s="125">
        <f t="shared" si="120"/>
        <v>0</v>
      </c>
      <c r="O39" s="44"/>
      <c r="P39" s="229"/>
      <c r="Q39" s="252" t="s">
        <v>21</v>
      </c>
      <c r="R39" s="253"/>
      <c r="S39" s="120">
        <f t="shared" ref="S39:AC39" si="121">SUM(S35:S38)</f>
        <v>41</v>
      </c>
      <c r="T39" s="120">
        <f t="shared" si="121"/>
        <v>0</v>
      </c>
      <c r="U39" s="121">
        <f t="shared" si="121"/>
        <v>0</v>
      </c>
      <c r="V39" s="122">
        <f t="shared" si="121"/>
        <v>1128</v>
      </c>
      <c r="W39" s="121">
        <f t="shared" si="121"/>
        <v>550</v>
      </c>
      <c r="X39" s="120">
        <f t="shared" si="121"/>
        <v>308</v>
      </c>
      <c r="Y39" s="120">
        <f t="shared" si="121"/>
        <v>214</v>
      </c>
      <c r="Z39" s="123">
        <f t="shared" si="121"/>
        <v>0</v>
      </c>
      <c r="AA39" s="124">
        <f t="shared" si="121"/>
        <v>0</v>
      </c>
      <c r="AB39" s="124">
        <f t="shared" si="121"/>
        <v>0</v>
      </c>
      <c r="AC39" s="125">
        <f t="shared" si="121"/>
        <v>0</v>
      </c>
      <c r="AD39" s="44"/>
      <c r="AE39" s="229"/>
      <c r="AF39" s="252" t="s">
        <v>21</v>
      </c>
      <c r="AG39" s="253"/>
      <c r="AH39" s="120">
        <f t="shared" ref="AH39:AR39" si="122">SUM(AH35:AH38)</f>
        <v>43</v>
      </c>
      <c r="AI39" s="120">
        <f t="shared" si="122"/>
        <v>0</v>
      </c>
      <c r="AJ39" s="121">
        <f t="shared" si="122"/>
        <v>0</v>
      </c>
      <c r="AK39" s="122">
        <f t="shared" si="122"/>
        <v>1132</v>
      </c>
      <c r="AL39" s="121">
        <f t="shared" si="122"/>
        <v>557</v>
      </c>
      <c r="AM39" s="120">
        <f t="shared" si="122"/>
        <v>313</v>
      </c>
      <c r="AN39" s="120">
        <f t="shared" si="122"/>
        <v>200</v>
      </c>
      <c r="AO39" s="123">
        <f t="shared" si="122"/>
        <v>0</v>
      </c>
      <c r="AP39" s="124">
        <f t="shared" si="122"/>
        <v>0</v>
      </c>
      <c r="AQ39" s="124">
        <f t="shared" si="122"/>
        <v>0</v>
      </c>
      <c r="AR39" s="125">
        <f t="shared" si="122"/>
        <v>0</v>
      </c>
      <c r="AS39" s="44"/>
      <c r="AT39" s="229"/>
      <c r="AU39" s="252" t="s">
        <v>21</v>
      </c>
      <c r="AV39" s="253"/>
      <c r="AW39" s="120">
        <f t="shared" ref="AW39:BG39" si="123">SUM(AW35:AW38)</f>
        <v>41</v>
      </c>
      <c r="AX39" s="120">
        <f t="shared" si="123"/>
        <v>0</v>
      </c>
      <c r="AY39" s="121">
        <f t="shared" si="123"/>
        <v>0</v>
      </c>
      <c r="AZ39" s="122">
        <f t="shared" si="123"/>
        <v>1128</v>
      </c>
      <c r="BA39" s="121">
        <f t="shared" si="123"/>
        <v>550</v>
      </c>
      <c r="BB39" s="120">
        <f t="shared" si="123"/>
        <v>308</v>
      </c>
      <c r="BC39" s="120">
        <f t="shared" si="123"/>
        <v>274</v>
      </c>
      <c r="BD39" s="123">
        <f t="shared" si="123"/>
        <v>0</v>
      </c>
      <c r="BE39" s="124">
        <f t="shared" si="123"/>
        <v>0</v>
      </c>
      <c r="BF39" s="124">
        <f t="shared" si="123"/>
        <v>0</v>
      </c>
      <c r="BG39" s="125">
        <f t="shared" si="123"/>
        <v>0</v>
      </c>
      <c r="BH39" s="44"/>
      <c r="BI39" s="229"/>
      <c r="BJ39" s="252" t="s">
        <v>21</v>
      </c>
      <c r="BK39" s="253"/>
      <c r="BL39" s="120">
        <f t="shared" ref="BL39:BV39" si="124">SUM(BL35:BL38)</f>
        <v>41</v>
      </c>
      <c r="BM39" s="120">
        <f t="shared" si="124"/>
        <v>0</v>
      </c>
      <c r="BN39" s="121">
        <f t="shared" si="124"/>
        <v>0</v>
      </c>
      <c r="BO39" s="122">
        <f t="shared" si="124"/>
        <v>1128</v>
      </c>
      <c r="BP39" s="121">
        <f t="shared" si="124"/>
        <v>550</v>
      </c>
      <c r="BQ39" s="120">
        <f t="shared" si="124"/>
        <v>308</v>
      </c>
      <c r="BR39" s="120">
        <f t="shared" si="124"/>
        <v>189</v>
      </c>
      <c r="BS39" s="123">
        <f t="shared" si="124"/>
        <v>0</v>
      </c>
      <c r="BT39" s="124">
        <f t="shared" si="124"/>
        <v>0</v>
      </c>
      <c r="BU39" s="124">
        <f t="shared" si="124"/>
        <v>0</v>
      </c>
      <c r="BV39" s="125">
        <f t="shared" si="124"/>
        <v>0</v>
      </c>
      <c r="BW39" s="44"/>
      <c r="BX39" s="229"/>
      <c r="BY39" s="252" t="s">
        <v>21</v>
      </c>
      <c r="BZ39" s="253"/>
      <c r="CA39" s="120">
        <f t="shared" ref="CA39:CK39" si="125">SUM(CA35:CA38)</f>
        <v>45</v>
      </c>
      <c r="CB39" s="120">
        <f t="shared" si="125"/>
        <v>0</v>
      </c>
      <c r="CC39" s="121">
        <f t="shared" si="125"/>
        <v>0</v>
      </c>
      <c r="CD39" s="122">
        <f t="shared" si="125"/>
        <v>1128</v>
      </c>
      <c r="CE39" s="121">
        <f t="shared" si="125"/>
        <v>550</v>
      </c>
      <c r="CF39" s="120">
        <f t="shared" si="125"/>
        <v>308</v>
      </c>
      <c r="CG39" s="166">
        <v>267</v>
      </c>
      <c r="CH39" s="123">
        <f t="shared" si="125"/>
        <v>0</v>
      </c>
      <c r="CI39" s="124">
        <f t="shared" si="125"/>
        <v>0</v>
      </c>
      <c r="CJ39" s="124">
        <f t="shared" si="125"/>
        <v>0</v>
      </c>
      <c r="CK39" s="125">
        <f t="shared" si="125"/>
        <v>0</v>
      </c>
      <c r="CL39" s="44"/>
      <c r="CM39" s="229"/>
      <c r="CN39" s="252" t="s">
        <v>21</v>
      </c>
      <c r="CO39" s="253"/>
      <c r="CP39" s="166">
        <v>41</v>
      </c>
      <c r="CQ39" s="175">
        <v>0</v>
      </c>
      <c r="CR39" s="175">
        <v>0</v>
      </c>
      <c r="CS39" s="175">
        <v>2026</v>
      </c>
      <c r="CT39" s="175">
        <v>549</v>
      </c>
      <c r="CU39" s="175">
        <v>307</v>
      </c>
      <c r="CV39" s="175">
        <v>225</v>
      </c>
      <c r="CW39" s="174">
        <v>0</v>
      </c>
      <c r="CX39" s="174">
        <v>0</v>
      </c>
      <c r="CY39" s="174">
        <v>0</v>
      </c>
      <c r="CZ39" s="175">
        <v>0</v>
      </c>
      <c r="DA39" s="44"/>
      <c r="DB39" s="229"/>
      <c r="DC39" s="252" t="s">
        <v>21</v>
      </c>
      <c r="DD39" s="253"/>
      <c r="DE39" s="188">
        <f t="shared" ref="DE39:DO39" si="126">SUM(DE35:DE38)</f>
        <v>12</v>
      </c>
      <c r="DF39" s="188">
        <f t="shared" si="126"/>
        <v>0</v>
      </c>
      <c r="DG39" s="189">
        <f t="shared" si="126"/>
        <v>7</v>
      </c>
      <c r="DH39" s="190">
        <f t="shared" si="126"/>
        <v>666</v>
      </c>
      <c r="DI39" s="189">
        <f t="shared" si="126"/>
        <v>1</v>
      </c>
      <c r="DJ39" s="188">
        <f t="shared" si="126"/>
        <v>41</v>
      </c>
      <c r="DK39" s="188">
        <f t="shared" si="126"/>
        <v>267</v>
      </c>
      <c r="DL39" s="191">
        <f t="shared" si="126"/>
        <v>0</v>
      </c>
      <c r="DM39" s="192">
        <f t="shared" si="126"/>
        <v>0</v>
      </c>
      <c r="DN39" s="192">
        <f t="shared" si="126"/>
        <v>0</v>
      </c>
      <c r="DO39" s="193">
        <f t="shared" si="126"/>
        <v>0</v>
      </c>
      <c r="DP39" s="44"/>
      <c r="DQ39" s="229"/>
      <c r="DR39" s="252" t="s">
        <v>21</v>
      </c>
      <c r="DS39" s="253"/>
      <c r="DT39" s="188">
        <v>16</v>
      </c>
      <c r="DU39" s="188">
        <v>0</v>
      </c>
      <c r="DV39" s="189">
        <v>0</v>
      </c>
      <c r="DW39" s="190">
        <v>2083</v>
      </c>
      <c r="DX39" s="189">
        <v>173</v>
      </c>
      <c r="DY39" s="188">
        <v>318</v>
      </c>
      <c r="DZ39" s="188">
        <v>256</v>
      </c>
      <c r="EA39" s="191">
        <v>0</v>
      </c>
      <c r="EB39" s="192">
        <v>0</v>
      </c>
      <c r="EC39" s="192">
        <v>0</v>
      </c>
      <c r="ED39" s="193">
        <v>0</v>
      </c>
      <c r="EE39" s="44"/>
      <c r="EF39" s="229"/>
      <c r="EG39" s="252" t="s">
        <v>21</v>
      </c>
      <c r="EH39" s="253"/>
      <c r="EI39" s="120">
        <f t="shared" ref="EI39:ES39" si="127">SUM(EI35:EI38)</f>
        <v>16</v>
      </c>
      <c r="EJ39" s="120">
        <f t="shared" si="127"/>
        <v>0</v>
      </c>
      <c r="EK39" s="121">
        <f t="shared" si="127"/>
        <v>0</v>
      </c>
      <c r="EL39" s="122">
        <f t="shared" si="127"/>
        <v>2083</v>
      </c>
      <c r="EM39" s="121">
        <f t="shared" si="127"/>
        <v>173</v>
      </c>
      <c r="EN39" s="120">
        <f t="shared" si="127"/>
        <v>318</v>
      </c>
      <c r="EO39" s="120">
        <f t="shared" si="127"/>
        <v>170</v>
      </c>
      <c r="EP39" s="123">
        <f t="shared" si="127"/>
        <v>0</v>
      </c>
      <c r="EQ39" s="124">
        <f t="shared" si="127"/>
        <v>0</v>
      </c>
      <c r="ER39" s="124">
        <f t="shared" si="127"/>
        <v>0</v>
      </c>
      <c r="ES39" s="125">
        <f t="shared" si="127"/>
        <v>0</v>
      </c>
      <c r="ET39" s="44"/>
      <c r="EU39" s="229"/>
      <c r="EV39" s="252" t="s">
        <v>21</v>
      </c>
      <c r="EW39" s="253"/>
      <c r="EX39" s="120">
        <f t="shared" ref="EX39:FH39" si="128">SUM(EX35:EX38)</f>
        <v>0</v>
      </c>
      <c r="EY39" s="120">
        <f t="shared" si="128"/>
        <v>0</v>
      </c>
      <c r="EZ39" s="121">
        <f t="shared" si="128"/>
        <v>0</v>
      </c>
      <c r="FA39" s="122">
        <f t="shared" si="128"/>
        <v>0</v>
      </c>
      <c r="FB39" s="121">
        <f t="shared" si="128"/>
        <v>0</v>
      </c>
      <c r="FC39" s="120">
        <f t="shared" si="128"/>
        <v>0</v>
      </c>
      <c r="FD39" s="120">
        <f t="shared" si="128"/>
        <v>0</v>
      </c>
      <c r="FE39" s="123">
        <f t="shared" si="128"/>
        <v>0</v>
      </c>
      <c r="FF39" s="124">
        <f t="shared" si="128"/>
        <v>0</v>
      </c>
      <c r="FG39" s="124">
        <f t="shared" si="128"/>
        <v>0</v>
      </c>
      <c r="FH39" s="125">
        <f t="shared" si="128"/>
        <v>0</v>
      </c>
      <c r="FI39" s="44"/>
      <c r="FJ39" s="229"/>
      <c r="FK39" s="252" t="s">
        <v>21</v>
      </c>
      <c r="FL39" s="253"/>
      <c r="FM39" s="120">
        <f t="shared" ref="FM39:FW39" si="129">SUM(FM35:FM38)</f>
        <v>0</v>
      </c>
      <c r="FN39" s="120">
        <f t="shared" si="129"/>
        <v>0</v>
      </c>
      <c r="FO39" s="121">
        <f t="shared" si="129"/>
        <v>0</v>
      </c>
      <c r="FP39" s="122">
        <f t="shared" si="129"/>
        <v>0</v>
      </c>
      <c r="FQ39" s="121">
        <f t="shared" si="129"/>
        <v>0</v>
      </c>
      <c r="FR39" s="120">
        <f t="shared" si="129"/>
        <v>0</v>
      </c>
      <c r="FS39" s="120">
        <f t="shared" si="129"/>
        <v>0</v>
      </c>
      <c r="FT39" s="123">
        <f t="shared" si="129"/>
        <v>0</v>
      </c>
      <c r="FU39" s="124">
        <f t="shared" si="129"/>
        <v>0</v>
      </c>
      <c r="FV39" s="124">
        <f t="shared" si="129"/>
        <v>0</v>
      </c>
      <c r="FW39" s="125">
        <f t="shared" si="129"/>
        <v>0</v>
      </c>
      <c r="FX39" s="44"/>
      <c r="FY39" s="229"/>
      <c r="FZ39" s="128" t="s">
        <v>21</v>
      </c>
      <c r="GA39" s="129"/>
      <c r="GB39" s="76">
        <f t="shared" ref="GB39:GL39" si="130">SUM(GB35:GB38)</f>
        <v>0</v>
      </c>
      <c r="GC39" s="77">
        <f t="shared" si="130"/>
        <v>0</v>
      </c>
      <c r="GD39" s="77">
        <f t="shared" si="130"/>
        <v>7</v>
      </c>
      <c r="GE39" s="77">
        <f t="shared" si="130"/>
        <v>0</v>
      </c>
      <c r="GF39" s="77">
        <f t="shared" si="130"/>
        <v>0</v>
      </c>
      <c r="GG39" s="77">
        <f t="shared" si="130"/>
        <v>0</v>
      </c>
      <c r="GH39" s="77">
        <f t="shared" si="130"/>
        <v>2282</v>
      </c>
      <c r="GI39" s="77">
        <f t="shared" si="130"/>
        <v>0</v>
      </c>
      <c r="GJ39" s="77">
        <f t="shared" si="130"/>
        <v>0</v>
      </c>
      <c r="GK39" s="77">
        <f t="shared" si="130"/>
        <v>0</v>
      </c>
      <c r="GL39" s="77">
        <f t="shared" si="130"/>
        <v>0</v>
      </c>
      <c r="GM39" s="44"/>
    </row>
    <row r="40" spans="1:195" ht="17.100000000000001" customHeight="1" thickBot="1" x14ac:dyDescent="0.25">
      <c r="A40" s="230"/>
      <c r="B40" s="78" t="s">
        <v>22</v>
      </c>
      <c r="C40" s="44"/>
      <c r="D40" s="78"/>
      <c r="E40" s="44"/>
      <c r="F40" s="44"/>
      <c r="G40" s="44"/>
      <c r="H40" s="44"/>
      <c r="I40" s="44"/>
      <c r="J40" s="44"/>
      <c r="K40" s="79" t="s">
        <v>18</v>
      </c>
      <c r="L40" s="80">
        <v>0</v>
      </c>
      <c r="M40" s="79" t="s">
        <v>19</v>
      </c>
      <c r="N40" s="80">
        <v>0</v>
      </c>
      <c r="O40" s="44"/>
      <c r="P40" s="230"/>
      <c r="Q40" s="78" t="s">
        <v>22</v>
      </c>
      <c r="R40" s="44"/>
      <c r="S40" s="78"/>
      <c r="T40" s="44"/>
      <c r="U40" s="44"/>
      <c r="V40" s="44"/>
      <c r="W40" s="44"/>
      <c r="X40" s="44"/>
      <c r="Y40" s="44"/>
      <c r="Z40" s="79" t="s">
        <v>18</v>
      </c>
      <c r="AA40" s="80">
        <v>0</v>
      </c>
      <c r="AB40" s="79" t="s">
        <v>19</v>
      </c>
      <c r="AC40" s="80">
        <v>0</v>
      </c>
      <c r="AD40" s="44"/>
      <c r="AE40" s="230"/>
      <c r="AF40" s="78" t="s">
        <v>22</v>
      </c>
      <c r="AG40" s="44"/>
      <c r="AH40" s="78"/>
      <c r="AI40" s="44"/>
      <c r="AJ40" s="44"/>
      <c r="AK40" s="44"/>
      <c r="AL40" s="44"/>
      <c r="AM40" s="44"/>
      <c r="AN40" s="44"/>
      <c r="AO40" s="79" t="s">
        <v>18</v>
      </c>
      <c r="AP40" s="80">
        <v>0</v>
      </c>
      <c r="AQ40" s="79" t="s">
        <v>19</v>
      </c>
      <c r="AR40" s="80">
        <v>0</v>
      </c>
      <c r="AS40" s="44"/>
      <c r="AT40" s="230"/>
      <c r="AU40" s="78" t="s">
        <v>22</v>
      </c>
      <c r="AV40" s="44"/>
      <c r="AW40" s="78"/>
      <c r="AX40" s="44"/>
      <c r="AY40" s="44"/>
      <c r="AZ40" s="44"/>
      <c r="BA40" s="44"/>
      <c r="BB40" s="44"/>
      <c r="BC40" s="44"/>
      <c r="BD40" s="79" t="s">
        <v>18</v>
      </c>
      <c r="BE40" s="80">
        <v>0</v>
      </c>
      <c r="BF40" s="79" t="s">
        <v>19</v>
      </c>
      <c r="BG40" s="80">
        <v>0</v>
      </c>
      <c r="BH40" s="44"/>
      <c r="BI40" s="230"/>
      <c r="BJ40" s="78" t="s">
        <v>22</v>
      </c>
      <c r="BK40" s="44"/>
      <c r="BL40" s="78"/>
      <c r="BM40" s="44"/>
      <c r="BN40" s="44"/>
      <c r="BO40" s="44"/>
      <c r="BP40" s="44"/>
      <c r="BQ40" s="44"/>
      <c r="BR40" s="44"/>
      <c r="BS40" s="79" t="s">
        <v>18</v>
      </c>
      <c r="BT40" s="80">
        <v>0</v>
      </c>
      <c r="BU40" s="79" t="s">
        <v>19</v>
      </c>
      <c r="BV40" s="80">
        <v>0</v>
      </c>
      <c r="BW40" s="44"/>
      <c r="BX40" s="230"/>
      <c r="BY40" s="78" t="s">
        <v>22</v>
      </c>
      <c r="BZ40" s="44"/>
      <c r="CA40" s="78"/>
      <c r="CB40" s="44"/>
      <c r="CC40" s="44"/>
      <c r="CD40" s="44"/>
      <c r="CE40" s="44"/>
      <c r="CF40" s="44"/>
      <c r="CG40" s="167"/>
      <c r="CH40" s="79" t="s">
        <v>18</v>
      </c>
      <c r="CI40" s="80">
        <v>0</v>
      </c>
      <c r="CJ40" s="79" t="s">
        <v>19</v>
      </c>
      <c r="CK40" s="80">
        <v>0</v>
      </c>
      <c r="CL40" s="44"/>
      <c r="CM40" s="230"/>
      <c r="CN40" s="78" t="s">
        <v>22</v>
      </c>
      <c r="CO40" s="44"/>
      <c r="CP40" s="167"/>
      <c r="CQ40" s="167"/>
      <c r="CR40" s="167"/>
      <c r="CS40" s="167"/>
      <c r="CT40" s="167"/>
      <c r="CU40" s="167"/>
      <c r="CV40" s="167"/>
      <c r="CW40" s="176" t="s">
        <v>18</v>
      </c>
      <c r="CX40" s="177">
        <v>0</v>
      </c>
      <c r="CY40" s="176" t="s">
        <v>19</v>
      </c>
      <c r="CZ40" s="177">
        <v>0</v>
      </c>
      <c r="DA40" s="44"/>
      <c r="DB40" s="230"/>
      <c r="DC40" s="78" t="s">
        <v>22</v>
      </c>
      <c r="DD40" s="44"/>
      <c r="DE40" s="194"/>
      <c r="DF40" s="195"/>
      <c r="DG40" s="195"/>
      <c r="DH40" s="195"/>
      <c r="DI40" s="195"/>
      <c r="DJ40" s="195"/>
      <c r="DK40" s="195"/>
      <c r="DL40" s="196" t="s">
        <v>18</v>
      </c>
      <c r="DM40" s="197">
        <v>0</v>
      </c>
      <c r="DN40" s="196" t="s">
        <v>19</v>
      </c>
      <c r="DO40" s="197">
        <v>0</v>
      </c>
      <c r="DP40" s="44"/>
      <c r="DQ40" s="230"/>
      <c r="DR40" s="78" t="s">
        <v>22</v>
      </c>
      <c r="DS40" s="44"/>
      <c r="DT40" s="207"/>
      <c r="DU40" s="208"/>
      <c r="DV40" s="208"/>
      <c r="DW40" s="208"/>
      <c r="DX40" s="208"/>
      <c r="DY40" s="208"/>
      <c r="DZ40" s="208"/>
      <c r="EA40" s="209" t="s">
        <v>18</v>
      </c>
      <c r="EB40" s="210">
        <v>0</v>
      </c>
      <c r="EC40" s="209" t="s">
        <v>19</v>
      </c>
      <c r="ED40" s="210">
        <v>0</v>
      </c>
      <c r="EE40" s="44"/>
      <c r="EF40" s="230"/>
      <c r="EG40" s="78" t="s">
        <v>22</v>
      </c>
      <c r="EH40" s="44"/>
      <c r="EI40" s="78"/>
      <c r="EJ40" s="44"/>
      <c r="EK40" s="44"/>
      <c r="EL40" s="44"/>
      <c r="EM40" s="44"/>
      <c r="EN40" s="44"/>
      <c r="EO40" s="44"/>
      <c r="EP40" s="79" t="s">
        <v>18</v>
      </c>
      <c r="EQ40" s="80">
        <v>0</v>
      </c>
      <c r="ER40" s="79" t="s">
        <v>19</v>
      </c>
      <c r="ES40" s="80">
        <v>0</v>
      </c>
      <c r="ET40" s="44"/>
      <c r="EU40" s="230"/>
      <c r="EV40" s="78" t="s">
        <v>22</v>
      </c>
      <c r="EW40" s="44"/>
      <c r="EX40" s="78"/>
      <c r="EY40" s="44"/>
      <c r="EZ40" s="44"/>
      <c r="FA40" s="44"/>
      <c r="FB40" s="44"/>
      <c r="FC40" s="44"/>
      <c r="FD40" s="44"/>
      <c r="FE40" s="79" t="s">
        <v>18</v>
      </c>
      <c r="FF40" s="80">
        <v>0</v>
      </c>
      <c r="FG40" s="79" t="s">
        <v>19</v>
      </c>
      <c r="FH40" s="80">
        <v>0</v>
      </c>
      <c r="FI40" s="44"/>
      <c r="FJ40" s="230"/>
      <c r="FK40" s="78" t="s">
        <v>22</v>
      </c>
      <c r="FL40" s="44"/>
      <c r="FM40" s="78"/>
      <c r="FN40" s="44"/>
      <c r="FO40" s="44"/>
      <c r="FP40" s="44"/>
      <c r="FQ40" s="44"/>
      <c r="FR40" s="44"/>
      <c r="FS40" s="44"/>
      <c r="FT40" s="79" t="s">
        <v>18</v>
      </c>
      <c r="FU40" s="80">
        <v>0</v>
      </c>
      <c r="FV40" s="79" t="s">
        <v>19</v>
      </c>
      <c r="FW40" s="80">
        <v>0</v>
      </c>
      <c r="FX40" s="44"/>
      <c r="FY40" s="230"/>
      <c r="FZ40" s="78" t="s">
        <v>26</v>
      </c>
      <c r="GA40" s="44"/>
      <c r="GB40" s="81"/>
      <c r="GC40" s="82"/>
      <c r="GD40" s="82"/>
      <c r="GE40" s="82"/>
      <c r="GF40" s="82"/>
      <c r="GG40" s="82"/>
      <c r="GH40" s="82"/>
      <c r="GI40" s="83" t="s">
        <v>18</v>
      </c>
      <c r="GJ40" s="64">
        <f>(L40+AA40+AP40+BE40+BT40+CI40+CX40+DM40+EB40+EQ40+FF40+FU40)</f>
        <v>0</v>
      </c>
      <c r="GK40" s="83" t="s">
        <v>19</v>
      </c>
      <c r="GL40" s="64">
        <f>(N40+AC40+AR40+BG40+BV40+CK40+CZ40+DO40+ED40+ES40+FH40+FW40)</f>
        <v>0</v>
      </c>
      <c r="GM40" s="44"/>
    </row>
    <row r="41" spans="1:195" ht="17.100000000000001" customHeight="1" thickTop="1" thickBot="1" x14ac:dyDescent="0.3">
      <c r="A41" s="228" t="s">
        <v>36</v>
      </c>
      <c r="B41" s="250" t="s">
        <v>17</v>
      </c>
      <c r="C41" s="61" t="s">
        <v>18</v>
      </c>
      <c r="D41" s="151">
        <v>7</v>
      </c>
      <c r="E41" s="152">
        <v>3</v>
      </c>
      <c r="F41" s="152">
        <v>1</v>
      </c>
      <c r="G41" s="152">
        <v>335</v>
      </c>
      <c r="H41" s="152">
        <v>1</v>
      </c>
      <c r="I41" s="152">
        <v>23</v>
      </c>
      <c r="J41" s="152">
        <v>338</v>
      </c>
      <c r="K41" s="153">
        <v>0</v>
      </c>
      <c r="L41" s="153">
        <v>0</v>
      </c>
      <c r="M41" s="153">
        <v>0</v>
      </c>
      <c r="N41" s="152">
        <v>0</v>
      </c>
      <c r="O41" s="44"/>
      <c r="P41" s="228" t="s">
        <v>36</v>
      </c>
      <c r="Q41" s="250" t="s">
        <v>17</v>
      </c>
      <c r="R41" s="61" t="s">
        <v>18</v>
      </c>
      <c r="S41" s="151">
        <v>6</v>
      </c>
      <c r="T41" s="152">
        <v>7</v>
      </c>
      <c r="U41" s="152">
        <v>3</v>
      </c>
      <c r="V41" s="152">
        <v>335</v>
      </c>
      <c r="W41" s="152">
        <v>2</v>
      </c>
      <c r="X41" s="152">
        <v>23</v>
      </c>
      <c r="Y41" s="152">
        <v>185</v>
      </c>
      <c r="Z41" s="153">
        <v>0</v>
      </c>
      <c r="AA41" s="153">
        <v>0</v>
      </c>
      <c r="AB41" s="153">
        <v>0</v>
      </c>
      <c r="AC41" s="152">
        <v>0</v>
      </c>
      <c r="AD41" s="44"/>
      <c r="AE41" s="228" t="s">
        <v>36</v>
      </c>
      <c r="AF41" s="250" t="s">
        <v>17</v>
      </c>
      <c r="AG41" s="61" t="s">
        <v>18</v>
      </c>
      <c r="AH41" s="151">
        <v>1</v>
      </c>
      <c r="AI41" s="152">
        <v>3</v>
      </c>
      <c r="AJ41" s="152">
        <v>1</v>
      </c>
      <c r="AK41" s="152">
        <v>335</v>
      </c>
      <c r="AL41" s="152">
        <v>2</v>
      </c>
      <c r="AM41" s="152">
        <v>24</v>
      </c>
      <c r="AN41" s="152">
        <v>58</v>
      </c>
      <c r="AO41" s="153">
        <v>0</v>
      </c>
      <c r="AP41" s="153">
        <v>0</v>
      </c>
      <c r="AQ41" s="153">
        <v>0</v>
      </c>
      <c r="AR41" s="152">
        <v>0</v>
      </c>
      <c r="AS41" s="44"/>
      <c r="AT41" s="228" t="s">
        <v>36</v>
      </c>
      <c r="AU41" s="250" t="s">
        <v>17</v>
      </c>
      <c r="AV41" s="61" t="s">
        <v>18</v>
      </c>
      <c r="AW41" s="151">
        <v>1</v>
      </c>
      <c r="AX41" s="152">
        <v>6</v>
      </c>
      <c r="AY41" s="152">
        <v>7</v>
      </c>
      <c r="AZ41" s="152">
        <v>0</v>
      </c>
      <c r="BA41" s="152">
        <v>1</v>
      </c>
      <c r="BB41" s="152">
        <v>24</v>
      </c>
      <c r="BC41" s="152">
        <v>0</v>
      </c>
      <c r="BD41" s="153">
        <v>0</v>
      </c>
      <c r="BE41" s="153">
        <v>0</v>
      </c>
      <c r="BF41" s="153">
        <v>0</v>
      </c>
      <c r="BG41" s="152">
        <v>0</v>
      </c>
      <c r="BH41" s="44"/>
      <c r="BI41" s="228" t="s">
        <v>36</v>
      </c>
      <c r="BJ41" s="250" t="s">
        <v>17</v>
      </c>
      <c r="BK41" s="61" t="s">
        <v>18</v>
      </c>
      <c r="BL41" s="111">
        <v>1</v>
      </c>
      <c r="BM41" s="111">
        <v>6</v>
      </c>
      <c r="BN41" s="111">
        <v>7</v>
      </c>
      <c r="BO41" s="111">
        <v>0</v>
      </c>
      <c r="BP41" s="111">
        <v>0</v>
      </c>
      <c r="BQ41" s="111">
        <v>24</v>
      </c>
      <c r="BR41" s="111">
        <v>228</v>
      </c>
      <c r="BS41" s="111">
        <v>0</v>
      </c>
      <c r="BT41" s="112">
        <v>0</v>
      </c>
      <c r="BU41" s="112">
        <v>0</v>
      </c>
      <c r="BV41" s="113">
        <v>0</v>
      </c>
      <c r="BW41" s="44"/>
      <c r="BX41" s="228" t="s">
        <v>36</v>
      </c>
      <c r="BY41" s="250" t="s">
        <v>17</v>
      </c>
      <c r="BZ41" s="61" t="s">
        <v>18</v>
      </c>
      <c r="CA41" s="111">
        <v>0</v>
      </c>
      <c r="CB41" s="111">
        <v>0</v>
      </c>
      <c r="CC41" s="111">
        <v>0</v>
      </c>
      <c r="CD41" s="111">
        <v>0</v>
      </c>
      <c r="CE41" s="111">
        <v>0</v>
      </c>
      <c r="CF41" s="111">
        <v>0</v>
      </c>
      <c r="CG41" s="157">
        <v>89</v>
      </c>
      <c r="CH41" s="111">
        <v>0</v>
      </c>
      <c r="CI41" s="112">
        <v>0</v>
      </c>
      <c r="CJ41" s="112">
        <v>0</v>
      </c>
      <c r="CK41" s="113">
        <v>0</v>
      </c>
      <c r="CL41" s="44"/>
      <c r="CM41" s="228" t="s">
        <v>36</v>
      </c>
      <c r="CN41" s="250" t="s">
        <v>17</v>
      </c>
      <c r="CO41" s="61" t="s">
        <v>18</v>
      </c>
      <c r="CP41" s="157">
        <v>3</v>
      </c>
      <c r="CQ41" s="158">
        <v>3</v>
      </c>
      <c r="CR41" s="158">
        <v>2</v>
      </c>
      <c r="CS41" s="158">
        <v>335</v>
      </c>
      <c r="CT41" s="158">
        <v>2</v>
      </c>
      <c r="CU41" s="158">
        <v>23</v>
      </c>
      <c r="CV41" s="158">
        <v>785</v>
      </c>
      <c r="CW41" s="159">
        <v>0</v>
      </c>
      <c r="CX41" s="159">
        <v>0</v>
      </c>
      <c r="CY41" s="159">
        <v>0</v>
      </c>
      <c r="CZ41" s="158">
        <v>0</v>
      </c>
      <c r="DA41" s="44"/>
      <c r="DB41" s="228" t="s">
        <v>36</v>
      </c>
      <c r="DC41" s="250" t="s">
        <v>17</v>
      </c>
      <c r="DD41" s="61" t="s">
        <v>18</v>
      </c>
      <c r="DE41" s="179">
        <v>3</v>
      </c>
      <c r="DF41" s="179">
        <v>4</v>
      </c>
      <c r="DG41" s="179">
        <v>1</v>
      </c>
      <c r="DH41" s="179">
        <v>335</v>
      </c>
      <c r="DI41" s="179">
        <v>1</v>
      </c>
      <c r="DJ41" s="179">
        <v>24</v>
      </c>
      <c r="DK41" s="179">
        <v>89</v>
      </c>
      <c r="DL41" s="179">
        <v>0</v>
      </c>
      <c r="DM41" s="180">
        <v>0</v>
      </c>
      <c r="DN41" s="180">
        <v>0</v>
      </c>
      <c r="DO41" s="181">
        <v>0</v>
      </c>
      <c r="DP41" s="44"/>
      <c r="DQ41" s="228" t="s">
        <v>36</v>
      </c>
      <c r="DR41" s="250" t="s">
        <v>17</v>
      </c>
      <c r="DS41" s="61" t="s">
        <v>18</v>
      </c>
      <c r="DT41" s="211">
        <v>8</v>
      </c>
      <c r="DU41" s="211">
        <v>8</v>
      </c>
      <c r="DV41" s="211">
        <v>2</v>
      </c>
      <c r="DW41" s="211">
        <v>362</v>
      </c>
      <c r="DX41" s="211">
        <v>1</v>
      </c>
      <c r="DY41" s="211">
        <v>36</v>
      </c>
      <c r="DZ41" s="211">
        <v>66</v>
      </c>
      <c r="EA41" s="211">
        <v>0</v>
      </c>
      <c r="EB41" s="211">
        <v>0</v>
      </c>
      <c r="EC41" s="211">
        <v>0</v>
      </c>
      <c r="ED41" s="211">
        <v>0</v>
      </c>
      <c r="EE41" s="44"/>
      <c r="EF41" s="228" t="s">
        <v>36</v>
      </c>
      <c r="EG41" s="250" t="s">
        <v>17</v>
      </c>
      <c r="EH41" s="61" t="s">
        <v>18</v>
      </c>
      <c r="EI41" s="211">
        <v>8</v>
      </c>
      <c r="EJ41" s="211">
        <v>8</v>
      </c>
      <c r="EK41" s="211">
        <v>2</v>
      </c>
      <c r="EL41" s="211">
        <v>362</v>
      </c>
      <c r="EM41" s="211">
        <v>1</v>
      </c>
      <c r="EN41" s="211">
        <v>36</v>
      </c>
      <c r="EO41" s="111">
        <v>600</v>
      </c>
      <c r="EP41" s="111">
        <v>0</v>
      </c>
      <c r="EQ41" s="112">
        <v>0</v>
      </c>
      <c r="ER41" s="112">
        <v>0</v>
      </c>
      <c r="ES41" s="113">
        <v>0</v>
      </c>
      <c r="ET41" s="44"/>
      <c r="EU41" s="228" t="s">
        <v>36</v>
      </c>
      <c r="EV41" s="250" t="s">
        <v>17</v>
      </c>
      <c r="EW41" s="61" t="s">
        <v>18</v>
      </c>
      <c r="EX41" s="111">
        <v>0</v>
      </c>
      <c r="EY41" s="111">
        <v>0</v>
      </c>
      <c r="EZ41" s="111">
        <v>0</v>
      </c>
      <c r="FA41" s="111">
        <v>0</v>
      </c>
      <c r="FB41" s="111">
        <v>0</v>
      </c>
      <c r="FC41" s="111">
        <v>0</v>
      </c>
      <c r="FD41" s="111">
        <v>0</v>
      </c>
      <c r="FE41" s="111">
        <v>0</v>
      </c>
      <c r="FF41" s="112">
        <v>0</v>
      </c>
      <c r="FG41" s="112">
        <v>0</v>
      </c>
      <c r="FH41" s="113">
        <v>0</v>
      </c>
      <c r="FI41" s="44"/>
      <c r="FJ41" s="228" t="s">
        <v>36</v>
      </c>
      <c r="FK41" s="250" t="s">
        <v>17</v>
      </c>
      <c r="FL41" s="61" t="s">
        <v>18</v>
      </c>
      <c r="FM41" s="111">
        <v>0</v>
      </c>
      <c r="FN41" s="111">
        <v>0</v>
      </c>
      <c r="FO41" s="111">
        <v>0</v>
      </c>
      <c r="FP41" s="111">
        <v>0</v>
      </c>
      <c r="FQ41" s="111">
        <v>0</v>
      </c>
      <c r="FR41" s="111">
        <v>0</v>
      </c>
      <c r="FS41" s="111">
        <v>0</v>
      </c>
      <c r="FT41" s="111">
        <v>0</v>
      </c>
      <c r="FU41" s="112">
        <v>0</v>
      </c>
      <c r="FV41" s="112">
        <v>0</v>
      </c>
      <c r="FW41" s="113">
        <v>0</v>
      </c>
      <c r="FX41" s="44"/>
      <c r="FY41" s="228" t="str">
        <f>(FJ41)</f>
        <v>الرغامة</v>
      </c>
      <c r="FZ41" s="126" t="s">
        <v>17</v>
      </c>
      <c r="GA41" s="62" t="s">
        <v>18</v>
      </c>
      <c r="GB41" s="63">
        <f>SUM(FM41)</f>
        <v>0</v>
      </c>
      <c r="GC41" s="64">
        <f t="shared" ref="GC41:GC44" si="131">(E41+T41+AI41+AX41+BM41+CB41+CQ41+DF41+DU41+EJ41+EY41+FN41)</f>
        <v>48</v>
      </c>
      <c r="GD41" s="64">
        <f t="shared" ref="GD41:GD44" si="132">(F41+U41+AJ41+AY41+BN41+CC41+CR41+DG41+DV41+EK41+EZ41+FO41)</f>
        <v>26</v>
      </c>
      <c r="GE41" s="64">
        <f t="shared" ref="GE41:GE44" si="133">SUM(FP41)</f>
        <v>0</v>
      </c>
      <c r="GF41" s="64">
        <f t="shared" ref="GF41:GF44" si="134">SUM(FQ41)</f>
        <v>0</v>
      </c>
      <c r="GG41" s="64">
        <f t="shared" ref="GG41:GG44" si="135">SUM(FR41)</f>
        <v>0</v>
      </c>
      <c r="GH41" s="64">
        <f t="shared" ref="GH41:GH44" si="136">(J41+Y41+AN41+BC41+BR41+CG41+CV41+DK41+DZ41+EO41+FD41+FS41)</f>
        <v>2438</v>
      </c>
      <c r="GI41" s="64">
        <f t="shared" ref="GI41:GI44" si="137">(K41+Z41+AO41+BD41+BS41+CH41+CW41+DL41+EA41+EP41+FE41+FT41)</f>
        <v>0</v>
      </c>
      <c r="GJ41" s="64">
        <f t="shared" ref="GJ41:GJ44" si="138">(L41+AA41+AP41+BE41+BT41+CI41+CX41+DM41+EB41+EQ41+FF41+FU41)</f>
        <v>0</v>
      </c>
      <c r="GK41" s="64">
        <f t="shared" ref="GK41:GK44" si="139">(M41+AB41+AQ41+BF41+BU41+CJ41+CY41+DN41+EC41+ER41+FG41+FV41)</f>
        <v>0</v>
      </c>
      <c r="GL41" s="64">
        <f t="shared" ref="GL41:GL44" si="140">(N41+AC41+AR41+BG41+BV41+CK41+CZ41+DO41+ED41+ES41+FH41+FW41)</f>
        <v>0</v>
      </c>
      <c r="GM41" s="44"/>
    </row>
    <row r="42" spans="1:195" ht="17.100000000000001" customHeight="1" thickBot="1" x14ac:dyDescent="0.3">
      <c r="A42" s="229"/>
      <c r="B42" s="251"/>
      <c r="C42" s="65" t="s">
        <v>19</v>
      </c>
      <c r="D42" s="154">
        <v>5</v>
      </c>
      <c r="E42" s="155">
        <v>2</v>
      </c>
      <c r="F42" s="155">
        <v>6</v>
      </c>
      <c r="G42" s="155">
        <v>333</v>
      </c>
      <c r="H42" s="155">
        <v>2</v>
      </c>
      <c r="I42" s="155">
        <v>18</v>
      </c>
      <c r="J42" s="155">
        <v>305</v>
      </c>
      <c r="K42" s="156">
        <v>0</v>
      </c>
      <c r="L42" s="156">
        <v>0</v>
      </c>
      <c r="M42" s="156">
        <v>0</v>
      </c>
      <c r="N42" s="155">
        <v>0</v>
      </c>
      <c r="O42" s="44"/>
      <c r="P42" s="229"/>
      <c r="Q42" s="251"/>
      <c r="R42" s="65" t="s">
        <v>19</v>
      </c>
      <c r="S42" s="154">
        <v>6</v>
      </c>
      <c r="T42" s="155">
        <v>5</v>
      </c>
      <c r="U42" s="155">
        <v>2</v>
      </c>
      <c r="V42" s="155">
        <v>333</v>
      </c>
      <c r="W42" s="155">
        <v>1</v>
      </c>
      <c r="X42" s="155">
        <v>18</v>
      </c>
      <c r="Y42" s="155">
        <v>186</v>
      </c>
      <c r="Z42" s="156">
        <v>0</v>
      </c>
      <c r="AA42" s="156">
        <v>0</v>
      </c>
      <c r="AB42" s="156">
        <v>0</v>
      </c>
      <c r="AC42" s="155">
        <v>0</v>
      </c>
      <c r="AD42" s="44"/>
      <c r="AE42" s="229"/>
      <c r="AF42" s="251"/>
      <c r="AG42" s="65" t="s">
        <v>19</v>
      </c>
      <c r="AH42" s="154">
        <v>6</v>
      </c>
      <c r="AI42" s="155">
        <v>2</v>
      </c>
      <c r="AJ42" s="155">
        <v>1</v>
      </c>
      <c r="AK42" s="155">
        <v>333</v>
      </c>
      <c r="AL42" s="155">
        <v>3</v>
      </c>
      <c r="AM42" s="155">
        <v>21</v>
      </c>
      <c r="AN42" s="155">
        <v>52</v>
      </c>
      <c r="AO42" s="156">
        <v>0</v>
      </c>
      <c r="AP42" s="156">
        <v>0</v>
      </c>
      <c r="AQ42" s="156">
        <v>0</v>
      </c>
      <c r="AR42" s="155">
        <v>0</v>
      </c>
      <c r="AS42" s="44"/>
      <c r="AT42" s="229"/>
      <c r="AU42" s="251"/>
      <c r="AV42" s="65" t="s">
        <v>19</v>
      </c>
      <c r="AW42" s="154">
        <v>2</v>
      </c>
      <c r="AX42" s="155">
        <v>6</v>
      </c>
      <c r="AY42" s="155">
        <v>5</v>
      </c>
      <c r="AZ42" s="155">
        <v>0</v>
      </c>
      <c r="BA42" s="155">
        <v>2</v>
      </c>
      <c r="BB42" s="155">
        <v>21</v>
      </c>
      <c r="BC42" s="155">
        <v>0</v>
      </c>
      <c r="BD42" s="156">
        <v>0</v>
      </c>
      <c r="BE42" s="156">
        <v>0</v>
      </c>
      <c r="BF42" s="156">
        <v>0</v>
      </c>
      <c r="BG42" s="155">
        <v>0</v>
      </c>
      <c r="BH42" s="44"/>
      <c r="BI42" s="229"/>
      <c r="BJ42" s="251"/>
      <c r="BK42" s="65" t="s">
        <v>19</v>
      </c>
      <c r="BL42" s="114">
        <v>3</v>
      </c>
      <c r="BM42" s="114">
        <v>7</v>
      </c>
      <c r="BN42" s="114">
        <v>5</v>
      </c>
      <c r="BO42" s="114">
        <v>0</v>
      </c>
      <c r="BP42" s="114">
        <v>0</v>
      </c>
      <c r="BQ42" s="114">
        <v>21</v>
      </c>
      <c r="BR42" s="114">
        <v>223</v>
      </c>
      <c r="BS42" s="114">
        <v>0</v>
      </c>
      <c r="BT42" s="115">
        <v>0</v>
      </c>
      <c r="BU42" s="115">
        <v>0</v>
      </c>
      <c r="BV42" s="116">
        <v>0</v>
      </c>
      <c r="BW42" s="44"/>
      <c r="BX42" s="229"/>
      <c r="BY42" s="251"/>
      <c r="BZ42" s="65" t="s">
        <v>19</v>
      </c>
      <c r="CA42" s="114">
        <v>0</v>
      </c>
      <c r="CB42" s="114">
        <v>0</v>
      </c>
      <c r="CC42" s="114">
        <v>0</v>
      </c>
      <c r="CD42" s="114">
        <v>0</v>
      </c>
      <c r="CE42" s="114">
        <v>0</v>
      </c>
      <c r="CF42" s="114">
        <v>0</v>
      </c>
      <c r="CG42" s="154">
        <v>87</v>
      </c>
      <c r="CH42" s="114">
        <v>0</v>
      </c>
      <c r="CI42" s="115">
        <v>0</v>
      </c>
      <c r="CJ42" s="115">
        <v>0</v>
      </c>
      <c r="CK42" s="116">
        <v>0</v>
      </c>
      <c r="CL42" s="44"/>
      <c r="CM42" s="229"/>
      <c r="CN42" s="251"/>
      <c r="CO42" s="65" t="s">
        <v>19</v>
      </c>
      <c r="CP42" s="154">
        <v>2</v>
      </c>
      <c r="CQ42" s="155">
        <v>6</v>
      </c>
      <c r="CR42" s="155">
        <v>1</v>
      </c>
      <c r="CS42" s="155">
        <v>333</v>
      </c>
      <c r="CT42" s="155">
        <v>1</v>
      </c>
      <c r="CU42" s="155">
        <v>18</v>
      </c>
      <c r="CV42" s="155">
        <v>647</v>
      </c>
      <c r="CW42" s="156">
        <v>0</v>
      </c>
      <c r="CX42" s="156">
        <v>0</v>
      </c>
      <c r="CY42" s="156">
        <v>0</v>
      </c>
      <c r="CZ42" s="155">
        <v>0</v>
      </c>
      <c r="DA42" s="44"/>
      <c r="DB42" s="229"/>
      <c r="DC42" s="251"/>
      <c r="DD42" s="65" t="s">
        <v>19</v>
      </c>
      <c r="DE42" s="182">
        <v>2</v>
      </c>
      <c r="DF42" s="182">
        <v>1</v>
      </c>
      <c r="DG42" s="182">
        <v>2</v>
      </c>
      <c r="DH42" s="182">
        <v>333</v>
      </c>
      <c r="DI42" s="182">
        <v>1</v>
      </c>
      <c r="DJ42" s="182">
        <v>21</v>
      </c>
      <c r="DK42" s="182">
        <v>87</v>
      </c>
      <c r="DL42" s="182">
        <v>0</v>
      </c>
      <c r="DM42" s="183">
        <v>0</v>
      </c>
      <c r="DN42" s="183">
        <v>0</v>
      </c>
      <c r="DO42" s="184">
        <v>0</v>
      </c>
      <c r="DP42" s="44"/>
      <c r="DQ42" s="229"/>
      <c r="DR42" s="251"/>
      <c r="DS42" s="65" t="s">
        <v>19</v>
      </c>
      <c r="DT42" s="211">
        <v>3</v>
      </c>
      <c r="DU42" s="211">
        <v>4</v>
      </c>
      <c r="DV42" s="211">
        <v>1</v>
      </c>
      <c r="DW42" s="211">
        <v>228</v>
      </c>
      <c r="DX42" s="211">
        <v>1</v>
      </c>
      <c r="DY42" s="211">
        <v>45</v>
      </c>
      <c r="DZ42" s="211">
        <v>34</v>
      </c>
      <c r="EA42" s="211">
        <v>0</v>
      </c>
      <c r="EB42" s="211">
        <v>0</v>
      </c>
      <c r="EC42" s="211">
        <v>0</v>
      </c>
      <c r="ED42" s="211">
        <v>0</v>
      </c>
      <c r="EE42" s="44"/>
      <c r="EF42" s="229"/>
      <c r="EG42" s="251"/>
      <c r="EH42" s="65" t="s">
        <v>19</v>
      </c>
      <c r="EI42" s="211">
        <v>3</v>
      </c>
      <c r="EJ42" s="211">
        <v>4</v>
      </c>
      <c r="EK42" s="211">
        <v>1</v>
      </c>
      <c r="EL42" s="211">
        <v>228</v>
      </c>
      <c r="EM42" s="211">
        <v>1</v>
      </c>
      <c r="EN42" s="211">
        <v>45</v>
      </c>
      <c r="EO42" s="114">
        <v>632</v>
      </c>
      <c r="EP42" s="114">
        <v>0</v>
      </c>
      <c r="EQ42" s="115">
        <v>0</v>
      </c>
      <c r="ER42" s="115">
        <v>0</v>
      </c>
      <c r="ES42" s="116">
        <v>0</v>
      </c>
      <c r="ET42" s="44"/>
      <c r="EU42" s="229"/>
      <c r="EV42" s="251"/>
      <c r="EW42" s="65" t="s">
        <v>19</v>
      </c>
      <c r="EX42" s="114">
        <v>0</v>
      </c>
      <c r="EY42" s="114">
        <v>0</v>
      </c>
      <c r="EZ42" s="114">
        <v>0</v>
      </c>
      <c r="FA42" s="114">
        <v>0</v>
      </c>
      <c r="FB42" s="114">
        <v>0</v>
      </c>
      <c r="FC42" s="114">
        <v>0</v>
      </c>
      <c r="FD42" s="114">
        <v>0</v>
      </c>
      <c r="FE42" s="114">
        <v>0</v>
      </c>
      <c r="FF42" s="115">
        <v>0</v>
      </c>
      <c r="FG42" s="115">
        <v>0</v>
      </c>
      <c r="FH42" s="116">
        <v>0</v>
      </c>
      <c r="FI42" s="44"/>
      <c r="FJ42" s="229"/>
      <c r="FK42" s="251"/>
      <c r="FL42" s="65" t="s">
        <v>19</v>
      </c>
      <c r="FM42" s="114">
        <v>0</v>
      </c>
      <c r="FN42" s="114">
        <v>0</v>
      </c>
      <c r="FO42" s="114">
        <v>0</v>
      </c>
      <c r="FP42" s="114">
        <v>0</v>
      </c>
      <c r="FQ42" s="114">
        <v>0</v>
      </c>
      <c r="FR42" s="114">
        <v>0</v>
      </c>
      <c r="FS42" s="114">
        <v>0</v>
      </c>
      <c r="FT42" s="114">
        <v>0</v>
      </c>
      <c r="FU42" s="115">
        <v>0</v>
      </c>
      <c r="FV42" s="115">
        <v>0</v>
      </c>
      <c r="FW42" s="116">
        <v>0</v>
      </c>
      <c r="FX42" s="44"/>
      <c r="FY42" s="229"/>
      <c r="FZ42" s="127"/>
      <c r="GA42" s="66" t="s">
        <v>19</v>
      </c>
      <c r="GB42" s="67">
        <f>SUM(FM42)</f>
        <v>0</v>
      </c>
      <c r="GC42" s="68">
        <f t="shared" si="131"/>
        <v>37</v>
      </c>
      <c r="GD42" s="68">
        <f t="shared" si="132"/>
        <v>24</v>
      </c>
      <c r="GE42" s="68">
        <f t="shared" si="133"/>
        <v>0</v>
      </c>
      <c r="GF42" s="68">
        <f t="shared" si="134"/>
        <v>0</v>
      </c>
      <c r="GG42" s="68">
        <f t="shared" si="135"/>
        <v>0</v>
      </c>
      <c r="GH42" s="68">
        <f t="shared" si="136"/>
        <v>2253</v>
      </c>
      <c r="GI42" s="68">
        <f t="shared" si="137"/>
        <v>0</v>
      </c>
      <c r="GJ42" s="68">
        <f t="shared" si="138"/>
        <v>0</v>
      </c>
      <c r="GK42" s="68">
        <f t="shared" si="139"/>
        <v>0</v>
      </c>
      <c r="GL42" s="68">
        <f t="shared" si="140"/>
        <v>0</v>
      </c>
      <c r="GM42" s="44"/>
    </row>
    <row r="43" spans="1:195" ht="17.100000000000001" customHeight="1" thickBot="1" x14ac:dyDescent="0.3">
      <c r="A43" s="229"/>
      <c r="B43" s="69" t="s">
        <v>20</v>
      </c>
      <c r="C43" s="70" t="s">
        <v>18</v>
      </c>
      <c r="D43" s="157">
        <v>0</v>
      </c>
      <c r="E43" s="158">
        <v>0</v>
      </c>
      <c r="F43" s="158">
        <v>0</v>
      </c>
      <c r="G43" s="158">
        <v>0</v>
      </c>
      <c r="H43" s="158">
        <v>0</v>
      </c>
      <c r="I43" s="158">
        <v>0</v>
      </c>
      <c r="J43" s="158">
        <v>0</v>
      </c>
      <c r="K43" s="159">
        <v>0</v>
      </c>
      <c r="L43" s="159">
        <v>0</v>
      </c>
      <c r="M43" s="159">
        <v>0</v>
      </c>
      <c r="N43" s="158">
        <v>0</v>
      </c>
      <c r="O43" s="44"/>
      <c r="P43" s="229"/>
      <c r="Q43" s="69" t="s">
        <v>20</v>
      </c>
      <c r="R43" s="70" t="s">
        <v>18</v>
      </c>
      <c r="S43" s="157">
        <v>0</v>
      </c>
      <c r="T43" s="158">
        <v>0</v>
      </c>
      <c r="U43" s="158">
        <v>0</v>
      </c>
      <c r="V43" s="158">
        <v>0</v>
      </c>
      <c r="W43" s="158">
        <v>0</v>
      </c>
      <c r="X43" s="158">
        <v>0</v>
      </c>
      <c r="Y43" s="158">
        <v>65</v>
      </c>
      <c r="Z43" s="159">
        <v>0</v>
      </c>
      <c r="AA43" s="159">
        <v>0</v>
      </c>
      <c r="AB43" s="159">
        <v>0</v>
      </c>
      <c r="AC43" s="158">
        <v>0</v>
      </c>
      <c r="AD43" s="44"/>
      <c r="AE43" s="229"/>
      <c r="AF43" s="69" t="s">
        <v>20</v>
      </c>
      <c r="AG43" s="70" t="s">
        <v>18</v>
      </c>
      <c r="AH43" s="157">
        <v>0</v>
      </c>
      <c r="AI43" s="158">
        <v>0</v>
      </c>
      <c r="AJ43" s="158">
        <v>0</v>
      </c>
      <c r="AK43" s="158">
        <v>0</v>
      </c>
      <c r="AL43" s="158">
        <v>0</v>
      </c>
      <c r="AM43" s="158">
        <v>0</v>
      </c>
      <c r="AN43" s="158">
        <v>58</v>
      </c>
      <c r="AO43" s="159">
        <v>0</v>
      </c>
      <c r="AP43" s="159">
        <v>0</v>
      </c>
      <c r="AQ43" s="159">
        <v>0</v>
      </c>
      <c r="AR43" s="158">
        <v>0</v>
      </c>
      <c r="AS43" s="44"/>
      <c r="AT43" s="229"/>
      <c r="AU43" s="69" t="s">
        <v>20</v>
      </c>
      <c r="AV43" s="70" t="s">
        <v>18</v>
      </c>
      <c r="AW43" s="157">
        <v>0</v>
      </c>
      <c r="AX43" s="158">
        <v>0</v>
      </c>
      <c r="AY43" s="158">
        <v>0</v>
      </c>
      <c r="AZ43" s="158">
        <v>0</v>
      </c>
      <c r="BA43" s="158">
        <v>0</v>
      </c>
      <c r="BB43" s="158">
        <v>0</v>
      </c>
      <c r="BC43" s="158">
        <v>0</v>
      </c>
      <c r="BD43" s="159">
        <v>0</v>
      </c>
      <c r="BE43" s="159">
        <v>0</v>
      </c>
      <c r="BF43" s="159">
        <v>0</v>
      </c>
      <c r="BG43" s="158">
        <v>0</v>
      </c>
      <c r="BH43" s="44"/>
      <c r="BI43" s="229"/>
      <c r="BJ43" s="69" t="s">
        <v>20</v>
      </c>
      <c r="BK43" s="70" t="s">
        <v>18</v>
      </c>
      <c r="BL43" s="111">
        <v>0</v>
      </c>
      <c r="BM43" s="111">
        <v>0</v>
      </c>
      <c r="BN43" s="111">
        <v>0</v>
      </c>
      <c r="BO43" s="111">
        <v>0</v>
      </c>
      <c r="BP43" s="111">
        <v>0</v>
      </c>
      <c r="BQ43" s="111">
        <v>0</v>
      </c>
      <c r="BR43" s="111">
        <v>55</v>
      </c>
      <c r="BS43" s="117">
        <v>0</v>
      </c>
      <c r="BT43" s="118">
        <v>0</v>
      </c>
      <c r="BU43" s="118">
        <v>0</v>
      </c>
      <c r="BV43" s="119">
        <v>0</v>
      </c>
      <c r="BW43" s="44"/>
      <c r="BX43" s="229"/>
      <c r="BY43" s="69" t="s">
        <v>20</v>
      </c>
      <c r="BZ43" s="70" t="s">
        <v>18</v>
      </c>
      <c r="CA43" s="111">
        <v>0</v>
      </c>
      <c r="CB43" s="111">
        <v>0</v>
      </c>
      <c r="CC43" s="111">
        <v>0</v>
      </c>
      <c r="CD43" s="111">
        <v>0</v>
      </c>
      <c r="CE43" s="111">
        <v>0</v>
      </c>
      <c r="CF43" s="111">
        <v>0</v>
      </c>
      <c r="CG43" s="157">
        <v>49</v>
      </c>
      <c r="CH43" s="117">
        <v>0</v>
      </c>
      <c r="CI43" s="118">
        <v>0</v>
      </c>
      <c r="CJ43" s="118">
        <v>0</v>
      </c>
      <c r="CK43" s="119">
        <v>0</v>
      </c>
      <c r="CL43" s="44"/>
      <c r="CM43" s="229"/>
      <c r="CN43" s="69" t="s">
        <v>20</v>
      </c>
      <c r="CO43" s="70" t="s">
        <v>18</v>
      </c>
      <c r="CP43" s="157">
        <v>0</v>
      </c>
      <c r="CQ43" s="158">
        <v>0</v>
      </c>
      <c r="CR43" s="158">
        <v>0</v>
      </c>
      <c r="CS43" s="158">
        <v>0</v>
      </c>
      <c r="CT43" s="158">
        <v>0</v>
      </c>
      <c r="CU43" s="158">
        <v>0</v>
      </c>
      <c r="CV43" s="158">
        <v>35</v>
      </c>
      <c r="CW43" s="159">
        <v>0</v>
      </c>
      <c r="CX43" s="159">
        <v>0</v>
      </c>
      <c r="CY43" s="159">
        <v>0</v>
      </c>
      <c r="CZ43" s="158">
        <v>0</v>
      </c>
      <c r="DA43" s="44"/>
      <c r="DB43" s="229"/>
      <c r="DC43" s="69" t="s">
        <v>20</v>
      </c>
      <c r="DD43" s="70" t="s">
        <v>18</v>
      </c>
      <c r="DE43" s="179">
        <v>0</v>
      </c>
      <c r="DF43" s="179">
        <v>0</v>
      </c>
      <c r="DG43" s="179">
        <v>0</v>
      </c>
      <c r="DH43" s="179">
        <v>0</v>
      </c>
      <c r="DI43" s="179">
        <v>0</v>
      </c>
      <c r="DJ43" s="179">
        <v>0</v>
      </c>
      <c r="DK43" s="179">
        <v>49</v>
      </c>
      <c r="DL43" s="185">
        <v>0</v>
      </c>
      <c r="DM43" s="186">
        <v>0</v>
      </c>
      <c r="DN43" s="186">
        <v>0</v>
      </c>
      <c r="DO43" s="187">
        <v>0</v>
      </c>
      <c r="DP43" s="44"/>
      <c r="DQ43" s="229"/>
      <c r="DR43" s="69" t="s">
        <v>20</v>
      </c>
      <c r="DS43" s="70" t="s">
        <v>18</v>
      </c>
      <c r="DT43" s="211">
        <v>0</v>
      </c>
      <c r="DU43" s="211">
        <v>0</v>
      </c>
      <c r="DV43" s="211">
        <v>0</v>
      </c>
      <c r="DW43" s="211">
        <v>0</v>
      </c>
      <c r="DX43" s="211">
        <v>0</v>
      </c>
      <c r="DY43" s="211">
        <v>0</v>
      </c>
      <c r="DZ43" s="211">
        <v>0</v>
      </c>
      <c r="EA43" s="211">
        <v>0</v>
      </c>
      <c r="EB43" s="211">
        <v>0</v>
      </c>
      <c r="EC43" s="211">
        <v>0</v>
      </c>
      <c r="ED43" s="211">
        <v>0</v>
      </c>
      <c r="EE43" s="44"/>
      <c r="EF43" s="229"/>
      <c r="EG43" s="69" t="s">
        <v>20</v>
      </c>
      <c r="EH43" s="70" t="s">
        <v>18</v>
      </c>
      <c r="EI43" s="211">
        <v>0</v>
      </c>
      <c r="EJ43" s="211">
        <v>0</v>
      </c>
      <c r="EK43" s="211">
        <v>0</v>
      </c>
      <c r="EL43" s="211">
        <v>0</v>
      </c>
      <c r="EM43" s="211">
        <v>0</v>
      </c>
      <c r="EN43" s="211">
        <v>0</v>
      </c>
      <c r="EO43" s="111">
        <v>68</v>
      </c>
      <c r="EP43" s="117">
        <v>0</v>
      </c>
      <c r="EQ43" s="118">
        <v>0</v>
      </c>
      <c r="ER43" s="118">
        <v>0</v>
      </c>
      <c r="ES43" s="119">
        <v>0</v>
      </c>
      <c r="ET43" s="44"/>
      <c r="EU43" s="229"/>
      <c r="EV43" s="69" t="s">
        <v>20</v>
      </c>
      <c r="EW43" s="70" t="s">
        <v>18</v>
      </c>
      <c r="EX43" s="111">
        <v>0</v>
      </c>
      <c r="EY43" s="111">
        <v>0</v>
      </c>
      <c r="EZ43" s="111">
        <v>0</v>
      </c>
      <c r="FA43" s="111">
        <v>0</v>
      </c>
      <c r="FB43" s="111">
        <v>0</v>
      </c>
      <c r="FC43" s="111">
        <v>0</v>
      </c>
      <c r="FD43" s="111">
        <v>0</v>
      </c>
      <c r="FE43" s="117">
        <v>0</v>
      </c>
      <c r="FF43" s="118">
        <v>0</v>
      </c>
      <c r="FG43" s="118">
        <v>0</v>
      </c>
      <c r="FH43" s="119">
        <v>0</v>
      </c>
      <c r="FI43" s="44"/>
      <c r="FJ43" s="229"/>
      <c r="FK43" s="69" t="s">
        <v>20</v>
      </c>
      <c r="FL43" s="70" t="s">
        <v>18</v>
      </c>
      <c r="FM43" s="111">
        <v>0</v>
      </c>
      <c r="FN43" s="111">
        <v>0</v>
      </c>
      <c r="FO43" s="111">
        <v>0</v>
      </c>
      <c r="FP43" s="111">
        <v>0</v>
      </c>
      <c r="FQ43" s="111">
        <v>0</v>
      </c>
      <c r="FR43" s="111">
        <v>0</v>
      </c>
      <c r="FS43" s="111">
        <v>0</v>
      </c>
      <c r="FT43" s="117">
        <v>0</v>
      </c>
      <c r="FU43" s="118">
        <v>0</v>
      </c>
      <c r="FV43" s="118">
        <v>0</v>
      </c>
      <c r="FW43" s="119">
        <v>0</v>
      </c>
      <c r="FX43" s="44"/>
      <c r="FY43" s="229"/>
      <c r="FZ43" s="69" t="s">
        <v>20</v>
      </c>
      <c r="GA43" s="71" t="s">
        <v>18</v>
      </c>
      <c r="GB43" s="63">
        <f>SUM(FM43)</f>
        <v>0</v>
      </c>
      <c r="GC43" s="72">
        <f t="shared" si="131"/>
        <v>0</v>
      </c>
      <c r="GD43" s="72">
        <f t="shared" si="132"/>
        <v>0</v>
      </c>
      <c r="GE43" s="72">
        <f t="shared" si="133"/>
        <v>0</v>
      </c>
      <c r="GF43" s="72">
        <f t="shared" si="134"/>
        <v>0</v>
      </c>
      <c r="GG43" s="72">
        <f t="shared" si="135"/>
        <v>0</v>
      </c>
      <c r="GH43" s="72">
        <f t="shared" si="136"/>
        <v>379</v>
      </c>
      <c r="GI43" s="72">
        <f t="shared" si="137"/>
        <v>0</v>
      </c>
      <c r="GJ43" s="72">
        <f t="shared" si="138"/>
        <v>0</v>
      </c>
      <c r="GK43" s="72">
        <f t="shared" si="139"/>
        <v>0</v>
      </c>
      <c r="GL43" s="72">
        <f t="shared" si="140"/>
        <v>0</v>
      </c>
      <c r="GM43" s="44"/>
    </row>
    <row r="44" spans="1:195" ht="17.100000000000001" customHeight="1" thickBot="1" x14ac:dyDescent="0.3">
      <c r="A44" s="229"/>
      <c r="B44" s="73" t="s">
        <v>17</v>
      </c>
      <c r="C44" s="74" t="s">
        <v>19</v>
      </c>
      <c r="D44" s="154">
        <v>0</v>
      </c>
      <c r="E44" s="155">
        <v>0</v>
      </c>
      <c r="F44" s="155">
        <v>0</v>
      </c>
      <c r="G44" s="155">
        <v>0</v>
      </c>
      <c r="H44" s="155">
        <v>0</v>
      </c>
      <c r="I44" s="155">
        <v>0</v>
      </c>
      <c r="J44" s="155">
        <v>0</v>
      </c>
      <c r="K44" s="156">
        <v>0</v>
      </c>
      <c r="L44" s="156">
        <v>0</v>
      </c>
      <c r="M44" s="156">
        <v>0</v>
      </c>
      <c r="N44" s="155">
        <v>0</v>
      </c>
      <c r="O44" s="44"/>
      <c r="P44" s="229"/>
      <c r="Q44" s="73" t="s">
        <v>17</v>
      </c>
      <c r="R44" s="74" t="s">
        <v>19</v>
      </c>
      <c r="S44" s="154">
        <v>0</v>
      </c>
      <c r="T44" s="155">
        <v>0</v>
      </c>
      <c r="U44" s="155">
        <v>0</v>
      </c>
      <c r="V44" s="155">
        <v>0</v>
      </c>
      <c r="W44" s="155">
        <v>0</v>
      </c>
      <c r="X44" s="155">
        <v>0</v>
      </c>
      <c r="Y44" s="155">
        <v>57</v>
      </c>
      <c r="Z44" s="156">
        <v>0</v>
      </c>
      <c r="AA44" s="156">
        <v>0</v>
      </c>
      <c r="AB44" s="156">
        <v>0</v>
      </c>
      <c r="AC44" s="155">
        <v>0</v>
      </c>
      <c r="AD44" s="44"/>
      <c r="AE44" s="229"/>
      <c r="AF44" s="73" t="s">
        <v>17</v>
      </c>
      <c r="AG44" s="74" t="s">
        <v>19</v>
      </c>
      <c r="AH44" s="154">
        <v>0</v>
      </c>
      <c r="AI44" s="155">
        <v>0</v>
      </c>
      <c r="AJ44" s="155">
        <v>0</v>
      </c>
      <c r="AK44" s="155">
        <v>0</v>
      </c>
      <c r="AL44" s="155">
        <v>0</v>
      </c>
      <c r="AM44" s="155">
        <v>0</v>
      </c>
      <c r="AN44" s="155">
        <v>59</v>
      </c>
      <c r="AO44" s="156">
        <v>0</v>
      </c>
      <c r="AP44" s="156">
        <v>0</v>
      </c>
      <c r="AQ44" s="156">
        <v>0</v>
      </c>
      <c r="AR44" s="155">
        <v>0</v>
      </c>
      <c r="AS44" s="44"/>
      <c r="AT44" s="229"/>
      <c r="AU44" s="73" t="s">
        <v>17</v>
      </c>
      <c r="AV44" s="74" t="s">
        <v>19</v>
      </c>
      <c r="AW44" s="154">
        <v>0</v>
      </c>
      <c r="AX44" s="155">
        <v>0</v>
      </c>
      <c r="AY44" s="155">
        <v>0</v>
      </c>
      <c r="AZ44" s="155">
        <v>0</v>
      </c>
      <c r="BA44" s="155">
        <v>0</v>
      </c>
      <c r="BB44" s="155">
        <v>0</v>
      </c>
      <c r="BC44" s="155">
        <v>0</v>
      </c>
      <c r="BD44" s="156">
        <v>0</v>
      </c>
      <c r="BE44" s="156">
        <v>0</v>
      </c>
      <c r="BF44" s="156">
        <v>0</v>
      </c>
      <c r="BG44" s="155">
        <v>0</v>
      </c>
      <c r="BH44" s="44"/>
      <c r="BI44" s="229"/>
      <c r="BJ44" s="73" t="s">
        <v>17</v>
      </c>
      <c r="BK44" s="74" t="s">
        <v>19</v>
      </c>
      <c r="BL44" s="114">
        <v>0</v>
      </c>
      <c r="BM44" s="114">
        <v>0</v>
      </c>
      <c r="BN44" s="114">
        <v>0</v>
      </c>
      <c r="BO44" s="114">
        <v>0</v>
      </c>
      <c r="BP44" s="114">
        <v>0</v>
      </c>
      <c r="BQ44" s="114">
        <v>0</v>
      </c>
      <c r="BR44" s="114">
        <v>46</v>
      </c>
      <c r="BS44" s="114">
        <v>0</v>
      </c>
      <c r="BT44" s="115">
        <v>0</v>
      </c>
      <c r="BU44" s="115">
        <v>0</v>
      </c>
      <c r="BV44" s="116">
        <v>0</v>
      </c>
      <c r="BW44" s="44"/>
      <c r="BX44" s="229"/>
      <c r="BY44" s="73" t="s">
        <v>17</v>
      </c>
      <c r="BZ44" s="74" t="s">
        <v>19</v>
      </c>
      <c r="CA44" s="114">
        <v>0</v>
      </c>
      <c r="CB44" s="114">
        <v>0</v>
      </c>
      <c r="CC44" s="114">
        <v>0</v>
      </c>
      <c r="CD44" s="114">
        <v>0</v>
      </c>
      <c r="CE44" s="114">
        <v>0</v>
      </c>
      <c r="CF44" s="114">
        <v>0</v>
      </c>
      <c r="CG44" s="154">
        <v>46</v>
      </c>
      <c r="CH44" s="114">
        <v>0</v>
      </c>
      <c r="CI44" s="115">
        <v>0</v>
      </c>
      <c r="CJ44" s="115">
        <v>0</v>
      </c>
      <c r="CK44" s="116">
        <v>0</v>
      </c>
      <c r="CL44" s="44"/>
      <c r="CM44" s="229"/>
      <c r="CN44" s="73" t="s">
        <v>17</v>
      </c>
      <c r="CO44" s="74" t="s">
        <v>19</v>
      </c>
      <c r="CP44" s="154">
        <v>0</v>
      </c>
      <c r="CQ44" s="155">
        <v>0</v>
      </c>
      <c r="CR44" s="155">
        <v>0</v>
      </c>
      <c r="CS44" s="155">
        <v>0</v>
      </c>
      <c r="CT44" s="155">
        <v>0</v>
      </c>
      <c r="CU44" s="155">
        <v>0</v>
      </c>
      <c r="CV44" s="155">
        <v>39</v>
      </c>
      <c r="CW44" s="156">
        <v>0</v>
      </c>
      <c r="CX44" s="156">
        <v>0</v>
      </c>
      <c r="CY44" s="156">
        <v>0</v>
      </c>
      <c r="CZ44" s="155">
        <v>0</v>
      </c>
      <c r="DA44" s="44"/>
      <c r="DB44" s="229"/>
      <c r="DC44" s="73" t="s">
        <v>17</v>
      </c>
      <c r="DD44" s="74" t="s">
        <v>19</v>
      </c>
      <c r="DE44" s="182">
        <v>0</v>
      </c>
      <c r="DF44" s="182">
        <v>0</v>
      </c>
      <c r="DG44" s="182">
        <v>0</v>
      </c>
      <c r="DH44" s="182">
        <v>0</v>
      </c>
      <c r="DI44" s="182">
        <v>0</v>
      </c>
      <c r="DJ44" s="182">
        <v>0</v>
      </c>
      <c r="DK44" s="182">
        <v>46</v>
      </c>
      <c r="DL44" s="182">
        <v>0</v>
      </c>
      <c r="DM44" s="183">
        <v>0</v>
      </c>
      <c r="DN44" s="183">
        <v>0</v>
      </c>
      <c r="DO44" s="184">
        <v>0</v>
      </c>
      <c r="DP44" s="44"/>
      <c r="DQ44" s="229"/>
      <c r="DR44" s="73" t="s">
        <v>17</v>
      </c>
      <c r="DS44" s="74" t="s">
        <v>19</v>
      </c>
      <c r="DT44" s="211">
        <v>0</v>
      </c>
      <c r="DU44" s="211">
        <v>0</v>
      </c>
      <c r="DV44" s="211">
        <v>0</v>
      </c>
      <c r="DW44" s="211">
        <v>0</v>
      </c>
      <c r="DX44" s="211">
        <v>0</v>
      </c>
      <c r="DY44" s="211">
        <v>0</v>
      </c>
      <c r="DZ44" s="211">
        <v>0</v>
      </c>
      <c r="EA44" s="211">
        <v>0</v>
      </c>
      <c r="EB44" s="211">
        <v>0</v>
      </c>
      <c r="EC44" s="211">
        <v>0</v>
      </c>
      <c r="ED44" s="211">
        <v>0</v>
      </c>
      <c r="EE44" s="44"/>
      <c r="EF44" s="229"/>
      <c r="EG44" s="73" t="s">
        <v>17</v>
      </c>
      <c r="EH44" s="74" t="s">
        <v>19</v>
      </c>
      <c r="EI44" s="211">
        <v>0</v>
      </c>
      <c r="EJ44" s="211">
        <v>0</v>
      </c>
      <c r="EK44" s="211">
        <v>0</v>
      </c>
      <c r="EL44" s="211">
        <v>0</v>
      </c>
      <c r="EM44" s="211">
        <v>0</v>
      </c>
      <c r="EN44" s="211">
        <v>0</v>
      </c>
      <c r="EO44" s="114">
        <v>64</v>
      </c>
      <c r="EP44" s="114">
        <v>0</v>
      </c>
      <c r="EQ44" s="115">
        <v>0</v>
      </c>
      <c r="ER44" s="115">
        <v>0</v>
      </c>
      <c r="ES44" s="116">
        <v>0</v>
      </c>
      <c r="ET44" s="44"/>
      <c r="EU44" s="229"/>
      <c r="EV44" s="73" t="s">
        <v>17</v>
      </c>
      <c r="EW44" s="74" t="s">
        <v>19</v>
      </c>
      <c r="EX44" s="114">
        <v>0</v>
      </c>
      <c r="EY44" s="114">
        <v>0</v>
      </c>
      <c r="EZ44" s="114">
        <v>0</v>
      </c>
      <c r="FA44" s="114">
        <v>0</v>
      </c>
      <c r="FB44" s="114">
        <v>0</v>
      </c>
      <c r="FC44" s="114">
        <v>0</v>
      </c>
      <c r="FD44" s="114">
        <v>0</v>
      </c>
      <c r="FE44" s="114">
        <v>0</v>
      </c>
      <c r="FF44" s="115">
        <v>0</v>
      </c>
      <c r="FG44" s="115">
        <v>0</v>
      </c>
      <c r="FH44" s="116">
        <v>0</v>
      </c>
      <c r="FI44" s="44"/>
      <c r="FJ44" s="229"/>
      <c r="FK44" s="73" t="s">
        <v>17</v>
      </c>
      <c r="FL44" s="74" t="s">
        <v>19</v>
      </c>
      <c r="FM44" s="114">
        <v>0</v>
      </c>
      <c r="FN44" s="114">
        <v>0</v>
      </c>
      <c r="FO44" s="114">
        <v>0</v>
      </c>
      <c r="FP44" s="114">
        <v>0</v>
      </c>
      <c r="FQ44" s="114">
        <v>0</v>
      </c>
      <c r="FR44" s="114">
        <v>0</v>
      </c>
      <c r="FS44" s="114">
        <v>0</v>
      </c>
      <c r="FT44" s="114">
        <v>0</v>
      </c>
      <c r="FU44" s="115">
        <v>0</v>
      </c>
      <c r="FV44" s="115">
        <v>0</v>
      </c>
      <c r="FW44" s="116">
        <v>0</v>
      </c>
      <c r="FX44" s="44"/>
      <c r="FY44" s="229"/>
      <c r="FZ44" s="73" t="s">
        <v>17</v>
      </c>
      <c r="GA44" s="75" t="s">
        <v>19</v>
      </c>
      <c r="GB44" s="67">
        <f>SUM(FM44)</f>
        <v>0</v>
      </c>
      <c r="GC44" s="68">
        <f t="shared" si="131"/>
        <v>0</v>
      </c>
      <c r="GD44" s="68">
        <f t="shared" si="132"/>
        <v>0</v>
      </c>
      <c r="GE44" s="68">
        <f t="shared" si="133"/>
        <v>0</v>
      </c>
      <c r="GF44" s="68">
        <f t="shared" si="134"/>
        <v>0</v>
      </c>
      <c r="GG44" s="68">
        <f t="shared" si="135"/>
        <v>0</v>
      </c>
      <c r="GH44" s="68">
        <f t="shared" si="136"/>
        <v>357</v>
      </c>
      <c r="GI44" s="68">
        <f t="shared" si="137"/>
        <v>0</v>
      </c>
      <c r="GJ44" s="68">
        <f t="shared" si="138"/>
        <v>0</v>
      </c>
      <c r="GK44" s="68">
        <f t="shared" si="139"/>
        <v>0</v>
      </c>
      <c r="GL44" s="68">
        <f t="shared" si="140"/>
        <v>0</v>
      </c>
      <c r="GM44" s="44"/>
    </row>
    <row r="45" spans="1:195" ht="17.100000000000001" customHeight="1" thickBot="1" x14ac:dyDescent="0.3">
      <c r="A45" s="229"/>
      <c r="B45" s="252" t="s">
        <v>21</v>
      </c>
      <c r="C45" s="253"/>
      <c r="D45" s="120">
        <f t="shared" ref="D45:N45" si="141">SUM(D41:D44)</f>
        <v>12</v>
      </c>
      <c r="E45" s="120">
        <f t="shared" si="141"/>
        <v>5</v>
      </c>
      <c r="F45" s="121">
        <f t="shared" si="141"/>
        <v>7</v>
      </c>
      <c r="G45" s="122">
        <f t="shared" si="141"/>
        <v>668</v>
      </c>
      <c r="H45" s="121">
        <f t="shared" si="141"/>
        <v>3</v>
      </c>
      <c r="I45" s="120">
        <f t="shared" si="141"/>
        <v>41</v>
      </c>
      <c r="J45" s="120">
        <f t="shared" si="141"/>
        <v>643</v>
      </c>
      <c r="K45" s="123">
        <f t="shared" si="141"/>
        <v>0</v>
      </c>
      <c r="L45" s="124">
        <f t="shared" si="141"/>
        <v>0</v>
      </c>
      <c r="M45" s="124">
        <f t="shared" si="141"/>
        <v>0</v>
      </c>
      <c r="N45" s="125">
        <f t="shared" si="141"/>
        <v>0</v>
      </c>
      <c r="O45" s="44"/>
      <c r="P45" s="229"/>
      <c r="Q45" s="252" t="s">
        <v>21</v>
      </c>
      <c r="R45" s="253"/>
      <c r="S45" s="120">
        <f t="shared" ref="S45:AC45" si="142">SUM(S41:S44)</f>
        <v>12</v>
      </c>
      <c r="T45" s="120">
        <f t="shared" si="142"/>
        <v>12</v>
      </c>
      <c r="U45" s="121">
        <f t="shared" si="142"/>
        <v>5</v>
      </c>
      <c r="V45" s="122">
        <f t="shared" si="142"/>
        <v>668</v>
      </c>
      <c r="W45" s="121">
        <f t="shared" si="142"/>
        <v>3</v>
      </c>
      <c r="X45" s="120">
        <f t="shared" si="142"/>
        <v>41</v>
      </c>
      <c r="Y45" s="120">
        <f t="shared" si="142"/>
        <v>493</v>
      </c>
      <c r="Z45" s="123">
        <f t="shared" si="142"/>
        <v>0</v>
      </c>
      <c r="AA45" s="124">
        <f t="shared" si="142"/>
        <v>0</v>
      </c>
      <c r="AB45" s="124">
        <f t="shared" si="142"/>
        <v>0</v>
      </c>
      <c r="AC45" s="125">
        <f t="shared" si="142"/>
        <v>0</v>
      </c>
      <c r="AD45" s="44"/>
      <c r="AE45" s="229"/>
      <c r="AF45" s="252" t="s">
        <v>21</v>
      </c>
      <c r="AG45" s="253"/>
      <c r="AH45" s="120">
        <f t="shared" ref="AH45:AR45" si="143">SUM(AH41:AH44)</f>
        <v>7</v>
      </c>
      <c r="AI45" s="120">
        <f t="shared" si="143"/>
        <v>5</v>
      </c>
      <c r="AJ45" s="121">
        <f t="shared" si="143"/>
        <v>2</v>
      </c>
      <c r="AK45" s="122">
        <f t="shared" si="143"/>
        <v>668</v>
      </c>
      <c r="AL45" s="121">
        <f t="shared" si="143"/>
        <v>5</v>
      </c>
      <c r="AM45" s="120">
        <f t="shared" si="143"/>
        <v>45</v>
      </c>
      <c r="AN45" s="120">
        <f t="shared" si="143"/>
        <v>227</v>
      </c>
      <c r="AO45" s="123">
        <f t="shared" si="143"/>
        <v>0</v>
      </c>
      <c r="AP45" s="124">
        <f t="shared" si="143"/>
        <v>0</v>
      </c>
      <c r="AQ45" s="124">
        <f t="shared" si="143"/>
        <v>0</v>
      </c>
      <c r="AR45" s="125">
        <f t="shared" si="143"/>
        <v>0</v>
      </c>
      <c r="AS45" s="44"/>
      <c r="AT45" s="229"/>
      <c r="AU45" s="252" t="s">
        <v>21</v>
      </c>
      <c r="AV45" s="253"/>
      <c r="AW45" s="120">
        <f t="shared" ref="AW45:BG45" si="144">SUM(AW41:AW44)</f>
        <v>3</v>
      </c>
      <c r="AX45" s="120">
        <f t="shared" si="144"/>
        <v>12</v>
      </c>
      <c r="AY45" s="121">
        <f t="shared" si="144"/>
        <v>12</v>
      </c>
      <c r="AZ45" s="122">
        <f t="shared" si="144"/>
        <v>0</v>
      </c>
      <c r="BA45" s="121">
        <f t="shared" si="144"/>
        <v>3</v>
      </c>
      <c r="BB45" s="120">
        <f t="shared" si="144"/>
        <v>45</v>
      </c>
      <c r="BC45" s="120">
        <f t="shared" si="144"/>
        <v>0</v>
      </c>
      <c r="BD45" s="123">
        <f t="shared" si="144"/>
        <v>0</v>
      </c>
      <c r="BE45" s="124">
        <f t="shared" si="144"/>
        <v>0</v>
      </c>
      <c r="BF45" s="124">
        <f t="shared" si="144"/>
        <v>0</v>
      </c>
      <c r="BG45" s="125">
        <f t="shared" si="144"/>
        <v>0</v>
      </c>
      <c r="BH45" s="44"/>
      <c r="BI45" s="229"/>
      <c r="BJ45" s="252" t="s">
        <v>21</v>
      </c>
      <c r="BK45" s="253"/>
      <c r="BL45" s="120">
        <f t="shared" ref="BL45:BV45" si="145">SUM(BL41:BL44)</f>
        <v>4</v>
      </c>
      <c r="BM45" s="120">
        <f t="shared" si="145"/>
        <v>13</v>
      </c>
      <c r="BN45" s="121">
        <f t="shared" si="145"/>
        <v>12</v>
      </c>
      <c r="BO45" s="122">
        <f t="shared" si="145"/>
        <v>0</v>
      </c>
      <c r="BP45" s="121">
        <f t="shared" si="145"/>
        <v>0</v>
      </c>
      <c r="BQ45" s="120">
        <f t="shared" si="145"/>
        <v>45</v>
      </c>
      <c r="BR45" s="120">
        <f t="shared" si="145"/>
        <v>552</v>
      </c>
      <c r="BS45" s="123">
        <f t="shared" si="145"/>
        <v>0</v>
      </c>
      <c r="BT45" s="124">
        <f t="shared" si="145"/>
        <v>0</v>
      </c>
      <c r="BU45" s="124">
        <f t="shared" si="145"/>
        <v>0</v>
      </c>
      <c r="BV45" s="125">
        <f t="shared" si="145"/>
        <v>0</v>
      </c>
      <c r="BW45" s="44"/>
      <c r="BX45" s="229"/>
      <c r="BY45" s="252" t="s">
        <v>21</v>
      </c>
      <c r="BZ45" s="253"/>
      <c r="CA45" s="120">
        <f t="shared" ref="CA45:CK45" si="146">SUM(CA41:CA44)</f>
        <v>0</v>
      </c>
      <c r="CB45" s="120">
        <f t="shared" si="146"/>
        <v>0</v>
      </c>
      <c r="CC45" s="121">
        <f t="shared" si="146"/>
        <v>0</v>
      </c>
      <c r="CD45" s="122">
        <f t="shared" si="146"/>
        <v>0</v>
      </c>
      <c r="CE45" s="121">
        <f t="shared" si="146"/>
        <v>0</v>
      </c>
      <c r="CF45" s="120">
        <f t="shared" si="146"/>
        <v>0</v>
      </c>
      <c r="CG45" s="166">
        <v>271</v>
      </c>
      <c r="CH45" s="123">
        <f t="shared" si="146"/>
        <v>0</v>
      </c>
      <c r="CI45" s="124">
        <f t="shared" si="146"/>
        <v>0</v>
      </c>
      <c r="CJ45" s="124">
        <f t="shared" si="146"/>
        <v>0</v>
      </c>
      <c r="CK45" s="125">
        <f t="shared" si="146"/>
        <v>0</v>
      </c>
      <c r="CL45" s="44"/>
      <c r="CM45" s="229"/>
      <c r="CN45" s="252" t="s">
        <v>21</v>
      </c>
      <c r="CO45" s="253"/>
      <c r="CP45" s="166">
        <v>5</v>
      </c>
      <c r="CQ45" s="175">
        <v>9</v>
      </c>
      <c r="CR45" s="175">
        <v>3</v>
      </c>
      <c r="CS45" s="175">
        <v>668</v>
      </c>
      <c r="CT45" s="175">
        <v>3</v>
      </c>
      <c r="CU45" s="175">
        <v>41</v>
      </c>
      <c r="CV45" s="175">
        <v>1506</v>
      </c>
      <c r="CW45" s="174">
        <v>0</v>
      </c>
      <c r="CX45" s="174">
        <v>0</v>
      </c>
      <c r="CY45" s="174">
        <v>0</v>
      </c>
      <c r="CZ45" s="175">
        <v>0</v>
      </c>
      <c r="DA45" s="44"/>
      <c r="DB45" s="229"/>
      <c r="DC45" s="252" t="s">
        <v>21</v>
      </c>
      <c r="DD45" s="253"/>
      <c r="DE45" s="188">
        <f t="shared" ref="DE45:DO45" si="147">SUM(DE41:DE44)</f>
        <v>5</v>
      </c>
      <c r="DF45" s="188">
        <f t="shared" si="147"/>
        <v>5</v>
      </c>
      <c r="DG45" s="189">
        <f t="shared" si="147"/>
        <v>3</v>
      </c>
      <c r="DH45" s="190">
        <f t="shared" si="147"/>
        <v>668</v>
      </c>
      <c r="DI45" s="189">
        <f t="shared" si="147"/>
        <v>2</v>
      </c>
      <c r="DJ45" s="188">
        <f t="shared" si="147"/>
        <v>45</v>
      </c>
      <c r="DK45" s="188">
        <f t="shared" si="147"/>
        <v>271</v>
      </c>
      <c r="DL45" s="191">
        <f t="shared" si="147"/>
        <v>0</v>
      </c>
      <c r="DM45" s="192">
        <f t="shared" si="147"/>
        <v>0</v>
      </c>
      <c r="DN45" s="192">
        <f t="shared" si="147"/>
        <v>0</v>
      </c>
      <c r="DO45" s="193">
        <f t="shared" si="147"/>
        <v>0</v>
      </c>
      <c r="DP45" s="44"/>
      <c r="DQ45" s="229"/>
      <c r="DR45" s="252" t="s">
        <v>21</v>
      </c>
      <c r="DS45" s="253"/>
      <c r="DT45" s="212">
        <f t="shared" ref="DT45:ED45" si="148">SUM(DT41:DT44)</f>
        <v>11</v>
      </c>
      <c r="DU45" s="212">
        <f t="shared" si="148"/>
        <v>12</v>
      </c>
      <c r="DV45" s="212">
        <f t="shared" si="148"/>
        <v>3</v>
      </c>
      <c r="DW45" s="212">
        <f t="shared" si="148"/>
        <v>590</v>
      </c>
      <c r="DX45" s="212">
        <f t="shared" si="148"/>
        <v>2</v>
      </c>
      <c r="DY45" s="212">
        <f t="shared" si="148"/>
        <v>81</v>
      </c>
      <c r="DZ45" s="212">
        <f t="shared" si="148"/>
        <v>100</v>
      </c>
      <c r="EA45" s="212">
        <f t="shared" si="148"/>
        <v>0</v>
      </c>
      <c r="EB45" s="212">
        <f t="shared" si="148"/>
        <v>0</v>
      </c>
      <c r="EC45" s="212">
        <f t="shared" si="148"/>
        <v>0</v>
      </c>
      <c r="ED45" s="212">
        <f t="shared" si="148"/>
        <v>0</v>
      </c>
      <c r="EE45" s="44"/>
      <c r="EF45" s="229"/>
      <c r="EG45" s="252" t="s">
        <v>21</v>
      </c>
      <c r="EH45" s="253"/>
      <c r="EI45" s="120">
        <f t="shared" ref="EI45:ES45" si="149">SUM(EI41:EI44)</f>
        <v>11</v>
      </c>
      <c r="EJ45" s="120">
        <f t="shared" si="149"/>
        <v>12</v>
      </c>
      <c r="EK45" s="121">
        <f t="shared" si="149"/>
        <v>3</v>
      </c>
      <c r="EL45" s="122">
        <f t="shared" si="149"/>
        <v>590</v>
      </c>
      <c r="EM45" s="121">
        <f t="shared" si="149"/>
        <v>2</v>
      </c>
      <c r="EN45" s="120">
        <f t="shared" si="149"/>
        <v>81</v>
      </c>
      <c r="EO45" s="120">
        <f t="shared" si="149"/>
        <v>1364</v>
      </c>
      <c r="EP45" s="123">
        <f t="shared" si="149"/>
        <v>0</v>
      </c>
      <c r="EQ45" s="124">
        <f t="shared" si="149"/>
        <v>0</v>
      </c>
      <c r="ER45" s="124">
        <f t="shared" si="149"/>
        <v>0</v>
      </c>
      <c r="ES45" s="125">
        <f t="shared" si="149"/>
        <v>0</v>
      </c>
      <c r="ET45" s="44"/>
      <c r="EU45" s="229"/>
      <c r="EV45" s="252" t="s">
        <v>21</v>
      </c>
      <c r="EW45" s="253"/>
      <c r="EX45" s="120">
        <f t="shared" ref="EX45:FH45" si="150">SUM(EX41:EX44)</f>
        <v>0</v>
      </c>
      <c r="EY45" s="120">
        <f t="shared" si="150"/>
        <v>0</v>
      </c>
      <c r="EZ45" s="121">
        <f t="shared" si="150"/>
        <v>0</v>
      </c>
      <c r="FA45" s="122">
        <f t="shared" si="150"/>
        <v>0</v>
      </c>
      <c r="FB45" s="121">
        <f t="shared" si="150"/>
        <v>0</v>
      </c>
      <c r="FC45" s="120">
        <f t="shared" si="150"/>
        <v>0</v>
      </c>
      <c r="FD45" s="120">
        <f t="shared" si="150"/>
        <v>0</v>
      </c>
      <c r="FE45" s="123">
        <f t="shared" si="150"/>
        <v>0</v>
      </c>
      <c r="FF45" s="124">
        <f t="shared" si="150"/>
        <v>0</v>
      </c>
      <c r="FG45" s="124">
        <f t="shared" si="150"/>
        <v>0</v>
      </c>
      <c r="FH45" s="125">
        <f t="shared" si="150"/>
        <v>0</v>
      </c>
      <c r="FI45" s="44"/>
      <c r="FJ45" s="229"/>
      <c r="FK45" s="252" t="s">
        <v>21</v>
      </c>
      <c r="FL45" s="253"/>
      <c r="FM45" s="120">
        <f t="shared" ref="FM45:FW45" si="151">SUM(FM41:FM44)</f>
        <v>0</v>
      </c>
      <c r="FN45" s="120">
        <f t="shared" si="151"/>
        <v>0</v>
      </c>
      <c r="FO45" s="121">
        <f t="shared" si="151"/>
        <v>0</v>
      </c>
      <c r="FP45" s="122">
        <f t="shared" si="151"/>
        <v>0</v>
      </c>
      <c r="FQ45" s="121">
        <f t="shared" si="151"/>
        <v>0</v>
      </c>
      <c r="FR45" s="120">
        <f t="shared" si="151"/>
        <v>0</v>
      </c>
      <c r="FS45" s="120">
        <f t="shared" si="151"/>
        <v>0</v>
      </c>
      <c r="FT45" s="123">
        <f t="shared" si="151"/>
        <v>0</v>
      </c>
      <c r="FU45" s="124">
        <f t="shared" si="151"/>
        <v>0</v>
      </c>
      <c r="FV45" s="124">
        <f t="shared" si="151"/>
        <v>0</v>
      </c>
      <c r="FW45" s="125">
        <f t="shared" si="151"/>
        <v>0</v>
      </c>
      <c r="FX45" s="44"/>
      <c r="FY45" s="229"/>
      <c r="FZ45" s="128" t="s">
        <v>21</v>
      </c>
      <c r="GA45" s="129"/>
      <c r="GB45" s="76">
        <f t="shared" ref="GB45:GL45" si="152">SUM(GB41:GB44)</f>
        <v>0</v>
      </c>
      <c r="GC45" s="77">
        <f t="shared" si="152"/>
        <v>85</v>
      </c>
      <c r="GD45" s="77">
        <f t="shared" si="152"/>
        <v>50</v>
      </c>
      <c r="GE45" s="77">
        <f t="shared" si="152"/>
        <v>0</v>
      </c>
      <c r="GF45" s="77">
        <f t="shared" si="152"/>
        <v>0</v>
      </c>
      <c r="GG45" s="77">
        <f t="shared" si="152"/>
        <v>0</v>
      </c>
      <c r="GH45" s="77">
        <f t="shared" si="152"/>
        <v>5427</v>
      </c>
      <c r="GI45" s="77">
        <f t="shared" si="152"/>
        <v>0</v>
      </c>
      <c r="GJ45" s="77">
        <f t="shared" si="152"/>
        <v>0</v>
      </c>
      <c r="GK45" s="77">
        <f t="shared" si="152"/>
        <v>0</v>
      </c>
      <c r="GL45" s="77">
        <f t="shared" si="152"/>
        <v>0</v>
      </c>
      <c r="GM45" s="44"/>
    </row>
    <row r="46" spans="1:195" ht="17.100000000000001" customHeight="1" thickBot="1" x14ac:dyDescent="0.25">
      <c r="A46" s="230"/>
      <c r="B46" s="78" t="s">
        <v>22</v>
      </c>
      <c r="C46" s="44"/>
      <c r="D46" s="78"/>
      <c r="E46" s="44"/>
      <c r="F46" s="44"/>
      <c r="G46" s="44"/>
      <c r="H46" s="44"/>
      <c r="I46" s="44"/>
      <c r="J46" s="44"/>
      <c r="K46" s="79" t="s">
        <v>18</v>
      </c>
      <c r="L46" s="80">
        <v>0</v>
      </c>
      <c r="M46" s="79" t="s">
        <v>19</v>
      </c>
      <c r="N46" s="80">
        <v>0</v>
      </c>
      <c r="O46" s="44"/>
      <c r="P46" s="230"/>
      <c r="Q46" s="78" t="s">
        <v>22</v>
      </c>
      <c r="R46" s="44"/>
      <c r="S46" s="78"/>
      <c r="T46" s="44"/>
      <c r="U46" s="44"/>
      <c r="V46" s="44"/>
      <c r="W46" s="44"/>
      <c r="X46" s="44"/>
      <c r="Y46" s="44"/>
      <c r="Z46" s="79" t="s">
        <v>18</v>
      </c>
      <c r="AA46" s="80">
        <v>0</v>
      </c>
      <c r="AB46" s="79" t="s">
        <v>19</v>
      </c>
      <c r="AC46" s="80">
        <v>0</v>
      </c>
      <c r="AD46" s="44"/>
      <c r="AE46" s="230"/>
      <c r="AF46" s="78" t="s">
        <v>22</v>
      </c>
      <c r="AG46" s="44"/>
      <c r="AH46" s="78"/>
      <c r="AI46" s="44"/>
      <c r="AJ46" s="44"/>
      <c r="AK46" s="44"/>
      <c r="AL46" s="44"/>
      <c r="AM46" s="44"/>
      <c r="AN46" s="44"/>
      <c r="AO46" s="79" t="s">
        <v>18</v>
      </c>
      <c r="AP46" s="80">
        <v>0</v>
      </c>
      <c r="AQ46" s="79" t="s">
        <v>19</v>
      </c>
      <c r="AR46" s="80">
        <v>0</v>
      </c>
      <c r="AS46" s="44"/>
      <c r="AT46" s="230"/>
      <c r="AU46" s="78" t="s">
        <v>22</v>
      </c>
      <c r="AV46" s="44"/>
      <c r="AW46" s="78"/>
      <c r="AX46" s="44"/>
      <c r="AY46" s="44"/>
      <c r="AZ46" s="44"/>
      <c r="BA46" s="44"/>
      <c r="BB46" s="44"/>
      <c r="BC46" s="44"/>
      <c r="BD46" s="79" t="s">
        <v>18</v>
      </c>
      <c r="BE46" s="80">
        <v>0</v>
      </c>
      <c r="BF46" s="79" t="s">
        <v>19</v>
      </c>
      <c r="BG46" s="80">
        <v>0</v>
      </c>
      <c r="BH46" s="44"/>
      <c r="BI46" s="230"/>
      <c r="BJ46" s="78" t="s">
        <v>22</v>
      </c>
      <c r="BK46" s="44"/>
      <c r="BL46" s="78"/>
      <c r="BM46" s="44"/>
      <c r="BN46" s="44"/>
      <c r="BO46" s="44"/>
      <c r="BP46" s="44"/>
      <c r="BQ46" s="44"/>
      <c r="BR46" s="44"/>
      <c r="BS46" s="79" t="s">
        <v>18</v>
      </c>
      <c r="BT46" s="80">
        <v>0</v>
      </c>
      <c r="BU46" s="79" t="s">
        <v>19</v>
      </c>
      <c r="BV46" s="80">
        <v>0</v>
      </c>
      <c r="BW46" s="44"/>
      <c r="BX46" s="230"/>
      <c r="BY46" s="78" t="s">
        <v>22</v>
      </c>
      <c r="BZ46" s="44"/>
      <c r="CA46" s="78"/>
      <c r="CB46" s="44"/>
      <c r="CC46" s="44"/>
      <c r="CD46" s="44"/>
      <c r="CE46" s="44"/>
      <c r="CF46" s="44"/>
      <c r="CG46" s="167"/>
      <c r="CH46" s="79" t="s">
        <v>18</v>
      </c>
      <c r="CI46" s="80">
        <v>0</v>
      </c>
      <c r="CJ46" s="79" t="s">
        <v>19</v>
      </c>
      <c r="CK46" s="80">
        <v>0</v>
      </c>
      <c r="CL46" s="44"/>
      <c r="CM46" s="230"/>
      <c r="CN46" s="78" t="s">
        <v>22</v>
      </c>
      <c r="CO46" s="44"/>
      <c r="CP46" s="167"/>
      <c r="CQ46" s="167"/>
      <c r="CR46" s="167"/>
      <c r="CS46" s="167"/>
      <c r="CT46" s="167"/>
      <c r="CU46" s="167"/>
      <c r="CV46" s="167"/>
      <c r="CW46" s="176" t="s">
        <v>18</v>
      </c>
      <c r="CX46" s="177">
        <v>0</v>
      </c>
      <c r="CY46" s="176" t="s">
        <v>19</v>
      </c>
      <c r="CZ46" s="177">
        <v>0</v>
      </c>
      <c r="DA46" s="44"/>
      <c r="DB46" s="230"/>
      <c r="DC46" s="78" t="s">
        <v>22</v>
      </c>
      <c r="DD46" s="44"/>
      <c r="DE46" s="194"/>
      <c r="DF46" s="195"/>
      <c r="DG46" s="195"/>
      <c r="DH46" s="195"/>
      <c r="DI46" s="195"/>
      <c r="DJ46" s="195"/>
      <c r="DK46" s="195"/>
      <c r="DL46" s="196" t="s">
        <v>18</v>
      </c>
      <c r="DM46" s="197">
        <v>0</v>
      </c>
      <c r="DN46" s="196" t="s">
        <v>19</v>
      </c>
      <c r="DO46" s="197">
        <v>0</v>
      </c>
      <c r="DP46" s="44"/>
      <c r="DQ46" s="230"/>
      <c r="DR46" s="78" t="s">
        <v>22</v>
      </c>
      <c r="DS46" s="44"/>
      <c r="DT46" s="213"/>
      <c r="DU46" s="214"/>
      <c r="DV46" s="214"/>
      <c r="DW46" s="214"/>
      <c r="DX46" s="214"/>
      <c r="DY46" s="214"/>
      <c r="DZ46" s="214"/>
      <c r="EA46" s="215" t="s">
        <v>18</v>
      </c>
      <c r="EB46" s="216">
        <v>0</v>
      </c>
      <c r="EC46" s="215" t="s">
        <v>19</v>
      </c>
      <c r="ED46" s="216">
        <v>0</v>
      </c>
      <c r="EE46" s="44"/>
      <c r="EF46" s="230"/>
      <c r="EG46" s="78" t="s">
        <v>22</v>
      </c>
      <c r="EH46" s="44"/>
      <c r="EI46" s="78"/>
      <c r="EJ46" s="44"/>
      <c r="EK46" s="44"/>
      <c r="EL46" s="44"/>
      <c r="EM46" s="44"/>
      <c r="EN46" s="44"/>
      <c r="EO46" s="44"/>
      <c r="EP46" s="79" t="s">
        <v>18</v>
      </c>
      <c r="EQ46" s="80">
        <v>0</v>
      </c>
      <c r="ER46" s="79" t="s">
        <v>19</v>
      </c>
      <c r="ES46" s="80">
        <v>0</v>
      </c>
      <c r="ET46" s="44"/>
      <c r="EU46" s="230"/>
      <c r="EV46" s="78" t="s">
        <v>22</v>
      </c>
      <c r="EW46" s="44"/>
      <c r="EX46" s="78"/>
      <c r="EY46" s="44"/>
      <c r="EZ46" s="44"/>
      <c r="FA46" s="44"/>
      <c r="FB46" s="44"/>
      <c r="FC46" s="44"/>
      <c r="FD46" s="44"/>
      <c r="FE46" s="79" t="s">
        <v>18</v>
      </c>
      <c r="FF46" s="80">
        <v>0</v>
      </c>
      <c r="FG46" s="79" t="s">
        <v>19</v>
      </c>
      <c r="FH46" s="80">
        <v>0</v>
      </c>
      <c r="FI46" s="44"/>
      <c r="FJ46" s="230"/>
      <c r="FK46" s="78" t="s">
        <v>22</v>
      </c>
      <c r="FL46" s="44"/>
      <c r="FM46" s="78"/>
      <c r="FN46" s="44"/>
      <c r="FO46" s="44"/>
      <c r="FP46" s="44"/>
      <c r="FQ46" s="44"/>
      <c r="FR46" s="44"/>
      <c r="FS46" s="44"/>
      <c r="FT46" s="79" t="s">
        <v>18</v>
      </c>
      <c r="FU46" s="80">
        <v>0</v>
      </c>
      <c r="FV46" s="79" t="s">
        <v>19</v>
      </c>
      <c r="FW46" s="80">
        <v>0</v>
      </c>
      <c r="FX46" s="44"/>
      <c r="FY46" s="230"/>
      <c r="FZ46" s="78" t="s">
        <v>26</v>
      </c>
      <c r="GA46" s="44"/>
      <c r="GB46" s="81"/>
      <c r="GC46" s="82"/>
      <c r="GD46" s="82"/>
      <c r="GE46" s="82"/>
      <c r="GF46" s="82"/>
      <c r="GG46" s="82"/>
      <c r="GH46" s="82"/>
      <c r="GI46" s="83" t="s">
        <v>18</v>
      </c>
      <c r="GJ46" s="64">
        <f>(L46+AA46+AP46+BE46+BT46+CI46+CX46+DM46+EB46+EQ46+FF46+FU46)</f>
        <v>0</v>
      </c>
      <c r="GK46" s="83" t="s">
        <v>19</v>
      </c>
      <c r="GL46" s="64">
        <f>(N46+AC46+AR46+BG46+BV46+CK46+CZ46+DO46+ED46+ES46+FH46+FW46)</f>
        <v>0</v>
      </c>
      <c r="GM46" s="44"/>
    </row>
    <row r="47" spans="1:195" ht="17.100000000000001" customHeight="1" thickTop="1" thickBot="1" x14ac:dyDescent="0.25">
      <c r="A47" s="228" t="s">
        <v>43</v>
      </c>
      <c r="B47" s="250" t="s">
        <v>17</v>
      </c>
      <c r="C47" s="61" t="s">
        <v>18</v>
      </c>
      <c r="D47" s="151">
        <v>107</v>
      </c>
      <c r="E47" s="152">
        <v>0</v>
      </c>
      <c r="F47" s="152">
        <v>0</v>
      </c>
      <c r="G47" s="152">
        <v>587</v>
      </c>
      <c r="H47" s="152">
        <v>53</v>
      </c>
      <c r="I47" s="152">
        <v>52</v>
      </c>
      <c r="J47" s="152">
        <v>119</v>
      </c>
      <c r="K47" s="153">
        <v>0</v>
      </c>
      <c r="L47" s="153">
        <v>0</v>
      </c>
      <c r="M47" s="153">
        <v>0</v>
      </c>
      <c r="N47" s="152">
        <v>0</v>
      </c>
      <c r="O47" s="44"/>
      <c r="P47" s="228" t="s">
        <v>43</v>
      </c>
      <c r="Q47" s="250" t="s">
        <v>17</v>
      </c>
      <c r="R47" s="61" t="s">
        <v>18</v>
      </c>
      <c r="S47" s="151">
        <v>20</v>
      </c>
      <c r="T47" s="152">
        <v>0</v>
      </c>
      <c r="U47" s="152">
        <v>0</v>
      </c>
      <c r="V47" s="152">
        <v>615</v>
      </c>
      <c r="W47" s="152">
        <v>0</v>
      </c>
      <c r="X47" s="152">
        <v>0</v>
      </c>
      <c r="Y47" s="152">
        <v>519</v>
      </c>
      <c r="Z47" s="153">
        <v>0</v>
      </c>
      <c r="AA47" s="153">
        <v>0</v>
      </c>
      <c r="AB47" s="153">
        <v>0</v>
      </c>
      <c r="AC47" s="152">
        <v>0</v>
      </c>
      <c r="AD47" s="44"/>
      <c r="AE47" s="228" t="s">
        <v>43</v>
      </c>
      <c r="AF47" s="250" t="s">
        <v>17</v>
      </c>
      <c r="AG47" s="61" t="s">
        <v>18</v>
      </c>
      <c r="AH47" s="151">
        <v>0</v>
      </c>
      <c r="AI47" s="152">
        <v>0</v>
      </c>
      <c r="AJ47" s="152">
        <v>0</v>
      </c>
      <c r="AK47" s="152">
        <v>0</v>
      </c>
      <c r="AL47" s="152">
        <v>0</v>
      </c>
      <c r="AM47" s="152">
        <v>0</v>
      </c>
      <c r="AN47" s="152">
        <v>350</v>
      </c>
      <c r="AO47" s="153">
        <v>0</v>
      </c>
      <c r="AP47" s="153">
        <v>0</v>
      </c>
      <c r="AQ47" s="153">
        <v>0</v>
      </c>
      <c r="AR47" s="152">
        <v>0</v>
      </c>
      <c r="AS47" s="44"/>
      <c r="AT47" s="228" t="s">
        <v>43</v>
      </c>
      <c r="AU47" s="250" t="s">
        <v>17</v>
      </c>
      <c r="AV47" s="61" t="s">
        <v>18</v>
      </c>
      <c r="AW47" s="151">
        <v>0</v>
      </c>
      <c r="AX47" s="152">
        <v>0</v>
      </c>
      <c r="AY47" s="152">
        <v>0</v>
      </c>
      <c r="AZ47" s="152">
        <v>0</v>
      </c>
      <c r="BA47" s="152">
        <v>0</v>
      </c>
      <c r="BB47" s="152">
        <v>0</v>
      </c>
      <c r="BC47" s="152">
        <v>302</v>
      </c>
      <c r="BD47" s="153">
        <v>0</v>
      </c>
      <c r="BE47" s="153">
        <v>0</v>
      </c>
      <c r="BF47" s="153">
        <v>0</v>
      </c>
      <c r="BG47" s="152">
        <v>0</v>
      </c>
      <c r="BH47" s="44"/>
      <c r="BI47" s="228" t="s">
        <v>43</v>
      </c>
      <c r="BJ47" s="250" t="s">
        <v>17</v>
      </c>
      <c r="BK47" s="61" t="s">
        <v>18</v>
      </c>
      <c r="BL47" s="111">
        <v>0</v>
      </c>
      <c r="BM47" s="111">
        <v>0</v>
      </c>
      <c r="BN47" s="111">
        <v>0</v>
      </c>
      <c r="BO47" s="111">
        <v>0</v>
      </c>
      <c r="BP47" s="111">
        <v>0</v>
      </c>
      <c r="BQ47" s="111">
        <v>0</v>
      </c>
      <c r="BR47" s="111">
        <v>261</v>
      </c>
      <c r="BS47" s="111">
        <v>0</v>
      </c>
      <c r="BT47" s="112">
        <v>0</v>
      </c>
      <c r="BU47" s="112">
        <v>0</v>
      </c>
      <c r="BV47" s="113">
        <v>0</v>
      </c>
      <c r="BW47" s="44"/>
      <c r="BX47" s="228" t="s">
        <v>43</v>
      </c>
      <c r="BY47" s="250" t="s">
        <v>17</v>
      </c>
      <c r="BZ47" s="61" t="s">
        <v>18</v>
      </c>
      <c r="CA47" s="111">
        <v>0</v>
      </c>
      <c r="CB47" s="111">
        <v>0</v>
      </c>
      <c r="CC47" s="111">
        <v>0</v>
      </c>
      <c r="CD47" s="111">
        <v>0</v>
      </c>
      <c r="CE47" s="111">
        <v>0</v>
      </c>
      <c r="CF47" s="111">
        <v>0</v>
      </c>
      <c r="CG47" s="157">
        <v>72</v>
      </c>
      <c r="CH47" s="111">
        <v>0</v>
      </c>
      <c r="CI47" s="112">
        <v>0</v>
      </c>
      <c r="CJ47" s="112">
        <v>0</v>
      </c>
      <c r="CK47" s="113">
        <v>0</v>
      </c>
      <c r="CL47" s="44"/>
      <c r="CM47" s="228" t="s">
        <v>43</v>
      </c>
      <c r="CN47" s="250" t="s">
        <v>17</v>
      </c>
      <c r="CO47" s="61" t="s">
        <v>18</v>
      </c>
      <c r="CP47" s="157">
        <v>5</v>
      </c>
      <c r="CQ47" s="158">
        <v>0</v>
      </c>
      <c r="CR47" s="158">
        <v>0</v>
      </c>
      <c r="CS47" s="158">
        <v>614</v>
      </c>
      <c r="CT47" s="158">
        <v>0</v>
      </c>
      <c r="CU47" s="158">
        <v>0</v>
      </c>
      <c r="CV47" s="158">
        <v>518</v>
      </c>
      <c r="CW47" s="159">
        <v>0</v>
      </c>
      <c r="CX47" s="159">
        <v>0</v>
      </c>
      <c r="CY47" s="159">
        <v>0</v>
      </c>
      <c r="CZ47" s="158">
        <v>0</v>
      </c>
      <c r="DA47" s="44"/>
      <c r="DB47" s="228" t="s">
        <v>43</v>
      </c>
      <c r="DC47" s="250" t="s">
        <v>17</v>
      </c>
      <c r="DD47" s="61" t="s">
        <v>18</v>
      </c>
      <c r="DE47" s="198">
        <v>87</v>
      </c>
      <c r="DF47" s="199">
        <v>0</v>
      </c>
      <c r="DG47" s="199">
        <v>0</v>
      </c>
      <c r="DH47" s="199">
        <v>679</v>
      </c>
      <c r="DI47" s="199">
        <v>19</v>
      </c>
      <c r="DJ47" s="199">
        <v>37</v>
      </c>
      <c r="DK47" s="199">
        <v>72</v>
      </c>
      <c r="DL47" s="179">
        <v>0</v>
      </c>
      <c r="DM47" s="180">
        <v>0</v>
      </c>
      <c r="DN47" s="180">
        <v>0</v>
      </c>
      <c r="DO47" s="181">
        <v>0</v>
      </c>
      <c r="DP47" s="44"/>
      <c r="DQ47" s="228" t="s">
        <v>43</v>
      </c>
      <c r="DR47" s="250" t="s">
        <v>17</v>
      </c>
      <c r="DS47" s="61" t="s">
        <v>18</v>
      </c>
      <c r="DT47" s="179">
        <v>132</v>
      </c>
      <c r="DU47" s="179">
        <v>0</v>
      </c>
      <c r="DV47" s="179">
        <v>0</v>
      </c>
      <c r="DW47" s="179">
        <v>219</v>
      </c>
      <c r="DX47" s="179">
        <v>18</v>
      </c>
      <c r="DY47" s="179">
        <v>20</v>
      </c>
      <c r="DZ47" s="179">
        <v>28</v>
      </c>
      <c r="EA47" s="179">
        <v>0</v>
      </c>
      <c r="EB47" s="180">
        <v>0</v>
      </c>
      <c r="EC47" s="180">
        <v>0</v>
      </c>
      <c r="ED47" s="181">
        <v>0</v>
      </c>
      <c r="EE47" s="44"/>
      <c r="EF47" s="228" t="s">
        <v>43</v>
      </c>
      <c r="EG47" s="250" t="s">
        <v>17</v>
      </c>
      <c r="EH47" s="61" t="s">
        <v>18</v>
      </c>
      <c r="EI47" s="179">
        <v>132</v>
      </c>
      <c r="EJ47" s="179">
        <v>0</v>
      </c>
      <c r="EK47" s="179">
        <v>0</v>
      </c>
      <c r="EL47" s="179">
        <v>219</v>
      </c>
      <c r="EM47" s="179">
        <v>18</v>
      </c>
      <c r="EN47" s="179">
        <v>20</v>
      </c>
      <c r="EO47" s="111">
        <v>40</v>
      </c>
      <c r="EP47" s="111">
        <v>0</v>
      </c>
      <c r="EQ47" s="112">
        <v>0</v>
      </c>
      <c r="ER47" s="112">
        <v>0</v>
      </c>
      <c r="ES47" s="113">
        <v>0</v>
      </c>
      <c r="ET47" s="44"/>
      <c r="EU47" s="228" t="s">
        <v>43</v>
      </c>
      <c r="EV47" s="250" t="s">
        <v>17</v>
      </c>
      <c r="EW47" s="61" t="s">
        <v>18</v>
      </c>
      <c r="EX47" s="111">
        <v>0</v>
      </c>
      <c r="EY47" s="111">
        <v>0</v>
      </c>
      <c r="EZ47" s="111">
        <v>0</v>
      </c>
      <c r="FA47" s="111">
        <v>0</v>
      </c>
      <c r="FB47" s="111">
        <v>0</v>
      </c>
      <c r="FC47" s="111">
        <v>0</v>
      </c>
      <c r="FD47" s="111">
        <v>0</v>
      </c>
      <c r="FE47" s="111">
        <v>0</v>
      </c>
      <c r="FF47" s="112">
        <v>0</v>
      </c>
      <c r="FG47" s="112">
        <v>0</v>
      </c>
      <c r="FH47" s="113">
        <v>0</v>
      </c>
      <c r="FI47" s="44"/>
      <c r="FJ47" s="228" t="s">
        <v>43</v>
      </c>
      <c r="FK47" s="250" t="s">
        <v>17</v>
      </c>
      <c r="FL47" s="61" t="s">
        <v>18</v>
      </c>
      <c r="FM47" s="111">
        <v>0</v>
      </c>
      <c r="FN47" s="111">
        <v>0</v>
      </c>
      <c r="FO47" s="111">
        <v>0</v>
      </c>
      <c r="FP47" s="111">
        <v>0</v>
      </c>
      <c r="FQ47" s="111">
        <v>0</v>
      </c>
      <c r="FR47" s="111">
        <v>0</v>
      </c>
      <c r="FS47" s="111">
        <v>0</v>
      </c>
      <c r="FT47" s="111">
        <v>0</v>
      </c>
      <c r="FU47" s="112">
        <v>0</v>
      </c>
      <c r="FV47" s="112">
        <v>0</v>
      </c>
      <c r="FW47" s="113">
        <v>0</v>
      </c>
      <c r="FX47" s="44"/>
      <c r="FY47" s="228" t="str">
        <f>(FJ47)</f>
        <v>الواحة</v>
      </c>
      <c r="FZ47" s="126" t="s">
        <v>17</v>
      </c>
      <c r="GA47" s="62" t="s">
        <v>18</v>
      </c>
      <c r="GB47" s="63">
        <f>SUM(FM47)</f>
        <v>0</v>
      </c>
      <c r="GC47" s="64">
        <f t="shared" ref="GC47:GC50" si="153">(E47+T47+AI47+AX47+BM47+CB47+CQ47+DF47+DU47+EJ47+EY47+FN47)</f>
        <v>0</v>
      </c>
      <c r="GD47" s="64">
        <f t="shared" ref="GD47:GD50" si="154">(F47+U47+AJ47+AY47+BN47+CC47+CR47+DG47+DV47+EK47+EZ47+FO47)</f>
        <v>0</v>
      </c>
      <c r="GE47" s="64">
        <f t="shared" ref="GE47:GE50" si="155">SUM(FP47)</f>
        <v>0</v>
      </c>
      <c r="GF47" s="64">
        <f t="shared" ref="GF47:GF50" si="156">SUM(FQ47)</f>
        <v>0</v>
      </c>
      <c r="GG47" s="64">
        <f t="shared" ref="GG47:GG50" si="157">SUM(FR47)</f>
        <v>0</v>
      </c>
      <c r="GH47" s="64">
        <f t="shared" ref="GH47:GH50" si="158">(J47+Y47+AN47+BC47+BR47+CG47+CV47+DK47+DZ47+EO47+FD47+FS47)</f>
        <v>2281</v>
      </c>
      <c r="GI47" s="64">
        <f t="shared" ref="GI47:GI50" si="159">(K47+Z47+AO47+BD47+BS47+CH47+CW47+DL47+EA47+EP47+FE47+FT47)</f>
        <v>0</v>
      </c>
      <c r="GJ47" s="64">
        <f t="shared" ref="GJ47:GJ50" si="160">(L47+AA47+AP47+BE47+BT47+CI47+CX47+DM47+EB47+EQ47+FF47+FU47)</f>
        <v>0</v>
      </c>
      <c r="GK47" s="64">
        <f t="shared" ref="GK47:GK50" si="161">(M47+AB47+AQ47+BF47+BU47+CJ47+CY47+DN47+EC47+ER47+FG47+FV47)</f>
        <v>0</v>
      </c>
      <c r="GL47" s="64">
        <f t="shared" ref="GL47:GL50" si="162">(N47+AC47+AR47+BG47+BV47+CK47+CZ47+DO47+ED47+ES47+FH47+FW47)</f>
        <v>0</v>
      </c>
      <c r="GM47" s="44"/>
    </row>
    <row r="48" spans="1:195" ht="17.100000000000001" customHeight="1" thickBot="1" x14ac:dyDescent="0.25">
      <c r="A48" s="229"/>
      <c r="B48" s="251"/>
      <c r="C48" s="65" t="s">
        <v>19</v>
      </c>
      <c r="D48" s="154">
        <v>94</v>
      </c>
      <c r="E48" s="155">
        <v>0</v>
      </c>
      <c r="F48" s="155">
        <v>0</v>
      </c>
      <c r="G48" s="155">
        <v>546</v>
      </c>
      <c r="H48" s="155">
        <v>61</v>
      </c>
      <c r="I48" s="155">
        <v>50</v>
      </c>
      <c r="J48" s="155">
        <v>132</v>
      </c>
      <c r="K48" s="156">
        <v>0</v>
      </c>
      <c r="L48" s="156">
        <v>0</v>
      </c>
      <c r="M48" s="156">
        <v>0</v>
      </c>
      <c r="N48" s="155">
        <v>0</v>
      </c>
      <c r="O48" s="44"/>
      <c r="P48" s="229"/>
      <c r="Q48" s="251"/>
      <c r="R48" s="65" t="s">
        <v>19</v>
      </c>
      <c r="S48" s="154">
        <v>10</v>
      </c>
      <c r="T48" s="155">
        <v>0</v>
      </c>
      <c r="U48" s="155">
        <v>0</v>
      </c>
      <c r="V48" s="155">
        <v>587</v>
      </c>
      <c r="W48" s="155">
        <v>0</v>
      </c>
      <c r="X48" s="155">
        <v>0</v>
      </c>
      <c r="Y48" s="155">
        <v>496</v>
      </c>
      <c r="Z48" s="156">
        <v>0</v>
      </c>
      <c r="AA48" s="156">
        <v>0</v>
      </c>
      <c r="AB48" s="156">
        <v>0</v>
      </c>
      <c r="AC48" s="155">
        <v>0</v>
      </c>
      <c r="AD48" s="44"/>
      <c r="AE48" s="229"/>
      <c r="AF48" s="251"/>
      <c r="AG48" s="65" t="s">
        <v>19</v>
      </c>
      <c r="AH48" s="154">
        <v>0</v>
      </c>
      <c r="AI48" s="155">
        <v>0</v>
      </c>
      <c r="AJ48" s="155">
        <v>0</v>
      </c>
      <c r="AK48" s="155">
        <v>0</v>
      </c>
      <c r="AL48" s="155">
        <v>0</v>
      </c>
      <c r="AM48" s="155">
        <v>0</v>
      </c>
      <c r="AN48" s="155">
        <v>315</v>
      </c>
      <c r="AO48" s="156">
        <v>0</v>
      </c>
      <c r="AP48" s="156">
        <v>0</v>
      </c>
      <c r="AQ48" s="156">
        <v>0</v>
      </c>
      <c r="AR48" s="155">
        <v>0</v>
      </c>
      <c r="AS48" s="44"/>
      <c r="AT48" s="229"/>
      <c r="AU48" s="251"/>
      <c r="AV48" s="65" t="s">
        <v>19</v>
      </c>
      <c r="AW48" s="154">
        <v>0</v>
      </c>
      <c r="AX48" s="155">
        <v>0</v>
      </c>
      <c r="AY48" s="155">
        <v>0</v>
      </c>
      <c r="AZ48" s="155">
        <v>0</v>
      </c>
      <c r="BA48" s="155">
        <v>0</v>
      </c>
      <c r="BB48" s="155">
        <v>0</v>
      </c>
      <c r="BC48" s="155">
        <v>273</v>
      </c>
      <c r="BD48" s="156">
        <v>0</v>
      </c>
      <c r="BE48" s="156">
        <v>0</v>
      </c>
      <c r="BF48" s="156">
        <v>0</v>
      </c>
      <c r="BG48" s="155">
        <v>0</v>
      </c>
      <c r="BH48" s="44"/>
      <c r="BI48" s="229"/>
      <c r="BJ48" s="251"/>
      <c r="BK48" s="65" t="s">
        <v>19</v>
      </c>
      <c r="BL48" s="114">
        <v>0</v>
      </c>
      <c r="BM48" s="114">
        <v>0</v>
      </c>
      <c r="BN48" s="114">
        <v>0</v>
      </c>
      <c r="BO48" s="114">
        <v>0</v>
      </c>
      <c r="BP48" s="114">
        <v>0</v>
      </c>
      <c r="BQ48" s="114">
        <v>0</v>
      </c>
      <c r="BR48" s="114">
        <v>264</v>
      </c>
      <c r="BS48" s="114">
        <v>0</v>
      </c>
      <c r="BT48" s="115">
        <v>0</v>
      </c>
      <c r="BU48" s="115">
        <v>0</v>
      </c>
      <c r="BV48" s="116">
        <v>0</v>
      </c>
      <c r="BW48" s="44"/>
      <c r="BX48" s="229"/>
      <c r="BY48" s="251"/>
      <c r="BZ48" s="65" t="s">
        <v>19</v>
      </c>
      <c r="CA48" s="114">
        <v>0</v>
      </c>
      <c r="CB48" s="114">
        <v>0</v>
      </c>
      <c r="CC48" s="114">
        <v>0</v>
      </c>
      <c r="CD48" s="114">
        <v>0</v>
      </c>
      <c r="CE48" s="114">
        <v>0</v>
      </c>
      <c r="CF48" s="114">
        <v>0</v>
      </c>
      <c r="CG48" s="154">
        <v>88</v>
      </c>
      <c r="CH48" s="114">
        <v>0</v>
      </c>
      <c r="CI48" s="115">
        <v>0</v>
      </c>
      <c r="CJ48" s="115">
        <v>0</v>
      </c>
      <c r="CK48" s="116">
        <v>0</v>
      </c>
      <c r="CL48" s="44"/>
      <c r="CM48" s="229"/>
      <c r="CN48" s="251"/>
      <c r="CO48" s="65" t="s">
        <v>19</v>
      </c>
      <c r="CP48" s="154">
        <v>2</v>
      </c>
      <c r="CQ48" s="155">
        <v>0</v>
      </c>
      <c r="CR48" s="155">
        <v>0</v>
      </c>
      <c r="CS48" s="155">
        <v>585</v>
      </c>
      <c r="CT48" s="155">
        <v>0</v>
      </c>
      <c r="CU48" s="155">
        <v>0</v>
      </c>
      <c r="CV48" s="155">
        <v>497</v>
      </c>
      <c r="CW48" s="156">
        <v>0</v>
      </c>
      <c r="CX48" s="156">
        <v>0</v>
      </c>
      <c r="CY48" s="156">
        <v>0</v>
      </c>
      <c r="CZ48" s="155">
        <v>0</v>
      </c>
      <c r="DA48" s="44"/>
      <c r="DB48" s="229"/>
      <c r="DC48" s="251"/>
      <c r="DD48" s="65" t="s">
        <v>19</v>
      </c>
      <c r="DE48" s="200">
        <v>82</v>
      </c>
      <c r="DF48" s="201">
        <v>0</v>
      </c>
      <c r="DG48" s="201">
        <v>0</v>
      </c>
      <c r="DH48" s="201">
        <v>610</v>
      </c>
      <c r="DI48" s="201">
        <v>26</v>
      </c>
      <c r="DJ48" s="201">
        <v>34</v>
      </c>
      <c r="DK48" s="201">
        <v>88</v>
      </c>
      <c r="DL48" s="182">
        <v>0</v>
      </c>
      <c r="DM48" s="183">
        <v>0</v>
      </c>
      <c r="DN48" s="183">
        <v>0</v>
      </c>
      <c r="DO48" s="184">
        <v>0</v>
      </c>
      <c r="DP48" s="44"/>
      <c r="DQ48" s="229"/>
      <c r="DR48" s="251"/>
      <c r="DS48" s="65" t="s">
        <v>19</v>
      </c>
      <c r="DT48" s="182">
        <v>164</v>
      </c>
      <c r="DU48" s="182">
        <v>0</v>
      </c>
      <c r="DV48" s="182">
        <v>0</v>
      </c>
      <c r="DW48" s="182">
        <v>271</v>
      </c>
      <c r="DX48" s="182">
        <v>21</v>
      </c>
      <c r="DY48" s="182">
        <v>34</v>
      </c>
      <c r="DZ48" s="182">
        <v>22</v>
      </c>
      <c r="EA48" s="182">
        <v>0</v>
      </c>
      <c r="EB48" s="183">
        <v>0</v>
      </c>
      <c r="EC48" s="183">
        <v>0</v>
      </c>
      <c r="ED48" s="184">
        <v>0</v>
      </c>
      <c r="EE48" s="44"/>
      <c r="EF48" s="229"/>
      <c r="EG48" s="251"/>
      <c r="EH48" s="65" t="s">
        <v>19</v>
      </c>
      <c r="EI48" s="182">
        <v>164</v>
      </c>
      <c r="EJ48" s="182">
        <v>0</v>
      </c>
      <c r="EK48" s="182">
        <v>0</v>
      </c>
      <c r="EL48" s="182">
        <v>271</v>
      </c>
      <c r="EM48" s="182">
        <v>21</v>
      </c>
      <c r="EN48" s="182">
        <v>34</v>
      </c>
      <c r="EO48" s="114">
        <v>15</v>
      </c>
      <c r="EP48" s="114">
        <v>0</v>
      </c>
      <c r="EQ48" s="115">
        <v>0</v>
      </c>
      <c r="ER48" s="115">
        <v>0</v>
      </c>
      <c r="ES48" s="116">
        <v>0</v>
      </c>
      <c r="ET48" s="44"/>
      <c r="EU48" s="229"/>
      <c r="EV48" s="251"/>
      <c r="EW48" s="65" t="s">
        <v>19</v>
      </c>
      <c r="EX48" s="114">
        <v>0</v>
      </c>
      <c r="EY48" s="114">
        <v>0</v>
      </c>
      <c r="EZ48" s="114">
        <v>0</v>
      </c>
      <c r="FA48" s="114">
        <v>0</v>
      </c>
      <c r="FB48" s="114">
        <v>0</v>
      </c>
      <c r="FC48" s="114">
        <v>0</v>
      </c>
      <c r="FD48" s="114">
        <v>0</v>
      </c>
      <c r="FE48" s="114">
        <v>0</v>
      </c>
      <c r="FF48" s="115">
        <v>0</v>
      </c>
      <c r="FG48" s="115">
        <v>0</v>
      </c>
      <c r="FH48" s="116">
        <v>0</v>
      </c>
      <c r="FI48" s="44"/>
      <c r="FJ48" s="229"/>
      <c r="FK48" s="251"/>
      <c r="FL48" s="65" t="s">
        <v>19</v>
      </c>
      <c r="FM48" s="114">
        <v>0</v>
      </c>
      <c r="FN48" s="114">
        <v>0</v>
      </c>
      <c r="FO48" s="114">
        <v>0</v>
      </c>
      <c r="FP48" s="114">
        <v>0</v>
      </c>
      <c r="FQ48" s="114">
        <v>0</v>
      </c>
      <c r="FR48" s="114">
        <v>0</v>
      </c>
      <c r="FS48" s="114">
        <v>0</v>
      </c>
      <c r="FT48" s="114">
        <v>0</v>
      </c>
      <c r="FU48" s="115">
        <v>0</v>
      </c>
      <c r="FV48" s="115">
        <v>0</v>
      </c>
      <c r="FW48" s="116">
        <v>0</v>
      </c>
      <c r="FX48" s="44"/>
      <c r="FY48" s="229"/>
      <c r="FZ48" s="127"/>
      <c r="GA48" s="66" t="s">
        <v>19</v>
      </c>
      <c r="GB48" s="67">
        <f>SUM(FM48)</f>
        <v>0</v>
      </c>
      <c r="GC48" s="68">
        <f t="shared" si="153"/>
        <v>0</v>
      </c>
      <c r="GD48" s="68">
        <f t="shared" si="154"/>
        <v>0</v>
      </c>
      <c r="GE48" s="68">
        <f t="shared" si="155"/>
        <v>0</v>
      </c>
      <c r="GF48" s="68">
        <f t="shared" si="156"/>
        <v>0</v>
      </c>
      <c r="GG48" s="68">
        <f t="shared" si="157"/>
        <v>0</v>
      </c>
      <c r="GH48" s="68">
        <f t="shared" si="158"/>
        <v>2190</v>
      </c>
      <c r="GI48" s="68">
        <f t="shared" si="159"/>
        <v>0</v>
      </c>
      <c r="GJ48" s="68">
        <f t="shared" si="160"/>
        <v>0</v>
      </c>
      <c r="GK48" s="68">
        <f t="shared" si="161"/>
        <v>0</v>
      </c>
      <c r="GL48" s="68">
        <f t="shared" si="162"/>
        <v>0</v>
      </c>
      <c r="GM48" s="44"/>
    </row>
    <row r="49" spans="1:207" ht="17.100000000000001" customHeight="1" thickBot="1" x14ac:dyDescent="0.25">
      <c r="A49" s="229"/>
      <c r="B49" s="69" t="s">
        <v>20</v>
      </c>
      <c r="C49" s="70" t="s">
        <v>18</v>
      </c>
      <c r="D49" s="157">
        <v>6</v>
      </c>
      <c r="E49" s="158">
        <v>0</v>
      </c>
      <c r="F49" s="158">
        <v>0</v>
      </c>
      <c r="G49" s="158">
        <v>12</v>
      </c>
      <c r="H49" s="158">
        <v>4</v>
      </c>
      <c r="I49" s="158">
        <v>1</v>
      </c>
      <c r="J49" s="158">
        <v>59</v>
      </c>
      <c r="K49" s="159">
        <v>0</v>
      </c>
      <c r="L49" s="159">
        <v>0</v>
      </c>
      <c r="M49" s="159">
        <v>0</v>
      </c>
      <c r="N49" s="158">
        <v>0</v>
      </c>
      <c r="O49" s="44"/>
      <c r="P49" s="229"/>
      <c r="Q49" s="69" t="s">
        <v>20</v>
      </c>
      <c r="R49" s="70" t="s">
        <v>18</v>
      </c>
      <c r="S49" s="157">
        <v>0</v>
      </c>
      <c r="T49" s="158">
        <v>0</v>
      </c>
      <c r="U49" s="158">
        <v>0</v>
      </c>
      <c r="V49" s="158">
        <v>8</v>
      </c>
      <c r="W49" s="158">
        <v>0</v>
      </c>
      <c r="X49" s="158">
        <v>0</v>
      </c>
      <c r="Y49" s="158">
        <v>282</v>
      </c>
      <c r="Z49" s="159">
        <v>0</v>
      </c>
      <c r="AA49" s="159">
        <v>0</v>
      </c>
      <c r="AB49" s="159">
        <v>0</v>
      </c>
      <c r="AC49" s="158">
        <v>0</v>
      </c>
      <c r="AD49" s="44"/>
      <c r="AE49" s="229"/>
      <c r="AF49" s="69" t="s">
        <v>20</v>
      </c>
      <c r="AG49" s="70" t="s">
        <v>18</v>
      </c>
      <c r="AH49" s="157">
        <v>0</v>
      </c>
      <c r="AI49" s="158">
        <v>0</v>
      </c>
      <c r="AJ49" s="158">
        <v>0</v>
      </c>
      <c r="AK49" s="158">
        <v>0</v>
      </c>
      <c r="AL49" s="158">
        <v>0</v>
      </c>
      <c r="AM49" s="158">
        <v>0</v>
      </c>
      <c r="AN49" s="158">
        <v>179</v>
      </c>
      <c r="AO49" s="159">
        <v>0</v>
      </c>
      <c r="AP49" s="159">
        <v>0</v>
      </c>
      <c r="AQ49" s="159">
        <v>0</v>
      </c>
      <c r="AR49" s="158">
        <v>0</v>
      </c>
      <c r="AS49" s="44"/>
      <c r="AT49" s="229"/>
      <c r="AU49" s="69" t="s">
        <v>20</v>
      </c>
      <c r="AV49" s="70" t="s">
        <v>18</v>
      </c>
      <c r="AW49" s="157">
        <v>0</v>
      </c>
      <c r="AX49" s="158">
        <v>0</v>
      </c>
      <c r="AY49" s="158">
        <v>0</v>
      </c>
      <c r="AZ49" s="158">
        <v>0</v>
      </c>
      <c r="BA49" s="158">
        <v>0</v>
      </c>
      <c r="BB49" s="158">
        <v>0</v>
      </c>
      <c r="BC49" s="158">
        <v>177</v>
      </c>
      <c r="BD49" s="159">
        <v>0</v>
      </c>
      <c r="BE49" s="159">
        <v>0</v>
      </c>
      <c r="BF49" s="159">
        <v>0</v>
      </c>
      <c r="BG49" s="158">
        <v>0</v>
      </c>
      <c r="BH49" s="44"/>
      <c r="BI49" s="229"/>
      <c r="BJ49" s="69" t="s">
        <v>20</v>
      </c>
      <c r="BK49" s="70" t="s">
        <v>18</v>
      </c>
      <c r="BL49" s="111">
        <v>0</v>
      </c>
      <c r="BM49" s="111">
        <v>0</v>
      </c>
      <c r="BN49" s="111">
        <v>0</v>
      </c>
      <c r="BO49" s="111">
        <v>0</v>
      </c>
      <c r="BP49" s="111">
        <v>0</v>
      </c>
      <c r="BQ49" s="111">
        <v>0</v>
      </c>
      <c r="BR49" s="111">
        <v>122</v>
      </c>
      <c r="BS49" s="117">
        <v>0</v>
      </c>
      <c r="BT49" s="118">
        <v>0</v>
      </c>
      <c r="BU49" s="118">
        <v>0</v>
      </c>
      <c r="BV49" s="119">
        <v>0</v>
      </c>
      <c r="BW49" s="44"/>
      <c r="BX49" s="229"/>
      <c r="BY49" s="69" t="s">
        <v>20</v>
      </c>
      <c r="BZ49" s="70" t="s">
        <v>18</v>
      </c>
      <c r="CA49" s="111">
        <v>0</v>
      </c>
      <c r="CB49" s="111">
        <v>0</v>
      </c>
      <c r="CC49" s="111">
        <v>0</v>
      </c>
      <c r="CD49" s="111">
        <v>0</v>
      </c>
      <c r="CE49" s="111">
        <v>0</v>
      </c>
      <c r="CF49" s="111">
        <v>0</v>
      </c>
      <c r="CG49" s="157">
        <v>29</v>
      </c>
      <c r="CH49" s="117">
        <v>0</v>
      </c>
      <c r="CI49" s="118">
        <v>0</v>
      </c>
      <c r="CJ49" s="118">
        <v>0</v>
      </c>
      <c r="CK49" s="119">
        <v>0</v>
      </c>
      <c r="CL49" s="44"/>
      <c r="CM49" s="229"/>
      <c r="CN49" s="69" t="s">
        <v>20</v>
      </c>
      <c r="CO49" s="70" t="s">
        <v>18</v>
      </c>
      <c r="CP49" s="157">
        <v>0</v>
      </c>
      <c r="CQ49" s="158">
        <v>0</v>
      </c>
      <c r="CR49" s="158">
        <v>0</v>
      </c>
      <c r="CS49" s="158">
        <v>9</v>
      </c>
      <c r="CT49" s="158">
        <v>0</v>
      </c>
      <c r="CU49" s="158">
        <v>0</v>
      </c>
      <c r="CV49" s="158">
        <v>272</v>
      </c>
      <c r="CW49" s="159">
        <v>0</v>
      </c>
      <c r="CX49" s="159">
        <v>0</v>
      </c>
      <c r="CY49" s="159">
        <v>0</v>
      </c>
      <c r="CZ49" s="158">
        <v>0</v>
      </c>
      <c r="DA49" s="44"/>
      <c r="DB49" s="229"/>
      <c r="DC49" s="69" t="s">
        <v>20</v>
      </c>
      <c r="DD49" s="70" t="s">
        <v>18</v>
      </c>
      <c r="DE49" s="202">
        <v>4</v>
      </c>
      <c r="DF49" s="203">
        <v>0</v>
      </c>
      <c r="DG49" s="203">
        <v>0</v>
      </c>
      <c r="DH49" s="203">
        <v>21</v>
      </c>
      <c r="DI49" s="203">
        <v>0</v>
      </c>
      <c r="DJ49" s="203">
        <v>0</v>
      </c>
      <c r="DK49" s="203">
        <v>29</v>
      </c>
      <c r="DL49" s="185">
        <v>0</v>
      </c>
      <c r="DM49" s="186">
        <v>0</v>
      </c>
      <c r="DN49" s="186">
        <v>0</v>
      </c>
      <c r="DO49" s="187">
        <v>0</v>
      </c>
      <c r="DP49" s="44"/>
      <c r="DQ49" s="229"/>
      <c r="DR49" s="69" t="s">
        <v>20</v>
      </c>
      <c r="DS49" s="70" t="s">
        <v>18</v>
      </c>
      <c r="DT49" s="179">
        <v>0</v>
      </c>
      <c r="DU49" s="179">
        <v>0</v>
      </c>
      <c r="DV49" s="179">
        <v>0</v>
      </c>
      <c r="DW49" s="179">
        <v>0</v>
      </c>
      <c r="DX49" s="179">
        <v>0</v>
      </c>
      <c r="DY49" s="179">
        <v>0</v>
      </c>
      <c r="DZ49" s="179">
        <v>3</v>
      </c>
      <c r="EA49" s="185">
        <v>0</v>
      </c>
      <c r="EB49" s="186">
        <v>0</v>
      </c>
      <c r="EC49" s="186">
        <v>0</v>
      </c>
      <c r="ED49" s="187">
        <v>0</v>
      </c>
      <c r="EE49" s="44"/>
      <c r="EF49" s="229"/>
      <c r="EG49" s="69" t="s">
        <v>20</v>
      </c>
      <c r="EH49" s="70" t="s">
        <v>18</v>
      </c>
      <c r="EI49" s="179">
        <v>0</v>
      </c>
      <c r="EJ49" s="179">
        <v>0</v>
      </c>
      <c r="EK49" s="179">
        <v>0</v>
      </c>
      <c r="EL49" s="179">
        <v>0</v>
      </c>
      <c r="EM49" s="179">
        <v>0</v>
      </c>
      <c r="EN49" s="179">
        <v>0</v>
      </c>
      <c r="EO49" s="111">
        <v>8</v>
      </c>
      <c r="EP49" s="117">
        <v>0</v>
      </c>
      <c r="EQ49" s="118">
        <v>0</v>
      </c>
      <c r="ER49" s="118">
        <v>0</v>
      </c>
      <c r="ES49" s="119">
        <v>0</v>
      </c>
      <c r="ET49" s="44"/>
      <c r="EU49" s="229"/>
      <c r="EV49" s="69" t="s">
        <v>20</v>
      </c>
      <c r="EW49" s="70" t="s">
        <v>18</v>
      </c>
      <c r="EX49" s="111">
        <v>0</v>
      </c>
      <c r="EY49" s="111">
        <v>0</v>
      </c>
      <c r="EZ49" s="111">
        <v>0</v>
      </c>
      <c r="FA49" s="111">
        <v>0</v>
      </c>
      <c r="FB49" s="111">
        <v>0</v>
      </c>
      <c r="FC49" s="111">
        <v>0</v>
      </c>
      <c r="FD49" s="111">
        <v>0</v>
      </c>
      <c r="FE49" s="117">
        <v>0</v>
      </c>
      <c r="FF49" s="118">
        <v>0</v>
      </c>
      <c r="FG49" s="118">
        <v>0</v>
      </c>
      <c r="FH49" s="119">
        <v>0</v>
      </c>
      <c r="FI49" s="44"/>
      <c r="FJ49" s="229"/>
      <c r="FK49" s="69" t="s">
        <v>20</v>
      </c>
      <c r="FL49" s="70" t="s">
        <v>18</v>
      </c>
      <c r="FM49" s="111">
        <v>0</v>
      </c>
      <c r="FN49" s="111">
        <v>0</v>
      </c>
      <c r="FO49" s="111">
        <v>0</v>
      </c>
      <c r="FP49" s="111">
        <v>0</v>
      </c>
      <c r="FQ49" s="111">
        <v>0</v>
      </c>
      <c r="FR49" s="111">
        <v>0</v>
      </c>
      <c r="FS49" s="111">
        <v>0</v>
      </c>
      <c r="FT49" s="117">
        <v>0</v>
      </c>
      <c r="FU49" s="118">
        <v>0</v>
      </c>
      <c r="FV49" s="118">
        <v>0</v>
      </c>
      <c r="FW49" s="119">
        <v>0</v>
      </c>
      <c r="FX49" s="44"/>
      <c r="FY49" s="229"/>
      <c r="FZ49" s="69" t="s">
        <v>20</v>
      </c>
      <c r="GA49" s="71" t="s">
        <v>18</v>
      </c>
      <c r="GB49" s="63">
        <f>SUM(FM49)</f>
        <v>0</v>
      </c>
      <c r="GC49" s="72">
        <f t="shared" si="153"/>
        <v>0</v>
      </c>
      <c r="GD49" s="72">
        <f t="shared" si="154"/>
        <v>0</v>
      </c>
      <c r="GE49" s="72">
        <f t="shared" si="155"/>
        <v>0</v>
      </c>
      <c r="GF49" s="72">
        <f t="shared" si="156"/>
        <v>0</v>
      </c>
      <c r="GG49" s="72">
        <f t="shared" si="157"/>
        <v>0</v>
      </c>
      <c r="GH49" s="72">
        <f t="shared" si="158"/>
        <v>1160</v>
      </c>
      <c r="GI49" s="72">
        <f t="shared" si="159"/>
        <v>0</v>
      </c>
      <c r="GJ49" s="72">
        <f t="shared" si="160"/>
        <v>0</v>
      </c>
      <c r="GK49" s="72">
        <f t="shared" si="161"/>
        <v>0</v>
      </c>
      <c r="GL49" s="72">
        <f t="shared" si="162"/>
        <v>0</v>
      </c>
      <c r="GM49" s="44"/>
    </row>
    <row r="50" spans="1:207" ht="17.100000000000001" customHeight="1" thickBot="1" x14ac:dyDescent="0.25">
      <c r="A50" s="229"/>
      <c r="B50" s="73" t="s">
        <v>17</v>
      </c>
      <c r="C50" s="74" t="s">
        <v>19</v>
      </c>
      <c r="D50" s="154">
        <v>2</v>
      </c>
      <c r="E50" s="155">
        <v>0</v>
      </c>
      <c r="F50" s="155">
        <v>0</v>
      </c>
      <c r="G50" s="155">
        <v>6</v>
      </c>
      <c r="H50" s="155">
        <v>0</v>
      </c>
      <c r="I50" s="155">
        <v>2</v>
      </c>
      <c r="J50" s="155">
        <v>41</v>
      </c>
      <c r="K50" s="156">
        <v>0</v>
      </c>
      <c r="L50" s="156">
        <v>0</v>
      </c>
      <c r="M50" s="156">
        <v>0</v>
      </c>
      <c r="N50" s="155">
        <v>0</v>
      </c>
      <c r="O50" s="44"/>
      <c r="P50" s="229"/>
      <c r="Q50" s="73" t="s">
        <v>17</v>
      </c>
      <c r="R50" s="74" t="s">
        <v>19</v>
      </c>
      <c r="S50" s="154">
        <v>0</v>
      </c>
      <c r="T50" s="155">
        <v>0</v>
      </c>
      <c r="U50" s="155">
        <v>0</v>
      </c>
      <c r="V50" s="155">
        <v>9</v>
      </c>
      <c r="W50" s="155">
        <v>0</v>
      </c>
      <c r="X50" s="155">
        <v>0</v>
      </c>
      <c r="Y50" s="155">
        <v>209</v>
      </c>
      <c r="Z50" s="156">
        <v>0</v>
      </c>
      <c r="AA50" s="156">
        <v>0</v>
      </c>
      <c r="AB50" s="156">
        <v>0</v>
      </c>
      <c r="AC50" s="155">
        <v>0</v>
      </c>
      <c r="AD50" s="44"/>
      <c r="AE50" s="229"/>
      <c r="AF50" s="73" t="s">
        <v>17</v>
      </c>
      <c r="AG50" s="74" t="s">
        <v>19</v>
      </c>
      <c r="AH50" s="154">
        <v>0</v>
      </c>
      <c r="AI50" s="155">
        <v>0</v>
      </c>
      <c r="AJ50" s="155">
        <v>0</v>
      </c>
      <c r="AK50" s="155">
        <v>0</v>
      </c>
      <c r="AL50" s="155">
        <v>0</v>
      </c>
      <c r="AM50" s="155">
        <v>0</v>
      </c>
      <c r="AN50" s="155">
        <v>196</v>
      </c>
      <c r="AO50" s="156">
        <v>0</v>
      </c>
      <c r="AP50" s="156">
        <v>0</v>
      </c>
      <c r="AQ50" s="156">
        <v>0</v>
      </c>
      <c r="AR50" s="155">
        <v>0</v>
      </c>
      <c r="AS50" s="44"/>
      <c r="AT50" s="229"/>
      <c r="AU50" s="73" t="s">
        <v>17</v>
      </c>
      <c r="AV50" s="74" t="s">
        <v>19</v>
      </c>
      <c r="AW50" s="154">
        <v>0</v>
      </c>
      <c r="AX50" s="155">
        <v>0</v>
      </c>
      <c r="AY50" s="155">
        <v>0</v>
      </c>
      <c r="AZ50" s="155">
        <v>0</v>
      </c>
      <c r="BA50" s="155">
        <v>0</v>
      </c>
      <c r="BB50" s="155">
        <v>0</v>
      </c>
      <c r="BC50" s="155">
        <v>154</v>
      </c>
      <c r="BD50" s="156">
        <v>0</v>
      </c>
      <c r="BE50" s="156">
        <v>0</v>
      </c>
      <c r="BF50" s="156">
        <v>0</v>
      </c>
      <c r="BG50" s="155">
        <v>0</v>
      </c>
      <c r="BH50" s="44"/>
      <c r="BI50" s="229"/>
      <c r="BJ50" s="73" t="s">
        <v>17</v>
      </c>
      <c r="BK50" s="74" t="s">
        <v>19</v>
      </c>
      <c r="BL50" s="114">
        <v>0</v>
      </c>
      <c r="BM50" s="114">
        <v>0</v>
      </c>
      <c r="BN50" s="114">
        <v>0</v>
      </c>
      <c r="BO50" s="114">
        <v>0</v>
      </c>
      <c r="BP50" s="114">
        <v>0</v>
      </c>
      <c r="BQ50" s="114">
        <v>0</v>
      </c>
      <c r="BR50" s="114">
        <v>109</v>
      </c>
      <c r="BS50" s="114">
        <v>0</v>
      </c>
      <c r="BT50" s="115">
        <v>0</v>
      </c>
      <c r="BU50" s="115">
        <v>0</v>
      </c>
      <c r="BV50" s="116">
        <v>0</v>
      </c>
      <c r="BW50" s="44"/>
      <c r="BX50" s="229"/>
      <c r="BY50" s="73" t="s">
        <v>17</v>
      </c>
      <c r="BZ50" s="74" t="s">
        <v>19</v>
      </c>
      <c r="CA50" s="114">
        <v>0</v>
      </c>
      <c r="CB50" s="114">
        <v>0</v>
      </c>
      <c r="CC50" s="114">
        <v>0</v>
      </c>
      <c r="CD50" s="114">
        <v>0</v>
      </c>
      <c r="CE50" s="114">
        <v>0</v>
      </c>
      <c r="CF50" s="114">
        <v>0</v>
      </c>
      <c r="CG50" s="154">
        <v>28</v>
      </c>
      <c r="CH50" s="114">
        <v>0</v>
      </c>
      <c r="CI50" s="115">
        <v>0</v>
      </c>
      <c r="CJ50" s="115">
        <v>0</v>
      </c>
      <c r="CK50" s="116">
        <v>0</v>
      </c>
      <c r="CL50" s="44"/>
      <c r="CM50" s="229"/>
      <c r="CN50" s="73" t="s">
        <v>17</v>
      </c>
      <c r="CO50" s="74" t="s">
        <v>19</v>
      </c>
      <c r="CP50" s="154">
        <v>0</v>
      </c>
      <c r="CQ50" s="155">
        <v>0</v>
      </c>
      <c r="CR50" s="155">
        <v>0</v>
      </c>
      <c r="CS50" s="155">
        <v>9</v>
      </c>
      <c r="CT50" s="155">
        <v>0</v>
      </c>
      <c r="CU50" s="155">
        <v>0</v>
      </c>
      <c r="CV50" s="155">
        <v>209</v>
      </c>
      <c r="CW50" s="156">
        <v>0</v>
      </c>
      <c r="CX50" s="156">
        <v>0</v>
      </c>
      <c r="CY50" s="156">
        <v>0</v>
      </c>
      <c r="CZ50" s="155">
        <v>0</v>
      </c>
      <c r="DA50" s="44"/>
      <c r="DB50" s="229"/>
      <c r="DC50" s="73" t="s">
        <v>17</v>
      </c>
      <c r="DD50" s="74" t="s">
        <v>19</v>
      </c>
      <c r="DE50" s="200">
        <v>8</v>
      </c>
      <c r="DF50" s="201">
        <v>0</v>
      </c>
      <c r="DG50" s="201">
        <v>0</v>
      </c>
      <c r="DH50" s="201">
        <v>13</v>
      </c>
      <c r="DI50" s="201">
        <v>0</v>
      </c>
      <c r="DJ50" s="201">
        <v>1</v>
      </c>
      <c r="DK50" s="201">
        <v>28</v>
      </c>
      <c r="DL50" s="182">
        <v>0</v>
      </c>
      <c r="DM50" s="183">
        <v>0</v>
      </c>
      <c r="DN50" s="183">
        <v>0</v>
      </c>
      <c r="DO50" s="184">
        <v>0</v>
      </c>
      <c r="DP50" s="44"/>
      <c r="DQ50" s="229"/>
      <c r="DR50" s="73" t="s">
        <v>17</v>
      </c>
      <c r="DS50" s="74" t="s">
        <v>19</v>
      </c>
      <c r="DT50" s="182">
        <v>0</v>
      </c>
      <c r="DU50" s="182">
        <v>0</v>
      </c>
      <c r="DV50" s="182">
        <v>0</v>
      </c>
      <c r="DW50" s="182">
        <v>0</v>
      </c>
      <c r="DX50" s="182">
        <v>0</v>
      </c>
      <c r="DY50" s="182">
        <v>0</v>
      </c>
      <c r="DZ50" s="182">
        <v>0</v>
      </c>
      <c r="EA50" s="182">
        <v>0</v>
      </c>
      <c r="EB50" s="183">
        <v>0</v>
      </c>
      <c r="EC50" s="183">
        <v>0</v>
      </c>
      <c r="ED50" s="184">
        <v>0</v>
      </c>
      <c r="EE50" s="44"/>
      <c r="EF50" s="229"/>
      <c r="EG50" s="73" t="s">
        <v>17</v>
      </c>
      <c r="EH50" s="74" t="s">
        <v>19</v>
      </c>
      <c r="EI50" s="182">
        <v>0</v>
      </c>
      <c r="EJ50" s="182">
        <v>0</v>
      </c>
      <c r="EK50" s="182">
        <v>0</v>
      </c>
      <c r="EL50" s="182">
        <v>0</v>
      </c>
      <c r="EM50" s="182">
        <v>0</v>
      </c>
      <c r="EN50" s="182">
        <v>0</v>
      </c>
      <c r="EO50" s="114">
        <v>9</v>
      </c>
      <c r="EP50" s="114">
        <v>0</v>
      </c>
      <c r="EQ50" s="115">
        <v>0</v>
      </c>
      <c r="ER50" s="115">
        <v>0</v>
      </c>
      <c r="ES50" s="116">
        <v>0</v>
      </c>
      <c r="ET50" s="44"/>
      <c r="EU50" s="229"/>
      <c r="EV50" s="73" t="s">
        <v>17</v>
      </c>
      <c r="EW50" s="74" t="s">
        <v>19</v>
      </c>
      <c r="EX50" s="114">
        <v>0</v>
      </c>
      <c r="EY50" s="114">
        <v>0</v>
      </c>
      <c r="EZ50" s="114">
        <v>0</v>
      </c>
      <c r="FA50" s="114">
        <v>0</v>
      </c>
      <c r="FB50" s="114">
        <v>0</v>
      </c>
      <c r="FC50" s="114">
        <v>0</v>
      </c>
      <c r="FD50" s="114">
        <v>0</v>
      </c>
      <c r="FE50" s="114">
        <v>0</v>
      </c>
      <c r="FF50" s="115">
        <v>0</v>
      </c>
      <c r="FG50" s="115">
        <v>0</v>
      </c>
      <c r="FH50" s="116">
        <v>0</v>
      </c>
      <c r="FI50" s="44"/>
      <c r="FJ50" s="229"/>
      <c r="FK50" s="73" t="s">
        <v>17</v>
      </c>
      <c r="FL50" s="74" t="s">
        <v>19</v>
      </c>
      <c r="FM50" s="114">
        <v>0</v>
      </c>
      <c r="FN50" s="114">
        <v>0</v>
      </c>
      <c r="FO50" s="114">
        <v>0</v>
      </c>
      <c r="FP50" s="114">
        <v>0</v>
      </c>
      <c r="FQ50" s="114">
        <v>0</v>
      </c>
      <c r="FR50" s="114">
        <v>0</v>
      </c>
      <c r="FS50" s="114">
        <v>0</v>
      </c>
      <c r="FT50" s="114">
        <v>0</v>
      </c>
      <c r="FU50" s="115">
        <v>0</v>
      </c>
      <c r="FV50" s="115">
        <v>0</v>
      </c>
      <c r="FW50" s="116">
        <v>0</v>
      </c>
      <c r="FX50" s="44"/>
      <c r="FY50" s="229"/>
      <c r="FZ50" s="73" t="s">
        <v>17</v>
      </c>
      <c r="GA50" s="75" t="s">
        <v>19</v>
      </c>
      <c r="GB50" s="67">
        <f>SUM(FM50)</f>
        <v>0</v>
      </c>
      <c r="GC50" s="68">
        <f t="shared" si="153"/>
        <v>0</v>
      </c>
      <c r="GD50" s="68">
        <f t="shared" si="154"/>
        <v>0</v>
      </c>
      <c r="GE50" s="68">
        <f t="shared" si="155"/>
        <v>0</v>
      </c>
      <c r="GF50" s="68">
        <f t="shared" si="156"/>
        <v>0</v>
      </c>
      <c r="GG50" s="68">
        <f t="shared" si="157"/>
        <v>0</v>
      </c>
      <c r="GH50" s="68">
        <f t="shared" si="158"/>
        <v>983</v>
      </c>
      <c r="GI50" s="68">
        <f t="shared" si="159"/>
        <v>0</v>
      </c>
      <c r="GJ50" s="68">
        <f t="shared" si="160"/>
        <v>0</v>
      </c>
      <c r="GK50" s="68">
        <f t="shared" si="161"/>
        <v>0</v>
      </c>
      <c r="GL50" s="68">
        <f t="shared" si="162"/>
        <v>0</v>
      </c>
      <c r="GM50" s="44"/>
    </row>
    <row r="51" spans="1:207" ht="17.100000000000001" customHeight="1" thickBot="1" x14ac:dyDescent="0.25">
      <c r="A51" s="229"/>
      <c r="B51" s="252" t="s">
        <v>21</v>
      </c>
      <c r="C51" s="253"/>
      <c r="D51" s="120">
        <f t="shared" ref="D51:N51" si="163">SUM(D47:D50)</f>
        <v>209</v>
      </c>
      <c r="E51" s="120">
        <f t="shared" si="163"/>
        <v>0</v>
      </c>
      <c r="F51" s="121">
        <f t="shared" si="163"/>
        <v>0</v>
      </c>
      <c r="G51" s="122">
        <f t="shared" si="163"/>
        <v>1151</v>
      </c>
      <c r="H51" s="121">
        <f t="shared" si="163"/>
        <v>118</v>
      </c>
      <c r="I51" s="120">
        <f t="shared" si="163"/>
        <v>105</v>
      </c>
      <c r="J51" s="120">
        <f t="shared" si="163"/>
        <v>351</v>
      </c>
      <c r="K51" s="123">
        <f t="shared" si="163"/>
        <v>0</v>
      </c>
      <c r="L51" s="124">
        <f t="shared" si="163"/>
        <v>0</v>
      </c>
      <c r="M51" s="124">
        <f t="shared" si="163"/>
        <v>0</v>
      </c>
      <c r="N51" s="125">
        <f t="shared" si="163"/>
        <v>0</v>
      </c>
      <c r="O51" s="44"/>
      <c r="P51" s="229"/>
      <c r="Q51" s="252" t="s">
        <v>21</v>
      </c>
      <c r="R51" s="253"/>
      <c r="S51" s="120">
        <f t="shared" ref="S51:AC51" si="164">SUM(S47:S50)</f>
        <v>30</v>
      </c>
      <c r="T51" s="120">
        <f t="shared" si="164"/>
        <v>0</v>
      </c>
      <c r="U51" s="121">
        <f t="shared" si="164"/>
        <v>0</v>
      </c>
      <c r="V51" s="122">
        <f t="shared" si="164"/>
        <v>1219</v>
      </c>
      <c r="W51" s="121">
        <f t="shared" si="164"/>
        <v>0</v>
      </c>
      <c r="X51" s="120">
        <f t="shared" si="164"/>
        <v>0</v>
      </c>
      <c r="Y51" s="120">
        <f t="shared" si="164"/>
        <v>1506</v>
      </c>
      <c r="Z51" s="123">
        <f t="shared" si="164"/>
        <v>0</v>
      </c>
      <c r="AA51" s="124">
        <f t="shared" si="164"/>
        <v>0</v>
      </c>
      <c r="AB51" s="124">
        <f t="shared" si="164"/>
        <v>0</v>
      </c>
      <c r="AC51" s="125">
        <f t="shared" si="164"/>
        <v>0</v>
      </c>
      <c r="AD51" s="44"/>
      <c r="AE51" s="229"/>
      <c r="AF51" s="252" t="s">
        <v>21</v>
      </c>
      <c r="AG51" s="253"/>
      <c r="AH51" s="120">
        <f t="shared" ref="AH51:AR51" si="165">SUM(AH47:AH50)</f>
        <v>0</v>
      </c>
      <c r="AI51" s="120">
        <f t="shared" si="165"/>
        <v>0</v>
      </c>
      <c r="AJ51" s="121">
        <f t="shared" si="165"/>
        <v>0</v>
      </c>
      <c r="AK51" s="122">
        <f t="shared" si="165"/>
        <v>0</v>
      </c>
      <c r="AL51" s="121">
        <f t="shared" si="165"/>
        <v>0</v>
      </c>
      <c r="AM51" s="120">
        <f t="shared" si="165"/>
        <v>0</v>
      </c>
      <c r="AN51" s="120">
        <f t="shared" si="165"/>
        <v>1040</v>
      </c>
      <c r="AO51" s="123">
        <f t="shared" si="165"/>
        <v>0</v>
      </c>
      <c r="AP51" s="124">
        <f t="shared" si="165"/>
        <v>0</v>
      </c>
      <c r="AQ51" s="124">
        <f t="shared" si="165"/>
        <v>0</v>
      </c>
      <c r="AR51" s="125">
        <f t="shared" si="165"/>
        <v>0</v>
      </c>
      <c r="AS51" s="44"/>
      <c r="AT51" s="229"/>
      <c r="AU51" s="252" t="s">
        <v>21</v>
      </c>
      <c r="AV51" s="253"/>
      <c r="AW51" s="120">
        <f t="shared" ref="AW51:BG51" si="166">SUM(AW47:AW50)</f>
        <v>0</v>
      </c>
      <c r="AX51" s="120">
        <f t="shared" si="166"/>
        <v>0</v>
      </c>
      <c r="AY51" s="121">
        <f t="shared" si="166"/>
        <v>0</v>
      </c>
      <c r="AZ51" s="122">
        <f t="shared" si="166"/>
        <v>0</v>
      </c>
      <c r="BA51" s="121">
        <f t="shared" si="166"/>
        <v>0</v>
      </c>
      <c r="BB51" s="120">
        <f t="shared" si="166"/>
        <v>0</v>
      </c>
      <c r="BC51" s="120">
        <f t="shared" si="166"/>
        <v>906</v>
      </c>
      <c r="BD51" s="123">
        <f t="shared" si="166"/>
        <v>0</v>
      </c>
      <c r="BE51" s="124">
        <f t="shared" si="166"/>
        <v>0</v>
      </c>
      <c r="BF51" s="124">
        <f t="shared" si="166"/>
        <v>0</v>
      </c>
      <c r="BG51" s="125">
        <f t="shared" si="166"/>
        <v>0</v>
      </c>
      <c r="BH51" s="44"/>
      <c r="BI51" s="229"/>
      <c r="BJ51" s="252" t="s">
        <v>21</v>
      </c>
      <c r="BK51" s="253"/>
      <c r="BL51" s="120">
        <f t="shared" ref="BL51:BV51" si="167">SUM(BL47:BL50)</f>
        <v>0</v>
      </c>
      <c r="BM51" s="120">
        <f t="shared" si="167"/>
        <v>0</v>
      </c>
      <c r="BN51" s="121">
        <f t="shared" si="167"/>
        <v>0</v>
      </c>
      <c r="BO51" s="122">
        <f t="shared" si="167"/>
        <v>0</v>
      </c>
      <c r="BP51" s="121">
        <f t="shared" si="167"/>
        <v>0</v>
      </c>
      <c r="BQ51" s="120">
        <f t="shared" si="167"/>
        <v>0</v>
      </c>
      <c r="BR51" s="120">
        <f t="shared" si="167"/>
        <v>756</v>
      </c>
      <c r="BS51" s="123">
        <f t="shared" si="167"/>
        <v>0</v>
      </c>
      <c r="BT51" s="124">
        <f t="shared" si="167"/>
        <v>0</v>
      </c>
      <c r="BU51" s="124">
        <f t="shared" si="167"/>
        <v>0</v>
      </c>
      <c r="BV51" s="125">
        <f t="shared" si="167"/>
        <v>0</v>
      </c>
      <c r="BW51" s="44"/>
      <c r="BX51" s="229"/>
      <c r="BY51" s="252" t="s">
        <v>21</v>
      </c>
      <c r="BZ51" s="253"/>
      <c r="CA51" s="120">
        <f t="shared" ref="CA51:CK51" si="168">SUM(CA47:CA50)</f>
        <v>0</v>
      </c>
      <c r="CB51" s="120">
        <f t="shared" si="168"/>
        <v>0</v>
      </c>
      <c r="CC51" s="121">
        <f t="shared" si="168"/>
        <v>0</v>
      </c>
      <c r="CD51" s="122">
        <f t="shared" si="168"/>
        <v>0</v>
      </c>
      <c r="CE51" s="121">
        <f t="shared" si="168"/>
        <v>0</v>
      </c>
      <c r="CF51" s="120">
        <f t="shared" si="168"/>
        <v>0</v>
      </c>
      <c r="CG51" s="166">
        <v>217</v>
      </c>
      <c r="CH51" s="123">
        <f t="shared" si="168"/>
        <v>0</v>
      </c>
      <c r="CI51" s="124">
        <f t="shared" si="168"/>
        <v>0</v>
      </c>
      <c r="CJ51" s="124">
        <f t="shared" si="168"/>
        <v>0</v>
      </c>
      <c r="CK51" s="125">
        <f t="shared" si="168"/>
        <v>0</v>
      </c>
      <c r="CL51" s="44"/>
      <c r="CM51" s="229"/>
      <c r="CN51" s="252" t="s">
        <v>21</v>
      </c>
      <c r="CO51" s="253"/>
      <c r="CP51" s="166">
        <v>7</v>
      </c>
      <c r="CQ51" s="175">
        <v>0</v>
      </c>
      <c r="CR51" s="175">
        <v>0</v>
      </c>
      <c r="CS51" s="175">
        <v>1217</v>
      </c>
      <c r="CT51" s="175">
        <v>0</v>
      </c>
      <c r="CU51" s="175">
        <v>0</v>
      </c>
      <c r="CV51" s="175">
        <v>1496</v>
      </c>
      <c r="CW51" s="174">
        <v>0</v>
      </c>
      <c r="CX51" s="174">
        <v>0</v>
      </c>
      <c r="CY51" s="174">
        <v>0</v>
      </c>
      <c r="CZ51" s="175">
        <v>0</v>
      </c>
      <c r="DA51" s="44"/>
      <c r="DB51" s="229"/>
      <c r="DC51" s="252" t="s">
        <v>21</v>
      </c>
      <c r="DD51" s="253"/>
      <c r="DE51" s="188">
        <f t="shared" ref="DE51:DO51" si="169">SUM(DE47:DE50)</f>
        <v>181</v>
      </c>
      <c r="DF51" s="188">
        <f t="shared" si="169"/>
        <v>0</v>
      </c>
      <c r="DG51" s="189">
        <f t="shared" si="169"/>
        <v>0</v>
      </c>
      <c r="DH51" s="190">
        <f t="shared" si="169"/>
        <v>1323</v>
      </c>
      <c r="DI51" s="189">
        <f t="shared" si="169"/>
        <v>45</v>
      </c>
      <c r="DJ51" s="188">
        <f t="shared" si="169"/>
        <v>72</v>
      </c>
      <c r="DK51" s="188">
        <f t="shared" si="169"/>
        <v>217</v>
      </c>
      <c r="DL51" s="191">
        <f t="shared" si="169"/>
        <v>0</v>
      </c>
      <c r="DM51" s="192">
        <f t="shared" si="169"/>
        <v>0</v>
      </c>
      <c r="DN51" s="192">
        <f t="shared" si="169"/>
        <v>0</v>
      </c>
      <c r="DO51" s="193">
        <f t="shared" si="169"/>
        <v>0</v>
      </c>
      <c r="DP51" s="44"/>
      <c r="DQ51" s="229"/>
      <c r="DR51" s="252" t="s">
        <v>21</v>
      </c>
      <c r="DS51" s="253"/>
      <c r="DT51" s="188">
        <f t="shared" ref="DT51:ED51" si="170">SUM(DT47:DT50)</f>
        <v>296</v>
      </c>
      <c r="DU51" s="188">
        <f t="shared" si="170"/>
        <v>0</v>
      </c>
      <c r="DV51" s="189">
        <f t="shared" si="170"/>
        <v>0</v>
      </c>
      <c r="DW51" s="190">
        <f t="shared" si="170"/>
        <v>490</v>
      </c>
      <c r="DX51" s="189">
        <f t="shared" si="170"/>
        <v>39</v>
      </c>
      <c r="DY51" s="188">
        <f t="shared" si="170"/>
        <v>54</v>
      </c>
      <c r="DZ51" s="188">
        <f t="shared" si="170"/>
        <v>53</v>
      </c>
      <c r="EA51" s="191">
        <f t="shared" si="170"/>
        <v>0</v>
      </c>
      <c r="EB51" s="192">
        <f t="shared" si="170"/>
        <v>0</v>
      </c>
      <c r="EC51" s="192">
        <f t="shared" si="170"/>
        <v>0</v>
      </c>
      <c r="ED51" s="193">
        <f t="shared" si="170"/>
        <v>0</v>
      </c>
      <c r="EE51" s="44"/>
      <c r="EF51" s="229"/>
      <c r="EG51" s="252" t="s">
        <v>21</v>
      </c>
      <c r="EH51" s="253"/>
      <c r="EI51" s="120">
        <f t="shared" ref="EI51:ES51" si="171">SUM(EI47:EI50)</f>
        <v>296</v>
      </c>
      <c r="EJ51" s="120">
        <f t="shared" si="171"/>
        <v>0</v>
      </c>
      <c r="EK51" s="121">
        <f t="shared" si="171"/>
        <v>0</v>
      </c>
      <c r="EL51" s="122">
        <f t="shared" si="171"/>
        <v>490</v>
      </c>
      <c r="EM51" s="121">
        <f t="shared" si="171"/>
        <v>39</v>
      </c>
      <c r="EN51" s="120">
        <f t="shared" si="171"/>
        <v>54</v>
      </c>
      <c r="EO51" s="120">
        <f t="shared" si="171"/>
        <v>72</v>
      </c>
      <c r="EP51" s="123">
        <f t="shared" si="171"/>
        <v>0</v>
      </c>
      <c r="EQ51" s="124">
        <f t="shared" si="171"/>
        <v>0</v>
      </c>
      <c r="ER51" s="124">
        <f t="shared" si="171"/>
        <v>0</v>
      </c>
      <c r="ES51" s="125">
        <f t="shared" si="171"/>
        <v>0</v>
      </c>
      <c r="ET51" s="44"/>
      <c r="EU51" s="229"/>
      <c r="EV51" s="252" t="s">
        <v>21</v>
      </c>
      <c r="EW51" s="253"/>
      <c r="EX51" s="120">
        <f t="shared" ref="EX51:FH51" si="172">SUM(EX47:EX50)</f>
        <v>0</v>
      </c>
      <c r="EY51" s="120">
        <f t="shared" si="172"/>
        <v>0</v>
      </c>
      <c r="EZ51" s="121">
        <f t="shared" si="172"/>
        <v>0</v>
      </c>
      <c r="FA51" s="122">
        <f t="shared" si="172"/>
        <v>0</v>
      </c>
      <c r="FB51" s="121">
        <f t="shared" si="172"/>
        <v>0</v>
      </c>
      <c r="FC51" s="120">
        <f t="shared" si="172"/>
        <v>0</v>
      </c>
      <c r="FD51" s="120">
        <f t="shared" si="172"/>
        <v>0</v>
      </c>
      <c r="FE51" s="123">
        <f t="shared" si="172"/>
        <v>0</v>
      </c>
      <c r="FF51" s="124">
        <f t="shared" si="172"/>
        <v>0</v>
      </c>
      <c r="FG51" s="124">
        <f t="shared" si="172"/>
        <v>0</v>
      </c>
      <c r="FH51" s="125">
        <f t="shared" si="172"/>
        <v>0</v>
      </c>
      <c r="FI51" s="44"/>
      <c r="FJ51" s="229"/>
      <c r="FK51" s="252" t="s">
        <v>21</v>
      </c>
      <c r="FL51" s="253"/>
      <c r="FM51" s="120">
        <f t="shared" ref="FM51:FW51" si="173">SUM(FM47:FM50)</f>
        <v>0</v>
      </c>
      <c r="FN51" s="120">
        <f t="shared" si="173"/>
        <v>0</v>
      </c>
      <c r="FO51" s="121">
        <f t="shared" si="173"/>
        <v>0</v>
      </c>
      <c r="FP51" s="122">
        <f t="shared" si="173"/>
        <v>0</v>
      </c>
      <c r="FQ51" s="121">
        <f t="shared" si="173"/>
        <v>0</v>
      </c>
      <c r="FR51" s="120">
        <f t="shared" si="173"/>
        <v>0</v>
      </c>
      <c r="FS51" s="120">
        <f t="shared" si="173"/>
        <v>0</v>
      </c>
      <c r="FT51" s="123">
        <f t="shared" si="173"/>
        <v>0</v>
      </c>
      <c r="FU51" s="124">
        <f t="shared" si="173"/>
        <v>0</v>
      </c>
      <c r="FV51" s="124">
        <f t="shared" si="173"/>
        <v>0</v>
      </c>
      <c r="FW51" s="125">
        <f t="shared" si="173"/>
        <v>0</v>
      </c>
      <c r="FX51" s="44"/>
      <c r="FY51" s="229"/>
      <c r="FZ51" s="128" t="s">
        <v>21</v>
      </c>
      <c r="GA51" s="129"/>
      <c r="GB51" s="76">
        <f t="shared" ref="GB51:GL51" si="174">SUM(GB47:GB50)</f>
        <v>0</v>
      </c>
      <c r="GC51" s="77">
        <f t="shared" si="174"/>
        <v>0</v>
      </c>
      <c r="GD51" s="77">
        <f t="shared" si="174"/>
        <v>0</v>
      </c>
      <c r="GE51" s="77">
        <f t="shared" si="174"/>
        <v>0</v>
      </c>
      <c r="GF51" s="77">
        <f t="shared" si="174"/>
        <v>0</v>
      </c>
      <c r="GG51" s="77">
        <f t="shared" si="174"/>
        <v>0</v>
      </c>
      <c r="GH51" s="77">
        <f t="shared" si="174"/>
        <v>6614</v>
      </c>
      <c r="GI51" s="77">
        <f t="shared" si="174"/>
        <v>0</v>
      </c>
      <c r="GJ51" s="77">
        <f t="shared" si="174"/>
        <v>0</v>
      </c>
      <c r="GK51" s="77">
        <f t="shared" si="174"/>
        <v>0</v>
      </c>
      <c r="GL51" s="77">
        <f t="shared" si="174"/>
        <v>0</v>
      </c>
      <c r="GM51" s="44"/>
    </row>
    <row r="52" spans="1:207" s="102" customFormat="1" ht="17.100000000000001" customHeight="1" thickBot="1" x14ac:dyDescent="0.25">
      <c r="A52" s="230"/>
      <c r="B52" s="78" t="s">
        <v>22</v>
      </c>
      <c r="C52" s="44"/>
      <c r="D52" s="78"/>
      <c r="E52" s="44"/>
      <c r="F52" s="44"/>
      <c r="G52" s="44"/>
      <c r="H52" s="44"/>
      <c r="I52" s="44"/>
      <c r="J52" s="44"/>
      <c r="K52" s="79" t="s">
        <v>18</v>
      </c>
      <c r="L52" s="80">
        <v>0</v>
      </c>
      <c r="M52" s="79" t="s">
        <v>19</v>
      </c>
      <c r="N52" s="80">
        <v>0</v>
      </c>
      <c r="O52" s="44"/>
      <c r="P52" s="230"/>
      <c r="Q52" s="78" t="s">
        <v>22</v>
      </c>
      <c r="R52" s="44"/>
      <c r="S52" s="78"/>
      <c r="T52" s="44"/>
      <c r="U52" s="44"/>
      <c r="V52" s="44"/>
      <c r="W52" s="44"/>
      <c r="X52" s="44"/>
      <c r="Y52" s="44"/>
      <c r="Z52" s="79" t="s">
        <v>18</v>
      </c>
      <c r="AA52" s="80">
        <v>0</v>
      </c>
      <c r="AB52" s="79" t="s">
        <v>19</v>
      </c>
      <c r="AC52" s="80">
        <v>0</v>
      </c>
      <c r="AD52" s="44"/>
      <c r="AE52" s="230"/>
      <c r="AF52" s="78" t="s">
        <v>22</v>
      </c>
      <c r="AG52" s="44"/>
      <c r="AH52" s="78"/>
      <c r="AI52" s="44"/>
      <c r="AJ52" s="44"/>
      <c r="AK52" s="44"/>
      <c r="AL52" s="44"/>
      <c r="AM52" s="44"/>
      <c r="AN52" s="44"/>
      <c r="AO52" s="79" t="s">
        <v>18</v>
      </c>
      <c r="AP52" s="80">
        <v>0</v>
      </c>
      <c r="AQ52" s="79" t="s">
        <v>19</v>
      </c>
      <c r="AR52" s="80">
        <v>0</v>
      </c>
      <c r="AS52" s="44"/>
      <c r="AT52" s="230"/>
      <c r="AU52" s="78" t="s">
        <v>22</v>
      </c>
      <c r="AV52" s="44"/>
      <c r="AW52" s="78"/>
      <c r="AX52" s="44"/>
      <c r="AY52" s="44"/>
      <c r="AZ52" s="44"/>
      <c r="BA52" s="44"/>
      <c r="BB52" s="44"/>
      <c r="BC52" s="44"/>
      <c r="BD52" s="79" t="s">
        <v>18</v>
      </c>
      <c r="BE52" s="80">
        <v>0</v>
      </c>
      <c r="BF52" s="79" t="s">
        <v>19</v>
      </c>
      <c r="BG52" s="80">
        <v>0</v>
      </c>
      <c r="BH52" s="44"/>
      <c r="BI52" s="230"/>
      <c r="BJ52" s="78" t="s">
        <v>22</v>
      </c>
      <c r="BK52" s="44"/>
      <c r="BL52" s="78"/>
      <c r="BM52" s="44"/>
      <c r="BN52" s="44"/>
      <c r="BO52" s="44"/>
      <c r="BP52" s="44"/>
      <c r="BQ52" s="44"/>
      <c r="BR52" s="44"/>
      <c r="BS52" s="79" t="s">
        <v>18</v>
      </c>
      <c r="BT52" s="80">
        <v>0</v>
      </c>
      <c r="BU52" s="79" t="s">
        <v>19</v>
      </c>
      <c r="BV52" s="80">
        <v>0</v>
      </c>
      <c r="BW52" s="44"/>
      <c r="BX52" s="230"/>
      <c r="BY52" s="78" t="s">
        <v>22</v>
      </c>
      <c r="BZ52" s="44"/>
      <c r="CA52" s="78"/>
      <c r="CB52" s="44"/>
      <c r="CC52" s="44"/>
      <c r="CD52" s="44"/>
      <c r="CE52" s="44"/>
      <c r="CF52" s="44"/>
      <c r="CG52" s="44"/>
      <c r="CH52" s="79" t="s">
        <v>18</v>
      </c>
      <c r="CI52" s="80">
        <v>0</v>
      </c>
      <c r="CJ52" s="79" t="s">
        <v>19</v>
      </c>
      <c r="CK52" s="80">
        <v>0</v>
      </c>
      <c r="CL52" s="44"/>
      <c r="CM52" s="230"/>
      <c r="CN52" s="78" t="s">
        <v>22</v>
      </c>
      <c r="CO52" s="44"/>
      <c r="CP52" s="78"/>
      <c r="CQ52" s="44"/>
      <c r="CR52" s="44"/>
      <c r="CS52" s="44"/>
      <c r="CT52" s="44"/>
      <c r="CU52" s="44"/>
      <c r="CV52" s="44"/>
      <c r="CW52" s="79" t="s">
        <v>18</v>
      </c>
      <c r="CX52" s="80">
        <v>0</v>
      </c>
      <c r="CY52" s="79" t="s">
        <v>19</v>
      </c>
      <c r="CZ52" s="80">
        <v>0</v>
      </c>
      <c r="DA52" s="44"/>
      <c r="DB52" s="230"/>
      <c r="DC52" s="78" t="s">
        <v>22</v>
      </c>
      <c r="DD52" s="44"/>
      <c r="DE52" s="194"/>
      <c r="DF52" s="195"/>
      <c r="DG52" s="195"/>
      <c r="DH52" s="195"/>
      <c r="DI52" s="195"/>
      <c r="DJ52" s="195"/>
      <c r="DK52" s="195"/>
      <c r="DL52" s="196" t="s">
        <v>18</v>
      </c>
      <c r="DM52" s="197">
        <v>0</v>
      </c>
      <c r="DN52" s="196" t="s">
        <v>19</v>
      </c>
      <c r="DO52" s="197">
        <v>0</v>
      </c>
      <c r="DP52" s="44"/>
      <c r="DQ52" s="230"/>
      <c r="DR52" s="78" t="s">
        <v>22</v>
      </c>
      <c r="DS52" s="44"/>
      <c r="DT52" s="78"/>
      <c r="DU52" s="44"/>
      <c r="DV52" s="44"/>
      <c r="DW52" s="44"/>
      <c r="DX52" s="44"/>
      <c r="DY52" s="44"/>
      <c r="DZ52" s="44"/>
      <c r="EA52" s="79" t="s">
        <v>18</v>
      </c>
      <c r="EB52" s="80">
        <v>0</v>
      </c>
      <c r="EC52" s="79" t="s">
        <v>19</v>
      </c>
      <c r="ED52" s="80">
        <v>0</v>
      </c>
      <c r="EE52" s="44"/>
      <c r="EF52" s="230"/>
      <c r="EG52" s="78" t="s">
        <v>22</v>
      </c>
      <c r="EH52" s="44"/>
      <c r="EI52" s="78"/>
      <c r="EJ52" s="44"/>
      <c r="EK52" s="44"/>
      <c r="EL52" s="44"/>
      <c r="EM52" s="44"/>
      <c r="EN52" s="44"/>
      <c r="EO52" s="44"/>
      <c r="EP52" s="79" t="s">
        <v>18</v>
      </c>
      <c r="EQ52" s="80">
        <v>0</v>
      </c>
      <c r="ER52" s="79" t="s">
        <v>19</v>
      </c>
      <c r="ES52" s="80">
        <v>0</v>
      </c>
      <c r="ET52" s="44"/>
      <c r="EU52" s="230"/>
      <c r="EV52" s="78" t="s">
        <v>22</v>
      </c>
      <c r="EW52" s="44"/>
      <c r="EX52" s="78"/>
      <c r="EY52" s="44"/>
      <c r="EZ52" s="44"/>
      <c r="FA52" s="44"/>
      <c r="FB52" s="44"/>
      <c r="FC52" s="44"/>
      <c r="FD52" s="44"/>
      <c r="FE52" s="79" t="s">
        <v>18</v>
      </c>
      <c r="FF52" s="80">
        <v>0</v>
      </c>
      <c r="FG52" s="79" t="s">
        <v>19</v>
      </c>
      <c r="FH52" s="80">
        <v>0</v>
      </c>
      <c r="FI52" s="44"/>
      <c r="FJ52" s="230"/>
      <c r="FK52" s="78" t="s">
        <v>22</v>
      </c>
      <c r="FL52" s="44"/>
      <c r="FM52" s="78"/>
      <c r="FN52" s="44"/>
      <c r="FO52" s="44"/>
      <c r="FP52" s="44"/>
      <c r="FQ52" s="44"/>
      <c r="FR52" s="44"/>
      <c r="FS52" s="44"/>
      <c r="FT52" s="79" t="s">
        <v>18</v>
      </c>
      <c r="FU52" s="80">
        <v>0</v>
      </c>
      <c r="FV52" s="79" t="s">
        <v>19</v>
      </c>
      <c r="FW52" s="80">
        <v>0</v>
      </c>
      <c r="FX52" s="44"/>
      <c r="FY52" s="230"/>
      <c r="FZ52" s="78" t="s">
        <v>26</v>
      </c>
      <c r="GA52" s="44"/>
      <c r="GB52" s="81"/>
      <c r="GC52" s="82"/>
      <c r="GD52" s="82"/>
      <c r="GE52" s="82"/>
      <c r="GF52" s="82"/>
      <c r="GG52" s="82"/>
      <c r="GH52" s="82"/>
      <c r="GI52" s="83" t="s">
        <v>18</v>
      </c>
      <c r="GJ52" s="64">
        <f>(L52+AA52+AP52+BE52+BT52+CI52+CX52+DM52+EB52+EQ52+FF52+FU52)</f>
        <v>0</v>
      </c>
      <c r="GK52" s="83" t="s">
        <v>19</v>
      </c>
      <c r="GL52" s="64">
        <f>(N52+AC52+AR52+BG52+BV52+CK52+CZ52+DO52+ED52+ES52+FH52+FW52)</f>
        <v>0</v>
      </c>
      <c r="GM52" s="44"/>
      <c r="GN52" s="45"/>
      <c r="GO52" s="45"/>
      <c r="GP52" s="45"/>
      <c r="GQ52" s="45"/>
      <c r="GR52" s="45"/>
      <c r="GS52" s="45"/>
      <c r="GT52" s="45"/>
      <c r="GU52" s="45"/>
      <c r="GV52" s="45"/>
      <c r="GW52" s="45"/>
      <c r="GX52" s="45"/>
      <c r="GY52" s="45"/>
    </row>
    <row r="53" spans="1:207" ht="17.100000000000001" customHeight="1" x14ac:dyDescent="0.2">
      <c r="A53" s="228">
        <v>0</v>
      </c>
      <c r="B53" s="250" t="s">
        <v>17</v>
      </c>
      <c r="C53" s="61" t="s">
        <v>18</v>
      </c>
      <c r="D53" s="111">
        <v>0</v>
      </c>
      <c r="E53" s="111">
        <v>0</v>
      </c>
      <c r="F53" s="111">
        <v>0</v>
      </c>
      <c r="G53" s="111">
        <v>0</v>
      </c>
      <c r="H53" s="111">
        <v>0</v>
      </c>
      <c r="I53" s="111">
        <v>0</v>
      </c>
      <c r="J53" s="111">
        <v>0</v>
      </c>
      <c r="K53" s="111">
        <v>0</v>
      </c>
      <c r="L53" s="112">
        <v>0</v>
      </c>
      <c r="M53" s="112">
        <v>0</v>
      </c>
      <c r="N53" s="113">
        <v>0</v>
      </c>
      <c r="O53" s="44"/>
      <c r="P53" s="228">
        <v>0</v>
      </c>
      <c r="Q53" s="250" t="s">
        <v>17</v>
      </c>
      <c r="R53" s="61" t="s">
        <v>18</v>
      </c>
      <c r="S53" s="111">
        <v>0</v>
      </c>
      <c r="T53" s="111">
        <v>0</v>
      </c>
      <c r="U53" s="111">
        <v>0</v>
      </c>
      <c r="V53" s="111">
        <v>0</v>
      </c>
      <c r="W53" s="111">
        <v>0</v>
      </c>
      <c r="X53" s="111">
        <v>0</v>
      </c>
      <c r="Y53" s="111">
        <v>0</v>
      </c>
      <c r="Z53" s="111">
        <v>0</v>
      </c>
      <c r="AA53" s="112">
        <v>0</v>
      </c>
      <c r="AB53" s="112">
        <v>0</v>
      </c>
      <c r="AC53" s="113">
        <v>0</v>
      </c>
      <c r="AD53" s="44"/>
      <c r="AE53" s="228">
        <v>0</v>
      </c>
      <c r="AF53" s="250" t="s">
        <v>17</v>
      </c>
      <c r="AG53" s="61" t="s">
        <v>18</v>
      </c>
      <c r="AH53" s="111">
        <v>0</v>
      </c>
      <c r="AI53" s="111">
        <v>0</v>
      </c>
      <c r="AJ53" s="111">
        <v>0</v>
      </c>
      <c r="AK53" s="111">
        <v>0</v>
      </c>
      <c r="AL53" s="111">
        <v>0</v>
      </c>
      <c r="AM53" s="111">
        <v>0</v>
      </c>
      <c r="AN53" s="111">
        <v>0</v>
      </c>
      <c r="AO53" s="111">
        <v>0</v>
      </c>
      <c r="AP53" s="112">
        <v>0</v>
      </c>
      <c r="AQ53" s="112">
        <v>0</v>
      </c>
      <c r="AR53" s="113">
        <v>0</v>
      </c>
      <c r="AS53" s="44"/>
      <c r="AT53" s="228">
        <v>0</v>
      </c>
      <c r="AU53" s="250" t="s">
        <v>17</v>
      </c>
      <c r="AV53" s="61" t="s">
        <v>18</v>
      </c>
      <c r="AW53" s="111">
        <v>0</v>
      </c>
      <c r="AX53" s="111">
        <v>0</v>
      </c>
      <c r="AY53" s="111">
        <v>0</v>
      </c>
      <c r="AZ53" s="111">
        <v>0</v>
      </c>
      <c r="BA53" s="111">
        <v>0</v>
      </c>
      <c r="BB53" s="111">
        <v>0</v>
      </c>
      <c r="BC53" s="111">
        <v>0</v>
      </c>
      <c r="BD53" s="111">
        <v>0</v>
      </c>
      <c r="BE53" s="112">
        <v>0</v>
      </c>
      <c r="BF53" s="112">
        <v>0</v>
      </c>
      <c r="BG53" s="113">
        <v>0</v>
      </c>
      <c r="BH53" s="44"/>
      <c r="BI53" s="228">
        <v>0</v>
      </c>
      <c r="BJ53" s="250" t="s">
        <v>17</v>
      </c>
      <c r="BK53" s="61" t="s">
        <v>18</v>
      </c>
      <c r="BL53" s="111">
        <v>0</v>
      </c>
      <c r="BM53" s="111">
        <v>0</v>
      </c>
      <c r="BN53" s="111">
        <v>0</v>
      </c>
      <c r="BO53" s="111">
        <v>0</v>
      </c>
      <c r="BP53" s="111">
        <v>0</v>
      </c>
      <c r="BQ53" s="111">
        <v>0</v>
      </c>
      <c r="BR53" s="111">
        <v>0</v>
      </c>
      <c r="BS53" s="111">
        <v>0</v>
      </c>
      <c r="BT53" s="112">
        <v>0</v>
      </c>
      <c r="BU53" s="112">
        <v>0</v>
      </c>
      <c r="BV53" s="113">
        <v>0</v>
      </c>
      <c r="BW53" s="44"/>
      <c r="BX53" s="228">
        <v>0</v>
      </c>
      <c r="BY53" s="250" t="s">
        <v>17</v>
      </c>
      <c r="BZ53" s="61" t="s">
        <v>18</v>
      </c>
      <c r="CA53" s="111">
        <v>0</v>
      </c>
      <c r="CB53" s="111">
        <v>0</v>
      </c>
      <c r="CC53" s="111">
        <v>0</v>
      </c>
      <c r="CD53" s="111">
        <v>0</v>
      </c>
      <c r="CE53" s="111">
        <v>0</v>
      </c>
      <c r="CF53" s="111">
        <v>0</v>
      </c>
      <c r="CG53" s="111">
        <v>0</v>
      </c>
      <c r="CH53" s="111">
        <v>0</v>
      </c>
      <c r="CI53" s="112">
        <v>0</v>
      </c>
      <c r="CJ53" s="112">
        <v>0</v>
      </c>
      <c r="CK53" s="113">
        <v>0</v>
      </c>
      <c r="CL53" s="44"/>
      <c r="CM53" s="228">
        <v>0</v>
      </c>
      <c r="CN53" s="250" t="s">
        <v>17</v>
      </c>
      <c r="CO53" s="61" t="s">
        <v>18</v>
      </c>
      <c r="CP53" s="111">
        <v>0</v>
      </c>
      <c r="CQ53" s="111">
        <v>0</v>
      </c>
      <c r="CR53" s="111">
        <v>0</v>
      </c>
      <c r="CS53" s="111">
        <v>0</v>
      </c>
      <c r="CT53" s="111">
        <v>0</v>
      </c>
      <c r="CU53" s="111">
        <v>0</v>
      </c>
      <c r="CV53" s="111">
        <v>0</v>
      </c>
      <c r="CW53" s="111">
        <v>0</v>
      </c>
      <c r="CX53" s="112">
        <v>0</v>
      </c>
      <c r="CY53" s="112">
        <v>0</v>
      </c>
      <c r="CZ53" s="113">
        <v>0</v>
      </c>
      <c r="DA53" s="44"/>
      <c r="DB53" s="228">
        <v>0</v>
      </c>
      <c r="DC53" s="250" t="s">
        <v>17</v>
      </c>
      <c r="DD53" s="61" t="s">
        <v>18</v>
      </c>
      <c r="DE53" s="179">
        <v>0</v>
      </c>
      <c r="DF53" s="179">
        <v>0</v>
      </c>
      <c r="DG53" s="179">
        <v>0</v>
      </c>
      <c r="DH53" s="179">
        <v>0</v>
      </c>
      <c r="DI53" s="179">
        <v>0</v>
      </c>
      <c r="DJ53" s="179">
        <v>0</v>
      </c>
      <c r="DK53" s="179">
        <v>0</v>
      </c>
      <c r="DL53" s="179">
        <v>0</v>
      </c>
      <c r="DM53" s="180">
        <v>0</v>
      </c>
      <c r="DN53" s="180">
        <v>0</v>
      </c>
      <c r="DO53" s="181">
        <v>0</v>
      </c>
      <c r="DP53" s="44"/>
      <c r="DQ53" s="228">
        <v>0</v>
      </c>
      <c r="DR53" s="250" t="s">
        <v>17</v>
      </c>
      <c r="DS53" s="61" t="s">
        <v>18</v>
      </c>
      <c r="DT53" s="111">
        <v>0</v>
      </c>
      <c r="DU53" s="111">
        <v>0</v>
      </c>
      <c r="DV53" s="111">
        <v>0</v>
      </c>
      <c r="DW53" s="111">
        <v>0</v>
      </c>
      <c r="DX53" s="111">
        <v>0</v>
      </c>
      <c r="DY53" s="111">
        <v>0</v>
      </c>
      <c r="DZ53" s="111">
        <v>0</v>
      </c>
      <c r="EA53" s="111">
        <v>0</v>
      </c>
      <c r="EB53" s="112">
        <v>0</v>
      </c>
      <c r="EC53" s="112">
        <v>0</v>
      </c>
      <c r="ED53" s="113">
        <v>0</v>
      </c>
      <c r="EE53" s="44"/>
      <c r="EF53" s="228">
        <v>0</v>
      </c>
      <c r="EG53" s="250" t="s">
        <v>17</v>
      </c>
      <c r="EH53" s="61" t="s">
        <v>18</v>
      </c>
      <c r="EI53" s="111">
        <v>0</v>
      </c>
      <c r="EJ53" s="111">
        <v>0</v>
      </c>
      <c r="EK53" s="111">
        <v>0</v>
      </c>
      <c r="EL53" s="111">
        <v>0</v>
      </c>
      <c r="EM53" s="111">
        <v>0</v>
      </c>
      <c r="EN53" s="111">
        <v>0</v>
      </c>
      <c r="EO53" s="111">
        <v>0</v>
      </c>
      <c r="EP53" s="111">
        <v>0</v>
      </c>
      <c r="EQ53" s="112">
        <v>0</v>
      </c>
      <c r="ER53" s="112">
        <v>0</v>
      </c>
      <c r="ES53" s="113">
        <v>0</v>
      </c>
      <c r="ET53" s="44"/>
      <c r="EU53" s="228">
        <v>0</v>
      </c>
      <c r="EV53" s="250" t="s">
        <v>17</v>
      </c>
      <c r="EW53" s="61" t="s">
        <v>18</v>
      </c>
      <c r="EX53" s="111">
        <v>0</v>
      </c>
      <c r="EY53" s="111">
        <v>0</v>
      </c>
      <c r="EZ53" s="111">
        <v>0</v>
      </c>
      <c r="FA53" s="111">
        <v>0</v>
      </c>
      <c r="FB53" s="111">
        <v>0</v>
      </c>
      <c r="FC53" s="111">
        <v>0</v>
      </c>
      <c r="FD53" s="111">
        <v>0</v>
      </c>
      <c r="FE53" s="111">
        <v>0</v>
      </c>
      <c r="FF53" s="112">
        <v>0</v>
      </c>
      <c r="FG53" s="112">
        <v>0</v>
      </c>
      <c r="FH53" s="113">
        <v>0</v>
      </c>
      <c r="FI53" s="44"/>
      <c r="FJ53" s="228">
        <v>0</v>
      </c>
      <c r="FK53" s="250" t="s">
        <v>17</v>
      </c>
      <c r="FL53" s="61" t="s">
        <v>18</v>
      </c>
      <c r="FM53" s="111">
        <v>0</v>
      </c>
      <c r="FN53" s="111">
        <v>0</v>
      </c>
      <c r="FO53" s="111">
        <v>0</v>
      </c>
      <c r="FP53" s="111">
        <v>0</v>
      </c>
      <c r="FQ53" s="111">
        <v>0</v>
      </c>
      <c r="FR53" s="111">
        <v>0</v>
      </c>
      <c r="FS53" s="111">
        <v>0</v>
      </c>
      <c r="FT53" s="111">
        <v>0</v>
      </c>
      <c r="FU53" s="112">
        <v>0</v>
      </c>
      <c r="FV53" s="112">
        <v>0</v>
      </c>
      <c r="FW53" s="113">
        <v>0</v>
      </c>
      <c r="FX53" s="44"/>
      <c r="FY53" s="228">
        <f>(FJ53)</f>
        <v>0</v>
      </c>
      <c r="FZ53" s="126" t="s">
        <v>17</v>
      </c>
      <c r="GA53" s="62" t="s">
        <v>18</v>
      </c>
      <c r="GB53" s="63">
        <f>SUM(FM53)</f>
        <v>0</v>
      </c>
      <c r="GC53" s="64">
        <f t="shared" ref="GC53:GC56" si="175">(E53+T53+AI53+AX53+BM53+CB53+CQ53+DF53+DU53+EJ53+EY53+FN53)</f>
        <v>0</v>
      </c>
      <c r="GD53" s="64">
        <f t="shared" ref="GD53:GD56" si="176">(F53+U53+AJ53+AY53+BN53+CC53+CR53+DG53+DV53+EK53+EZ53+FO53)</f>
        <v>0</v>
      </c>
      <c r="GE53" s="64">
        <f t="shared" ref="GE53:GE56" si="177">SUM(FP53)</f>
        <v>0</v>
      </c>
      <c r="GF53" s="64">
        <f t="shared" ref="GF53:GF56" si="178">SUM(FQ53)</f>
        <v>0</v>
      </c>
      <c r="GG53" s="64">
        <f t="shared" ref="GG53:GG56" si="179">SUM(FR53)</f>
        <v>0</v>
      </c>
      <c r="GH53" s="64">
        <f t="shared" ref="GH53:GH56" si="180">(J53+Y53+AN53+BC53+BR53+CG53+CV53+DK53+DZ53+EO53+FD53+FS53)</f>
        <v>0</v>
      </c>
      <c r="GI53" s="64">
        <f t="shared" ref="GI53:GI56" si="181">(K53+Z53+AO53+BD53+BS53+CH53+CW53+DL53+EA53+EP53+FE53+FT53)</f>
        <v>0</v>
      </c>
      <c r="GJ53" s="64">
        <f t="shared" ref="GJ53:GJ56" si="182">(L53+AA53+AP53+BE53+BT53+CI53+CX53+DM53+EB53+EQ53+FF53+FU53)</f>
        <v>0</v>
      </c>
      <c r="GK53" s="64">
        <f t="shared" ref="GK53:GK56" si="183">(M53+AB53+AQ53+BF53+BU53+CJ53+CY53+DN53+EC53+ER53+FG53+FV53)</f>
        <v>0</v>
      </c>
      <c r="GL53" s="64">
        <f t="shared" ref="GL53:GL56" si="184">(N53+AC53+AR53+BG53+BV53+CK53+CZ53+DO53+ED53+ES53+FH53+FW53)</f>
        <v>0</v>
      </c>
      <c r="GM53" s="44"/>
    </row>
    <row r="54" spans="1:207" ht="17.100000000000001" customHeight="1" thickBot="1" x14ac:dyDescent="0.25">
      <c r="A54" s="229"/>
      <c r="B54" s="251"/>
      <c r="C54" s="65" t="s">
        <v>19</v>
      </c>
      <c r="D54" s="114">
        <v>0</v>
      </c>
      <c r="E54" s="114">
        <v>0</v>
      </c>
      <c r="F54" s="114">
        <v>0</v>
      </c>
      <c r="G54" s="114">
        <v>0</v>
      </c>
      <c r="H54" s="114">
        <v>0</v>
      </c>
      <c r="I54" s="114">
        <v>0</v>
      </c>
      <c r="J54" s="114">
        <v>0</v>
      </c>
      <c r="K54" s="114">
        <v>0</v>
      </c>
      <c r="L54" s="115">
        <v>0</v>
      </c>
      <c r="M54" s="115">
        <v>0</v>
      </c>
      <c r="N54" s="116">
        <v>0</v>
      </c>
      <c r="O54" s="44"/>
      <c r="P54" s="229"/>
      <c r="Q54" s="251"/>
      <c r="R54" s="65" t="s">
        <v>19</v>
      </c>
      <c r="S54" s="114">
        <v>0</v>
      </c>
      <c r="T54" s="114">
        <v>0</v>
      </c>
      <c r="U54" s="114">
        <v>0</v>
      </c>
      <c r="V54" s="114">
        <v>0</v>
      </c>
      <c r="W54" s="114">
        <v>0</v>
      </c>
      <c r="X54" s="114">
        <v>0</v>
      </c>
      <c r="Y54" s="114">
        <v>0</v>
      </c>
      <c r="Z54" s="114">
        <v>0</v>
      </c>
      <c r="AA54" s="115">
        <v>0</v>
      </c>
      <c r="AB54" s="115">
        <v>0</v>
      </c>
      <c r="AC54" s="116">
        <v>0</v>
      </c>
      <c r="AD54" s="44"/>
      <c r="AE54" s="229"/>
      <c r="AF54" s="251"/>
      <c r="AG54" s="65" t="s">
        <v>19</v>
      </c>
      <c r="AH54" s="114">
        <v>0</v>
      </c>
      <c r="AI54" s="114">
        <v>0</v>
      </c>
      <c r="AJ54" s="114">
        <v>0</v>
      </c>
      <c r="AK54" s="114">
        <v>0</v>
      </c>
      <c r="AL54" s="114">
        <v>0</v>
      </c>
      <c r="AM54" s="114">
        <v>0</v>
      </c>
      <c r="AN54" s="114">
        <v>0</v>
      </c>
      <c r="AO54" s="114">
        <v>0</v>
      </c>
      <c r="AP54" s="115">
        <v>0</v>
      </c>
      <c r="AQ54" s="115">
        <v>0</v>
      </c>
      <c r="AR54" s="116">
        <v>0</v>
      </c>
      <c r="AS54" s="44"/>
      <c r="AT54" s="229"/>
      <c r="AU54" s="251"/>
      <c r="AV54" s="65" t="s">
        <v>19</v>
      </c>
      <c r="AW54" s="114">
        <v>0</v>
      </c>
      <c r="AX54" s="114">
        <v>0</v>
      </c>
      <c r="AY54" s="114">
        <v>0</v>
      </c>
      <c r="AZ54" s="114">
        <v>0</v>
      </c>
      <c r="BA54" s="114">
        <v>0</v>
      </c>
      <c r="BB54" s="114">
        <v>0</v>
      </c>
      <c r="BC54" s="114">
        <v>0</v>
      </c>
      <c r="BD54" s="114">
        <v>0</v>
      </c>
      <c r="BE54" s="115">
        <v>0</v>
      </c>
      <c r="BF54" s="115">
        <v>0</v>
      </c>
      <c r="BG54" s="116">
        <v>0</v>
      </c>
      <c r="BH54" s="44"/>
      <c r="BI54" s="229"/>
      <c r="BJ54" s="251"/>
      <c r="BK54" s="65" t="s">
        <v>19</v>
      </c>
      <c r="BL54" s="114">
        <v>0</v>
      </c>
      <c r="BM54" s="114">
        <v>0</v>
      </c>
      <c r="BN54" s="114">
        <v>0</v>
      </c>
      <c r="BO54" s="114">
        <v>0</v>
      </c>
      <c r="BP54" s="114">
        <v>0</v>
      </c>
      <c r="BQ54" s="114">
        <v>0</v>
      </c>
      <c r="BR54" s="114">
        <v>0</v>
      </c>
      <c r="BS54" s="114">
        <v>0</v>
      </c>
      <c r="BT54" s="115">
        <v>0</v>
      </c>
      <c r="BU54" s="115">
        <v>0</v>
      </c>
      <c r="BV54" s="116">
        <v>0</v>
      </c>
      <c r="BW54" s="44"/>
      <c r="BX54" s="229"/>
      <c r="BY54" s="251"/>
      <c r="BZ54" s="65" t="s">
        <v>19</v>
      </c>
      <c r="CA54" s="114">
        <v>0</v>
      </c>
      <c r="CB54" s="114">
        <v>0</v>
      </c>
      <c r="CC54" s="114">
        <v>0</v>
      </c>
      <c r="CD54" s="114">
        <v>0</v>
      </c>
      <c r="CE54" s="114">
        <v>0</v>
      </c>
      <c r="CF54" s="114">
        <v>0</v>
      </c>
      <c r="CG54" s="114">
        <v>0</v>
      </c>
      <c r="CH54" s="114">
        <v>0</v>
      </c>
      <c r="CI54" s="115">
        <v>0</v>
      </c>
      <c r="CJ54" s="115">
        <v>0</v>
      </c>
      <c r="CK54" s="116">
        <v>0</v>
      </c>
      <c r="CL54" s="44"/>
      <c r="CM54" s="229"/>
      <c r="CN54" s="251"/>
      <c r="CO54" s="65" t="s">
        <v>19</v>
      </c>
      <c r="CP54" s="114">
        <v>0</v>
      </c>
      <c r="CQ54" s="114">
        <v>0</v>
      </c>
      <c r="CR54" s="114">
        <v>0</v>
      </c>
      <c r="CS54" s="114">
        <v>0</v>
      </c>
      <c r="CT54" s="114">
        <v>0</v>
      </c>
      <c r="CU54" s="114">
        <v>0</v>
      </c>
      <c r="CV54" s="114">
        <v>0</v>
      </c>
      <c r="CW54" s="114">
        <v>0</v>
      </c>
      <c r="CX54" s="115">
        <v>0</v>
      </c>
      <c r="CY54" s="115">
        <v>0</v>
      </c>
      <c r="CZ54" s="116">
        <v>0</v>
      </c>
      <c r="DA54" s="44"/>
      <c r="DB54" s="229"/>
      <c r="DC54" s="251"/>
      <c r="DD54" s="65" t="s">
        <v>19</v>
      </c>
      <c r="DE54" s="182">
        <v>0</v>
      </c>
      <c r="DF54" s="182">
        <v>0</v>
      </c>
      <c r="DG54" s="182">
        <v>0</v>
      </c>
      <c r="DH54" s="182">
        <v>0</v>
      </c>
      <c r="DI54" s="182">
        <v>0</v>
      </c>
      <c r="DJ54" s="182">
        <v>0</v>
      </c>
      <c r="DK54" s="182">
        <v>0</v>
      </c>
      <c r="DL54" s="182">
        <v>0</v>
      </c>
      <c r="DM54" s="183">
        <v>0</v>
      </c>
      <c r="DN54" s="183">
        <v>0</v>
      </c>
      <c r="DO54" s="184">
        <v>0</v>
      </c>
      <c r="DP54" s="44"/>
      <c r="DQ54" s="229"/>
      <c r="DR54" s="251"/>
      <c r="DS54" s="65" t="s">
        <v>19</v>
      </c>
      <c r="DT54" s="114">
        <v>0</v>
      </c>
      <c r="DU54" s="114">
        <v>0</v>
      </c>
      <c r="DV54" s="114">
        <v>0</v>
      </c>
      <c r="DW54" s="114">
        <v>0</v>
      </c>
      <c r="DX54" s="114">
        <v>0</v>
      </c>
      <c r="DY54" s="114">
        <v>0</v>
      </c>
      <c r="DZ54" s="114">
        <v>0</v>
      </c>
      <c r="EA54" s="114">
        <v>0</v>
      </c>
      <c r="EB54" s="115">
        <v>0</v>
      </c>
      <c r="EC54" s="115">
        <v>0</v>
      </c>
      <c r="ED54" s="116">
        <v>0</v>
      </c>
      <c r="EE54" s="44"/>
      <c r="EF54" s="229"/>
      <c r="EG54" s="251"/>
      <c r="EH54" s="65" t="s">
        <v>19</v>
      </c>
      <c r="EI54" s="114">
        <v>0</v>
      </c>
      <c r="EJ54" s="114">
        <v>0</v>
      </c>
      <c r="EK54" s="114">
        <v>0</v>
      </c>
      <c r="EL54" s="114">
        <v>0</v>
      </c>
      <c r="EM54" s="114">
        <v>0</v>
      </c>
      <c r="EN54" s="114">
        <v>0</v>
      </c>
      <c r="EO54" s="114">
        <v>0</v>
      </c>
      <c r="EP54" s="114">
        <v>0</v>
      </c>
      <c r="EQ54" s="115">
        <v>0</v>
      </c>
      <c r="ER54" s="115">
        <v>0</v>
      </c>
      <c r="ES54" s="116">
        <v>0</v>
      </c>
      <c r="ET54" s="44"/>
      <c r="EU54" s="229"/>
      <c r="EV54" s="251"/>
      <c r="EW54" s="65" t="s">
        <v>19</v>
      </c>
      <c r="EX54" s="114">
        <v>0</v>
      </c>
      <c r="EY54" s="114">
        <v>0</v>
      </c>
      <c r="EZ54" s="114">
        <v>0</v>
      </c>
      <c r="FA54" s="114">
        <v>0</v>
      </c>
      <c r="FB54" s="114">
        <v>0</v>
      </c>
      <c r="FC54" s="114">
        <v>0</v>
      </c>
      <c r="FD54" s="114">
        <v>0</v>
      </c>
      <c r="FE54" s="114">
        <v>0</v>
      </c>
      <c r="FF54" s="115">
        <v>0</v>
      </c>
      <c r="FG54" s="115">
        <v>0</v>
      </c>
      <c r="FH54" s="116">
        <v>0</v>
      </c>
      <c r="FI54" s="44"/>
      <c r="FJ54" s="229"/>
      <c r="FK54" s="251"/>
      <c r="FL54" s="65" t="s">
        <v>19</v>
      </c>
      <c r="FM54" s="114">
        <v>0</v>
      </c>
      <c r="FN54" s="114">
        <v>0</v>
      </c>
      <c r="FO54" s="114">
        <v>0</v>
      </c>
      <c r="FP54" s="114">
        <v>0</v>
      </c>
      <c r="FQ54" s="114">
        <v>0</v>
      </c>
      <c r="FR54" s="114">
        <v>0</v>
      </c>
      <c r="FS54" s="114">
        <v>0</v>
      </c>
      <c r="FT54" s="114">
        <v>0</v>
      </c>
      <c r="FU54" s="115">
        <v>0</v>
      </c>
      <c r="FV54" s="115">
        <v>0</v>
      </c>
      <c r="FW54" s="116">
        <v>0</v>
      </c>
      <c r="FX54" s="44"/>
      <c r="FY54" s="229"/>
      <c r="FZ54" s="127"/>
      <c r="GA54" s="66" t="s">
        <v>19</v>
      </c>
      <c r="GB54" s="67">
        <f>SUM(FM54)</f>
        <v>0</v>
      </c>
      <c r="GC54" s="68">
        <f t="shared" si="175"/>
        <v>0</v>
      </c>
      <c r="GD54" s="68">
        <f t="shared" si="176"/>
        <v>0</v>
      </c>
      <c r="GE54" s="68">
        <f t="shared" si="177"/>
        <v>0</v>
      </c>
      <c r="GF54" s="68">
        <f t="shared" si="178"/>
        <v>0</v>
      </c>
      <c r="GG54" s="68">
        <f t="shared" si="179"/>
        <v>0</v>
      </c>
      <c r="GH54" s="68">
        <f t="shared" si="180"/>
        <v>0</v>
      </c>
      <c r="GI54" s="68">
        <f t="shared" si="181"/>
        <v>0</v>
      </c>
      <c r="GJ54" s="68">
        <f t="shared" si="182"/>
        <v>0</v>
      </c>
      <c r="GK54" s="68">
        <f t="shared" si="183"/>
        <v>0</v>
      </c>
      <c r="GL54" s="68">
        <f t="shared" si="184"/>
        <v>0</v>
      </c>
      <c r="GM54" s="44"/>
    </row>
    <row r="55" spans="1:207" ht="17.100000000000001" customHeight="1" x14ac:dyDescent="0.2">
      <c r="A55" s="229"/>
      <c r="B55" s="69" t="s">
        <v>20</v>
      </c>
      <c r="C55" s="70" t="s">
        <v>18</v>
      </c>
      <c r="D55" s="111">
        <v>0</v>
      </c>
      <c r="E55" s="111">
        <v>0</v>
      </c>
      <c r="F55" s="111">
        <v>0</v>
      </c>
      <c r="G55" s="111">
        <v>0</v>
      </c>
      <c r="H55" s="111">
        <v>0</v>
      </c>
      <c r="I55" s="111">
        <v>0</v>
      </c>
      <c r="J55" s="111">
        <v>0</v>
      </c>
      <c r="K55" s="117">
        <v>0</v>
      </c>
      <c r="L55" s="118">
        <v>0</v>
      </c>
      <c r="M55" s="118">
        <v>0</v>
      </c>
      <c r="N55" s="119">
        <v>0</v>
      </c>
      <c r="O55" s="44"/>
      <c r="P55" s="229"/>
      <c r="Q55" s="69" t="s">
        <v>20</v>
      </c>
      <c r="R55" s="70" t="s">
        <v>18</v>
      </c>
      <c r="S55" s="111">
        <v>0</v>
      </c>
      <c r="T55" s="111">
        <v>0</v>
      </c>
      <c r="U55" s="111">
        <v>0</v>
      </c>
      <c r="V55" s="111">
        <v>0</v>
      </c>
      <c r="W55" s="111">
        <v>0</v>
      </c>
      <c r="X55" s="111">
        <v>0</v>
      </c>
      <c r="Y55" s="111">
        <v>0</v>
      </c>
      <c r="Z55" s="117">
        <v>0</v>
      </c>
      <c r="AA55" s="118">
        <v>0</v>
      </c>
      <c r="AB55" s="118">
        <v>0</v>
      </c>
      <c r="AC55" s="119">
        <v>0</v>
      </c>
      <c r="AD55" s="44"/>
      <c r="AE55" s="229"/>
      <c r="AF55" s="69" t="s">
        <v>20</v>
      </c>
      <c r="AG55" s="70" t="s">
        <v>18</v>
      </c>
      <c r="AH55" s="111">
        <v>0</v>
      </c>
      <c r="AI55" s="111">
        <v>0</v>
      </c>
      <c r="AJ55" s="111">
        <v>0</v>
      </c>
      <c r="AK55" s="111">
        <v>0</v>
      </c>
      <c r="AL55" s="111">
        <v>0</v>
      </c>
      <c r="AM55" s="111">
        <v>0</v>
      </c>
      <c r="AN55" s="111">
        <v>0</v>
      </c>
      <c r="AO55" s="117">
        <v>0</v>
      </c>
      <c r="AP55" s="118">
        <v>0</v>
      </c>
      <c r="AQ55" s="118">
        <v>0</v>
      </c>
      <c r="AR55" s="119">
        <v>0</v>
      </c>
      <c r="AS55" s="44"/>
      <c r="AT55" s="229"/>
      <c r="AU55" s="69" t="s">
        <v>20</v>
      </c>
      <c r="AV55" s="70" t="s">
        <v>18</v>
      </c>
      <c r="AW55" s="111">
        <v>0</v>
      </c>
      <c r="AX55" s="111">
        <v>0</v>
      </c>
      <c r="AY55" s="111">
        <v>0</v>
      </c>
      <c r="AZ55" s="111">
        <v>0</v>
      </c>
      <c r="BA55" s="111">
        <v>0</v>
      </c>
      <c r="BB55" s="111">
        <v>0</v>
      </c>
      <c r="BC55" s="111">
        <v>0</v>
      </c>
      <c r="BD55" s="117">
        <v>0</v>
      </c>
      <c r="BE55" s="118">
        <v>0</v>
      </c>
      <c r="BF55" s="118">
        <v>0</v>
      </c>
      <c r="BG55" s="119">
        <v>0</v>
      </c>
      <c r="BH55" s="44"/>
      <c r="BI55" s="229"/>
      <c r="BJ55" s="69" t="s">
        <v>20</v>
      </c>
      <c r="BK55" s="70" t="s">
        <v>18</v>
      </c>
      <c r="BL55" s="111">
        <v>0</v>
      </c>
      <c r="BM55" s="111">
        <v>0</v>
      </c>
      <c r="BN55" s="111">
        <v>0</v>
      </c>
      <c r="BO55" s="111">
        <v>0</v>
      </c>
      <c r="BP55" s="111">
        <v>0</v>
      </c>
      <c r="BQ55" s="111">
        <v>0</v>
      </c>
      <c r="BR55" s="111">
        <v>0</v>
      </c>
      <c r="BS55" s="117">
        <v>0</v>
      </c>
      <c r="BT55" s="118">
        <v>0</v>
      </c>
      <c r="BU55" s="118">
        <v>0</v>
      </c>
      <c r="BV55" s="119">
        <v>0</v>
      </c>
      <c r="BW55" s="44"/>
      <c r="BX55" s="229"/>
      <c r="BY55" s="69" t="s">
        <v>20</v>
      </c>
      <c r="BZ55" s="70" t="s">
        <v>18</v>
      </c>
      <c r="CA55" s="111">
        <v>0</v>
      </c>
      <c r="CB55" s="111">
        <v>0</v>
      </c>
      <c r="CC55" s="111">
        <v>0</v>
      </c>
      <c r="CD55" s="111">
        <v>0</v>
      </c>
      <c r="CE55" s="111">
        <v>0</v>
      </c>
      <c r="CF55" s="111">
        <v>0</v>
      </c>
      <c r="CG55" s="111">
        <v>0</v>
      </c>
      <c r="CH55" s="117">
        <v>0</v>
      </c>
      <c r="CI55" s="118">
        <v>0</v>
      </c>
      <c r="CJ55" s="118">
        <v>0</v>
      </c>
      <c r="CK55" s="119">
        <v>0</v>
      </c>
      <c r="CL55" s="44"/>
      <c r="CM55" s="229"/>
      <c r="CN55" s="69" t="s">
        <v>20</v>
      </c>
      <c r="CO55" s="70" t="s">
        <v>18</v>
      </c>
      <c r="CP55" s="111">
        <v>0</v>
      </c>
      <c r="CQ55" s="111">
        <v>0</v>
      </c>
      <c r="CR55" s="111">
        <v>0</v>
      </c>
      <c r="CS55" s="111">
        <v>0</v>
      </c>
      <c r="CT55" s="111">
        <v>0</v>
      </c>
      <c r="CU55" s="111">
        <v>0</v>
      </c>
      <c r="CV55" s="111">
        <v>0</v>
      </c>
      <c r="CW55" s="117">
        <v>0</v>
      </c>
      <c r="CX55" s="118">
        <v>0</v>
      </c>
      <c r="CY55" s="118">
        <v>0</v>
      </c>
      <c r="CZ55" s="119">
        <v>0</v>
      </c>
      <c r="DA55" s="44"/>
      <c r="DB55" s="229"/>
      <c r="DC55" s="69" t="s">
        <v>20</v>
      </c>
      <c r="DD55" s="70" t="s">
        <v>18</v>
      </c>
      <c r="DE55" s="179">
        <v>0</v>
      </c>
      <c r="DF55" s="179">
        <v>0</v>
      </c>
      <c r="DG55" s="179">
        <v>0</v>
      </c>
      <c r="DH55" s="179">
        <v>0</v>
      </c>
      <c r="DI55" s="179">
        <v>0</v>
      </c>
      <c r="DJ55" s="179">
        <v>0</v>
      </c>
      <c r="DK55" s="179">
        <v>0</v>
      </c>
      <c r="DL55" s="185">
        <v>0</v>
      </c>
      <c r="DM55" s="186">
        <v>0</v>
      </c>
      <c r="DN55" s="186">
        <v>0</v>
      </c>
      <c r="DO55" s="187">
        <v>0</v>
      </c>
      <c r="DP55" s="44"/>
      <c r="DQ55" s="229"/>
      <c r="DR55" s="69" t="s">
        <v>20</v>
      </c>
      <c r="DS55" s="70" t="s">
        <v>18</v>
      </c>
      <c r="DT55" s="111">
        <v>0</v>
      </c>
      <c r="DU55" s="111">
        <v>0</v>
      </c>
      <c r="DV55" s="111">
        <v>0</v>
      </c>
      <c r="DW55" s="111">
        <v>0</v>
      </c>
      <c r="DX55" s="111">
        <v>0</v>
      </c>
      <c r="DY55" s="111">
        <v>0</v>
      </c>
      <c r="DZ55" s="111">
        <v>0</v>
      </c>
      <c r="EA55" s="117">
        <v>0</v>
      </c>
      <c r="EB55" s="118">
        <v>0</v>
      </c>
      <c r="EC55" s="118">
        <v>0</v>
      </c>
      <c r="ED55" s="119">
        <v>0</v>
      </c>
      <c r="EE55" s="44"/>
      <c r="EF55" s="229"/>
      <c r="EG55" s="69" t="s">
        <v>20</v>
      </c>
      <c r="EH55" s="70" t="s">
        <v>18</v>
      </c>
      <c r="EI55" s="111">
        <v>0</v>
      </c>
      <c r="EJ55" s="111">
        <v>0</v>
      </c>
      <c r="EK55" s="111">
        <v>0</v>
      </c>
      <c r="EL55" s="111">
        <v>0</v>
      </c>
      <c r="EM55" s="111">
        <v>0</v>
      </c>
      <c r="EN55" s="111">
        <v>0</v>
      </c>
      <c r="EO55" s="111">
        <v>0</v>
      </c>
      <c r="EP55" s="117">
        <v>0</v>
      </c>
      <c r="EQ55" s="118">
        <v>0</v>
      </c>
      <c r="ER55" s="118">
        <v>0</v>
      </c>
      <c r="ES55" s="119">
        <v>0</v>
      </c>
      <c r="ET55" s="44"/>
      <c r="EU55" s="229"/>
      <c r="EV55" s="69" t="s">
        <v>20</v>
      </c>
      <c r="EW55" s="70" t="s">
        <v>18</v>
      </c>
      <c r="EX55" s="111">
        <v>0</v>
      </c>
      <c r="EY55" s="111">
        <v>0</v>
      </c>
      <c r="EZ55" s="111">
        <v>0</v>
      </c>
      <c r="FA55" s="111">
        <v>0</v>
      </c>
      <c r="FB55" s="111">
        <v>0</v>
      </c>
      <c r="FC55" s="111">
        <v>0</v>
      </c>
      <c r="FD55" s="111">
        <v>0</v>
      </c>
      <c r="FE55" s="117">
        <v>0</v>
      </c>
      <c r="FF55" s="118">
        <v>0</v>
      </c>
      <c r="FG55" s="118">
        <v>0</v>
      </c>
      <c r="FH55" s="119">
        <v>0</v>
      </c>
      <c r="FI55" s="44"/>
      <c r="FJ55" s="229"/>
      <c r="FK55" s="69" t="s">
        <v>20</v>
      </c>
      <c r="FL55" s="70" t="s">
        <v>18</v>
      </c>
      <c r="FM55" s="111">
        <v>0</v>
      </c>
      <c r="FN55" s="111">
        <v>0</v>
      </c>
      <c r="FO55" s="111">
        <v>0</v>
      </c>
      <c r="FP55" s="111">
        <v>0</v>
      </c>
      <c r="FQ55" s="111">
        <v>0</v>
      </c>
      <c r="FR55" s="111">
        <v>0</v>
      </c>
      <c r="FS55" s="111">
        <v>0</v>
      </c>
      <c r="FT55" s="117">
        <v>0</v>
      </c>
      <c r="FU55" s="118">
        <v>0</v>
      </c>
      <c r="FV55" s="118">
        <v>0</v>
      </c>
      <c r="FW55" s="119">
        <v>0</v>
      </c>
      <c r="FX55" s="44"/>
      <c r="FY55" s="229"/>
      <c r="FZ55" s="69" t="s">
        <v>20</v>
      </c>
      <c r="GA55" s="71" t="s">
        <v>18</v>
      </c>
      <c r="GB55" s="63">
        <f>SUM(FM55)</f>
        <v>0</v>
      </c>
      <c r="GC55" s="72">
        <f t="shared" si="175"/>
        <v>0</v>
      </c>
      <c r="GD55" s="72">
        <f t="shared" si="176"/>
        <v>0</v>
      </c>
      <c r="GE55" s="72">
        <f t="shared" si="177"/>
        <v>0</v>
      </c>
      <c r="GF55" s="72">
        <f t="shared" si="178"/>
        <v>0</v>
      </c>
      <c r="GG55" s="72">
        <f t="shared" si="179"/>
        <v>0</v>
      </c>
      <c r="GH55" s="72">
        <f t="shared" si="180"/>
        <v>0</v>
      </c>
      <c r="GI55" s="72">
        <f t="shared" si="181"/>
        <v>0</v>
      </c>
      <c r="GJ55" s="72">
        <f t="shared" si="182"/>
        <v>0</v>
      </c>
      <c r="GK55" s="72">
        <f t="shared" si="183"/>
        <v>0</v>
      </c>
      <c r="GL55" s="72">
        <f t="shared" si="184"/>
        <v>0</v>
      </c>
      <c r="GM55" s="44"/>
    </row>
    <row r="56" spans="1:207" ht="17.100000000000001" customHeight="1" thickBot="1" x14ac:dyDescent="0.25">
      <c r="A56" s="229"/>
      <c r="B56" s="73" t="s">
        <v>17</v>
      </c>
      <c r="C56" s="74" t="s">
        <v>19</v>
      </c>
      <c r="D56" s="114">
        <v>0</v>
      </c>
      <c r="E56" s="114">
        <v>0</v>
      </c>
      <c r="F56" s="114">
        <v>0</v>
      </c>
      <c r="G56" s="114">
        <v>0</v>
      </c>
      <c r="H56" s="114">
        <v>0</v>
      </c>
      <c r="I56" s="114">
        <v>0</v>
      </c>
      <c r="J56" s="114">
        <v>0</v>
      </c>
      <c r="K56" s="114">
        <v>0</v>
      </c>
      <c r="L56" s="115">
        <v>0</v>
      </c>
      <c r="M56" s="115">
        <v>0</v>
      </c>
      <c r="N56" s="116">
        <v>0</v>
      </c>
      <c r="O56" s="44"/>
      <c r="P56" s="229"/>
      <c r="Q56" s="73" t="s">
        <v>17</v>
      </c>
      <c r="R56" s="74" t="s">
        <v>19</v>
      </c>
      <c r="S56" s="114">
        <v>0</v>
      </c>
      <c r="T56" s="114">
        <v>0</v>
      </c>
      <c r="U56" s="114">
        <v>0</v>
      </c>
      <c r="V56" s="114">
        <v>0</v>
      </c>
      <c r="W56" s="114">
        <v>0</v>
      </c>
      <c r="X56" s="114">
        <v>0</v>
      </c>
      <c r="Y56" s="114">
        <v>0</v>
      </c>
      <c r="Z56" s="114">
        <v>0</v>
      </c>
      <c r="AA56" s="115">
        <v>0</v>
      </c>
      <c r="AB56" s="115">
        <v>0</v>
      </c>
      <c r="AC56" s="116">
        <v>0</v>
      </c>
      <c r="AD56" s="44"/>
      <c r="AE56" s="229"/>
      <c r="AF56" s="73" t="s">
        <v>17</v>
      </c>
      <c r="AG56" s="74" t="s">
        <v>19</v>
      </c>
      <c r="AH56" s="114">
        <v>0</v>
      </c>
      <c r="AI56" s="114">
        <v>0</v>
      </c>
      <c r="AJ56" s="114">
        <v>0</v>
      </c>
      <c r="AK56" s="114">
        <v>0</v>
      </c>
      <c r="AL56" s="114">
        <v>0</v>
      </c>
      <c r="AM56" s="114">
        <v>0</v>
      </c>
      <c r="AN56" s="114">
        <v>0</v>
      </c>
      <c r="AO56" s="114">
        <v>0</v>
      </c>
      <c r="AP56" s="115">
        <v>0</v>
      </c>
      <c r="AQ56" s="115">
        <v>0</v>
      </c>
      <c r="AR56" s="116">
        <v>0</v>
      </c>
      <c r="AS56" s="44"/>
      <c r="AT56" s="229"/>
      <c r="AU56" s="73" t="s">
        <v>17</v>
      </c>
      <c r="AV56" s="74" t="s">
        <v>19</v>
      </c>
      <c r="AW56" s="114">
        <v>0</v>
      </c>
      <c r="AX56" s="114">
        <v>0</v>
      </c>
      <c r="AY56" s="114">
        <v>0</v>
      </c>
      <c r="AZ56" s="114">
        <v>0</v>
      </c>
      <c r="BA56" s="114">
        <v>0</v>
      </c>
      <c r="BB56" s="114">
        <v>0</v>
      </c>
      <c r="BC56" s="114">
        <v>0</v>
      </c>
      <c r="BD56" s="114">
        <v>0</v>
      </c>
      <c r="BE56" s="115">
        <v>0</v>
      </c>
      <c r="BF56" s="115">
        <v>0</v>
      </c>
      <c r="BG56" s="116">
        <v>0</v>
      </c>
      <c r="BH56" s="44"/>
      <c r="BI56" s="229"/>
      <c r="BJ56" s="73" t="s">
        <v>17</v>
      </c>
      <c r="BK56" s="74" t="s">
        <v>19</v>
      </c>
      <c r="BL56" s="114">
        <v>0</v>
      </c>
      <c r="BM56" s="114">
        <v>0</v>
      </c>
      <c r="BN56" s="114">
        <v>0</v>
      </c>
      <c r="BO56" s="114">
        <v>0</v>
      </c>
      <c r="BP56" s="114">
        <v>0</v>
      </c>
      <c r="BQ56" s="114">
        <v>0</v>
      </c>
      <c r="BR56" s="114">
        <v>0</v>
      </c>
      <c r="BS56" s="114">
        <v>0</v>
      </c>
      <c r="BT56" s="115">
        <v>0</v>
      </c>
      <c r="BU56" s="115">
        <v>0</v>
      </c>
      <c r="BV56" s="116">
        <v>0</v>
      </c>
      <c r="BW56" s="44"/>
      <c r="BX56" s="229"/>
      <c r="BY56" s="73" t="s">
        <v>17</v>
      </c>
      <c r="BZ56" s="74" t="s">
        <v>19</v>
      </c>
      <c r="CA56" s="114">
        <v>0</v>
      </c>
      <c r="CB56" s="114">
        <v>0</v>
      </c>
      <c r="CC56" s="114">
        <v>0</v>
      </c>
      <c r="CD56" s="114">
        <v>0</v>
      </c>
      <c r="CE56" s="114">
        <v>0</v>
      </c>
      <c r="CF56" s="114">
        <v>0</v>
      </c>
      <c r="CG56" s="114">
        <v>0</v>
      </c>
      <c r="CH56" s="114">
        <v>0</v>
      </c>
      <c r="CI56" s="115">
        <v>0</v>
      </c>
      <c r="CJ56" s="115">
        <v>0</v>
      </c>
      <c r="CK56" s="116">
        <v>0</v>
      </c>
      <c r="CL56" s="44"/>
      <c r="CM56" s="229"/>
      <c r="CN56" s="73" t="s">
        <v>17</v>
      </c>
      <c r="CO56" s="74" t="s">
        <v>19</v>
      </c>
      <c r="CP56" s="114">
        <v>0</v>
      </c>
      <c r="CQ56" s="114">
        <v>0</v>
      </c>
      <c r="CR56" s="114">
        <v>0</v>
      </c>
      <c r="CS56" s="114">
        <v>0</v>
      </c>
      <c r="CT56" s="114">
        <v>0</v>
      </c>
      <c r="CU56" s="114">
        <v>0</v>
      </c>
      <c r="CV56" s="114">
        <v>0</v>
      </c>
      <c r="CW56" s="114">
        <v>0</v>
      </c>
      <c r="CX56" s="115">
        <v>0</v>
      </c>
      <c r="CY56" s="115">
        <v>0</v>
      </c>
      <c r="CZ56" s="116">
        <v>0</v>
      </c>
      <c r="DA56" s="44"/>
      <c r="DB56" s="229"/>
      <c r="DC56" s="73" t="s">
        <v>17</v>
      </c>
      <c r="DD56" s="74" t="s">
        <v>19</v>
      </c>
      <c r="DE56" s="182">
        <v>0</v>
      </c>
      <c r="DF56" s="182">
        <v>0</v>
      </c>
      <c r="DG56" s="182">
        <v>0</v>
      </c>
      <c r="DH56" s="182">
        <v>0</v>
      </c>
      <c r="DI56" s="182">
        <v>0</v>
      </c>
      <c r="DJ56" s="182">
        <v>0</v>
      </c>
      <c r="DK56" s="182">
        <v>0</v>
      </c>
      <c r="DL56" s="182">
        <v>0</v>
      </c>
      <c r="DM56" s="183">
        <v>0</v>
      </c>
      <c r="DN56" s="183">
        <v>0</v>
      </c>
      <c r="DO56" s="184">
        <v>0</v>
      </c>
      <c r="DP56" s="44"/>
      <c r="DQ56" s="229"/>
      <c r="DR56" s="73" t="s">
        <v>17</v>
      </c>
      <c r="DS56" s="74" t="s">
        <v>19</v>
      </c>
      <c r="DT56" s="114">
        <v>0</v>
      </c>
      <c r="DU56" s="114">
        <v>0</v>
      </c>
      <c r="DV56" s="114">
        <v>0</v>
      </c>
      <c r="DW56" s="114">
        <v>0</v>
      </c>
      <c r="DX56" s="114">
        <v>0</v>
      </c>
      <c r="DY56" s="114">
        <v>0</v>
      </c>
      <c r="DZ56" s="114">
        <v>0</v>
      </c>
      <c r="EA56" s="114">
        <v>0</v>
      </c>
      <c r="EB56" s="115">
        <v>0</v>
      </c>
      <c r="EC56" s="115">
        <v>0</v>
      </c>
      <c r="ED56" s="116">
        <v>0</v>
      </c>
      <c r="EE56" s="44"/>
      <c r="EF56" s="229"/>
      <c r="EG56" s="73" t="s">
        <v>17</v>
      </c>
      <c r="EH56" s="74" t="s">
        <v>19</v>
      </c>
      <c r="EI56" s="114">
        <v>0</v>
      </c>
      <c r="EJ56" s="114">
        <v>0</v>
      </c>
      <c r="EK56" s="114">
        <v>0</v>
      </c>
      <c r="EL56" s="114">
        <v>0</v>
      </c>
      <c r="EM56" s="114">
        <v>0</v>
      </c>
      <c r="EN56" s="114">
        <v>0</v>
      </c>
      <c r="EO56" s="114">
        <v>0</v>
      </c>
      <c r="EP56" s="114">
        <v>0</v>
      </c>
      <c r="EQ56" s="115">
        <v>0</v>
      </c>
      <c r="ER56" s="115">
        <v>0</v>
      </c>
      <c r="ES56" s="116">
        <v>0</v>
      </c>
      <c r="ET56" s="44"/>
      <c r="EU56" s="229"/>
      <c r="EV56" s="73" t="s">
        <v>17</v>
      </c>
      <c r="EW56" s="74" t="s">
        <v>19</v>
      </c>
      <c r="EX56" s="114">
        <v>0</v>
      </c>
      <c r="EY56" s="114">
        <v>0</v>
      </c>
      <c r="EZ56" s="114">
        <v>0</v>
      </c>
      <c r="FA56" s="114">
        <v>0</v>
      </c>
      <c r="FB56" s="114">
        <v>0</v>
      </c>
      <c r="FC56" s="114">
        <v>0</v>
      </c>
      <c r="FD56" s="114">
        <v>0</v>
      </c>
      <c r="FE56" s="114">
        <v>0</v>
      </c>
      <c r="FF56" s="115">
        <v>0</v>
      </c>
      <c r="FG56" s="115">
        <v>0</v>
      </c>
      <c r="FH56" s="116">
        <v>0</v>
      </c>
      <c r="FI56" s="44"/>
      <c r="FJ56" s="229"/>
      <c r="FK56" s="73" t="s">
        <v>17</v>
      </c>
      <c r="FL56" s="74" t="s">
        <v>19</v>
      </c>
      <c r="FM56" s="114">
        <v>0</v>
      </c>
      <c r="FN56" s="114">
        <v>0</v>
      </c>
      <c r="FO56" s="114">
        <v>0</v>
      </c>
      <c r="FP56" s="114">
        <v>0</v>
      </c>
      <c r="FQ56" s="114">
        <v>0</v>
      </c>
      <c r="FR56" s="114">
        <v>0</v>
      </c>
      <c r="FS56" s="114">
        <v>0</v>
      </c>
      <c r="FT56" s="114">
        <v>0</v>
      </c>
      <c r="FU56" s="115">
        <v>0</v>
      </c>
      <c r="FV56" s="115">
        <v>0</v>
      </c>
      <c r="FW56" s="116">
        <v>0</v>
      </c>
      <c r="FX56" s="44"/>
      <c r="FY56" s="229"/>
      <c r="FZ56" s="73" t="s">
        <v>17</v>
      </c>
      <c r="GA56" s="75" t="s">
        <v>19</v>
      </c>
      <c r="GB56" s="67">
        <f>SUM(FM56)</f>
        <v>0</v>
      </c>
      <c r="GC56" s="68">
        <f t="shared" si="175"/>
        <v>0</v>
      </c>
      <c r="GD56" s="68">
        <f t="shared" si="176"/>
        <v>0</v>
      </c>
      <c r="GE56" s="68">
        <f t="shared" si="177"/>
        <v>0</v>
      </c>
      <c r="GF56" s="68">
        <f t="shared" si="178"/>
        <v>0</v>
      </c>
      <c r="GG56" s="68">
        <f t="shared" si="179"/>
        <v>0</v>
      </c>
      <c r="GH56" s="68">
        <f t="shared" si="180"/>
        <v>0</v>
      </c>
      <c r="GI56" s="68">
        <f t="shared" si="181"/>
        <v>0</v>
      </c>
      <c r="GJ56" s="68">
        <f t="shared" si="182"/>
        <v>0</v>
      </c>
      <c r="GK56" s="68">
        <f t="shared" si="183"/>
        <v>0</v>
      </c>
      <c r="GL56" s="68">
        <f t="shared" si="184"/>
        <v>0</v>
      </c>
      <c r="GM56" s="44"/>
    </row>
    <row r="57" spans="1:207" ht="17.100000000000001" customHeight="1" thickBot="1" x14ac:dyDescent="0.25">
      <c r="A57" s="229"/>
      <c r="B57" s="252" t="s">
        <v>21</v>
      </c>
      <c r="C57" s="253"/>
      <c r="D57" s="120">
        <f t="shared" ref="D57:N57" si="185">SUM(D53:D56)</f>
        <v>0</v>
      </c>
      <c r="E57" s="120">
        <f t="shared" si="185"/>
        <v>0</v>
      </c>
      <c r="F57" s="121">
        <f t="shared" si="185"/>
        <v>0</v>
      </c>
      <c r="G57" s="122">
        <f t="shared" si="185"/>
        <v>0</v>
      </c>
      <c r="H57" s="121">
        <f t="shared" si="185"/>
        <v>0</v>
      </c>
      <c r="I57" s="120">
        <f t="shared" si="185"/>
        <v>0</v>
      </c>
      <c r="J57" s="120">
        <f t="shared" si="185"/>
        <v>0</v>
      </c>
      <c r="K57" s="123">
        <f t="shared" si="185"/>
        <v>0</v>
      </c>
      <c r="L57" s="124">
        <f t="shared" si="185"/>
        <v>0</v>
      </c>
      <c r="M57" s="124">
        <f t="shared" si="185"/>
        <v>0</v>
      </c>
      <c r="N57" s="125">
        <f t="shared" si="185"/>
        <v>0</v>
      </c>
      <c r="O57" s="44"/>
      <c r="P57" s="229"/>
      <c r="Q57" s="252" t="s">
        <v>21</v>
      </c>
      <c r="R57" s="253"/>
      <c r="S57" s="120">
        <f t="shared" ref="S57:AC57" si="186">SUM(S53:S56)</f>
        <v>0</v>
      </c>
      <c r="T57" s="120">
        <f t="shared" si="186"/>
        <v>0</v>
      </c>
      <c r="U57" s="121">
        <f t="shared" si="186"/>
        <v>0</v>
      </c>
      <c r="V57" s="122">
        <f t="shared" si="186"/>
        <v>0</v>
      </c>
      <c r="W57" s="121">
        <f t="shared" si="186"/>
        <v>0</v>
      </c>
      <c r="X57" s="120">
        <f t="shared" si="186"/>
        <v>0</v>
      </c>
      <c r="Y57" s="120">
        <f t="shared" si="186"/>
        <v>0</v>
      </c>
      <c r="Z57" s="123">
        <f t="shared" si="186"/>
        <v>0</v>
      </c>
      <c r="AA57" s="124">
        <f t="shared" si="186"/>
        <v>0</v>
      </c>
      <c r="AB57" s="124">
        <f t="shared" si="186"/>
        <v>0</v>
      </c>
      <c r="AC57" s="125">
        <f t="shared" si="186"/>
        <v>0</v>
      </c>
      <c r="AD57" s="44"/>
      <c r="AE57" s="229"/>
      <c r="AF57" s="252" t="s">
        <v>21</v>
      </c>
      <c r="AG57" s="253"/>
      <c r="AH57" s="120">
        <f t="shared" ref="AH57:AR57" si="187">SUM(AH53:AH56)</f>
        <v>0</v>
      </c>
      <c r="AI57" s="120">
        <f t="shared" si="187"/>
        <v>0</v>
      </c>
      <c r="AJ57" s="121">
        <f t="shared" si="187"/>
        <v>0</v>
      </c>
      <c r="AK57" s="122">
        <f t="shared" si="187"/>
        <v>0</v>
      </c>
      <c r="AL57" s="121">
        <f t="shared" si="187"/>
        <v>0</v>
      </c>
      <c r="AM57" s="120">
        <f t="shared" si="187"/>
        <v>0</v>
      </c>
      <c r="AN57" s="120">
        <f t="shared" si="187"/>
        <v>0</v>
      </c>
      <c r="AO57" s="123">
        <f t="shared" si="187"/>
        <v>0</v>
      </c>
      <c r="AP57" s="124">
        <f t="shared" si="187"/>
        <v>0</v>
      </c>
      <c r="AQ57" s="124">
        <f t="shared" si="187"/>
        <v>0</v>
      </c>
      <c r="AR57" s="125">
        <f t="shared" si="187"/>
        <v>0</v>
      </c>
      <c r="AS57" s="44"/>
      <c r="AT57" s="229"/>
      <c r="AU57" s="252" t="s">
        <v>21</v>
      </c>
      <c r="AV57" s="253"/>
      <c r="AW57" s="120">
        <f t="shared" ref="AW57:BG57" si="188">SUM(AW53:AW56)</f>
        <v>0</v>
      </c>
      <c r="AX57" s="120">
        <f t="shared" si="188"/>
        <v>0</v>
      </c>
      <c r="AY57" s="121">
        <f t="shared" si="188"/>
        <v>0</v>
      </c>
      <c r="AZ57" s="122">
        <f t="shared" si="188"/>
        <v>0</v>
      </c>
      <c r="BA57" s="121">
        <f t="shared" si="188"/>
        <v>0</v>
      </c>
      <c r="BB57" s="120">
        <f t="shared" si="188"/>
        <v>0</v>
      </c>
      <c r="BC57" s="120">
        <f t="shared" si="188"/>
        <v>0</v>
      </c>
      <c r="BD57" s="123">
        <f t="shared" si="188"/>
        <v>0</v>
      </c>
      <c r="BE57" s="124">
        <f t="shared" si="188"/>
        <v>0</v>
      </c>
      <c r="BF57" s="124">
        <f t="shared" si="188"/>
        <v>0</v>
      </c>
      <c r="BG57" s="125">
        <f t="shared" si="188"/>
        <v>0</v>
      </c>
      <c r="BH57" s="44"/>
      <c r="BI57" s="229"/>
      <c r="BJ57" s="252" t="s">
        <v>21</v>
      </c>
      <c r="BK57" s="253"/>
      <c r="BL57" s="120">
        <f t="shared" ref="BL57:BV57" si="189">SUM(BL53:BL56)</f>
        <v>0</v>
      </c>
      <c r="BM57" s="120">
        <f t="shared" si="189"/>
        <v>0</v>
      </c>
      <c r="BN57" s="121">
        <f t="shared" si="189"/>
        <v>0</v>
      </c>
      <c r="BO57" s="122">
        <f t="shared" si="189"/>
        <v>0</v>
      </c>
      <c r="BP57" s="121">
        <f t="shared" si="189"/>
        <v>0</v>
      </c>
      <c r="BQ57" s="120">
        <f t="shared" si="189"/>
        <v>0</v>
      </c>
      <c r="BR57" s="120">
        <f t="shared" si="189"/>
        <v>0</v>
      </c>
      <c r="BS57" s="123">
        <f t="shared" si="189"/>
        <v>0</v>
      </c>
      <c r="BT57" s="124">
        <f t="shared" si="189"/>
        <v>0</v>
      </c>
      <c r="BU57" s="124">
        <f t="shared" si="189"/>
        <v>0</v>
      </c>
      <c r="BV57" s="125">
        <f t="shared" si="189"/>
        <v>0</v>
      </c>
      <c r="BW57" s="44"/>
      <c r="BX57" s="229"/>
      <c r="BY57" s="252" t="s">
        <v>21</v>
      </c>
      <c r="BZ57" s="253"/>
      <c r="CA57" s="120">
        <f t="shared" ref="CA57:CK57" si="190">SUM(CA53:CA56)</f>
        <v>0</v>
      </c>
      <c r="CB57" s="120">
        <f t="shared" si="190"/>
        <v>0</v>
      </c>
      <c r="CC57" s="121">
        <f t="shared" si="190"/>
        <v>0</v>
      </c>
      <c r="CD57" s="122">
        <f t="shared" si="190"/>
        <v>0</v>
      </c>
      <c r="CE57" s="121">
        <f t="shared" si="190"/>
        <v>0</v>
      </c>
      <c r="CF57" s="120">
        <f t="shared" si="190"/>
        <v>0</v>
      </c>
      <c r="CG57" s="120">
        <f t="shared" si="190"/>
        <v>0</v>
      </c>
      <c r="CH57" s="123">
        <f t="shared" si="190"/>
        <v>0</v>
      </c>
      <c r="CI57" s="124">
        <f t="shared" si="190"/>
        <v>0</v>
      </c>
      <c r="CJ57" s="124">
        <f t="shared" si="190"/>
        <v>0</v>
      </c>
      <c r="CK57" s="125">
        <f t="shared" si="190"/>
        <v>0</v>
      </c>
      <c r="CL57" s="44"/>
      <c r="CM57" s="229"/>
      <c r="CN57" s="252" t="s">
        <v>21</v>
      </c>
      <c r="CO57" s="253"/>
      <c r="CP57" s="120">
        <f t="shared" ref="CP57:CZ57" si="191">SUM(CP53:CP56)</f>
        <v>0</v>
      </c>
      <c r="CQ57" s="120">
        <f t="shared" si="191"/>
        <v>0</v>
      </c>
      <c r="CR57" s="121">
        <f t="shared" si="191"/>
        <v>0</v>
      </c>
      <c r="CS57" s="122">
        <f t="shared" si="191"/>
        <v>0</v>
      </c>
      <c r="CT57" s="121">
        <f t="shared" si="191"/>
        <v>0</v>
      </c>
      <c r="CU57" s="120">
        <f t="shared" si="191"/>
        <v>0</v>
      </c>
      <c r="CV57" s="120">
        <f t="shared" si="191"/>
        <v>0</v>
      </c>
      <c r="CW57" s="123">
        <f t="shared" si="191"/>
        <v>0</v>
      </c>
      <c r="CX57" s="124">
        <f t="shared" si="191"/>
        <v>0</v>
      </c>
      <c r="CY57" s="124">
        <f t="shared" si="191"/>
        <v>0</v>
      </c>
      <c r="CZ57" s="125">
        <f t="shared" si="191"/>
        <v>0</v>
      </c>
      <c r="DA57" s="44"/>
      <c r="DB57" s="229"/>
      <c r="DC57" s="252" t="s">
        <v>21</v>
      </c>
      <c r="DD57" s="253"/>
      <c r="DE57" s="188">
        <f t="shared" ref="DE57:DO57" si="192">SUM(DE53:DE56)</f>
        <v>0</v>
      </c>
      <c r="DF57" s="188">
        <f t="shared" si="192"/>
        <v>0</v>
      </c>
      <c r="DG57" s="189">
        <f t="shared" si="192"/>
        <v>0</v>
      </c>
      <c r="DH57" s="190">
        <f t="shared" si="192"/>
        <v>0</v>
      </c>
      <c r="DI57" s="189">
        <f t="shared" si="192"/>
        <v>0</v>
      </c>
      <c r="DJ57" s="188">
        <f t="shared" si="192"/>
        <v>0</v>
      </c>
      <c r="DK57" s="188">
        <f t="shared" si="192"/>
        <v>0</v>
      </c>
      <c r="DL57" s="191">
        <f t="shared" si="192"/>
        <v>0</v>
      </c>
      <c r="DM57" s="192">
        <f t="shared" si="192"/>
        <v>0</v>
      </c>
      <c r="DN57" s="192">
        <f t="shared" si="192"/>
        <v>0</v>
      </c>
      <c r="DO57" s="193">
        <f t="shared" si="192"/>
        <v>0</v>
      </c>
      <c r="DP57" s="44"/>
      <c r="DQ57" s="229"/>
      <c r="DR57" s="252" t="s">
        <v>21</v>
      </c>
      <c r="DS57" s="253"/>
      <c r="DT57" s="120">
        <f t="shared" ref="DT57:ED57" si="193">SUM(DT53:DT56)</f>
        <v>0</v>
      </c>
      <c r="DU57" s="120">
        <f t="shared" si="193"/>
        <v>0</v>
      </c>
      <c r="DV57" s="121">
        <f t="shared" si="193"/>
        <v>0</v>
      </c>
      <c r="DW57" s="122">
        <f t="shared" si="193"/>
        <v>0</v>
      </c>
      <c r="DX57" s="121">
        <f t="shared" si="193"/>
        <v>0</v>
      </c>
      <c r="DY57" s="120">
        <f t="shared" si="193"/>
        <v>0</v>
      </c>
      <c r="DZ57" s="120">
        <f t="shared" si="193"/>
        <v>0</v>
      </c>
      <c r="EA57" s="123">
        <f t="shared" si="193"/>
        <v>0</v>
      </c>
      <c r="EB57" s="124">
        <f t="shared" si="193"/>
        <v>0</v>
      </c>
      <c r="EC57" s="124">
        <f t="shared" si="193"/>
        <v>0</v>
      </c>
      <c r="ED57" s="125">
        <f t="shared" si="193"/>
        <v>0</v>
      </c>
      <c r="EE57" s="44"/>
      <c r="EF57" s="229"/>
      <c r="EG57" s="252" t="s">
        <v>21</v>
      </c>
      <c r="EH57" s="253"/>
      <c r="EI57" s="120">
        <f t="shared" ref="EI57:ES57" si="194">SUM(EI53:EI56)</f>
        <v>0</v>
      </c>
      <c r="EJ57" s="120">
        <f t="shared" si="194"/>
        <v>0</v>
      </c>
      <c r="EK57" s="121">
        <f t="shared" si="194"/>
        <v>0</v>
      </c>
      <c r="EL57" s="122">
        <f t="shared" si="194"/>
        <v>0</v>
      </c>
      <c r="EM57" s="121">
        <f t="shared" si="194"/>
        <v>0</v>
      </c>
      <c r="EN57" s="120">
        <f t="shared" si="194"/>
        <v>0</v>
      </c>
      <c r="EO57" s="120">
        <f t="shared" si="194"/>
        <v>0</v>
      </c>
      <c r="EP57" s="123">
        <f t="shared" si="194"/>
        <v>0</v>
      </c>
      <c r="EQ57" s="124">
        <f t="shared" si="194"/>
        <v>0</v>
      </c>
      <c r="ER57" s="124">
        <f t="shared" si="194"/>
        <v>0</v>
      </c>
      <c r="ES57" s="125">
        <f t="shared" si="194"/>
        <v>0</v>
      </c>
      <c r="ET57" s="44"/>
      <c r="EU57" s="229"/>
      <c r="EV57" s="252" t="s">
        <v>21</v>
      </c>
      <c r="EW57" s="253"/>
      <c r="EX57" s="120">
        <f t="shared" ref="EX57:FH57" si="195">SUM(EX53:EX56)</f>
        <v>0</v>
      </c>
      <c r="EY57" s="120">
        <f t="shared" si="195"/>
        <v>0</v>
      </c>
      <c r="EZ57" s="121">
        <f t="shared" si="195"/>
        <v>0</v>
      </c>
      <c r="FA57" s="122">
        <f t="shared" si="195"/>
        <v>0</v>
      </c>
      <c r="FB57" s="121">
        <f t="shared" si="195"/>
        <v>0</v>
      </c>
      <c r="FC57" s="120">
        <f t="shared" si="195"/>
        <v>0</v>
      </c>
      <c r="FD57" s="120">
        <f t="shared" si="195"/>
        <v>0</v>
      </c>
      <c r="FE57" s="123">
        <f t="shared" si="195"/>
        <v>0</v>
      </c>
      <c r="FF57" s="124">
        <f t="shared" si="195"/>
        <v>0</v>
      </c>
      <c r="FG57" s="124">
        <f t="shared" si="195"/>
        <v>0</v>
      </c>
      <c r="FH57" s="125">
        <f t="shared" si="195"/>
        <v>0</v>
      </c>
      <c r="FI57" s="44"/>
      <c r="FJ57" s="229"/>
      <c r="FK57" s="252" t="s">
        <v>21</v>
      </c>
      <c r="FL57" s="253"/>
      <c r="FM57" s="120">
        <f t="shared" ref="FM57:FW57" si="196">SUM(FM53:FM56)</f>
        <v>0</v>
      </c>
      <c r="FN57" s="120">
        <f t="shared" si="196"/>
        <v>0</v>
      </c>
      <c r="FO57" s="121">
        <f t="shared" si="196"/>
        <v>0</v>
      </c>
      <c r="FP57" s="122">
        <f t="shared" si="196"/>
        <v>0</v>
      </c>
      <c r="FQ57" s="121">
        <f t="shared" si="196"/>
        <v>0</v>
      </c>
      <c r="FR57" s="120">
        <f t="shared" si="196"/>
        <v>0</v>
      </c>
      <c r="FS57" s="120">
        <f t="shared" si="196"/>
        <v>0</v>
      </c>
      <c r="FT57" s="123">
        <f t="shared" si="196"/>
        <v>0</v>
      </c>
      <c r="FU57" s="124">
        <f t="shared" si="196"/>
        <v>0</v>
      </c>
      <c r="FV57" s="124">
        <f t="shared" si="196"/>
        <v>0</v>
      </c>
      <c r="FW57" s="125">
        <f t="shared" si="196"/>
        <v>0</v>
      </c>
      <c r="FX57" s="44"/>
      <c r="FY57" s="229"/>
      <c r="FZ57" s="128" t="s">
        <v>21</v>
      </c>
      <c r="GA57" s="129"/>
      <c r="GB57" s="76">
        <f t="shared" ref="GB57:GL57" si="197">SUM(GB53:GB56)</f>
        <v>0</v>
      </c>
      <c r="GC57" s="77">
        <f t="shared" si="197"/>
        <v>0</v>
      </c>
      <c r="GD57" s="77">
        <f t="shared" si="197"/>
        <v>0</v>
      </c>
      <c r="GE57" s="77">
        <f t="shared" si="197"/>
        <v>0</v>
      </c>
      <c r="GF57" s="77">
        <f t="shared" si="197"/>
        <v>0</v>
      </c>
      <c r="GG57" s="77">
        <f t="shared" si="197"/>
        <v>0</v>
      </c>
      <c r="GH57" s="77">
        <f t="shared" si="197"/>
        <v>0</v>
      </c>
      <c r="GI57" s="77">
        <f t="shared" si="197"/>
        <v>0</v>
      </c>
      <c r="GJ57" s="77">
        <f t="shared" si="197"/>
        <v>0</v>
      </c>
      <c r="GK57" s="77">
        <f t="shared" si="197"/>
        <v>0</v>
      </c>
      <c r="GL57" s="77">
        <f t="shared" si="197"/>
        <v>0</v>
      </c>
      <c r="GM57" s="44"/>
    </row>
    <row r="58" spans="1:207" ht="17.100000000000001" customHeight="1" thickBot="1" x14ac:dyDescent="0.25">
      <c r="A58" s="230"/>
      <c r="B58" s="78" t="s">
        <v>22</v>
      </c>
      <c r="C58" s="44"/>
      <c r="D58" s="78"/>
      <c r="E58" s="44"/>
      <c r="F58" s="44"/>
      <c r="G58" s="44"/>
      <c r="H58" s="44"/>
      <c r="I58" s="44"/>
      <c r="J58" s="44"/>
      <c r="K58" s="79" t="s">
        <v>18</v>
      </c>
      <c r="L58" s="80">
        <v>0</v>
      </c>
      <c r="M58" s="79" t="s">
        <v>19</v>
      </c>
      <c r="N58" s="80">
        <v>0</v>
      </c>
      <c r="O58" s="44"/>
      <c r="P58" s="230"/>
      <c r="Q58" s="78" t="s">
        <v>22</v>
      </c>
      <c r="R58" s="44"/>
      <c r="S58" s="78"/>
      <c r="T58" s="44"/>
      <c r="U58" s="44"/>
      <c r="V58" s="44"/>
      <c r="W58" s="44"/>
      <c r="X58" s="44"/>
      <c r="Y58" s="44"/>
      <c r="Z58" s="79" t="s">
        <v>18</v>
      </c>
      <c r="AA58" s="80">
        <v>0</v>
      </c>
      <c r="AB58" s="79" t="s">
        <v>19</v>
      </c>
      <c r="AC58" s="80">
        <v>0</v>
      </c>
      <c r="AD58" s="44"/>
      <c r="AE58" s="230"/>
      <c r="AF58" s="78" t="s">
        <v>22</v>
      </c>
      <c r="AG58" s="44"/>
      <c r="AH58" s="78"/>
      <c r="AI58" s="44"/>
      <c r="AJ58" s="44"/>
      <c r="AK58" s="44"/>
      <c r="AL58" s="44"/>
      <c r="AM58" s="44"/>
      <c r="AN58" s="44"/>
      <c r="AO58" s="79" t="s">
        <v>18</v>
      </c>
      <c r="AP58" s="80">
        <v>0</v>
      </c>
      <c r="AQ58" s="79" t="s">
        <v>19</v>
      </c>
      <c r="AR58" s="80">
        <v>0</v>
      </c>
      <c r="AS58" s="44"/>
      <c r="AT58" s="230"/>
      <c r="AU58" s="78" t="s">
        <v>22</v>
      </c>
      <c r="AV58" s="44"/>
      <c r="AW58" s="78"/>
      <c r="AX58" s="44"/>
      <c r="AY58" s="44"/>
      <c r="AZ58" s="44"/>
      <c r="BA58" s="44"/>
      <c r="BB58" s="44"/>
      <c r="BC58" s="44"/>
      <c r="BD58" s="79" t="s">
        <v>18</v>
      </c>
      <c r="BE58" s="80">
        <v>0</v>
      </c>
      <c r="BF58" s="79" t="s">
        <v>19</v>
      </c>
      <c r="BG58" s="80">
        <v>0</v>
      </c>
      <c r="BH58" s="44"/>
      <c r="BI58" s="230"/>
      <c r="BJ58" s="78" t="s">
        <v>22</v>
      </c>
      <c r="BK58" s="44"/>
      <c r="BL58" s="78"/>
      <c r="BM58" s="44"/>
      <c r="BN58" s="44"/>
      <c r="BO58" s="44"/>
      <c r="BP58" s="44"/>
      <c r="BQ58" s="44"/>
      <c r="BR58" s="44"/>
      <c r="BS58" s="79" t="s">
        <v>18</v>
      </c>
      <c r="BT58" s="80">
        <v>0</v>
      </c>
      <c r="BU58" s="79" t="s">
        <v>19</v>
      </c>
      <c r="BV58" s="80">
        <v>0</v>
      </c>
      <c r="BW58" s="44"/>
      <c r="BX58" s="230"/>
      <c r="BY58" s="78" t="s">
        <v>22</v>
      </c>
      <c r="BZ58" s="44"/>
      <c r="CA58" s="78"/>
      <c r="CB58" s="44"/>
      <c r="CC58" s="44"/>
      <c r="CD58" s="44"/>
      <c r="CE58" s="44"/>
      <c r="CF58" s="44"/>
      <c r="CG58" s="44"/>
      <c r="CH58" s="79" t="s">
        <v>18</v>
      </c>
      <c r="CI58" s="80">
        <v>0</v>
      </c>
      <c r="CJ58" s="79" t="s">
        <v>19</v>
      </c>
      <c r="CK58" s="80">
        <v>0</v>
      </c>
      <c r="CL58" s="44"/>
      <c r="CM58" s="230"/>
      <c r="CN58" s="78" t="s">
        <v>22</v>
      </c>
      <c r="CO58" s="44"/>
      <c r="CP58" s="78"/>
      <c r="CQ58" s="44"/>
      <c r="CR58" s="44"/>
      <c r="CS58" s="44"/>
      <c r="CT58" s="44"/>
      <c r="CU58" s="44"/>
      <c r="CV58" s="44"/>
      <c r="CW58" s="79" t="s">
        <v>18</v>
      </c>
      <c r="CX58" s="80">
        <v>0</v>
      </c>
      <c r="CY58" s="79" t="s">
        <v>19</v>
      </c>
      <c r="CZ58" s="80">
        <v>0</v>
      </c>
      <c r="DA58" s="44"/>
      <c r="DB58" s="230"/>
      <c r="DC58" s="78" t="s">
        <v>22</v>
      </c>
      <c r="DD58" s="44"/>
      <c r="DE58" s="194"/>
      <c r="DF58" s="195"/>
      <c r="DG58" s="195"/>
      <c r="DH58" s="195"/>
      <c r="DI58" s="195"/>
      <c r="DJ58" s="195"/>
      <c r="DK58" s="195"/>
      <c r="DL58" s="196" t="s">
        <v>18</v>
      </c>
      <c r="DM58" s="197">
        <v>0</v>
      </c>
      <c r="DN58" s="196" t="s">
        <v>19</v>
      </c>
      <c r="DO58" s="197">
        <v>0</v>
      </c>
      <c r="DP58" s="44"/>
      <c r="DQ58" s="230"/>
      <c r="DR58" s="78" t="s">
        <v>22</v>
      </c>
      <c r="DS58" s="44"/>
      <c r="DT58" s="78"/>
      <c r="DU58" s="44"/>
      <c r="DV58" s="44"/>
      <c r="DW58" s="44"/>
      <c r="DX58" s="44"/>
      <c r="DY58" s="44"/>
      <c r="DZ58" s="44"/>
      <c r="EA58" s="79" t="s">
        <v>18</v>
      </c>
      <c r="EB58" s="80">
        <v>0</v>
      </c>
      <c r="EC58" s="79" t="s">
        <v>19</v>
      </c>
      <c r="ED58" s="80">
        <v>0</v>
      </c>
      <c r="EE58" s="44"/>
      <c r="EF58" s="230"/>
      <c r="EG58" s="78" t="s">
        <v>22</v>
      </c>
      <c r="EH58" s="44"/>
      <c r="EI58" s="78"/>
      <c r="EJ58" s="44"/>
      <c r="EK58" s="44"/>
      <c r="EL58" s="44"/>
      <c r="EM58" s="44"/>
      <c r="EN58" s="44"/>
      <c r="EO58" s="44"/>
      <c r="EP58" s="79" t="s">
        <v>18</v>
      </c>
      <c r="EQ58" s="80">
        <v>0</v>
      </c>
      <c r="ER58" s="79" t="s">
        <v>19</v>
      </c>
      <c r="ES58" s="80">
        <v>0</v>
      </c>
      <c r="ET58" s="44"/>
      <c r="EU58" s="230"/>
      <c r="EV58" s="78" t="s">
        <v>22</v>
      </c>
      <c r="EW58" s="44"/>
      <c r="EX58" s="78"/>
      <c r="EY58" s="44"/>
      <c r="EZ58" s="44"/>
      <c r="FA58" s="44"/>
      <c r="FB58" s="44"/>
      <c r="FC58" s="44"/>
      <c r="FD58" s="44"/>
      <c r="FE58" s="79" t="s">
        <v>18</v>
      </c>
      <c r="FF58" s="80">
        <v>0</v>
      </c>
      <c r="FG58" s="79" t="s">
        <v>19</v>
      </c>
      <c r="FH58" s="80">
        <v>0</v>
      </c>
      <c r="FI58" s="44"/>
      <c r="FJ58" s="230"/>
      <c r="FK58" s="78" t="s">
        <v>22</v>
      </c>
      <c r="FL58" s="44"/>
      <c r="FM58" s="78"/>
      <c r="FN58" s="44"/>
      <c r="FO58" s="44"/>
      <c r="FP58" s="44"/>
      <c r="FQ58" s="44"/>
      <c r="FR58" s="44"/>
      <c r="FS58" s="44"/>
      <c r="FT58" s="79" t="s">
        <v>18</v>
      </c>
      <c r="FU58" s="80">
        <v>0</v>
      </c>
      <c r="FV58" s="79" t="s">
        <v>19</v>
      </c>
      <c r="FW58" s="80">
        <v>0</v>
      </c>
      <c r="FX58" s="44"/>
      <c r="FY58" s="230"/>
      <c r="FZ58" s="78" t="s">
        <v>26</v>
      </c>
      <c r="GA58" s="44"/>
      <c r="GB58" s="81"/>
      <c r="GC58" s="82"/>
      <c r="GD58" s="82"/>
      <c r="GE58" s="82"/>
      <c r="GF58" s="82"/>
      <c r="GG58" s="82"/>
      <c r="GH58" s="82"/>
      <c r="GI58" s="83" t="s">
        <v>18</v>
      </c>
      <c r="GJ58" s="64">
        <f>(L58+AA58+AP58+BE58+BT58+CI58+CX58+DM58+EB58+EQ58+FF58+FU58)</f>
        <v>0</v>
      </c>
      <c r="GK58" s="83" t="s">
        <v>19</v>
      </c>
      <c r="GL58" s="64">
        <f>(N58+AC58+AR58+BG58+BV58+CK58+CZ58+DO58+ED58+ES58+FH58+FW58)</f>
        <v>0</v>
      </c>
      <c r="GM58" s="44"/>
    </row>
    <row r="59" spans="1:207" ht="17.100000000000001" customHeight="1" x14ac:dyDescent="0.2">
      <c r="A59" s="228">
        <v>0</v>
      </c>
      <c r="B59" s="250" t="s">
        <v>17</v>
      </c>
      <c r="C59" s="61" t="s">
        <v>18</v>
      </c>
      <c r="D59" s="111">
        <v>0</v>
      </c>
      <c r="E59" s="111">
        <v>0</v>
      </c>
      <c r="F59" s="111">
        <v>0</v>
      </c>
      <c r="G59" s="111">
        <v>0</v>
      </c>
      <c r="H59" s="111">
        <v>0</v>
      </c>
      <c r="I59" s="111">
        <v>0</v>
      </c>
      <c r="J59" s="111">
        <v>0</v>
      </c>
      <c r="K59" s="111">
        <v>0</v>
      </c>
      <c r="L59" s="112">
        <v>0</v>
      </c>
      <c r="M59" s="112">
        <v>0</v>
      </c>
      <c r="N59" s="113">
        <v>0</v>
      </c>
      <c r="O59" s="44"/>
      <c r="P59" s="228">
        <v>0</v>
      </c>
      <c r="Q59" s="250" t="s">
        <v>17</v>
      </c>
      <c r="R59" s="61" t="s">
        <v>18</v>
      </c>
      <c r="S59" s="111">
        <v>0</v>
      </c>
      <c r="T59" s="111">
        <v>0</v>
      </c>
      <c r="U59" s="111">
        <v>0</v>
      </c>
      <c r="V59" s="111">
        <v>0</v>
      </c>
      <c r="W59" s="111">
        <v>0</v>
      </c>
      <c r="X59" s="111">
        <v>0</v>
      </c>
      <c r="Y59" s="111">
        <v>0</v>
      </c>
      <c r="Z59" s="111">
        <v>0</v>
      </c>
      <c r="AA59" s="112">
        <v>0</v>
      </c>
      <c r="AB59" s="112">
        <v>0</v>
      </c>
      <c r="AC59" s="113">
        <v>0</v>
      </c>
      <c r="AD59" s="44"/>
      <c r="AE59" s="228">
        <v>0</v>
      </c>
      <c r="AF59" s="250" t="s">
        <v>17</v>
      </c>
      <c r="AG59" s="61" t="s">
        <v>18</v>
      </c>
      <c r="AH59" s="111">
        <v>0</v>
      </c>
      <c r="AI59" s="111">
        <v>0</v>
      </c>
      <c r="AJ59" s="111">
        <v>0</v>
      </c>
      <c r="AK59" s="111">
        <v>0</v>
      </c>
      <c r="AL59" s="111">
        <v>0</v>
      </c>
      <c r="AM59" s="111">
        <v>0</v>
      </c>
      <c r="AN59" s="111">
        <v>0</v>
      </c>
      <c r="AO59" s="111">
        <v>0</v>
      </c>
      <c r="AP59" s="112">
        <v>0</v>
      </c>
      <c r="AQ59" s="112">
        <v>0</v>
      </c>
      <c r="AR59" s="113">
        <v>0</v>
      </c>
      <c r="AS59" s="44"/>
      <c r="AT59" s="228">
        <v>0</v>
      </c>
      <c r="AU59" s="250" t="s">
        <v>17</v>
      </c>
      <c r="AV59" s="61" t="s">
        <v>18</v>
      </c>
      <c r="AW59" s="111">
        <v>0</v>
      </c>
      <c r="AX59" s="111">
        <v>0</v>
      </c>
      <c r="AY59" s="111">
        <v>0</v>
      </c>
      <c r="AZ59" s="111">
        <v>0</v>
      </c>
      <c r="BA59" s="111">
        <v>0</v>
      </c>
      <c r="BB59" s="111">
        <v>0</v>
      </c>
      <c r="BC59" s="111">
        <v>0</v>
      </c>
      <c r="BD59" s="111">
        <v>0</v>
      </c>
      <c r="BE59" s="112">
        <v>0</v>
      </c>
      <c r="BF59" s="112">
        <v>0</v>
      </c>
      <c r="BG59" s="113">
        <v>0</v>
      </c>
      <c r="BH59" s="44"/>
      <c r="BI59" s="228">
        <v>0</v>
      </c>
      <c r="BJ59" s="250" t="s">
        <v>17</v>
      </c>
      <c r="BK59" s="61" t="s">
        <v>18</v>
      </c>
      <c r="BL59" s="111">
        <v>0</v>
      </c>
      <c r="BM59" s="111">
        <v>0</v>
      </c>
      <c r="BN59" s="111">
        <v>0</v>
      </c>
      <c r="BO59" s="111">
        <v>0</v>
      </c>
      <c r="BP59" s="111">
        <v>0</v>
      </c>
      <c r="BQ59" s="111">
        <v>0</v>
      </c>
      <c r="BR59" s="111">
        <v>0</v>
      </c>
      <c r="BS59" s="111">
        <v>0</v>
      </c>
      <c r="BT59" s="112">
        <v>0</v>
      </c>
      <c r="BU59" s="112">
        <v>0</v>
      </c>
      <c r="BV59" s="113">
        <v>0</v>
      </c>
      <c r="BW59" s="44"/>
      <c r="BX59" s="228">
        <v>0</v>
      </c>
      <c r="BY59" s="250" t="s">
        <v>17</v>
      </c>
      <c r="BZ59" s="61" t="s">
        <v>18</v>
      </c>
      <c r="CA59" s="111">
        <v>0</v>
      </c>
      <c r="CB59" s="111">
        <v>0</v>
      </c>
      <c r="CC59" s="111">
        <v>0</v>
      </c>
      <c r="CD59" s="111">
        <v>0</v>
      </c>
      <c r="CE59" s="111">
        <v>0</v>
      </c>
      <c r="CF59" s="111">
        <v>0</v>
      </c>
      <c r="CG59" s="111">
        <v>0</v>
      </c>
      <c r="CH59" s="111">
        <v>0</v>
      </c>
      <c r="CI59" s="112">
        <v>0</v>
      </c>
      <c r="CJ59" s="112">
        <v>0</v>
      </c>
      <c r="CK59" s="113">
        <v>0</v>
      </c>
      <c r="CL59" s="44"/>
      <c r="CM59" s="228">
        <v>0</v>
      </c>
      <c r="CN59" s="250" t="s">
        <v>17</v>
      </c>
      <c r="CO59" s="61" t="s">
        <v>18</v>
      </c>
      <c r="CP59" s="111">
        <v>0</v>
      </c>
      <c r="CQ59" s="111">
        <v>0</v>
      </c>
      <c r="CR59" s="111">
        <v>0</v>
      </c>
      <c r="CS59" s="111">
        <v>0</v>
      </c>
      <c r="CT59" s="111">
        <v>0</v>
      </c>
      <c r="CU59" s="111">
        <v>0</v>
      </c>
      <c r="CV59" s="111">
        <v>0</v>
      </c>
      <c r="CW59" s="111">
        <v>0</v>
      </c>
      <c r="CX59" s="112">
        <v>0</v>
      </c>
      <c r="CY59" s="112">
        <v>0</v>
      </c>
      <c r="CZ59" s="113">
        <v>0</v>
      </c>
      <c r="DA59" s="44"/>
      <c r="DB59" s="228">
        <v>0</v>
      </c>
      <c r="DC59" s="250" t="s">
        <v>17</v>
      </c>
      <c r="DD59" s="61" t="s">
        <v>18</v>
      </c>
      <c r="DE59" s="179">
        <v>0</v>
      </c>
      <c r="DF59" s="179">
        <v>0</v>
      </c>
      <c r="DG59" s="179">
        <v>0</v>
      </c>
      <c r="DH59" s="179">
        <v>0</v>
      </c>
      <c r="DI59" s="179">
        <v>0</v>
      </c>
      <c r="DJ59" s="179">
        <v>0</v>
      </c>
      <c r="DK59" s="179">
        <v>0</v>
      </c>
      <c r="DL59" s="179">
        <v>0</v>
      </c>
      <c r="DM59" s="180">
        <v>0</v>
      </c>
      <c r="DN59" s="180">
        <v>0</v>
      </c>
      <c r="DO59" s="181">
        <v>0</v>
      </c>
      <c r="DP59" s="44"/>
      <c r="DQ59" s="228">
        <v>0</v>
      </c>
      <c r="DR59" s="250" t="s">
        <v>17</v>
      </c>
      <c r="DS59" s="61" t="s">
        <v>18</v>
      </c>
      <c r="DT59" s="111">
        <v>0</v>
      </c>
      <c r="DU59" s="111">
        <v>0</v>
      </c>
      <c r="DV59" s="111">
        <v>0</v>
      </c>
      <c r="DW59" s="111">
        <v>0</v>
      </c>
      <c r="DX59" s="111">
        <v>0</v>
      </c>
      <c r="DY59" s="111">
        <v>0</v>
      </c>
      <c r="DZ59" s="111">
        <v>0</v>
      </c>
      <c r="EA59" s="111">
        <v>0</v>
      </c>
      <c r="EB59" s="112">
        <v>0</v>
      </c>
      <c r="EC59" s="112">
        <v>0</v>
      </c>
      <c r="ED59" s="113">
        <v>0</v>
      </c>
      <c r="EE59" s="44"/>
      <c r="EF59" s="228">
        <v>0</v>
      </c>
      <c r="EG59" s="250" t="s">
        <v>17</v>
      </c>
      <c r="EH59" s="61" t="s">
        <v>18</v>
      </c>
      <c r="EI59" s="111">
        <v>0</v>
      </c>
      <c r="EJ59" s="111">
        <v>0</v>
      </c>
      <c r="EK59" s="111">
        <v>0</v>
      </c>
      <c r="EL59" s="111">
        <v>0</v>
      </c>
      <c r="EM59" s="111">
        <v>0</v>
      </c>
      <c r="EN59" s="111">
        <v>0</v>
      </c>
      <c r="EO59" s="111">
        <v>0</v>
      </c>
      <c r="EP59" s="111">
        <v>0</v>
      </c>
      <c r="EQ59" s="112">
        <v>0</v>
      </c>
      <c r="ER59" s="112">
        <v>0</v>
      </c>
      <c r="ES59" s="113">
        <v>0</v>
      </c>
      <c r="ET59" s="44"/>
      <c r="EU59" s="228">
        <v>0</v>
      </c>
      <c r="EV59" s="250" t="s">
        <v>17</v>
      </c>
      <c r="EW59" s="61" t="s">
        <v>18</v>
      </c>
      <c r="EX59" s="111">
        <v>0</v>
      </c>
      <c r="EY59" s="111">
        <v>0</v>
      </c>
      <c r="EZ59" s="111">
        <v>0</v>
      </c>
      <c r="FA59" s="111">
        <v>0</v>
      </c>
      <c r="FB59" s="111">
        <v>0</v>
      </c>
      <c r="FC59" s="111">
        <v>0</v>
      </c>
      <c r="FD59" s="111">
        <v>0</v>
      </c>
      <c r="FE59" s="111">
        <v>0</v>
      </c>
      <c r="FF59" s="112">
        <v>0</v>
      </c>
      <c r="FG59" s="112">
        <v>0</v>
      </c>
      <c r="FH59" s="113">
        <v>0</v>
      </c>
      <c r="FI59" s="44"/>
      <c r="FJ59" s="228">
        <v>0</v>
      </c>
      <c r="FK59" s="250" t="s">
        <v>17</v>
      </c>
      <c r="FL59" s="61" t="s">
        <v>18</v>
      </c>
      <c r="FM59" s="111">
        <v>0</v>
      </c>
      <c r="FN59" s="111">
        <v>0</v>
      </c>
      <c r="FO59" s="111">
        <v>0</v>
      </c>
      <c r="FP59" s="111">
        <v>0</v>
      </c>
      <c r="FQ59" s="111">
        <v>0</v>
      </c>
      <c r="FR59" s="111">
        <v>0</v>
      </c>
      <c r="FS59" s="111">
        <v>0</v>
      </c>
      <c r="FT59" s="111">
        <v>0</v>
      </c>
      <c r="FU59" s="112">
        <v>0</v>
      </c>
      <c r="FV59" s="112">
        <v>0</v>
      </c>
      <c r="FW59" s="113">
        <v>0</v>
      </c>
      <c r="FX59" s="44"/>
      <c r="FY59" s="228">
        <f>(FJ59)</f>
        <v>0</v>
      </c>
      <c r="FZ59" s="126" t="s">
        <v>17</v>
      </c>
      <c r="GA59" s="62" t="s">
        <v>18</v>
      </c>
      <c r="GB59" s="63">
        <f>SUM(FM59)</f>
        <v>0</v>
      </c>
      <c r="GC59" s="64">
        <f t="shared" ref="GC59:GC62" si="198">(E59+T59+AI59+AX59+BM59+CB59+CQ59+DF59+DU59+EJ59+EY59+FN59)</f>
        <v>0</v>
      </c>
      <c r="GD59" s="64">
        <f t="shared" ref="GD59:GD62" si="199">(F59+U59+AJ59+AY59+BN59+CC59+CR59+DG59+DV59+EK59+EZ59+FO59)</f>
        <v>0</v>
      </c>
      <c r="GE59" s="64">
        <f t="shared" ref="GE59:GE62" si="200">SUM(FP59)</f>
        <v>0</v>
      </c>
      <c r="GF59" s="64">
        <f t="shared" ref="GF59:GF62" si="201">SUM(FQ59)</f>
        <v>0</v>
      </c>
      <c r="GG59" s="64">
        <f t="shared" ref="GG59:GG62" si="202">SUM(FR59)</f>
        <v>0</v>
      </c>
      <c r="GH59" s="64">
        <f t="shared" ref="GH59:GH62" si="203">(J59+Y59+AN59+BC59+BR59+CG59+CV59+DK59+DZ59+EO59+FD59+FS59)</f>
        <v>0</v>
      </c>
      <c r="GI59" s="64">
        <f t="shared" ref="GI59:GI62" si="204">(K59+Z59+AO59+BD59+BS59+CH59+CW59+DL59+EA59+EP59+FE59+FT59)</f>
        <v>0</v>
      </c>
      <c r="GJ59" s="64">
        <f t="shared" ref="GJ59:GJ62" si="205">(L59+AA59+AP59+BE59+BT59+CI59+CX59+DM59+EB59+EQ59+FF59+FU59)</f>
        <v>0</v>
      </c>
      <c r="GK59" s="64">
        <f t="shared" ref="GK59:GK62" si="206">(M59+AB59+AQ59+BF59+BU59+CJ59+CY59+DN59+EC59+ER59+FG59+FV59)</f>
        <v>0</v>
      </c>
      <c r="GL59" s="64">
        <f t="shared" ref="GL59:GL62" si="207">(N59+AC59+AR59+BG59+BV59+CK59+CZ59+DO59+ED59+ES59+FH59+FW59)</f>
        <v>0</v>
      </c>
      <c r="GM59" s="44"/>
    </row>
    <row r="60" spans="1:207" ht="17.100000000000001" customHeight="1" thickBot="1" x14ac:dyDescent="0.25">
      <c r="A60" s="229"/>
      <c r="B60" s="251"/>
      <c r="C60" s="65" t="s">
        <v>19</v>
      </c>
      <c r="D60" s="114">
        <v>0</v>
      </c>
      <c r="E60" s="114">
        <v>0</v>
      </c>
      <c r="F60" s="114">
        <v>0</v>
      </c>
      <c r="G60" s="114">
        <v>0</v>
      </c>
      <c r="H60" s="114">
        <v>0</v>
      </c>
      <c r="I60" s="114">
        <v>0</v>
      </c>
      <c r="J60" s="114">
        <v>0</v>
      </c>
      <c r="K60" s="114">
        <v>0</v>
      </c>
      <c r="L60" s="115">
        <v>0</v>
      </c>
      <c r="M60" s="115">
        <v>0</v>
      </c>
      <c r="N60" s="116">
        <v>0</v>
      </c>
      <c r="O60" s="44"/>
      <c r="P60" s="229"/>
      <c r="Q60" s="251"/>
      <c r="R60" s="65" t="s">
        <v>19</v>
      </c>
      <c r="S60" s="114">
        <v>0</v>
      </c>
      <c r="T60" s="114">
        <v>0</v>
      </c>
      <c r="U60" s="114">
        <v>0</v>
      </c>
      <c r="V60" s="114">
        <v>0</v>
      </c>
      <c r="W60" s="114">
        <v>0</v>
      </c>
      <c r="X60" s="114">
        <v>0</v>
      </c>
      <c r="Y60" s="114">
        <v>0</v>
      </c>
      <c r="Z60" s="114">
        <v>0</v>
      </c>
      <c r="AA60" s="115">
        <v>0</v>
      </c>
      <c r="AB60" s="115">
        <v>0</v>
      </c>
      <c r="AC60" s="116">
        <v>0</v>
      </c>
      <c r="AD60" s="44"/>
      <c r="AE60" s="229"/>
      <c r="AF60" s="251"/>
      <c r="AG60" s="65" t="s">
        <v>19</v>
      </c>
      <c r="AH60" s="114">
        <v>0</v>
      </c>
      <c r="AI60" s="114">
        <v>0</v>
      </c>
      <c r="AJ60" s="114">
        <v>0</v>
      </c>
      <c r="AK60" s="114">
        <v>0</v>
      </c>
      <c r="AL60" s="114">
        <v>0</v>
      </c>
      <c r="AM60" s="114">
        <v>0</v>
      </c>
      <c r="AN60" s="114">
        <v>0</v>
      </c>
      <c r="AO60" s="114">
        <v>0</v>
      </c>
      <c r="AP60" s="115">
        <v>0</v>
      </c>
      <c r="AQ60" s="115">
        <v>0</v>
      </c>
      <c r="AR60" s="116">
        <v>0</v>
      </c>
      <c r="AS60" s="44"/>
      <c r="AT60" s="229"/>
      <c r="AU60" s="251"/>
      <c r="AV60" s="65" t="s">
        <v>19</v>
      </c>
      <c r="AW60" s="114">
        <v>0</v>
      </c>
      <c r="AX60" s="114">
        <v>0</v>
      </c>
      <c r="AY60" s="114">
        <v>0</v>
      </c>
      <c r="AZ60" s="114">
        <v>0</v>
      </c>
      <c r="BA60" s="114">
        <v>0</v>
      </c>
      <c r="BB60" s="114">
        <v>0</v>
      </c>
      <c r="BC60" s="114">
        <v>0</v>
      </c>
      <c r="BD60" s="114">
        <v>0</v>
      </c>
      <c r="BE60" s="115">
        <v>0</v>
      </c>
      <c r="BF60" s="115">
        <v>0</v>
      </c>
      <c r="BG60" s="116">
        <v>0</v>
      </c>
      <c r="BH60" s="44"/>
      <c r="BI60" s="229"/>
      <c r="BJ60" s="251"/>
      <c r="BK60" s="65" t="s">
        <v>19</v>
      </c>
      <c r="BL60" s="114">
        <v>0</v>
      </c>
      <c r="BM60" s="114">
        <v>0</v>
      </c>
      <c r="BN60" s="114">
        <v>0</v>
      </c>
      <c r="BO60" s="114">
        <v>0</v>
      </c>
      <c r="BP60" s="114">
        <v>0</v>
      </c>
      <c r="BQ60" s="114">
        <v>0</v>
      </c>
      <c r="BR60" s="114">
        <v>0</v>
      </c>
      <c r="BS60" s="114">
        <v>0</v>
      </c>
      <c r="BT60" s="115">
        <v>0</v>
      </c>
      <c r="BU60" s="115">
        <v>0</v>
      </c>
      <c r="BV60" s="116">
        <v>0</v>
      </c>
      <c r="BW60" s="44"/>
      <c r="BX60" s="229"/>
      <c r="BY60" s="251"/>
      <c r="BZ60" s="65" t="s">
        <v>19</v>
      </c>
      <c r="CA60" s="114">
        <v>0</v>
      </c>
      <c r="CB60" s="114">
        <v>0</v>
      </c>
      <c r="CC60" s="114">
        <v>0</v>
      </c>
      <c r="CD60" s="114">
        <v>0</v>
      </c>
      <c r="CE60" s="114">
        <v>0</v>
      </c>
      <c r="CF60" s="114">
        <v>0</v>
      </c>
      <c r="CG60" s="114">
        <v>0</v>
      </c>
      <c r="CH60" s="114">
        <v>0</v>
      </c>
      <c r="CI60" s="115">
        <v>0</v>
      </c>
      <c r="CJ60" s="115">
        <v>0</v>
      </c>
      <c r="CK60" s="116">
        <v>0</v>
      </c>
      <c r="CL60" s="44"/>
      <c r="CM60" s="229"/>
      <c r="CN60" s="251"/>
      <c r="CO60" s="65" t="s">
        <v>19</v>
      </c>
      <c r="CP60" s="114">
        <v>0</v>
      </c>
      <c r="CQ60" s="114">
        <v>0</v>
      </c>
      <c r="CR60" s="114">
        <v>0</v>
      </c>
      <c r="CS60" s="114">
        <v>0</v>
      </c>
      <c r="CT60" s="114">
        <v>0</v>
      </c>
      <c r="CU60" s="114">
        <v>0</v>
      </c>
      <c r="CV60" s="114">
        <v>0</v>
      </c>
      <c r="CW60" s="114">
        <v>0</v>
      </c>
      <c r="CX60" s="115">
        <v>0</v>
      </c>
      <c r="CY60" s="115">
        <v>0</v>
      </c>
      <c r="CZ60" s="116">
        <v>0</v>
      </c>
      <c r="DA60" s="44"/>
      <c r="DB60" s="229"/>
      <c r="DC60" s="251"/>
      <c r="DD60" s="65" t="s">
        <v>19</v>
      </c>
      <c r="DE60" s="182">
        <v>0</v>
      </c>
      <c r="DF60" s="182">
        <v>0</v>
      </c>
      <c r="DG60" s="182">
        <v>0</v>
      </c>
      <c r="DH60" s="182">
        <v>0</v>
      </c>
      <c r="DI60" s="182">
        <v>0</v>
      </c>
      <c r="DJ60" s="182">
        <v>0</v>
      </c>
      <c r="DK60" s="182">
        <v>0</v>
      </c>
      <c r="DL60" s="182">
        <v>0</v>
      </c>
      <c r="DM60" s="183">
        <v>0</v>
      </c>
      <c r="DN60" s="183">
        <v>0</v>
      </c>
      <c r="DO60" s="184">
        <v>0</v>
      </c>
      <c r="DP60" s="44"/>
      <c r="DQ60" s="229"/>
      <c r="DR60" s="251"/>
      <c r="DS60" s="65" t="s">
        <v>19</v>
      </c>
      <c r="DT60" s="114">
        <v>0</v>
      </c>
      <c r="DU60" s="114">
        <v>0</v>
      </c>
      <c r="DV60" s="114">
        <v>0</v>
      </c>
      <c r="DW60" s="114">
        <v>0</v>
      </c>
      <c r="DX60" s="114">
        <v>0</v>
      </c>
      <c r="DY60" s="114">
        <v>0</v>
      </c>
      <c r="DZ60" s="114">
        <v>0</v>
      </c>
      <c r="EA60" s="114">
        <v>0</v>
      </c>
      <c r="EB60" s="115">
        <v>0</v>
      </c>
      <c r="EC60" s="115">
        <v>0</v>
      </c>
      <c r="ED60" s="116">
        <v>0</v>
      </c>
      <c r="EE60" s="44"/>
      <c r="EF60" s="229"/>
      <c r="EG60" s="251"/>
      <c r="EH60" s="65" t="s">
        <v>19</v>
      </c>
      <c r="EI60" s="114">
        <v>0</v>
      </c>
      <c r="EJ60" s="114">
        <v>0</v>
      </c>
      <c r="EK60" s="114">
        <v>0</v>
      </c>
      <c r="EL60" s="114">
        <v>0</v>
      </c>
      <c r="EM60" s="114">
        <v>0</v>
      </c>
      <c r="EN60" s="114">
        <v>0</v>
      </c>
      <c r="EO60" s="114">
        <v>0</v>
      </c>
      <c r="EP60" s="114">
        <v>0</v>
      </c>
      <c r="EQ60" s="115">
        <v>0</v>
      </c>
      <c r="ER60" s="115">
        <v>0</v>
      </c>
      <c r="ES60" s="116">
        <v>0</v>
      </c>
      <c r="ET60" s="44"/>
      <c r="EU60" s="229"/>
      <c r="EV60" s="251"/>
      <c r="EW60" s="65" t="s">
        <v>19</v>
      </c>
      <c r="EX60" s="114">
        <v>0</v>
      </c>
      <c r="EY60" s="114">
        <v>0</v>
      </c>
      <c r="EZ60" s="114">
        <v>0</v>
      </c>
      <c r="FA60" s="114">
        <v>0</v>
      </c>
      <c r="FB60" s="114">
        <v>0</v>
      </c>
      <c r="FC60" s="114">
        <v>0</v>
      </c>
      <c r="FD60" s="114">
        <v>0</v>
      </c>
      <c r="FE60" s="114">
        <v>0</v>
      </c>
      <c r="FF60" s="115">
        <v>0</v>
      </c>
      <c r="FG60" s="115">
        <v>0</v>
      </c>
      <c r="FH60" s="116">
        <v>0</v>
      </c>
      <c r="FI60" s="44"/>
      <c r="FJ60" s="229"/>
      <c r="FK60" s="251"/>
      <c r="FL60" s="65" t="s">
        <v>19</v>
      </c>
      <c r="FM60" s="114">
        <v>0</v>
      </c>
      <c r="FN60" s="114">
        <v>0</v>
      </c>
      <c r="FO60" s="114">
        <v>0</v>
      </c>
      <c r="FP60" s="114">
        <v>0</v>
      </c>
      <c r="FQ60" s="114">
        <v>0</v>
      </c>
      <c r="FR60" s="114">
        <v>0</v>
      </c>
      <c r="FS60" s="114">
        <v>0</v>
      </c>
      <c r="FT60" s="114">
        <v>0</v>
      </c>
      <c r="FU60" s="115">
        <v>0</v>
      </c>
      <c r="FV60" s="115">
        <v>0</v>
      </c>
      <c r="FW60" s="116">
        <v>0</v>
      </c>
      <c r="FX60" s="44"/>
      <c r="FY60" s="229"/>
      <c r="FZ60" s="127"/>
      <c r="GA60" s="66" t="s">
        <v>19</v>
      </c>
      <c r="GB60" s="67">
        <f>SUM(FM60)</f>
        <v>0</v>
      </c>
      <c r="GC60" s="68">
        <f t="shared" si="198"/>
        <v>0</v>
      </c>
      <c r="GD60" s="68">
        <f t="shared" si="199"/>
        <v>0</v>
      </c>
      <c r="GE60" s="68">
        <f t="shared" si="200"/>
        <v>0</v>
      </c>
      <c r="GF60" s="68">
        <f t="shared" si="201"/>
        <v>0</v>
      </c>
      <c r="GG60" s="68">
        <f t="shared" si="202"/>
        <v>0</v>
      </c>
      <c r="GH60" s="68">
        <f t="shared" si="203"/>
        <v>0</v>
      </c>
      <c r="GI60" s="68">
        <f t="shared" si="204"/>
        <v>0</v>
      </c>
      <c r="GJ60" s="68">
        <f t="shared" si="205"/>
        <v>0</v>
      </c>
      <c r="GK60" s="68">
        <f t="shared" si="206"/>
        <v>0</v>
      </c>
      <c r="GL60" s="68">
        <f t="shared" si="207"/>
        <v>0</v>
      </c>
      <c r="GM60" s="44"/>
    </row>
    <row r="61" spans="1:207" ht="17.100000000000001" customHeight="1" x14ac:dyDescent="0.2">
      <c r="A61" s="229"/>
      <c r="B61" s="69" t="s">
        <v>20</v>
      </c>
      <c r="C61" s="70" t="s">
        <v>18</v>
      </c>
      <c r="D61" s="111">
        <v>0</v>
      </c>
      <c r="E61" s="111">
        <v>0</v>
      </c>
      <c r="F61" s="111">
        <v>0</v>
      </c>
      <c r="G61" s="111">
        <v>0</v>
      </c>
      <c r="H61" s="111">
        <v>0</v>
      </c>
      <c r="I61" s="111">
        <v>0</v>
      </c>
      <c r="J61" s="111">
        <v>0</v>
      </c>
      <c r="K61" s="117">
        <v>0</v>
      </c>
      <c r="L61" s="118">
        <v>0</v>
      </c>
      <c r="M61" s="118">
        <v>0</v>
      </c>
      <c r="N61" s="119">
        <v>0</v>
      </c>
      <c r="O61" s="44"/>
      <c r="P61" s="229"/>
      <c r="Q61" s="69" t="s">
        <v>20</v>
      </c>
      <c r="R61" s="70" t="s">
        <v>18</v>
      </c>
      <c r="S61" s="111">
        <v>0</v>
      </c>
      <c r="T61" s="111">
        <v>0</v>
      </c>
      <c r="U61" s="111">
        <v>0</v>
      </c>
      <c r="V61" s="111">
        <v>0</v>
      </c>
      <c r="W61" s="111">
        <v>0</v>
      </c>
      <c r="X61" s="111">
        <v>0</v>
      </c>
      <c r="Y61" s="111">
        <v>0</v>
      </c>
      <c r="Z61" s="117">
        <v>0</v>
      </c>
      <c r="AA61" s="118">
        <v>0</v>
      </c>
      <c r="AB61" s="118">
        <v>0</v>
      </c>
      <c r="AC61" s="119">
        <v>0</v>
      </c>
      <c r="AD61" s="44"/>
      <c r="AE61" s="229"/>
      <c r="AF61" s="69" t="s">
        <v>20</v>
      </c>
      <c r="AG61" s="70" t="s">
        <v>18</v>
      </c>
      <c r="AH61" s="111">
        <v>0</v>
      </c>
      <c r="AI61" s="111">
        <v>0</v>
      </c>
      <c r="AJ61" s="111">
        <v>0</v>
      </c>
      <c r="AK61" s="111">
        <v>0</v>
      </c>
      <c r="AL61" s="111">
        <v>0</v>
      </c>
      <c r="AM61" s="111">
        <v>0</v>
      </c>
      <c r="AN61" s="111">
        <v>0</v>
      </c>
      <c r="AO61" s="117">
        <v>0</v>
      </c>
      <c r="AP61" s="118">
        <v>0</v>
      </c>
      <c r="AQ61" s="118">
        <v>0</v>
      </c>
      <c r="AR61" s="119">
        <v>0</v>
      </c>
      <c r="AS61" s="44"/>
      <c r="AT61" s="229"/>
      <c r="AU61" s="69" t="s">
        <v>20</v>
      </c>
      <c r="AV61" s="70" t="s">
        <v>18</v>
      </c>
      <c r="AW61" s="111">
        <v>0</v>
      </c>
      <c r="AX61" s="111">
        <v>0</v>
      </c>
      <c r="AY61" s="111">
        <v>0</v>
      </c>
      <c r="AZ61" s="111">
        <v>0</v>
      </c>
      <c r="BA61" s="111">
        <v>0</v>
      </c>
      <c r="BB61" s="111">
        <v>0</v>
      </c>
      <c r="BC61" s="111">
        <v>0</v>
      </c>
      <c r="BD61" s="117">
        <v>0</v>
      </c>
      <c r="BE61" s="118">
        <v>0</v>
      </c>
      <c r="BF61" s="118">
        <v>0</v>
      </c>
      <c r="BG61" s="119">
        <v>0</v>
      </c>
      <c r="BH61" s="44"/>
      <c r="BI61" s="229"/>
      <c r="BJ61" s="69" t="s">
        <v>20</v>
      </c>
      <c r="BK61" s="70" t="s">
        <v>18</v>
      </c>
      <c r="BL61" s="111">
        <v>0</v>
      </c>
      <c r="BM61" s="111">
        <v>0</v>
      </c>
      <c r="BN61" s="111">
        <v>0</v>
      </c>
      <c r="BO61" s="111">
        <v>0</v>
      </c>
      <c r="BP61" s="111">
        <v>0</v>
      </c>
      <c r="BQ61" s="111">
        <v>0</v>
      </c>
      <c r="BR61" s="111">
        <v>0</v>
      </c>
      <c r="BS61" s="117">
        <v>0</v>
      </c>
      <c r="BT61" s="118">
        <v>0</v>
      </c>
      <c r="BU61" s="118">
        <v>0</v>
      </c>
      <c r="BV61" s="119">
        <v>0</v>
      </c>
      <c r="BW61" s="44"/>
      <c r="BX61" s="229"/>
      <c r="BY61" s="69" t="s">
        <v>20</v>
      </c>
      <c r="BZ61" s="70" t="s">
        <v>18</v>
      </c>
      <c r="CA61" s="111">
        <v>0</v>
      </c>
      <c r="CB61" s="111">
        <v>0</v>
      </c>
      <c r="CC61" s="111">
        <v>0</v>
      </c>
      <c r="CD61" s="111">
        <v>0</v>
      </c>
      <c r="CE61" s="111">
        <v>0</v>
      </c>
      <c r="CF61" s="111">
        <v>0</v>
      </c>
      <c r="CG61" s="111">
        <v>0</v>
      </c>
      <c r="CH61" s="117">
        <v>0</v>
      </c>
      <c r="CI61" s="118">
        <v>0</v>
      </c>
      <c r="CJ61" s="118">
        <v>0</v>
      </c>
      <c r="CK61" s="119">
        <v>0</v>
      </c>
      <c r="CL61" s="44"/>
      <c r="CM61" s="229"/>
      <c r="CN61" s="69" t="s">
        <v>20</v>
      </c>
      <c r="CO61" s="70" t="s">
        <v>18</v>
      </c>
      <c r="CP61" s="111">
        <v>0</v>
      </c>
      <c r="CQ61" s="111">
        <v>0</v>
      </c>
      <c r="CR61" s="111">
        <v>0</v>
      </c>
      <c r="CS61" s="111">
        <v>0</v>
      </c>
      <c r="CT61" s="111">
        <v>0</v>
      </c>
      <c r="CU61" s="111">
        <v>0</v>
      </c>
      <c r="CV61" s="111">
        <v>0</v>
      </c>
      <c r="CW61" s="117">
        <v>0</v>
      </c>
      <c r="CX61" s="118">
        <v>0</v>
      </c>
      <c r="CY61" s="118">
        <v>0</v>
      </c>
      <c r="CZ61" s="119">
        <v>0</v>
      </c>
      <c r="DA61" s="44"/>
      <c r="DB61" s="229"/>
      <c r="DC61" s="69" t="s">
        <v>20</v>
      </c>
      <c r="DD61" s="70" t="s">
        <v>18</v>
      </c>
      <c r="DE61" s="179">
        <v>0</v>
      </c>
      <c r="DF61" s="179">
        <v>0</v>
      </c>
      <c r="DG61" s="179">
        <v>0</v>
      </c>
      <c r="DH61" s="179">
        <v>0</v>
      </c>
      <c r="DI61" s="179">
        <v>0</v>
      </c>
      <c r="DJ61" s="179">
        <v>0</v>
      </c>
      <c r="DK61" s="179">
        <v>0</v>
      </c>
      <c r="DL61" s="185">
        <v>0</v>
      </c>
      <c r="DM61" s="186">
        <v>0</v>
      </c>
      <c r="DN61" s="186">
        <v>0</v>
      </c>
      <c r="DO61" s="187">
        <v>0</v>
      </c>
      <c r="DP61" s="44"/>
      <c r="DQ61" s="229"/>
      <c r="DR61" s="69" t="s">
        <v>20</v>
      </c>
      <c r="DS61" s="70" t="s">
        <v>18</v>
      </c>
      <c r="DT61" s="111">
        <v>0</v>
      </c>
      <c r="DU61" s="111">
        <v>0</v>
      </c>
      <c r="DV61" s="111">
        <v>0</v>
      </c>
      <c r="DW61" s="111">
        <v>0</v>
      </c>
      <c r="DX61" s="111">
        <v>0</v>
      </c>
      <c r="DY61" s="111">
        <v>0</v>
      </c>
      <c r="DZ61" s="111">
        <v>0</v>
      </c>
      <c r="EA61" s="117">
        <v>0</v>
      </c>
      <c r="EB61" s="118">
        <v>0</v>
      </c>
      <c r="EC61" s="118">
        <v>0</v>
      </c>
      <c r="ED61" s="119">
        <v>0</v>
      </c>
      <c r="EE61" s="44"/>
      <c r="EF61" s="229"/>
      <c r="EG61" s="69" t="s">
        <v>20</v>
      </c>
      <c r="EH61" s="70" t="s">
        <v>18</v>
      </c>
      <c r="EI61" s="111">
        <v>0</v>
      </c>
      <c r="EJ61" s="111">
        <v>0</v>
      </c>
      <c r="EK61" s="111">
        <v>0</v>
      </c>
      <c r="EL61" s="111">
        <v>0</v>
      </c>
      <c r="EM61" s="111">
        <v>0</v>
      </c>
      <c r="EN61" s="111">
        <v>0</v>
      </c>
      <c r="EO61" s="111">
        <v>0</v>
      </c>
      <c r="EP61" s="117">
        <v>0</v>
      </c>
      <c r="EQ61" s="118">
        <v>0</v>
      </c>
      <c r="ER61" s="118">
        <v>0</v>
      </c>
      <c r="ES61" s="119">
        <v>0</v>
      </c>
      <c r="ET61" s="44"/>
      <c r="EU61" s="229"/>
      <c r="EV61" s="69" t="s">
        <v>20</v>
      </c>
      <c r="EW61" s="70" t="s">
        <v>18</v>
      </c>
      <c r="EX61" s="111">
        <v>0</v>
      </c>
      <c r="EY61" s="111">
        <v>0</v>
      </c>
      <c r="EZ61" s="111">
        <v>0</v>
      </c>
      <c r="FA61" s="111">
        <v>0</v>
      </c>
      <c r="FB61" s="111">
        <v>0</v>
      </c>
      <c r="FC61" s="111">
        <v>0</v>
      </c>
      <c r="FD61" s="111">
        <v>0</v>
      </c>
      <c r="FE61" s="117">
        <v>0</v>
      </c>
      <c r="FF61" s="118">
        <v>0</v>
      </c>
      <c r="FG61" s="118">
        <v>0</v>
      </c>
      <c r="FH61" s="119">
        <v>0</v>
      </c>
      <c r="FI61" s="44"/>
      <c r="FJ61" s="229"/>
      <c r="FK61" s="69" t="s">
        <v>20</v>
      </c>
      <c r="FL61" s="70" t="s">
        <v>18</v>
      </c>
      <c r="FM61" s="111">
        <v>0</v>
      </c>
      <c r="FN61" s="111">
        <v>0</v>
      </c>
      <c r="FO61" s="111">
        <v>0</v>
      </c>
      <c r="FP61" s="111">
        <v>0</v>
      </c>
      <c r="FQ61" s="111">
        <v>0</v>
      </c>
      <c r="FR61" s="111">
        <v>0</v>
      </c>
      <c r="FS61" s="111">
        <v>0</v>
      </c>
      <c r="FT61" s="117">
        <v>0</v>
      </c>
      <c r="FU61" s="118">
        <v>0</v>
      </c>
      <c r="FV61" s="118">
        <v>0</v>
      </c>
      <c r="FW61" s="119">
        <v>0</v>
      </c>
      <c r="FX61" s="44"/>
      <c r="FY61" s="229"/>
      <c r="FZ61" s="69" t="s">
        <v>20</v>
      </c>
      <c r="GA61" s="71" t="s">
        <v>18</v>
      </c>
      <c r="GB61" s="63">
        <f>SUM(FM61)</f>
        <v>0</v>
      </c>
      <c r="GC61" s="72">
        <f t="shared" si="198"/>
        <v>0</v>
      </c>
      <c r="GD61" s="72">
        <f t="shared" si="199"/>
        <v>0</v>
      </c>
      <c r="GE61" s="72">
        <f t="shared" si="200"/>
        <v>0</v>
      </c>
      <c r="GF61" s="72">
        <f t="shared" si="201"/>
        <v>0</v>
      </c>
      <c r="GG61" s="72">
        <f t="shared" si="202"/>
        <v>0</v>
      </c>
      <c r="GH61" s="72">
        <f t="shared" si="203"/>
        <v>0</v>
      </c>
      <c r="GI61" s="72">
        <f t="shared" si="204"/>
        <v>0</v>
      </c>
      <c r="GJ61" s="72">
        <f t="shared" si="205"/>
        <v>0</v>
      </c>
      <c r="GK61" s="72">
        <f t="shared" si="206"/>
        <v>0</v>
      </c>
      <c r="GL61" s="72">
        <f t="shared" si="207"/>
        <v>0</v>
      </c>
      <c r="GM61" s="44"/>
    </row>
    <row r="62" spans="1:207" ht="17.100000000000001" customHeight="1" thickBot="1" x14ac:dyDescent="0.25">
      <c r="A62" s="229"/>
      <c r="B62" s="73" t="s">
        <v>17</v>
      </c>
      <c r="C62" s="74" t="s">
        <v>19</v>
      </c>
      <c r="D62" s="114">
        <v>0</v>
      </c>
      <c r="E62" s="114">
        <v>0</v>
      </c>
      <c r="F62" s="114">
        <v>0</v>
      </c>
      <c r="G62" s="114">
        <v>0</v>
      </c>
      <c r="H62" s="114">
        <v>0</v>
      </c>
      <c r="I62" s="114">
        <v>0</v>
      </c>
      <c r="J62" s="114">
        <v>0</v>
      </c>
      <c r="K62" s="114">
        <v>0</v>
      </c>
      <c r="L62" s="115">
        <v>0</v>
      </c>
      <c r="M62" s="115">
        <v>0</v>
      </c>
      <c r="N62" s="116">
        <v>0</v>
      </c>
      <c r="O62" s="44"/>
      <c r="P62" s="229"/>
      <c r="Q62" s="73" t="s">
        <v>17</v>
      </c>
      <c r="R62" s="74" t="s">
        <v>19</v>
      </c>
      <c r="S62" s="114">
        <v>0</v>
      </c>
      <c r="T62" s="114">
        <v>0</v>
      </c>
      <c r="U62" s="114">
        <v>0</v>
      </c>
      <c r="V62" s="114">
        <v>0</v>
      </c>
      <c r="W62" s="114">
        <v>0</v>
      </c>
      <c r="X62" s="114">
        <v>0</v>
      </c>
      <c r="Y62" s="114">
        <v>0</v>
      </c>
      <c r="Z62" s="114">
        <v>0</v>
      </c>
      <c r="AA62" s="115">
        <v>0</v>
      </c>
      <c r="AB62" s="115">
        <v>0</v>
      </c>
      <c r="AC62" s="116">
        <v>0</v>
      </c>
      <c r="AD62" s="44"/>
      <c r="AE62" s="229"/>
      <c r="AF62" s="73" t="s">
        <v>17</v>
      </c>
      <c r="AG62" s="74" t="s">
        <v>19</v>
      </c>
      <c r="AH62" s="114">
        <v>0</v>
      </c>
      <c r="AI62" s="114">
        <v>0</v>
      </c>
      <c r="AJ62" s="114">
        <v>0</v>
      </c>
      <c r="AK62" s="114">
        <v>0</v>
      </c>
      <c r="AL62" s="114">
        <v>0</v>
      </c>
      <c r="AM62" s="114">
        <v>0</v>
      </c>
      <c r="AN62" s="114">
        <v>0</v>
      </c>
      <c r="AO62" s="114">
        <v>0</v>
      </c>
      <c r="AP62" s="115">
        <v>0</v>
      </c>
      <c r="AQ62" s="115">
        <v>0</v>
      </c>
      <c r="AR62" s="116">
        <v>0</v>
      </c>
      <c r="AS62" s="44"/>
      <c r="AT62" s="229"/>
      <c r="AU62" s="73" t="s">
        <v>17</v>
      </c>
      <c r="AV62" s="74" t="s">
        <v>19</v>
      </c>
      <c r="AW62" s="114">
        <v>0</v>
      </c>
      <c r="AX62" s="114">
        <v>0</v>
      </c>
      <c r="AY62" s="114">
        <v>0</v>
      </c>
      <c r="AZ62" s="114">
        <v>0</v>
      </c>
      <c r="BA62" s="114">
        <v>0</v>
      </c>
      <c r="BB62" s="114">
        <v>0</v>
      </c>
      <c r="BC62" s="114">
        <v>0</v>
      </c>
      <c r="BD62" s="114">
        <v>0</v>
      </c>
      <c r="BE62" s="115">
        <v>0</v>
      </c>
      <c r="BF62" s="115">
        <v>0</v>
      </c>
      <c r="BG62" s="116">
        <v>0</v>
      </c>
      <c r="BH62" s="44"/>
      <c r="BI62" s="229"/>
      <c r="BJ62" s="73" t="s">
        <v>17</v>
      </c>
      <c r="BK62" s="74" t="s">
        <v>19</v>
      </c>
      <c r="BL62" s="114">
        <v>0</v>
      </c>
      <c r="BM62" s="114">
        <v>0</v>
      </c>
      <c r="BN62" s="114">
        <v>0</v>
      </c>
      <c r="BO62" s="114">
        <v>0</v>
      </c>
      <c r="BP62" s="114">
        <v>0</v>
      </c>
      <c r="BQ62" s="114">
        <v>0</v>
      </c>
      <c r="BR62" s="114">
        <v>0</v>
      </c>
      <c r="BS62" s="114">
        <v>0</v>
      </c>
      <c r="BT62" s="115">
        <v>0</v>
      </c>
      <c r="BU62" s="115">
        <v>0</v>
      </c>
      <c r="BV62" s="116">
        <v>0</v>
      </c>
      <c r="BW62" s="44"/>
      <c r="BX62" s="229"/>
      <c r="BY62" s="73" t="s">
        <v>17</v>
      </c>
      <c r="BZ62" s="74" t="s">
        <v>19</v>
      </c>
      <c r="CA62" s="114">
        <v>0</v>
      </c>
      <c r="CB62" s="114">
        <v>0</v>
      </c>
      <c r="CC62" s="114">
        <v>0</v>
      </c>
      <c r="CD62" s="114">
        <v>0</v>
      </c>
      <c r="CE62" s="114">
        <v>0</v>
      </c>
      <c r="CF62" s="114">
        <v>0</v>
      </c>
      <c r="CG62" s="114">
        <v>0</v>
      </c>
      <c r="CH62" s="114">
        <v>0</v>
      </c>
      <c r="CI62" s="115">
        <v>0</v>
      </c>
      <c r="CJ62" s="115">
        <v>0</v>
      </c>
      <c r="CK62" s="116">
        <v>0</v>
      </c>
      <c r="CL62" s="44"/>
      <c r="CM62" s="229"/>
      <c r="CN62" s="73" t="s">
        <v>17</v>
      </c>
      <c r="CO62" s="74" t="s">
        <v>19</v>
      </c>
      <c r="CP62" s="114">
        <v>0</v>
      </c>
      <c r="CQ62" s="114">
        <v>0</v>
      </c>
      <c r="CR62" s="114">
        <v>0</v>
      </c>
      <c r="CS62" s="114">
        <v>0</v>
      </c>
      <c r="CT62" s="114">
        <v>0</v>
      </c>
      <c r="CU62" s="114">
        <v>0</v>
      </c>
      <c r="CV62" s="114">
        <v>0</v>
      </c>
      <c r="CW62" s="114">
        <v>0</v>
      </c>
      <c r="CX62" s="115">
        <v>0</v>
      </c>
      <c r="CY62" s="115">
        <v>0</v>
      </c>
      <c r="CZ62" s="116">
        <v>0</v>
      </c>
      <c r="DA62" s="44"/>
      <c r="DB62" s="229"/>
      <c r="DC62" s="73" t="s">
        <v>17</v>
      </c>
      <c r="DD62" s="74" t="s">
        <v>19</v>
      </c>
      <c r="DE62" s="182">
        <v>0</v>
      </c>
      <c r="DF62" s="182">
        <v>0</v>
      </c>
      <c r="DG62" s="182">
        <v>0</v>
      </c>
      <c r="DH62" s="182">
        <v>0</v>
      </c>
      <c r="DI62" s="182">
        <v>0</v>
      </c>
      <c r="DJ62" s="182">
        <v>0</v>
      </c>
      <c r="DK62" s="182">
        <v>0</v>
      </c>
      <c r="DL62" s="182">
        <v>0</v>
      </c>
      <c r="DM62" s="183">
        <v>0</v>
      </c>
      <c r="DN62" s="183">
        <v>0</v>
      </c>
      <c r="DO62" s="184">
        <v>0</v>
      </c>
      <c r="DP62" s="44"/>
      <c r="DQ62" s="229"/>
      <c r="DR62" s="73" t="s">
        <v>17</v>
      </c>
      <c r="DS62" s="74" t="s">
        <v>19</v>
      </c>
      <c r="DT62" s="114">
        <v>0</v>
      </c>
      <c r="DU62" s="114">
        <v>0</v>
      </c>
      <c r="DV62" s="114">
        <v>0</v>
      </c>
      <c r="DW62" s="114">
        <v>0</v>
      </c>
      <c r="DX62" s="114">
        <v>0</v>
      </c>
      <c r="DY62" s="114">
        <v>0</v>
      </c>
      <c r="DZ62" s="114">
        <v>0</v>
      </c>
      <c r="EA62" s="114">
        <v>0</v>
      </c>
      <c r="EB62" s="115">
        <v>0</v>
      </c>
      <c r="EC62" s="115">
        <v>0</v>
      </c>
      <c r="ED62" s="116">
        <v>0</v>
      </c>
      <c r="EE62" s="44"/>
      <c r="EF62" s="229"/>
      <c r="EG62" s="73" t="s">
        <v>17</v>
      </c>
      <c r="EH62" s="74" t="s">
        <v>19</v>
      </c>
      <c r="EI62" s="114">
        <v>0</v>
      </c>
      <c r="EJ62" s="114">
        <v>0</v>
      </c>
      <c r="EK62" s="114">
        <v>0</v>
      </c>
      <c r="EL62" s="114">
        <v>0</v>
      </c>
      <c r="EM62" s="114">
        <v>0</v>
      </c>
      <c r="EN62" s="114">
        <v>0</v>
      </c>
      <c r="EO62" s="114">
        <v>0</v>
      </c>
      <c r="EP62" s="114">
        <v>0</v>
      </c>
      <c r="EQ62" s="115">
        <v>0</v>
      </c>
      <c r="ER62" s="115">
        <v>0</v>
      </c>
      <c r="ES62" s="116">
        <v>0</v>
      </c>
      <c r="ET62" s="44"/>
      <c r="EU62" s="229"/>
      <c r="EV62" s="73" t="s">
        <v>17</v>
      </c>
      <c r="EW62" s="74" t="s">
        <v>19</v>
      </c>
      <c r="EX62" s="114">
        <v>0</v>
      </c>
      <c r="EY62" s="114">
        <v>0</v>
      </c>
      <c r="EZ62" s="114">
        <v>0</v>
      </c>
      <c r="FA62" s="114">
        <v>0</v>
      </c>
      <c r="FB62" s="114">
        <v>0</v>
      </c>
      <c r="FC62" s="114">
        <v>0</v>
      </c>
      <c r="FD62" s="114">
        <v>0</v>
      </c>
      <c r="FE62" s="114">
        <v>0</v>
      </c>
      <c r="FF62" s="115">
        <v>0</v>
      </c>
      <c r="FG62" s="115">
        <v>0</v>
      </c>
      <c r="FH62" s="116">
        <v>0</v>
      </c>
      <c r="FI62" s="44"/>
      <c r="FJ62" s="229"/>
      <c r="FK62" s="73" t="s">
        <v>17</v>
      </c>
      <c r="FL62" s="74" t="s">
        <v>19</v>
      </c>
      <c r="FM62" s="114">
        <v>0</v>
      </c>
      <c r="FN62" s="114">
        <v>0</v>
      </c>
      <c r="FO62" s="114">
        <v>0</v>
      </c>
      <c r="FP62" s="114">
        <v>0</v>
      </c>
      <c r="FQ62" s="114">
        <v>0</v>
      </c>
      <c r="FR62" s="114">
        <v>0</v>
      </c>
      <c r="FS62" s="114">
        <v>0</v>
      </c>
      <c r="FT62" s="114">
        <v>0</v>
      </c>
      <c r="FU62" s="115">
        <v>0</v>
      </c>
      <c r="FV62" s="115">
        <v>0</v>
      </c>
      <c r="FW62" s="116">
        <v>0</v>
      </c>
      <c r="FX62" s="44"/>
      <c r="FY62" s="229"/>
      <c r="FZ62" s="73" t="s">
        <v>17</v>
      </c>
      <c r="GA62" s="75" t="s">
        <v>19</v>
      </c>
      <c r="GB62" s="67">
        <f>SUM(FM62)</f>
        <v>0</v>
      </c>
      <c r="GC62" s="68">
        <f t="shared" si="198"/>
        <v>0</v>
      </c>
      <c r="GD62" s="68">
        <f t="shared" si="199"/>
        <v>0</v>
      </c>
      <c r="GE62" s="68">
        <f t="shared" si="200"/>
        <v>0</v>
      </c>
      <c r="GF62" s="68">
        <f t="shared" si="201"/>
        <v>0</v>
      </c>
      <c r="GG62" s="68">
        <f t="shared" si="202"/>
        <v>0</v>
      </c>
      <c r="GH62" s="68">
        <f t="shared" si="203"/>
        <v>0</v>
      </c>
      <c r="GI62" s="68">
        <f t="shared" si="204"/>
        <v>0</v>
      </c>
      <c r="GJ62" s="68">
        <f t="shared" si="205"/>
        <v>0</v>
      </c>
      <c r="GK62" s="68">
        <f t="shared" si="206"/>
        <v>0</v>
      </c>
      <c r="GL62" s="68">
        <f t="shared" si="207"/>
        <v>0</v>
      </c>
      <c r="GM62" s="44"/>
    </row>
    <row r="63" spans="1:207" ht="17.100000000000001" customHeight="1" thickBot="1" x14ac:dyDescent="0.25">
      <c r="A63" s="229"/>
      <c r="B63" s="252" t="s">
        <v>21</v>
      </c>
      <c r="C63" s="253"/>
      <c r="D63" s="120">
        <f t="shared" ref="D63:N63" si="208">SUM(D59:D62)</f>
        <v>0</v>
      </c>
      <c r="E63" s="120">
        <f t="shared" si="208"/>
        <v>0</v>
      </c>
      <c r="F63" s="121">
        <f t="shared" si="208"/>
        <v>0</v>
      </c>
      <c r="G63" s="122">
        <f t="shared" si="208"/>
        <v>0</v>
      </c>
      <c r="H63" s="121">
        <f t="shared" si="208"/>
        <v>0</v>
      </c>
      <c r="I63" s="120">
        <f t="shared" si="208"/>
        <v>0</v>
      </c>
      <c r="J63" s="120">
        <f t="shared" si="208"/>
        <v>0</v>
      </c>
      <c r="K63" s="123">
        <f t="shared" si="208"/>
        <v>0</v>
      </c>
      <c r="L63" s="124">
        <f t="shared" si="208"/>
        <v>0</v>
      </c>
      <c r="M63" s="124">
        <f t="shared" si="208"/>
        <v>0</v>
      </c>
      <c r="N63" s="125">
        <f t="shared" si="208"/>
        <v>0</v>
      </c>
      <c r="O63" s="44"/>
      <c r="P63" s="229"/>
      <c r="Q63" s="252" t="s">
        <v>21</v>
      </c>
      <c r="R63" s="253"/>
      <c r="S63" s="120">
        <f t="shared" ref="S63:AC63" si="209">SUM(S59:S62)</f>
        <v>0</v>
      </c>
      <c r="T63" s="120">
        <f t="shared" si="209"/>
        <v>0</v>
      </c>
      <c r="U63" s="121">
        <f t="shared" si="209"/>
        <v>0</v>
      </c>
      <c r="V63" s="122">
        <f t="shared" si="209"/>
        <v>0</v>
      </c>
      <c r="W63" s="121">
        <f t="shared" si="209"/>
        <v>0</v>
      </c>
      <c r="X63" s="120">
        <f t="shared" si="209"/>
        <v>0</v>
      </c>
      <c r="Y63" s="120">
        <f t="shared" si="209"/>
        <v>0</v>
      </c>
      <c r="Z63" s="123">
        <f t="shared" si="209"/>
        <v>0</v>
      </c>
      <c r="AA63" s="124">
        <f t="shared" si="209"/>
        <v>0</v>
      </c>
      <c r="AB63" s="124">
        <f t="shared" si="209"/>
        <v>0</v>
      </c>
      <c r="AC63" s="125">
        <f t="shared" si="209"/>
        <v>0</v>
      </c>
      <c r="AD63" s="44"/>
      <c r="AE63" s="229"/>
      <c r="AF63" s="252" t="s">
        <v>21</v>
      </c>
      <c r="AG63" s="253"/>
      <c r="AH63" s="120">
        <f t="shared" ref="AH63:AR63" si="210">SUM(AH59:AH62)</f>
        <v>0</v>
      </c>
      <c r="AI63" s="120">
        <f t="shared" si="210"/>
        <v>0</v>
      </c>
      <c r="AJ63" s="121">
        <f t="shared" si="210"/>
        <v>0</v>
      </c>
      <c r="AK63" s="122">
        <f t="shared" si="210"/>
        <v>0</v>
      </c>
      <c r="AL63" s="121">
        <f t="shared" si="210"/>
        <v>0</v>
      </c>
      <c r="AM63" s="120">
        <f t="shared" si="210"/>
        <v>0</v>
      </c>
      <c r="AN63" s="120">
        <f t="shared" si="210"/>
        <v>0</v>
      </c>
      <c r="AO63" s="123">
        <f t="shared" si="210"/>
        <v>0</v>
      </c>
      <c r="AP63" s="124">
        <f t="shared" si="210"/>
        <v>0</v>
      </c>
      <c r="AQ63" s="124">
        <f t="shared" si="210"/>
        <v>0</v>
      </c>
      <c r="AR63" s="125">
        <f t="shared" si="210"/>
        <v>0</v>
      </c>
      <c r="AS63" s="44"/>
      <c r="AT63" s="229"/>
      <c r="AU63" s="252" t="s">
        <v>21</v>
      </c>
      <c r="AV63" s="253"/>
      <c r="AW63" s="120">
        <f t="shared" ref="AW63:BG63" si="211">SUM(AW59:AW62)</f>
        <v>0</v>
      </c>
      <c r="AX63" s="120">
        <f t="shared" si="211"/>
        <v>0</v>
      </c>
      <c r="AY63" s="121">
        <f t="shared" si="211"/>
        <v>0</v>
      </c>
      <c r="AZ63" s="122">
        <f t="shared" si="211"/>
        <v>0</v>
      </c>
      <c r="BA63" s="121">
        <f t="shared" si="211"/>
        <v>0</v>
      </c>
      <c r="BB63" s="120">
        <f t="shared" si="211"/>
        <v>0</v>
      </c>
      <c r="BC63" s="120">
        <f t="shared" si="211"/>
        <v>0</v>
      </c>
      <c r="BD63" s="123">
        <f t="shared" si="211"/>
        <v>0</v>
      </c>
      <c r="BE63" s="124">
        <f t="shared" si="211"/>
        <v>0</v>
      </c>
      <c r="BF63" s="124">
        <f t="shared" si="211"/>
        <v>0</v>
      </c>
      <c r="BG63" s="125">
        <f t="shared" si="211"/>
        <v>0</v>
      </c>
      <c r="BH63" s="44"/>
      <c r="BI63" s="229"/>
      <c r="BJ63" s="252" t="s">
        <v>21</v>
      </c>
      <c r="BK63" s="253"/>
      <c r="BL63" s="120">
        <f t="shared" ref="BL63:BV63" si="212">SUM(BL59:BL62)</f>
        <v>0</v>
      </c>
      <c r="BM63" s="120">
        <f t="shared" si="212"/>
        <v>0</v>
      </c>
      <c r="BN63" s="121">
        <f t="shared" si="212"/>
        <v>0</v>
      </c>
      <c r="BO63" s="122">
        <f t="shared" si="212"/>
        <v>0</v>
      </c>
      <c r="BP63" s="121">
        <f t="shared" si="212"/>
        <v>0</v>
      </c>
      <c r="BQ63" s="120">
        <f t="shared" si="212"/>
        <v>0</v>
      </c>
      <c r="BR63" s="120">
        <f t="shared" si="212"/>
        <v>0</v>
      </c>
      <c r="BS63" s="123">
        <f t="shared" si="212"/>
        <v>0</v>
      </c>
      <c r="BT63" s="124">
        <f t="shared" si="212"/>
        <v>0</v>
      </c>
      <c r="BU63" s="124">
        <f t="shared" si="212"/>
        <v>0</v>
      </c>
      <c r="BV63" s="125">
        <f t="shared" si="212"/>
        <v>0</v>
      </c>
      <c r="BW63" s="44"/>
      <c r="BX63" s="229"/>
      <c r="BY63" s="252" t="s">
        <v>21</v>
      </c>
      <c r="BZ63" s="253"/>
      <c r="CA63" s="120">
        <f t="shared" ref="CA63:CK63" si="213">SUM(CA59:CA62)</f>
        <v>0</v>
      </c>
      <c r="CB63" s="120">
        <f t="shared" si="213"/>
        <v>0</v>
      </c>
      <c r="CC63" s="121">
        <f t="shared" si="213"/>
        <v>0</v>
      </c>
      <c r="CD63" s="122">
        <f t="shared" si="213"/>
        <v>0</v>
      </c>
      <c r="CE63" s="121">
        <f t="shared" si="213"/>
        <v>0</v>
      </c>
      <c r="CF63" s="120">
        <f t="shared" si="213"/>
        <v>0</v>
      </c>
      <c r="CG63" s="120">
        <f t="shared" si="213"/>
        <v>0</v>
      </c>
      <c r="CH63" s="123">
        <f t="shared" si="213"/>
        <v>0</v>
      </c>
      <c r="CI63" s="124">
        <f t="shared" si="213"/>
        <v>0</v>
      </c>
      <c r="CJ63" s="124">
        <f t="shared" si="213"/>
        <v>0</v>
      </c>
      <c r="CK63" s="125">
        <f t="shared" si="213"/>
        <v>0</v>
      </c>
      <c r="CL63" s="44"/>
      <c r="CM63" s="229"/>
      <c r="CN63" s="252" t="s">
        <v>21</v>
      </c>
      <c r="CO63" s="253"/>
      <c r="CP63" s="120">
        <f t="shared" ref="CP63:CZ63" si="214">SUM(CP59:CP62)</f>
        <v>0</v>
      </c>
      <c r="CQ63" s="120">
        <f t="shared" si="214"/>
        <v>0</v>
      </c>
      <c r="CR63" s="121">
        <f t="shared" si="214"/>
        <v>0</v>
      </c>
      <c r="CS63" s="122">
        <f t="shared" si="214"/>
        <v>0</v>
      </c>
      <c r="CT63" s="121">
        <f t="shared" si="214"/>
        <v>0</v>
      </c>
      <c r="CU63" s="120">
        <f t="shared" si="214"/>
        <v>0</v>
      </c>
      <c r="CV63" s="120">
        <f t="shared" si="214"/>
        <v>0</v>
      </c>
      <c r="CW63" s="123">
        <f t="shared" si="214"/>
        <v>0</v>
      </c>
      <c r="CX63" s="124">
        <f t="shared" si="214"/>
        <v>0</v>
      </c>
      <c r="CY63" s="124">
        <f t="shared" si="214"/>
        <v>0</v>
      </c>
      <c r="CZ63" s="125">
        <f t="shared" si="214"/>
        <v>0</v>
      </c>
      <c r="DA63" s="44"/>
      <c r="DB63" s="229"/>
      <c r="DC63" s="252" t="s">
        <v>21</v>
      </c>
      <c r="DD63" s="253"/>
      <c r="DE63" s="188">
        <f t="shared" ref="DE63:DO63" si="215">SUM(DE59:DE62)</f>
        <v>0</v>
      </c>
      <c r="DF63" s="188">
        <f t="shared" si="215"/>
        <v>0</v>
      </c>
      <c r="DG63" s="189">
        <f t="shared" si="215"/>
        <v>0</v>
      </c>
      <c r="DH63" s="190">
        <f t="shared" si="215"/>
        <v>0</v>
      </c>
      <c r="DI63" s="189">
        <f t="shared" si="215"/>
        <v>0</v>
      </c>
      <c r="DJ63" s="188">
        <f t="shared" si="215"/>
        <v>0</v>
      </c>
      <c r="DK63" s="188">
        <f t="shared" si="215"/>
        <v>0</v>
      </c>
      <c r="DL63" s="191">
        <f t="shared" si="215"/>
        <v>0</v>
      </c>
      <c r="DM63" s="192">
        <f t="shared" si="215"/>
        <v>0</v>
      </c>
      <c r="DN63" s="192">
        <f t="shared" si="215"/>
        <v>0</v>
      </c>
      <c r="DO63" s="193">
        <f t="shared" si="215"/>
        <v>0</v>
      </c>
      <c r="DP63" s="44"/>
      <c r="DQ63" s="229"/>
      <c r="DR63" s="252" t="s">
        <v>21</v>
      </c>
      <c r="DS63" s="253"/>
      <c r="DT63" s="120">
        <f t="shared" ref="DT63:ED63" si="216">SUM(DT59:DT62)</f>
        <v>0</v>
      </c>
      <c r="DU63" s="120">
        <f t="shared" si="216"/>
        <v>0</v>
      </c>
      <c r="DV63" s="121">
        <f t="shared" si="216"/>
        <v>0</v>
      </c>
      <c r="DW63" s="122">
        <f t="shared" si="216"/>
        <v>0</v>
      </c>
      <c r="DX63" s="121">
        <f t="shared" si="216"/>
        <v>0</v>
      </c>
      <c r="DY63" s="120">
        <f t="shared" si="216"/>
        <v>0</v>
      </c>
      <c r="DZ63" s="120">
        <f t="shared" si="216"/>
        <v>0</v>
      </c>
      <c r="EA63" s="123">
        <f t="shared" si="216"/>
        <v>0</v>
      </c>
      <c r="EB63" s="124">
        <f t="shared" si="216"/>
        <v>0</v>
      </c>
      <c r="EC63" s="124">
        <f t="shared" si="216"/>
        <v>0</v>
      </c>
      <c r="ED63" s="125">
        <f t="shared" si="216"/>
        <v>0</v>
      </c>
      <c r="EE63" s="44"/>
      <c r="EF63" s="229"/>
      <c r="EG63" s="252" t="s">
        <v>21</v>
      </c>
      <c r="EH63" s="253"/>
      <c r="EI63" s="120">
        <f t="shared" ref="EI63:ES63" si="217">SUM(EI59:EI62)</f>
        <v>0</v>
      </c>
      <c r="EJ63" s="120">
        <f t="shared" si="217"/>
        <v>0</v>
      </c>
      <c r="EK63" s="121">
        <f t="shared" si="217"/>
        <v>0</v>
      </c>
      <c r="EL63" s="122">
        <f t="shared" si="217"/>
        <v>0</v>
      </c>
      <c r="EM63" s="121">
        <f t="shared" si="217"/>
        <v>0</v>
      </c>
      <c r="EN63" s="120">
        <f t="shared" si="217"/>
        <v>0</v>
      </c>
      <c r="EO63" s="120">
        <f t="shared" si="217"/>
        <v>0</v>
      </c>
      <c r="EP63" s="123">
        <f t="shared" si="217"/>
        <v>0</v>
      </c>
      <c r="EQ63" s="124">
        <f t="shared" si="217"/>
        <v>0</v>
      </c>
      <c r="ER63" s="124">
        <f t="shared" si="217"/>
        <v>0</v>
      </c>
      <c r="ES63" s="125">
        <f t="shared" si="217"/>
        <v>0</v>
      </c>
      <c r="ET63" s="44"/>
      <c r="EU63" s="229"/>
      <c r="EV63" s="252" t="s">
        <v>21</v>
      </c>
      <c r="EW63" s="253"/>
      <c r="EX63" s="120">
        <f t="shared" ref="EX63:FH63" si="218">SUM(EX59:EX62)</f>
        <v>0</v>
      </c>
      <c r="EY63" s="120">
        <f t="shared" si="218"/>
        <v>0</v>
      </c>
      <c r="EZ63" s="121">
        <f t="shared" si="218"/>
        <v>0</v>
      </c>
      <c r="FA63" s="122">
        <f t="shared" si="218"/>
        <v>0</v>
      </c>
      <c r="FB63" s="121">
        <f t="shared" si="218"/>
        <v>0</v>
      </c>
      <c r="FC63" s="120">
        <f t="shared" si="218"/>
        <v>0</v>
      </c>
      <c r="FD63" s="120">
        <f t="shared" si="218"/>
        <v>0</v>
      </c>
      <c r="FE63" s="123">
        <f t="shared" si="218"/>
        <v>0</v>
      </c>
      <c r="FF63" s="124">
        <f t="shared" si="218"/>
        <v>0</v>
      </c>
      <c r="FG63" s="124">
        <f t="shared" si="218"/>
        <v>0</v>
      </c>
      <c r="FH63" s="125">
        <f t="shared" si="218"/>
        <v>0</v>
      </c>
      <c r="FI63" s="44"/>
      <c r="FJ63" s="229"/>
      <c r="FK63" s="252" t="s">
        <v>21</v>
      </c>
      <c r="FL63" s="253"/>
      <c r="FM63" s="120">
        <f t="shared" ref="FM63:FW63" si="219">SUM(FM59:FM62)</f>
        <v>0</v>
      </c>
      <c r="FN63" s="120">
        <f t="shared" si="219"/>
        <v>0</v>
      </c>
      <c r="FO63" s="121">
        <f t="shared" si="219"/>
        <v>0</v>
      </c>
      <c r="FP63" s="122">
        <f t="shared" si="219"/>
        <v>0</v>
      </c>
      <c r="FQ63" s="121">
        <f t="shared" si="219"/>
        <v>0</v>
      </c>
      <c r="FR63" s="120">
        <f t="shared" si="219"/>
        <v>0</v>
      </c>
      <c r="FS63" s="120">
        <f t="shared" si="219"/>
        <v>0</v>
      </c>
      <c r="FT63" s="123">
        <f t="shared" si="219"/>
        <v>0</v>
      </c>
      <c r="FU63" s="124">
        <f t="shared" si="219"/>
        <v>0</v>
      </c>
      <c r="FV63" s="124">
        <f t="shared" si="219"/>
        <v>0</v>
      </c>
      <c r="FW63" s="125">
        <f t="shared" si="219"/>
        <v>0</v>
      </c>
      <c r="FX63" s="44"/>
      <c r="FY63" s="229"/>
      <c r="FZ63" s="128" t="s">
        <v>21</v>
      </c>
      <c r="GA63" s="129"/>
      <c r="GB63" s="76">
        <f t="shared" ref="GB63:GL63" si="220">SUM(GB59:GB62)</f>
        <v>0</v>
      </c>
      <c r="GC63" s="77">
        <f t="shared" si="220"/>
        <v>0</v>
      </c>
      <c r="GD63" s="77">
        <f t="shared" si="220"/>
        <v>0</v>
      </c>
      <c r="GE63" s="77">
        <f t="shared" si="220"/>
        <v>0</v>
      </c>
      <c r="GF63" s="77">
        <f t="shared" si="220"/>
        <v>0</v>
      </c>
      <c r="GG63" s="77">
        <f t="shared" si="220"/>
        <v>0</v>
      </c>
      <c r="GH63" s="77">
        <f t="shared" si="220"/>
        <v>0</v>
      </c>
      <c r="GI63" s="77">
        <f t="shared" si="220"/>
        <v>0</v>
      </c>
      <c r="GJ63" s="77">
        <f t="shared" si="220"/>
        <v>0</v>
      </c>
      <c r="GK63" s="77">
        <f t="shared" si="220"/>
        <v>0</v>
      </c>
      <c r="GL63" s="77">
        <f t="shared" si="220"/>
        <v>0</v>
      </c>
      <c r="GM63" s="44"/>
    </row>
    <row r="64" spans="1:207" ht="17.100000000000001" customHeight="1" thickBot="1" x14ac:dyDescent="0.25">
      <c r="A64" s="230"/>
      <c r="B64" s="78" t="s">
        <v>22</v>
      </c>
      <c r="C64" s="44"/>
      <c r="D64" s="78"/>
      <c r="E64" s="44"/>
      <c r="F64" s="44"/>
      <c r="G64" s="44"/>
      <c r="H64" s="44"/>
      <c r="I64" s="44"/>
      <c r="J64" s="44"/>
      <c r="K64" s="79" t="s">
        <v>18</v>
      </c>
      <c r="L64" s="80">
        <v>0</v>
      </c>
      <c r="M64" s="79" t="s">
        <v>19</v>
      </c>
      <c r="N64" s="80">
        <v>0</v>
      </c>
      <c r="O64" s="44"/>
      <c r="P64" s="230"/>
      <c r="Q64" s="78" t="s">
        <v>22</v>
      </c>
      <c r="R64" s="44"/>
      <c r="S64" s="78"/>
      <c r="T64" s="44"/>
      <c r="U64" s="44"/>
      <c r="V64" s="44"/>
      <c r="W64" s="44"/>
      <c r="X64" s="44"/>
      <c r="Y64" s="44"/>
      <c r="Z64" s="79" t="s">
        <v>18</v>
      </c>
      <c r="AA64" s="80">
        <v>0</v>
      </c>
      <c r="AB64" s="79" t="s">
        <v>19</v>
      </c>
      <c r="AC64" s="80">
        <v>0</v>
      </c>
      <c r="AD64" s="44"/>
      <c r="AE64" s="230"/>
      <c r="AF64" s="78" t="s">
        <v>22</v>
      </c>
      <c r="AG64" s="44"/>
      <c r="AH64" s="78"/>
      <c r="AI64" s="44"/>
      <c r="AJ64" s="44"/>
      <c r="AK64" s="44"/>
      <c r="AL64" s="44"/>
      <c r="AM64" s="44"/>
      <c r="AN64" s="44"/>
      <c r="AO64" s="79" t="s">
        <v>18</v>
      </c>
      <c r="AP64" s="80">
        <v>0</v>
      </c>
      <c r="AQ64" s="79" t="s">
        <v>19</v>
      </c>
      <c r="AR64" s="80">
        <v>0</v>
      </c>
      <c r="AS64" s="44"/>
      <c r="AT64" s="230"/>
      <c r="AU64" s="78" t="s">
        <v>22</v>
      </c>
      <c r="AV64" s="44"/>
      <c r="AW64" s="78"/>
      <c r="AX64" s="44"/>
      <c r="AY64" s="44"/>
      <c r="AZ64" s="44"/>
      <c r="BA64" s="44"/>
      <c r="BB64" s="44"/>
      <c r="BC64" s="44"/>
      <c r="BD64" s="79" t="s">
        <v>18</v>
      </c>
      <c r="BE64" s="80">
        <v>0</v>
      </c>
      <c r="BF64" s="79" t="s">
        <v>19</v>
      </c>
      <c r="BG64" s="80">
        <v>0</v>
      </c>
      <c r="BH64" s="44"/>
      <c r="BI64" s="230"/>
      <c r="BJ64" s="78" t="s">
        <v>22</v>
      </c>
      <c r="BK64" s="44"/>
      <c r="BL64" s="78"/>
      <c r="BM64" s="44"/>
      <c r="BN64" s="44"/>
      <c r="BO64" s="44"/>
      <c r="BP64" s="44"/>
      <c r="BQ64" s="44"/>
      <c r="BR64" s="44"/>
      <c r="BS64" s="79" t="s">
        <v>18</v>
      </c>
      <c r="BT64" s="80">
        <v>0</v>
      </c>
      <c r="BU64" s="79" t="s">
        <v>19</v>
      </c>
      <c r="BV64" s="80">
        <v>0</v>
      </c>
      <c r="BW64" s="44"/>
      <c r="BX64" s="230"/>
      <c r="BY64" s="78" t="s">
        <v>22</v>
      </c>
      <c r="BZ64" s="44"/>
      <c r="CA64" s="78"/>
      <c r="CB64" s="44"/>
      <c r="CC64" s="44"/>
      <c r="CD64" s="44"/>
      <c r="CE64" s="44"/>
      <c r="CF64" s="44"/>
      <c r="CG64" s="44"/>
      <c r="CH64" s="79" t="s">
        <v>18</v>
      </c>
      <c r="CI64" s="80">
        <v>0</v>
      </c>
      <c r="CJ64" s="79" t="s">
        <v>19</v>
      </c>
      <c r="CK64" s="80">
        <v>0</v>
      </c>
      <c r="CL64" s="44"/>
      <c r="CM64" s="230"/>
      <c r="CN64" s="78" t="s">
        <v>22</v>
      </c>
      <c r="CO64" s="44"/>
      <c r="CP64" s="78"/>
      <c r="CQ64" s="44"/>
      <c r="CR64" s="44"/>
      <c r="CS64" s="44"/>
      <c r="CT64" s="44"/>
      <c r="CU64" s="44"/>
      <c r="CV64" s="44"/>
      <c r="CW64" s="79" t="s">
        <v>18</v>
      </c>
      <c r="CX64" s="80">
        <v>0</v>
      </c>
      <c r="CY64" s="79" t="s">
        <v>19</v>
      </c>
      <c r="CZ64" s="80">
        <v>0</v>
      </c>
      <c r="DA64" s="44"/>
      <c r="DB64" s="230"/>
      <c r="DC64" s="78" t="s">
        <v>22</v>
      </c>
      <c r="DD64" s="44"/>
      <c r="DE64" s="194"/>
      <c r="DF64" s="195"/>
      <c r="DG64" s="195"/>
      <c r="DH64" s="195"/>
      <c r="DI64" s="195"/>
      <c r="DJ64" s="195"/>
      <c r="DK64" s="195"/>
      <c r="DL64" s="196" t="s">
        <v>18</v>
      </c>
      <c r="DM64" s="197">
        <v>0</v>
      </c>
      <c r="DN64" s="196" t="s">
        <v>19</v>
      </c>
      <c r="DO64" s="197">
        <v>0</v>
      </c>
      <c r="DP64" s="44"/>
      <c r="DQ64" s="230"/>
      <c r="DR64" s="78" t="s">
        <v>22</v>
      </c>
      <c r="DS64" s="44"/>
      <c r="DT64" s="78"/>
      <c r="DU64" s="44"/>
      <c r="DV64" s="44"/>
      <c r="DW64" s="44"/>
      <c r="DX64" s="44"/>
      <c r="DY64" s="44"/>
      <c r="DZ64" s="44"/>
      <c r="EA64" s="79" t="s">
        <v>18</v>
      </c>
      <c r="EB64" s="80">
        <v>0</v>
      </c>
      <c r="EC64" s="79" t="s">
        <v>19</v>
      </c>
      <c r="ED64" s="80">
        <v>0</v>
      </c>
      <c r="EE64" s="44"/>
      <c r="EF64" s="230"/>
      <c r="EG64" s="78" t="s">
        <v>22</v>
      </c>
      <c r="EH64" s="44"/>
      <c r="EI64" s="78"/>
      <c r="EJ64" s="44"/>
      <c r="EK64" s="44"/>
      <c r="EL64" s="44"/>
      <c r="EM64" s="44"/>
      <c r="EN64" s="44"/>
      <c r="EO64" s="44"/>
      <c r="EP64" s="79" t="s">
        <v>18</v>
      </c>
      <c r="EQ64" s="80">
        <v>0</v>
      </c>
      <c r="ER64" s="79" t="s">
        <v>19</v>
      </c>
      <c r="ES64" s="80">
        <v>0</v>
      </c>
      <c r="ET64" s="44"/>
      <c r="EU64" s="230"/>
      <c r="EV64" s="78" t="s">
        <v>22</v>
      </c>
      <c r="EW64" s="44"/>
      <c r="EX64" s="78"/>
      <c r="EY64" s="44"/>
      <c r="EZ64" s="44"/>
      <c r="FA64" s="44"/>
      <c r="FB64" s="44"/>
      <c r="FC64" s="44"/>
      <c r="FD64" s="44"/>
      <c r="FE64" s="79" t="s">
        <v>18</v>
      </c>
      <c r="FF64" s="80">
        <v>0</v>
      </c>
      <c r="FG64" s="79" t="s">
        <v>19</v>
      </c>
      <c r="FH64" s="80">
        <v>0</v>
      </c>
      <c r="FI64" s="44"/>
      <c r="FJ64" s="230"/>
      <c r="FK64" s="78" t="s">
        <v>22</v>
      </c>
      <c r="FL64" s="44"/>
      <c r="FM64" s="78"/>
      <c r="FN64" s="44"/>
      <c r="FO64" s="44"/>
      <c r="FP64" s="44"/>
      <c r="FQ64" s="44"/>
      <c r="FR64" s="44"/>
      <c r="FS64" s="44"/>
      <c r="FT64" s="79" t="s">
        <v>18</v>
      </c>
      <c r="FU64" s="80">
        <v>0</v>
      </c>
      <c r="FV64" s="79" t="s">
        <v>19</v>
      </c>
      <c r="FW64" s="80">
        <v>0</v>
      </c>
      <c r="FX64" s="44"/>
      <c r="FY64" s="230"/>
      <c r="FZ64" s="78" t="s">
        <v>26</v>
      </c>
      <c r="GA64" s="44"/>
      <c r="GB64" s="81"/>
      <c r="GC64" s="82"/>
      <c r="GD64" s="82"/>
      <c r="GE64" s="82"/>
      <c r="GF64" s="82"/>
      <c r="GG64" s="82"/>
      <c r="GH64" s="82"/>
      <c r="GI64" s="83" t="s">
        <v>18</v>
      </c>
      <c r="GJ64" s="64">
        <f>(L64+AA64+AP64+BE64+BT64+CI64+CX64+DM64+EB64+EQ64+FF64+FU64)</f>
        <v>0</v>
      </c>
      <c r="GK64" s="83" t="s">
        <v>19</v>
      </c>
      <c r="GL64" s="64">
        <f>(N64+AC64+AR64+BG64+BV64+CK64+CZ64+DO64+ED64+ES64+FH64+FW64)</f>
        <v>0</v>
      </c>
      <c r="GM64" s="44"/>
    </row>
    <row r="65" spans="1:195" ht="17.100000000000001" customHeight="1" x14ac:dyDescent="0.2">
      <c r="A65" s="228">
        <v>0</v>
      </c>
      <c r="B65" s="250" t="s">
        <v>17</v>
      </c>
      <c r="C65" s="61" t="s">
        <v>18</v>
      </c>
      <c r="D65" s="111">
        <v>0</v>
      </c>
      <c r="E65" s="111">
        <v>0</v>
      </c>
      <c r="F65" s="111">
        <v>0</v>
      </c>
      <c r="G65" s="111">
        <v>0</v>
      </c>
      <c r="H65" s="111">
        <v>0</v>
      </c>
      <c r="I65" s="111">
        <v>0</v>
      </c>
      <c r="J65" s="111">
        <v>0</v>
      </c>
      <c r="K65" s="111">
        <v>0</v>
      </c>
      <c r="L65" s="112">
        <v>0</v>
      </c>
      <c r="M65" s="112">
        <v>0</v>
      </c>
      <c r="N65" s="113">
        <v>0</v>
      </c>
      <c r="O65" s="44"/>
      <c r="P65" s="228">
        <v>0</v>
      </c>
      <c r="Q65" s="250" t="s">
        <v>17</v>
      </c>
      <c r="R65" s="61" t="s">
        <v>18</v>
      </c>
      <c r="S65" s="111">
        <v>0</v>
      </c>
      <c r="T65" s="111">
        <v>0</v>
      </c>
      <c r="U65" s="111">
        <v>0</v>
      </c>
      <c r="V65" s="111">
        <v>0</v>
      </c>
      <c r="W65" s="111">
        <v>0</v>
      </c>
      <c r="X65" s="111">
        <v>0</v>
      </c>
      <c r="Y65" s="111">
        <v>0</v>
      </c>
      <c r="Z65" s="111">
        <v>0</v>
      </c>
      <c r="AA65" s="112">
        <v>0</v>
      </c>
      <c r="AB65" s="112">
        <v>0</v>
      </c>
      <c r="AC65" s="113">
        <v>0</v>
      </c>
      <c r="AD65" s="44"/>
      <c r="AE65" s="228">
        <v>0</v>
      </c>
      <c r="AF65" s="250" t="s">
        <v>17</v>
      </c>
      <c r="AG65" s="61" t="s">
        <v>18</v>
      </c>
      <c r="AH65" s="111">
        <v>0</v>
      </c>
      <c r="AI65" s="111">
        <v>0</v>
      </c>
      <c r="AJ65" s="111">
        <v>0</v>
      </c>
      <c r="AK65" s="111">
        <v>0</v>
      </c>
      <c r="AL65" s="111">
        <v>0</v>
      </c>
      <c r="AM65" s="111">
        <v>0</v>
      </c>
      <c r="AN65" s="111">
        <v>0</v>
      </c>
      <c r="AO65" s="111">
        <v>0</v>
      </c>
      <c r="AP65" s="112">
        <v>0</v>
      </c>
      <c r="AQ65" s="112">
        <v>0</v>
      </c>
      <c r="AR65" s="113">
        <v>0</v>
      </c>
      <c r="AS65" s="44"/>
      <c r="AT65" s="228">
        <v>0</v>
      </c>
      <c r="AU65" s="250" t="s">
        <v>17</v>
      </c>
      <c r="AV65" s="61" t="s">
        <v>18</v>
      </c>
      <c r="AW65" s="111">
        <v>0</v>
      </c>
      <c r="AX65" s="111">
        <v>0</v>
      </c>
      <c r="AY65" s="111">
        <v>0</v>
      </c>
      <c r="AZ65" s="111">
        <v>0</v>
      </c>
      <c r="BA65" s="111">
        <v>0</v>
      </c>
      <c r="BB65" s="111">
        <v>0</v>
      </c>
      <c r="BC65" s="111">
        <v>0</v>
      </c>
      <c r="BD65" s="111">
        <v>0</v>
      </c>
      <c r="BE65" s="112">
        <v>0</v>
      </c>
      <c r="BF65" s="112">
        <v>0</v>
      </c>
      <c r="BG65" s="113">
        <v>0</v>
      </c>
      <c r="BH65" s="44"/>
      <c r="BI65" s="228">
        <v>0</v>
      </c>
      <c r="BJ65" s="250" t="s">
        <v>17</v>
      </c>
      <c r="BK65" s="61" t="s">
        <v>18</v>
      </c>
      <c r="BL65" s="111">
        <v>0</v>
      </c>
      <c r="BM65" s="111">
        <v>0</v>
      </c>
      <c r="BN65" s="111">
        <v>0</v>
      </c>
      <c r="BO65" s="111">
        <v>0</v>
      </c>
      <c r="BP65" s="111">
        <v>0</v>
      </c>
      <c r="BQ65" s="111">
        <v>0</v>
      </c>
      <c r="BR65" s="111">
        <v>0</v>
      </c>
      <c r="BS65" s="111">
        <v>0</v>
      </c>
      <c r="BT65" s="112">
        <v>0</v>
      </c>
      <c r="BU65" s="112">
        <v>0</v>
      </c>
      <c r="BV65" s="113">
        <v>0</v>
      </c>
      <c r="BW65" s="44"/>
      <c r="BX65" s="228">
        <v>0</v>
      </c>
      <c r="BY65" s="250" t="s">
        <v>17</v>
      </c>
      <c r="BZ65" s="61" t="s">
        <v>18</v>
      </c>
      <c r="CA65" s="111">
        <v>0</v>
      </c>
      <c r="CB65" s="111">
        <v>0</v>
      </c>
      <c r="CC65" s="111">
        <v>0</v>
      </c>
      <c r="CD65" s="111">
        <v>0</v>
      </c>
      <c r="CE65" s="111">
        <v>0</v>
      </c>
      <c r="CF65" s="111">
        <v>0</v>
      </c>
      <c r="CG65" s="111">
        <v>0</v>
      </c>
      <c r="CH65" s="111">
        <v>0</v>
      </c>
      <c r="CI65" s="112">
        <v>0</v>
      </c>
      <c r="CJ65" s="112">
        <v>0</v>
      </c>
      <c r="CK65" s="113">
        <v>0</v>
      </c>
      <c r="CL65" s="44"/>
      <c r="CM65" s="228">
        <v>0</v>
      </c>
      <c r="CN65" s="250" t="s">
        <v>17</v>
      </c>
      <c r="CO65" s="61" t="s">
        <v>18</v>
      </c>
      <c r="CP65" s="111">
        <v>0</v>
      </c>
      <c r="CQ65" s="111">
        <v>0</v>
      </c>
      <c r="CR65" s="111">
        <v>0</v>
      </c>
      <c r="CS65" s="111">
        <v>0</v>
      </c>
      <c r="CT65" s="111">
        <v>0</v>
      </c>
      <c r="CU65" s="111">
        <v>0</v>
      </c>
      <c r="CV65" s="111">
        <v>0</v>
      </c>
      <c r="CW65" s="111">
        <v>0</v>
      </c>
      <c r="CX65" s="112">
        <v>0</v>
      </c>
      <c r="CY65" s="112">
        <v>0</v>
      </c>
      <c r="CZ65" s="113">
        <v>0</v>
      </c>
      <c r="DA65" s="44"/>
      <c r="DB65" s="228">
        <v>0</v>
      </c>
      <c r="DC65" s="250" t="s">
        <v>17</v>
      </c>
      <c r="DD65" s="61" t="s">
        <v>18</v>
      </c>
      <c r="DE65" s="179">
        <v>0</v>
      </c>
      <c r="DF65" s="179">
        <v>0</v>
      </c>
      <c r="DG65" s="179">
        <v>0</v>
      </c>
      <c r="DH65" s="179">
        <v>0</v>
      </c>
      <c r="DI65" s="179">
        <v>0</v>
      </c>
      <c r="DJ65" s="179">
        <v>0</v>
      </c>
      <c r="DK65" s="179">
        <v>0</v>
      </c>
      <c r="DL65" s="179">
        <v>0</v>
      </c>
      <c r="DM65" s="180">
        <v>0</v>
      </c>
      <c r="DN65" s="180">
        <v>0</v>
      </c>
      <c r="DO65" s="181">
        <v>0</v>
      </c>
      <c r="DP65" s="44"/>
      <c r="DQ65" s="228">
        <v>0</v>
      </c>
      <c r="DR65" s="250" t="s">
        <v>17</v>
      </c>
      <c r="DS65" s="61" t="s">
        <v>18</v>
      </c>
      <c r="DT65" s="111">
        <v>0</v>
      </c>
      <c r="DU65" s="111">
        <v>0</v>
      </c>
      <c r="DV65" s="111">
        <v>0</v>
      </c>
      <c r="DW65" s="111">
        <v>0</v>
      </c>
      <c r="DX65" s="111">
        <v>0</v>
      </c>
      <c r="DY65" s="111">
        <v>0</v>
      </c>
      <c r="DZ65" s="111">
        <v>0</v>
      </c>
      <c r="EA65" s="111">
        <v>0</v>
      </c>
      <c r="EB65" s="112">
        <v>0</v>
      </c>
      <c r="EC65" s="112">
        <v>0</v>
      </c>
      <c r="ED65" s="113">
        <v>0</v>
      </c>
      <c r="EE65" s="44"/>
      <c r="EF65" s="228">
        <v>0</v>
      </c>
      <c r="EG65" s="250" t="s">
        <v>17</v>
      </c>
      <c r="EH65" s="61" t="s">
        <v>18</v>
      </c>
      <c r="EI65" s="111">
        <v>0</v>
      </c>
      <c r="EJ65" s="111">
        <v>0</v>
      </c>
      <c r="EK65" s="111">
        <v>0</v>
      </c>
      <c r="EL65" s="111">
        <v>0</v>
      </c>
      <c r="EM65" s="111">
        <v>0</v>
      </c>
      <c r="EN65" s="111">
        <v>0</v>
      </c>
      <c r="EO65" s="111">
        <v>0</v>
      </c>
      <c r="EP65" s="111">
        <v>0</v>
      </c>
      <c r="EQ65" s="112">
        <v>0</v>
      </c>
      <c r="ER65" s="112">
        <v>0</v>
      </c>
      <c r="ES65" s="113">
        <v>0</v>
      </c>
      <c r="ET65" s="44"/>
      <c r="EU65" s="228">
        <v>0</v>
      </c>
      <c r="EV65" s="250" t="s">
        <v>17</v>
      </c>
      <c r="EW65" s="61" t="s">
        <v>18</v>
      </c>
      <c r="EX65" s="111">
        <v>0</v>
      </c>
      <c r="EY65" s="111">
        <v>0</v>
      </c>
      <c r="EZ65" s="111">
        <v>0</v>
      </c>
      <c r="FA65" s="111">
        <v>0</v>
      </c>
      <c r="FB65" s="111">
        <v>0</v>
      </c>
      <c r="FC65" s="111">
        <v>0</v>
      </c>
      <c r="FD65" s="111">
        <v>0</v>
      </c>
      <c r="FE65" s="111">
        <v>0</v>
      </c>
      <c r="FF65" s="112">
        <v>0</v>
      </c>
      <c r="FG65" s="112">
        <v>0</v>
      </c>
      <c r="FH65" s="113">
        <v>0</v>
      </c>
      <c r="FI65" s="44"/>
      <c r="FJ65" s="228">
        <v>0</v>
      </c>
      <c r="FK65" s="250" t="s">
        <v>17</v>
      </c>
      <c r="FL65" s="61" t="s">
        <v>18</v>
      </c>
      <c r="FM65" s="111">
        <v>0</v>
      </c>
      <c r="FN65" s="111">
        <v>0</v>
      </c>
      <c r="FO65" s="111">
        <v>0</v>
      </c>
      <c r="FP65" s="111">
        <v>0</v>
      </c>
      <c r="FQ65" s="111">
        <v>0</v>
      </c>
      <c r="FR65" s="111">
        <v>0</v>
      </c>
      <c r="FS65" s="111">
        <v>0</v>
      </c>
      <c r="FT65" s="111">
        <v>0</v>
      </c>
      <c r="FU65" s="112">
        <v>0</v>
      </c>
      <c r="FV65" s="112">
        <v>0</v>
      </c>
      <c r="FW65" s="113">
        <v>0</v>
      </c>
      <c r="FX65" s="44"/>
      <c r="FY65" s="228">
        <f>(FJ65)</f>
        <v>0</v>
      </c>
      <c r="FZ65" s="126" t="s">
        <v>17</v>
      </c>
      <c r="GA65" s="62" t="s">
        <v>18</v>
      </c>
      <c r="GB65" s="63">
        <f>SUM(FM65)</f>
        <v>0</v>
      </c>
      <c r="GC65" s="64">
        <f t="shared" ref="GC65:GC68" si="221">(E65+T65+AI65+AX65+BM65+CB65+CQ65+DF65+DU65+EJ65+EY65+FN65)</f>
        <v>0</v>
      </c>
      <c r="GD65" s="64">
        <f t="shared" ref="GD65:GD68" si="222">(F65+U65+AJ65+AY65+BN65+CC65+CR65+DG65+DV65+EK65+EZ65+FO65)</f>
        <v>0</v>
      </c>
      <c r="GE65" s="64">
        <f t="shared" ref="GE65:GE68" si="223">SUM(FP65)</f>
        <v>0</v>
      </c>
      <c r="GF65" s="64">
        <f t="shared" ref="GF65:GF68" si="224">SUM(FQ65)</f>
        <v>0</v>
      </c>
      <c r="GG65" s="64">
        <f t="shared" ref="GG65:GG68" si="225">SUM(FR65)</f>
        <v>0</v>
      </c>
      <c r="GH65" s="64">
        <f t="shared" ref="GH65:GH68" si="226">(J65+Y65+AN65+BC65+BR65+CG65+CV65+DK65+DZ65+EO65+FD65+FS65)</f>
        <v>0</v>
      </c>
      <c r="GI65" s="64">
        <f t="shared" ref="GI65:GI68" si="227">(K65+Z65+AO65+BD65+BS65+CH65+CW65+DL65+EA65+EP65+FE65+FT65)</f>
        <v>0</v>
      </c>
      <c r="GJ65" s="64">
        <f t="shared" ref="GJ65:GJ68" si="228">(L65+AA65+AP65+BE65+BT65+CI65+CX65+DM65+EB65+EQ65+FF65+FU65)</f>
        <v>0</v>
      </c>
      <c r="GK65" s="64">
        <f t="shared" ref="GK65:GK68" si="229">(M65+AB65+AQ65+BF65+BU65+CJ65+CY65+DN65+EC65+ER65+FG65+FV65)</f>
        <v>0</v>
      </c>
      <c r="GL65" s="64">
        <f t="shared" ref="GL65:GL68" si="230">(N65+AC65+AR65+BG65+BV65+CK65+CZ65+DO65+ED65+ES65+FH65+FW65)</f>
        <v>0</v>
      </c>
      <c r="GM65" s="44"/>
    </row>
    <row r="66" spans="1:195" ht="17.100000000000001" customHeight="1" thickBot="1" x14ac:dyDescent="0.25">
      <c r="A66" s="229"/>
      <c r="B66" s="251"/>
      <c r="C66" s="65" t="s">
        <v>19</v>
      </c>
      <c r="D66" s="114">
        <v>0</v>
      </c>
      <c r="E66" s="114">
        <v>0</v>
      </c>
      <c r="F66" s="114">
        <v>0</v>
      </c>
      <c r="G66" s="114">
        <v>0</v>
      </c>
      <c r="H66" s="114">
        <v>0</v>
      </c>
      <c r="I66" s="114">
        <v>0</v>
      </c>
      <c r="J66" s="114">
        <v>0</v>
      </c>
      <c r="K66" s="114">
        <v>0</v>
      </c>
      <c r="L66" s="115">
        <v>0</v>
      </c>
      <c r="M66" s="115">
        <v>0</v>
      </c>
      <c r="N66" s="116">
        <v>0</v>
      </c>
      <c r="O66" s="44"/>
      <c r="P66" s="229"/>
      <c r="Q66" s="251"/>
      <c r="R66" s="65" t="s">
        <v>19</v>
      </c>
      <c r="S66" s="114">
        <v>0</v>
      </c>
      <c r="T66" s="114">
        <v>0</v>
      </c>
      <c r="U66" s="114">
        <v>0</v>
      </c>
      <c r="V66" s="114">
        <v>0</v>
      </c>
      <c r="W66" s="114">
        <v>0</v>
      </c>
      <c r="X66" s="114">
        <v>0</v>
      </c>
      <c r="Y66" s="114">
        <v>0</v>
      </c>
      <c r="Z66" s="114">
        <v>0</v>
      </c>
      <c r="AA66" s="115">
        <v>0</v>
      </c>
      <c r="AB66" s="115">
        <v>0</v>
      </c>
      <c r="AC66" s="116">
        <v>0</v>
      </c>
      <c r="AD66" s="44"/>
      <c r="AE66" s="229"/>
      <c r="AF66" s="251"/>
      <c r="AG66" s="65" t="s">
        <v>19</v>
      </c>
      <c r="AH66" s="114">
        <v>0</v>
      </c>
      <c r="AI66" s="114">
        <v>0</v>
      </c>
      <c r="AJ66" s="114">
        <v>0</v>
      </c>
      <c r="AK66" s="114">
        <v>0</v>
      </c>
      <c r="AL66" s="114">
        <v>0</v>
      </c>
      <c r="AM66" s="114">
        <v>0</v>
      </c>
      <c r="AN66" s="114">
        <v>0</v>
      </c>
      <c r="AO66" s="114">
        <v>0</v>
      </c>
      <c r="AP66" s="115">
        <v>0</v>
      </c>
      <c r="AQ66" s="115">
        <v>0</v>
      </c>
      <c r="AR66" s="116">
        <v>0</v>
      </c>
      <c r="AS66" s="44"/>
      <c r="AT66" s="229"/>
      <c r="AU66" s="251"/>
      <c r="AV66" s="65" t="s">
        <v>19</v>
      </c>
      <c r="AW66" s="114">
        <v>0</v>
      </c>
      <c r="AX66" s="114">
        <v>0</v>
      </c>
      <c r="AY66" s="114">
        <v>0</v>
      </c>
      <c r="AZ66" s="114">
        <v>0</v>
      </c>
      <c r="BA66" s="114">
        <v>0</v>
      </c>
      <c r="BB66" s="114">
        <v>0</v>
      </c>
      <c r="BC66" s="114">
        <v>0</v>
      </c>
      <c r="BD66" s="114">
        <v>0</v>
      </c>
      <c r="BE66" s="115">
        <v>0</v>
      </c>
      <c r="BF66" s="115">
        <v>0</v>
      </c>
      <c r="BG66" s="116">
        <v>0</v>
      </c>
      <c r="BH66" s="44"/>
      <c r="BI66" s="229"/>
      <c r="BJ66" s="251"/>
      <c r="BK66" s="65" t="s">
        <v>19</v>
      </c>
      <c r="BL66" s="114">
        <v>0</v>
      </c>
      <c r="BM66" s="114">
        <v>0</v>
      </c>
      <c r="BN66" s="114">
        <v>0</v>
      </c>
      <c r="BO66" s="114">
        <v>0</v>
      </c>
      <c r="BP66" s="114">
        <v>0</v>
      </c>
      <c r="BQ66" s="114">
        <v>0</v>
      </c>
      <c r="BR66" s="114">
        <v>0</v>
      </c>
      <c r="BS66" s="114">
        <v>0</v>
      </c>
      <c r="BT66" s="115">
        <v>0</v>
      </c>
      <c r="BU66" s="115">
        <v>0</v>
      </c>
      <c r="BV66" s="116">
        <v>0</v>
      </c>
      <c r="BW66" s="44"/>
      <c r="BX66" s="229"/>
      <c r="BY66" s="251"/>
      <c r="BZ66" s="65" t="s">
        <v>19</v>
      </c>
      <c r="CA66" s="114">
        <v>0</v>
      </c>
      <c r="CB66" s="114">
        <v>0</v>
      </c>
      <c r="CC66" s="114">
        <v>0</v>
      </c>
      <c r="CD66" s="114">
        <v>0</v>
      </c>
      <c r="CE66" s="114">
        <v>0</v>
      </c>
      <c r="CF66" s="114">
        <v>0</v>
      </c>
      <c r="CG66" s="114">
        <v>0</v>
      </c>
      <c r="CH66" s="114">
        <v>0</v>
      </c>
      <c r="CI66" s="115">
        <v>0</v>
      </c>
      <c r="CJ66" s="115">
        <v>0</v>
      </c>
      <c r="CK66" s="116">
        <v>0</v>
      </c>
      <c r="CL66" s="44"/>
      <c r="CM66" s="229"/>
      <c r="CN66" s="251"/>
      <c r="CO66" s="65" t="s">
        <v>19</v>
      </c>
      <c r="CP66" s="114">
        <v>0</v>
      </c>
      <c r="CQ66" s="114">
        <v>0</v>
      </c>
      <c r="CR66" s="114">
        <v>0</v>
      </c>
      <c r="CS66" s="114">
        <v>0</v>
      </c>
      <c r="CT66" s="114">
        <v>0</v>
      </c>
      <c r="CU66" s="114">
        <v>0</v>
      </c>
      <c r="CV66" s="114">
        <v>0</v>
      </c>
      <c r="CW66" s="114">
        <v>0</v>
      </c>
      <c r="CX66" s="115">
        <v>0</v>
      </c>
      <c r="CY66" s="115">
        <v>0</v>
      </c>
      <c r="CZ66" s="116">
        <v>0</v>
      </c>
      <c r="DA66" s="44"/>
      <c r="DB66" s="229"/>
      <c r="DC66" s="251"/>
      <c r="DD66" s="65" t="s">
        <v>19</v>
      </c>
      <c r="DE66" s="182">
        <v>0</v>
      </c>
      <c r="DF66" s="182">
        <v>0</v>
      </c>
      <c r="DG66" s="182">
        <v>0</v>
      </c>
      <c r="DH66" s="182">
        <v>0</v>
      </c>
      <c r="DI66" s="182">
        <v>0</v>
      </c>
      <c r="DJ66" s="182">
        <v>0</v>
      </c>
      <c r="DK66" s="182">
        <v>0</v>
      </c>
      <c r="DL66" s="182">
        <v>0</v>
      </c>
      <c r="DM66" s="183">
        <v>0</v>
      </c>
      <c r="DN66" s="183">
        <v>0</v>
      </c>
      <c r="DO66" s="184">
        <v>0</v>
      </c>
      <c r="DP66" s="44"/>
      <c r="DQ66" s="229"/>
      <c r="DR66" s="251"/>
      <c r="DS66" s="65" t="s">
        <v>19</v>
      </c>
      <c r="DT66" s="114">
        <v>0</v>
      </c>
      <c r="DU66" s="114">
        <v>0</v>
      </c>
      <c r="DV66" s="114">
        <v>0</v>
      </c>
      <c r="DW66" s="114">
        <v>0</v>
      </c>
      <c r="DX66" s="114">
        <v>0</v>
      </c>
      <c r="DY66" s="114">
        <v>0</v>
      </c>
      <c r="DZ66" s="114">
        <v>0</v>
      </c>
      <c r="EA66" s="114">
        <v>0</v>
      </c>
      <c r="EB66" s="115">
        <v>0</v>
      </c>
      <c r="EC66" s="115">
        <v>0</v>
      </c>
      <c r="ED66" s="116">
        <v>0</v>
      </c>
      <c r="EE66" s="44"/>
      <c r="EF66" s="229"/>
      <c r="EG66" s="251"/>
      <c r="EH66" s="65" t="s">
        <v>19</v>
      </c>
      <c r="EI66" s="114">
        <v>0</v>
      </c>
      <c r="EJ66" s="114">
        <v>0</v>
      </c>
      <c r="EK66" s="114">
        <v>0</v>
      </c>
      <c r="EL66" s="114">
        <v>0</v>
      </c>
      <c r="EM66" s="114">
        <v>0</v>
      </c>
      <c r="EN66" s="114">
        <v>0</v>
      </c>
      <c r="EO66" s="114">
        <v>0</v>
      </c>
      <c r="EP66" s="114">
        <v>0</v>
      </c>
      <c r="EQ66" s="115">
        <v>0</v>
      </c>
      <c r="ER66" s="115">
        <v>0</v>
      </c>
      <c r="ES66" s="116">
        <v>0</v>
      </c>
      <c r="ET66" s="44"/>
      <c r="EU66" s="229"/>
      <c r="EV66" s="251"/>
      <c r="EW66" s="65" t="s">
        <v>19</v>
      </c>
      <c r="EX66" s="114">
        <v>0</v>
      </c>
      <c r="EY66" s="114">
        <v>0</v>
      </c>
      <c r="EZ66" s="114">
        <v>0</v>
      </c>
      <c r="FA66" s="114">
        <v>0</v>
      </c>
      <c r="FB66" s="114">
        <v>0</v>
      </c>
      <c r="FC66" s="114">
        <v>0</v>
      </c>
      <c r="FD66" s="114">
        <v>0</v>
      </c>
      <c r="FE66" s="114">
        <v>0</v>
      </c>
      <c r="FF66" s="115">
        <v>0</v>
      </c>
      <c r="FG66" s="115">
        <v>0</v>
      </c>
      <c r="FH66" s="116">
        <v>0</v>
      </c>
      <c r="FI66" s="44"/>
      <c r="FJ66" s="229"/>
      <c r="FK66" s="251"/>
      <c r="FL66" s="65" t="s">
        <v>19</v>
      </c>
      <c r="FM66" s="114">
        <v>0</v>
      </c>
      <c r="FN66" s="114">
        <v>0</v>
      </c>
      <c r="FO66" s="114">
        <v>0</v>
      </c>
      <c r="FP66" s="114">
        <v>0</v>
      </c>
      <c r="FQ66" s="114">
        <v>0</v>
      </c>
      <c r="FR66" s="114">
        <v>0</v>
      </c>
      <c r="FS66" s="114">
        <v>0</v>
      </c>
      <c r="FT66" s="114">
        <v>0</v>
      </c>
      <c r="FU66" s="115">
        <v>0</v>
      </c>
      <c r="FV66" s="115">
        <v>0</v>
      </c>
      <c r="FW66" s="116">
        <v>0</v>
      </c>
      <c r="FX66" s="44"/>
      <c r="FY66" s="229"/>
      <c r="FZ66" s="127"/>
      <c r="GA66" s="66" t="s">
        <v>19</v>
      </c>
      <c r="GB66" s="67">
        <f>SUM(FM66)</f>
        <v>0</v>
      </c>
      <c r="GC66" s="68">
        <f t="shared" si="221"/>
        <v>0</v>
      </c>
      <c r="GD66" s="68">
        <f t="shared" si="222"/>
        <v>0</v>
      </c>
      <c r="GE66" s="68">
        <f t="shared" si="223"/>
        <v>0</v>
      </c>
      <c r="GF66" s="68">
        <f t="shared" si="224"/>
        <v>0</v>
      </c>
      <c r="GG66" s="68">
        <f t="shared" si="225"/>
        <v>0</v>
      </c>
      <c r="GH66" s="68">
        <f t="shared" si="226"/>
        <v>0</v>
      </c>
      <c r="GI66" s="68">
        <f t="shared" si="227"/>
        <v>0</v>
      </c>
      <c r="GJ66" s="68">
        <f t="shared" si="228"/>
        <v>0</v>
      </c>
      <c r="GK66" s="68">
        <f t="shared" si="229"/>
        <v>0</v>
      </c>
      <c r="GL66" s="68">
        <f t="shared" si="230"/>
        <v>0</v>
      </c>
      <c r="GM66" s="44"/>
    </row>
    <row r="67" spans="1:195" ht="17.100000000000001" customHeight="1" x14ac:dyDescent="0.2">
      <c r="A67" s="229"/>
      <c r="B67" s="69" t="s">
        <v>20</v>
      </c>
      <c r="C67" s="70" t="s">
        <v>18</v>
      </c>
      <c r="D67" s="111">
        <v>0</v>
      </c>
      <c r="E67" s="111">
        <v>0</v>
      </c>
      <c r="F67" s="111">
        <v>0</v>
      </c>
      <c r="G67" s="111">
        <v>0</v>
      </c>
      <c r="H67" s="111">
        <v>0</v>
      </c>
      <c r="I67" s="111">
        <v>0</v>
      </c>
      <c r="J67" s="111">
        <v>0</v>
      </c>
      <c r="K67" s="117">
        <v>0</v>
      </c>
      <c r="L67" s="118">
        <v>0</v>
      </c>
      <c r="M67" s="118">
        <v>0</v>
      </c>
      <c r="N67" s="119">
        <v>0</v>
      </c>
      <c r="O67" s="44"/>
      <c r="P67" s="229"/>
      <c r="Q67" s="69" t="s">
        <v>20</v>
      </c>
      <c r="R67" s="70" t="s">
        <v>18</v>
      </c>
      <c r="S67" s="111">
        <v>0</v>
      </c>
      <c r="T67" s="111">
        <v>0</v>
      </c>
      <c r="U67" s="111">
        <v>0</v>
      </c>
      <c r="V67" s="111">
        <v>0</v>
      </c>
      <c r="W67" s="111">
        <v>0</v>
      </c>
      <c r="X67" s="111">
        <v>0</v>
      </c>
      <c r="Y67" s="111">
        <v>0</v>
      </c>
      <c r="Z67" s="117">
        <v>0</v>
      </c>
      <c r="AA67" s="118">
        <v>0</v>
      </c>
      <c r="AB67" s="118">
        <v>0</v>
      </c>
      <c r="AC67" s="119">
        <v>0</v>
      </c>
      <c r="AD67" s="44"/>
      <c r="AE67" s="229"/>
      <c r="AF67" s="69" t="s">
        <v>20</v>
      </c>
      <c r="AG67" s="70" t="s">
        <v>18</v>
      </c>
      <c r="AH67" s="111">
        <v>0</v>
      </c>
      <c r="AI67" s="111">
        <v>0</v>
      </c>
      <c r="AJ67" s="111">
        <v>0</v>
      </c>
      <c r="AK67" s="111">
        <v>0</v>
      </c>
      <c r="AL67" s="111">
        <v>0</v>
      </c>
      <c r="AM67" s="111">
        <v>0</v>
      </c>
      <c r="AN67" s="111">
        <v>0</v>
      </c>
      <c r="AO67" s="117">
        <v>0</v>
      </c>
      <c r="AP67" s="118">
        <v>0</v>
      </c>
      <c r="AQ67" s="118">
        <v>0</v>
      </c>
      <c r="AR67" s="119">
        <v>0</v>
      </c>
      <c r="AS67" s="44"/>
      <c r="AT67" s="229"/>
      <c r="AU67" s="69" t="s">
        <v>20</v>
      </c>
      <c r="AV67" s="70" t="s">
        <v>18</v>
      </c>
      <c r="AW67" s="111">
        <v>0</v>
      </c>
      <c r="AX67" s="111">
        <v>0</v>
      </c>
      <c r="AY67" s="111">
        <v>0</v>
      </c>
      <c r="AZ67" s="111">
        <v>0</v>
      </c>
      <c r="BA67" s="111">
        <v>0</v>
      </c>
      <c r="BB67" s="111">
        <v>0</v>
      </c>
      <c r="BC67" s="111">
        <v>0</v>
      </c>
      <c r="BD67" s="117">
        <v>0</v>
      </c>
      <c r="BE67" s="118">
        <v>0</v>
      </c>
      <c r="BF67" s="118">
        <v>0</v>
      </c>
      <c r="BG67" s="119">
        <v>0</v>
      </c>
      <c r="BH67" s="44"/>
      <c r="BI67" s="229"/>
      <c r="BJ67" s="69" t="s">
        <v>20</v>
      </c>
      <c r="BK67" s="70" t="s">
        <v>18</v>
      </c>
      <c r="BL67" s="111">
        <v>0</v>
      </c>
      <c r="BM67" s="111">
        <v>0</v>
      </c>
      <c r="BN67" s="111">
        <v>0</v>
      </c>
      <c r="BO67" s="111">
        <v>0</v>
      </c>
      <c r="BP67" s="111">
        <v>0</v>
      </c>
      <c r="BQ67" s="111">
        <v>0</v>
      </c>
      <c r="BR67" s="111">
        <v>0</v>
      </c>
      <c r="BS67" s="117">
        <v>0</v>
      </c>
      <c r="BT67" s="118">
        <v>0</v>
      </c>
      <c r="BU67" s="118">
        <v>0</v>
      </c>
      <c r="BV67" s="119">
        <v>0</v>
      </c>
      <c r="BW67" s="44"/>
      <c r="BX67" s="229"/>
      <c r="BY67" s="69" t="s">
        <v>20</v>
      </c>
      <c r="BZ67" s="70" t="s">
        <v>18</v>
      </c>
      <c r="CA67" s="111">
        <v>0</v>
      </c>
      <c r="CB67" s="111">
        <v>0</v>
      </c>
      <c r="CC67" s="111">
        <v>0</v>
      </c>
      <c r="CD67" s="111">
        <v>0</v>
      </c>
      <c r="CE67" s="111">
        <v>0</v>
      </c>
      <c r="CF67" s="111">
        <v>0</v>
      </c>
      <c r="CG67" s="111">
        <v>0</v>
      </c>
      <c r="CH67" s="117">
        <v>0</v>
      </c>
      <c r="CI67" s="118">
        <v>0</v>
      </c>
      <c r="CJ67" s="118">
        <v>0</v>
      </c>
      <c r="CK67" s="119">
        <v>0</v>
      </c>
      <c r="CL67" s="44"/>
      <c r="CM67" s="229"/>
      <c r="CN67" s="69" t="s">
        <v>20</v>
      </c>
      <c r="CO67" s="70" t="s">
        <v>18</v>
      </c>
      <c r="CP67" s="111">
        <v>0</v>
      </c>
      <c r="CQ67" s="111">
        <v>0</v>
      </c>
      <c r="CR67" s="111">
        <v>0</v>
      </c>
      <c r="CS67" s="111">
        <v>0</v>
      </c>
      <c r="CT67" s="111">
        <v>0</v>
      </c>
      <c r="CU67" s="111">
        <v>0</v>
      </c>
      <c r="CV67" s="111">
        <v>0</v>
      </c>
      <c r="CW67" s="117">
        <v>0</v>
      </c>
      <c r="CX67" s="118">
        <v>0</v>
      </c>
      <c r="CY67" s="118">
        <v>0</v>
      </c>
      <c r="CZ67" s="119">
        <v>0</v>
      </c>
      <c r="DA67" s="44"/>
      <c r="DB67" s="229"/>
      <c r="DC67" s="69" t="s">
        <v>20</v>
      </c>
      <c r="DD67" s="70" t="s">
        <v>18</v>
      </c>
      <c r="DE67" s="179">
        <v>0</v>
      </c>
      <c r="DF67" s="179">
        <v>0</v>
      </c>
      <c r="DG67" s="179">
        <v>0</v>
      </c>
      <c r="DH67" s="179">
        <v>0</v>
      </c>
      <c r="DI67" s="179">
        <v>0</v>
      </c>
      <c r="DJ67" s="179">
        <v>0</v>
      </c>
      <c r="DK67" s="179">
        <v>0</v>
      </c>
      <c r="DL67" s="185">
        <v>0</v>
      </c>
      <c r="DM67" s="186">
        <v>0</v>
      </c>
      <c r="DN67" s="186">
        <v>0</v>
      </c>
      <c r="DO67" s="187">
        <v>0</v>
      </c>
      <c r="DP67" s="44"/>
      <c r="DQ67" s="229"/>
      <c r="DR67" s="69" t="s">
        <v>20</v>
      </c>
      <c r="DS67" s="70" t="s">
        <v>18</v>
      </c>
      <c r="DT67" s="111">
        <v>0</v>
      </c>
      <c r="DU67" s="111">
        <v>0</v>
      </c>
      <c r="DV67" s="111">
        <v>0</v>
      </c>
      <c r="DW67" s="111">
        <v>0</v>
      </c>
      <c r="DX67" s="111">
        <v>0</v>
      </c>
      <c r="DY67" s="111">
        <v>0</v>
      </c>
      <c r="DZ67" s="111">
        <v>0</v>
      </c>
      <c r="EA67" s="117">
        <v>0</v>
      </c>
      <c r="EB67" s="118">
        <v>0</v>
      </c>
      <c r="EC67" s="118">
        <v>0</v>
      </c>
      <c r="ED67" s="119">
        <v>0</v>
      </c>
      <c r="EE67" s="44"/>
      <c r="EF67" s="229"/>
      <c r="EG67" s="69" t="s">
        <v>20</v>
      </c>
      <c r="EH67" s="70" t="s">
        <v>18</v>
      </c>
      <c r="EI67" s="111">
        <v>0</v>
      </c>
      <c r="EJ67" s="111">
        <v>0</v>
      </c>
      <c r="EK67" s="111">
        <v>0</v>
      </c>
      <c r="EL67" s="111">
        <v>0</v>
      </c>
      <c r="EM67" s="111">
        <v>0</v>
      </c>
      <c r="EN67" s="111">
        <v>0</v>
      </c>
      <c r="EO67" s="111">
        <v>0</v>
      </c>
      <c r="EP67" s="117">
        <v>0</v>
      </c>
      <c r="EQ67" s="118">
        <v>0</v>
      </c>
      <c r="ER67" s="118">
        <v>0</v>
      </c>
      <c r="ES67" s="119">
        <v>0</v>
      </c>
      <c r="ET67" s="44"/>
      <c r="EU67" s="229"/>
      <c r="EV67" s="69" t="s">
        <v>20</v>
      </c>
      <c r="EW67" s="70" t="s">
        <v>18</v>
      </c>
      <c r="EX67" s="111">
        <v>0</v>
      </c>
      <c r="EY67" s="111">
        <v>0</v>
      </c>
      <c r="EZ67" s="111">
        <v>0</v>
      </c>
      <c r="FA67" s="111">
        <v>0</v>
      </c>
      <c r="FB67" s="111">
        <v>0</v>
      </c>
      <c r="FC67" s="111">
        <v>0</v>
      </c>
      <c r="FD67" s="111">
        <v>0</v>
      </c>
      <c r="FE67" s="117">
        <v>0</v>
      </c>
      <c r="FF67" s="118">
        <v>0</v>
      </c>
      <c r="FG67" s="118">
        <v>0</v>
      </c>
      <c r="FH67" s="119">
        <v>0</v>
      </c>
      <c r="FI67" s="44"/>
      <c r="FJ67" s="229"/>
      <c r="FK67" s="69" t="s">
        <v>20</v>
      </c>
      <c r="FL67" s="70" t="s">
        <v>18</v>
      </c>
      <c r="FM67" s="111">
        <v>0</v>
      </c>
      <c r="FN67" s="111">
        <v>0</v>
      </c>
      <c r="FO67" s="111">
        <v>0</v>
      </c>
      <c r="FP67" s="111">
        <v>0</v>
      </c>
      <c r="FQ67" s="111">
        <v>0</v>
      </c>
      <c r="FR67" s="111">
        <v>0</v>
      </c>
      <c r="FS67" s="111">
        <v>0</v>
      </c>
      <c r="FT67" s="117">
        <v>0</v>
      </c>
      <c r="FU67" s="118">
        <v>0</v>
      </c>
      <c r="FV67" s="118">
        <v>0</v>
      </c>
      <c r="FW67" s="119">
        <v>0</v>
      </c>
      <c r="FX67" s="44"/>
      <c r="FY67" s="229"/>
      <c r="FZ67" s="69" t="s">
        <v>20</v>
      </c>
      <c r="GA67" s="71" t="s">
        <v>18</v>
      </c>
      <c r="GB67" s="63">
        <f>SUM(FM67)</f>
        <v>0</v>
      </c>
      <c r="GC67" s="72">
        <f t="shared" si="221"/>
        <v>0</v>
      </c>
      <c r="GD67" s="72">
        <f t="shared" si="222"/>
        <v>0</v>
      </c>
      <c r="GE67" s="72">
        <f t="shared" si="223"/>
        <v>0</v>
      </c>
      <c r="GF67" s="72">
        <f t="shared" si="224"/>
        <v>0</v>
      </c>
      <c r="GG67" s="72">
        <f t="shared" si="225"/>
        <v>0</v>
      </c>
      <c r="GH67" s="72">
        <f t="shared" si="226"/>
        <v>0</v>
      </c>
      <c r="GI67" s="72">
        <f t="shared" si="227"/>
        <v>0</v>
      </c>
      <c r="GJ67" s="72">
        <f t="shared" si="228"/>
        <v>0</v>
      </c>
      <c r="GK67" s="72">
        <f t="shared" si="229"/>
        <v>0</v>
      </c>
      <c r="GL67" s="72">
        <f t="shared" si="230"/>
        <v>0</v>
      </c>
      <c r="GM67" s="44"/>
    </row>
    <row r="68" spans="1:195" ht="17.100000000000001" customHeight="1" thickBot="1" x14ac:dyDescent="0.25">
      <c r="A68" s="229"/>
      <c r="B68" s="73" t="s">
        <v>17</v>
      </c>
      <c r="C68" s="74" t="s">
        <v>19</v>
      </c>
      <c r="D68" s="114">
        <v>0</v>
      </c>
      <c r="E68" s="114">
        <v>0</v>
      </c>
      <c r="F68" s="114">
        <v>0</v>
      </c>
      <c r="G68" s="114">
        <v>0</v>
      </c>
      <c r="H68" s="114">
        <v>0</v>
      </c>
      <c r="I68" s="114">
        <v>0</v>
      </c>
      <c r="J68" s="114">
        <v>0</v>
      </c>
      <c r="K68" s="114">
        <v>0</v>
      </c>
      <c r="L68" s="115">
        <v>0</v>
      </c>
      <c r="M68" s="115">
        <v>0</v>
      </c>
      <c r="N68" s="116">
        <v>0</v>
      </c>
      <c r="O68" s="44"/>
      <c r="P68" s="229"/>
      <c r="Q68" s="73" t="s">
        <v>17</v>
      </c>
      <c r="R68" s="74" t="s">
        <v>19</v>
      </c>
      <c r="S68" s="114">
        <v>0</v>
      </c>
      <c r="T68" s="114">
        <v>0</v>
      </c>
      <c r="U68" s="114">
        <v>0</v>
      </c>
      <c r="V68" s="114">
        <v>0</v>
      </c>
      <c r="W68" s="114">
        <v>0</v>
      </c>
      <c r="X68" s="114">
        <v>0</v>
      </c>
      <c r="Y68" s="114">
        <v>0</v>
      </c>
      <c r="Z68" s="114">
        <v>0</v>
      </c>
      <c r="AA68" s="115">
        <v>0</v>
      </c>
      <c r="AB68" s="115">
        <v>0</v>
      </c>
      <c r="AC68" s="116">
        <v>0</v>
      </c>
      <c r="AD68" s="44"/>
      <c r="AE68" s="229"/>
      <c r="AF68" s="73" t="s">
        <v>17</v>
      </c>
      <c r="AG68" s="74" t="s">
        <v>19</v>
      </c>
      <c r="AH68" s="114">
        <v>0</v>
      </c>
      <c r="AI68" s="114">
        <v>0</v>
      </c>
      <c r="AJ68" s="114">
        <v>0</v>
      </c>
      <c r="AK68" s="114">
        <v>0</v>
      </c>
      <c r="AL68" s="114">
        <v>0</v>
      </c>
      <c r="AM68" s="114">
        <v>0</v>
      </c>
      <c r="AN68" s="114">
        <v>0</v>
      </c>
      <c r="AO68" s="114">
        <v>0</v>
      </c>
      <c r="AP68" s="115">
        <v>0</v>
      </c>
      <c r="AQ68" s="115">
        <v>0</v>
      </c>
      <c r="AR68" s="116">
        <v>0</v>
      </c>
      <c r="AS68" s="44"/>
      <c r="AT68" s="229"/>
      <c r="AU68" s="73" t="s">
        <v>17</v>
      </c>
      <c r="AV68" s="74" t="s">
        <v>19</v>
      </c>
      <c r="AW68" s="114">
        <v>0</v>
      </c>
      <c r="AX68" s="114">
        <v>0</v>
      </c>
      <c r="AY68" s="114">
        <v>0</v>
      </c>
      <c r="AZ68" s="114">
        <v>0</v>
      </c>
      <c r="BA68" s="114">
        <v>0</v>
      </c>
      <c r="BB68" s="114">
        <v>0</v>
      </c>
      <c r="BC68" s="114">
        <v>0</v>
      </c>
      <c r="BD68" s="114">
        <v>0</v>
      </c>
      <c r="BE68" s="115">
        <v>0</v>
      </c>
      <c r="BF68" s="115">
        <v>0</v>
      </c>
      <c r="BG68" s="116">
        <v>0</v>
      </c>
      <c r="BH68" s="44"/>
      <c r="BI68" s="229"/>
      <c r="BJ68" s="73" t="s">
        <v>17</v>
      </c>
      <c r="BK68" s="74" t="s">
        <v>19</v>
      </c>
      <c r="BL68" s="114">
        <v>0</v>
      </c>
      <c r="BM68" s="114">
        <v>0</v>
      </c>
      <c r="BN68" s="114">
        <v>0</v>
      </c>
      <c r="BO68" s="114">
        <v>0</v>
      </c>
      <c r="BP68" s="114">
        <v>0</v>
      </c>
      <c r="BQ68" s="114">
        <v>0</v>
      </c>
      <c r="BR68" s="114">
        <v>0</v>
      </c>
      <c r="BS68" s="114">
        <v>0</v>
      </c>
      <c r="BT68" s="115">
        <v>0</v>
      </c>
      <c r="BU68" s="115">
        <v>0</v>
      </c>
      <c r="BV68" s="116">
        <v>0</v>
      </c>
      <c r="BW68" s="44"/>
      <c r="BX68" s="229"/>
      <c r="BY68" s="73" t="s">
        <v>17</v>
      </c>
      <c r="BZ68" s="74" t="s">
        <v>19</v>
      </c>
      <c r="CA68" s="114">
        <v>0</v>
      </c>
      <c r="CB68" s="114">
        <v>0</v>
      </c>
      <c r="CC68" s="114">
        <v>0</v>
      </c>
      <c r="CD68" s="114">
        <v>0</v>
      </c>
      <c r="CE68" s="114">
        <v>0</v>
      </c>
      <c r="CF68" s="114">
        <v>0</v>
      </c>
      <c r="CG68" s="114">
        <v>0</v>
      </c>
      <c r="CH68" s="114">
        <v>0</v>
      </c>
      <c r="CI68" s="115">
        <v>0</v>
      </c>
      <c r="CJ68" s="115">
        <v>0</v>
      </c>
      <c r="CK68" s="116">
        <v>0</v>
      </c>
      <c r="CL68" s="44"/>
      <c r="CM68" s="229"/>
      <c r="CN68" s="73" t="s">
        <v>17</v>
      </c>
      <c r="CO68" s="74" t="s">
        <v>19</v>
      </c>
      <c r="CP68" s="114">
        <v>0</v>
      </c>
      <c r="CQ68" s="114">
        <v>0</v>
      </c>
      <c r="CR68" s="114">
        <v>0</v>
      </c>
      <c r="CS68" s="114">
        <v>0</v>
      </c>
      <c r="CT68" s="114">
        <v>0</v>
      </c>
      <c r="CU68" s="114">
        <v>0</v>
      </c>
      <c r="CV68" s="114">
        <v>0</v>
      </c>
      <c r="CW68" s="114">
        <v>0</v>
      </c>
      <c r="CX68" s="115">
        <v>0</v>
      </c>
      <c r="CY68" s="115">
        <v>0</v>
      </c>
      <c r="CZ68" s="116">
        <v>0</v>
      </c>
      <c r="DA68" s="44"/>
      <c r="DB68" s="229"/>
      <c r="DC68" s="73" t="s">
        <v>17</v>
      </c>
      <c r="DD68" s="74" t="s">
        <v>19</v>
      </c>
      <c r="DE68" s="182">
        <v>0</v>
      </c>
      <c r="DF68" s="182">
        <v>0</v>
      </c>
      <c r="DG68" s="182">
        <v>0</v>
      </c>
      <c r="DH68" s="182">
        <v>0</v>
      </c>
      <c r="DI68" s="182">
        <v>0</v>
      </c>
      <c r="DJ68" s="182">
        <v>0</v>
      </c>
      <c r="DK68" s="182">
        <v>0</v>
      </c>
      <c r="DL68" s="182">
        <v>0</v>
      </c>
      <c r="DM68" s="183">
        <v>0</v>
      </c>
      <c r="DN68" s="183">
        <v>0</v>
      </c>
      <c r="DO68" s="184">
        <v>0</v>
      </c>
      <c r="DP68" s="44"/>
      <c r="DQ68" s="229"/>
      <c r="DR68" s="73" t="s">
        <v>17</v>
      </c>
      <c r="DS68" s="74" t="s">
        <v>19</v>
      </c>
      <c r="DT68" s="114">
        <v>0</v>
      </c>
      <c r="DU68" s="114">
        <v>0</v>
      </c>
      <c r="DV68" s="114">
        <v>0</v>
      </c>
      <c r="DW68" s="114">
        <v>0</v>
      </c>
      <c r="DX68" s="114">
        <v>0</v>
      </c>
      <c r="DY68" s="114">
        <v>0</v>
      </c>
      <c r="DZ68" s="114">
        <v>0</v>
      </c>
      <c r="EA68" s="114">
        <v>0</v>
      </c>
      <c r="EB68" s="115">
        <v>0</v>
      </c>
      <c r="EC68" s="115">
        <v>0</v>
      </c>
      <c r="ED68" s="116">
        <v>0</v>
      </c>
      <c r="EE68" s="44"/>
      <c r="EF68" s="229"/>
      <c r="EG68" s="73" t="s">
        <v>17</v>
      </c>
      <c r="EH68" s="74" t="s">
        <v>19</v>
      </c>
      <c r="EI68" s="114">
        <v>0</v>
      </c>
      <c r="EJ68" s="114">
        <v>0</v>
      </c>
      <c r="EK68" s="114">
        <v>0</v>
      </c>
      <c r="EL68" s="114">
        <v>0</v>
      </c>
      <c r="EM68" s="114">
        <v>0</v>
      </c>
      <c r="EN68" s="114">
        <v>0</v>
      </c>
      <c r="EO68" s="114">
        <v>0</v>
      </c>
      <c r="EP68" s="114">
        <v>0</v>
      </c>
      <c r="EQ68" s="115">
        <v>0</v>
      </c>
      <c r="ER68" s="115">
        <v>0</v>
      </c>
      <c r="ES68" s="116">
        <v>0</v>
      </c>
      <c r="ET68" s="44"/>
      <c r="EU68" s="229"/>
      <c r="EV68" s="73" t="s">
        <v>17</v>
      </c>
      <c r="EW68" s="74" t="s">
        <v>19</v>
      </c>
      <c r="EX68" s="114">
        <v>0</v>
      </c>
      <c r="EY68" s="114">
        <v>0</v>
      </c>
      <c r="EZ68" s="114">
        <v>0</v>
      </c>
      <c r="FA68" s="114">
        <v>0</v>
      </c>
      <c r="FB68" s="114">
        <v>0</v>
      </c>
      <c r="FC68" s="114">
        <v>0</v>
      </c>
      <c r="FD68" s="114">
        <v>0</v>
      </c>
      <c r="FE68" s="114">
        <v>0</v>
      </c>
      <c r="FF68" s="115">
        <v>0</v>
      </c>
      <c r="FG68" s="115">
        <v>0</v>
      </c>
      <c r="FH68" s="116">
        <v>0</v>
      </c>
      <c r="FI68" s="44"/>
      <c r="FJ68" s="229"/>
      <c r="FK68" s="73" t="s">
        <v>17</v>
      </c>
      <c r="FL68" s="74" t="s">
        <v>19</v>
      </c>
      <c r="FM68" s="114">
        <v>0</v>
      </c>
      <c r="FN68" s="114">
        <v>0</v>
      </c>
      <c r="FO68" s="114">
        <v>0</v>
      </c>
      <c r="FP68" s="114">
        <v>0</v>
      </c>
      <c r="FQ68" s="114">
        <v>0</v>
      </c>
      <c r="FR68" s="114">
        <v>0</v>
      </c>
      <c r="FS68" s="114">
        <v>0</v>
      </c>
      <c r="FT68" s="114">
        <v>0</v>
      </c>
      <c r="FU68" s="115">
        <v>0</v>
      </c>
      <c r="FV68" s="115">
        <v>0</v>
      </c>
      <c r="FW68" s="116">
        <v>0</v>
      </c>
      <c r="FX68" s="44"/>
      <c r="FY68" s="229"/>
      <c r="FZ68" s="73" t="s">
        <v>17</v>
      </c>
      <c r="GA68" s="75" t="s">
        <v>19</v>
      </c>
      <c r="GB68" s="67">
        <f>SUM(FM68)</f>
        <v>0</v>
      </c>
      <c r="GC68" s="68">
        <f t="shared" si="221"/>
        <v>0</v>
      </c>
      <c r="GD68" s="68">
        <f t="shared" si="222"/>
        <v>0</v>
      </c>
      <c r="GE68" s="68">
        <f t="shared" si="223"/>
        <v>0</v>
      </c>
      <c r="GF68" s="68">
        <f t="shared" si="224"/>
        <v>0</v>
      </c>
      <c r="GG68" s="68">
        <f t="shared" si="225"/>
        <v>0</v>
      </c>
      <c r="GH68" s="68">
        <f t="shared" si="226"/>
        <v>0</v>
      </c>
      <c r="GI68" s="68">
        <f t="shared" si="227"/>
        <v>0</v>
      </c>
      <c r="GJ68" s="68">
        <f t="shared" si="228"/>
        <v>0</v>
      </c>
      <c r="GK68" s="68">
        <f t="shared" si="229"/>
        <v>0</v>
      </c>
      <c r="GL68" s="68">
        <f t="shared" si="230"/>
        <v>0</v>
      </c>
      <c r="GM68" s="44"/>
    </row>
    <row r="69" spans="1:195" ht="17.100000000000001" customHeight="1" thickBot="1" x14ac:dyDescent="0.25">
      <c r="A69" s="229"/>
      <c r="B69" s="252" t="s">
        <v>21</v>
      </c>
      <c r="C69" s="253"/>
      <c r="D69" s="120">
        <f t="shared" ref="D69:N69" si="231">SUM(D65:D68)</f>
        <v>0</v>
      </c>
      <c r="E69" s="120">
        <f t="shared" si="231"/>
        <v>0</v>
      </c>
      <c r="F69" s="121">
        <f t="shared" si="231"/>
        <v>0</v>
      </c>
      <c r="G69" s="122">
        <f t="shared" si="231"/>
        <v>0</v>
      </c>
      <c r="H69" s="121">
        <f t="shared" si="231"/>
        <v>0</v>
      </c>
      <c r="I69" s="120">
        <f t="shared" si="231"/>
        <v>0</v>
      </c>
      <c r="J69" s="120">
        <f t="shared" si="231"/>
        <v>0</v>
      </c>
      <c r="K69" s="123">
        <f t="shared" si="231"/>
        <v>0</v>
      </c>
      <c r="L69" s="124">
        <f t="shared" si="231"/>
        <v>0</v>
      </c>
      <c r="M69" s="124">
        <f t="shared" si="231"/>
        <v>0</v>
      </c>
      <c r="N69" s="125">
        <f t="shared" si="231"/>
        <v>0</v>
      </c>
      <c r="O69" s="44"/>
      <c r="P69" s="229"/>
      <c r="Q69" s="252" t="s">
        <v>21</v>
      </c>
      <c r="R69" s="253"/>
      <c r="S69" s="120">
        <f t="shared" ref="S69:AC69" si="232">SUM(S65:S68)</f>
        <v>0</v>
      </c>
      <c r="T69" s="120">
        <f t="shared" si="232"/>
        <v>0</v>
      </c>
      <c r="U69" s="121">
        <f t="shared" si="232"/>
        <v>0</v>
      </c>
      <c r="V69" s="122">
        <f t="shared" si="232"/>
        <v>0</v>
      </c>
      <c r="W69" s="121">
        <f t="shared" si="232"/>
        <v>0</v>
      </c>
      <c r="X69" s="120">
        <f t="shared" si="232"/>
        <v>0</v>
      </c>
      <c r="Y69" s="120">
        <f t="shared" si="232"/>
        <v>0</v>
      </c>
      <c r="Z69" s="123">
        <f t="shared" si="232"/>
        <v>0</v>
      </c>
      <c r="AA69" s="124">
        <f t="shared" si="232"/>
        <v>0</v>
      </c>
      <c r="AB69" s="124">
        <f t="shared" si="232"/>
        <v>0</v>
      </c>
      <c r="AC69" s="125">
        <f t="shared" si="232"/>
        <v>0</v>
      </c>
      <c r="AD69" s="44"/>
      <c r="AE69" s="229"/>
      <c r="AF69" s="252" t="s">
        <v>21</v>
      </c>
      <c r="AG69" s="253"/>
      <c r="AH69" s="120">
        <f t="shared" ref="AH69:AR69" si="233">SUM(AH65:AH68)</f>
        <v>0</v>
      </c>
      <c r="AI69" s="120">
        <f t="shared" si="233"/>
        <v>0</v>
      </c>
      <c r="AJ69" s="121">
        <f t="shared" si="233"/>
        <v>0</v>
      </c>
      <c r="AK69" s="122">
        <f t="shared" si="233"/>
        <v>0</v>
      </c>
      <c r="AL69" s="121">
        <f t="shared" si="233"/>
        <v>0</v>
      </c>
      <c r="AM69" s="120">
        <f t="shared" si="233"/>
        <v>0</v>
      </c>
      <c r="AN69" s="120">
        <f t="shared" si="233"/>
        <v>0</v>
      </c>
      <c r="AO69" s="123">
        <f t="shared" si="233"/>
        <v>0</v>
      </c>
      <c r="AP69" s="124">
        <f t="shared" si="233"/>
        <v>0</v>
      </c>
      <c r="AQ69" s="124">
        <f t="shared" si="233"/>
        <v>0</v>
      </c>
      <c r="AR69" s="125">
        <f t="shared" si="233"/>
        <v>0</v>
      </c>
      <c r="AS69" s="44"/>
      <c r="AT69" s="229"/>
      <c r="AU69" s="252" t="s">
        <v>21</v>
      </c>
      <c r="AV69" s="253"/>
      <c r="AW69" s="120">
        <f t="shared" ref="AW69:BG69" si="234">SUM(AW65:AW68)</f>
        <v>0</v>
      </c>
      <c r="AX69" s="120">
        <f t="shared" si="234"/>
        <v>0</v>
      </c>
      <c r="AY69" s="121">
        <f t="shared" si="234"/>
        <v>0</v>
      </c>
      <c r="AZ69" s="122">
        <f t="shared" si="234"/>
        <v>0</v>
      </c>
      <c r="BA69" s="121">
        <f t="shared" si="234"/>
        <v>0</v>
      </c>
      <c r="BB69" s="120">
        <f t="shared" si="234"/>
        <v>0</v>
      </c>
      <c r="BC69" s="120">
        <f t="shared" si="234"/>
        <v>0</v>
      </c>
      <c r="BD69" s="123">
        <f t="shared" si="234"/>
        <v>0</v>
      </c>
      <c r="BE69" s="124">
        <f t="shared" si="234"/>
        <v>0</v>
      </c>
      <c r="BF69" s="124">
        <f t="shared" si="234"/>
        <v>0</v>
      </c>
      <c r="BG69" s="125">
        <f t="shared" si="234"/>
        <v>0</v>
      </c>
      <c r="BH69" s="44"/>
      <c r="BI69" s="229"/>
      <c r="BJ69" s="252" t="s">
        <v>21</v>
      </c>
      <c r="BK69" s="253"/>
      <c r="BL69" s="120">
        <f t="shared" ref="BL69:BV69" si="235">SUM(BL65:BL68)</f>
        <v>0</v>
      </c>
      <c r="BM69" s="120">
        <f t="shared" si="235"/>
        <v>0</v>
      </c>
      <c r="BN69" s="121">
        <f t="shared" si="235"/>
        <v>0</v>
      </c>
      <c r="BO69" s="122">
        <f t="shared" si="235"/>
        <v>0</v>
      </c>
      <c r="BP69" s="121">
        <f t="shared" si="235"/>
        <v>0</v>
      </c>
      <c r="BQ69" s="120">
        <f t="shared" si="235"/>
        <v>0</v>
      </c>
      <c r="BR69" s="120">
        <f t="shared" si="235"/>
        <v>0</v>
      </c>
      <c r="BS69" s="123">
        <f t="shared" si="235"/>
        <v>0</v>
      </c>
      <c r="BT69" s="124">
        <f t="shared" si="235"/>
        <v>0</v>
      </c>
      <c r="BU69" s="124">
        <f t="shared" si="235"/>
        <v>0</v>
      </c>
      <c r="BV69" s="125">
        <f t="shared" si="235"/>
        <v>0</v>
      </c>
      <c r="BW69" s="44"/>
      <c r="BX69" s="229"/>
      <c r="BY69" s="252" t="s">
        <v>21</v>
      </c>
      <c r="BZ69" s="253"/>
      <c r="CA69" s="120">
        <f t="shared" ref="CA69:CK69" si="236">SUM(CA65:CA68)</f>
        <v>0</v>
      </c>
      <c r="CB69" s="120">
        <f t="shared" si="236"/>
        <v>0</v>
      </c>
      <c r="CC69" s="121">
        <f t="shared" si="236"/>
        <v>0</v>
      </c>
      <c r="CD69" s="122">
        <f t="shared" si="236"/>
        <v>0</v>
      </c>
      <c r="CE69" s="121">
        <f t="shared" si="236"/>
        <v>0</v>
      </c>
      <c r="CF69" s="120">
        <f t="shared" si="236"/>
        <v>0</v>
      </c>
      <c r="CG69" s="120">
        <f t="shared" si="236"/>
        <v>0</v>
      </c>
      <c r="CH69" s="123">
        <f t="shared" si="236"/>
        <v>0</v>
      </c>
      <c r="CI69" s="124">
        <f t="shared" si="236"/>
        <v>0</v>
      </c>
      <c r="CJ69" s="124">
        <f t="shared" si="236"/>
        <v>0</v>
      </c>
      <c r="CK69" s="125">
        <f t="shared" si="236"/>
        <v>0</v>
      </c>
      <c r="CL69" s="44"/>
      <c r="CM69" s="229"/>
      <c r="CN69" s="252" t="s">
        <v>21</v>
      </c>
      <c r="CO69" s="253"/>
      <c r="CP69" s="120">
        <f t="shared" ref="CP69:CZ69" si="237">SUM(CP65:CP68)</f>
        <v>0</v>
      </c>
      <c r="CQ69" s="120">
        <f t="shared" si="237"/>
        <v>0</v>
      </c>
      <c r="CR69" s="121">
        <f t="shared" si="237"/>
        <v>0</v>
      </c>
      <c r="CS69" s="122">
        <f t="shared" si="237"/>
        <v>0</v>
      </c>
      <c r="CT69" s="121">
        <f t="shared" si="237"/>
        <v>0</v>
      </c>
      <c r="CU69" s="120">
        <f t="shared" si="237"/>
        <v>0</v>
      </c>
      <c r="CV69" s="120">
        <f t="shared" si="237"/>
        <v>0</v>
      </c>
      <c r="CW69" s="123">
        <f t="shared" si="237"/>
        <v>0</v>
      </c>
      <c r="CX69" s="124">
        <f t="shared" si="237"/>
        <v>0</v>
      </c>
      <c r="CY69" s="124">
        <f t="shared" si="237"/>
        <v>0</v>
      </c>
      <c r="CZ69" s="125">
        <f t="shared" si="237"/>
        <v>0</v>
      </c>
      <c r="DA69" s="44"/>
      <c r="DB69" s="229"/>
      <c r="DC69" s="252" t="s">
        <v>21</v>
      </c>
      <c r="DD69" s="253"/>
      <c r="DE69" s="188">
        <f t="shared" ref="DE69:DO69" si="238">SUM(DE65:DE68)</f>
        <v>0</v>
      </c>
      <c r="DF69" s="188">
        <f t="shared" si="238"/>
        <v>0</v>
      </c>
      <c r="DG69" s="189">
        <f t="shared" si="238"/>
        <v>0</v>
      </c>
      <c r="DH69" s="190">
        <f t="shared" si="238"/>
        <v>0</v>
      </c>
      <c r="DI69" s="189">
        <f t="shared" si="238"/>
        <v>0</v>
      </c>
      <c r="DJ69" s="188">
        <f t="shared" si="238"/>
        <v>0</v>
      </c>
      <c r="DK69" s="188">
        <f t="shared" si="238"/>
        <v>0</v>
      </c>
      <c r="DL69" s="191">
        <f t="shared" si="238"/>
        <v>0</v>
      </c>
      <c r="DM69" s="192">
        <f t="shared" si="238"/>
        <v>0</v>
      </c>
      <c r="DN69" s="192">
        <f t="shared" si="238"/>
        <v>0</v>
      </c>
      <c r="DO69" s="193">
        <f t="shared" si="238"/>
        <v>0</v>
      </c>
      <c r="DP69" s="44"/>
      <c r="DQ69" s="229"/>
      <c r="DR69" s="252" t="s">
        <v>21</v>
      </c>
      <c r="DS69" s="253"/>
      <c r="DT69" s="120">
        <f t="shared" ref="DT69:ED69" si="239">SUM(DT65:DT68)</f>
        <v>0</v>
      </c>
      <c r="DU69" s="120">
        <f t="shared" si="239"/>
        <v>0</v>
      </c>
      <c r="DV69" s="121">
        <f t="shared" si="239"/>
        <v>0</v>
      </c>
      <c r="DW69" s="122">
        <f t="shared" si="239"/>
        <v>0</v>
      </c>
      <c r="DX69" s="121">
        <f t="shared" si="239"/>
        <v>0</v>
      </c>
      <c r="DY69" s="120">
        <f t="shared" si="239"/>
        <v>0</v>
      </c>
      <c r="DZ69" s="120">
        <f t="shared" si="239"/>
        <v>0</v>
      </c>
      <c r="EA69" s="123">
        <f t="shared" si="239"/>
        <v>0</v>
      </c>
      <c r="EB69" s="124">
        <f t="shared" si="239"/>
        <v>0</v>
      </c>
      <c r="EC69" s="124">
        <f t="shared" si="239"/>
        <v>0</v>
      </c>
      <c r="ED69" s="125">
        <f t="shared" si="239"/>
        <v>0</v>
      </c>
      <c r="EE69" s="44"/>
      <c r="EF69" s="229"/>
      <c r="EG69" s="252" t="s">
        <v>21</v>
      </c>
      <c r="EH69" s="253"/>
      <c r="EI69" s="120">
        <f t="shared" ref="EI69:ES69" si="240">SUM(EI65:EI68)</f>
        <v>0</v>
      </c>
      <c r="EJ69" s="120">
        <f t="shared" si="240"/>
        <v>0</v>
      </c>
      <c r="EK69" s="121">
        <f t="shared" si="240"/>
        <v>0</v>
      </c>
      <c r="EL69" s="122">
        <f t="shared" si="240"/>
        <v>0</v>
      </c>
      <c r="EM69" s="121">
        <f t="shared" si="240"/>
        <v>0</v>
      </c>
      <c r="EN69" s="120">
        <f t="shared" si="240"/>
        <v>0</v>
      </c>
      <c r="EO69" s="120">
        <f t="shared" si="240"/>
        <v>0</v>
      </c>
      <c r="EP69" s="123">
        <f t="shared" si="240"/>
        <v>0</v>
      </c>
      <c r="EQ69" s="124">
        <f t="shared" si="240"/>
        <v>0</v>
      </c>
      <c r="ER69" s="124">
        <f t="shared" si="240"/>
        <v>0</v>
      </c>
      <c r="ES69" s="125">
        <f t="shared" si="240"/>
        <v>0</v>
      </c>
      <c r="ET69" s="44"/>
      <c r="EU69" s="229"/>
      <c r="EV69" s="252" t="s">
        <v>21</v>
      </c>
      <c r="EW69" s="253"/>
      <c r="EX69" s="120">
        <f t="shared" ref="EX69:FH69" si="241">SUM(EX65:EX68)</f>
        <v>0</v>
      </c>
      <c r="EY69" s="120">
        <f t="shared" si="241"/>
        <v>0</v>
      </c>
      <c r="EZ69" s="121">
        <f t="shared" si="241"/>
        <v>0</v>
      </c>
      <c r="FA69" s="122">
        <f t="shared" si="241"/>
        <v>0</v>
      </c>
      <c r="FB69" s="121">
        <f t="shared" si="241"/>
        <v>0</v>
      </c>
      <c r="FC69" s="120">
        <f t="shared" si="241"/>
        <v>0</v>
      </c>
      <c r="FD69" s="120">
        <f t="shared" si="241"/>
        <v>0</v>
      </c>
      <c r="FE69" s="123">
        <f t="shared" si="241"/>
        <v>0</v>
      </c>
      <c r="FF69" s="124">
        <f t="shared" si="241"/>
        <v>0</v>
      </c>
      <c r="FG69" s="124">
        <f t="shared" si="241"/>
        <v>0</v>
      </c>
      <c r="FH69" s="125">
        <f t="shared" si="241"/>
        <v>0</v>
      </c>
      <c r="FI69" s="44"/>
      <c r="FJ69" s="229"/>
      <c r="FK69" s="252" t="s">
        <v>21</v>
      </c>
      <c r="FL69" s="253"/>
      <c r="FM69" s="120">
        <f t="shared" ref="FM69:FW69" si="242">SUM(FM65:FM68)</f>
        <v>0</v>
      </c>
      <c r="FN69" s="120">
        <f t="shared" si="242"/>
        <v>0</v>
      </c>
      <c r="FO69" s="121">
        <f t="shared" si="242"/>
        <v>0</v>
      </c>
      <c r="FP69" s="122">
        <f t="shared" si="242"/>
        <v>0</v>
      </c>
      <c r="FQ69" s="121">
        <f t="shared" si="242"/>
        <v>0</v>
      </c>
      <c r="FR69" s="120">
        <f t="shared" si="242"/>
        <v>0</v>
      </c>
      <c r="FS69" s="120">
        <f t="shared" si="242"/>
        <v>0</v>
      </c>
      <c r="FT69" s="123">
        <f t="shared" si="242"/>
        <v>0</v>
      </c>
      <c r="FU69" s="124">
        <f t="shared" si="242"/>
        <v>0</v>
      </c>
      <c r="FV69" s="124">
        <f t="shared" si="242"/>
        <v>0</v>
      </c>
      <c r="FW69" s="125">
        <f t="shared" si="242"/>
        <v>0</v>
      </c>
      <c r="FX69" s="44"/>
      <c r="FY69" s="229"/>
      <c r="FZ69" s="128" t="s">
        <v>21</v>
      </c>
      <c r="GA69" s="129"/>
      <c r="GB69" s="76">
        <f t="shared" ref="GB69:GL69" si="243">SUM(GB65:GB68)</f>
        <v>0</v>
      </c>
      <c r="GC69" s="77">
        <f t="shared" si="243"/>
        <v>0</v>
      </c>
      <c r="GD69" s="77">
        <f t="shared" si="243"/>
        <v>0</v>
      </c>
      <c r="GE69" s="77">
        <f t="shared" si="243"/>
        <v>0</v>
      </c>
      <c r="GF69" s="77">
        <f t="shared" si="243"/>
        <v>0</v>
      </c>
      <c r="GG69" s="77">
        <f t="shared" si="243"/>
        <v>0</v>
      </c>
      <c r="GH69" s="77">
        <f t="shared" si="243"/>
        <v>0</v>
      </c>
      <c r="GI69" s="77">
        <f t="shared" si="243"/>
        <v>0</v>
      </c>
      <c r="GJ69" s="77">
        <f t="shared" si="243"/>
        <v>0</v>
      </c>
      <c r="GK69" s="77">
        <f t="shared" si="243"/>
        <v>0</v>
      </c>
      <c r="GL69" s="77">
        <f t="shared" si="243"/>
        <v>0</v>
      </c>
      <c r="GM69" s="44"/>
    </row>
    <row r="70" spans="1:195" ht="17.100000000000001" customHeight="1" thickBot="1" x14ac:dyDescent="0.25">
      <c r="A70" s="230"/>
      <c r="B70" s="78" t="s">
        <v>22</v>
      </c>
      <c r="C70" s="44"/>
      <c r="D70" s="78"/>
      <c r="E70" s="44"/>
      <c r="F70" s="44"/>
      <c r="G70" s="44"/>
      <c r="H70" s="44"/>
      <c r="I70" s="44"/>
      <c r="J70" s="44"/>
      <c r="K70" s="79" t="s">
        <v>18</v>
      </c>
      <c r="L70" s="80">
        <v>0</v>
      </c>
      <c r="M70" s="79" t="s">
        <v>19</v>
      </c>
      <c r="N70" s="80">
        <v>0</v>
      </c>
      <c r="O70" s="44"/>
      <c r="P70" s="230"/>
      <c r="Q70" s="78" t="s">
        <v>22</v>
      </c>
      <c r="R70" s="44"/>
      <c r="S70" s="78"/>
      <c r="T70" s="44"/>
      <c r="U70" s="44"/>
      <c r="V70" s="44"/>
      <c r="W70" s="44"/>
      <c r="X70" s="44"/>
      <c r="Y70" s="44"/>
      <c r="Z70" s="79" t="s">
        <v>18</v>
      </c>
      <c r="AA70" s="80">
        <v>0</v>
      </c>
      <c r="AB70" s="79" t="s">
        <v>19</v>
      </c>
      <c r="AC70" s="80">
        <v>0</v>
      </c>
      <c r="AD70" s="44"/>
      <c r="AE70" s="230"/>
      <c r="AF70" s="78" t="s">
        <v>22</v>
      </c>
      <c r="AG70" s="44"/>
      <c r="AH70" s="78"/>
      <c r="AI70" s="44"/>
      <c r="AJ70" s="44"/>
      <c r="AK70" s="44"/>
      <c r="AL70" s="44"/>
      <c r="AM70" s="44"/>
      <c r="AN70" s="44"/>
      <c r="AO70" s="79" t="s">
        <v>18</v>
      </c>
      <c r="AP70" s="80">
        <v>0</v>
      </c>
      <c r="AQ70" s="79" t="s">
        <v>19</v>
      </c>
      <c r="AR70" s="80">
        <v>0</v>
      </c>
      <c r="AS70" s="44"/>
      <c r="AT70" s="230"/>
      <c r="AU70" s="78" t="s">
        <v>22</v>
      </c>
      <c r="AV70" s="44"/>
      <c r="AW70" s="78"/>
      <c r="AX70" s="44"/>
      <c r="AY70" s="44"/>
      <c r="AZ70" s="44"/>
      <c r="BA70" s="44"/>
      <c r="BB70" s="44"/>
      <c r="BC70" s="44"/>
      <c r="BD70" s="79" t="s">
        <v>18</v>
      </c>
      <c r="BE70" s="80">
        <v>0</v>
      </c>
      <c r="BF70" s="79" t="s">
        <v>19</v>
      </c>
      <c r="BG70" s="80">
        <v>0</v>
      </c>
      <c r="BH70" s="44"/>
      <c r="BI70" s="230"/>
      <c r="BJ70" s="78" t="s">
        <v>22</v>
      </c>
      <c r="BK70" s="44"/>
      <c r="BL70" s="78"/>
      <c r="BM70" s="44"/>
      <c r="BN70" s="44"/>
      <c r="BO70" s="44"/>
      <c r="BP70" s="44"/>
      <c r="BQ70" s="44"/>
      <c r="BR70" s="44"/>
      <c r="BS70" s="79" t="s">
        <v>18</v>
      </c>
      <c r="BT70" s="80">
        <v>0</v>
      </c>
      <c r="BU70" s="79" t="s">
        <v>19</v>
      </c>
      <c r="BV70" s="80">
        <v>0</v>
      </c>
      <c r="BW70" s="44"/>
      <c r="BX70" s="230"/>
      <c r="BY70" s="78" t="s">
        <v>22</v>
      </c>
      <c r="BZ70" s="44"/>
      <c r="CA70" s="78"/>
      <c r="CB70" s="44"/>
      <c r="CC70" s="44"/>
      <c r="CD70" s="44"/>
      <c r="CE70" s="44"/>
      <c r="CF70" s="44"/>
      <c r="CG70" s="44"/>
      <c r="CH70" s="79" t="s">
        <v>18</v>
      </c>
      <c r="CI70" s="80">
        <v>0</v>
      </c>
      <c r="CJ70" s="79" t="s">
        <v>19</v>
      </c>
      <c r="CK70" s="80">
        <v>0</v>
      </c>
      <c r="CL70" s="44"/>
      <c r="CM70" s="230"/>
      <c r="CN70" s="78" t="s">
        <v>22</v>
      </c>
      <c r="CO70" s="44"/>
      <c r="CP70" s="78"/>
      <c r="CQ70" s="44"/>
      <c r="CR70" s="44"/>
      <c r="CS70" s="44"/>
      <c r="CT70" s="44"/>
      <c r="CU70" s="44"/>
      <c r="CV70" s="44"/>
      <c r="CW70" s="79" t="s">
        <v>18</v>
      </c>
      <c r="CX70" s="80">
        <v>0</v>
      </c>
      <c r="CY70" s="79" t="s">
        <v>19</v>
      </c>
      <c r="CZ70" s="80">
        <v>0</v>
      </c>
      <c r="DA70" s="44"/>
      <c r="DB70" s="230"/>
      <c r="DC70" s="78" t="s">
        <v>22</v>
      </c>
      <c r="DD70" s="44"/>
      <c r="DE70" s="194"/>
      <c r="DF70" s="195"/>
      <c r="DG70" s="195"/>
      <c r="DH70" s="195"/>
      <c r="DI70" s="195"/>
      <c r="DJ70" s="195"/>
      <c r="DK70" s="195"/>
      <c r="DL70" s="196" t="s">
        <v>18</v>
      </c>
      <c r="DM70" s="197">
        <v>0</v>
      </c>
      <c r="DN70" s="196" t="s">
        <v>19</v>
      </c>
      <c r="DO70" s="197">
        <v>0</v>
      </c>
      <c r="DP70" s="44"/>
      <c r="DQ70" s="230"/>
      <c r="DR70" s="78" t="s">
        <v>22</v>
      </c>
      <c r="DS70" s="44"/>
      <c r="DT70" s="78"/>
      <c r="DU70" s="44"/>
      <c r="DV70" s="44"/>
      <c r="DW70" s="44"/>
      <c r="DX70" s="44"/>
      <c r="DY70" s="44"/>
      <c r="DZ70" s="44"/>
      <c r="EA70" s="79" t="s">
        <v>18</v>
      </c>
      <c r="EB70" s="80">
        <v>0</v>
      </c>
      <c r="EC70" s="79" t="s">
        <v>19</v>
      </c>
      <c r="ED70" s="80">
        <v>0</v>
      </c>
      <c r="EE70" s="44"/>
      <c r="EF70" s="230"/>
      <c r="EG70" s="78" t="s">
        <v>22</v>
      </c>
      <c r="EH70" s="44"/>
      <c r="EI70" s="78"/>
      <c r="EJ70" s="44"/>
      <c r="EK70" s="44"/>
      <c r="EL70" s="44"/>
      <c r="EM70" s="44"/>
      <c r="EN70" s="44"/>
      <c r="EO70" s="44"/>
      <c r="EP70" s="79" t="s">
        <v>18</v>
      </c>
      <c r="EQ70" s="80">
        <v>0</v>
      </c>
      <c r="ER70" s="79" t="s">
        <v>19</v>
      </c>
      <c r="ES70" s="80">
        <v>0</v>
      </c>
      <c r="ET70" s="44"/>
      <c r="EU70" s="230"/>
      <c r="EV70" s="78" t="s">
        <v>22</v>
      </c>
      <c r="EW70" s="44"/>
      <c r="EX70" s="78"/>
      <c r="EY70" s="44"/>
      <c r="EZ70" s="44"/>
      <c r="FA70" s="44"/>
      <c r="FB70" s="44"/>
      <c r="FC70" s="44"/>
      <c r="FD70" s="44"/>
      <c r="FE70" s="79" t="s">
        <v>18</v>
      </c>
      <c r="FF70" s="80">
        <v>0</v>
      </c>
      <c r="FG70" s="79" t="s">
        <v>19</v>
      </c>
      <c r="FH70" s="80">
        <v>0</v>
      </c>
      <c r="FI70" s="44"/>
      <c r="FJ70" s="230"/>
      <c r="FK70" s="78" t="s">
        <v>22</v>
      </c>
      <c r="FL70" s="44"/>
      <c r="FM70" s="78"/>
      <c r="FN70" s="44"/>
      <c r="FO70" s="44"/>
      <c r="FP70" s="44"/>
      <c r="FQ70" s="44"/>
      <c r="FR70" s="44"/>
      <c r="FS70" s="44"/>
      <c r="FT70" s="79" t="s">
        <v>18</v>
      </c>
      <c r="FU70" s="80">
        <v>0</v>
      </c>
      <c r="FV70" s="79" t="s">
        <v>19</v>
      </c>
      <c r="FW70" s="80">
        <v>0</v>
      </c>
      <c r="FX70" s="44"/>
      <c r="FY70" s="230"/>
      <c r="FZ70" s="78" t="s">
        <v>26</v>
      </c>
      <c r="GA70" s="44"/>
      <c r="GB70" s="81"/>
      <c r="GC70" s="82"/>
      <c r="GD70" s="82"/>
      <c r="GE70" s="82"/>
      <c r="GF70" s="82"/>
      <c r="GG70" s="82"/>
      <c r="GH70" s="82"/>
      <c r="GI70" s="83" t="s">
        <v>18</v>
      </c>
      <c r="GJ70" s="64">
        <f>(L70+AA70+AP70+BE70+BT70+CI70+CX70+DM70+EB70+EQ70+FF70+FU70)</f>
        <v>0</v>
      </c>
      <c r="GK70" s="83" t="s">
        <v>19</v>
      </c>
      <c r="GL70" s="64">
        <f>(N70+AC70+AR70+BG70+BV70+CK70+CZ70+DO70+ED70+ES70+FH70+FW70)</f>
        <v>0</v>
      </c>
      <c r="GM70" s="44"/>
    </row>
    <row r="71" spans="1:195" ht="17.100000000000001" customHeight="1" x14ac:dyDescent="0.2">
      <c r="A71" s="228">
        <v>0</v>
      </c>
      <c r="B71" s="250" t="s">
        <v>17</v>
      </c>
      <c r="C71" s="61" t="s">
        <v>18</v>
      </c>
      <c r="D71" s="111">
        <v>0</v>
      </c>
      <c r="E71" s="111">
        <v>0</v>
      </c>
      <c r="F71" s="111">
        <v>0</v>
      </c>
      <c r="G71" s="111">
        <v>0</v>
      </c>
      <c r="H71" s="111">
        <v>0</v>
      </c>
      <c r="I71" s="111">
        <v>0</v>
      </c>
      <c r="J71" s="111">
        <v>0</v>
      </c>
      <c r="K71" s="111">
        <v>0</v>
      </c>
      <c r="L71" s="112">
        <v>0</v>
      </c>
      <c r="M71" s="112">
        <v>0</v>
      </c>
      <c r="N71" s="113">
        <v>0</v>
      </c>
      <c r="O71" s="44"/>
      <c r="P71" s="228">
        <v>0</v>
      </c>
      <c r="Q71" s="250" t="s">
        <v>17</v>
      </c>
      <c r="R71" s="61" t="s">
        <v>18</v>
      </c>
      <c r="S71" s="111">
        <v>0</v>
      </c>
      <c r="T71" s="111">
        <v>0</v>
      </c>
      <c r="U71" s="111">
        <v>0</v>
      </c>
      <c r="V71" s="111">
        <v>0</v>
      </c>
      <c r="W71" s="111">
        <v>0</v>
      </c>
      <c r="X71" s="111">
        <v>0</v>
      </c>
      <c r="Y71" s="111">
        <v>0</v>
      </c>
      <c r="Z71" s="111">
        <v>0</v>
      </c>
      <c r="AA71" s="112">
        <v>0</v>
      </c>
      <c r="AB71" s="112">
        <v>0</v>
      </c>
      <c r="AC71" s="113">
        <v>0</v>
      </c>
      <c r="AD71" s="44"/>
      <c r="AE71" s="228">
        <v>0</v>
      </c>
      <c r="AF71" s="250" t="s">
        <v>17</v>
      </c>
      <c r="AG71" s="61" t="s">
        <v>18</v>
      </c>
      <c r="AH71" s="111">
        <v>0</v>
      </c>
      <c r="AI71" s="111">
        <v>0</v>
      </c>
      <c r="AJ71" s="111">
        <v>0</v>
      </c>
      <c r="AK71" s="111">
        <v>0</v>
      </c>
      <c r="AL71" s="111">
        <v>0</v>
      </c>
      <c r="AM71" s="111">
        <v>0</v>
      </c>
      <c r="AN71" s="111">
        <v>0</v>
      </c>
      <c r="AO71" s="111">
        <v>0</v>
      </c>
      <c r="AP71" s="112">
        <v>0</v>
      </c>
      <c r="AQ71" s="112">
        <v>0</v>
      </c>
      <c r="AR71" s="113">
        <v>0</v>
      </c>
      <c r="AS71" s="44"/>
      <c r="AT71" s="228">
        <v>0</v>
      </c>
      <c r="AU71" s="250" t="s">
        <v>17</v>
      </c>
      <c r="AV71" s="61" t="s">
        <v>18</v>
      </c>
      <c r="AW71" s="111">
        <v>0</v>
      </c>
      <c r="AX71" s="111">
        <v>0</v>
      </c>
      <c r="AY71" s="111">
        <v>0</v>
      </c>
      <c r="AZ71" s="111">
        <v>0</v>
      </c>
      <c r="BA71" s="111">
        <v>0</v>
      </c>
      <c r="BB71" s="111">
        <v>0</v>
      </c>
      <c r="BC71" s="111">
        <v>0</v>
      </c>
      <c r="BD71" s="111">
        <v>0</v>
      </c>
      <c r="BE71" s="112">
        <v>0</v>
      </c>
      <c r="BF71" s="112">
        <v>0</v>
      </c>
      <c r="BG71" s="113">
        <v>0</v>
      </c>
      <c r="BH71" s="44"/>
      <c r="BI71" s="228">
        <v>0</v>
      </c>
      <c r="BJ71" s="250" t="s">
        <v>17</v>
      </c>
      <c r="BK71" s="61" t="s">
        <v>18</v>
      </c>
      <c r="BL71" s="111">
        <v>0</v>
      </c>
      <c r="BM71" s="111">
        <v>0</v>
      </c>
      <c r="BN71" s="111">
        <v>0</v>
      </c>
      <c r="BO71" s="111">
        <v>0</v>
      </c>
      <c r="BP71" s="111">
        <v>0</v>
      </c>
      <c r="BQ71" s="111">
        <v>0</v>
      </c>
      <c r="BR71" s="111">
        <v>0</v>
      </c>
      <c r="BS71" s="111">
        <v>0</v>
      </c>
      <c r="BT71" s="112">
        <v>0</v>
      </c>
      <c r="BU71" s="112">
        <v>0</v>
      </c>
      <c r="BV71" s="113">
        <v>0</v>
      </c>
      <c r="BW71" s="44"/>
      <c r="BX71" s="228">
        <v>0</v>
      </c>
      <c r="BY71" s="250" t="s">
        <v>17</v>
      </c>
      <c r="BZ71" s="61" t="s">
        <v>18</v>
      </c>
      <c r="CA71" s="111">
        <v>0</v>
      </c>
      <c r="CB71" s="111">
        <v>0</v>
      </c>
      <c r="CC71" s="111">
        <v>0</v>
      </c>
      <c r="CD71" s="111">
        <v>0</v>
      </c>
      <c r="CE71" s="111">
        <v>0</v>
      </c>
      <c r="CF71" s="111">
        <v>0</v>
      </c>
      <c r="CG71" s="111">
        <v>0</v>
      </c>
      <c r="CH71" s="111">
        <v>0</v>
      </c>
      <c r="CI71" s="112">
        <v>0</v>
      </c>
      <c r="CJ71" s="112">
        <v>0</v>
      </c>
      <c r="CK71" s="113">
        <v>0</v>
      </c>
      <c r="CL71" s="44"/>
      <c r="CM71" s="228">
        <v>0</v>
      </c>
      <c r="CN71" s="250" t="s">
        <v>17</v>
      </c>
      <c r="CO71" s="61" t="s">
        <v>18</v>
      </c>
      <c r="CP71" s="111">
        <v>0</v>
      </c>
      <c r="CQ71" s="111">
        <v>0</v>
      </c>
      <c r="CR71" s="111">
        <v>0</v>
      </c>
      <c r="CS71" s="111">
        <v>0</v>
      </c>
      <c r="CT71" s="111">
        <v>0</v>
      </c>
      <c r="CU71" s="111">
        <v>0</v>
      </c>
      <c r="CV71" s="111">
        <v>0</v>
      </c>
      <c r="CW71" s="111">
        <v>0</v>
      </c>
      <c r="CX71" s="112">
        <v>0</v>
      </c>
      <c r="CY71" s="112">
        <v>0</v>
      </c>
      <c r="CZ71" s="113">
        <v>0</v>
      </c>
      <c r="DA71" s="44"/>
      <c r="DB71" s="228">
        <v>0</v>
      </c>
      <c r="DC71" s="250" t="s">
        <v>17</v>
      </c>
      <c r="DD71" s="61" t="s">
        <v>18</v>
      </c>
      <c r="DE71" s="179">
        <v>0</v>
      </c>
      <c r="DF71" s="179">
        <v>0</v>
      </c>
      <c r="DG71" s="179">
        <v>0</v>
      </c>
      <c r="DH71" s="179">
        <v>0</v>
      </c>
      <c r="DI71" s="179">
        <v>0</v>
      </c>
      <c r="DJ71" s="179">
        <v>0</v>
      </c>
      <c r="DK71" s="179">
        <v>0</v>
      </c>
      <c r="DL71" s="179">
        <v>0</v>
      </c>
      <c r="DM71" s="180">
        <v>0</v>
      </c>
      <c r="DN71" s="180">
        <v>0</v>
      </c>
      <c r="DO71" s="181">
        <v>0</v>
      </c>
      <c r="DP71" s="44"/>
      <c r="DQ71" s="228">
        <v>0</v>
      </c>
      <c r="DR71" s="250" t="s">
        <v>17</v>
      </c>
      <c r="DS71" s="61" t="s">
        <v>18</v>
      </c>
      <c r="DT71" s="111">
        <v>0</v>
      </c>
      <c r="DU71" s="111">
        <v>0</v>
      </c>
      <c r="DV71" s="111">
        <v>0</v>
      </c>
      <c r="DW71" s="111">
        <v>0</v>
      </c>
      <c r="DX71" s="111">
        <v>0</v>
      </c>
      <c r="DY71" s="111">
        <v>0</v>
      </c>
      <c r="DZ71" s="111">
        <v>0</v>
      </c>
      <c r="EA71" s="111">
        <v>0</v>
      </c>
      <c r="EB71" s="112">
        <v>0</v>
      </c>
      <c r="EC71" s="112">
        <v>0</v>
      </c>
      <c r="ED71" s="113">
        <v>0</v>
      </c>
      <c r="EE71" s="44"/>
      <c r="EF71" s="228">
        <v>0</v>
      </c>
      <c r="EG71" s="250" t="s">
        <v>17</v>
      </c>
      <c r="EH71" s="61" t="s">
        <v>18</v>
      </c>
      <c r="EI71" s="111">
        <v>0</v>
      </c>
      <c r="EJ71" s="111">
        <v>0</v>
      </c>
      <c r="EK71" s="111">
        <v>0</v>
      </c>
      <c r="EL71" s="111">
        <v>0</v>
      </c>
      <c r="EM71" s="111">
        <v>0</v>
      </c>
      <c r="EN71" s="111">
        <v>0</v>
      </c>
      <c r="EO71" s="111">
        <v>0</v>
      </c>
      <c r="EP71" s="111">
        <v>0</v>
      </c>
      <c r="EQ71" s="112">
        <v>0</v>
      </c>
      <c r="ER71" s="112">
        <v>0</v>
      </c>
      <c r="ES71" s="113">
        <v>0</v>
      </c>
      <c r="ET71" s="44"/>
      <c r="EU71" s="228">
        <v>0</v>
      </c>
      <c r="EV71" s="250" t="s">
        <v>17</v>
      </c>
      <c r="EW71" s="61" t="s">
        <v>18</v>
      </c>
      <c r="EX71" s="111">
        <v>0</v>
      </c>
      <c r="EY71" s="111">
        <v>0</v>
      </c>
      <c r="EZ71" s="111">
        <v>0</v>
      </c>
      <c r="FA71" s="111">
        <v>0</v>
      </c>
      <c r="FB71" s="111">
        <v>0</v>
      </c>
      <c r="FC71" s="111">
        <v>0</v>
      </c>
      <c r="FD71" s="111">
        <v>0</v>
      </c>
      <c r="FE71" s="111">
        <v>0</v>
      </c>
      <c r="FF71" s="112">
        <v>0</v>
      </c>
      <c r="FG71" s="112">
        <v>0</v>
      </c>
      <c r="FH71" s="113">
        <v>0</v>
      </c>
      <c r="FI71" s="44"/>
      <c r="FJ71" s="228">
        <v>0</v>
      </c>
      <c r="FK71" s="250" t="s">
        <v>17</v>
      </c>
      <c r="FL71" s="61" t="s">
        <v>18</v>
      </c>
      <c r="FM71" s="111">
        <v>0</v>
      </c>
      <c r="FN71" s="111">
        <v>0</v>
      </c>
      <c r="FO71" s="111">
        <v>0</v>
      </c>
      <c r="FP71" s="111">
        <v>0</v>
      </c>
      <c r="FQ71" s="111">
        <v>0</v>
      </c>
      <c r="FR71" s="111">
        <v>0</v>
      </c>
      <c r="FS71" s="111">
        <v>0</v>
      </c>
      <c r="FT71" s="111">
        <v>0</v>
      </c>
      <c r="FU71" s="112">
        <v>0</v>
      </c>
      <c r="FV71" s="112">
        <v>0</v>
      </c>
      <c r="FW71" s="113">
        <v>0</v>
      </c>
      <c r="FX71" s="44"/>
      <c r="FY71" s="228">
        <f>(FJ71)</f>
        <v>0</v>
      </c>
      <c r="FZ71" s="126" t="s">
        <v>17</v>
      </c>
      <c r="GA71" s="62" t="s">
        <v>18</v>
      </c>
      <c r="GB71" s="63">
        <f>SUM(FM71)</f>
        <v>0</v>
      </c>
      <c r="GC71" s="64">
        <f t="shared" ref="GC71:GC74" si="244">(E71+T71+AI71+AX71+BM71+CB71+CQ71+DF71+DU71+EJ71+EY71+FN71)</f>
        <v>0</v>
      </c>
      <c r="GD71" s="64">
        <f t="shared" ref="GD71:GD74" si="245">(F71+U71+AJ71+AY71+BN71+CC71+CR71+DG71+DV71+EK71+EZ71+FO71)</f>
        <v>0</v>
      </c>
      <c r="GE71" s="64">
        <f t="shared" ref="GE71:GE74" si="246">SUM(FP71)</f>
        <v>0</v>
      </c>
      <c r="GF71" s="64">
        <f t="shared" ref="GF71:GF74" si="247">SUM(FQ71)</f>
        <v>0</v>
      </c>
      <c r="GG71" s="64">
        <f t="shared" ref="GG71:GG74" si="248">SUM(FR71)</f>
        <v>0</v>
      </c>
      <c r="GH71" s="64">
        <f t="shared" ref="GH71:GH74" si="249">(J71+Y71+AN71+BC71+BR71+CG71+CV71+DK71+DZ71+EO71+FD71+FS71)</f>
        <v>0</v>
      </c>
      <c r="GI71" s="64">
        <f t="shared" ref="GI71:GI74" si="250">(K71+Z71+AO71+BD71+BS71+CH71+CW71+DL71+EA71+EP71+FE71+FT71)</f>
        <v>0</v>
      </c>
      <c r="GJ71" s="64">
        <f t="shared" ref="GJ71:GJ74" si="251">(L71+AA71+AP71+BE71+BT71+CI71+CX71+DM71+EB71+EQ71+FF71+FU71)</f>
        <v>0</v>
      </c>
      <c r="GK71" s="64">
        <f t="shared" ref="GK71:GK74" si="252">(M71+AB71+AQ71+BF71+BU71+CJ71+CY71+DN71+EC71+ER71+FG71+FV71)</f>
        <v>0</v>
      </c>
      <c r="GL71" s="64">
        <f t="shared" ref="GL71:GL74" si="253">(N71+AC71+AR71+BG71+BV71+CK71+CZ71+DO71+ED71+ES71+FH71+FW71)</f>
        <v>0</v>
      </c>
      <c r="GM71" s="44"/>
    </row>
    <row r="72" spans="1:195" ht="17.100000000000001" customHeight="1" thickBot="1" x14ac:dyDescent="0.25">
      <c r="A72" s="229"/>
      <c r="B72" s="251"/>
      <c r="C72" s="65" t="s">
        <v>19</v>
      </c>
      <c r="D72" s="114">
        <v>0</v>
      </c>
      <c r="E72" s="114">
        <v>0</v>
      </c>
      <c r="F72" s="114">
        <v>0</v>
      </c>
      <c r="G72" s="114">
        <v>0</v>
      </c>
      <c r="H72" s="114">
        <v>0</v>
      </c>
      <c r="I72" s="114">
        <v>0</v>
      </c>
      <c r="J72" s="114">
        <v>0</v>
      </c>
      <c r="K72" s="114">
        <v>0</v>
      </c>
      <c r="L72" s="115">
        <v>0</v>
      </c>
      <c r="M72" s="115">
        <v>0</v>
      </c>
      <c r="N72" s="116">
        <v>0</v>
      </c>
      <c r="O72" s="44"/>
      <c r="P72" s="229"/>
      <c r="Q72" s="251"/>
      <c r="R72" s="65" t="s">
        <v>19</v>
      </c>
      <c r="S72" s="114">
        <v>0</v>
      </c>
      <c r="T72" s="114">
        <v>0</v>
      </c>
      <c r="U72" s="114">
        <v>0</v>
      </c>
      <c r="V72" s="114">
        <v>0</v>
      </c>
      <c r="W72" s="114">
        <v>0</v>
      </c>
      <c r="X72" s="114">
        <v>0</v>
      </c>
      <c r="Y72" s="114">
        <v>0</v>
      </c>
      <c r="Z72" s="114">
        <v>0</v>
      </c>
      <c r="AA72" s="115">
        <v>0</v>
      </c>
      <c r="AB72" s="115">
        <v>0</v>
      </c>
      <c r="AC72" s="116">
        <v>0</v>
      </c>
      <c r="AD72" s="44"/>
      <c r="AE72" s="229"/>
      <c r="AF72" s="251"/>
      <c r="AG72" s="65" t="s">
        <v>19</v>
      </c>
      <c r="AH72" s="114">
        <v>0</v>
      </c>
      <c r="AI72" s="114">
        <v>0</v>
      </c>
      <c r="AJ72" s="114">
        <v>0</v>
      </c>
      <c r="AK72" s="114">
        <v>0</v>
      </c>
      <c r="AL72" s="114">
        <v>0</v>
      </c>
      <c r="AM72" s="114">
        <v>0</v>
      </c>
      <c r="AN72" s="114">
        <v>0</v>
      </c>
      <c r="AO72" s="114">
        <v>0</v>
      </c>
      <c r="AP72" s="115">
        <v>0</v>
      </c>
      <c r="AQ72" s="115">
        <v>0</v>
      </c>
      <c r="AR72" s="116">
        <v>0</v>
      </c>
      <c r="AS72" s="44"/>
      <c r="AT72" s="229"/>
      <c r="AU72" s="251"/>
      <c r="AV72" s="65" t="s">
        <v>19</v>
      </c>
      <c r="AW72" s="114">
        <v>0</v>
      </c>
      <c r="AX72" s="114">
        <v>0</v>
      </c>
      <c r="AY72" s="114">
        <v>0</v>
      </c>
      <c r="AZ72" s="114">
        <v>0</v>
      </c>
      <c r="BA72" s="114">
        <v>0</v>
      </c>
      <c r="BB72" s="114">
        <v>0</v>
      </c>
      <c r="BC72" s="114">
        <v>0</v>
      </c>
      <c r="BD72" s="114">
        <v>0</v>
      </c>
      <c r="BE72" s="115">
        <v>0</v>
      </c>
      <c r="BF72" s="115">
        <v>0</v>
      </c>
      <c r="BG72" s="116">
        <v>0</v>
      </c>
      <c r="BH72" s="44"/>
      <c r="BI72" s="229"/>
      <c r="BJ72" s="251"/>
      <c r="BK72" s="65" t="s">
        <v>19</v>
      </c>
      <c r="BL72" s="114">
        <v>0</v>
      </c>
      <c r="BM72" s="114">
        <v>0</v>
      </c>
      <c r="BN72" s="114">
        <v>0</v>
      </c>
      <c r="BO72" s="114">
        <v>0</v>
      </c>
      <c r="BP72" s="114">
        <v>0</v>
      </c>
      <c r="BQ72" s="114">
        <v>0</v>
      </c>
      <c r="BR72" s="114">
        <v>0</v>
      </c>
      <c r="BS72" s="114">
        <v>0</v>
      </c>
      <c r="BT72" s="115">
        <v>0</v>
      </c>
      <c r="BU72" s="115">
        <v>0</v>
      </c>
      <c r="BV72" s="116">
        <v>0</v>
      </c>
      <c r="BW72" s="44"/>
      <c r="BX72" s="229"/>
      <c r="BY72" s="251"/>
      <c r="BZ72" s="65" t="s">
        <v>19</v>
      </c>
      <c r="CA72" s="114">
        <v>0</v>
      </c>
      <c r="CB72" s="114">
        <v>0</v>
      </c>
      <c r="CC72" s="114">
        <v>0</v>
      </c>
      <c r="CD72" s="114">
        <v>0</v>
      </c>
      <c r="CE72" s="114">
        <v>0</v>
      </c>
      <c r="CF72" s="114">
        <v>0</v>
      </c>
      <c r="CG72" s="114">
        <v>0</v>
      </c>
      <c r="CH72" s="114">
        <v>0</v>
      </c>
      <c r="CI72" s="115">
        <v>0</v>
      </c>
      <c r="CJ72" s="115">
        <v>0</v>
      </c>
      <c r="CK72" s="116">
        <v>0</v>
      </c>
      <c r="CL72" s="44"/>
      <c r="CM72" s="229"/>
      <c r="CN72" s="251"/>
      <c r="CO72" s="65" t="s">
        <v>19</v>
      </c>
      <c r="CP72" s="114">
        <v>0</v>
      </c>
      <c r="CQ72" s="114">
        <v>0</v>
      </c>
      <c r="CR72" s="114">
        <v>0</v>
      </c>
      <c r="CS72" s="114">
        <v>0</v>
      </c>
      <c r="CT72" s="114">
        <v>0</v>
      </c>
      <c r="CU72" s="114">
        <v>0</v>
      </c>
      <c r="CV72" s="114">
        <v>0</v>
      </c>
      <c r="CW72" s="114">
        <v>0</v>
      </c>
      <c r="CX72" s="115">
        <v>0</v>
      </c>
      <c r="CY72" s="115">
        <v>0</v>
      </c>
      <c r="CZ72" s="116">
        <v>0</v>
      </c>
      <c r="DA72" s="44"/>
      <c r="DB72" s="229"/>
      <c r="DC72" s="251"/>
      <c r="DD72" s="65" t="s">
        <v>19</v>
      </c>
      <c r="DE72" s="182">
        <v>0</v>
      </c>
      <c r="DF72" s="182">
        <v>0</v>
      </c>
      <c r="DG72" s="182">
        <v>0</v>
      </c>
      <c r="DH72" s="182">
        <v>0</v>
      </c>
      <c r="DI72" s="182">
        <v>0</v>
      </c>
      <c r="DJ72" s="182">
        <v>0</v>
      </c>
      <c r="DK72" s="182">
        <v>0</v>
      </c>
      <c r="DL72" s="182">
        <v>0</v>
      </c>
      <c r="DM72" s="183">
        <v>0</v>
      </c>
      <c r="DN72" s="183">
        <v>0</v>
      </c>
      <c r="DO72" s="184">
        <v>0</v>
      </c>
      <c r="DP72" s="44"/>
      <c r="DQ72" s="229"/>
      <c r="DR72" s="251"/>
      <c r="DS72" s="65" t="s">
        <v>19</v>
      </c>
      <c r="DT72" s="114">
        <v>0</v>
      </c>
      <c r="DU72" s="114">
        <v>0</v>
      </c>
      <c r="DV72" s="114">
        <v>0</v>
      </c>
      <c r="DW72" s="114">
        <v>0</v>
      </c>
      <c r="DX72" s="114">
        <v>0</v>
      </c>
      <c r="DY72" s="114">
        <v>0</v>
      </c>
      <c r="DZ72" s="114">
        <v>0</v>
      </c>
      <c r="EA72" s="114">
        <v>0</v>
      </c>
      <c r="EB72" s="115">
        <v>0</v>
      </c>
      <c r="EC72" s="115">
        <v>0</v>
      </c>
      <c r="ED72" s="116">
        <v>0</v>
      </c>
      <c r="EE72" s="44"/>
      <c r="EF72" s="229"/>
      <c r="EG72" s="251"/>
      <c r="EH72" s="65" t="s">
        <v>19</v>
      </c>
      <c r="EI72" s="114">
        <v>0</v>
      </c>
      <c r="EJ72" s="114">
        <v>0</v>
      </c>
      <c r="EK72" s="114">
        <v>0</v>
      </c>
      <c r="EL72" s="114">
        <v>0</v>
      </c>
      <c r="EM72" s="114">
        <v>0</v>
      </c>
      <c r="EN72" s="114">
        <v>0</v>
      </c>
      <c r="EO72" s="114">
        <v>0</v>
      </c>
      <c r="EP72" s="114">
        <v>0</v>
      </c>
      <c r="EQ72" s="115">
        <v>0</v>
      </c>
      <c r="ER72" s="115">
        <v>0</v>
      </c>
      <c r="ES72" s="116">
        <v>0</v>
      </c>
      <c r="ET72" s="44"/>
      <c r="EU72" s="229"/>
      <c r="EV72" s="251"/>
      <c r="EW72" s="65" t="s">
        <v>19</v>
      </c>
      <c r="EX72" s="114">
        <v>0</v>
      </c>
      <c r="EY72" s="114">
        <v>0</v>
      </c>
      <c r="EZ72" s="114">
        <v>0</v>
      </c>
      <c r="FA72" s="114">
        <v>0</v>
      </c>
      <c r="FB72" s="114">
        <v>0</v>
      </c>
      <c r="FC72" s="114">
        <v>0</v>
      </c>
      <c r="FD72" s="114">
        <v>0</v>
      </c>
      <c r="FE72" s="114">
        <v>0</v>
      </c>
      <c r="FF72" s="115">
        <v>0</v>
      </c>
      <c r="FG72" s="115">
        <v>0</v>
      </c>
      <c r="FH72" s="116">
        <v>0</v>
      </c>
      <c r="FI72" s="44"/>
      <c r="FJ72" s="229"/>
      <c r="FK72" s="251"/>
      <c r="FL72" s="65" t="s">
        <v>19</v>
      </c>
      <c r="FM72" s="114">
        <v>0</v>
      </c>
      <c r="FN72" s="114">
        <v>0</v>
      </c>
      <c r="FO72" s="114">
        <v>0</v>
      </c>
      <c r="FP72" s="114">
        <v>0</v>
      </c>
      <c r="FQ72" s="114">
        <v>0</v>
      </c>
      <c r="FR72" s="114">
        <v>0</v>
      </c>
      <c r="FS72" s="114">
        <v>0</v>
      </c>
      <c r="FT72" s="114">
        <v>0</v>
      </c>
      <c r="FU72" s="115">
        <v>0</v>
      </c>
      <c r="FV72" s="115">
        <v>0</v>
      </c>
      <c r="FW72" s="116">
        <v>0</v>
      </c>
      <c r="FX72" s="44"/>
      <c r="FY72" s="229"/>
      <c r="FZ72" s="127"/>
      <c r="GA72" s="66" t="s">
        <v>19</v>
      </c>
      <c r="GB72" s="67">
        <f>SUM(FM72)</f>
        <v>0</v>
      </c>
      <c r="GC72" s="68">
        <f t="shared" si="244"/>
        <v>0</v>
      </c>
      <c r="GD72" s="68">
        <f t="shared" si="245"/>
        <v>0</v>
      </c>
      <c r="GE72" s="68">
        <f t="shared" si="246"/>
        <v>0</v>
      </c>
      <c r="GF72" s="68">
        <f t="shared" si="247"/>
        <v>0</v>
      </c>
      <c r="GG72" s="68">
        <f t="shared" si="248"/>
        <v>0</v>
      </c>
      <c r="GH72" s="68">
        <f t="shared" si="249"/>
        <v>0</v>
      </c>
      <c r="GI72" s="68">
        <f t="shared" si="250"/>
        <v>0</v>
      </c>
      <c r="GJ72" s="68">
        <f t="shared" si="251"/>
        <v>0</v>
      </c>
      <c r="GK72" s="68">
        <f t="shared" si="252"/>
        <v>0</v>
      </c>
      <c r="GL72" s="68">
        <f t="shared" si="253"/>
        <v>0</v>
      </c>
      <c r="GM72" s="44"/>
    </row>
    <row r="73" spans="1:195" ht="17.100000000000001" customHeight="1" x14ac:dyDescent="0.2">
      <c r="A73" s="229"/>
      <c r="B73" s="69" t="s">
        <v>20</v>
      </c>
      <c r="C73" s="70" t="s">
        <v>18</v>
      </c>
      <c r="D73" s="111">
        <v>0</v>
      </c>
      <c r="E73" s="111">
        <v>0</v>
      </c>
      <c r="F73" s="111">
        <v>0</v>
      </c>
      <c r="G73" s="111">
        <v>0</v>
      </c>
      <c r="H73" s="111">
        <v>0</v>
      </c>
      <c r="I73" s="111">
        <v>0</v>
      </c>
      <c r="J73" s="111">
        <v>0</v>
      </c>
      <c r="K73" s="117">
        <v>0</v>
      </c>
      <c r="L73" s="118">
        <v>0</v>
      </c>
      <c r="M73" s="118">
        <v>0</v>
      </c>
      <c r="N73" s="119">
        <v>0</v>
      </c>
      <c r="O73" s="44"/>
      <c r="P73" s="229"/>
      <c r="Q73" s="69" t="s">
        <v>20</v>
      </c>
      <c r="R73" s="70" t="s">
        <v>18</v>
      </c>
      <c r="S73" s="111">
        <v>0</v>
      </c>
      <c r="T73" s="111">
        <v>0</v>
      </c>
      <c r="U73" s="111">
        <v>0</v>
      </c>
      <c r="V73" s="111">
        <v>0</v>
      </c>
      <c r="W73" s="111">
        <v>0</v>
      </c>
      <c r="X73" s="111">
        <v>0</v>
      </c>
      <c r="Y73" s="111">
        <v>0</v>
      </c>
      <c r="Z73" s="117">
        <v>0</v>
      </c>
      <c r="AA73" s="118">
        <v>0</v>
      </c>
      <c r="AB73" s="118">
        <v>0</v>
      </c>
      <c r="AC73" s="119">
        <v>0</v>
      </c>
      <c r="AD73" s="44"/>
      <c r="AE73" s="229"/>
      <c r="AF73" s="69" t="s">
        <v>20</v>
      </c>
      <c r="AG73" s="70" t="s">
        <v>18</v>
      </c>
      <c r="AH73" s="111">
        <v>0</v>
      </c>
      <c r="AI73" s="111">
        <v>0</v>
      </c>
      <c r="AJ73" s="111">
        <v>0</v>
      </c>
      <c r="AK73" s="111">
        <v>0</v>
      </c>
      <c r="AL73" s="111">
        <v>0</v>
      </c>
      <c r="AM73" s="111">
        <v>0</v>
      </c>
      <c r="AN73" s="111">
        <v>0</v>
      </c>
      <c r="AO73" s="117">
        <v>0</v>
      </c>
      <c r="AP73" s="118">
        <v>0</v>
      </c>
      <c r="AQ73" s="118">
        <v>0</v>
      </c>
      <c r="AR73" s="119">
        <v>0</v>
      </c>
      <c r="AS73" s="44"/>
      <c r="AT73" s="229"/>
      <c r="AU73" s="69" t="s">
        <v>20</v>
      </c>
      <c r="AV73" s="70" t="s">
        <v>18</v>
      </c>
      <c r="AW73" s="111">
        <v>0</v>
      </c>
      <c r="AX73" s="111">
        <v>0</v>
      </c>
      <c r="AY73" s="111">
        <v>0</v>
      </c>
      <c r="AZ73" s="111">
        <v>0</v>
      </c>
      <c r="BA73" s="111">
        <v>0</v>
      </c>
      <c r="BB73" s="111">
        <v>0</v>
      </c>
      <c r="BC73" s="111">
        <v>0</v>
      </c>
      <c r="BD73" s="117">
        <v>0</v>
      </c>
      <c r="BE73" s="118">
        <v>0</v>
      </c>
      <c r="BF73" s="118">
        <v>0</v>
      </c>
      <c r="BG73" s="119">
        <v>0</v>
      </c>
      <c r="BH73" s="44"/>
      <c r="BI73" s="229"/>
      <c r="BJ73" s="69" t="s">
        <v>20</v>
      </c>
      <c r="BK73" s="70" t="s">
        <v>18</v>
      </c>
      <c r="BL73" s="111">
        <v>0</v>
      </c>
      <c r="BM73" s="111">
        <v>0</v>
      </c>
      <c r="BN73" s="111">
        <v>0</v>
      </c>
      <c r="BO73" s="111">
        <v>0</v>
      </c>
      <c r="BP73" s="111">
        <v>0</v>
      </c>
      <c r="BQ73" s="111">
        <v>0</v>
      </c>
      <c r="BR73" s="111">
        <v>0</v>
      </c>
      <c r="BS73" s="117">
        <v>0</v>
      </c>
      <c r="BT73" s="118">
        <v>0</v>
      </c>
      <c r="BU73" s="118">
        <v>0</v>
      </c>
      <c r="BV73" s="119">
        <v>0</v>
      </c>
      <c r="BW73" s="44"/>
      <c r="BX73" s="229"/>
      <c r="BY73" s="69" t="s">
        <v>20</v>
      </c>
      <c r="BZ73" s="70" t="s">
        <v>18</v>
      </c>
      <c r="CA73" s="111">
        <v>0</v>
      </c>
      <c r="CB73" s="111">
        <v>0</v>
      </c>
      <c r="CC73" s="111">
        <v>0</v>
      </c>
      <c r="CD73" s="111">
        <v>0</v>
      </c>
      <c r="CE73" s="111">
        <v>0</v>
      </c>
      <c r="CF73" s="111">
        <v>0</v>
      </c>
      <c r="CG73" s="111">
        <v>0</v>
      </c>
      <c r="CH73" s="117">
        <v>0</v>
      </c>
      <c r="CI73" s="118">
        <v>0</v>
      </c>
      <c r="CJ73" s="118">
        <v>0</v>
      </c>
      <c r="CK73" s="119">
        <v>0</v>
      </c>
      <c r="CL73" s="44"/>
      <c r="CM73" s="229"/>
      <c r="CN73" s="69" t="s">
        <v>20</v>
      </c>
      <c r="CO73" s="70" t="s">
        <v>18</v>
      </c>
      <c r="CP73" s="111">
        <v>0</v>
      </c>
      <c r="CQ73" s="111">
        <v>0</v>
      </c>
      <c r="CR73" s="111">
        <v>0</v>
      </c>
      <c r="CS73" s="111">
        <v>0</v>
      </c>
      <c r="CT73" s="111">
        <v>0</v>
      </c>
      <c r="CU73" s="111">
        <v>0</v>
      </c>
      <c r="CV73" s="111">
        <v>0</v>
      </c>
      <c r="CW73" s="117">
        <v>0</v>
      </c>
      <c r="CX73" s="118">
        <v>0</v>
      </c>
      <c r="CY73" s="118">
        <v>0</v>
      </c>
      <c r="CZ73" s="119">
        <v>0</v>
      </c>
      <c r="DA73" s="44"/>
      <c r="DB73" s="229"/>
      <c r="DC73" s="69" t="s">
        <v>20</v>
      </c>
      <c r="DD73" s="70" t="s">
        <v>18</v>
      </c>
      <c r="DE73" s="179">
        <v>0</v>
      </c>
      <c r="DF73" s="179">
        <v>0</v>
      </c>
      <c r="DG73" s="179">
        <v>0</v>
      </c>
      <c r="DH73" s="179">
        <v>0</v>
      </c>
      <c r="DI73" s="179">
        <v>0</v>
      </c>
      <c r="DJ73" s="179">
        <v>0</v>
      </c>
      <c r="DK73" s="179">
        <v>0</v>
      </c>
      <c r="DL73" s="185">
        <v>0</v>
      </c>
      <c r="DM73" s="186">
        <v>0</v>
      </c>
      <c r="DN73" s="186">
        <v>0</v>
      </c>
      <c r="DO73" s="187">
        <v>0</v>
      </c>
      <c r="DP73" s="44"/>
      <c r="DQ73" s="229"/>
      <c r="DR73" s="69" t="s">
        <v>20</v>
      </c>
      <c r="DS73" s="70" t="s">
        <v>18</v>
      </c>
      <c r="DT73" s="111">
        <v>0</v>
      </c>
      <c r="DU73" s="111">
        <v>0</v>
      </c>
      <c r="DV73" s="111">
        <v>0</v>
      </c>
      <c r="DW73" s="111">
        <v>0</v>
      </c>
      <c r="DX73" s="111">
        <v>0</v>
      </c>
      <c r="DY73" s="111">
        <v>0</v>
      </c>
      <c r="DZ73" s="111">
        <v>0</v>
      </c>
      <c r="EA73" s="117">
        <v>0</v>
      </c>
      <c r="EB73" s="118">
        <v>0</v>
      </c>
      <c r="EC73" s="118">
        <v>0</v>
      </c>
      <c r="ED73" s="119">
        <v>0</v>
      </c>
      <c r="EE73" s="44"/>
      <c r="EF73" s="229"/>
      <c r="EG73" s="69" t="s">
        <v>20</v>
      </c>
      <c r="EH73" s="70" t="s">
        <v>18</v>
      </c>
      <c r="EI73" s="111">
        <v>0</v>
      </c>
      <c r="EJ73" s="111">
        <v>0</v>
      </c>
      <c r="EK73" s="111">
        <v>0</v>
      </c>
      <c r="EL73" s="111">
        <v>0</v>
      </c>
      <c r="EM73" s="111">
        <v>0</v>
      </c>
      <c r="EN73" s="111">
        <v>0</v>
      </c>
      <c r="EO73" s="111">
        <v>0</v>
      </c>
      <c r="EP73" s="117">
        <v>0</v>
      </c>
      <c r="EQ73" s="118">
        <v>0</v>
      </c>
      <c r="ER73" s="118">
        <v>0</v>
      </c>
      <c r="ES73" s="119">
        <v>0</v>
      </c>
      <c r="ET73" s="44"/>
      <c r="EU73" s="229"/>
      <c r="EV73" s="69" t="s">
        <v>20</v>
      </c>
      <c r="EW73" s="70" t="s">
        <v>18</v>
      </c>
      <c r="EX73" s="111">
        <v>0</v>
      </c>
      <c r="EY73" s="111">
        <v>0</v>
      </c>
      <c r="EZ73" s="111">
        <v>0</v>
      </c>
      <c r="FA73" s="111">
        <v>0</v>
      </c>
      <c r="FB73" s="111">
        <v>0</v>
      </c>
      <c r="FC73" s="111">
        <v>0</v>
      </c>
      <c r="FD73" s="111">
        <v>0</v>
      </c>
      <c r="FE73" s="117">
        <v>0</v>
      </c>
      <c r="FF73" s="118">
        <v>0</v>
      </c>
      <c r="FG73" s="118">
        <v>0</v>
      </c>
      <c r="FH73" s="119">
        <v>0</v>
      </c>
      <c r="FI73" s="44"/>
      <c r="FJ73" s="229"/>
      <c r="FK73" s="69" t="s">
        <v>20</v>
      </c>
      <c r="FL73" s="70" t="s">
        <v>18</v>
      </c>
      <c r="FM73" s="111">
        <v>0</v>
      </c>
      <c r="FN73" s="111">
        <v>0</v>
      </c>
      <c r="FO73" s="111">
        <v>0</v>
      </c>
      <c r="FP73" s="111">
        <v>0</v>
      </c>
      <c r="FQ73" s="111">
        <v>0</v>
      </c>
      <c r="FR73" s="111">
        <v>0</v>
      </c>
      <c r="FS73" s="111">
        <v>0</v>
      </c>
      <c r="FT73" s="117">
        <v>0</v>
      </c>
      <c r="FU73" s="118">
        <v>0</v>
      </c>
      <c r="FV73" s="118">
        <v>0</v>
      </c>
      <c r="FW73" s="119">
        <v>0</v>
      </c>
      <c r="FX73" s="44"/>
      <c r="FY73" s="229"/>
      <c r="FZ73" s="69" t="s">
        <v>20</v>
      </c>
      <c r="GA73" s="71" t="s">
        <v>18</v>
      </c>
      <c r="GB73" s="63">
        <f>SUM(FM73)</f>
        <v>0</v>
      </c>
      <c r="GC73" s="72">
        <f t="shared" si="244"/>
        <v>0</v>
      </c>
      <c r="GD73" s="72">
        <f t="shared" si="245"/>
        <v>0</v>
      </c>
      <c r="GE73" s="72">
        <f t="shared" si="246"/>
        <v>0</v>
      </c>
      <c r="GF73" s="72">
        <f t="shared" si="247"/>
        <v>0</v>
      </c>
      <c r="GG73" s="72">
        <f t="shared" si="248"/>
        <v>0</v>
      </c>
      <c r="GH73" s="72">
        <f t="shared" si="249"/>
        <v>0</v>
      </c>
      <c r="GI73" s="72">
        <f t="shared" si="250"/>
        <v>0</v>
      </c>
      <c r="GJ73" s="72">
        <f t="shared" si="251"/>
        <v>0</v>
      </c>
      <c r="GK73" s="72">
        <f t="shared" si="252"/>
        <v>0</v>
      </c>
      <c r="GL73" s="72">
        <f t="shared" si="253"/>
        <v>0</v>
      </c>
      <c r="GM73" s="44"/>
    </row>
    <row r="74" spans="1:195" ht="17.100000000000001" customHeight="1" thickBot="1" x14ac:dyDescent="0.25">
      <c r="A74" s="229"/>
      <c r="B74" s="73" t="s">
        <v>17</v>
      </c>
      <c r="C74" s="74" t="s">
        <v>19</v>
      </c>
      <c r="D74" s="114">
        <v>0</v>
      </c>
      <c r="E74" s="114">
        <v>0</v>
      </c>
      <c r="F74" s="114">
        <v>0</v>
      </c>
      <c r="G74" s="114">
        <v>0</v>
      </c>
      <c r="H74" s="114">
        <v>0</v>
      </c>
      <c r="I74" s="114">
        <v>0</v>
      </c>
      <c r="J74" s="114">
        <v>0</v>
      </c>
      <c r="K74" s="114">
        <v>0</v>
      </c>
      <c r="L74" s="115">
        <v>0</v>
      </c>
      <c r="M74" s="115">
        <v>0</v>
      </c>
      <c r="N74" s="116">
        <v>0</v>
      </c>
      <c r="O74" s="44"/>
      <c r="P74" s="229"/>
      <c r="Q74" s="73" t="s">
        <v>17</v>
      </c>
      <c r="R74" s="74" t="s">
        <v>19</v>
      </c>
      <c r="S74" s="114">
        <v>0</v>
      </c>
      <c r="T74" s="114">
        <v>0</v>
      </c>
      <c r="U74" s="114">
        <v>0</v>
      </c>
      <c r="V74" s="114">
        <v>0</v>
      </c>
      <c r="W74" s="114">
        <v>0</v>
      </c>
      <c r="X74" s="114">
        <v>0</v>
      </c>
      <c r="Y74" s="114">
        <v>0</v>
      </c>
      <c r="Z74" s="114">
        <v>0</v>
      </c>
      <c r="AA74" s="115">
        <v>0</v>
      </c>
      <c r="AB74" s="115">
        <v>0</v>
      </c>
      <c r="AC74" s="116">
        <v>0</v>
      </c>
      <c r="AD74" s="44"/>
      <c r="AE74" s="229"/>
      <c r="AF74" s="73" t="s">
        <v>17</v>
      </c>
      <c r="AG74" s="74" t="s">
        <v>19</v>
      </c>
      <c r="AH74" s="114">
        <v>0</v>
      </c>
      <c r="AI74" s="114">
        <v>0</v>
      </c>
      <c r="AJ74" s="114">
        <v>0</v>
      </c>
      <c r="AK74" s="114">
        <v>0</v>
      </c>
      <c r="AL74" s="114">
        <v>0</v>
      </c>
      <c r="AM74" s="114">
        <v>0</v>
      </c>
      <c r="AN74" s="114">
        <v>0</v>
      </c>
      <c r="AO74" s="114">
        <v>0</v>
      </c>
      <c r="AP74" s="115">
        <v>0</v>
      </c>
      <c r="AQ74" s="115">
        <v>0</v>
      </c>
      <c r="AR74" s="116">
        <v>0</v>
      </c>
      <c r="AS74" s="44"/>
      <c r="AT74" s="229"/>
      <c r="AU74" s="73" t="s">
        <v>17</v>
      </c>
      <c r="AV74" s="74" t="s">
        <v>19</v>
      </c>
      <c r="AW74" s="114">
        <v>0</v>
      </c>
      <c r="AX74" s="114">
        <v>0</v>
      </c>
      <c r="AY74" s="114">
        <v>0</v>
      </c>
      <c r="AZ74" s="114">
        <v>0</v>
      </c>
      <c r="BA74" s="114">
        <v>0</v>
      </c>
      <c r="BB74" s="114">
        <v>0</v>
      </c>
      <c r="BC74" s="114">
        <v>0</v>
      </c>
      <c r="BD74" s="114">
        <v>0</v>
      </c>
      <c r="BE74" s="115">
        <v>0</v>
      </c>
      <c r="BF74" s="115">
        <v>0</v>
      </c>
      <c r="BG74" s="116">
        <v>0</v>
      </c>
      <c r="BH74" s="44"/>
      <c r="BI74" s="229"/>
      <c r="BJ74" s="73" t="s">
        <v>17</v>
      </c>
      <c r="BK74" s="74" t="s">
        <v>19</v>
      </c>
      <c r="BL74" s="114">
        <v>0</v>
      </c>
      <c r="BM74" s="114">
        <v>0</v>
      </c>
      <c r="BN74" s="114">
        <v>0</v>
      </c>
      <c r="BO74" s="114">
        <v>0</v>
      </c>
      <c r="BP74" s="114">
        <v>0</v>
      </c>
      <c r="BQ74" s="114">
        <v>0</v>
      </c>
      <c r="BR74" s="114">
        <v>0</v>
      </c>
      <c r="BS74" s="114">
        <v>0</v>
      </c>
      <c r="BT74" s="115">
        <v>0</v>
      </c>
      <c r="BU74" s="115">
        <v>0</v>
      </c>
      <c r="BV74" s="116">
        <v>0</v>
      </c>
      <c r="BW74" s="44"/>
      <c r="BX74" s="229"/>
      <c r="BY74" s="73" t="s">
        <v>17</v>
      </c>
      <c r="BZ74" s="74" t="s">
        <v>19</v>
      </c>
      <c r="CA74" s="114">
        <v>0</v>
      </c>
      <c r="CB74" s="114">
        <v>0</v>
      </c>
      <c r="CC74" s="114">
        <v>0</v>
      </c>
      <c r="CD74" s="114">
        <v>0</v>
      </c>
      <c r="CE74" s="114">
        <v>0</v>
      </c>
      <c r="CF74" s="114">
        <v>0</v>
      </c>
      <c r="CG74" s="114">
        <v>0</v>
      </c>
      <c r="CH74" s="114">
        <v>0</v>
      </c>
      <c r="CI74" s="115">
        <v>0</v>
      </c>
      <c r="CJ74" s="115">
        <v>0</v>
      </c>
      <c r="CK74" s="116">
        <v>0</v>
      </c>
      <c r="CL74" s="44"/>
      <c r="CM74" s="229"/>
      <c r="CN74" s="73" t="s">
        <v>17</v>
      </c>
      <c r="CO74" s="74" t="s">
        <v>19</v>
      </c>
      <c r="CP74" s="114">
        <v>0</v>
      </c>
      <c r="CQ74" s="114">
        <v>0</v>
      </c>
      <c r="CR74" s="114">
        <v>0</v>
      </c>
      <c r="CS74" s="114">
        <v>0</v>
      </c>
      <c r="CT74" s="114">
        <v>0</v>
      </c>
      <c r="CU74" s="114">
        <v>0</v>
      </c>
      <c r="CV74" s="114">
        <v>0</v>
      </c>
      <c r="CW74" s="114">
        <v>0</v>
      </c>
      <c r="CX74" s="115">
        <v>0</v>
      </c>
      <c r="CY74" s="115">
        <v>0</v>
      </c>
      <c r="CZ74" s="116">
        <v>0</v>
      </c>
      <c r="DA74" s="44"/>
      <c r="DB74" s="229"/>
      <c r="DC74" s="73" t="s">
        <v>17</v>
      </c>
      <c r="DD74" s="74" t="s">
        <v>19</v>
      </c>
      <c r="DE74" s="182">
        <v>0</v>
      </c>
      <c r="DF74" s="182">
        <v>0</v>
      </c>
      <c r="DG74" s="182">
        <v>0</v>
      </c>
      <c r="DH74" s="182">
        <v>0</v>
      </c>
      <c r="DI74" s="182">
        <v>0</v>
      </c>
      <c r="DJ74" s="182">
        <v>0</v>
      </c>
      <c r="DK74" s="182">
        <v>0</v>
      </c>
      <c r="DL74" s="182">
        <v>0</v>
      </c>
      <c r="DM74" s="183">
        <v>0</v>
      </c>
      <c r="DN74" s="183">
        <v>0</v>
      </c>
      <c r="DO74" s="184">
        <v>0</v>
      </c>
      <c r="DP74" s="44"/>
      <c r="DQ74" s="229"/>
      <c r="DR74" s="73" t="s">
        <v>17</v>
      </c>
      <c r="DS74" s="74" t="s">
        <v>19</v>
      </c>
      <c r="DT74" s="114">
        <v>0</v>
      </c>
      <c r="DU74" s="114">
        <v>0</v>
      </c>
      <c r="DV74" s="114">
        <v>0</v>
      </c>
      <c r="DW74" s="114">
        <v>0</v>
      </c>
      <c r="DX74" s="114">
        <v>0</v>
      </c>
      <c r="DY74" s="114">
        <v>0</v>
      </c>
      <c r="DZ74" s="114">
        <v>0</v>
      </c>
      <c r="EA74" s="114">
        <v>0</v>
      </c>
      <c r="EB74" s="115">
        <v>0</v>
      </c>
      <c r="EC74" s="115">
        <v>0</v>
      </c>
      <c r="ED74" s="116">
        <v>0</v>
      </c>
      <c r="EE74" s="44"/>
      <c r="EF74" s="229"/>
      <c r="EG74" s="73" t="s">
        <v>17</v>
      </c>
      <c r="EH74" s="74" t="s">
        <v>19</v>
      </c>
      <c r="EI74" s="114">
        <v>0</v>
      </c>
      <c r="EJ74" s="114">
        <v>0</v>
      </c>
      <c r="EK74" s="114">
        <v>0</v>
      </c>
      <c r="EL74" s="114">
        <v>0</v>
      </c>
      <c r="EM74" s="114">
        <v>0</v>
      </c>
      <c r="EN74" s="114">
        <v>0</v>
      </c>
      <c r="EO74" s="114">
        <v>0</v>
      </c>
      <c r="EP74" s="114">
        <v>0</v>
      </c>
      <c r="EQ74" s="115">
        <v>0</v>
      </c>
      <c r="ER74" s="115">
        <v>0</v>
      </c>
      <c r="ES74" s="116">
        <v>0</v>
      </c>
      <c r="ET74" s="44"/>
      <c r="EU74" s="229"/>
      <c r="EV74" s="73" t="s">
        <v>17</v>
      </c>
      <c r="EW74" s="74" t="s">
        <v>19</v>
      </c>
      <c r="EX74" s="114">
        <v>0</v>
      </c>
      <c r="EY74" s="114">
        <v>0</v>
      </c>
      <c r="EZ74" s="114">
        <v>0</v>
      </c>
      <c r="FA74" s="114">
        <v>0</v>
      </c>
      <c r="FB74" s="114">
        <v>0</v>
      </c>
      <c r="FC74" s="114">
        <v>0</v>
      </c>
      <c r="FD74" s="114">
        <v>0</v>
      </c>
      <c r="FE74" s="114">
        <v>0</v>
      </c>
      <c r="FF74" s="115">
        <v>0</v>
      </c>
      <c r="FG74" s="115">
        <v>0</v>
      </c>
      <c r="FH74" s="116">
        <v>0</v>
      </c>
      <c r="FI74" s="44"/>
      <c r="FJ74" s="229"/>
      <c r="FK74" s="73" t="s">
        <v>17</v>
      </c>
      <c r="FL74" s="74" t="s">
        <v>19</v>
      </c>
      <c r="FM74" s="114">
        <v>0</v>
      </c>
      <c r="FN74" s="114">
        <v>0</v>
      </c>
      <c r="FO74" s="114">
        <v>0</v>
      </c>
      <c r="FP74" s="114">
        <v>0</v>
      </c>
      <c r="FQ74" s="114">
        <v>0</v>
      </c>
      <c r="FR74" s="114">
        <v>0</v>
      </c>
      <c r="FS74" s="114">
        <v>0</v>
      </c>
      <c r="FT74" s="114">
        <v>0</v>
      </c>
      <c r="FU74" s="115">
        <v>0</v>
      </c>
      <c r="FV74" s="115">
        <v>0</v>
      </c>
      <c r="FW74" s="116">
        <v>0</v>
      </c>
      <c r="FX74" s="44"/>
      <c r="FY74" s="229"/>
      <c r="FZ74" s="73" t="s">
        <v>17</v>
      </c>
      <c r="GA74" s="75" t="s">
        <v>19</v>
      </c>
      <c r="GB74" s="67">
        <f>SUM(FM74)</f>
        <v>0</v>
      </c>
      <c r="GC74" s="68">
        <f t="shared" si="244"/>
        <v>0</v>
      </c>
      <c r="GD74" s="68">
        <f t="shared" si="245"/>
        <v>0</v>
      </c>
      <c r="GE74" s="68">
        <f t="shared" si="246"/>
        <v>0</v>
      </c>
      <c r="GF74" s="68">
        <f t="shared" si="247"/>
        <v>0</v>
      </c>
      <c r="GG74" s="68">
        <f t="shared" si="248"/>
        <v>0</v>
      </c>
      <c r="GH74" s="68">
        <f t="shared" si="249"/>
        <v>0</v>
      </c>
      <c r="GI74" s="68">
        <f t="shared" si="250"/>
        <v>0</v>
      </c>
      <c r="GJ74" s="68">
        <f t="shared" si="251"/>
        <v>0</v>
      </c>
      <c r="GK74" s="68">
        <f t="shared" si="252"/>
        <v>0</v>
      </c>
      <c r="GL74" s="68">
        <f t="shared" si="253"/>
        <v>0</v>
      </c>
      <c r="GM74" s="44"/>
    </row>
    <row r="75" spans="1:195" ht="17.100000000000001" customHeight="1" thickBot="1" x14ac:dyDescent="0.25">
      <c r="A75" s="229"/>
      <c r="B75" s="252" t="s">
        <v>21</v>
      </c>
      <c r="C75" s="253"/>
      <c r="D75" s="120">
        <f t="shared" ref="D75:N75" si="254">SUM(D71:D74)</f>
        <v>0</v>
      </c>
      <c r="E75" s="120">
        <f t="shared" si="254"/>
        <v>0</v>
      </c>
      <c r="F75" s="121">
        <f t="shared" si="254"/>
        <v>0</v>
      </c>
      <c r="G75" s="122">
        <f t="shared" si="254"/>
        <v>0</v>
      </c>
      <c r="H75" s="121">
        <f t="shared" si="254"/>
        <v>0</v>
      </c>
      <c r="I75" s="120">
        <f t="shared" si="254"/>
        <v>0</v>
      </c>
      <c r="J75" s="120">
        <f t="shared" si="254"/>
        <v>0</v>
      </c>
      <c r="K75" s="123">
        <f t="shared" si="254"/>
        <v>0</v>
      </c>
      <c r="L75" s="124">
        <f t="shared" si="254"/>
        <v>0</v>
      </c>
      <c r="M75" s="124">
        <f t="shared" si="254"/>
        <v>0</v>
      </c>
      <c r="N75" s="125">
        <f t="shared" si="254"/>
        <v>0</v>
      </c>
      <c r="O75" s="44"/>
      <c r="P75" s="229"/>
      <c r="Q75" s="252" t="s">
        <v>21</v>
      </c>
      <c r="R75" s="253"/>
      <c r="S75" s="120">
        <f t="shared" ref="S75:AC75" si="255">SUM(S71:S74)</f>
        <v>0</v>
      </c>
      <c r="T75" s="120">
        <f t="shared" si="255"/>
        <v>0</v>
      </c>
      <c r="U75" s="121">
        <f t="shared" si="255"/>
        <v>0</v>
      </c>
      <c r="V75" s="122">
        <f t="shared" si="255"/>
        <v>0</v>
      </c>
      <c r="W75" s="121">
        <f t="shared" si="255"/>
        <v>0</v>
      </c>
      <c r="X75" s="120">
        <f t="shared" si="255"/>
        <v>0</v>
      </c>
      <c r="Y75" s="120">
        <f t="shared" si="255"/>
        <v>0</v>
      </c>
      <c r="Z75" s="123">
        <f t="shared" si="255"/>
        <v>0</v>
      </c>
      <c r="AA75" s="124">
        <f t="shared" si="255"/>
        <v>0</v>
      </c>
      <c r="AB75" s="124">
        <f t="shared" si="255"/>
        <v>0</v>
      </c>
      <c r="AC75" s="125">
        <f t="shared" si="255"/>
        <v>0</v>
      </c>
      <c r="AD75" s="44"/>
      <c r="AE75" s="229"/>
      <c r="AF75" s="252" t="s">
        <v>21</v>
      </c>
      <c r="AG75" s="253"/>
      <c r="AH75" s="120">
        <f t="shared" ref="AH75:AR75" si="256">SUM(AH71:AH74)</f>
        <v>0</v>
      </c>
      <c r="AI75" s="120">
        <f t="shared" si="256"/>
        <v>0</v>
      </c>
      <c r="AJ75" s="121">
        <f t="shared" si="256"/>
        <v>0</v>
      </c>
      <c r="AK75" s="122">
        <f t="shared" si="256"/>
        <v>0</v>
      </c>
      <c r="AL75" s="121">
        <f t="shared" si="256"/>
        <v>0</v>
      </c>
      <c r="AM75" s="120">
        <f t="shared" si="256"/>
        <v>0</v>
      </c>
      <c r="AN75" s="120">
        <f t="shared" si="256"/>
        <v>0</v>
      </c>
      <c r="AO75" s="123">
        <f t="shared" si="256"/>
        <v>0</v>
      </c>
      <c r="AP75" s="124">
        <f t="shared" si="256"/>
        <v>0</v>
      </c>
      <c r="AQ75" s="124">
        <f t="shared" si="256"/>
        <v>0</v>
      </c>
      <c r="AR75" s="125">
        <f t="shared" si="256"/>
        <v>0</v>
      </c>
      <c r="AS75" s="44"/>
      <c r="AT75" s="229"/>
      <c r="AU75" s="252" t="s">
        <v>21</v>
      </c>
      <c r="AV75" s="253"/>
      <c r="AW75" s="120">
        <f t="shared" ref="AW75:BG75" si="257">SUM(AW71:AW74)</f>
        <v>0</v>
      </c>
      <c r="AX75" s="120">
        <f t="shared" si="257"/>
        <v>0</v>
      </c>
      <c r="AY75" s="121">
        <f t="shared" si="257"/>
        <v>0</v>
      </c>
      <c r="AZ75" s="122">
        <f t="shared" si="257"/>
        <v>0</v>
      </c>
      <c r="BA75" s="121">
        <f t="shared" si="257"/>
        <v>0</v>
      </c>
      <c r="BB75" s="120">
        <f t="shared" si="257"/>
        <v>0</v>
      </c>
      <c r="BC75" s="120">
        <f t="shared" si="257"/>
        <v>0</v>
      </c>
      <c r="BD75" s="123">
        <f t="shared" si="257"/>
        <v>0</v>
      </c>
      <c r="BE75" s="124">
        <f t="shared" si="257"/>
        <v>0</v>
      </c>
      <c r="BF75" s="124">
        <f t="shared" si="257"/>
        <v>0</v>
      </c>
      <c r="BG75" s="125">
        <f t="shared" si="257"/>
        <v>0</v>
      </c>
      <c r="BH75" s="44"/>
      <c r="BI75" s="229"/>
      <c r="BJ75" s="252" t="s">
        <v>21</v>
      </c>
      <c r="BK75" s="253"/>
      <c r="BL75" s="120">
        <f t="shared" ref="BL75:BV75" si="258">SUM(BL71:BL74)</f>
        <v>0</v>
      </c>
      <c r="BM75" s="120">
        <f t="shared" si="258"/>
        <v>0</v>
      </c>
      <c r="BN75" s="121">
        <f t="shared" si="258"/>
        <v>0</v>
      </c>
      <c r="BO75" s="122">
        <f t="shared" si="258"/>
        <v>0</v>
      </c>
      <c r="BP75" s="121">
        <f t="shared" si="258"/>
        <v>0</v>
      </c>
      <c r="BQ75" s="120">
        <f t="shared" si="258"/>
        <v>0</v>
      </c>
      <c r="BR75" s="120">
        <f t="shared" si="258"/>
        <v>0</v>
      </c>
      <c r="BS75" s="123">
        <f t="shared" si="258"/>
        <v>0</v>
      </c>
      <c r="BT75" s="124">
        <f t="shared" si="258"/>
        <v>0</v>
      </c>
      <c r="BU75" s="124">
        <f t="shared" si="258"/>
        <v>0</v>
      </c>
      <c r="BV75" s="125">
        <f t="shared" si="258"/>
        <v>0</v>
      </c>
      <c r="BW75" s="44"/>
      <c r="BX75" s="229"/>
      <c r="BY75" s="252" t="s">
        <v>21</v>
      </c>
      <c r="BZ75" s="253"/>
      <c r="CA75" s="120">
        <f t="shared" ref="CA75:CK75" si="259">SUM(CA71:CA74)</f>
        <v>0</v>
      </c>
      <c r="CB75" s="120">
        <f t="shared" si="259"/>
        <v>0</v>
      </c>
      <c r="CC75" s="121">
        <f t="shared" si="259"/>
        <v>0</v>
      </c>
      <c r="CD75" s="122">
        <f t="shared" si="259"/>
        <v>0</v>
      </c>
      <c r="CE75" s="121">
        <f t="shared" si="259"/>
        <v>0</v>
      </c>
      <c r="CF75" s="120">
        <f t="shared" si="259"/>
        <v>0</v>
      </c>
      <c r="CG75" s="120">
        <f t="shared" si="259"/>
        <v>0</v>
      </c>
      <c r="CH75" s="123">
        <f t="shared" si="259"/>
        <v>0</v>
      </c>
      <c r="CI75" s="124">
        <f t="shared" si="259"/>
        <v>0</v>
      </c>
      <c r="CJ75" s="124">
        <f t="shared" si="259"/>
        <v>0</v>
      </c>
      <c r="CK75" s="125">
        <f t="shared" si="259"/>
        <v>0</v>
      </c>
      <c r="CL75" s="44"/>
      <c r="CM75" s="229"/>
      <c r="CN75" s="252" t="s">
        <v>21</v>
      </c>
      <c r="CO75" s="253"/>
      <c r="CP75" s="120">
        <f t="shared" ref="CP75:CZ75" si="260">SUM(CP71:CP74)</f>
        <v>0</v>
      </c>
      <c r="CQ75" s="120">
        <f t="shared" si="260"/>
        <v>0</v>
      </c>
      <c r="CR75" s="121">
        <f t="shared" si="260"/>
        <v>0</v>
      </c>
      <c r="CS75" s="122">
        <f t="shared" si="260"/>
        <v>0</v>
      </c>
      <c r="CT75" s="121">
        <f t="shared" si="260"/>
        <v>0</v>
      </c>
      <c r="CU75" s="120">
        <f t="shared" si="260"/>
        <v>0</v>
      </c>
      <c r="CV75" s="120">
        <f t="shared" si="260"/>
        <v>0</v>
      </c>
      <c r="CW75" s="123">
        <f t="shared" si="260"/>
        <v>0</v>
      </c>
      <c r="CX75" s="124">
        <f t="shared" si="260"/>
        <v>0</v>
      </c>
      <c r="CY75" s="124">
        <f t="shared" si="260"/>
        <v>0</v>
      </c>
      <c r="CZ75" s="125">
        <f t="shared" si="260"/>
        <v>0</v>
      </c>
      <c r="DA75" s="44"/>
      <c r="DB75" s="229"/>
      <c r="DC75" s="252" t="s">
        <v>21</v>
      </c>
      <c r="DD75" s="253"/>
      <c r="DE75" s="120">
        <f t="shared" ref="DE75:DO75" si="261">SUM(DE71:DE74)</f>
        <v>0</v>
      </c>
      <c r="DF75" s="120">
        <f t="shared" si="261"/>
        <v>0</v>
      </c>
      <c r="DG75" s="121">
        <f t="shared" si="261"/>
        <v>0</v>
      </c>
      <c r="DH75" s="122">
        <f t="shared" si="261"/>
        <v>0</v>
      </c>
      <c r="DI75" s="121">
        <f t="shared" si="261"/>
        <v>0</v>
      </c>
      <c r="DJ75" s="120">
        <f t="shared" si="261"/>
        <v>0</v>
      </c>
      <c r="DK75" s="120">
        <f t="shared" si="261"/>
        <v>0</v>
      </c>
      <c r="DL75" s="123">
        <f t="shared" si="261"/>
        <v>0</v>
      </c>
      <c r="DM75" s="124">
        <f t="shared" si="261"/>
        <v>0</v>
      </c>
      <c r="DN75" s="124">
        <f t="shared" si="261"/>
        <v>0</v>
      </c>
      <c r="DO75" s="125">
        <f t="shared" si="261"/>
        <v>0</v>
      </c>
      <c r="DP75" s="44"/>
      <c r="DQ75" s="229"/>
      <c r="DR75" s="252" t="s">
        <v>21</v>
      </c>
      <c r="DS75" s="253"/>
      <c r="DT75" s="120">
        <f t="shared" ref="DT75:ED75" si="262">SUM(DT71:DT74)</f>
        <v>0</v>
      </c>
      <c r="DU75" s="120">
        <f t="shared" si="262"/>
        <v>0</v>
      </c>
      <c r="DV75" s="121">
        <f t="shared" si="262"/>
        <v>0</v>
      </c>
      <c r="DW75" s="122">
        <f t="shared" si="262"/>
        <v>0</v>
      </c>
      <c r="DX75" s="121">
        <f t="shared" si="262"/>
        <v>0</v>
      </c>
      <c r="DY75" s="120">
        <f t="shared" si="262"/>
        <v>0</v>
      </c>
      <c r="DZ75" s="120">
        <f t="shared" si="262"/>
        <v>0</v>
      </c>
      <c r="EA75" s="123">
        <f t="shared" si="262"/>
        <v>0</v>
      </c>
      <c r="EB75" s="124">
        <f t="shared" si="262"/>
        <v>0</v>
      </c>
      <c r="EC75" s="124">
        <f t="shared" si="262"/>
        <v>0</v>
      </c>
      <c r="ED75" s="125">
        <f t="shared" si="262"/>
        <v>0</v>
      </c>
      <c r="EE75" s="44"/>
      <c r="EF75" s="229"/>
      <c r="EG75" s="252" t="s">
        <v>21</v>
      </c>
      <c r="EH75" s="253"/>
      <c r="EI75" s="120">
        <f t="shared" ref="EI75:ES75" si="263">SUM(EI71:EI74)</f>
        <v>0</v>
      </c>
      <c r="EJ75" s="120">
        <f t="shared" si="263"/>
        <v>0</v>
      </c>
      <c r="EK75" s="121">
        <f t="shared" si="263"/>
        <v>0</v>
      </c>
      <c r="EL75" s="122">
        <f t="shared" si="263"/>
        <v>0</v>
      </c>
      <c r="EM75" s="121">
        <f t="shared" si="263"/>
        <v>0</v>
      </c>
      <c r="EN75" s="120">
        <f t="shared" si="263"/>
        <v>0</v>
      </c>
      <c r="EO75" s="120">
        <f t="shared" si="263"/>
        <v>0</v>
      </c>
      <c r="EP75" s="123">
        <f t="shared" si="263"/>
        <v>0</v>
      </c>
      <c r="EQ75" s="124">
        <f t="shared" si="263"/>
        <v>0</v>
      </c>
      <c r="ER75" s="124">
        <f t="shared" si="263"/>
        <v>0</v>
      </c>
      <c r="ES75" s="125">
        <f t="shared" si="263"/>
        <v>0</v>
      </c>
      <c r="ET75" s="44"/>
      <c r="EU75" s="229"/>
      <c r="EV75" s="252" t="s">
        <v>21</v>
      </c>
      <c r="EW75" s="253"/>
      <c r="EX75" s="120">
        <f t="shared" ref="EX75:FH75" si="264">SUM(EX71:EX74)</f>
        <v>0</v>
      </c>
      <c r="EY75" s="120">
        <f t="shared" si="264"/>
        <v>0</v>
      </c>
      <c r="EZ75" s="121">
        <f t="shared" si="264"/>
        <v>0</v>
      </c>
      <c r="FA75" s="122">
        <f t="shared" si="264"/>
        <v>0</v>
      </c>
      <c r="FB75" s="121">
        <f t="shared" si="264"/>
        <v>0</v>
      </c>
      <c r="FC75" s="120">
        <f t="shared" si="264"/>
        <v>0</v>
      </c>
      <c r="FD75" s="120">
        <f t="shared" si="264"/>
        <v>0</v>
      </c>
      <c r="FE75" s="123">
        <f t="shared" si="264"/>
        <v>0</v>
      </c>
      <c r="FF75" s="124">
        <f t="shared" si="264"/>
        <v>0</v>
      </c>
      <c r="FG75" s="124">
        <f t="shared" si="264"/>
        <v>0</v>
      </c>
      <c r="FH75" s="125">
        <f t="shared" si="264"/>
        <v>0</v>
      </c>
      <c r="FI75" s="44"/>
      <c r="FJ75" s="229"/>
      <c r="FK75" s="252" t="s">
        <v>21</v>
      </c>
      <c r="FL75" s="253"/>
      <c r="FM75" s="120">
        <f t="shared" ref="FM75:FW75" si="265">SUM(FM71:FM74)</f>
        <v>0</v>
      </c>
      <c r="FN75" s="120">
        <f t="shared" si="265"/>
        <v>0</v>
      </c>
      <c r="FO75" s="121">
        <f t="shared" si="265"/>
        <v>0</v>
      </c>
      <c r="FP75" s="122">
        <f t="shared" si="265"/>
        <v>0</v>
      </c>
      <c r="FQ75" s="121">
        <f t="shared" si="265"/>
        <v>0</v>
      </c>
      <c r="FR75" s="120">
        <f t="shared" si="265"/>
        <v>0</v>
      </c>
      <c r="FS75" s="120">
        <f t="shared" si="265"/>
        <v>0</v>
      </c>
      <c r="FT75" s="123">
        <f t="shared" si="265"/>
        <v>0</v>
      </c>
      <c r="FU75" s="124">
        <f t="shared" si="265"/>
        <v>0</v>
      </c>
      <c r="FV75" s="124">
        <f t="shared" si="265"/>
        <v>0</v>
      </c>
      <c r="FW75" s="125">
        <f t="shared" si="265"/>
        <v>0</v>
      </c>
      <c r="FX75" s="44"/>
      <c r="FY75" s="229"/>
      <c r="FZ75" s="128" t="s">
        <v>21</v>
      </c>
      <c r="GA75" s="129"/>
      <c r="GB75" s="76">
        <f t="shared" ref="GB75:GL75" si="266">SUM(GB71:GB74)</f>
        <v>0</v>
      </c>
      <c r="GC75" s="77">
        <f t="shared" si="266"/>
        <v>0</v>
      </c>
      <c r="GD75" s="77">
        <f t="shared" si="266"/>
        <v>0</v>
      </c>
      <c r="GE75" s="77">
        <f t="shared" si="266"/>
        <v>0</v>
      </c>
      <c r="GF75" s="77">
        <f t="shared" si="266"/>
        <v>0</v>
      </c>
      <c r="GG75" s="77">
        <f t="shared" si="266"/>
        <v>0</v>
      </c>
      <c r="GH75" s="77">
        <f t="shared" si="266"/>
        <v>0</v>
      </c>
      <c r="GI75" s="77">
        <f t="shared" si="266"/>
        <v>0</v>
      </c>
      <c r="GJ75" s="77">
        <f t="shared" si="266"/>
        <v>0</v>
      </c>
      <c r="GK75" s="77">
        <f t="shared" si="266"/>
        <v>0</v>
      </c>
      <c r="GL75" s="77">
        <f t="shared" si="266"/>
        <v>0</v>
      </c>
      <c r="GM75" s="44"/>
    </row>
    <row r="76" spans="1:195" ht="17.100000000000001" customHeight="1" thickBot="1" x14ac:dyDescent="0.25">
      <c r="A76" s="230"/>
      <c r="B76" s="78" t="s">
        <v>22</v>
      </c>
      <c r="C76" s="44"/>
      <c r="D76" s="78"/>
      <c r="E76" s="44"/>
      <c r="F76" s="44"/>
      <c r="G76" s="44"/>
      <c r="H76" s="44"/>
      <c r="I76" s="44"/>
      <c r="J76" s="44"/>
      <c r="K76" s="79" t="s">
        <v>18</v>
      </c>
      <c r="L76" s="80">
        <v>0</v>
      </c>
      <c r="M76" s="79" t="s">
        <v>19</v>
      </c>
      <c r="N76" s="80">
        <v>0</v>
      </c>
      <c r="O76" s="44"/>
      <c r="P76" s="230"/>
      <c r="Q76" s="78" t="s">
        <v>22</v>
      </c>
      <c r="R76" s="44"/>
      <c r="S76" s="78"/>
      <c r="T76" s="44"/>
      <c r="U76" s="44"/>
      <c r="V76" s="44"/>
      <c r="W76" s="44"/>
      <c r="X76" s="44"/>
      <c r="Y76" s="44"/>
      <c r="Z76" s="79" t="s">
        <v>18</v>
      </c>
      <c r="AA76" s="80">
        <v>0</v>
      </c>
      <c r="AB76" s="79" t="s">
        <v>19</v>
      </c>
      <c r="AC76" s="80">
        <v>0</v>
      </c>
      <c r="AD76" s="44"/>
      <c r="AE76" s="230"/>
      <c r="AF76" s="78" t="s">
        <v>22</v>
      </c>
      <c r="AG76" s="44"/>
      <c r="AH76" s="78"/>
      <c r="AI76" s="44"/>
      <c r="AJ76" s="44"/>
      <c r="AK76" s="44"/>
      <c r="AL76" s="44"/>
      <c r="AM76" s="44"/>
      <c r="AN76" s="44"/>
      <c r="AO76" s="79" t="s">
        <v>18</v>
      </c>
      <c r="AP76" s="80">
        <v>0</v>
      </c>
      <c r="AQ76" s="79" t="s">
        <v>19</v>
      </c>
      <c r="AR76" s="80">
        <v>0</v>
      </c>
      <c r="AS76" s="44"/>
      <c r="AT76" s="230"/>
      <c r="AU76" s="78" t="s">
        <v>22</v>
      </c>
      <c r="AV76" s="44"/>
      <c r="AW76" s="78"/>
      <c r="AX76" s="44"/>
      <c r="AY76" s="44"/>
      <c r="AZ76" s="44"/>
      <c r="BA76" s="44"/>
      <c r="BB76" s="44"/>
      <c r="BC76" s="44"/>
      <c r="BD76" s="79" t="s">
        <v>18</v>
      </c>
      <c r="BE76" s="80">
        <v>0</v>
      </c>
      <c r="BF76" s="79" t="s">
        <v>19</v>
      </c>
      <c r="BG76" s="80">
        <v>0</v>
      </c>
      <c r="BH76" s="44"/>
      <c r="BI76" s="230"/>
      <c r="BJ76" s="78" t="s">
        <v>22</v>
      </c>
      <c r="BK76" s="44"/>
      <c r="BL76" s="78"/>
      <c r="BM76" s="44"/>
      <c r="BN76" s="44"/>
      <c r="BO76" s="44"/>
      <c r="BP76" s="44"/>
      <c r="BQ76" s="44"/>
      <c r="BR76" s="44"/>
      <c r="BS76" s="79" t="s">
        <v>18</v>
      </c>
      <c r="BT76" s="80">
        <v>0</v>
      </c>
      <c r="BU76" s="79" t="s">
        <v>19</v>
      </c>
      <c r="BV76" s="80">
        <v>0</v>
      </c>
      <c r="BW76" s="44"/>
      <c r="BX76" s="230"/>
      <c r="BY76" s="78" t="s">
        <v>22</v>
      </c>
      <c r="BZ76" s="44"/>
      <c r="CA76" s="78"/>
      <c r="CB76" s="44"/>
      <c r="CC76" s="44"/>
      <c r="CD76" s="44"/>
      <c r="CE76" s="44"/>
      <c r="CF76" s="44"/>
      <c r="CG76" s="44"/>
      <c r="CH76" s="79" t="s">
        <v>18</v>
      </c>
      <c r="CI76" s="80">
        <v>0</v>
      </c>
      <c r="CJ76" s="79" t="s">
        <v>19</v>
      </c>
      <c r="CK76" s="80">
        <v>0</v>
      </c>
      <c r="CL76" s="44"/>
      <c r="CM76" s="230"/>
      <c r="CN76" s="78" t="s">
        <v>22</v>
      </c>
      <c r="CO76" s="44"/>
      <c r="CP76" s="78"/>
      <c r="CQ76" s="44"/>
      <c r="CR76" s="44"/>
      <c r="CS76" s="44"/>
      <c r="CT76" s="44"/>
      <c r="CU76" s="44"/>
      <c r="CV76" s="44"/>
      <c r="CW76" s="79" t="s">
        <v>18</v>
      </c>
      <c r="CX76" s="80">
        <v>0</v>
      </c>
      <c r="CY76" s="79" t="s">
        <v>19</v>
      </c>
      <c r="CZ76" s="80">
        <v>0</v>
      </c>
      <c r="DA76" s="44"/>
      <c r="DB76" s="230"/>
      <c r="DC76" s="78" t="s">
        <v>22</v>
      </c>
      <c r="DD76" s="44"/>
      <c r="DE76" s="78"/>
      <c r="DF76" s="44"/>
      <c r="DG76" s="44"/>
      <c r="DH76" s="44"/>
      <c r="DI76" s="44"/>
      <c r="DJ76" s="44"/>
      <c r="DK76" s="44"/>
      <c r="DL76" s="79" t="s">
        <v>18</v>
      </c>
      <c r="DM76" s="80">
        <v>0</v>
      </c>
      <c r="DN76" s="79" t="s">
        <v>19</v>
      </c>
      <c r="DO76" s="80">
        <v>0</v>
      </c>
      <c r="DP76" s="44"/>
      <c r="DQ76" s="230"/>
      <c r="DR76" s="78" t="s">
        <v>22</v>
      </c>
      <c r="DS76" s="44"/>
      <c r="DT76" s="78"/>
      <c r="DU76" s="44"/>
      <c r="DV76" s="44"/>
      <c r="DW76" s="44"/>
      <c r="DX76" s="44"/>
      <c r="DY76" s="44"/>
      <c r="DZ76" s="44"/>
      <c r="EA76" s="79" t="s">
        <v>18</v>
      </c>
      <c r="EB76" s="80">
        <v>0</v>
      </c>
      <c r="EC76" s="79" t="s">
        <v>19</v>
      </c>
      <c r="ED76" s="80">
        <v>0</v>
      </c>
      <c r="EE76" s="44"/>
      <c r="EF76" s="230"/>
      <c r="EG76" s="78" t="s">
        <v>22</v>
      </c>
      <c r="EH76" s="44"/>
      <c r="EI76" s="78"/>
      <c r="EJ76" s="44"/>
      <c r="EK76" s="44"/>
      <c r="EL76" s="44"/>
      <c r="EM76" s="44"/>
      <c r="EN76" s="44"/>
      <c r="EO76" s="44"/>
      <c r="EP76" s="79" t="s">
        <v>18</v>
      </c>
      <c r="EQ76" s="80">
        <v>0</v>
      </c>
      <c r="ER76" s="79" t="s">
        <v>19</v>
      </c>
      <c r="ES76" s="80">
        <v>0</v>
      </c>
      <c r="ET76" s="44"/>
      <c r="EU76" s="230"/>
      <c r="EV76" s="78" t="s">
        <v>22</v>
      </c>
      <c r="EW76" s="44"/>
      <c r="EX76" s="78"/>
      <c r="EY76" s="44"/>
      <c r="EZ76" s="44"/>
      <c r="FA76" s="44"/>
      <c r="FB76" s="44"/>
      <c r="FC76" s="44"/>
      <c r="FD76" s="44"/>
      <c r="FE76" s="79" t="s">
        <v>18</v>
      </c>
      <c r="FF76" s="80">
        <v>0</v>
      </c>
      <c r="FG76" s="79" t="s">
        <v>19</v>
      </c>
      <c r="FH76" s="80">
        <v>0</v>
      </c>
      <c r="FI76" s="44"/>
      <c r="FJ76" s="230"/>
      <c r="FK76" s="78" t="s">
        <v>22</v>
      </c>
      <c r="FL76" s="44"/>
      <c r="FM76" s="78"/>
      <c r="FN76" s="44"/>
      <c r="FO76" s="44"/>
      <c r="FP76" s="44"/>
      <c r="FQ76" s="44"/>
      <c r="FR76" s="44"/>
      <c r="FS76" s="44"/>
      <c r="FT76" s="79" t="s">
        <v>18</v>
      </c>
      <c r="FU76" s="80">
        <v>0</v>
      </c>
      <c r="FV76" s="79" t="s">
        <v>19</v>
      </c>
      <c r="FW76" s="80">
        <v>0</v>
      </c>
      <c r="FX76" s="44"/>
      <c r="FY76" s="230"/>
      <c r="FZ76" s="78" t="s">
        <v>26</v>
      </c>
      <c r="GA76" s="44"/>
      <c r="GB76" s="81"/>
      <c r="GC76" s="82"/>
      <c r="GD76" s="82"/>
      <c r="GE76" s="82"/>
      <c r="GF76" s="82"/>
      <c r="GG76" s="82"/>
      <c r="GH76" s="82"/>
      <c r="GI76" s="83" t="s">
        <v>18</v>
      </c>
      <c r="GJ76" s="64">
        <f>(L76+AA76+AP76+BE76+BT76+CI76+CX76+DM76+EB76+EQ76+FF76+FU76)</f>
        <v>0</v>
      </c>
      <c r="GK76" s="83" t="s">
        <v>19</v>
      </c>
      <c r="GL76" s="64">
        <f>(N76+AC76+AR76+BG76+BV76+CK76+CZ76+DO76+ED76+ES76+FH76+FW76)</f>
        <v>0</v>
      </c>
      <c r="GM76" s="44"/>
    </row>
    <row r="77" spans="1:195" ht="17.100000000000001" customHeight="1" thickBot="1" x14ac:dyDescent="0.25">
      <c r="A77" s="84" t="s">
        <v>39</v>
      </c>
      <c r="B77" s="85"/>
      <c r="C77" s="86"/>
      <c r="D77" s="101"/>
      <c r="E77" s="101" t="s">
        <v>1</v>
      </c>
      <c r="F77" s="99">
        <f>SUM(F2)</f>
        <v>1</v>
      </c>
      <c r="G77" s="87">
        <f>SUM(H2)</f>
        <v>1447</v>
      </c>
      <c r="H77" s="217" t="s">
        <v>0</v>
      </c>
      <c r="I77" s="217"/>
      <c r="J77" s="217"/>
      <c r="K77" s="217"/>
      <c r="L77" s="217"/>
      <c r="M77" s="217"/>
      <c r="N77" s="53"/>
      <c r="O77" s="44"/>
      <c r="P77" s="84" t="s">
        <v>39</v>
      </c>
      <c r="Q77" s="85"/>
      <c r="R77" s="86"/>
      <c r="S77" s="101"/>
      <c r="T77" s="101" t="s">
        <v>1</v>
      </c>
      <c r="U77" s="99">
        <f>SUM(U2)</f>
        <v>2</v>
      </c>
      <c r="V77" s="87">
        <f>SUM(W2)</f>
        <v>1447</v>
      </c>
      <c r="W77" s="217" t="s">
        <v>0</v>
      </c>
      <c r="X77" s="217"/>
      <c r="Y77" s="217"/>
      <c r="Z77" s="217"/>
      <c r="AA77" s="217"/>
      <c r="AB77" s="217"/>
      <c r="AC77" s="53"/>
      <c r="AD77" s="44"/>
      <c r="AE77" s="84" t="s">
        <v>39</v>
      </c>
      <c r="AF77" s="85"/>
      <c r="AG77" s="86"/>
      <c r="AH77" s="101"/>
      <c r="AI77" s="101" t="s">
        <v>1</v>
      </c>
      <c r="AJ77" s="99">
        <f>SUM(AJ2)</f>
        <v>3</v>
      </c>
      <c r="AK77" s="87">
        <f>SUM(AL2)</f>
        <v>1447</v>
      </c>
      <c r="AL77" s="217" t="s">
        <v>0</v>
      </c>
      <c r="AM77" s="217"/>
      <c r="AN77" s="217"/>
      <c r="AO77" s="217"/>
      <c r="AP77" s="217"/>
      <c r="AQ77" s="217"/>
      <c r="AR77" s="53"/>
      <c r="AS77" s="44"/>
      <c r="AT77" s="84" t="s">
        <v>39</v>
      </c>
      <c r="AU77" s="85"/>
      <c r="AV77" s="86"/>
      <c r="AW77" s="101"/>
      <c r="AX77" s="101" t="s">
        <v>1</v>
      </c>
      <c r="AY77" s="99">
        <f>SUM(AY2)</f>
        <v>4</v>
      </c>
      <c r="AZ77" s="87">
        <f>SUM(BA2)</f>
        <v>1447</v>
      </c>
      <c r="BA77" s="217" t="s">
        <v>0</v>
      </c>
      <c r="BB77" s="217"/>
      <c r="BC77" s="217"/>
      <c r="BD77" s="217"/>
      <c r="BE77" s="217"/>
      <c r="BF77" s="217"/>
      <c r="BG77" s="53"/>
      <c r="BH77" s="44"/>
      <c r="BI77" s="84" t="s">
        <v>39</v>
      </c>
      <c r="BJ77" s="85"/>
      <c r="BK77" s="86"/>
      <c r="BL77" s="101"/>
      <c r="BM77" s="101" t="s">
        <v>1</v>
      </c>
      <c r="BN77" s="99">
        <f>SUM(BN2)</f>
        <v>5</v>
      </c>
      <c r="BO77" s="87">
        <f>SUM(BP2)</f>
        <v>1447</v>
      </c>
      <c r="BP77" s="217" t="s">
        <v>0</v>
      </c>
      <c r="BQ77" s="217"/>
      <c r="BR77" s="217"/>
      <c r="BS77" s="217"/>
      <c r="BT77" s="217"/>
      <c r="BU77" s="217"/>
      <c r="BV77" s="53"/>
      <c r="BW77" s="44"/>
      <c r="BX77" s="84" t="s">
        <v>39</v>
      </c>
      <c r="BY77" s="85"/>
      <c r="BZ77" s="86"/>
      <c r="CA77" s="101"/>
      <c r="CB77" s="101" t="s">
        <v>1</v>
      </c>
      <c r="CC77" s="99">
        <f>SUM(CC2)</f>
        <v>6</v>
      </c>
      <c r="CD77" s="87">
        <f>SUM(CE2)</f>
        <v>1447</v>
      </c>
      <c r="CE77" s="217" t="s">
        <v>0</v>
      </c>
      <c r="CF77" s="217"/>
      <c r="CG77" s="217"/>
      <c r="CH77" s="217"/>
      <c r="CI77" s="217"/>
      <c r="CJ77" s="217"/>
      <c r="CK77" s="53"/>
      <c r="CL77" s="44"/>
      <c r="CM77" s="84" t="s">
        <v>39</v>
      </c>
      <c r="CN77" s="85"/>
      <c r="CO77" s="86"/>
      <c r="CP77" s="101"/>
      <c r="CQ77" s="101" t="s">
        <v>1</v>
      </c>
      <c r="CR77" s="99">
        <f>SUM(CR2)</f>
        <v>7</v>
      </c>
      <c r="CS77" s="87">
        <f>SUM(CT2)</f>
        <v>1447</v>
      </c>
      <c r="CT77" s="217" t="s">
        <v>0</v>
      </c>
      <c r="CU77" s="217"/>
      <c r="CV77" s="217"/>
      <c r="CW77" s="217"/>
      <c r="CX77" s="217"/>
      <c r="CY77" s="217"/>
      <c r="CZ77" s="53"/>
      <c r="DA77" s="44"/>
      <c r="DB77" s="84" t="s">
        <v>39</v>
      </c>
      <c r="DC77" s="85"/>
      <c r="DD77" s="86"/>
      <c r="DE77" s="101"/>
      <c r="DF77" s="101" t="s">
        <v>1</v>
      </c>
      <c r="DG77" s="99">
        <f>SUM(DG2)</f>
        <v>8</v>
      </c>
      <c r="DH77" s="87">
        <f>SUM(DI2)</f>
        <v>1447</v>
      </c>
      <c r="DI77" s="217" t="s">
        <v>0</v>
      </c>
      <c r="DJ77" s="217"/>
      <c r="DK77" s="217"/>
      <c r="DL77" s="217"/>
      <c r="DM77" s="217"/>
      <c r="DN77" s="217"/>
      <c r="DO77" s="53"/>
      <c r="DP77" s="44"/>
      <c r="DQ77" s="84" t="s">
        <v>39</v>
      </c>
      <c r="DR77" s="85"/>
      <c r="DS77" s="86"/>
      <c r="DT77" s="101"/>
      <c r="DU77" s="101" t="s">
        <v>1</v>
      </c>
      <c r="DV77" s="99">
        <f>SUM(DV2)</f>
        <v>9</v>
      </c>
      <c r="DW77" s="87">
        <f>SUM(DX2)</f>
        <v>1447</v>
      </c>
      <c r="DX77" s="217" t="s">
        <v>0</v>
      </c>
      <c r="DY77" s="217"/>
      <c r="DZ77" s="217"/>
      <c r="EA77" s="217"/>
      <c r="EB77" s="217"/>
      <c r="EC77" s="217"/>
      <c r="ED77" s="53"/>
      <c r="EE77" s="44"/>
      <c r="EF77" s="84" t="s">
        <v>39</v>
      </c>
      <c r="EG77" s="85"/>
      <c r="EH77" s="86"/>
      <c r="EI77" s="101"/>
      <c r="EJ77" s="101" t="s">
        <v>1</v>
      </c>
      <c r="EK77" s="99">
        <f>SUM(EK2)</f>
        <v>10</v>
      </c>
      <c r="EL77" s="87">
        <f>SUM(EM2)</f>
        <v>1447</v>
      </c>
      <c r="EM77" s="217" t="s">
        <v>0</v>
      </c>
      <c r="EN77" s="217"/>
      <c r="EO77" s="217"/>
      <c r="EP77" s="217"/>
      <c r="EQ77" s="217"/>
      <c r="ER77" s="217"/>
      <c r="ES77" s="53"/>
      <c r="ET77" s="44"/>
      <c r="EU77" s="84" t="s">
        <v>39</v>
      </c>
      <c r="EV77" s="85"/>
      <c r="EW77" s="86"/>
      <c r="EX77" s="101"/>
      <c r="EY77" s="101" t="s">
        <v>1</v>
      </c>
      <c r="EZ77" s="99">
        <f>SUM(EZ2)</f>
        <v>11</v>
      </c>
      <c r="FA77" s="87">
        <f>SUM(FB2)</f>
        <v>1447</v>
      </c>
      <c r="FB77" s="217" t="s">
        <v>0</v>
      </c>
      <c r="FC77" s="217"/>
      <c r="FD77" s="217"/>
      <c r="FE77" s="217"/>
      <c r="FF77" s="217"/>
      <c r="FG77" s="217"/>
      <c r="FH77" s="53"/>
      <c r="FI77" s="44"/>
      <c r="FJ77" s="84" t="s">
        <v>39</v>
      </c>
      <c r="FK77" s="85"/>
      <c r="FL77" s="86"/>
      <c r="FM77" s="101"/>
      <c r="FN77" s="101" t="s">
        <v>1</v>
      </c>
      <c r="FO77" s="99">
        <f>SUM(FO2)</f>
        <v>12</v>
      </c>
      <c r="FP77" s="87">
        <f>SUM(FQ2)</f>
        <v>1447</v>
      </c>
      <c r="FQ77" s="217" t="s">
        <v>0</v>
      </c>
      <c r="FR77" s="217"/>
      <c r="FS77" s="217"/>
      <c r="FT77" s="217"/>
      <c r="FU77" s="217"/>
      <c r="FV77" s="217"/>
      <c r="FW77" s="53"/>
      <c r="FX77" s="44"/>
      <c r="FY77" s="55" t="str">
        <f>(FJ77)</f>
        <v>إجمالي مراكزمستشفى شرق جدة</v>
      </c>
      <c r="FZ77" s="85"/>
      <c r="GA77" s="86"/>
      <c r="GB77" s="101"/>
      <c r="GC77" s="101"/>
      <c r="GD77" s="99" t="s">
        <v>2</v>
      </c>
      <c r="GE77" s="87">
        <f>SUM(GF2)</f>
        <v>1447</v>
      </c>
      <c r="GF77" s="86"/>
      <c r="GG77" s="85"/>
      <c r="GH77" s="85" t="s">
        <v>0</v>
      </c>
      <c r="GI77" s="86"/>
      <c r="GJ77" s="86"/>
      <c r="GK77" s="86"/>
      <c r="GL77" s="53"/>
      <c r="GM77" s="44"/>
    </row>
    <row r="78" spans="1:195" s="60" customFormat="1" ht="17.100000000000001" customHeight="1" thickBot="1" x14ac:dyDescent="0.25">
      <c r="A78" s="256" t="s">
        <v>28</v>
      </c>
      <c r="B78" s="218" t="s">
        <v>3</v>
      </c>
      <c r="C78" s="218" t="s">
        <v>4</v>
      </c>
      <c r="D78" s="218" t="s">
        <v>5</v>
      </c>
      <c r="E78" s="221" t="s">
        <v>6</v>
      </c>
      <c r="F78" s="222"/>
      <c r="G78" s="218" t="s">
        <v>7</v>
      </c>
      <c r="H78" s="218" t="s">
        <v>8</v>
      </c>
      <c r="I78" s="218" t="s">
        <v>9</v>
      </c>
      <c r="J78" s="218" t="s">
        <v>24</v>
      </c>
      <c r="K78" s="221" t="s">
        <v>10</v>
      </c>
      <c r="L78" s="224"/>
      <c r="M78" s="224"/>
      <c r="N78" s="222"/>
      <c r="O78" s="59"/>
      <c r="P78" s="256" t="s">
        <v>28</v>
      </c>
      <c r="Q78" s="218" t="s">
        <v>3</v>
      </c>
      <c r="R78" s="218" t="s">
        <v>4</v>
      </c>
      <c r="S78" s="218" t="s">
        <v>5</v>
      </c>
      <c r="T78" s="221" t="s">
        <v>6</v>
      </c>
      <c r="U78" s="222"/>
      <c r="V78" s="218" t="s">
        <v>7</v>
      </c>
      <c r="W78" s="218" t="s">
        <v>8</v>
      </c>
      <c r="X78" s="218" t="s">
        <v>9</v>
      </c>
      <c r="Y78" s="218" t="s">
        <v>24</v>
      </c>
      <c r="Z78" s="221" t="s">
        <v>10</v>
      </c>
      <c r="AA78" s="224"/>
      <c r="AB78" s="224"/>
      <c r="AC78" s="222"/>
      <c r="AD78" s="59"/>
      <c r="AE78" s="256" t="s">
        <v>28</v>
      </c>
      <c r="AF78" s="218" t="s">
        <v>3</v>
      </c>
      <c r="AG78" s="218" t="s">
        <v>4</v>
      </c>
      <c r="AH78" s="218" t="s">
        <v>5</v>
      </c>
      <c r="AI78" s="221" t="s">
        <v>6</v>
      </c>
      <c r="AJ78" s="222"/>
      <c r="AK78" s="218" t="s">
        <v>7</v>
      </c>
      <c r="AL78" s="218" t="s">
        <v>8</v>
      </c>
      <c r="AM78" s="218" t="s">
        <v>9</v>
      </c>
      <c r="AN78" s="218" t="s">
        <v>24</v>
      </c>
      <c r="AO78" s="221" t="s">
        <v>10</v>
      </c>
      <c r="AP78" s="224"/>
      <c r="AQ78" s="224"/>
      <c r="AR78" s="222"/>
      <c r="AS78" s="59"/>
      <c r="AT78" s="256" t="s">
        <v>28</v>
      </c>
      <c r="AU78" s="218" t="s">
        <v>3</v>
      </c>
      <c r="AV78" s="218" t="s">
        <v>4</v>
      </c>
      <c r="AW78" s="218" t="s">
        <v>5</v>
      </c>
      <c r="AX78" s="221" t="s">
        <v>6</v>
      </c>
      <c r="AY78" s="222"/>
      <c r="AZ78" s="218" t="s">
        <v>7</v>
      </c>
      <c r="BA78" s="218" t="s">
        <v>8</v>
      </c>
      <c r="BB78" s="218" t="s">
        <v>9</v>
      </c>
      <c r="BC78" s="218" t="s">
        <v>24</v>
      </c>
      <c r="BD78" s="221" t="s">
        <v>10</v>
      </c>
      <c r="BE78" s="224"/>
      <c r="BF78" s="224"/>
      <c r="BG78" s="222"/>
      <c r="BH78" s="59"/>
      <c r="BI78" s="256" t="s">
        <v>28</v>
      </c>
      <c r="BJ78" s="218" t="s">
        <v>3</v>
      </c>
      <c r="BK78" s="218" t="s">
        <v>4</v>
      </c>
      <c r="BL78" s="218" t="s">
        <v>5</v>
      </c>
      <c r="BM78" s="221" t="s">
        <v>6</v>
      </c>
      <c r="BN78" s="222"/>
      <c r="BO78" s="218" t="s">
        <v>7</v>
      </c>
      <c r="BP78" s="218" t="s">
        <v>8</v>
      </c>
      <c r="BQ78" s="218" t="s">
        <v>9</v>
      </c>
      <c r="BR78" s="218" t="s">
        <v>24</v>
      </c>
      <c r="BS78" s="221" t="s">
        <v>10</v>
      </c>
      <c r="BT78" s="224"/>
      <c r="BU78" s="224"/>
      <c r="BV78" s="222"/>
      <c r="BW78" s="59"/>
      <c r="BX78" s="256" t="s">
        <v>28</v>
      </c>
      <c r="BY78" s="218" t="s">
        <v>3</v>
      </c>
      <c r="BZ78" s="218" t="s">
        <v>4</v>
      </c>
      <c r="CA78" s="218" t="s">
        <v>5</v>
      </c>
      <c r="CB78" s="221" t="s">
        <v>6</v>
      </c>
      <c r="CC78" s="222"/>
      <c r="CD78" s="218" t="s">
        <v>7</v>
      </c>
      <c r="CE78" s="218" t="s">
        <v>8</v>
      </c>
      <c r="CF78" s="218" t="s">
        <v>9</v>
      </c>
      <c r="CG78" s="218" t="s">
        <v>24</v>
      </c>
      <c r="CH78" s="221" t="s">
        <v>10</v>
      </c>
      <c r="CI78" s="224"/>
      <c r="CJ78" s="224"/>
      <c r="CK78" s="222"/>
      <c r="CL78" s="59"/>
      <c r="CM78" s="256" t="s">
        <v>28</v>
      </c>
      <c r="CN78" s="218" t="s">
        <v>3</v>
      </c>
      <c r="CO78" s="218" t="s">
        <v>4</v>
      </c>
      <c r="CP78" s="218" t="s">
        <v>5</v>
      </c>
      <c r="CQ78" s="221" t="s">
        <v>6</v>
      </c>
      <c r="CR78" s="222"/>
      <c r="CS78" s="218" t="s">
        <v>7</v>
      </c>
      <c r="CT78" s="218" t="s">
        <v>8</v>
      </c>
      <c r="CU78" s="218" t="s">
        <v>9</v>
      </c>
      <c r="CV78" s="218" t="s">
        <v>24</v>
      </c>
      <c r="CW78" s="221" t="s">
        <v>10</v>
      </c>
      <c r="CX78" s="224"/>
      <c r="CY78" s="224"/>
      <c r="CZ78" s="222"/>
      <c r="DA78" s="59"/>
      <c r="DB78" s="256" t="s">
        <v>28</v>
      </c>
      <c r="DC78" s="218" t="s">
        <v>3</v>
      </c>
      <c r="DD78" s="218" t="s">
        <v>4</v>
      </c>
      <c r="DE78" s="218" t="s">
        <v>5</v>
      </c>
      <c r="DF78" s="221" t="s">
        <v>6</v>
      </c>
      <c r="DG78" s="222"/>
      <c r="DH78" s="218" t="s">
        <v>7</v>
      </c>
      <c r="DI78" s="218" t="s">
        <v>8</v>
      </c>
      <c r="DJ78" s="218" t="s">
        <v>9</v>
      </c>
      <c r="DK78" s="218" t="s">
        <v>24</v>
      </c>
      <c r="DL78" s="221" t="s">
        <v>10</v>
      </c>
      <c r="DM78" s="224"/>
      <c r="DN78" s="224"/>
      <c r="DO78" s="222"/>
      <c r="DP78" s="59"/>
      <c r="DQ78" s="256" t="s">
        <v>28</v>
      </c>
      <c r="DR78" s="218" t="s">
        <v>3</v>
      </c>
      <c r="DS78" s="218" t="s">
        <v>4</v>
      </c>
      <c r="DT78" s="218" t="s">
        <v>5</v>
      </c>
      <c r="DU78" s="221" t="s">
        <v>6</v>
      </c>
      <c r="DV78" s="222"/>
      <c r="DW78" s="218" t="s">
        <v>7</v>
      </c>
      <c r="DX78" s="218" t="s">
        <v>8</v>
      </c>
      <c r="DY78" s="218" t="s">
        <v>9</v>
      </c>
      <c r="DZ78" s="218" t="s">
        <v>24</v>
      </c>
      <c r="EA78" s="221" t="s">
        <v>10</v>
      </c>
      <c r="EB78" s="224"/>
      <c r="EC78" s="224"/>
      <c r="ED78" s="222"/>
      <c r="EE78" s="59"/>
      <c r="EF78" s="256" t="s">
        <v>28</v>
      </c>
      <c r="EG78" s="218" t="s">
        <v>3</v>
      </c>
      <c r="EH78" s="218" t="s">
        <v>4</v>
      </c>
      <c r="EI78" s="218" t="s">
        <v>5</v>
      </c>
      <c r="EJ78" s="221" t="s">
        <v>6</v>
      </c>
      <c r="EK78" s="222"/>
      <c r="EL78" s="218" t="s">
        <v>7</v>
      </c>
      <c r="EM78" s="218" t="s">
        <v>8</v>
      </c>
      <c r="EN78" s="218" t="s">
        <v>9</v>
      </c>
      <c r="EO78" s="218" t="s">
        <v>24</v>
      </c>
      <c r="EP78" s="221" t="s">
        <v>10</v>
      </c>
      <c r="EQ78" s="224"/>
      <c r="ER78" s="224"/>
      <c r="ES78" s="222"/>
      <c r="ET78" s="59"/>
      <c r="EU78" s="256" t="s">
        <v>28</v>
      </c>
      <c r="EV78" s="218" t="s">
        <v>3</v>
      </c>
      <c r="EW78" s="218" t="s">
        <v>4</v>
      </c>
      <c r="EX78" s="218" t="s">
        <v>5</v>
      </c>
      <c r="EY78" s="221" t="s">
        <v>6</v>
      </c>
      <c r="EZ78" s="222"/>
      <c r="FA78" s="218" t="s">
        <v>7</v>
      </c>
      <c r="FB78" s="218" t="s">
        <v>8</v>
      </c>
      <c r="FC78" s="218" t="s">
        <v>9</v>
      </c>
      <c r="FD78" s="218" t="s">
        <v>24</v>
      </c>
      <c r="FE78" s="221" t="s">
        <v>10</v>
      </c>
      <c r="FF78" s="224"/>
      <c r="FG78" s="224"/>
      <c r="FH78" s="222"/>
      <c r="FI78" s="59"/>
      <c r="FJ78" s="256" t="s">
        <v>28</v>
      </c>
      <c r="FK78" s="218" t="s">
        <v>3</v>
      </c>
      <c r="FL78" s="218" t="s">
        <v>4</v>
      </c>
      <c r="FM78" s="218" t="s">
        <v>5</v>
      </c>
      <c r="FN78" s="221" t="s">
        <v>6</v>
      </c>
      <c r="FO78" s="222"/>
      <c r="FP78" s="218" t="s">
        <v>7</v>
      </c>
      <c r="FQ78" s="218" t="s">
        <v>8</v>
      </c>
      <c r="FR78" s="218" t="s">
        <v>9</v>
      </c>
      <c r="FS78" s="218" t="s">
        <v>24</v>
      </c>
      <c r="FT78" s="221" t="s">
        <v>10</v>
      </c>
      <c r="FU78" s="224"/>
      <c r="FV78" s="224"/>
      <c r="FW78" s="222"/>
      <c r="FX78" s="59"/>
      <c r="FY78" s="256" t="s">
        <v>28</v>
      </c>
      <c r="FZ78" s="218" t="s">
        <v>3</v>
      </c>
      <c r="GA78" s="218" t="s">
        <v>4</v>
      </c>
      <c r="GB78" s="218" t="s">
        <v>5</v>
      </c>
      <c r="GC78" s="221" t="s">
        <v>6</v>
      </c>
      <c r="GD78" s="222"/>
      <c r="GE78" s="218" t="s">
        <v>7</v>
      </c>
      <c r="GF78" s="218" t="s">
        <v>8</v>
      </c>
      <c r="GG78" s="218" t="s">
        <v>9</v>
      </c>
      <c r="GH78" s="218" t="s">
        <v>24</v>
      </c>
      <c r="GI78" s="221" t="s">
        <v>10</v>
      </c>
      <c r="GJ78" s="224"/>
      <c r="GK78" s="224"/>
      <c r="GL78" s="222"/>
      <c r="GM78" s="59"/>
    </row>
    <row r="79" spans="1:195" s="60" customFormat="1" ht="61.5" customHeight="1" thickBot="1" x14ac:dyDescent="0.25">
      <c r="A79" s="259"/>
      <c r="B79" s="219"/>
      <c r="C79" s="219"/>
      <c r="D79" s="220"/>
      <c r="E79" s="39" t="s">
        <v>11</v>
      </c>
      <c r="F79" s="100" t="s">
        <v>12</v>
      </c>
      <c r="G79" s="220"/>
      <c r="H79" s="220"/>
      <c r="I79" s="220"/>
      <c r="J79" s="223"/>
      <c r="K79" s="40" t="s">
        <v>13</v>
      </c>
      <c r="L79" s="40" t="s">
        <v>14</v>
      </c>
      <c r="M79" s="40" t="s">
        <v>15</v>
      </c>
      <c r="N79" s="100" t="s">
        <v>16</v>
      </c>
      <c r="O79" s="59"/>
      <c r="P79" s="259"/>
      <c r="Q79" s="219"/>
      <c r="R79" s="219"/>
      <c r="S79" s="220"/>
      <c r="T79" s="39" t="s">
        <v>11</v>
      </c>
      <c r="U79" s="100" t="s">
        <v>12</v>
      </c>
      <c r="V79" s="220"/>
      <c r="W79" s="220"/>
      <c r="X79" s="220"/>
      <c r="Y79" s="223"/>
      <c r="Z79" s="40" t="s">
        <v>13</v>
      </c>
      <c r="AA79" s="40" t="s">
        <v>14</v>
      </c>
      <c r="AB79" s="40" t="s">
        <v>15</v>
      </c>
      <c r="AC79" s="100" t="s">
        <v>16</v>
      </c>
      <c r="AD79" s="59"/>
      <c r="AE79" s="259"/>
      <c r="AF79" s="219"/>
      <c r="AG79" s="219"/>
      <c r="AH79" s="220"/>
      <c r="AI79" s="39" t="s">
        <v>11</v>
      </c>
      <c r="AJ79" s="100" t="s">
        <v>12</v>
      </c>
      <c r="AK79" s="220"/>
      <c r="AL79" s="220"/>
      <c r="AM79" s="220"/>
      <c r="AN79" s="223"/>
      <c r="AO79" s="40" t="s">
        <v>13</v>
      </c>
      <c r="AP79" s="40" t="s">
        <v>14</v>
      </c>
      <c r="AQ79" s="40" t="s">
        <v>15</v>
      </c>
      <c r="AR79" s="100" t="s">
        <v>16</v>
      </c>
      <c r="AS79" s="59"/>
      <c r="AT79" s="259"/>
      <c r="AU79" s="219"/>
      <c r="AV79" s="219"/>
      <c r="AW79" s="220"/>
      <c r="AX79" s="39" t="s">
        <v>11</v>
      </c>
      <c r="AY79" s="100" t="s">
        <v>12</v>
      </c>
      <c r="AZ79" s="220"/>
      <c r="BA79" s="220"/>
      <c r="BB79" s="220"/>
      <c r="BC79" s="223"/>
      <c r="BD79" s="40" t="s">
        <v>13</v>
      </c>
      <c r="BE79" s="40" t="s">
        <v>14</v>
      </c>
      <c r="BF79" s="40" t="s">
        <v>15</v>
      </c>
      <c r="BG79" s="100" t="s">
        <v>16</v>
      </c>
      <c r="BH79" s="59"/>
      <c r="BI79" s="259"/>
      <c r="BJ79" s="219"/>
      <c r="BK79" s="219"/>
      <c r="BL79" s="220"/>
      <c r="BM79" s="39" t="s">
        <v>11</v>
      </c>
      <c r="BN79" s="100" t="s">
        <v>12</v>
      </c>
      <c r="BO79" s="220"/>
      <c r="BP79" s="220"/>
      <c r="BQ79" s="220"/>
      <c r="BR79" s="223"/>
      <c r="BS79" s="40" t="s">
        <v>13</v>
      </c>
      <c r="BT79" s="40" t="s">
        <v>14</v>
      </c>
      <c r="BU79" s="40" t="s">
        <v>15</v>
      </c>
      <c r="BV79" s="100" t="s">
        <v>16</v>
      </c>
      <c r="BW79" s="59"/>
      <c r="BX79" s="259"/>
      <c r="BY79" s="219"/>
      <c r="BZ79" s="219"/>
      <c r="CA79" s="220"/>
      <c r="CB79" s="39" t="s">
        <v>11</v>
      </c>
      <c r="CC79" s="100" t="s">
        <v>12</v>
      </c>
      <c r="CD79" s="220"/>
      <c r="CE79" s="220"/>
      <c r="CF79" s="220"/>
      <c r="CG79" s="223"/>
      <c r="CH79" s="40" t="s">
        <v>13</v>
      </c>
      <c r="CI79" s="40" t="s">
        <v>14</v>
      </c>
      <c r="CJ79" s="40" t="s">
        <v>15</v>
      </c>
      <c r="CK79" s="100" t="s">
        <v>16</v>
      </c>
      <c r="CL79" s="59"/>
      <c r="CM79" s="259"/>
      <c r="CN79" s="219"/>
      <c r="CO79" s="219"/>
      <c r="CP79" s="220"/>
      <c r="CQ79" s="39" t="s">
        <v>11</v>
      </c>
      <c r="CR79" s="100" t="s">
        <v>12</v>
      </c>
      <c r="CS79" s="220"/>
      <c r="CT79" s="220"/>
      <c r="CU79" s="220"/>
      <c r="CV79" s="223"/>
      <c r="CW79" s="40" t="s">
        <v>13</v>
      </c>
      <c r="CX79" s="40" t="s">
        <v>14</v>
      </c>
      <c r="CY79" s="40" t="s">
        <v>15</v>
      </c>
      <c r="CZ79" s="100" t="s">
        <v>16</v>
      </c>
      <c r="DA79" s="59"/>
      <c r="DB79" s="259"/>
      <c r="DC79" s="219"/>
      <c r="DD79" s="219"/>
      <c r="DE79" s="220"/>
      <c r="DF79" s="39" t="s">
        <v>11</v>
      </c>
      <c r="DG79" s="100" t="s">
        <v>12</v>
      </c>
      <c r="DH79" s="220"/>
      <c r="DI79" s="220"/>
      <c r="DJ79" s="220"/>
      <c r="DK79" s="223"/>
      <c r="DL79" s="40" t="s">
        <v>13</v>
      </c>
      <c r="DM79" s="40" t="s">
        <v>14</v>
      </c>
      <c r="DN79" s="40" t="s">
        <v>15</v>
      </c>
      <c r="DO79" s="100" t="s">
        <v>16</v>
      </c>
      <c r="DP79" s="59"/>
      <c r="DQ79" s="259"/>
      <c r="DR79" s="219"/>
      <c r="DS79" s="219"/>
      <c r="DT79" s="220"/>
      <c r="DU79" s="39" t="s">
        <v>11</v>
      </c>
      <c r="DV79" s="100" t="s">
        <v>12</v>
      </c>
      <c r="DW79" s="220"/>
      <c r="DX79" s="220"/>
      <c r="DY79" s="220"/>
      <c r="DZ79" s="223"/>
      <c r="EA79" s="40" t="s">
        <v>13</v>
      </c>
      <c r="EB79" s="40" t="s">
        <v>14</v>
      </c>
      <c r="EC79" s="40" t="s">
        <v>15</v>
      </c>
      <c r="ED79" s="100" t="s">
        <v>16</v>
      </c>
      <c r="EE79" s="59"/>
      <c r="EF79" s="259"/>
      <c r="EG79" s="219"/>
      <c r="EH79" s="219"/>
      <c r="EI79" s="220"/>
      <c r="EJ79" s="39" t="s">
        <v>11</v>
      </c>
      <c r="EK79" s="100" t="s">
        <v>12</v>
      </c>
      <c r="EL79" s="220"/>
      <c r="EM79" s="220"/>
      <c r="EN79" s="220"/>
      <c r="EO79" s="223"/>
      <c r="EP79" s="40" t="s">
        <v>13</v>
      </c>
      <c r="EQ79" s="40" t="s">
        <v>14</v>
      </c>
      <c r="ER79" s="40" t="s">
        <v>15</v>
      </c>
      <c r="ES79" s="100" t="s">
        <v>16</v>
      </c>
      <c r="ET79" s="59"/>
      <c r="EU79" s="259"/>
      <c r="EV79" s="219"/>
      <c r="EW79" s="219"/>
      <c r="EX79" s="220"/>
      <c r="EY79" s="39" t="s">
        <v>11</v>
      </c>
      <c r="EZ79" s="100" t="s">
        <v>12</v>
      </c>
      <c r="FA79" s="220"/>
      <c r="FB79" s="220"/>
      <c r="FC79" s="220"/>
      <c r="FD79" s="223"/>
      <c r="FE79" s="40" t="s">
        <v>13</v>
      </c>
      <c r="FF79" s="40" t="s">
        <v>14</v>
      </c>
      <c r="FG79" s="40" t="s">
        <v>15</v>
      </c>
      <c r="FH79" s="100" t="s">
        <v>16</v>
      </c>
      <c r="FI79" s="59"/>
      <c r="FJ79" s="259"/>
      <c r="FK79" s="219"/>
      <c r="FL79" s="219"/>
      <c r="FM79" s="220"/>
      <c r="FN79" s="39" t="s">
        <v>11</v>
      </c>
      <c r="FO79" s="100" t="s">
        <v>12</v>
      </c>
      <c r="FP79" s="220"/>
      <c r="FQ79" s="220"/>
      <c r="FR79" s="220"/>
      <c r="FS79" s="223"/>
      <c r="FT79" s="40" t="s">
        <v>13</v>
      </c>
      <c r="FU79" s="40" t="s">
        <v>14</v>
      </c>
      <c r="FV79" s="40" t="s">
        <v>15</v>
      </c>
      <c r="FW79" s="100" t="s">
        <v>16</v>
      </c>
      <c r="FX79" s="59"/>
      <c r="FY79" s="259"/>
      <c r="FZ79" s="219"/>
      <c r="GA79" s="219"/>
      <c r="GB79" s="220"/>
      <c r="GC79" s="39" t="s">
        <v>11</v>
      </c>
      <c r="GD79" s="100" t="s">
        <v>12</v>
      </c>
      <c r="GE79" s="220"/>
      <c r="GF79" s="220"/>
      <c r="GG79" s="220"/>
      <c r="GH79" s="223"/>
      <c r="GI79" s="40" t="s">
        <v>13</v>
      </c>
      <c r="GJ79" s="40" t="s">
        <v>14</v>
      </c>
      <c r="GK79" s="40" t="s">
        <v>15</v>
      </c>
      <c r="GL79" s="100" t="s">
        <v>16</v>
      </c>
      <c r="GM79" s="59"/>
    </row>
    <row r="80" spans="1:195" ht="17.100000000000001" customHeight="1" thickBot="1" x14ac:dyDescent="0.25">
      <c r="A80" s="225" t="s">
        <v>39</v>
      </c>
      <c r="B80" s="134"/>
      <c r="C80" s="88" t="s">
        <v>18</v>
      </c>
      <c r="D80" s="47">
        <f>D5+D11+D17+D23+D29+D35+D41+D47+D53+D59+D65+D71</f>
        <v>168</v>
      </c>
      <c r="E80" s="47">
        <f t="shared" ref="E80:N80" si="267">E5+E11+E17+E23+E29+E35+E41+E47+E53+E59+E65+E71</f>
        <v>10</v>
      </c>
      <c r="F80" s="47">
        <f t="shared" si="267"/>
        <v>4</v>
      </c>
      <c r="G80" s="47">
        <f t="shared" si="267"/>
        <v>2629</v>
      </c>
      <c r="H80" s="47">
        <f t="shared" si="267"/>
        <v>504</v>
      </c>
      <c r="I80" s="47">
        <f t="shared" si="267"/>
        <v>304</v>
      </c>
      <c r="J80" s="47">
        <f t="shared" si="267"/>
        <v>1307</v>
      </c>
      <c r="K80" s="47">
        <f t="shared" si="267"/>
        <v>0</v>
      </c>
      <c r="L80" s="47">
        <f t="shared" si="267"/>
        <v>0</v>
      </c>
      <c r="M80" s="47">
        <f t="shared" si="267"/>
        <v>0</v>
      </c>
      <c r="N80" s="47">
        <f t="shared" si="267"/>
        <v>0</v>
      </c>
      <c r="O80" s="136"/>
      <c r="P80" s="225" t="s">
        <v>39</v>
      </c>
      <c r="Q80" s="134"/>
      <c r="R80" s="88" t="s">
        <v>18</v>
      </c>
      <c r="S80" s="47">
        <f>S5+S11+S17+S23+S29+S35+S41+S47+S53+S59+S65+S71</f>
        <v>339</v>
      </c>
      <c r="T80" s="47">
        <f t="shared" ref="T80:AC80" si="268">T5+T11+T17+T23+T29+T35+T41+T47+T53+T59+T65+T71</f>
        <v>123</v>
      </c>
      <c r="U80" s="47">
        <f t="shared" si="268"/>
        <v>10</v>
      </c>
      <c r="V80" s="47">
        <f t="shared" si="268"/>
        <v>2573</v>
      </c>
      <c r="W80" s="47">
        <f t="shared" si="268"/>
        <v>499</v>
      </c>
      <c r="X80" s="47">
        <f t="shared" si="268"/>
        <v>393</v>
      </c>
      <c r="Y80" s="47">
        <f t="shared" si="268"/>
        <v>1425</v>
      </c>
      <c r="Z80" s="47">
        <f t="shared" si="268"/>
        <v>51</v>
      </c>
      <c r="AA80" s="47">
        <f t="shared" si="268"/>
        <v>160</v>
      </c>
      <c r="AB80" s="47">
        <f t="shared" si="268"/>
        <v>0</v>
      </c>
      <c r="AC80" s="47">
        <f t="shared" si="268"/>
        <v>0</v>
      </c>
      <c r="AD80" s="136"/>
      <c r="AE80" s="225" t="s">
        <v>39</v>
      </c>
      <c r="AF80" s="134"/>
      <c r="AG80" s="88" t="s">
        <v>18</v>
      </c>
      <c r="AH80" s="47">
        <f>AH5+AH11+AH17+AH23+AH29+AH35+AH41+AH47+AH53+AH59+AH65+AH71</f>
        <v>100</v>
      </c>
      <c r="AI80" s="47">
        <f t="shared" ref="AI80:AR80" si="269">AI5+AI11+AI17+AI23+AI29+AI35+AI41+AI47+AI53+AI59+AI65+AI71</f>
        <v>95</v>
      </c>
      <c r="AJ80" s="47">
        <f t="shared" si="269"/>
        <v>2</v>
      </c>
      <c r="AK80" s="47">
        <f t="shared" si="269"/>
        <v>2328</v>
      </c>
      <c r="AL80" s="47">
        <f t="shared" si="269"/>
        <v>397</v>
      </c>
      <c r="AM80" s="47">
        <f t="shared" si="269"/>
        <v>337</v>
      </c>
      <c r="AN80" s="47">
        <f t="shared" si="269"/>
        <v>1002</v>
      </c>
      <c r="AO80" s="47">
        <f t="shared" si="269"/>
        <v>0</v>
      </c>
      <c r="AP80" s="47">
        <f t="shared" si="269"/>
        <v>0</v>
      </c>
      <c r="AQ80" s="47">
        <f t="shared" si="269"/>
        <v>0</v>
      </c>
      <c r="AR80" s="47">
        <f t="shared" si="269"/>
        <v>0</v>
      </c>
      <c r="AS80" s="136"/>
      <c r="AT80" s="225" t="s">
        <v>39</v>
      </c>
      <c r="AU80" s="134"/>
      <c r="AV80" s="88" t="s">
        <v>18</v>
      </c>
      <c r="AW80" s="47">
        <f>AW5+AW11+AW17+AW23+AW29+AW35+AW41+AW47+AW53+AW59+AW65+AW71</f>
        <v>231</v>
      </c>
      <c r="AX80" s="47">
        <f t="shared" ref="AX80:BG80" si="270">AX5+AX11+AX17+AX23+AX29+AX35+AX41+AX47+AX53+AX59+AX65+AX71</f>
        <v>47</v>
      </c>
      <c r="AY80" s="47">
        <f t="shared" si="270"/>
        <v>7</v>
      </c>
      <c r="AZ80" s="47">
        <f t="shared" si="270"/>
        <v>1580</v>
      </c>
      <c r="BA80" s="47">
        <f t="shared" si="270"/>
        <v>344</v>
      </c>
      <c r="BB80" s="47">
        <f t="shared" si="270"/>
        <v>218</v>
      </c>
      <c r="BC80" s="47">
        <f t="shared" si="270"/>
        <v>701</v>
      </c>
      <c r="BD80" s="47">
        <f t="shared" si="270"/>
        <v>0</v>
      </c>
      <c r="BE80" s="47">
        <f t="shared" si="270"/>
        <v>0</v>
      </c>
      <c r="BF80" s="47">
        <f t="shared" si="270"/>
        <v>0</v>
      </c>
      <c r="BG80" s="47">
        <f t="shared" si="270"/>
        <v>0</v>
      </c>
      <c r="BH80" s="136"/>
      <c r="BI80" s="225" t="s">
        <v>39</v>
      </c>
      <c r="BJ80" s="134"/>
      <c r="BK80" s="88" t="s">
        <v>18</v>
      </c>
      <c r="BL80" s="47">
        <f>BL5+BL11+BL17+BL23+BL29+BL35+BL41+BL47+BL53+BL59+BL65+BL71</f>
        <v>231</v>
      </c>
      <c r="BM80" s="47">
        <f t="shared" ref="BM80:BV80" si="271">BM5+BM11+BM17+BM23+BM29+BM35+BM41+BM47+BM53+BM59+BM65+BM71</f>
        <v>47</v>
      </c>
      <c r="BN80" s="47">
        <f t="shared" si="271"/>
        <v>7</v>
      </c>
      <c r="BO80" s="47">
        <f t="shared" si="271"/>
        <v>1580</v>
      </c>
      <c r="BP80" s="47">
        <f t="shared" si="271"/>
        <v>343</v>
      </c>
      <c r="BQ80" s="47">
        <f t="shared" si="271"/>
        <v>218</v>
      </c>
      <c r="BR80" s="47">
        <f t="shared" si="271"/>
        <v>792</v>
      </c>
      <c r="BS80" s="47">
        <f t="shared" si="271"/>
        <v>0</v>
      </c>
      <c r="BT80" s="47">
        <f t="shared" si="271"/>
        <v>0</v>
      </c>
      <c r="BU80" s="47">
        <f t="shared" si="271"/>
        <v>0</v>
      </c>
      <c r="BV80" s="47">
        <f t="shared" si="271"/>
        <v>0</v>
      </c>
      <c r="BW80" s="136"/>
      <c r="BX80" s="225" t="s">
        <v>39</v>
      </c>
      <c r="BY80" s="134"/>
      <c r="BZ80" s="88" t="s">
        <v>18</v>
      </c>
      <c r="CA80" s="47">
        <f>CA5+CA11+CA17+CA23+CA29+CA35+CA41+CA47+CA53+CA59+CA65+CA71</f>
        <v>232</v>
      </c>
      <c r="CB80" s="47">
        <f t="shared" ref="CB80:CK80" si="272">CB5+CB11+CB17+CB23+CB29+CB35+CB41+CB47+CB53+CB59+CB65+CB71</f>
        <v>44</v>
      </c>
      <c r="CC80" s="47">
        <f t="shared" si="272"/>
        <v>0</v>
      </c>
      <c r="CD80" s="47">
        <f t="shared" si="272"/>
        <v>1419</v>
      </c>
      <c r="CE80" s="47">
        <f t="shared" si="272"/>
        <v>324</v>
      </c>
      <c r="CF80" s="47">
        <f t="shared" si="272"/>
        <v>163</v>
      </c>
      <c r="CG80" s="47">
        <f t="shared" si="272"/>
        <v>468</v>
      </c>
      <c r="CH80" s="47">
        <f t="shared" si="272"/>
        <v>0</v>
      </c>
      <c r="CI80" s="47">
        <f t="shared" si="272"/>
        <v>0</v>
      </c>
      <c r="CJ80" s="47">
        <f t="shared" si="272"/>
        <v>0</v>
      </c>
      <c r="CK80" s="47">
        <f t="shared" si="272"/>
        <v>0</v>
      </c>
      <c r="CL80" s="136"/>
      <c r="CM80" s="225" t="s">
        <v>39</v>
      </c>
      <c r="CN80" s="134"/>
      <c r="CO80" s="88" t="s">
        <v>18</v>
      </c>
      <c r="CP80" s="47">
        <f>CP5+CP11+CP17+CP23+CP29+CP35+CP41+CP47+CP53+CP59+CP65+CP71</f>
        <v>66</v>
      </c>
      <c r="CQ80" s="47">
        <f t="shared" ref="CQ80:CZ80" si="273">CQ5+CQ11+CQ17+CQ23+CQ29+CQ35+CQ41+CQ47+CQ53+CQ59+CQ65+CQ71</f>
        <v>33</v>
      </c>
      <c r="CR80" s="47">
        <f t="shared" si="273"/>
        <v>30</v>
      </c>
      <c r="CS80" s="47">
        <f t="shared" si="273"/>
        <v>2543</v>
      </c>
      <c r="CT80" s="47">
        <f t="shared" si="273"/>
        <v>529</v>
      </c>
      <c r="CU80" s="47">
        <f t="shared" si="273"/>
        <v>276</v>
      </c>
      <c r="CV80" s="47">
        <f t="shared" si="273"/>
        <v>1876</v>
      </c>
      <c r="CW80" s="47">
        <f t="shared" si="273"/>
        <v>0</v>
      </c>
      <c r="CX80" s="47">
        <f t="shared" si="273"/>
        <v>0</v>
      </c>
      <c r="CY80" s="47">
        <f t="shared" si="273"/>
        <v>0</v>
      </c>
      <c r="CZ80" s="47">
        <f t="shared" si="273"/>
        <v>0</v>
      </c>
      <c r="DA80" s="136"/>
      <c r="DB80" s="225" t="s">
        <v>39</v>
      </c>
      <c r="DC80" s="134"/>
      <c r="DD80" s="88" t="s">
        <v>18</v>
      </c>
      <c r="DE80" s="47">
        <f>DE5+DE11+DE17+DE23+DE29+DE35+DE41+DE47+DE53+DE59+DE65+DE71</f>
        <v>311</v>
      </c>
      <c r="DF80" s="47">
        <f t="shared" ref="DF80:DO80" si="274">DF5+DF11+DF17+DF23+DF29+DF35+DF41+DF47+DF53+DF59+DF65+DF71</f>
        <v>73</v>
      </c>
      <c r="DG80" s="47">
        <f t="shared" si="274"/>
        <v>206</v>
      </c>
      <c r="DH80" s="47">
        <f t="shared" si="274"/>
        <v>2044</v>
      </c>
      <c r="DI80" s="47">
        <f t="shared" si="274"/>
        <v>40</v>
      </c>
      <c r="DJ80" s="47">
        <f t="shared" si="274"/>
        <v>84</v>
      </c>
      <c r="DK80" s="47">
        <f t="shared" si="274"/>
        <v>569</v>
      </c>
      <c r="DL80" s="47">
        <f t="shared" si="274"/>
        <v>99</v>
      </c>
      <c r="DM80" s="47">
        <f t="shared" si="274"/>
        <v>0</v>
      </c>
      <c r="DN80" s="47">
        <f t="shared" si="274"/>
        <v>0</v>
      </c>
      <c r="DO80" s="47">
        <f t="shared" si="274"/>
        <v>0</v>
      </c>
      <c r="DP80" s="136"/>
      <c r="DQ80" s="225" t="s">
        <v>39</v>
      </c>
      <c r="DR80" s="134"/>
      <c r="DS80" s="88" t="s">
        <v>18</v>
      </c>
      <c r="DT80" s="47">
        <f>DT5+DT11+DT17+DT23+DT29+DT35+DT41+DT47+DT53+DT59+DT65+DT71</f>
        <v>369</v>
      </c>
      <c r="DU80" s="47">
        <f t="shared" ref="DU80:ED80" si="275">DU5+DU11+DU17+DU23+DU29+DU35+DU41+DU47+DU53+DU59+DU65+DU71</f>
        <v>103</v>
      </c>
      <c r="DV80" s="47">
        <f t="shared" si="275"/>
        <v>53</v>
      </c>
      <c r="DW80" s="47">
        <f t="shared" si="275"/>
        <v>4761</v>
      </c>
      <c r="DX80" s="47">
        <f t="shared" si="275"/>
        <v>201</v>
      </c>
      <c r="DY80" s="47">
        <f t="shared" si="275"/>
        <v>254</v>
      </c>
      <c r="DZ80" s="47">
        <f t="shared" si="275"/>
        <v>541</v>
      </c>
      <c r="EA80" s="47">
        <f t="shared" si="275"/>
        <v>0</v>
      </c>
      <c r="EB80" s="47">
        <f t="shared" si="275"/>
        <v>0</v>
      </c>
      <c r="EC80" s="47">
        <f t="shared" si="275"/>
        <v>0</v>
      </c>
      <c r="ED80" s="47">
        <f t="shared" si="275"/>
        <v>0</v>
      </c>
      <c r="EE80" s="136"/>
      <c r="EF80" s="225" t="s">
        <v>39</v>
      </c>
      <c r="EG80" s="134"/>
      <c r="EH80" s="88" t="s">
        <v>18</v>
      </c>
      <c r="EI80" s="47">
        <f>EI5+EI11+EI17+EI23+EI29+EI35+EI41+EI47+EI53+EI59+EI65+EI71</f>
        <v>354</v>
      </c>
      <c r="EJ80" s="47">
        <f t="shared" ref="EJ80:ES80" si="276">EJ5+EJ11+EJ17+EJ23+EJ29+EJ35+EJ41+EJ47+EJ53+EJ59+EJ65+EJ71</f>
        <v>97</v>
      </c>
      <c r="EK80" s="47">
        <f t="shared" si="276"/>
        <v>53</v>
      </c>
      <c r="EL80" s="47">
        <f t="shared" si="276"/>
        <v>4488</v>
      </c>
      <c r="EM80" s="47">
        <f t="shared" si="276"/>
        <v>196</v>
      </c>
      <c r="EN80" s="47">
        <f t="shared" si="276"/>
        <v>254</v>
      </c>
      <c r="EO80" s="47">
        <f t="shared" si="276"/>
        <v>2052</v>
      </c>
      <c r="EP80" s="47">
        <f t="shared" si="276"/>
        <v>0</v>
      </c>
      <c r="EQ80" s="47">
        <f t="shared" si="276"/>
        <v>0</v>
      </c>
      <c r="ER80" s="47">
        <f t="shared" si="276"/>
        <v>0</v>
      </c>
      <c r="ES80" s="47">
        <f t="shared" si="276"/>
        <v>0</v>
      </c>
      <c r="ET80" s="136"/>
      <c r="EU80" s="225" t="s">
        <v>39</v>
      </c>
      <c r="EV80" s="134"/>
      <c r="EW80" s="88" t="s">
        <v>18</v>
      </c>
      <c r="EX80" s="47">
        <f>EX5+EX11+EX17+EX23+EX29+EX35+EX41+EX47+EX53+EX59+EX65+EX71</f>
        <v>0</v>
      </c>
      <c r="EY80" s="47">
        <f t="shared" ref="EY80:FH80" si="277">EY5+EY11+EY17+EY23+EY29+EY35+EY41+EY47+EY53+EY59+EY65+EY71</f>
        <v>0</v>
      </c>
      <c r="EZ80" s="47">
        <f t="shared" si="277"/>
        <v>0</v>
      </c>
      <c r="FA80" s="47">
        <f t="shared" si="277"/>
        <v>0</v>
      </c>
      <c r="FB80" s="47">
        <f t="shared" si="277"/>
        <v>0</v>
      </c>
      <c r="FC80" s="47">
        <f t="shared" si="277"/>
        <v>0</v>
      </c>
      <c r="FD80" s="47">
        <f t="shared" si="277"/>
        <v>0</v>
      </c>
      <c r="FE80" s="47">
        <f t="shared" si="277"/>
        <v>0</v>
      </c>
      <c r="FF80" s="47">
        <f t="shared" si="277"/>
        <v>0</v>
      </c>
      <c r="FG80" s="47">
        <f t="shared" si="277"/>
        <v>0</v>
      </c>
      <c r="FH80" s="47">
        <f t="shared" si="277"/>
        <v>0</v>
      </c>
      <c r="FI80" s="136"/>
      <c r="FJ80" s="225" t="s">
        <v>39</v>
      </c>
      <c r="FK80" s="134"/>
      <c r="FL80" s="88" t="s">
        <v>18</v>
      </c>
      <c r="FM80" s="47">
        <f>FM5+FM11+FM17+FM23+FM29+FM35+FM41+FM47+FM53+FM59+FM65+FM71</f>
        <v>0</v>
      </c>
      <c r="FN80" s="47">
        <f t="shared" ref="FN80:FW80" si="278">FN5+FN11+FN17+FN23+FN29+FN35+FN41+FN47+FN53+FN59+FN65+FN71</f>
        <v>0</v>
      </c>
      <c r="FO80" s="47">
        <f t="shared" si="278"/>
        <v>0</v>
      </c>
      <c r="FP80" s="47">
        <f t="shared" si="278"/>
        <v>0</v>
      </c>
      <c r="FQ80" s="47">
        <f t="shared" si="278"/>
        <v>0</v>
      </c>
      <c r="FR80" s="47">
        <f t="shared" si="278"/>
        <v>0</v>
      </c>
      <c r="FS80" s="47">
        <f t="shared" si="278"/>
        <v>0</v>
      </c>
      <c r="FT80" s="47">
        <f t="shared" si="278"/>
        <v>0</v>
      </c>
      <c r="FU80" s="47">
        <f t="shared" si="278"/>
        <v>0</v>
      </c>
      <c r="FV80" s="47">
        <f t="shared" si="278"/>
        <v>0</v>
      </c>
      <c r="FW80" s="47">
        <f t="shared" si="278"/>
        <v>0</v>
      </c>
      <c r="FX80" s="136"/>
      <c r="FY80" s="228" t="str">
        <f>(FJ80)</f>
        <v>إجمالي مراكزمستشفى شرق جدة</v>
      </c>
      <c r="FZ80" s="126" t="s">
        <v>17</v>
      </c>
      <c r="GA80" s="62" t="s">
        <v>18</v>
      </c>
      <c r="GB80" s="63">
        <f>SUM(FM80)</f>
        <v>0</v>
      </c>
      <c r="GC80" s="63">
        <f>GC5+GC11+GC17+GC23+GC29+GC35+GC41+GC47+GC53+GC59+GC65+GC71</f>
        <v>672</v>
      </c>
      <c r="GD80" s="63">
        <f t="shared" ref="GD80:GL80" si="279">GD5+GD11+GD17+GD23+GD29+GD35+GD41+GD47+GD53+GD59+GD65+GD71</f>
        <v>372</v>
      </c>
      <c r="GE80" s="63">
        <f t="shared" si="279"/>
        <v>0</v>
      </c>
      <c r="GF80" s="63">
        <f t="shared" si="279"/>
        <v>0</v>
      </c>
      <c r="GG80" s="63">
        <f t="shared" si="279"/>
        <v>0</v>
      </c>
      <c r="GH80" s="63">
        <f t="shared" si="279"/>
        <v>10733</v>
      </c>
      <c r="GI80" s="63">
        <f t="shared" si="279"/>
        <v>150</v>
      </c>
      <c r="GJ80" s="63">
        <f t="shared" si="279"/>
        <v>160</v>
      </c>
      <c r="GK80" s="63">
        <f t="shared" si="279"/>
        <v>0</v>
      </c>
      <c r="GL80" s="63">
        <f t="shared" si="279"/>
        <v>0</v>
      </c>
      <c r="GM80" s="89"/>
    </row>
    <row r="81" spans="1:195" ht="17.100000000000001" customHeight="1" thickBot="1" x14ac:dyDescent="0.25">
      <c r="A81" s="226"/>
      <c r="B81" s="135" t="s">
        <v>17</v>
      </c>
      <c r="C81" s="90" t="s">
        <v>19</v>
      </c>
      <c r="D81" s="47">
        <f t="shared" ref="D81:N81" si="280">D6+D12+D18+D24+D30+D36+D42+D48+D54+D60+D66+D72</f>
        <v>149</v>
      </c>
      <c r="E81" s="47">
        <f t="shared" si="280"/>
        <v>6</v>
      </c>
      <c r="F81" s="47">
        <f t="shared" si="280"/>
        <v>12</v>
      </c>
      <c r="G81" s="47">
        <f t="shared" si="280"/>
        <v>2617</v>
      </c>
      <c r="H81" s="47">
        <f t="shared" si="280"/>
        <v>377</v>
      </c>
      <c r="I81" s="47">
        <f t="shared" si="280"/>
        <v>286</v>
      </c>
      <c r="J81" s="47">
        <f t="shared" si="280"/>
        <v>1332</v>
      </c>
      <c r="K81" s="47">
        <f t="shared" si="280"/>
        <v>0</v>
      </c>
      <c r="L81" s="47">
        <f t="shared" si="280"/>
        <v>0</v>
      </c>
      <c r="M81" s="47">
        <f t="shared" si="280"/>
        <v>0</v>
      </c>
      <c r="N81" s="47">
        <f t="shared" si="280"/>
        <v>0</v>
      </c>
      <c r="O81" s="44"/>
      <c r="P81" s="226"/>
      <c r="Q81" s="135" t="s">
        <v>17</v>
      </c>
      <c r="R81" s="90" t="s">
        <v>19</v>
      </c>
      <c r="S81" s="47">
        <f t="shared" ref="S81:AC81" si="281">S6+S12+S18+S24+S30+S36+S42+S48+S54+S60+S66+S72</f>
        <v>322</v>
      </c>
      <c r="T81" s="47">
        <f t="shared" si="281"/>
        <v>161</v>
      </c>
      <c r="U81" s="47">
        <f t="shared" si="281"/>
        <v>3</v>
      </c>
      <c r="V81" s="47">
        <f t="shared" si="281"/>
        <v>1669</v>
      </c>
      <c r="W81" s="47">
        <f t="shared" si="281"/>
        <v>328</v>
      </c>
      <c r="X81" s="47">
        <f t="shared" si="281"/>
        <v>400</v>
      </c>
      <c r="Y81" s="47">
        <f t="shared" si="281"/>
        <v>1487</v>
      </c>
      <c r="Z81" s="47">
        <f t="shared" si="281"/>
        <v>41</v>
      </c>
      <c r="AA81" s="47">
        <f t="shared" si="281"/>
        <v>120</v>
      </c>
      <c r="AB81" s="47">
        <f t="shared" si="281"/>
        <v>0</v>
      </c>
      <c r="AC81" s="47">
        <f t="shared" si="281"/>
        <v>0</v>
      </c>
      <c r="AD81" s="44"/>
      <c r="AE81" s="226"/>
      <c r="AF81" s="135" t="s">
        <v>17</v>
      </c>
      <c r="AG81" s="90" t="s">
        <v>19</v>
      </c>
      <c r="AH81" s="47">
        <f t="shared" ref="AH81:AR81" si="282">AH6+AH12+AH18+AH24+AH30+AH36+AH42+AH48+AH54+AH60+AH66+AH72</f>
        <v>100</v>
      </c>
      <c r="AI81" s="47">
        <f t="shared" si="282"/>
        <v>86</v>
      </c>
      <c r="AJ81" s="47">
        <f t="shared" si="282"/>
        <v>2</v>
      </c>
      <c r="AK81" s="47">
        <f t="shared" si="282"/>
        <v>1362</v>
      </c>
      <c r="AL81" s="47">
        <f t="shared" si="282"/>
        <v>266</v>
      </c>
      <c r="AM81" s="47">
        <f t="shared" si="282"/>
        <v>353</v>
      </c>
      <c r="AN81" s="47">
        <f t="shared" si="282"/>
        <v>869</v>
      </c>
      <c r="AO81" s="47">
        <f t="shared" si="282"/>
        <v>0</v>
      </c>
      <c r="AP81" s="47">
        <f t="shared" si="282"/>
        <v>0</v>
      </c>
      <c r="AQ81" s="47">
        <f t="shared" si="282"/>
        <v>0</v>
      </c>
      <c r="AR81" s="47">
        <f t="shared" si="282"/>
        <v>0</v>
      </c>
      <c r="AS81" s="44"/>
      <c r="AT81" s="226"/>
      <c r="AU81" s="135" t="s">
        <v>17</v>
      </c>
      <c r="AV81" s="90" t="s">
        <v>19</v>
      </c>
      <c r="AW81" s="47">
        <f t="shared" ref="AW81:BG81" si="283">AW6+AW12+AW18+AW24+AW30+AW36+AW42+AW48+AW54+AW60+AW66+AW72</f>
        <v>275</v>
      </c>
      <c r="AX81" s="47">
        <f t="shared" si="283"/>
        <v>54</v>
      </c>
      <c r="AY81" s="47">
        <f t="shared" si="283"/>
        <v>5</v>
      </c>
      <c r="AZ81" s="47">
        <f t="shared" si="283"/>
        <v>1040</v>
      </c>
      <c r="BA81" s="47">
        <f t="shared" si="283"/>
        <v>251</v>
      </c>
      <c r="BB81" s="47">
        <f t="shared" si="283"/>
        <v>209</v>
      </c>
      <c r="BC81" s="47">
        <f t="shared" si="283"/>
        <v>736</v>
      </c>
      <c r="BD81" s="47">
        <f t="shared" si="283"/>
        <v>0</v>
      </c>
      <c r="BE81" s="47">
        <f t="shared" si="283"/>
        <v>0</v>
      </c>
      <c r="BF81" s="47">
        <f t="shared" si="283"/>
        <v>0</v>
      </c>
      <c r="BG81" s="47">
        <f t="shared" si="283"/>
        <v>0</v>
      </c>
      <c r="BH81" s="44"/>
      <c r="BI81" s="226"/>
      <c r="BJ81" s="135" t="s">
        <v>17</v>
      </c>
      <c r="BK81" s="90" t="s">
        <v>19</v>
      </c>
      <c r="BL81" s="47">
        <f t="shared" ref="BL81:BV81" si="284">BL6+BL12+BL18+BL24+BL30+BL36+BL42+BL48+BL54+BL60+BL66+BL72</f>
        <v>276</v>
      </c>
      <c r="BM81" s="47">
        <f t="shared" si="284"/>
        <v>55</v>
      </c>
      <c r="BN81" s="47">
        <f t="shared" si="284"/>
        <v>5</v>
      </c>
      <c r="BO81" s="47">
        <f t="shared" si="284"/>
        <v>1040</v>
      </c>
      <c r="BP81" s="47">
        <f t="shared" si="284"/>
        <v>249</v>
      </c>
      <c r="BQ81" s="47">
        <f t="shared" si="284"/>
        <v>209</v>
      </c>
      <c r="BR81" s="47">
        <f t="shared" si="284"/>
        <v>764</v>
      </c>
      <c r="BS81" s="47">
        <f t="shared" si="284"/>
        <v>0</v>
      </c>
      <c r="BT81" s="47">
        <f t="shared" si="284"/>
        <v>0</v>
      </c>
      <c r="BU81" s="47">
        <f t="shared" si="284"/>
        <v>0</v>
      </c>
      <c r="BV81" s="47">
        <f t="shared" si="284"/>
        <v>0</v>
      </c>
      <c r="BW81" s="44"/>
      <c r="BX81" s="226"/>
      <c r="BY81" s="135" t="s">
        <v>17</v>
      </c>
      <c r="BZ81" s="90" t="s">
        <v>19</v>
      </c>
      <c r="CA81" s="47">
        <f t="shared" ref="CA81:CK81" si="285">CA6+CA12+CA18+CA24+CA30+CA36+CA42+CA48+CA54+CA60+CA66+CA72</f>
        <v>280</v>
      </c>
      <c r="CB81" s="47">
        <f t="shared" si="285"/>
        <v>39</v>
      </c>
      <c r="CC81" s="47">
        <f t="shared" si="285"/>
        <v>0</v>
      </c>
      <c r="CD81" s="47">
        <f t="shared" si="285"/>
        <v>855</v>
      </c>
      <c r="CE81" s="47">
        <f t="shared" si="285"/>
        <v>226</v>
      </c>
      <c r="CF81" s="47">
        <f t="shared" si="285"/>
        <v>145</v>
      </c>
      <c r="CG81" s="47">
        <f t="shared" si="285"/>
        <v>503</v>
      </c>
      <c r="CH81" s="47">
        <f t="shared" si="285"/>
        <v>0</v>
      </c>
      <c r="CI81" s="47">
        <f t="shared" si="285"/>
        <v>0</v>
      </c>
      <c r="CJ81" s="47">
        <f t="shared" si="285"/>
        <v>0</v>
      </c>
      <c r="CK81" s="47">
        <f t="shared" si="285"/>
        <v>0</v>
      </c>
      <c r="CL81" s="44"/>
      <c r="CM81" s="226"/>
      <c r="CN81" s="135" t="s">
        <v>17</v>
      </c>
      <c r="CO81" s="90" t="s">
        <v>19</v>
      </c>
      <c r="CP81" s="47">
        <f t="shared" ref="CP81:CZ81" si="286">CP6+CP12+CP18+CP24+CP30+CP36+CP42+CP48+CP54+CP60+CP66+CP72</f>
        <v>70</v>
      </c>
      <c r="CQ81" s="47">
        <f t="shared" si="286"/>
        <v>79</v>
      </c>
      <c r="CR81" s="47">
        <f t="shared" si="286"/>
        <v>1</v>
      </c>
      <c r="CS81" s="47">
        <f t="shared" si="286"/>
        <v>2808</v>
      </c>
      <c r="CT81" s="47">
        <f t="shared" si="286"/>
        <v>343</v>
      </c>
      <c r="CU81" s="47">
        <f t="shared" si="286"/>
        <v>228</v>
      </c>
      <c r="CV81" s="47">
        <f t="shared" si="286"/>
        <v>1785</v>
      </c>
      <c r="CW81" s="47">
        <f t="shared" si="286"/>
        <v>0</v>
      </c>
      <c r="CX81" s="47">
        <f t="shared" si="286"/>
        <v>0</v>
      </c>
      <c r="CY81" s="47">
        <f t="shared" si="286"/>
        <v>0</v>
      </c>
      <c r="CZ81" s="47">
        <f t="shared" si="286"/>
        <v>0</v>
      </c>
      <c r="DA81" s="44"/>
      <c r="DB81" s="226"/>
      <c r="DC81" s="135" t="s">
        <v>17</v>
      </c>
      <c r="DD81" s="90" t="s">
        <v>19</v>
      </c>
      <c r="DE81" s="47">
        <f t="shared" ref="DE81:DO81" si="287">DE6+DE12+DE18+DE24+DE30+DE36+DE42+DE48+DE54+DE60+DE66+DE72</f>
        <v>297</v>
      </c>
      <c r="DF81" s="47">
        <f t="shared" si="287"/>
        <v>68</v>
      </c>
      <c r="DG81" s="47">
        <f t="shared" si="287"/>
        <v>102</v>
      </c>
      <c r="DH81" s="47">
        <f t="shared" si="287"/>
        <v>2106</v>
      </c>
      <c r="DI81" s="47">
        <f t="shared" si="287"/>
        <v>50</v>
      </c>
      <c r="DJ81" s="47">
        <f t="shared" si="287"/>
        <v>73</v>
      </c>
      <c r="DK81" s="47">
        <f t="shared" si="287"/>
        <v>563</v>
      </c>
      <c r="DL81" s="47">
        <f t="shared" si="287"/>
        <v>100</v>
      </c>
      <c r="DM81" s="47">
        <f t="shared" si="287"/>
        <v>0</v>
      </c>
      <c r="DN81" s="47">
        <f t="shared" si="287"/>
        <v>0</v>
      </c>
      <c r="DO81" s="47">
        <f t="shared" si="287"/>
        <v>0</v>
      </c>
      <c r="DP81" s="44"/>
      <c r="DQ81" s="226"/>
      <c r="DR81" s="135" t="s">
        <v>17</v>
      </c>
      <c r="DS81" s="90" t="s">
        <v>19</v>
      </c>
      <c r="DT81" s="47">
        <f t="shared" ref="DT81:ED81" si="288">DT6+DT12+DT18+DT24+DT30+DT36+DT42+DT48+DT54+DT60+DT66+DT72</f>
        <v>325</v>
      </c>
      <c r="DU81" s="47">
        <f t="shared" si="288"/>
        <v>57</v>
      </c>
      <c r="DV81" s="47">
        <f t="shared" si="288"/>
        <v>44</v>
      </c>
      <c r="DW81" s="47">
        <f t="shared" si="288"/>
        <v>5040</v>
      </c>
      <c r="DX81" s="47">
        <f t="shared" si="288"/>
        <v>160</v>
      </c>
      <c r="DY81" s="47">
        <f t="shared" si="288"/>
        <v>264</v>
      </c>
      <c r="DZ81" s="47">
        <f t="shared" si="288"/>
        <v>441</v>
      </c>
      <c r="EA81" s="47">
        <f t="shared" si="288"/>
        <v>0</v>
      </c>
      <c r="EB81" s="47">
        <f t="shared" si="288"/>
        <v>0</v>
      </c>
      <c r="EC81" s="47">
        <f t="shared" si="288"/>
        <v>0</v>
      </c>
      <c r="ED81" s="47">
        <f t="shared" si="288"/>
        <v>0</v>
      </c>
      <c r="EE81" s="44"/>
      <c r="EF81" s="226"/>
      <c r="EG81" s="135" t="s">
        <v>17</v>
      </c>
      <c r="EH81" s="90" t="s">
        <v>19</v>
      </c>
      <c r="EI81" s="47">
        <f t="shared" ref="EI81:ES81" si="289">EI6+EI12+EI18+EI24+EI30+EI36+EI42+EI48+EI54+EI60+EI66+EI72</f>
        <v>311</v>
      </c>
      <c r="EJ81" s="47">
        <f t="shared" si="289"/>
        <v>49</v>
      </c>
      <c r="EK81" s="47">
        <f t="shared" si="289"/>
        <v>44</v>
      </c>
      <c r="EL81" s="47">
        <f t="shared" si="289"/>
        <v>4631</v>
      </c>
      <c r="EM81" s="47">
        <f t="shared" si="289"/>
        <v>140</v>
      </c>
      <c r="EN81" s="47">
        <f t="shared" si="289"/>
        <v>261</v>
      </c>
      <c r="EO81" s="47">
        <f t="shared" si="289"/>
        <v>1495</v>
      </c>
      <c r="EP81" s="47">
        <f t="shared" si="289"/>
        <v>0</v>
      </c>
      <c r="EQ81" s="47">
        <f t="shared" si="289"/>
        <v>0</v>
      </c>
      <c r="ER81" s="47">
        <f t="shared" si="289"/>
        <v>0</v>
      </c>
      <c r="ES81" s="47">
        <f t="shared" si="289"/>
        <v>0</v>
      </c>
      <c r="ET81" s="44"/>
      <c r="EU81" s="226"/>
      <c r="EV81" s="135" t="s">
        <v>17</v>
      </c>
      <c r="EW81" s="90" t="s">
        <v>19</v>
      </c>
      <c r="EX81" s="47">
        <f t="shared" ref="EX81:FH81" si="290">EX6+EX12+EX18+EX24+EX30+EX36+EX42+EX48+EX54+EX60+EX66+EX72</f>
        <v>0</v>
      </c>
      <c r="EY81" s="47">
        <f t="shared" si="290"/>
        <v>0</v>
      </c>
      <c r="EZ81" s="47">
        <f t="shared" si="290"/>
        <v>0</v>
      </c>
      <c r="FA81" s="47">
        <f t="shared" si="290"/>
        <v>0</v>
      </c>
      <c r="FB81" s="47">
        <f t="shared" si="290"/>
        <v>0</v>
      </c>
      <c r="FC81" s="47">
        <f t="shared" si="290"/>
        <v>0</v>
      </c>
      <c r="FD81" s="47">
        <f t="shared" si="290"/>
        <v>0</v>
      </c>
      <c r="FE81" s="47">
        <f t="shared" si="290"/>
        <v>0</v>
      </c>
      <c r="FF81" s="47">
        <f t="shared" si="290"/>
        <v>0</v>
      </c>
      <c r="FG81" s="47">
        <f t="shared" si="290"/>
        <v>0</v>
      </c>
      <c r="FH81" s="47">
        <f t="shared" si="290"/>
        <v>0</v>
      </c>
      <c r="FI81" s="44"/>
      <c r="FJ81" s="226"/>
      <c r="FK81" s="135" t="s">
        <v>17</v>
      </c>
      <c r="FL81" s="90" t="s">
        <v>19</v>
      </c>
      <c r="FM81" s="47">
        <f t="shared" ref="FM81:FW81" si="291">FM6+FM12+FM18+FM24+FM30+FM36+FM42+FM48+FM54+FM60+FM66+FM72</f>
        <v>0</v>
      </c>
      <c r="FN81" s="47">
        <f t="shared" si="291"/>
        <v>0</v>
      </c>
      <c r="FO81" s="47">
        <f t="shared" si="291"/>
        <v>0</v>
      </c>
      <c r="FP81" s="47">
        <f t="shared" si="291"/>
        <v>0</v>
      </c>
      <c r="FQ81" s="47">
        <f t="shared" si="291"/>
        <v>0</v>
      </c>
      <c r="FR81" s="47">
        <f t="shared" si="291"/>
        <v>0</v>
      </c>
      <c r="FS81" s="47">
        <f t="shared" si="291"/>
        <v>0</v>
      </c>
      <c r="FT81" s="47">
        <f t="shared" si="291"/>
        <v>0</v>
      </c>
      <c r="FU81" s="47">
        <f t="shared" si="291"/>
        <v>0</v>
      </c>
      <c r="FV81" s="47">
        <f t="shared" si="291"/>
        <v>0</v>
      </c>
      <c r="FW81" s="47">
        <f t="shared" si="291"/>
        <v>0</v>
      </c>
      <c r="FX81" s="44"/>
      <c r="FY81" s="229"/>
      <c r="FZ81" s="127"/>
      <c r="GA81" s="66" t="s">
        <v>19</v>
      </c>
      <c r="GB81" s="67">
        <f>SUM(FM81)</f>
        <v>0</v>
      </c>
      <c r="GC81" s="63">
        <f t="shared" ref="GC81:GL81" si="292">GC6+GC12+GC18+GC24+GC30+GC36+GC42+GC48+GC54+GC60+GC66+GC72</f>
        <v>654</v>
      </c>
      <c r="GD81" s="63">
        <f t="shared" si="292"/>
        <v>218</v>
      </c>
      <c r="GE81" s="63">
        <f t="shared" si="292"/>
        <v>0</v>
      </c>
      <c r="GF81" s="63">
        <f t="shared" si="292"/>
        <v>0</v>
      </c>
      <c r="GG81" s="63">
        <f t="shared" si="292"/>
        <v>0</v>
      </c>
      <c r="GH81" s="63">
        <f t="shared" si="292"/>
        <v>9975</v>
      </c>
      <c r="GI81" s="63">
        <f t="shared" si="292"/>
        <v>141</v>
      </c>
      <c r="GJ81" s="63">
        <f t="shared" si="292"/>
        <v>120</v>
      </c>
      <c r="GK81" s="63">
        <f t="shared" si="292"/>
        <v>0</v>
      </c>
      <c r="GL81" s="63">
        <f t="shared" si="292"/>
        <v>0</v>
      </c>
      <c r="GM81" s="89"/>
    </row>
    <row r="82" spans="1:195" ht="17.100000000000001" customHeight="1" thickBot="1" x14ac:dyDescent="0.25">
      <c r="A82" s="226"/>
      <c r="B82" s="134" t="s">
        <v>20</v>
      </c>
      <c r="C82" s="91" t="s">
        <v>18</v>
      </c>
      <c r="D82" s="47">
        <f t="shared" ref="D82:N82" si="293">D7+D13+D19+D25+D31+D37+D43+D49+D55+D61+D67+D73</f>
        <v>6</v>
      </c>
      <c r="E82" s="47">
        <f t="shared" si="293"/>
        <v>0</v>
      </c>
      <c r="F82" s="47">
        <f t="shared" si="293"/>
        <v>0</v>
      </c>
      <c r="G82" s="47">
        <f t="shared" si="293"/>
        <v>12</v>
      </c>
      <c r="H82" s="47">
        <f t="shared" si="293"/>
        <v>54</v>
      </c>
      <c r="I82" s="47">
        <f t="shared" si="293"/>
        <v>40</v>
      </c>
      <c r="J82" s="47">
        <f t="shared" si="293"/>
        <v>449</v>
      </c>
      <c r="K82" s="47">
        <f t="shared" si="293"/>
        <v>0</v>
      </c>
      <c r="L82" s="47">
        <f t="shared" si="293"/>
        <v>0</v>
      </c>
      <c r="M82" s="47">
        <f t="shared" si="293"/>
        <v>0</v>
      </c>
      <c r="N82" s="47">
        <f t="shared" si="293"/>
        <v>0</v>
      </c>
      <c r="O82" s="44"/>
      <c r="P82" s="226"/>
      <c r="Q82" s="134" t="s">
        <v>20</v>
      </c>
      <c r="R82" s="91" t="s">
        <v>18</v>
      </c>
      <c r="S82" s="47">
        <f t="shared" ref="S82:AC82" si="294">S7+S13+S19+S25+S31+S37+S43+S49+S55+S61+S67+S73</f>
        <v>367</v>
      </c>
      <c r="T82" s="47">
        <f t="shared" si="294"/>
        <v>127</v>
      </c>
      <c r="U82" s="47">
        <f t="shared" si="294"/>
        <v>5</v>
      </c>
      <c r="V82" s="47">
        <f t="shared" si="294"/>
        <v>172</v>
      </c>
      <c r="W82" s="47">
        <f t="shared" si="294"/>
        <v>6</v>
      </c>
      <c r="X82" s="47">
        <f t="shared" si="294"/>
        <v>0</v>
      </c>
      <c r="Y82" s="47">
        <f t="shared" si="294"/>
        <v>709</v>
      </c>
      <c r="Z82" s="47">
        <f t="shared" si="294"/>
        <v>0</v>
      </c>
      <c r="AA82" s="47">
        <f t="shared" si="294"/>
        <v>179</v>
      </c>
      <c r="AB82" s="47">
        <f t="shared" si="294"/>
        <v>0</v>
      </c>
      <c r="AC82" s="47">
        <f t="shared" si="294"/>
        <v>0</v>
      </c>
      <c r="AD82" s="44"/>
      <c r="AE82" s="226"/>
      <c r="AF82" s="134" t="s">
        <v>20</v>
      </c>
      <c r="AG82" s="91" t="s">
        <v>18</v>
      </c>
      <c r="AH82" s="47">
        <f t="shared" ref="AH82:AR82" si="295">AH7+AH13+AH19+AH25+AH31+AH37+AH43+AH49+AH55+AH61+AH67+AH73</f>
        <v>3</v>
      </c>
      <c r="AI82" s="47">
        <f t="shared" si="295"/>
        <v>2</v>
      </c>
      <c r="AJ82" s="47">
        <f t="shared" si="295"/>
        <v>0</v>
      </c>
      <c r="AK82" s="47">
        <f t="shared" si="295"/>
        <v>18</v>
      </c>
      <c r="AL82" s="47">
        <f t="shared" si="295"/>
        <v>2</v>
      </c>
      <c r="AM82" s="47">
        <f t="shared" si="295"/>
        <v>101</v>
      </c>
      <c r="AN82" s="47">
        <f t="shared" si="295"/>
        <v>369</v>
      </c>
      <c r="AO82" s="47">
        <f t="shared" si="295"/>
        <v>0</v>
      </c>
      <c r="AP82" s="47">
        <f t="shared" si="295"/>
        <v>0</v>
      </c>
      <c r="AQ82" s="47">
        <f t="shared" si="295"/>
        <v>0</v>
      </c>
      <c r="AR82" s="47">
        <f t="shared" si="295"/>
        <v>0</v>
      </c>
      <c r="AS82" s="44"/>
      <c r="AT82" s="226"/>
      <c r="AU82" s="134" t="s">
        <v>20</v>
      </c>
      <c r="AV82" s="91" t="s">
        <v>18</v>
      </c>
      <c r="AW82" s="47">
        <f t="shared" ref="AW82:BG82" si="296">AW7+AW13+AW19+AW25+AW31+AW37+AW43+AW49+AW55+AW61+AW67+AW73</f>
        <v>0</v>
      </c>
      <c r="AX82" s="47">
        <f t="shared" si="296"/>
        <v>0</v>
      </c>
      <c r="AY82" s="47">
        <f t="shared" si="296"/>
        <v>0</v>
      </c>
      <c r="AZ82" s="47">
        <f t="shared" si="296"/>
        <v>0</v>
      </c>
      <c r="BA82" s="47">
        <f t="shared" si="296"/>
        <v>0</v>
      </c>
      <c r="BB82" s="47">
        <f t="shared" si="296"/>
        <v>0</v>
      </c>
      <c r="BC82" s="47">
        <f t="shared" si="296"/>
        <v>177</v>
      </c>
      <c r="BD82" s="47">
        <f t="shared" si="296"/>
        <v>0</v>
      </c>
      <c r="BE82" s="47">
        <f t="shared" si="296"/>
        <v>0</v>
      </c>
      <c r="BF82" s="47">
        <f t="shared" si="296"/>
        <v>0</v>
      </c>
      <c r="BG82" s="47">
        <f t="shared" si="296"/>
        <v>0</v>
      </c>
      <c r="BH82" s="44"/>
      <c r="BI82" s="226"/>
      <c r="BJ82" s="134" t="s">
        <v>20</v>
      </c>
      <c r="BK82" s="91" t="s">
        <v>18</v>
      </c>
      <c r="BL82" s="47">
        <f t="shared" ref="BL82:BV82" si="297">BL7+BL13+BL19+BL25+BL31+BL37+BL43+BL49+BL55+BL61+BL67+BL73</f>
        <v>0</v>
      </c>
      <c r="BM82" s="47">
        <f t="shared" si="297"/>
        <v>0</v>
      </c>
      <c r="BN82" s="47">
        <f t="shared" si="297"/>
        <v>0</v>
      </c>
      <c r="BO82" s="47">
        <f t="shared" si="297"/>
        <v>0</v>
      </c>
      <c r="BP82" s="47">
        <f t="shared" si="297"/>
        <v>0</v>
      </c>
      <c r="BQ82" s="47">
        <f t="shared" si="297"/>
        <v>0</v>
      </c>
      <c r="BR82" s="47">
        <f t="shared" si="297"/>
        <v>283</v>
      </c>
      <c r="BS82" s="47">
        <f t="shared" si="297"/>
        <v>0</v>
      </c>
      <c r="BT82" s="47">
        <f t="shared" si="297"/>
        <v>0</v>
      </c>
      <c r="BU82" s="47">
        <f t="shared" si="297"/>
        <v>0</v>
      </c>
      <c r="BV82" s="47">
        <f t="shared" si="297"/>
        <v>0</v>
      </c>
      <c r="BW82" s="44"/>
      <c r="BX82" s="226"/>
      <c r="BY82" s="134" t="s">
        <v>20</v>
      </c>
      <c r="BZ82" s="91" t="s">
        <v>18</v>
      </c>
      <c r="CA82" s="47">
        <f t="shared" ref="CA82:CK82" si="298">CA7+CA13+CA19+CA25+CA31+CA37+CA43+CA49+CA55+CA61+CA67+CA73</f>
        <v>0</v>
      </c>
      <c r="CB82" s="47">
        <f t="shared" si="298"/>
        <v>0</v>
      </c>
      <c r="CC82" s="47">
        <f t="shared" si="298"/>
        <v>0</v>
      </c>
      <c r="CD82" s="47">
        <f t="shared" si="298"/>
        <v>0</v>
      </c>
      <c r="CE82" s="47">
        <f t="shared" si="298"/>
        <v>0</v>
      </c>
      <c r="CF82" s="47">
        <f t="shared" si="298"/>
        <v>0</v>
      </c>
      <c r="CG82" s="47">
        <f t="shared" si="298"/>
        <v>113</v>
      </c>
      <c r="CH82" s="47">
        <f t="shared" si="298"/>
        <v>0</v>
      </c>
      <c r="CI82" s="47">
        <f t="shared" si="298"/>
        <v>0</v>
      </c>
      <c r="CJ82" s="47">
        <f t="shared" si="298"/>
        <v>0</v>
      </c>
      <c r="CK82" s="47">
        <f t="shared" si="298"/>
        <v>0</v>
      </c>
      <c r="CL82" s="44"/>
      <c r="CM82" s="226"/>
      <c r="CN82" s="134" t="s">
        <v>20</v>
      </c>
      <c r="CO82" s="91" t="s">
        <v>18</v>
      </c>
      <c r="CP82" s="47">
        <f t="shared" ref="CP82:CZ82" si="299">CP7+CP13+CP19+CP25+CP31+CP37+CP43+CP49+CP55+CP61+CP67+CP73</f>
        <v>12</v>
      </c>
      <c r="CQ82" s="47">
        <f t="shared" si="299"/>
        <v>13</v>
      </c>
      <c r="CR82" s="47">
        <f t="shared" si="299"/>
        <v>1</v>
      </c>
      <c r="CS82" s="47">
        <f t="shared" si="299"/>
        <v>30</v>
      </c>
      <c r="CT82" s="47">
        <f t="shared" si="299"/>
        <v>1</v>
      </c>
      <c r="CU82" s="47">
        <f t="shared" si="299"/>
        <v>0</v>
      </c>
      <c r="CV82" s="47">
        <f t="shared" si="299"/>
        <v>697</v>
      </c>
      <c r="CW82" s="47">
        <f t="shared" si="299"/>
        <v>0</v>
      </c>
      <c r="CX82" s="47">
        <f t="shared" si="299"/>
        <v>0</v>
      </c>
      <c r="CY82" s="47">
        <f t="shared" si="299"/>
        <v>0</v>
      </c>
      <c r="CZ82" s="47">
        <f t="shared" si="299"/>
        <v>0</v>
      </c>
      <c r="DA82" s="44"/>
      <c r="DB82" s="226"/>
      <c r="DC82" s="134" t="s">
        <v>20</v>
      </c>
      <c r="DD82" s="91" t="s">
        <v>18</v>
      </c>
      <c r="DE82" s="47">
        <f t="shared" ref="DE82:DO82" si="300">DE7+DE13+DE19+DE25+DE31+DE37+DE43+DE49+DE55+DE61+DE67+DE73</f>
        <v>4</v>
      </c>
      <c r="DF82" s="47">
        <f t="shared" si="300"/>
        <v>0</v>
      </c>
      <c r="DG82" s="47">
        <f t="shared" si="300"/>
        <v>3</v>
      </c>
      <c r="DH82" s="47">
        <f t="shared" si="300"/>
        <v>21</v>
      </c>
      <c r="DI82" s="47">
        <f t="shared" si="300"/>
        <v>0</v>
      </c>
      <c r="DJ82" s="47">
        <f t="shared" si="300"/>
        <v>0</v>
      </c>
      <c r="DK82" s="47">
        <f t="shared" si="300"/>
        <v>131</v>
      </c>
      <c r="DL82" s="47">
        <f t="shared" si="300"/>
        <v>9</v>
      </c>
      <c r="DM82" s="47">
        <f t="shared" si="300"/>
        <v>0</v>
      </c>
      <c r="DN82" s="47">
        <f t="shared" si="300"/>
        <v>0</v>
      </c>
      <c r="DO82" s="47">
        <f t="shared" si="300"/>
        <v>0</v>
      </c>
      <c r="DP82" s="44"/>
      <c r="DQ82" s="226"/>
      <c r="DR82" s="134" t="s">
        <v>20</v>
      </c>
      <c r="DS82" s="91" t="s">
        <v>18</v>
      </c>
      <c r="DT82" s="47">
        <f t="shared" ref="DT82:ED82" si="301">DT7+DT13+DT19+DT25+DT31+DT37+DT43+DT49+DT55+DT61+DT67+DT73</f>
        <v>106</v>
      </c>
      <c r="DU82" s="47">
        <f t="shared" si="301"/>
        <v>48</v>
      </c>
      <c r="DV82" s="47">
        <f t="shared" si="301"/>
        <v>36</v>
      </c>
      <c r="DW82" s="47">
        <f t="shared" si="301"/>
        <v>183</v>
      </c>
      <c r="DX82" s="47">
        <f t="shared" si="301"/>
        <v>45</v>
      </c>
      <c r="DY82" s="47">
        <f t="shared" si="301"/>
        <v>37</v>
      </c>
      <c r="DZ82" s="47">
        <f t="shared" si="301"/>
        <v>78</v>
      </c>
      <c r="EA82" s="47">
        <f t="shared" si="301"/>
        <v>0</v>
      </c>
      <c r="EB82" s="47">
        <f t="shared" si="301"/>
        <v>0</v>
      </c>
      <c r="EC82" s="47">
        <f t="shared" si="301"/>
        <v>0</v>
      </c>
      <c r="ED82" s="47">
        <f t="shared" si="301"/>
        <v>0</v>
      </c>
      <c r="EE82" s="44"/>
      <c r="EF82" s="226"/>
      <c r="EG82" s="134" t="s">
        <v>20</v>
      </c>
      <c r="EH82" s="91" t="s">
        <v>18</v>
      </c>
      <c r="EI82" s="47">
        <f t="shared" ref="EI82:ES82" si="302">EI7+EI13+EI19+EI25+EI31+EI37+EI43+EI49+EI55+EI61+EI67+EI73</f>
        <v>106</v>
      </c>
      <c r="EJ82" s="47">
        <f t="shared" si="302"/>
        <v>48</v>
      </c>
      <c r="EK82" s="47">
        <f t="shared" si="302"/>
        <v>36</v>
      </c>
      <c r="EL82" s="47">
        <f t="shared" si="302"/>
        <v>183</v>
      </c>
      <c r="EM82" s="47">
        <f t="shared" si="302"/>
        <v>45</v>
      </c>
      <c r="EN82" s="47">
        <f t="shared" si="302"/>
        <v>37</v>
      </c>
      <c r="EO82" s="47">
        <f t="shared" si="302"/>
        <v>399</v>
      </c>
      <c r="EP82" s="47">
        <f t="shared" si="302"/>
        <v>0</v>
      </c>
      <c r="EQ82" s="47">
        <f t="shared" si="302"/>
        <v>0</v>
      </c>
      <c r="ER82" s="47">
        <f t="shared" si="302"/>
        <v>0</v>
      </c>
      <c r="ES82" s="47">
        <f t="shared" si="302"/>
        <v>0</v>
      </c>
      <c r="ET82" s="44"/>
      <c r="EU82" s="226"/>
      <c r="EV82" s="134" t="s">
        <v>20</v>
      </c>
      <c r="EW82" s="91" t="s">
        <v>18</v>
      </c>
      <c r="EX82" s="47">
        <f t="shared" ref="EX82:FH82" si="303">EX7+EX13+EX19+EX25+EX31+EX37+EX43+EX49+EX55+EX61+EX67+EX73</f>
        <v>0</v>
      </c>
      <c r="EY82" s="47">
        <f t="shared" si="303"/>
        <v>0</v>
      </c>
      <c r="EZ82" s="47">
        <f t="shared" si="303"/>
        <v>0</v>
      </c>
      <c r="FA82" s="47">
        <f t="shared" si="303"/>
        <v>0</v>
      </c>
      <c r="FB82" s="47">
        <f t="shared" si="303"/>
        <v>0</v>
      </c>
      <c r="FC82" s="47">
        <f t="shared" si="303"/>
        <v>0</v>
      </c>
      <c r="FD82" s="47">
        <f t="shared" si="303"/>
        <v>0</v>
      </c>
      <c r="FE82" s="47">
        <f t="shared" si="303"/>
        <v>0</v>
      </c>
      <c r="FF82" s="47">
        <f t="shared" si="303"/>
        <v>0</v>
      </c>
      <c r="FG82" s="47">
        <f t="shared" si="303"/>
        <v>0</v>
      </c>
      <c r="FH82" s="47">
        <f t="shared" si="303"/>
        <v>0</v>
      </c>
      <c r="FI82" s="44"/>
      <c r="FJ82" s="226"/>
      <c r="FK82" s="134" t="s">
        <v>20</v>
      </c>
      <c r="FL82" s="91" t="s">
        <v>18</v>
      </c>
      <c r="FM82" s="47">
        <f t="shared" ref="FM82:FW82" si="304">FM7+FM13+FM19+FM25+FM31+FM37+FM43+FM49+FM55+FM61+FM67+FM73</f>
        <v>0</v>
      </c>
      <c r="FN82" s="47">
        <f t="shared" si="304"/>
        <v>0</v>
      </c>
      <c r="FO82" s="47">
        <f t="shared" si="304"/>
        <v>0</v>
      </c>
      <c r="FP82" s="47">
        <f t="shared" si="304"/>
        <v>0</v>
      </c>
      <c r="FQ82" s="47">
        <f t="shared" si="304"/>
        <v>0</v>
      </c>
      <c r="FR82" s="47">
        <f t="shared" si="304"/>
        <v>0</v>
      </c>
      <c r="FS82" s="47">
        <f t="shared" si="304"/>
        <v>0</v>
      </c>
      <c r="FT82" s="47">
        <f t="shared" si="304"/>
        <v>0</v>
      </c>
      <c r="FU82" s="47">
        <f t="shared" si="304"/>
        <v>0</v>
      </c>
      <c r="FV82" s="47">
        <f t="shared" si="304"/>
        <v>0</v>
      </c>
      <c r="FW82" s="47">
        <f t="shared" si="304"/>
        <v>0</v>
      </c>
      <c r="FX82" s="44"/>
      <c r="FY82" s="229"/>
      <c r="FZ82" s="69" t="s">
        <v>20</v>
      </c>
      <c r="GA82" s="71" t="s">
        <v>18</v>
      </c>
      <c r="GB82" s="63">
        <f>SUM(FM82)</f>
        <v>0</v>
      </c>
      <c r="GC82" s="63">
        <f t="shared" ref="GC82:GL82" si="305">GC7+GC13+GC19+GC25+GC31+GC37+GC43+GC49+GC55+GC61+GC67+GC73</f>
        <v>238</v>
      </c>
      <c r="GD82" s="63">
        <f t="shared" si="305"/>
        <v>81</v>
      </c>
      <c r="GE82" s="63">
        <f t="shared" si="305"/>
        <v>0</v>
      </c>
      <c r="GF82" s="63">
        <f t="shared" si="305"/>
        <v>0</v>
      </c>
      <c r="GG82" s="63">
        <f t="shared" si="305"/>
        <v>0</v>
      </c>
      <c r="GH82" s="63">
        <f t="shared" si="305"/>
        <v>3405</v>
      </c>
      <c r="GI82" s="63">
        <f t="shared" si="305"/>
        <v>9</v>
      </c>
      <c r="GJ82" s="63">
        <f t="shared" si="305"/>
        <v>179</v>
      </c>
      <c r="GK82" s="63">
        <f t="shared" si="305"/>
        <v>0</v>
      </c>
      <c r="GL82" s="63">
        <f t="shared" si="305"/>
        <v>0</v>
      </c>
      <c r="GM82" s="89"/>
    </row>
    <row r="83" spans="1:195" ht="17.100000000000001" customHeight="1" thickBot="1" x14ac:dyDescent="0.25">
      <c r="A83" s="226"/>
      <c r="B83" s="135" t="s">
        <v>17</v>
      </c>
      <c r="C83" s="92" t="s">
        <v>19</v>
      </c>
      <c r="D83" s="47">
        <f t="shared" ref="D83:N83" si="306">D8+D14+D20+D26+D32+D38+D44+D50+D56+D62+D68+D74</f>
        <v>2</v>
      </c>
      <c r="E83" s="47">
        <f t="shared" si="306"/>
        <v>0</v>
      </c>
      <c r="F83" s="47">
        <f t="shared" si="306"/>
        <v>0</v>
      </c>
      <c r="G83" s="47">
        <f t="shared" si="306"/>
        <v>6</v>
      </c>
      <c r="H83" s="47">
        <f t="shared" si="306"/>
        <v>60</v>
      </c>
      <c r="I83" s="47">
        <f t="shared" si="306"/>
        <v>43</v>
      </c>
      <c r="J83" s="47">
        <f t="shared" si="306"/>
        <v>433</v>
      </c>
      <c r="K83" s="47">
        <f t="shared" si="306"/>
        <v>0</v>
      </c>
      <c r="L83" s="47">
        <f t="shared" si="306"/>
        <v>0</v>
      </c>
      <c r="M83" s="47">
        <f t="shared" si="306"/>
        <v>0</v>
      </c>
      <c r="N83" s="47">
        <f t="shared" si="306"/>
        <v>0</v>
      </c>
      <c r="O83" s="44"/>
      <c r="P83" s="226"/>
      <c r="Q83" s="135" t="s">
        <v>17</v>
      </c>
      <c r="R83" s="92" t="s">
        <v>19</v>
      </c>
      <c r="S83" s="47">
        <f t="shared" ref="S83:AC83" si="307">S8+S14+S20+S26+S32+S38+S44+S50+S56+S62+S68+S74</f>
        <v>323</v>
      </c>
      <c r="T83" s="47">
        <f t="shared" si="307"/>
        <v>122</v>
      </c>
      <c r="U83" s="47">
        <f t="shared" si="307"/>
        <v>3</v>
      </c>
      <c r="V83" s="47">
        <f t="shared" si="307"/>
        <v>220</v>
      </c>
      <c r="W83" s="47">
        <f t="shared" si="307"/>
        <v>8</v>
      </c>
      <c r="X83" s="47">
        <f t="shared" si="307"/>
        <v>0</v>
      </c>
      <c r="Y83" s="47">
        <f t="shared" si="307"/>
        <v>584</v>
      </c>
      <c r="Z83" s="47">
        <f t="shared" si="307"/>
        <v>0</v>
      </c>
      <c r="AA83" s="47">
        <f t="shared" si="307"/>
        <v>170</v>
      </c>
      <c r="AB83" s="47">
        <f t="shared" si="307"/>
        <v>0</v>
      </c>
      <c r="AC83" s="47">
        <f t="shared" si="307"/>
        <v>0</v>
      </c>
      <c r="AD83" s="44"/>
      <c r="AE83" s="226"/>
      <c r="AF83" s="135" t="s">
        <v>17</v>
      </c>
      <c r="AG83" s="92" t="s">
        <v>19</v>
      </c>
      <c r="AH83" s="47">
        <f t="shared" ref="AH83:AR83" si="308">AH8+AH14+AH20+AH26+AH32+AH38+AH44+AH50+AH56+AH62+AH68+AH74</f>
        <v>9</v>
      </c>
      <c r="AI83" s="47">
        <f t="shared" si="308"/>
        <v>1</v>
      </c>
      <c r="AJ83" s="47">
        <f t="shared" si="308"/>
        <v>0</v>
      </c>
      <c r="AK83" s="47">
        <f t="shared" si="308"/>
        <v>0</v>
      </c>
      <c r="AL83" s="47">
        <f t="shared" si="308"/>
        <v>0</v>
      </c>
      <c r="AM83" s="47">
        <f t="shared" si="308"/>
        <v>119</v>
      </c>
      <c r="AN83" s="47">
        <f t="shared" si="308"/>
        <v>401</v>
      </c>
      <c r="AO83" s="47">
        <f t="shared" si="308"/>
        <v>0</v>
      </c>
      <c r="AP83" s="47">
        <f t="shared" si="308"/>
        <v>0</v>
      </c>
      <c r="AQ83" s="47">
        <f t="shared" si="308"/>
        <v>0</v>
      </c>
      <c r="AR83" s="47">
        <f t="shared" si="308"/>
        <v>0</v>
      </c>
      <c r="AS83" s="44"/>
      <c r="AT83" s="226"/>
      <c r="AU83" s="135" t="s">
        <v>17</v>
      </c>
      <c r="AV83" s="92" t="s">
        <v>19</v>
      </c>
      <c r="AW83" s="47">
        <f t="shared" ref="AW83:BG83" si="309">AW8+AW14+AW20+AW26+AW32+AW38+AW44+AW50+AW56+AW62+AW68+AW74</f>
        <v>0</v>
      </c>
      <c r="AX83" s="47">
        <f t="shared" si="309"/>
        <v>0</v>
      </c>
      <c r="AY83" s="47">
        <f t="shared" si="309"/>
        <v>0</v>
      </c>
      <c r="AZ83" s="47">
        <f t="shared" si="309"/>
        <v>0</v>
      </c>
      <c r="BA83" s="47">
        <f t="shared" si="309"/>
        <v>0</v>
      </c>
      <c r="BB83" s="47">
        <f t="shared" si="309"/>
        <v>0</v>
      </c>
      <c r="BC83" s="47">
        <f t="shared" si="309"/>
        <v>154</v>
      </c>
      <c r="BD83" s="47">
        <f t="shared" si="309"/>
        <v>0</v>
      </c>
      <c r="BE83" s="47">
        <f t="shared" si="309"/>
        <v>0</v>
      </c>
      <c r="BF83" s="47">
        <f t="shared" si="309"/>
        <v>0</v>
      </c>
      <c r="BG83" s="47">
        <f t="shared" si="309"/>
        <v>0</v>
      </c>
      <c r="BH83" s="44"/>
      <c r="BI83" s="226"/>
      <c r="BJ83" s="135" t="s">
        <v>17</v>
      </c>
      <c r="BK83" s="92" t="s">
        <v>19</v>
      </c>
      <c r="BL83" s="47">
        <f t="shared" ref="BL83:BV83" si="310">BL8+BL14+BL20+BL26+BL32+BL38+BL44+BL50+BL56+BL62+BL68+BL74</f>
        <v>0</v>
      </c>
      <c r="BM83" s="47">
        <f t="shared" si="310"/>
        <v>0</v>
      </c>
      <c r="BN83" s="47">
        <f t="shared" si="310"/>
        <v>0</v>
      </c>
      <c r="BO83" s="47">
        <f t="shared" si="310"/>
        <v>0</v>
      </c>
      <c r="BP83" s="47">
        <f t="shared" si="310"/>
        <v>0</v>
      </c>
      <c r="BQ83" s="47">
        <f t="shared" si="310"/>
        <v>0</v>
      </c>
      <c r="BR83" s="47">
        <f t="shared" si="310"/>
        <v>254</v>
      </c>
      <c r="BS83" s="47">
        <f t="shared" si="310"/>
        <v>0</v>
      </c>
      <c r="BT83" s="47">
        <f t="shared" si="310"/>
        <v>0</v>
      </c>
      <c r="BU83" s="47">
        <f t="shared" si="310"/>
        <v>0</v>
      </c>
      <c r="BV83" s="47">
        <f t="shared" si="310"/>
        <v>0</v>
      </c>
      <c r="BW83" s="44"/>
      <c r="BX83" s="226"/>
      <c r="BY83" s="135" t="s">
        <v>17</v>
      </c>
      <c r="BZ83" s="92" t="s">
        <v>19</v>
      </c>
      <c r="CA83" s="47">
        <f t="shared" ref="CA83:CK83" si="311">CA8+CA14+CA20+CA26+CA32+CA38+CA44+CA50+CA56+CA62+CA68+CA74</f>
        <v>0</v>
      </c>
      <c r="CB83" s="47">
        <f t="shared" si="311"/>
        <v>0</v>
      </c>
      <c r="CC83" s="47">
        <f t="shared" si="311"/>
        <v>0</v>
      </c>
      <c r="CD83" s="47">
        <f t="shared" si="311"/>
        <v>0</v>
      </c>
      <c r="CE83" s="47">
        <f t="shared" si="311"/>
        <v>0</v>
      </c>
      <c r="CF83" s="47">
        <f t="shared" si="311"/>
        <v>0</v>
      </c>
      <c r="CG83" s="47">
        <f t="shared" si="311"/>
        <v>104</v>
      </c>
      <c r="CH83" s="47">
        <f t="shared" si="311"/>
        <v>0</v>
      </c>
      <c r="CI83" s="47">
        <f t="shared" si="311"/>
        <v>0</v>
      </c>
      <c r="CJ83" s="47">
        <f t="shared" si="311"/>
        <v>0</v>
      </c>
      <c r="CK83" s="47">
        <f t="shared" si="311"/>
        <v>0</v>
      </c>
      <c r="CL83" s="44"/>
      <c r="CM83" s="226"/>
      <c r="CN83" s="135" t="s">
        <v>17</v>
      </c>
      <c r="CO83" s="92" t="s">
        <v>19</v>
      </c>
      <c r="CP83" s="47">
        <f t="shared" ref="CP83:CZ83" si="312">CP8+CP14+CP20+CP26+CP32+CP38+CP44+CP50+CP56+CP62+CP68+CP74</f>
        <v>19</v>
      </c>
      <c r="CQ83" s="47">
        <f t="shared" si="312"/>
        <v>18</v>
      </c>
      <c r="CR83" s="47">
        <f t="shared" si="312"/>
        <v>2</v>
      </c>
      <c r="CS83" s="47">
        <f t="shared" si="312"/>
        <v>34</v>
      </c>
      <c r="CT83" s="47">
        <f t="shared" si="312"/>
        <v>3</v>
      </c>
      <c r="CU83" s="47">
        <f t="shared" si="312"/>
        <v>3</v>
      </c>
      <c r="CV83" s="47">
        <f t="shared" si="312"/>
        <v>693</v>
      </c>
      <c r="CW83" s="47">
        <f t="shared" si="312"/>
        <v>0</v>
      </c>
      <c r="CX83" s="47">
        <f t="shared" si="312"/>
        <v>0</v>
      </c>
      <c r="CY83" s="47">
        <f t="shared" si="312"/>
        <v>0</v>
      </c>
      <c r="CZ83" s="47">
        <f t="shared" si="312"/>
        <v>0</v>
      </c>
      <c r="DA83" s="44"/>
      <c r="DB83" s="226"/>
      <c r="DC83" s="135" t="s">
        <v>17</v>
      </c>
      <c r="DD83" s="92" t="s">
        <v>19</v>
      </c>
      <c r="DE83" s="47">
        <f t="shared" ref="DE83:DO83" si="313">DE8+DE14+DE20+DE26+DE32+DE38+DE44+DE50+DE56+DE62+DE68+DE74</f>
        <v>8</v>
      </c>
      <c r="DF83" s="47">
        <f t="shared" si="313"/>
        <v>0</v>
      </c>
      <c r="DG83" s="47">
        <f t="shared" si="313"/>
        <v>1</v>
      </c>
      <c r="DH83" s="47">
        <f t="shared" si="313"/>
        <v>13</v>
      </c>
      <c r="DI83" s="47">
        <f t="shared" si="313"/>
        <v>0</v>
      </c>
      <c r="DJ83" s="47">
        <f t="shared" si="313"/>
        <v>1</v>
      </c>
      <c r="DK83" s="47">
        <f t="shared" si="313"/>
        <v>114</v>
      </c>
      <c r="DL83" s="47">
        <f t="shared" si="313"/>
        <v>7</v>
      </c>
      <c r="DM83" s="47">
        <f t="shared" si="313"/>
        <v>0</v>
      </c>
      <c r="DN83" s="47">
        <f t="shared" si="313"/>
        <v>0</v>
      </c>
      <c r="DO83" s="47">
        <f t="shared" si="313"/>
        <v>0</v>
      </c>
      <c r="DP83" s="44"/>
      <c r="DQ83" s="226"/>
      <c r="DR83" s="135" t="s">
        <v>17</v>
      </c>
      <c r="DS83" s="92" t="s">
        <v>19</v>
      </c>
      <c r="DT83" s="47">
        <f t="shared" ref="DT83:ED83" si="314">DT8+DT14+DT20+DT26+DT32+DT38+DT44+DT50+DT56+DT62+DT68+DT74</f>
        <v>104</v>
      </c>
      <c r="DU83" s="47">
        <f t="shared" si="314"/>
        <v>37</v>
      </c>
      <c r="DV83" s="47">
        <f t="shared" si="314"/>
        <v>28</v>
      </c>
      <c r="DW83" s="47">
        <f t="shared" si="314"/>
        <v>186</v>
      </c>
      <c r="DX83" s="47">
        <f t="shared" si="314"/>
        <v>67</v>
      </c>
      <c r="DY83" s="47">
        <f t="shared" si="314"/>
        <v>29</v>
      </c>
      <c r="DZ83" s="47">
        <f t="shared" si="314"/>
        <v>56</v>
      </c>
      <c r="EA83" s="47">
        <f t="shared" si="314"/>
        <v>0</v>
      </c>
      <c r="EB83" s="47">
        <f t="shared" si="314"/>
        <v>0</v>
      </c>
      <c r="EC83" s="47">
        <f t="shared" si="314"/>
        <v>0</v>
      </c>
      <c r="ED83" s="47">
        <f t="shared" si="314"/>
        <v>0</v>
      </c>
      <c r="EE83" s="44"/>
      <c r="EF83" s="226"/>
      <c r="EG83" s="135" t="s">
        <v>17</v>
      </c>
      <c r="EH83" s="92" t="s">
        <v>19</v>
      </c>
      <c r="EI83" s="47">
        <f t="shared" ref="EI83:ES83" si="315">EI8+EI14+EI20+EI26+EI32+EI38+EI44+EI50+EI56+EI62+EI68+EI74</f>
        <v>104</v>
      </c>
      <c r="EJ83" s="47">
        <f t="shared" si="315"/>
        <v>37</v>
      </c>
      <c r="EK83" s="47">
        <f t="shared" si="315"/>
        <v>28</v>
      </c>
      <c r="EL83" s="47">
        <f t="shared" si="315"/>
        <v>186</v>
      </c>
      <c r="EM83" s="47">
        <f t="shared" si="315"/>
        <v>67</v>
      </c>
      <c r="EN83" s="47">
        <f t="shared" si="315"/>
        <v>29</v>
      </c>
      <c r="EO83" s="47">
        <f t="shared" si="315"/>
        <v>292</v>
      </c>
      <c r="EP83" s="47">
        <f t="shared" si="315"/>
        <v>0</v>
      </c>
      <c r="EQ83" s="47">
        <f t="shared" si="315"/>
        <v>0</v>
      </c>
      <c r="ER83" s="47">
        <f t="shared" si="315"/>
        <v>0</v>
      </c>
      <c r="ES83" s="47">
        <f t="shared" si="315"/>
        <v>0</v>
      </c>
      <c r="ET83" s="44"/>
      <c r="EU83" s="226"/>
      <c r="EV83" s="135" t="s">
        <v>17</v>
      </c>
      <c r="EW83" s="92" t="s">
        <v>19</v>
      </c>
      <c r="EX83" s="47">
        <f t="shared" ref="EX83:FH83" si="316">EX8+EX14+EX20+EX26+EX32+EX38+EX44+EX50+EX56+EX62+EX68+EX74</f>
        <v>0</v>
      </c>
      <c r="EY83" s="47">
        <f t="shared" si="316"/>
        <v>0</v>
      </c>
      <c r="EZ83" s="47">
        <f t="shared" si="316"/>
        <v>0</v>
      </c>
      <c r="FA83" s="47">
        <f t="shared" si="316"/>
        <v>0</v>
      </c>
      <c r="FB83" s="47">
        <f t="shared" si="316"/>
        <v>0</v>
      </c>
      <c r="FC83" s="47">
        <f t="shared" si="316"/>
        <v>0</v>
      </c>
      <c r="FD83" s="47">
        <f t="shared" si="316"/>
        <v>0</v>
      </c>
      <c r="FE83" s="47">
        <f t="shared" si="316"/>
        <v>0</v>
      </c>
      <c r="FF83" s="47">
        <f t="shared" si="316"/>
        <v>0</v>
      </c>
      <c r="FG83" s="47">
        <f t="shared" si="316"/>
        <v>0</v>
      </c>
      <c r="FH83" s="47">
        <f t="shared" si="316"/>
        <v>0</v>
      </c>
      <c r="FI83" s="44"/>
      <c r="FJ83" s="226"/>
      <c r="FK83" s="135" t="s">
        <v>17</v>
      </c>
      <c r="FL83" s="92" t="s">
        <v>19</v>
      </c>
      <c r="FM83" s="47">
        <f t="shared" ref="FM83:FW83" si="317">FM8+FM14+FM20+FM26+FM32+FM38+FM44+FM50+FM56+FM62+FM68+FM74</f>
        <v>0</v>
      </c>
      <c r="FN83" s="47">
        <f t="shared" si="317"/>
        <v>0</v>
      </c>
      <c r="FO83" s="47">
        <f t="shared" si="317"/>
        <v>0</v>
      </c>
      <c r="FP83" s="47">
        <f t="shared" si="317"/>
        <v>0</v>
      </c>
      <c r="FQ83" s="47">
        <f t="shared" si="317"/>
        <v>0</v>
      </c>
      <c r="FR83" s="47">
        <f t="shared" si="317"/>
        <v>0</v>
      </c>
      <c r="FS83" s="47">
        <f t="shared" si="317"/>
        <v>0</v>
      </c>
      <c r="FT83" s="47">
        <f t="shared" si="317"/>
        <v>0</v>
      </c>
      <c r="FU83" s="47">
        <f t="shared" si="317"/>
        <v>0</v>
      </c>
      <c r="FV83" s="47">
        <f t="shared" si="317"/>
        <v>0</v>
      </c>
      <c r="FW83" s="47">
        <f t="shared" si="317"/>
        <v>0</v>
      </c>
      <c r="FX83" s="44"/>
      <c r="FY83" s="229"/>
      <c r="FZ83" s="73" t="s">
        <v>17</v>
      </c>
      <c r="GA83" s="75" t="s">
        <v>19</v>
      </c>
      <c r="GB83" s="67">
        <f>SUM(FM83)</f>
        <v>0</v>
      </c>
      <c r="GC83" s="63">
        <f t="shared" ref="GC83:GL83" si="318">GC8+GC14+GC20+GC26+GC32+GC38+GC44+GC50+GC56+GC62+GC68+GC74</f>
        <v>215</v>
      </c>
      <c r="GD83" s="63">
        <f t="shared" si="318"/>
        <v>62</v>
      </c>
      <c r="GE83" s="63">
        <f t="shared" si="318"/>
        <v>0</v>
      </c>
      <c r="GF83" s="63">
        <f t="shared" si="318"/>
        <v>0</v>
      </c>
      <c r="GG83" s="63">
        <f t="shared" si="318"/>
        <v>0</v>
      </c>
      <c r="GH83" s="63">
        <f t="shared" si="318"/>
        <v>3085</v>
      </c>
      <c r="GI83" s="63">
        <f t="shared" si="318"/>
        <v>7</v>
      </c>
      <c r="GJ83" s="63">
        <f t="shared" si="318"/>
        <v>170</v>
      </c>
      <c r="GK83" s="63">
        <f t="shared" si="318"/>
        <v>0</v>
      </c>
      <c r="GL83" s="63">
        <f t="shared" si="318"/>
        <v>0</v>
      </c>
      <c r="GM83" s="89"/>
    </row>
    <row r="84" spans="1:195" ht="17.100000000000001" customHeight="1" thickBot="1" x14ac:dyDescent="0.25">
      <c r="A84" s="226"/>
      <c r="B84" s="260" t="s">
        <v>21</v>
      </c>
      <c r="C84" s="261"/>
      <c r="D84" s="93">
        <f t="shared" ref="D84:N84" si="319">SUM(D80:D83)</f>
        <v>325</v>
      </c>
      <c r="E84" s="94">
        <f t="shared" si="319"/>
        <v>16</v>
      </c>
      <c r="F84" s="94">
        <f t="shared" si="319"/>
        <v>16</v>
      </c>
      <c r="G84" s="94">
        <f t="shared" si="319"/>
        <v>5264</v>
      </c>
      <c r="H84" s="94">
        <f t="shared" si="319"/>
        <v>995</v>
      </c>
      <c r="I84" s="94">
        <f t="shared" si="319"/>
        <v>673</v>
      </c>
      <c r="J84" s="94">
        <f t="shared" si="319"/>
        <v>3521</v>
      </c>
      <c r="K84" s="94">
        <f t="shared" si="319"/>
        <v>0</v>
      </c>
      <c r="L84" s="94">
        <f t="shared" si="319"/>
        <v>0</v>
      </c>
      <c r="M84" s="94">
        <f t="shared" si="319"/>
        <v>0</v>
      </c>
      <c r="N84" s="94">
        <f t="shared" si="319"/>
        <v>0</v>
      </c>
      <c r="O84" s="44"/>
      <c r="P84" s="226"/>
      <c r="Q84" s="260" t="s">
        <v>21</v>
      </c>
      <c r="R84" s="261"/>
      <c r="S84" s="93">
        <f t="shared" ref="S84:AC84" si="320">SUM(S80:S83)</f>
        <v>1351</v>
      </c>
      <c r="T84" s="94">
        <f t="shared" si="320"/>
        <v>533</v>
      </c>
      <c r="U84" s="94">
        <f t="shared" si="320"/>
        <v>21</v>
      </c>
      <c r="V84" s="94">
        <f t="shared" si="320"/>
        <v>4634</v>
      </c>
      <c r="W84" s="94">
        <f t="shared" si="320"/>
        <v>841</v>
      </c>
      <c r="X84" s="94">
        <f t="shared" si="320"/>
        <v>793</v>
      </c>
      <c r="Y84" s="94">
        <f t="shared" si="320"/>
        <v>4205</v>
      </c>
      <c r="Z84" s="94">
        <f t="shared" si="320"/>
        <v>92</v>
      </c>
      <c r="AA84" s="94">
        <f t="shared" si="320"/>
        <v>629</v>
      </c>
      <c r="AB84" s="94">
        <f t="shared" si="320"/>
        <v>0</v>
      </c>
      <c r="AC84" s="94">
        <f t="shared" si="320"/>
        <v>0</v>
      </c>
      <c r="AD84" s="44"/>
      <c r="AE84" s="226"/>
      <c r="AF84" s="260" t="s">
        <v>21</v>
      </c>
      <c r="AG84" s="261"/>
      <c r="AH84" s="93">
        <f t="shared" ref="AH84:AR84" si="321">SUM(AH80:AH83)</f>
        <v>212</v>
      </c>
      <c r="AI84" s="94">
        <f t="shared" si="321"/>
        <v>184</v>
      </c>
      <c r="AJ84" s="94">
        <f t="shared" si="321"/>
        <v>4</v>
      </c>
      <c r="AK84" s="94">
        <f t="shared" si="321"/>
        <v>3708</v>
      </c>
      <c r="AL84" s="94">
        <f t="shared" si="321"/>
        <v>665</v>
      </c>
      <c r="AM84" s="94">
        <f t="shared" si="321"/>
        <v>910</v>
      </c>
      <c r="AN84" s="94">
        <f t="shared" si="321"/>
        <v>2641</v>
      </c>
      <c r="AO84" s="94">
        <f t="shared" si="321"/>
        <v>0</v>
      </c>
      <c r="AP84" s="94">
        <f t="shared" si="321"/>
        <v>0</v>
      </c>
      <c r="AQ84" s="94">
        <f t="shared" si="321"/>
        <v>0</v>
      </c>
      <c r="AR84" s="94">
        <f t="shared" si="321"/>
        <v>0</v>
      </c>
      <c r="AS84" s="44"/>
      <c r="AT84" s="226"/>
      <c r="AU84" s="260" t="s">
        <v>21</v>
      </c>
      <c r="AV84" s="261"/>
      <c r="AW84" s="93">
        <f t="shared" ref="AW84:BG84" si="322">SUM(AW80:AW83)</f>
        <v>506</v>
      </c>
      <c r="AX84" s="94">
        <f t="shared" si="322"/>
        <v>101</v>
      </c>
      <c r="AY84" s="94">
        <f t="shared" si="322"/>
        <v>12</v>
      </c>
      <c r="AZ84" s="94">
        <f t="shared" si="322"/>
        <v>2620</v>
      </c>
      <c r="BA84" s="94">
        <f t="shared" si="322"/>
        <v>595</v>
      </c>
      <c r="BB84" s="94">
        <f t="shared" si="322"/>
        <v>427</v>
      </c>
      <c r="BC84" s="94">
        <f t="shared" si="322"/>
        <v>1768</v>
      </c>
      <c r="BD84" s="94">
        <f t="shared" si="322"/>
        <v>0</v>
      </c>
      <c r="BE84" s="94">
        <f t="shared" si="322"/>
        <v>0</v>
      </c>
      <c r="BF84" s="94">
        <f t="shared" si="322"/>
        <v>0</v>
      </c>
      <c r="BG84" s="94">
        <f t="shared" si="322"/>
        <v>0</v>
      </c>
      <c r="BH84" s="44"/>
      <c r="BI84" s="226"/>
      <c r="BJ84" s="260" t="s">
        <v>21</v>
      </c>
      <c r="BK84" s="261"/>
      <c r="BL84" s="93">
        <f t="shared" ref="BL84:BV84" si="323">SUM(BL80:BL83)</f>
        <v>507</v>
      </c>
      <c r="BM84" s="94">
        <f t="shared" si="323"/>
        <v>102</v>
      </c>
      <c r="BN84" s="94">
        <f t="shared" si="323"/>
        <v>12</v>
      </c>
      <c r="BO84" s="94">
        <f t="shared" si="323"/>
        <v>2620</v>
      </c>
      <c r="BP84" s="94">
        <f t="shared" si="323"/>
        <v>592</v>
      </c>
      <c r="BQ84" s="94">
        <f t="shared" si="323"/>
        <v>427</v>
      </c>
      <c r="BR84" s="94">
        <f t="shared" si="323"/>
        <v>2093</v>
      </c>
      <c r="BS84" s="94">
        <f t="shared" si="323"/>
        <v>0</v>
      </c>
      <c r="BT84" s="94">
        <f t="shared" si="323"/>
        <v>0</v>
      </c>
      <c r="BU84" s="94">
        <f t="shared" si="323"/>
        <v>0</v>
      </c>
      <c r="BV84" s="94">
        <f t="shared" si="323"/>
        <v>0</v>
      </c>
      <c r="BW84" s="44"/>
      <c r="BX84" s="226"/>
      <c r="BY84" s="260" t="s">
        <v>21</v>
      </c>
      <c r="BZ84" s="261"/>
      <c r="CA84" s="93">
        <f t="shared" ref="CA84:CK84" si="324">SUM(CA80:CA83)</f>
        <v>512</v>
      </c>
      <c r="CB84" s="94">
        <f t="shared" si="324"/>
        <v>83</v>
      </c>
      <c r="CC84" s="94">
        <f t="shared" si="324"/>
        <v>0</v>
      </c>
      <c r="CD84" s="94">
        <f t="shared" si="324"/>
        <v>2274</v>
      </c>
      <c r="CE84" s="94">
        <f t="shared" si="324"/>
        <v>550</v>
      </c>
      <c r="CF84" s="94">
        <f t="shared" si="324"/>
        <v>308</v>
      </c>
      <c r="CG84" s="94">
        <f t="shared" si="324"/>
        <v>1188</v>
      </c>
      <c r="CH84" s="94">
        <f t="shared" si="324"/>
        <v>0</v>
      </c>
      <c r="CI84" s="94">
        <f t="shared" si="324"/>
        <v>0</v>
      </c>
      <c r="CJ84" s="94">
        <f t="shared" si="324"/>
        <v>0</v>
      </c>
      <c r="CK84" s="94">
        <f t="shared" si="324"/>
        <v>0</v>
      </c>
      <c r="CL84" s="44"/>
      <c r="CM84" s="226"/>
      <c r="CN84" s="260" t="s">
        <v>21</v>
      </c>
      <c r="CO84" s="261"/>
      <c r="CP84" s="93">
        <f t="shared" ref="CP84:CZ84" si="325">SUM(CP80:CP83)</f>
        <v>167</v>
      </c>
      <c r="CQ84" s="94">
        <f t="shared" si="325"/>
        <v>143</v>
      </c>
      <c r="CR84" s="94">
        <f t="shared" si="325"/>
        <v>34</v>
      </c>
      <c r="CS84" s="94">
        <f t="shared" si="325"/>
        <v>5415</v>
      </c>
      <c r="CT84" s="94">
        <f t="shared" si="325"/>
        <v>876</v>
      </c>
      <c r="CU84" s="94">
        <f t="shared" si="325"/>
        <v>507</v>
      </c>
      <c r="CV84" s="94">
        <f t="shared" si="325"/>
        <v>5051</v>
      </c>
      <c r="CW84" s="94">
        <f t="shared" si="325"/>
        <v>0</v>
      </c>
      <c r="CX84" s="94">
        <f t="shared" si="325"/>
        <v>0</v>
      </c>
      <c r="CY84" s="94">
        <f t="shared" si="325"/>
        <v>0</v>
      </c>
      <c r="CZ84" s="94">
        <f t="shared" si="325"/>
        <v>0</v>
      </c>
      <c r="DA84" s="44"/>
      <c r="DB84" s="226"/>
      <c r="DC84" s="260" t="s">
        <v>21</v>
      </c>
      <c r="DD84" s="261"/>
      <c r="DE84" s="93">
        <f t="shared" ref="DE84:DO84" si="326">SUM(DE80:DE83)</f>
        <v>620</v>
      </c>
      <c r="DF84" s="94">
        <f t="shared" si="326"/>
        <v>141</v>
      </c>
      <c r="DG84" s="94">
        <f t="shared" si="326"/>
        <v>312</v>
      </c>
      <c r="DH84" s="94">
        <f t="shared" si="326"/>
        <v>4184</v>
      </c>
      <c r="DI84" s="94">
        <f t="shared" si="326"/>
        <v>90</v>
      </c>
      <c r="DJ84" s="94">
        <f t="shared" si="326"/>
        <v>158</v>
      </c>
      <c r="DK84" s="94">
        <f t="shared" si="326"/>
        <v>1377</v>
      </c>
      <c r="DL84" s="94">
        <f t="shared" si="326"/>
        <v>215</v>
      </c>
      <c r="DM84" s="94">
        <f t="shared" si="326"/>
        <v>0</v>
      </c>
      <c r="DN84" s="94">
        <f t="shared" si="326"/>
        <v>0</v>
      </c>
      <c r="DO84" s="94">
        <f t="shared" si="326"/>
        <v>0</v>
      </c>
      <c r="DP84" s="44"/>
      <c r="DQ84" s="226"/>
      <c r="DR84" s="260" t="s">
        <v>21</v>
      </c>
      <c r="DS84" s="261"/>
      <c r="DT84" s="93">
        <f t="shared" ref="DT84:ED84" si="327">SUM(DT80:DT83)</f>
        <v>904</v>
      </c>
      <c r="DU84" s="94">
        <f t="shared" si="327"/>
        <v>245</v>
      </c>
      <c r="DV84" s="94">
        <f t="shared" si="327"/>
        <v>161</v>
      </c>
      <c r="DW84" s="94">
        <f t="shared" si="327"/>
        <v>10170</v>
      </c>
      <c r="DX84" s="94">
        <f t="shared" si="327"/>
        <v>473</v>
      </c>
      <c r="DY84" s="94">
        <f t="shared" si="327"/>
        <v>584</v>
      </c>
      <c r="DZ84" s="94">
        <f t="shared" si="327"/>
        <v>1116</v>
      </c>
      <c r="EA84" s="94">
        <f t="shared" si="327"/>
        <v>0</v>
      </c>
      <c r="EB84" s="94">
        <f t="shared" si="327"/>
        <v>0</v>
      </c>
      <c r="EC84" s="94">
        <f t="shared" si="327"/>
        <v>0</v>
      </c>
      <c r="ED84" s="94">
        <f t="shared" si="327"/>
        <v>0</v>
      </c>
      <c r="EE84" s="44"/>
      <c r="EF84" s="226"/>
      <c r="EG84" s="260" t="s">
        <v>21</v>
      </c>
      <c r="EH84" s="261"/>
      <c r="EI84" s="93">
        <f t="shared" ref="EI84:ES84" si="328">SUM(EI80:EI83)</f>
        <v>875</v>
      </c>
      <c r="EJ84" s="94">
        <f t="shared" si="328"/>
        <v>231</v>
      </c>
      <c r="EK84" s="94">
        <f t="shared" si="328"/>
        <v>161</v>
      </c>
      <c r="EL84" s="94">
        <f t="shared" si="328"/>
        <v>9488</v>
      </c>
      <c r="EM84" s="94">
        <f t="shared" si="328"/>
        <v>448</v>
      </c>
      <c r="EN84" s="94">
        <f t="shared" si="328"/>
        <v>581</v>
      </c>
      <c r="EO84" s="94">
        <f t="shared" si="328"/>
        <v>4238</v>
      </c>
      <c r="EP84" s="94">
        <f t="shared" si="328"/>
        <v>0</v>
      </c>
      <c r="EQ84" s="94">
        <f t="shared" si="328"/>
        <v>0</v>
      </c>
      <c r="ER84" s="94">
        <f t="shared" si="328"/>
        <v>0</v>
      </c>
      <c r="ES84" s="94">
        <f t="shared" si="328"/>
        <v>0</v>
      </c>
      <c r="ET84" s="44"/>
      <c r="EU84" s="226"/>
      <c r="EV84" s="260" t="s">
        <v>21</v>
      </c>
      <c r="EW84" s="261"/>
      <c r="EX84" s="93">
        <f t="shared" ref="EX84:FH84" si="329">SUM(EX80:EX83)</f>
        <v>0</v>
      </c>
      <c r="EY84" s="94">
        <f t="shared" si="329"/>
        <v>0</v>
      </c>
      <c r="EZ84" s="94">
        <f t="shared" si="329"/>
        <v>0</v>
      </c>
      <c r="FA84" s="94">
        <f t="shared" si="329"/>
        <v>0</v>
      </c>
      <c r="FB84" s="94">
        <f t="shared" si="329"/>
        <v>0</v>
      </c>
      <c r="FC84" s="94">
        <f t="shared" si="329"/>
        <v>0</v>
      </c>
      <c r="FD84" s="94">
        <f t="shared" si="329"/>
        <v>0</v>
      </c>
      <c r="FE84" s="94">
        <f t="shared" si="329"/>
        <v>0</v>
      </c>
      <c r="FF84" s="94">
        <f t="shared" si="329"/>
        <v>0</v>
      </c>
      <c r="FG84" s="94">
        <f t="shared" si="329"/>
        <v>0</v>
      </c>
      <c r="FH84" s="94">
        <f t="shared" si="329"/>
        <v>0</v>
      </c>
      <c r="FI84" s="44"/>
      <c r="FJ84" s="226"/>
      <c r="FK84" s="260" t="s">
        <v>21</v>
      </c>
      <c r="FL84" s="261"/>
      <c r="FM84" s="93">
        <f t="shared" ref="FM84:FW84" si="330">SUM(FM80:FM83)</f>
        <v>0</v>
      </c>
      <c r="FN84" s="94">
        <f t="shared" si="330"/>
        <v>0</v>
      </c>
      <c r="FO84" s="94">
        <f t="shared" si="330"/>
        <v>0</v>
      </c>
      <c r="FP84" s="94">
        <f t="shared" si="330"/>
        <v>0</v>
      </c>
      <c r="FQ84" s="94">
        <f t="shared" si="330"/>
        <v>0</v>
      </c>
      <c r="FR84" s="94">
        <f t="shared" si="330"/>
        <v>0</v>
      </c>
      <c r="FS84" s="94">
        <f t="shared" si="330"/>
        <v>0</v>
      </c>
      <c r="FT84" s="94">
        <f t="shared" si="330"/>
        <v>0</v>
      </c>
      <c r="FU84" s="94">
        <f t="shared" si="330"/>
        <v>0</v>
      </c>
      <c r="FV84" s="94">
        <f t="shared" si="330"/>
        <v>0</v>
      </c>
      <c r="FW84" s="94">
        <f t="shared" si="330"/>
        <v>0</v>
      </c>
      <c r="FX84" s="44"/>
      <c r="FY84" s="229"/>
      <c r="FZ84" s="128" t="s">
        <v>21</v>
      </c>
      <c r="GA84" s="129"/>
      <c r="GB84" s="93">
        <f t="shared" ref="GB84" si="331">SUM(GB80:GB83)</f>
        <v>0</v>
      </c>
      <c r="GC84" s="95">
        <f t="shared" ref="GC84:GL84" si="332">SUM(GC80:GC83)</f>
        <v>1779</v>
      </c>
      <c r="GD84" s="95">
        <f t="shared" si="332"/>
        <v>733</v>
      </c>
      <c r="GE84" s="95">
        <f t="shared" si="332"/>
        <v>0</v>
      </c>
      <c r="GF84" s="95">
        <f t="shared" si="332"/>
        <v>0</v>
      </c>
      <c r="GG84" s="95">
        <f t="shared" si="332"/>
        <v>0</v>
      </c>
      <c r="GH84" s="95">
        <f t="shared" si="332"/>
        <v>27198</v>
      </c>
      <c r="GI84" s="95">
        <f t="shared" si="332"/>
        <v>307</v>
      </c>
      <c r="GJ84" s="95">
        <f t="shared" si="332"/>
        <v>629</v>
      </c>
      <c r="GK84" s="95">
        <f t="shared" si="332"/>
        <v>0</v>
      </c>
      <c r="GL84" s="95">
        <f t="shared" si="332"/>
        <v>0</v>
      </c>
      <c r="GM84" s="89"/>
    </row>
    <row r="85" spans="1:195" ht="17.100000000000001" customHeight="1" thickBot="1" x14ac:dyDescent="0.25">
      <c r="A85" s="227"/>
      <c r="B85" s="137"/>
      <c r="C85" s="138"/>
      <c r="D85" s="138"/>
      <c r="E85" s="138"/>
      <c r="F85" s="138"/>
      <c r="G85" s="138"/>
      <c r="H85" s="138"/>
      <c r="I85" s="138"/>
      <c r="J85" s="138"/>
      <c r="K85" s="96" t="s">
        <v>18</v>
      </c>
      <c r="L85" s="139">
        <f>L10+L16+L22+L28+L34+L40+L46+L52+L58+L64+L70+L76</f>
        <v>0</v>
      </c>
      <c r="M85" s="96" t="s">
        <v>19</v>
      </c>
      <c r="N85" s="139">
        <f>N10+N16+N22+N28+N34+N40+N46+N52+N58+N64+N70+N76</f>
        <v>0</v>
      </c>
      <c r="O85" s="138"/>
      <c r="P85" s="227"/>
      <c r="Q85" s="137"/>
      <c r="R85" s="138"/>
      <c r="S85" s="138"/>
      <c r="T85" s="138"/>
      <c r="U85" s="138"/>
      <c r="V85" s="138"/>
      <c r="W85" s="138"/>
      <c r="X85" s="138"/>
      <c r="Y85" s="138"/>
      <c r="Z85" s="96" t="s">
        <v>18</v>
      </c>
      <c r="AA85" s="139">
        <f>AA10+AA16+AA22+AA28+AA34+AA40+AA46+AA52+AA58+AA64+AA70+AA76</f>
        <v>0</v>
      </c>
      <c r="AB85" s="96" t="s">
        <v>19</v>
      </c>
      <c r="AC85" s="139">
        <f>AC10+AC16+AC22+AC28+AC34+AC40+AC46+AC52+AC58+AC64+AC70+AC76</f>
        <v>0</v>
      </c>
      <c r="AD85" s="138"/>
      <c r="AE85" s="227"/>
      <c r="AF85" s="137"/>
      <c r="AG85" s="138"/>
      <c r="AH85" s="138"/>
      <c r="AI85" s="138"/>
      <c r="AJ85" s="138"/>
      <c r="AK85" s="138"/>
      <c r="AL85" s="138"/>
      <c r="AM85" s="138"/>
      <c r="AN85" s="138"/>
      <c r="AO85" s="96" t="s">
        <v>18</v>
      </c>
      <c r="AP85" s="139">
        <f>AP10+AP16+AP22+AP28+AP34+AP40+AP46+AP52+AP58+AP64+AP70+AP76</f>
        <v>0</v>
      </c>
      <c r="AQ85" s="96" t="s">
        <v>19</v>
      </c>
      <c r="AR85" s="139">
        <f>AR10+AR16+AR22+AR28+AR34+AR40+AR46+AR52+AR58+AR64+AR70+AR76</f>
        <v>0</v>
      </c>
      <c r="AS85" s="138"/>
      <c r="AT85" s="227"/>
      <c r="AU85" s="137"/>
      <c r="AV85" s="138"/>
      <c r="AW85" s="138"/>
      <c r="AX85" s="138"/>
      <c r="AY85" s="138"/>
      <c r="AZ85" s="138"/>
      <c r="BA85" s="138"/>
      <c r="BB85" s="138"/>
      <c r="BC85" s="138"/>
      <c r="BD85" s="96" t="s">
        <v>18</v>
      </c>
      <c r="BE85" s="139">
        <f>BE10+BE16+BE22+BE28+BE34+BE40+BE46+BE52+BE58+BE64+BE70+BE76</f>
        <v>0</v>
      </c>
      <c r="BF85" s="96" t="s">
        <v>19</v>
      </c>
      <c r="BG85" s="139">
        <f>BG10+BG16+BG22+BG28+BG34+BG40+BG46+BG52+BG58+BG64+BG70+BG76</f>
        <v>0</v>
      </c>
      <c r="BH85" s="138"/>
      <c r="BI85" s="227"/>
      <c r="BJ85" s="137"/>
      <c r="BK85" s="138"/>
      <c r="BL85" s="138"/>
      <c r="BM85" s="138"/>
      <c r="BN85" s="138"/>
      <c r="BO85" s="138"/>
      <c r="BP85" s="138"/>
      <c r="BQ85" s="138"/>
      <c r="BR85" s="138"/>
      <c r="BS85" s="96" t="s">
        <v>18</v>
      </c>
      <c r="BT85" s="139">
        <f>BT10+BT16+BT22+BT28+BT34+BT40+BT46+BT52+BT58+BT64+BT70+BT76</f>
        <v>0</v>
      </c>
      <c r="BU85" s="96" t="s">
        <v>19</v>
      </c>
      <c r="BV85" s="139">
        <f>BV10+BV16+BV22+BV28+BV34+BV40+BV46+BV52+BV58+BV64+BV70+BV76</f>
        <v>0</v>
      </c>
      <c r="BW85" s="138"/>
      <c r="BX85" s="227"/>
      <c r="BY85" s="137"/>
      <c r="BZ85" s="138"/>
      <c r="CA85" s="138"/>
      <c r="CB85" s="138"/>
      <c r="CC85" s="138"/>
      <c r="CD85" s="138"/>
      <c r="CE85" s="138"/>
      <c r="CF85" s="138"/>
      <c r="CG85" s="138"/>
      <c r="CH85" s="96" t="s">
        <v>18</v>
      </c>
      <c r="CI85" s="139">
        <f>CI10+CI16+CI22+CI28+CI34+CI40+CI46+CI52+CI58+CI64+CI70+CI76</f>
        <v>0</v>
      </c>
      <c r="CJ85" s="96" t="s">
        <v>19</v>
      </c>
      <c r="CK85" s="139">
        <f>CK10+CK16+CK22+CK28+CK34+CK40+CK46+CK52+CK58+CK64+CK70+CK76</f>
        <v>0</v>
      </c>
      <c r="CL85" s="138"/>
      <c r="CM85" s="227"/>
      <c r="CN85" s="137"/>
      <c r="CO85" s="138"/>
      <c r="CP85" s="138"/>
      <c r="CQ85" s="138"/>
      <c r="CR85" s="138"/>
      <c r="CS85" s="138"/>
      <c r="CT85" s="138"/>
      <c r="CU85" s="138"/>
      <c r="CV85" s="138"/>
      <c r="CW85" s="96" t="s">
        <v>18</v>
      </c>
      <c r="CX85" s="139">
        <f>CX10+CX16+CX22+CX28+CX34+CX40+CX46+CX52+CX58+CX64+CX70+CX76</f>
        <v>0</v>
      </c>
      <c r="CY85" s="96" t="s">
        <v>19</v>
      </c>
      <c r="CZ85" s="139">
        <f>CZ10+CZ16+CZ22+CZ28+CZ34+CZ40+CZ46+CZ52+CZ58+CZ64+CZ70+CZ76</f>
        <v>0</v>
      </c>
      <c r="DA85" s="138"/>
      <c r="DB85" s="227"/>
      <c r="DC85" s="137"/>
      <c r="DD85" s="138"/>
      <c r="DE85" s="138"/>
      <c r="DF85" s="138"/>
      <c r="DG85" s="138"/>
      <c r="DH85" s="138"/>
      <c r="DI85" s="138"/>
      <c r="DJ85" s="138"/>
      <c r="DK85" s="138"/>
      <c r="DL85" s="96" t="s">
        <v>18</v>
      </c>
      <c r="DM85" s="139">
        <f>DM10+DM16+DM22+DM28+DM34+DM40+DM46+DM52+DM58+DM64+DM70+DM76</f>
        <v>0</v>
      </c>
      <c r="DN85" s="96" t="s">
        <v>19</v>
      </c>
      <c r="DO85" s="139">
        <f>DO10+DO16+DO22+DO28+DO34+DO40+DO46+DO52+DO58+DO64+DO70+DO76</f>
        <v>0</v>
      </c>
      <c r="DP85" s="138"/>
      <c r="DQ85" s="227"/>
      <c r="DR85" s="137"/>
      <c r="DS85" s="138"/>
      <c r="DT85" s="138"/>
      <c r="DU85" s="138"/>
      <c r="DV85" s="138"/>
      <c r="DW85" s="138"/>
      <c r="DX85" s="138"/>
      <c r="DY85" s="138"/>
      <c r="DZ85" s="138"/>
      <c r="EA85" s="96" t="s">
        <v>18</v>
      </c>
      <c r="EB85" s="139">
        <f>EB10+EB16+EB22+EB28+EB34+EB40+EB46+EB52+EB58+EB64+EB70+EB76</f>
        <v>0</v>
      </c>
      <c r="EC85" s="96" t="s">
        <v>19</v>
      </c>
      <c r="ED85" s="139">
        <f>ED10+ED16+ED22+ED28+ED34+ED40+ED46+ED52+ED58+ED64+ED70+ED76</f>
        <v>0</v>
      </c>
      <c r="EE85" s="138"/>
      <c r="EF85" s="227"/>
      <c r="EG85" s="137"/>
      <c r="EH85" s="138"/>
      <c r="EI85" s="138"/>
      <c r="EJ85" s="138"/>
      <c r="EK85" s="138"/>
      <c r="EL85" s="138"/>
      <c r="EM85" s="138"/>
      <c r="EN85" s="138"/>
      <c r="EO85" s="138"/>
      <c r="EP85" s="96" t="s">
        <v>18</v>
      </c>
      <c r="EQ85" s="139">
        <f>EQ10+EQ16+EQ22+EQ28+EQ34+EQ40+EQ46+EQ52+EQ58+EQ64+EQ70+EQ76</f>
        <v>0</v>
      </c>
      <c r="ER85" s="96" t="s">
        <v>19</v>
      </c>
      <c r="ES85" s="139">
        <f>ES10+ES16+ES22+ES28+ES34+ES40+ES46+ES52+ES58+ES64+ES70+ES76</f>
        <v>0</v>
      </c>
      <c r="ET85" s="138"/>
      <c r="EU85" s="227"/>
      <c r="EV85" s="137"/>
      <c r="EW85" s="138"/>
      <c r="EX85" s="138"/>
      <c r="EY85" s="138"/>
      <c r="EZ85" s="138"/>
      <c r="FA85" s="138"/>
      <c r="FB85" s="138"/>
      <c r="FC85" s="138"/>
      <c r="FD85" s="138"/>
      <c r="FE85" s="96" t="s">
        <v>18</v>
      </c>
      <c r="FF85" s="139">
        <f>FF10+FF16+FF22+FF28+FF34+FF40+FF46+FF52+FF58+FF64+FF70+FF76</f>
        <v>0</v>
      </c>
      <c r="FG85" s="96" t="s">
        <v>19</v>
      </c>
      <c r="FH85" s="139">
        <f>FH10+FH16+FH22+FH28+FH34+FH40+FH46+FH52+FH58+FH64+FH70+FH76</f>
        <v>0</v>
      </c>
      <c r="FI85" s="138"/>
      <c r="FJ85" s="227"/>
      <c r="FK85" s="137"/>
      <c r="FL85" s="138"/>
      <c r="FM85" s="138"/>
      <c r="FN85" s="138"/>
      <c r="FO85" s="138"/>
      <c r="FP85" s="138"/>
      <c r="FQ85" s="138"/>
      <c r="FR85" s="138"/>
      <c r="FS85" s="138"/>
      <c r="FT85" s="96" t="s">
        <v>18</v>
      </c>
      <c r="FU85" s="139">
        <f>FU10+FU16+FU22+FU28+FU34+FU40+FU46+FU52+FU58+FU64+FU70+FU76</f>
        <v>0</v>
      </c>
      <c r="FV85" s="96" t="s">
        <v>19</v>
      </c>
      <c r="FW85" s="139">
        <f>FW10+FW16+FW22+FW28+FW34+FW40+FW46+FW52+FW58+FW64+FW70+FW76</f>
        <v>0</v>
      </c>
      <c r="FX85" s="138"/>
      <c r="FY85" s="230"/>
      <c r="FZ85" s="137" t="s">
        <v>26</v>
      </c>
      <c r="GA85" s="138"/>
      <c r="GB85" s="81"/>
      <c r="GC85" s="138"/>
      <c r="GD85" s="138"/>
      <c r="GE85" s="138"/>
      <c r="GF85" s="138"/>
      <c r="GG85" s="138"/>
      <c r="GH85" s="138"/>
      <c r="GI85" s="96" t="s">
        <v>18</v>
      </c>
      <c r="GJ85" s="140">
        <f>GJ10+GJ16+GJ22+GJ28+GJ34+GJ40+GJ46+GJ52+GJ58+GJ64+GJ70+GJ76</f>
        <v>0</v>
      </c>
      <c r="GK85" s="96" t="s">
        <v>19</v>
      </c>
      <c r="GL85" s="140">
        <f>GL10+GL16+GL22+GL28+GL34+GL40+GL46+GL52+GL58+GL64+GL70+GL76</f>
        <v>0</v>
      </c>
      <c r="GM85" s="89"/>
    </row>
    <row r="86" spans="1:195" ht="17.100000000000001" customHeight="1" x14ac:dyDescent="0.2">
      <c r="A86" s="98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98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98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98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98"/>
      <c r="BJ86" s="44"/>
      <c r="BK86" s="44"/>
      <c r="BL86" s="44"/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98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98"/>
      <c r="CN86" s="44"/>
      <c r="CO86" s="44"/>
      <c r="CP86" s="44"/>
      <c r="CQ86" s="44"/>
      <c r="CR86" s="44"/>
      <c r="CS86" s="44"/>
      <c r="CT86" s="44"/>
      <c r="CU86" s="44"/>
      <c r="CV86" s="44"/>
      <c r="CW86" s="44"/>
      <c r="CX86" s="44"/>
      <c r="CY86" s="44"/>
      <c r="CZ86" s="44"/>
      <c r="DA86" s="44"/>
      <c r="DB86" s="98"/>
      <c r="DC86" s="44"/>
      <c r="DD86" s="44"/>
      <c r="DE86" s="44"/>
      <c r="DF86" s="44"/>
      <c r="DG86" s="44"/>
      <c r="DH86" s="44"/>
      <c r="DI86" s="44"/>
      <c r="DJ86" s="44"/>
      <c r="DK86" s="44"/>
      <c r="DL86" s="44"/>
      <c r="DM86" s="44"/>
      <c r="DN86" s="44"/>
      <c r="DO86" s="44"/>
      <c r="DP86" s="44"/>
      <c r="DQ86" s="98"/>
      <c r="DR86" s="44"/>
      <c r="DS86" s="44"/>
      <c r="DT86" s="44"/>
      <c r="DU86" s="44"/>
      <c r="DV86" s="44"/>
      <c r="DW86" s="44"/>
      <c r="DX86" s="44"/>
      <c r="DY86" s="44"/>
      <c r="DZ86" s="44"/>
      <c r="EA86" s="44"/>
      <c r="EB86" s="44"/>
      <c r="EC86" s="44"/>
      <c r="ED86" s="44"/>
      <c r="EE86" s="44"/>
      <c r="EF86" s="98"/>
      <c r="EG86" s="44"/>
      <c r="EH86" s="44"/>
      <c r="EI86" s="44"/>
      <c r="EJ86" s="44"/>
      <c r="EK86" s="44"/>
      <c r="EL86" s="44"/>
      <c r="EM86" s="44"/>
      <c r="EN86" s="44"/>
      <c r="EO86" s="44"/>
      <c r="EP86" s="44"/>
      <c r="EQ86" s="44"/>
      <c r="ER86" s="44"/>
      <c r="ES86" s="44"/>
      <c r="ET86" s="44"/>
      <c r="EU86" s="98"/>
      <c r="EV86" s="44"/>
      <c r="EW86" s="44"/>
      <c r="EX86" s="44"/>
      <c r="EY86" s="44"/>
      <c r="EZ86" s="44"/>
      <c r="FA86" s="44"/>
      <c r="FB86" s="44"/>
      <c r="FC86" s="44"/>
      <c r="FD86" s="44"/>
      <c r="FE86" s="44"/>
      <c r="FF86" s="44"/>
      <c r="FG86" s="44"/>
      <c r="FH86" s="44"/>
      <c r="FI86" s="44"/>
      <c r="FJ86" s="98"/>
      <c r="FK86" s="44"/>
      <c r="FL86" s="44"/>
      <c r="FM86" s="44"/>
      <c r="FN86" s="44"/>
      <c r="FO86" s="44"/>
      <c r="FP86" s="44"/>
      <c r="FQ86" s="44"/>
      <c r="FR86" s="44"/>
      <c r="FS86" s="44"/>
      <c r="FT86" s="44"/>
      <c r="FU86" s="44"/>
      <c r="FV86" s="44"/>
      <c r="FW86" s="44"/>
      <c r="FX86" s="44"/>
      <c r="FY86" s="98"/>
      <c r="FZ86" s="44"/>
      <c r="GA86" s="44"/>
      <c r="GB86" s="44"/>
      <c r="GC86" s="44"/>
      <c r="GD86" s="44"/>
      <c r="GE86" s="44"/>
      <c r="GF86" s="44"/>
      <c r="GG86" s="44"/>
      <c r="GH86" s="44"/>
      <c r="GI86" s="44"/>
      <c r="GJ86" s="44"/>
      <c r="GK86" s="44"/>
      <c r="GL86" s="44"/>
    </row>
  </sheetData>
  <customSheetViews>
    <customSheetView guid="{683E718B-8FAE-4089-A239-9413018333B3}" scale="120" fitToPage="1" hiddenRows="1" showRuler="0">
      <pane xSplit="3" ySplit="4" topLeftCell="A488" activePane="bottomRight"/>
      <selection pane="bottomRight" activeCell="D491" sqref="D491"/>
      <pageMargins left="0.35433070866141736" right="0.35433070866141736" top="0.19685039370078741" bottom="0.19685039370078741" header="0.51181102362204722" footer="0.51181102362204722"/>
      <printOptions horizontalCentered="1"/>
      <pageSetup paperSize="9" scale="10" orientation="portrait" horizontalDpi="180" verticalDpi="180" r:id="rId1"/>
      <headerFooter alignWithMargins="0"/>
    </customSheetView>
  </customSheetViews>
  <mergeCells count="730">
    <mergeCell ref="FK63:FL63"/>
    <mergeCell ref="FK65:FK66"/>
    <mergeCell ref="FK69:FL69"/>
    <mergeCell ref="FK71:FK72"/>
    <mergeCell ref="FK75:FL75"/>
    <mergeCell ref="H77:M77"/>
    <mergeCell ref="EG53:EG54"/>
    <mergeCell ref="EG57:EH57"/>
    <mergeCell ref="EG59:EG60"/>
    <mergeCell ref="EG63:EH63"/>
    <mergeCell ref="EG65:EG66"/>
    <mergeCell ref="EG69:EH69"/>
    <mergeCell ref="DC63:DD63"/>
    <mergeCell ref="DC65:DC66"/>
    <mergeCell ref="DC69:DD69"/>
    <mergeCell ref="DC71:DC72"/>
    <mergeCell ref="DC75:DD75"/>
    <mergeCell ref="EF71:EF76"/>
    <mergeCell ref="EU71:EU76"/>
    <mergeCell ref="FJ71:FJ76"/>
    <mergeCell ref="EM77:ER77"/>
    <mergeCell ref="FK53:FK54"/>
    <mergeCell ref="FK57:FL57"/>
    <mergeCell ref="FK59:FK60"/>
    <mergeCell ref="EG71:EG72"/>
    <mergeCell ref="EG75:EH75"/>
    <mergeCell ref="DR63:DS63"/>
    <mergeCell ref="DR65:DR66"/>
    <mergeCell ref="DR69:DS69"/>
    <mergeCell ref="DR71:DR72"/>
    <mergeCell ref="EV11:EV12"/>
    <mergeCell ref="EV15:EW15"/>
    <mergeCell ref="EV17:EV18"/>
    <mergeCell ref="EV21:EW21"/>
    <mergeCell ref="EV23:EV24"/>
    <mergeCell ref="EV27:EW27"/>
    <mergeCell ref="EV29:EV30"/>
    <mergeCell ref="EV33:EW33"/>
    <mergeCell ref="EV35:EV36"/>
    <mergeCell ref="EG33:EH33"/>
    <mergeCell ref="EG35:EG36"/>
    <mergeCell ref="EG39:EH39"/>
    <mergeCell ref="EG41:EG42"/>
    <mergeCell ref="EG45:EH45"/>
    <mergeCell ref="EG47:EG48"/>
    <mergeCell ref="EG51:EH51"/>
    <mergeCell ref="EF59:EF64"/>
    <mergeCell ref="EF41:EF46"/>
    <mergeCell ref="EF47:EF52"/>
    <mergeCell ref="EF53:EF58"/>
    <mergeCell ref="EF35:EF40"/>
    <mergeCell ref="EF29:EF34"/>
    <mergeCell ref="BJ47:BJ48"/>
    <mergeCell ref="BJ51:BK51"/>
    <mergeCell ref="BY51:BZ51"/>
    <mergeCell ref="CN51:CO51"/>
    <mergeCell ref="CM47:CM52"/>
    <mergeCell ref="CN47:CN48"/>
    <mergeCell ref="DQ35:DQ40"/>
    <mergeCell ref="BY47:BY48"/>
    <mergeCell ref="BJ35:BJ36"/>
    <mergeCell ref="BJ53:BJ54"/>
    <mergeCell ref="BY53:BY54"/>
    <mergeCell ref="CM41:CM46"/>
    <mergeCell ref="BJ41:BJ42"/>
    <mergeCell ref="CM35:CM40"/>
    <mergeCell ref="DQ71:DQ76"/>
    <mergeCell ref="DQ59:DQ64"/>
    <mergeCell ref="AF15:AG15"/>
    <mergeCell ref="AF17:AF18"/>
    <mergeCell ref="AF21:AG21"/>
    <mergeCell ref="AF23:AF24"/>
    <mergeCell ref="AF27:AG27"/>
    <mergeCell ref="AF29:AF30"/>
    <mergeCell ref="AF33:AG33"/>
    <mergeCell ref="AF35:AF36"/>
    <mergeCell ref="AF39:AG39"/>
    <mergeCell ref="BX11:BX16"/>
    <mergeCell ref="BJ57:BK57"/>
    <mergeCell ref="BJ59:BJ60"/>
    <mergeCell ref="BJ63:BK63"/>
    <mergeCell ref="CN71:CN72"/>
    <mergeCell ref="CN59:CN60"/>
    <mergeCell ref="CM59:CM64"/>
    <mergeCell ref="CN63:CO63"/>
    <mergeCell ref="BX53:BX58"/>
    <mergeCell ref="BY59:BY60"/>
    <mergeCell ref="BY63:BZ63"/>
    <mergeCell ref="CN75:CO75"/>
    <mergeCell ref="CN53:CN54"/>
    <mergeCell ref="FY71:FY76"/>
    <mergeCell ref="B75:C75"/>
    <mergeCell ref="AF65:AF66"/>
    <mergeCell ref="BY65:BY66"/>
    <mergeCell ref="BY69:BZ69"/>
    <mergeCell ref="BY71:BY72"/>
    <mergeCell ref="BY75:BZ75"/>
    <mergeCell ref="BI65:BI70"/>
    <mergeCell ref="BX65:BX70"/>
    <mergeCell ref="AU65:AU66"/>
    <mergeCell ref="AU69:AV69"/>
    <mergeCell ref="AU71:AU72"/>
    <mergeCell ref="AU75:AV75"/>
    <mergeCell ref="CN65:CN66"/>
    <mergeCell ref="CN69:CO69"/>
    <mergeCell ref="EV65:EV66"/>
    <mergeCell ref="EV69:EW69"/>
    <mergeCell ref="EV71:EV72"/>
    <mergeCell ref="B69:C69"/>
    <mergeCell ref="DQ65:DQ70"/>
    <mergeCell ref="EF65:EF70"/>
    <mergeCell ref="EU65:EU70"/>
    <mergeCell ref="FJ65:FJ70"/>
    <mergeCell ref="FY65:FY70"/>
    <mergeCell ref="A71:A76"/>
    <mergeCell ref="B71:B72"/>
    <mergeCell ref="P71:P76"/>
    <mergeCell ref="AE71:AE76"/>
    <mergeCell ref="AT71:AT76"/>
    <mergeCell ref="BI71:BI76"/>
    <mergeCell ref="BX71:BX76"/>
    <mergeCell ref="CM71:CM76"/>
    <mergeCell ref="P65:P70"/>
    <mergeCell ref="AE65:AE70"/>
    <mergeCell ref="Q65:Q66"/>
    <mergeCell ref="Q69:R69"/>
    <mergeCell ref="Q75:R75"/>
    <mergeCell ref="BJ65:BJ66"/>
    <mergeCell ref="BJ69:BK69"/>
    <mergeCell ref="BJ71:BJ72"/>
    <mergeCell ref="BJ75:BK75"/>
    <mergeCell ref="CM65:CM70"/>
    <mergeCell ref="FZ78:FZ79"/>
    <mergeCell ref="GA78:GA79"/>
    <mergeCell ref="GG78:GG79"/>
    <mergeCell ref="GB78:GB79"/>
    <mergeCell ref="FY78:FY79"/>
    <mergeCell ref="BM78:BN78"/>
    <mergeCell ref="GI78:GL78"/>
    <mergeCell ref="Q84:R84"/>
    <mergeCell ref="AF84:AG84"/>
    <mergeCell ref="AU84:AV84"/>
    <mergeCell ref="BJ84:BK84"/>
    <mergeCell ref="BY84:BZ84"/>
    <mergeCell ref="CN84:CO84"/>
    <mergeCell ref="DC84:DD84"/>
    <mergeCell ref="DR84:DS84"/>
    <mergeCell ref="EG84:EH84"/>
    <mergeCell ref="EV84:EW84"/>
    <mergeCell ref="FK84:FL84"/>
    <mergeCell ref="DW78:DW79"/>
    <mergeCell ref="DX78:DX79"/>
    <mergeCell ref="DY78:DY79"/>
    <mergeCell ref="DZ78:DZ79"/>
    <mergeCell ref="EA78:ED78"/>
    <mergeCell ref="EJ78:EK78"/>
    <mergeCell ref="FL78:FL79"/>
    <mergeCell ref="FP78:FP79"/>
    <mergeCell ref="FQ78:FQ79"/>
    <mergeCell ref="FT78:FW78"/>
    <mergeCell ref="EM78:EM79"/>
    <mergeCell ref="DE78:DE79"/>
    <mergeCell ref="BB78:BB79"/>
    <mergeCell ref="EL78:EL79"/>
    <mergeCell ref="DR78:DR79"/>
    <mergeCell ref="DS78:DS79"/>
    <mergeCell ref="EW78:EW79"/>
    <mergeCell ref="EN78:EN79"/>
    <mergeCell ref="EO78:EO79"/>
    <mergeCell ref="EP78:ES78"/>
    <mergeCell ref="BO78:BO79"/>
    <mergeCell ref="BP78:BP79"/>
    <mergeCell ref="BQ78:BQ79"/>
    <mergeCell ref="BZ78:BZ79"/>
    <mergeCell ref="DD78:DD79"/>
    <mergeCell ref="DI78:DI79"/>
    <mergeCell ref="CV78:CV79"/>
    <mergeCell ref="CN78:CN79"/>
    <mergeCell ref="CU78:CU79"/>
    <mergeCell ref="CO78:CO79"/>
    <mergeCell ref="GH78:GH79"/>
    <mergeCell ref="GF78:GF79"/>
    <mergeCell ref="GE78:GE79"/>
    <mergeCell ref="GC78:GD78"/>
    <mergeCell ref="EU80:EU85"/>
    <mergeCell ref="DB80:DB85"/>
    <mergeCell ref="BC78:BC79"/>
    <mergeCell ref="BD78:BG78"/>
    <mergeCell ref="BS78:BV78"/>
    <mergeCell ref="BX78:BX79"/>
    <mergeCell ref="BY78:BY79"/>
    <mergeCell ref="BI78:BI79"/>
    <mergeCell ref="BJ78:BJ79"/>
    <mergeCell ref="CD78:CD79"/>
    <mergeCell ref="CE78:CE79"/>
    <mergeCell ref="EY78:EZ78"/>
    <mergeCell ref="FA78:FA79"/>
    <mergeCell ref="DF78:DG78"/>
    <mergeCell ref="CG78:CG79"/>
    <mergeCell ref="CH78:CK78"/>
    <mergeCell ref="CW78:CZ78"/>
    <mergeCell ref="DB78:DB79"/>
    <mergeCell ref="FB78:FB79"/>
    <mergeCell ref="EI78:EI79"/>
    <mergeCell ref="A80:A85"/>
    <mergeCell ref="A78:A79"/>
    <mergeCell ref="A41:A46"/>
    <mergeCell ref="BX59:BX64"/>
    <mergeCell ref="CA78:CA79"/>
    <mergeCell ref="CB78:CC78"/>
    <mergeCell ref="CM78:CM79"/>
    <mergeCell ref="BK78:BK79"/>
    <mergeCell ref="BL78:BL79"/>
    <mergeCell ref="AF78:AF79"/>
    <mergeCell ref="CM80:CM85"/>
    <mergeCell ref="AO78:AR78"/>
    <mergeCell ref="AT78:AT79"/>
    <mergeCell ref="AU78:AU79"/>
    <mergeCell ref="AV78:AV79"/>
    <mergeCell ref="AW78:AW79"/>
    <mergeCell ref="AX78:AY78"/>
    <mergeCell ref="AZ78:AZ79"/>
    <mergeCell ref="W77:AB77"/>
    <mergeCell ref="AE78:AE79"/>
    <mergeCell ref="B53:B54"/>
    <mergeCell ref="B57:C57"/>
    <mergeCell ref="A65:A70"/>
    <mergeCell ref="B65:B66"/>
    <mergeCell ref="FJ80:FJ85"/>
    <mergeCell ref="EG78:EG79"/>
    <mergeCell ref="EF78:EF79"/>
    <mergeCell ref="B84:C84"/>
    <mergeCell ref="B78:B79"/>
    <mergeCell ref="C78:C79"/>
    <mergeCell ref="D78:D79"/>
    <mergeCell ref="E78:F78"/>
    <mergeCell ref="G78:G79"/>
    <mergeCell ref="H78:H79"/>
    <mergeCell ref="I78:I79"/>
    <mergeCell ref="J78:J79"/>
    <mergeCell ref="K78:N78"/>
    <mergeCell ref="P78:P79"/>
    <mergeCell ref="P80:P85"/>
    <mergeCell ref="EV78:EV79"/>
    <mergeCell ref="CT78:CT79"/>
    <mergeCell ref="EX78:EX79"/>
    <mergeCell ref="FC78:FC79"/>
    <mergeCell ref="FD78:FD79"/>
    <mergeCell ref="FE78:FH78"/>
    <mergeCell ref="EF80:EF85"/>
    <mergeCell ref="DQ80:DQ85"/>
    <mergeCell ref="BX80:BX85"/>
    <mergeCell ref="FY11:FY16"/>
    <mergeCell ref="FY17:FY22"/>
    <mergeCell ref="FY80:FY85"/>
    <mergeCell ref="FY23:FY28"/>
    <mergeCell ref="FY5:FY10"/>
    <mergeCell ref="FY35:FY40"/>
    <mergeCell ref="FY41:FY46"/>
    <mergeCell ref="FY47:FY52"/>
    <mergeCell ref="FK78:FK79"/>
    <mergeCell ref="FS78:FS79"/>
    <mergeCell ref="FR78:FR79"/>
    <mergeCell ref="FY29:FY34"/>
    <mergeCell ref="FY53:FY58"/>
    <mergeCell ref="FY59:FY64"/>
    <mergeCell ref="FM78:FM79"/>
    <mergeCell ref="FN78:FO78"/>
    <mergeCell ref="FQ77:FV77"/>
    <mergeCell ref="FK5:FK6"/>
    <mergeCell ref="FK9:FL9"/>
    <mergeCell ref="FK11:FK12"/>
    <mergeCell ref="FK15:FL15"/>
    <mergeCell ref="FK17:FK18"/>
    <mergeCell ref="FK21:FL21"/>
    <mergeCell ref="FK23:FK24"/>
    <mergeCell ref="FJ23:FJ28"/>
    <mergeCell ref="FJ5:FJ10"/>
    <mergeCell ref="FJ11:FJ16"/>
    <mergeCell ref="FJ17:FJ22"/>
    <mergeCell ref="FT3:FW3"/>
    <mergeCell ref="FD3:FD4"/>
    <mergeCell ref="FE3:FH3"/>
    <mergeCell ref="FR3:FR4"/>
    <mergeCell ref="FQ3:FQ4"/>
    <mergeCell ref="FK27:FL27"/>
    <mergeCell ref="EU41:EU46"/>
    <mergeCell ref="EU47:EU52"/>
    <mergeCell ref="EU53:EU58"/>
    <mergeCell ref="FK29:FK30"/>
    <mergeCell ref="FK33:FL33"/>
    <mergeCell ref="FK35:FK36"/>
    <mergeCell ref="FK39:FL39"/>
    <mergeCell ref="FK41:FK42"/>
    <mergeCell ref="FK45:FL45"/>
    <mergeCell ref="FK47:FK48"/>
    <mergeCell ref="FK51:FL51"/>
    <mergeCell ref="DQ3:DS4"/>
    <mergeCell ref="DR5:DR6"/>
    <mergeCell ref="DR9:DS9"/>
    <mergeCell ref="DR11:DR12"/>
    <mergeCell ref="DR15:DS15"/>
    <mergeCell ref="FJ59:FJ64"/>
    <mergeCell ref="FJ78:FJ79"/>
    <mergeCell ref="FJ47:FJ52"/>
    <mergeCell ref="FJ29:FJ34"/>
    <mergeCell ref="FJ35:FJ40"/>
    <mergeCell ref="FJ41:FJ46"/>
    <mergeCell ref="EV75:EW75"/>
    <mergeCell ref="EU78:EU79"/>
    <mergeCell ref="FJ53:FJ58"/>
    <mergeCell ref="FB77:FG77"/>
    <mergeCell ref="EV39:EW39"/>
    <mergeCell ref="EV41:EV42"/>
    <mergeCell ref="EV45:EW45"/>
    <mergeCell ref="EV47:EV48"/>
    <mergeCell ref="EV51:EW51"/>
    <mergeCell ref="EV53:EV54"/>
    <mergeCell ref="EV57:EW57"/>
    <mergeCell ref="EV59:EV60"/>
    <mergeCell ref="EV63:EW63"/>
    <mergeCell ref="EU59:EU64"/>
    <mergeCell ref="DR53:DR54"/>
    <mergeCell ref="DR57:DS57"/>
    <mergeCell ref="DR59:DR60"/>
    <mergeCell ref="EU11:EU16"/>
    <mergeCell ref="EU17:EU22"/>
    <mergeCell ref="EU23:EU28"/>
    <mergeCell ref="EO3:EO4"/>
    <mergeCell ref="EM3:EM4"/>
    <mergeCell ref="EL3:EL4"/>
    <mergeCell ref="EA3:ED3"/>
    <mergeCell ref="EF5:EF10"/>
    <mergeCell ref="EF11:EF16"/>
    <mergeCell ref="EU5:EU10"/>
    <mergeCell ref="EU3:EW4"/>
    <mergeCell ref="EV5:EV6"/>
    <mergeCell ref="EV9:EW9"/>
    <mergeCell ref="EF17:EF22"/>
    <mergeCell ref="EF23:EF28"/>
    <mergeCell ref="EI3:EI4"/>
    <mergeCell ref="EF3:EH4"/>
    <mergeCell ref="EG5:EG6"/>
    <mergeCell ref="EG9:EH9"/>
    <mergeCell ref="EG11:EG12"/>
    <mergeCell ref="EG15:EH15"/>
    <mergeCell ref="EG17:EG18"/>
    <mergeCell ref="EG21:EH21"/>
    <mergeCell ref="EG23:EG24"/>
    <mergeCell ref="CS78:CS79"/>
    <mergeCell ref="DT78:DT79"/>
    <mergeCell ref="DU78:DV78"/>
    <mergeCell ref="DQ78:DQ79"/>
    <mergeCell ref="CQ78:CR78"/>
    <mergeCell ref="DR35:DR36"/>
    <mergeCell ref="DR39:DS39"/>
    <mergeCell ref="DR41:DR42"/>
    <mergeCell ref="DR45:DS45"/>
    <mergeCell ref="DB65:DB70"/>
    <mergeCell ref="EH78:EH79"/>
    <mergeCell ref="DC35:DC36"/>
    <mergeCell ref="DC39:DD39"/>
    <mergeCell ref="DC41:DC42"/>
    <mergeCell ref="DC45:DD45"/>
    <mergeCell ref="DC47:DC48"/>
    <mergeCell ref="DC51:DD51"/>
    <mergeCell ref="DC53:DC54"/>
    <mergeCell ref="EG27:EH27"/>
    <mergeCell ref="EG29:EG30"/>
    <mergeCell ref="DJ78:DJ79"/>
    <mergeCell ref="DK78:DK79"/>
    <mergeCell ref="DL78:DO78"/>
    <mergeCell ref="DX2:DZ2"/>
    <mergeCell ref="DT3:DT4"/>
    <mergeCell ref="DU3:DV3"/>
    <mergeCell ref="DQ23:DQ28"/>
    <mergeCell ref="DQ29:DQ34"/>
    <mergeCell ref="DQ41:DQ46"/>
    <mergeCell ref="DQ47:DQ52"/>
    <mergeCell ref="DQ53:DQ58"/>
    <mergeCell ref="DQ11:DQ16"/>
    <mergeCell ref="DQ17:DQ22"/>
    <mergeCell ref="DW3:DW4"/>
    <mergeCell ref="DX3:DX4"/>
    <mergeCell ref="DZ3:DZ4"/>
    <mergeCell ref="DY3:DY4"/>
    <mergeCell ref="DR17:DR18"/>
    <mergeCell ref="DR21:DS21"/>
    <mergeCell ref="DR23:DR24"/>
    <mergeCell ref="DR27:DS27"/>
    <mergeCell ref="DR29:DR30"/>
    <mergeCell ref="DR33:DS33"/>
    <mergeCell ref="DI2:DK2"/>
    <mergeCell ref="CT2:CV2"/>
    <mergeCell ref="DR75:DS75"/>
    <mergeCell ref="DQ5:DQ10"/>
    <mergeCell ref="DB23:DB28"/>
    <mergeCell ref="DB53:DB58"/>
    <mergeCell ref="DL3:DO3"/>
    <mergeCell ref="DB3:DD4"/>
    <mergeCell ref="DC5:DC6"/>
    <mergeCell ref="DC9:DD9"/>
    <mergeCell ref="DC11:DC12"/>
    <mergeCell ref="DC15:DD15"/>
    <mergeCell ref="DC17:DC18"/>
    <mergeCell ref="DC21:DD21"/>
    <mergeCell ref="DC23:DC24"/>
    <mergeCell ref="DC27:DD27"/>
    <mergeCell ref="DC29:DC30"/>
    <mergeCell ref="DC33:DD33"/>
    <mergeCell ref="DK3:DK4"/>
    <mergeCell ref="DJ3:DJ4"/>
    <mergeCell ref="DC57:DD57"/>
    <mergeCell ref="DC59:DC60"/>
    <mergeCell ref="DR47:DR48"/>
    <mergeCell ref="DR51:DS51"/>
    <mergeCell ref="DB71:DB76"/>
    <mergeCell ref="CM23:CM28"/>
    <mergeCell ref="CM3:CO4"/>
    <mergeCell ref="CN9:CO9"/>
    <mergeCell ref="CT3:CT4"/>
    <mergeCell ref="CV3:CV4"/>
    <mergeCell ref="CM5:CM10"/>
    <mergeCell ref="CM11:CM16"/>
    <mergeCell ref="CM17:CM22"/>
    <mergeCell ref="CS3:CS4"/>
    <mergeCell ref="CN21:CO21"/>
    <mergeCell ref="BJ21:BK21"/>
    <mergeCell ref="BJ23:BJ24"/>
    <mergeCell ref="BJ27:BK27"/>
    <mergeCell ref="BX29:BX34"/>
    <mergeCell ref="BJ45:BK45"/>
    <mergeCell ref="CP3:CP4"/>
    <mergeCell ref="DB41:DB46"/>
    <mergeCell ref="BY39:BZ39"/>
    <mergeCell ref="BY41:BY42"/>
    <mergeCell ref="BY45:BZ45"/>
    <mergeCell ref="CG3:CG4"/>
    <mergeCell ref="CF3:CF4"/>
    <mergeCell ref="CH3:CK3"/>
    <mergeCell ref="CN41:CN42"/>
    <mergeCell ref="CN45:CO45"/>
    <mergeCell ref="CN17:CN18"/>
    <mergeCell ref="CN23:CN24"/>
    <mergeCell ref="CN27:CO27"/>
    <mergeCell ref="CN29:CN30"/>
    <mergeCell ref="CN33:CO33"/>
    <mergeCell ref="CN35:CN36"/>
    <mergeCell ref="CN39:CO39"/>
    <mergeCell ref="CN5:CN6"/>
    <mergeCell ref="CM29:CM34"/>
    <mergeCell ref="BI23:BI28"/>
    <mergeCell ref="AU21:AV21"/>
    <mergeCell ref="AU23:AU24"/>
    <mergeCell ref="AU33:AV33"/>
    <mergeCell ref="AU15:AV15"/>
    <mergeCell ref="AZ3:AZ4"/>
    <mergeCell ref="AU11:AU12"/>
    <mergeCell ref="DB59:DB64"/>
    <mergeCell ref="CN57:CO57"/>
    <mergeCell ref="CM53:CM58"/>
    <mergeCell ref="BY57:BZ57"/>
    <mergeCell ref="BI3:BK4"/>
    <mergeCell ref="BJ5:BJ6"/>
    <mergeCell ref="BJ9:BK9"/>
    <mergeCell ref="BJ11:BJ12"/>
    <mergeCell ref="BJ15:BK15"/>
    <mergeCell ref="BJ17:BJ18"/>
    <mergeCell ref="BO3:BO4"/>
    <mergeCell ref="BX41:BX46"/>
    <mergeCell ref="BS3:BV3"/>
    <mergeCell ref="BX5:BX10"/>
    <mergeCell ref="BP3:BP4"/>
    <mergeCell ref="BY35:BY36"/>
    <mergeCell ref="BJ39:BK39"/>
    <mergeCell ref="AW3:AW4"/>
    <mergeCell ref="AU35:AU36"/>
    <mergeCell ref="AU39:AV39"/>
    <mergeCell ref="AU41:AU42"/>
    <mergeCell ref="AT3:AV4"/>
    <mergeCell ref="AU5:AU6"/>
    <mergeCell ref="AU9:AV9"/>
    <mergeCell ref="AU17:AU18"/>
    <mergeCell ref="AU27:AV27"/>
    <mergeCell ref="AU29:AU30"/>
    <mergeCell ref="AU53:AU54"/>
    <mergeCell ref="AU57:AV57"/>
    <mergeCell ref="BI35:BI40"/>
    <mergeCell ref="BI41:BI46"/>
    <mergeCell ref="BI47:BI52"/>
    <mergeCell ref="BI53:BI58"/>
    <mergeCell ref="AT41:AT46"/>
    <mergeCell ref="Q63:R63"/>
    <mergeCell ref="Q71:Q72"/>
    <mergeCell ref="AU59:AU60"/>
    <mergeCell ref="AU63:AV63"/>
    <mergeCell ref="BI59:BI64"/>
    <mergeCell ref="AF41:AF42"/>
    <mergeCell ref="AF45:AG45"/>
    <mergeCell ref="AF47:AF48"/>
    <mergeCell ref="AF51:AG51"/>
    <mergeCell ref="AT47:AT52"/>
    <mergeCell ref="AU45:AV45"/>
    <mergeCell ref="AU47:AU48"/>
    <mergeCell ref="AU51:AV51"/>
    <mergeCell ref="Z3:AC3"/>
    <mergeCell ref="AF69:AG69"/>
    <mergeCell ref="AT65:AT70"/>
    <mergeCell ref="AF53:AF54"/>
    <mergeCell ref="AF57:AG57"/>
    <mergeCell ref="AF71:AF72"/>
    <mergeCell ref="AF75:AG75"/>
    <mergeCell ref="AH3:AH4"/>
    <mergeCell ref="AN3:AN4"/>
    <mergeCell ref="AE17:AE22"/>
    <mergeCell ref="AE23:AE28"/>
    <mergeCell ref="AE29:AE34"/>
    <mergeCell ref="AE35:AE40"/>
    <mergeCell ref="AE41:AE46"/>
    <mergeCell ref="AE47:AE52"/>
    <mergeCell ref="AF59:AF60"/>
    <mergeCell ref="AF63:AG63"/>
    <mergeCell ref="AO3:AR3"/>
    <mergeCell ref="AM3:AM4"/>
    <mergeCell ref="AI3:AJ3"/>
    <mergeCell ref="AE3:AG4"/>
    <mergeCell ref="AF5:AF6"/>
    <mergeCell ref="AF9:AG9"/>
    <mergeCell ref="AF11:AF12"/>
    <mergeCell ref="A59:A64"/>
    <mergeCell ref="B47:B48"/>
    <mergeCell ref="AL2:AN2"/>
    <mergeCell ref="P5:P10"/>
    <mergeCell ref="AE5:AE10"/>
    <mergeCell ref="AE11:AE16"/>
    <mergeCell ref="Q51:R51"/>
    <mergeCell ref="Q53:Q54"/>
    <mergeCell ref="Q57:R57"/>
    <mergeCell ref="Q59:Q60"/>
    <mergeCell ref="AK3:AK4"/>
    <mergeCell ref="AL3:AL4"/>
    <mergeCell ref="B15:C15"/>
    <mergeCell ref="B27:C27"/>
    <mergeCell ref="P3:R4"/>
    <mergeCell ref="Q5:Q6"/>
    <mergeCell ref="Q9:R9"/>
    <mergeCell ref="Q11:Q12"/>
    <mergeCell ref="Q15:R15"/>
    <mergeCell ref="Q17:Q18"/>
    <mergeCell ref="Q21:R21"/>
    <mergeCell ref="Q23:Q24"/>
    <mergeCell ref="Q27:R27"/>
    <mergeCell ref="Q29:Q30"/>
    <mergeCell ref="B11:B12"/>
    <mergeCell ref="A53:A58"/>
    <mergeCell ref="H2:J2"/>
    <mergeCell ref="W2:Y2"/>
    <mergeCell ref="S3:S4"/>
    <mergeCell ref="T3:U3"/>
    <mergeCell ref="V3:V4"/>
    <mergeCell ref="W3:W4"/>
    <mergeCell ref="Y3:Y4"/>
    <mergeCell ref="X3:X4"/>
    <mergeCell ref="B41:B42"/>
    <mergeCell ref="B45:C45"/>
    <mergeCell ref="D3:D4"/>
    <mergeCell ref="E3:F3"/>
    <mergeCell ref="G3:G4"/>
    <mergeCell ref="H3:H4"/>
    <mergeCell ref="J3:J4"/>
    <mergeCell ref="I3:I4"/>
    <mergeCell ref="Q33:R33"/>
    <mergeCell ref="Q35:Q36"/>
    <mergeCell ref="Q39:R39"/>
    <mergeCell ref="Q41:Q42"/>
    <mergeCell ref="Q45:R45"/>
    <mergeCell ref="Q47:Q48"/>
    <mergeCell ref="B17:B18"/>
    <mergeCell ref="B21:C21"/>
    <mergeCell ref="B29:B30"/>
    <mergeCell ref="B33:C33"/>
    <mergeCell ref="B35:B36"/>
    <mergeCell ref="B39:C39"/>
    <mergeCell ref="B51:C51"/>
    <mergeCell ref="B59:B60"/>
    <mergeCell ref="B63:C63"/>
    <mergeCell ref="AT80:AT85"/>
    <mergeCell ref="BA78:BA79"/>
    <mergeCell ref="A17:A22"/>
    <mergeCell ref="A23:A28"/>
    <mergeCell ref="B23:B24"/>
    <mergeCell ref="A35:A40"/>
    <mergeCell ref="A3:C4"/>
    <mergeCell ref="K3:N3"/>
    <mergeCell ref="A5:A10"/>
    <mergeCell ref="P35:P40"/>
    <mergeCell ref="P41:P46"/>
    <mergeCell ref="P47:P52"/>
    <mergeCell ref="P11:P16"/>
    <mergeCell ref="P17:P22"/>
    <mergeCell ref="P23:P28"/>
    <mergeCell ref="P59:P64"/>
    <mergeCell ref="P53:P58"/>
    <mergeCell ref="P29:P34"/>
    <mergeCell ref="A47:A52"/>
    <mergeCell ref="A29:A34"/>
    <mergeCell ref="A11:A16"/>
    <mergeCell ref="B5:B6"/>
    <mergeCell ref="B9:C9"/>
    <mergeCell ref="AL78:AL79"/>
    <mergeCell ref="BA2:BC2"/>
    <mergeCell ref="BI5:BI10"/>
    <mergeCell ref="BI11:BI16"/>
    <mergeCell ref="BI17:BI22"/>
    <mergeCell ref="CD3:CD4"/>
    <mergeCell ref="CE3:CE4"/>
    <mergeCell ref="CA3:CA4"/>
    <mergeCell ref="CB3:CC3"/>
    <mergeCell ref="BI29:BI34"/>
    <mergeCell ref="BR3:BR4"/>
    <mergeCell ref="BX17:BX22"/>
    <mergeCell ref="BY17:BY18"/>
    <mergeCell ref="BY21:BZ21"/>
    <mergeCell ref="BY23:BY24"/>
    <mergeCell ref="BY27:BZ27"/>
    <mergeCell ref="BY29:BY30"/>
    <mergeCell ref="BY33:BZ33"/>
    <mergeCell ref="BP2:BR2"/>
    <mergeCell ref="BL3:BL4"/>
    <mergeCell ref="BM3:BN3"/>
    <mergeCell ref="BJ29:BJ30"/>
    <mergeCell ref="BJ33:BK33"/>
    <mergeCell ref="BQ3:BQ4"/>
    <mergeCell ref="CE2:CG2"/>
    <mergeCell ref="EM2:EO2"/>
    <mergeCell ref="GG3:GG4"/>
    <mergeCell ref="FB2:FD2"/>
    <mergeCell ref="EX3:EX4"/>
    <mergeCell ref="FA3:FA4"/>
    <mergeCell ref="FQ2:FS2"/>
    <mergeCell ref="FM3:FM4"/>
    <mergeCell ref="FB3:FB4"/>
    <mergeCell ref="FN3:FO3"/>
    <mergeCell ref="FP3:FP4"/>
    <mergeCell ref="FS3:FS4"/>
    <mergeCell ref="FC3:FC4"/>
    <mergeCell ref="EN3:EN4"/>
    <mergeCell ref="EY3:EZ3"/>
    <mergeCell ref="EP3:ES3"/>
    <mergeCell ref="FJ3:FL4"/>
    <mergeCell ref="GF2:GH2"/>
    <mergeCell ref="FY3:FY4"/>
    <mergeCell ref="FZ3:FZ4"/>
    <mergeCell ref="GA3:GA4"/>
    <mergeCell ref="GB3:GB4"/>
    <mergeCell ref="GC3:GD3"/>
    <mergeCell ref="GE3:GE4"/>
    <mergeCell ref="GF3:GF4"/>
    <mergeCell ref="GH3:GH4"/>
    <mergeCell ref="DF3:DG3"/>
    <mergeCell ref="DH3:DH4"/>
    <mergeCell ref="DB17:DB22"/>
    <mergeCell ref="EU29:EU34"/>
    <mergeCell ref="EU35:EU40"/>
    <mergeCell ref="BX23:BX28"/>
    <mergeCell ref="DB35:DB40"/>
    <mergeCell ref="DB47:DB52"/>
    <mergeCell ref="BX3:BZ4"/>
    <mergeCell ref="BY5:BY6"/>
    <mergeCell ref="BY9:BZ9"/>
    <mergeCell ref="BY11:BY12"/>
    <mergeCell ref="BY15:BZ15"/>
    <mergeCell ref="EJ3:EK3"/>
    <mergeCell ref="DB29:DB34"/>
    <mergeCell ref="DI3:DI4"/>
    <mergeCell ref="CW3:CZ3"/>
    <mergeCell ref="CU3:CU4"/>
    <mergeCell ref="DB5:DB10"/>
    <mergeCell ref="DB11:DB16"/>
    <mergeCell ref="CN11:CN12"/>
    <mergeCell ref="CN15:CO15"/>
    <mergeCell ref="CQ3:CR3"/>
    <mergeCell ref="AE80:AE85"/>
    <mergeCell ref="AE53:AE58"/>
    <mergeCell ref="AE59:AE64"/>
    <mergeCell ref="BI80:BI85"/>
    <mergeCell ref="CP78:CP79"/>
    <mergeCell ref="CF78:CF79"/>
    <mergeCell ref="GI3:GL3"/>
    <mergeCell ref="AT53:AT58"/>
    <mergeCell ref="AT59:AT64"/>
    <mergeCell ref="AX3:AY3"/>
    <mergeCell ref="BC3:BC4"/>
    <mergeCell ref="BD3:BG3"/>
    <mergeCell ref="BA3:BA4"/>
    <mergeCell ref="BB3:BB4"/>
    <mergeCell ref="BX47:BX52"/>
    <mergeCell ref="AT5:AT10"/>
    <mergeCell ref="AT11:AT16"/>
    <mergeCell ref="AT17:AT22"/>
    <mergeCell ref="AT23:AT28"/>
    <mergeCell ref="AT29:AT34"/>
    <mergeCell ref="AT35:AT40"/>
    <mergeCell ref="BX35:BX40"/>
    <mergeCell ref="DE3:DE4"/>
    <mergeCell ref="AL77:AQ77"/>
    <mergeCell ref="BA77:BF77"/>
    <mergeCell ref="BP77:BU77"/>
    <mergeCell ref="CE77:CJ77"/>
    <mergeCell ref="CT77:CY77"/>
    <mergeCell ref="DI77:DN77"/>
    <mergeCell ref="DX77:EC77"/>
    <mergeCell ref="Q78:Q79"/>
    <mergeCell ref="R78:R79"/>
    <mergeCell ref="S78:S79"/>
    <mergeCell ref="T78:U78"/>
    <mergeCell ref="V78:V79"/>
    <mergeCell ref="BR78:BR79"/>
    <mergeCell ref="W78:W79"/>
    <mergeCell ref="X78:X79"/>
    <mergeCell ref="Y78:Y79"/>
    <mergeCell ref="Z78:AC78"/>
    <mergeCell ref="AM78:AM79"/>
    <mergeCell ref="AN78:AN79"/>
    <mergeCell ref="DC78:DC79"/>
    <mergeCell ref="AG78:AG79"/>
    <mergeCell ref="AH78:AH79"/>
    <mergeCell ref="AI78:AJ78"/>
    <mergeCell ref="AK78:AK79"/>
    <mergeCell ref="DH78:DH79"/>
  </mergeCells>
  <phoneticPr fontId="0" type="noConversion"/>
  <printOptions horizontalCentered="1"/>
  <pageMargins left="0.35433070866141736" right="0.35433070866141736" top="7.4803149606299213" bottom="0.19685039370078741" header="0.51181102362204722" footer="0.51181102362204722"/>
  <pageSetup paperSize="9" scale="10" orientation="portrait" horizontalDpi="180" verticalDpi="180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M17"/>
  <sheetViews>
    <sheetView rightToLeft="1" workbookViewId="0">
      <selection activeCell="J17" sqref="J17"/>
    </sheetView>
  </sheetViews>
  <sheetFormatPr defaultColWidth="9.140625" defaultRowHeight="12.75" x14ac:dyDescent="0.2"/>
  <cols>
    <col min="1" max="1" width="6.85546875" style="1" customWidth="1"/>
    <col min="2" max="3" width="6.7109375" style="1" customWidth="1"/>
    <col min="4" max="4" width="7.140625" style="1" customWidth="1"/>
    <col min="5" max="5" width="8.28515625" style="1" customWidth="1"/>
    <col min="6" max="6" width="7.85546875" style="1" customWidth="1"/>
    <col min="7" max="7" width="8.140625" style="1" customWidth="1"/>
    <col min="8" max="8" width="7.140625" style="1" customWidth="1"/>
    <col min="9" max="9" width="8.140625" style="1" customWidth="1"/>
    <col min="10" max="10" width="8.7109375" style="1" customWidth="1"/>
    <col min="11" max="14" width="4.7109375" style="1" customWidth="1"/>
    <col min="15" max="15" width="3.28515625" style="2" customWidth="1"/>
    <col min="16" max="16" width="6.85546875" style="1" customWidth="1"/>
    <col min="17" max="18" width="6.7109375" style="1" customWidth="1"/>
    <col min="19" max="19" width="7.140625" style="1" customWidth="1"/>
    <col min="20" max="20" width="8.28515625" style="1" customWidth="1"/>
    <col min="21" max="21" width="7.85546875" style="1" customWidth="1"/>
    <col min="22" max="22" width="8.140625" style="1" customWidth="1"/>
    <col min="23" max="23" width="7.140625" style="1" customWidth="1"/>
    <col min="24" max="24" width="8.140625" style="1" customWidth="1"/>
    <col min="25" max="25" width="8.42578125" style="1" customWidth="1"/>
    <col min="26" max="29" width="4.7109375" style="1" customWidth="1"/>
    <col min="30" max="30" width="3.28515625" style="2" customWidth="1"/>
    <col min="31" max="31" width="6.85546875" style="1" customWidth="1"/>
    <col min="32" max="33" width="6.7109375" style="1" customWidth="1"/>
    <col min="34" max="34" width="7.140625" style="1" customWidth="1"/>
    <col min="35" max="35" width="8.28515625" style="1" customWidth="1"/>
    <col min="36" max="36" width="7.85546875" style="1" customWidth="1"/>
    <col min="37" max="37" width="8.140625" style="1" customWidth="1"/>
    <col min="38" max="38" width="7.140625" style="1" customWidth="1"/>
    <col min="39" max="39" width="8.140625" style="1" customWidth="1"/>
    <col min="40" max="40" width="8.7109375" style="1" customWidth="1"/>
    <col min="41" max="44" width="4.7109375" style="1" customWidth="1"/>
    <col min="45" max="45" width="3.28515625" style="2" customWidth="1"/>
    <col min="46" max="46" width="6.85546875" style="1" customWidth="1"/>
    <col min="47" max="48" width="6.7109375" style="1" customWidth="1"/>
    <col min="49" max="49" width="7.140625" style="1" customWidth="1"/>
    <col min="50" max="50" width="8.28515625" style="1" customWidth="1"/>
    <col min="51" max="51" width="7.85546875" style="1" customWidth="1"/>
    <col min="52" max="52" width="8.140625" style="1" customWidth="1"/>
    <col min="53" max="53" width="7.140625" style="1" customWidth="1"/>
    <col min="54" max="54" width="8.140625" style="1" customWidth="1"/>
    <col min="55" max="55" width="8.7109375" style="1" customWidth="1"/>
    <col min="56" max="59" width="4.7109375" style="1" customWidth="1"/>
    <col min="60" max="60" width="3.28515625" style="2" customWidth="1"/>
    <col min="61" max="61" width="6.85546875" style="1" customWidth="1"/>
    <col min="62" max="63" width="6.7109375" style="1" customWidth="1"/>
    <col min="64" max="64" width="7.140625" style="1" customWidth="1"/>
    <col min="65" max="65" width="8.28515625" style="1" customWidth="1"/>
    <col min="66" max="66" width="7.85546875" style="1" customWidth="1"/>
    <col min="67" max="67" width="8.140625" style="1" customWidth="1"/>
    <col min="68" max="68" width="7.140625" style="1" customWidth="1"/>
    <col min="69" max="69" width="8.140625" style="1" customWidth="1"/>
    <col min="70" max="70" width="8.7109375" style="1" customWidth="1"/>
    <col min="71" max="74" width="4.7109375" style="1" customWidth="1"/>
    <col min="75" max="75" width="3.28515625" style="2" customWidth="1"/>
    <col min="76" max="76" width="6.85546875" style="1" customWidth="1"/>
    <col min="77" max="78" width="6.7109375" style="1" customWidth="1"/>
    <col min="79" max="79" width="7.140625" style="1" customWidth="1"/>
    <col min="80" max="80" width="8.28515625" style="1" customWidth="1"/>
    <col min="81" max="81" width="7.85546875" style="1" customWidth="1"/>
    <col min="82" max="82" width="8.140625" style="1" customWidth="1"/>
    <col min="83" max="83" width="7.140625" style="1" customWidth="1"/>
    <col min="84" max="84" width="8.140625" style="1" customWidth="1"/>
    <col min="85" max="85" width="8.7109375" style="1" customWidth="1"/>
    <col min="86" max="89" width="4.7109375" style="1" customWidth="1"/>
    <col min="90" max="90" width="3.28515625" style="2" customWidth="1"/>
    <col min="91" max="91" width="6.85546875" style="1" customWidth="1"/>
    <col min="92" max="93" width="6.7109375" style="1" customWidth="1"/>
    <col min="94" max="94" width="7.140625" style="1" customWidth="1"/>
    <col min="95" max="95" width="8.28515625" style="1" customWidth="1"/>
    <col min="96" max="96" width="7.85546875" style="1" customWidth="1"/>
    <col min="97" max="97" width="8.140625" style="1" customWidth="1"/>
    <col min="98" max="98" width="7.140625" style="1" customWidth="1"/>
    <col min="99" max="99" width="8.140625" style="1" customWidth="1"/>
    <col min="100" max="100" width="8.7109375" style="1" customWidth="1"/>
    <col min="101" max="104" width="4.7109375" style="1" customWidth="1"/>
    <col min="105" max="105" width="3.28515625" style="2" customWidth="1"/>
    <col min="106" max="106" width="6.85546875" style="1" customWidth="1"/>
    <col min="107" max="108" width="6.7109375" style="1" customWidth="1"/>
    <col min="109" max="109" width="7.140625" style="1" customWidth="1"/>
    <col min="110" max="110" width="8.28515625" style="1" customWidth="1"/>
    <col min="111" max="111" width="7.85546875" style="1" customWidth="1"/>
    <col min="112" max="112" width="8.140625" style="1" customWidth="1"/>
    <col min="113" max="113" width="7.140625" style="1" customWidth="1"/>
    <col min="114" max="114" width="8.140625" style="1" customWidth="1"/>
    <col min="115" max="115" width="8.7109375" style="1" customWidth="1"/>
    <col min="116" max="119" width="4.7109375" style="1" customWidth="1"/>
    <col min="120" max="120" width="3.28515625" style="2" customWidth="1"/>
    <col min="121" max="121" width="6.85546875" style="1" customWidth="1"/>
    <col min="122" max="123" width="6.7109375" style="1" customWidth="1"/>
    <col min="124" max="124" width="7.140625" style="1" customWidth="1"/>
    <col min="125" max="125" width="8.28515625" style="1" customWidth="1"/>
    <col min="126" max="126" width="7.85546875" style="1" customWidth="1"/>
    <col min="127" max="127" width="8.140625" style="1" customWidth="1"/>
    <col min="128" max="128" width="7.140625" style="1" customWidth="1"/>
    <col min="129" max="129" width="8.140625" style="1" customWidth="1"/>
    <col min="130" max="130" width="8.7109375" style="1" customWidth="1"/>
    <col min="131" max="134" width="4.7109375" style="1" customWidth="1"/>
    <col min="135" max="135" width="3.28515625" style="2" customWidth="1"/>
    <col min="136" max="136" width="6.85546875" style="1" customWidth="1"/>
    <col min="137" max="138" width="6.7109375" style="1" customWidth="1"/>
    <col min="139" max="139" width="7.140625" style="1" customWidth="1"/>
    <col min="140" max="140" width="8.28515625" style="1" customWidth="1"/>
    <col min="141" max="141" width="7.85546875" style="1" customWidth="1"/>
    <col min="142" max="142" width="8.140625" style="1" customWidth="1"/>
    <col min="143" max="143" width="7.140625" style="1" customWidth="1"/>
    <col min="144" max="144" width="8.140625" style="1" customWidth="1"/>
    <col min="145" max="145" width="8.7109375" style="1" customWidth="1"/>
    <col min="146" max="149" width="4.7109375" style="1" customWidth="1"/>
    <col min="150" max="150" width="3.28515625" style="2" customWidth="1"/>
    <col min="151" max="151" width="6.85546875" style="1" customWidth="1"/>
    <col min="152" max="153" width="6.7109375" style="1" customWidth="1"/>
    <col min="154" max="154" width="7.140625" style="1" customWidth="1"/>
    <col min="155" max="155" width="8.28515625" style="1" customWidth="1"/>
    <col min="156" max="156" width="7.85546875" style="1" customWidth="1"/>
    <col min="157" max="157" width="8.140625" style="1" customWidth="1"/>
    <col min="158" max="158" width="7.140625" style="1" customWidth="1"/>
    <col min="159" max="159" width="8.140625" style="1" customWidth="1"/>
    <col min="160" max="160" width="8.7109375" style="1" customWidth="1"/>
    <col min="161" max="164" width="4.7109375" style="1" customWidth="1"/>
    <col min="165" max="165" width="3.28515625" style="2" customWidth="1"/>
    <col min="166" max="166" width="6.85546875" style="1" customWidth="1"/>
    <col min="167" max="168" width="6.7109375" style="1" customWidth="1"/>
    <col min="169" max="169" width="7.140625" style="1" customWidth="1"/>
    <col min="170" max="170" width="8.28515625" style="1" customWidth="1"/>
    <col min="171" max="171" width="7.85546875" style="1" customWidth="1"/>
    <col min="172" max="172" width="8.140625" style="1" customWidth="1"/>
    <col min="173" max="173" width="7.140625" style="1" customWidth="1"/>
    <col min="174" max="174" width="8.140625" style="1" customWidth="1"/>
    <col min="175" max="175" width="8" style="1" customWidth="1"/>
    <col min="176" max="179" width="4.7109375" style="1" customWidth="1"/>
    <col min="180" max="180" width="2.42578125" style="1" customWidth="1"/>
    <col min="181" max="181" width="7.7109375" style="1" customWidth="1"/>
    <col min="182" max="182" width="5.85546875" style="1" customWidth="1"/>
    <col min="183" max="183" width="5.5703125" style="1" customWidth="1"/>
    <col min="184" max="184" width="7.140625" style="1" customWidth="1"/>
    <col min="185" max="185" width="7.28515625" style="1" customWidth="1"/>
    <col min="186" max="186" width="7" style="1" customWidth="1"/>
    <col min="187" max="187" width="9.140625" style="1"/>
    <col min="188" max="188" width="6.7109375" style="1" customWidth="1"/>
    <col min="189" max="190" width="7.85546875" style="1" customWidth="1"/>
    <col min="191" max="194" width="5.7109375" style="1" customWidth="1"/>
    <col min="195" max="195" width="2.42578125" style="1" customWidth="1"/>
    <col min="196" max="16384" width="9.140625" style="1"/>
  </cols>
  <sheetData>
    <row r="1" spans="1:195" ht="21" thickBot="1" x14ac:dyDescent="0.35">
      <c r="A1" s="20" t="s">
        <v>0</v>
      </c>
      <c r="B1" s="21"/>
      <c r="C1" s="22"/>
      <c r="D1" s="22"/>
      <c r="E1" s="23" t="s">
        <v>1</v>
      </c>
      <c r="F1" s="24">
        <v>1</v>
      </c>
      <c r="G1" s="23" t="s">
        <v>2</v>
      </c>
      <c r="H1" s="279">
        <f>SUM('الطفل السليم'!H2)</f>
        <v>1447</v>
      </c>
      <c r="I1" s="279"/>
      <c r="J1" s="279"/>
      <c r="K1" s="25" t="s">
        <v>41</v>
      </c>
      <c r="L1" s="22"/>
      <c r="M1" s="22"/>
      <c r="N1" s="26"/>
      <c r="O1" s="18"/>
      <c r="P1" s="20" t="s">
        <v>0</v>
      </c>
      <c r="Q1" s="21"/>
      <c r="R1" s="22"/>
      <c r="S1" s="22"/>
      <c r="T1" s="23" t="s">
        <v>1</v>
      </c>
      <c r="U1" s="24">
        <v>2</v>
      </c>
      <c r="V1" s="23" t="s">
        <v>2</v>
      </c>
      <c r="W1" s="279">
        <f>SUM('الطفل السليم'!W2)</f>
        <v>1447</v>
      </c>
      <c r="X1" s="279"/>
      <c r="Y1" s="279"/>
      <c r="Z1" s="25" t="s">
        <v>41</v>
      </c>
      <c r="AA1" s="22"/>
      <c r="AB1" s="22"/>
      <c r="AC1" s="26"/>
      <c r="AD1" s="18"/>
      <c r="AE1" s="20" t="s">
        <v>0</v>
      </c>
      <c r="AF1" s="21"/>
      <c r="AG1" s="22"/>
      <c r="AH1" s="22"/>
      <c r="AI1" s="23" t="s">
        <v>1</v>
      </c>
      <c r="AJ1" s="24">
        <v>3</v>
      </c>
      <c r="AK1" s="23" t="s">
        <v>2</v>
      </c>
      <c r="AL1" s="279">
        <f>SUM('الطفل السليم'!AL2)</f>
        <v>1447</v>
      </c>
      <c r="AM1" s="279"/>
      <c r="AN1" s="279"/>
      <c r="AO1" s="25" t="s">
        <v>41</v>
      </c>
      <c r="AP1" s="22"/>
      <c r="AQ1" s="22"/>
      <c r="AR1" s="26"/>
      <c r="AS1" s="18"/>
      <c r="AT1" s="20" t="s">
        <v>0</v>
      </c>
      <c r="AU1" s="21"/>
      <c r="AV1" s="22"/>
      <c r="AW1" s="22"/>
      <c r="AX1" s="23" t="s">
        <v>1</v>
      </c>
      <c r="AY1" s="24">
        <v>4</v>
      </c>
      <c r="AZ1" s="23" t="s">
        <v>2</v>
      </c>
      <c r="BA1" s="279">
        <f>SUM('الطفل السليم'!BA2)</f>
        <v>1447</v>
      </c>
      <c r="BB1" s="279"/>
      <c r="BC1" s="279"/>
      <c r="BD1" s="25" t="s">
        <v>41</v>
      </c>
      <c r="BE1" s="22"/>
      <c r="BF1" s="22"/>
      <c r="BG1" s="26"/>
      <c r="BH1" s="18"/>
      <c r="BI1" s="20" t="s">
        <v>0</v>
      </c>
      <c r="BJ1" s="21"/>
      <c r="BK1" s="22"/>
      <c r="BL1" s="22"/>
      <c r="BM1" s="23" t="s">
        <v>1</v>
      </c>
      <c r="BN1" s="24">
        <v>5</v>
      </c>
      <c r="BO1" s="23" t="s">
        <v>2</v>
      </c>
      <c r="BP1" s="279">
        <f>SUM('الطفل السليم'!BP2)</f>
        <v>1447</v>
      </c>
      <c r="BQ1" s="279"/>
      <c r="BR1" s="279"/>
      <c r="BS1" s="25" t="s">
        <v>41</v>
      </c>
      <c r="BT1" s="22"/>
      <c r="BU1" s="22"/>
      <c r="BV1" s="26"/>
      <c r="BW1" s="18"/>
      <c r="BX1" s="20" t="s">
        <v>0</v>
      </c>
      <c r="BY1" s="21"/>
      <c r="BZ1" s="22"/>
      <c r="CA1" s="22"/>
      <c r="CB1" s="23" t="s">
        <v>1</v>
      </c>
      <c r="CC1" s="24">
        <v>6</v>
      </c>
      <c r="CD1" s="23" t="s">
        <v>2</v>
      </c>
      <c r="CE1" s="279">
        <f>SUM('الطفل السليم'!CE2)</f>
        <v>1447</v>
      </c>
      <c r="CF1" s="279"/>
      <c r="CG1" s="279"/>
      <c r="CH1" s="25" t="s">
        <v>41</v>
      </c>
      <c r="CI1" s="22"/>
      <c r="CJ1" s="22"/>
      <c r="CK1" s="26"/>
      <c r="CL1" s="18"/>
      <c r="CM1" s="20" t="s">
        <v>0</v>
      </c>
      <c r="CN1" s="21"/>
      <c r="CO1" s="22"/>
      <c r="CP1" s="22"/>
      <c r="CQ1" s="23" t="s">
        <v>1</v>
      </c>
      <c r="CR1" s="24">
        <v>7</v>
      </c>
      <c r="CS1" s="23" t="s">
        <v>2</v>
      </c>
      <c r="CT1" s="279">
        <f>SUM('الطفل السليم'!CT2)</f>
        <v>1447</v>
      </c>
      <c r="CU1" s="279"/>
      <c r="CV1" s="279"/>
      <c r="CW1" s="25" t="s">
        <v>41</v>
      </c>
      <c r="CX1" s="22"/>
      <c r="CY1" s="22"/>
      <c r="CZ1" s="26"/>
      <c r="DA1" s="18"/>
      <c r="DB1" s="20" t="s">
        <v>0</v>
      </c>
      <c r="DC1" s="21"/>
      <c r="DD1" s="22"/>
      <c r="DE1" s="22"/>
      <c r="DF1" s="23" t="s">
        <v>1</v>
      </c>
      <c r="DG1" s="24">
        <v>8</v>
      </c>
      <c r="DH1" s="23" t="s">
        <v>2</v>
      </c>
      <c r="DI1" s="279">
        <f>SUM('الطفل السليم'!DI2)</f>
        <v>1447</v>
      </c>
      <c r="DJ1" s="279"/>
      <c r="DK1" s="279"/>
      <c r="DL1" s="25" t="s">
        <v>41</v>
      </c>
      <c r="DM1" s="22"/>
      <c r="DN1" s="22"/>
      <c r="DO1" s="26"/>
      <c r="DP1" s="18"/>
      <c r="DQ1" s="20" t="s">
        <v>0</v>
      </c>
      <c r="DR1" s="21"/>
      <c r="DS1" s="22"/>
      <c r="DT1" s="22"/>
      <c r="DU1" s="23" t="s">
        <v>1</v>
      </c>
      <c r="DV1" s="24">
        <v>9</v>
      </c>
      <c r="DW1" s="23" t="s">
        <v>2</v>
      </c>
      <c r="DX1" s="279">
        <f>SUM('الطفل السليم'!DX2)</f>
        <v>1447</v>
      </c>
      <c r="DY1" s="279"/>
      <c r="DZ1" s="279"/>
      <c r="EA1" s="25" t="s">
        <v>41</v>
      </c>
      <c r="EB1" s="22"/>
      <c r="EC1" s="22"/>
      <c r="ED1" s="26"/>
      <c r="EE1" s="18"/>
      <c r="EF1" s="20" t="s">
        <v>0</v>
      </c>
      <c r="EG1" s="21"/>
      <c r="EH1" s="22"/>
      <c r="EI1" s="22"/>
      <c r="EJ1" s="23" t="s">
        <v>1</v>
      </c>
      <c r="EK1" s="24">
        <v>10</v>
      </c>
      <c r="EL1" s="23" t="s">
        <v>2</v>
      </c>
      <c r="EM1" s="279">
        <f>SUM('الطفل السليم'!EM2)</f>
        <v>1447</v>
      </c>
      <c r="EN1" s="279"/>
      <c r="EO1" s="279"/>
      <c r="EP1" s="25" t="s">
        <v>41</v>
      </c>
      <c r="EQ1" s="22"/>
      <c r="ER1" s="22"/>
      <c r="ES1" s="26"/>
      <c r="ET1" s="18"/>
      <c r="EU1" s="20" t="s">
        <v>0</v>
      </c>
      <c r="EV1" s="21"/>
      <c r="EW1" s="22"/>
      <c r="EX1" s="22"/>
      <c r="EY1" s="23" t="s">
        <v>1</v>
      </c>
      <c r="EZ1" s="24">
        <v>11</v>
      </c>
      <c r="FA1" s="23" t="s">
        <v>2</v>
      </c>
      <c r="FB1" s="279">
        <f>SUM('الطفل السليم'!FB2)</f>
        <v>1447</v>
      </c>
      <c r="FC1" s="279"/>
      <c r="FD1" s="279"/>
      <c r="FE1" s="25" t="s">
        <v>41</v>
      </c>
      <c r="FF1" s="22"/>
      <c r="FG1" s="22"/>
      <c r="FH1" s="26"/>
      <c r="FI1" s="18"/>
      <c r="FJ1" s="20" t="s">
        <v>0</v>
      </c>
      <c r="FK1" s="21"/>
      <c r="FL1" s="22"/>
      <c r="FM1" s="22"/>
      <c r="FN1" s="23" t="s">
        <v>1</v>
      </c>
      <c r="FO1" s="24">
        <v>12</v>
      </c>
      <c r="FP1" s="23" t="s">
        <v>2</v>
      </c>
      <c r="FQ1" s="279">
        <f>SUM('الطفل السليم'!FQ2)</f>
        <v>1447</v>
      </c>
      <c r="FR1" s="279"/>
      <c r="FS1" s="279"/>
      <c r="FT1" s="25" t="s">
        <v>41</v>
      </c>
      <c r="FU1" s="22"/>
      <c r="FV1" s="22"/>
      <c r="FW1" s="26"/>
      <c r="FX1" s="6"/>
      <c r="FY1" s="31" t="s">
        <v>0</v>
      </c>
      <c r="FZ1" s="32"/>
      <c r="GA1" s="33"/>
      <c r="GB1" s="33"/>
      <c r="GC1" s="34"/>
      <c r="GD1" s="35"/>
      <c r="GE1" s="36" t="s">
        <v>2</v>
      </c>
      <c r="GF1" s="278">
        <f>SUM(FQ1)</f>
        <v>1447</v>
      </c>
      <c r="GG1" s="278"/>
      <c r="GH1" s="278"/>
      <c r="GI1" s="37" t="s">
        <v>41</v>
      </c>
      <c r="GJ1" s="33"/>
      <c r="GK1" s="33"/>
      <c r="GL1" s="38"/>
      <c r="GM1" s="6"/>
    </row>
    <row r="2" spans="1:195" ht="18.75" customHeight="1" thickBot="1" x14ac:dyDescent="0.25">
      <c r="A2" s="273" t="s">
        <v>23</v>
      </c>
      <c r="B2" s="270" t="s">
        <v>3</v>
      </c>
      <c r="C2" s="270" t="s">
        <v>4</v>
      </c>
      <c r="D2" s="270" t="s">
        <v>5</v>
      </c>
      <c r="E2" s="276" t="s">
        <v>6</v>
      </c>
      <c r="F2" s="277"/>
      <c r="G2" s="270" t="s">
        <v>7</v>
      </c>
      <c r="H2" s="270" t="s">
        <v>8</v>
      </c>
      <c r="I2" s="270" t="s">
        <v>9</v>
      </c>
      <c r="J2" s="270" t="s">
        <v>24</v>
      </c>
      <c r="K2" s="262" t="s">
        <v>10</v>
      </c>
      <c r="L2" s="263"/>
      <c r="M2" s="263"/>
      <c r="N2" s="264"/>
      <c r="O2" s="18"/>
      <c r="P2" s="273" t="s">
        <v>23</v>
      </c>
      <c r="Q2" s="270" t="s">
        <v>3</v>
      </c>
      <c r="R2" s="270" t="s">
        <v>4</v>
      </c>
      <c r="S2" s="270" t="s">
        <v>5</v>
      </c>
      <c r="T2" s="276" t="s">
        <v>6</v>
      </c>
      <c r="U2" s="277"/>
      <c r="V2" s="270" t="s">
        <v>7</v>
      </c>
      <c r="W2" s="270" t="s">
        <v>8</v>
      </c>
      <c r="X2" s="270" t="s">
        <v>9</v>
      </c>
      <c r="Y2" s="270" t="s">
        <v>24</v>
      </c>
      <c r="Z2" s="262" t="s">
        <v>10</v>
      </c>
      <c r="AA2" s="263"/>
      <c r="AB2" s="263"/>
      <c r="AC2" s="264"/>
      <c r="AD2" s="18"/>
      <c r="AE2" s="273" t="s">
        <v>23</v>
      </c>
      <c r="AF2" s="270" t="s">
        <v>3</v>
      </c>
      <c r="AG2" s="270" t="s">
        <v>4</v>
      </c>
      <c r="AH2" s="270" t="s">
        <v>5</v>
      </c>
      <c r="AI2" s="276" t="s">
        <v>6</v>
      </c>
      <c r="AJ2" s="277"/>
      <c r="AK2" s="270" t="s">
        <v>7</v>
      </c>
      <c r="AL2" s="270" t="s">
        <v>8</v>
      </c>
      <c r="AM2" s="270" t="s">
        <v>9</v>
      </c>
      <c r="AN2" s="270" t="s">
        <v>24</v>
      </c>
      <c r="AO2" s="262" t="s">
        <v>10</v>
      </c>
      <c r="AP2" s="263"/>
      <c r="AQ2" s="263"/>
      <c r="AR2" s="264"/>
      <c r="AS2" s="18"/>
      <c r="AT2" s="273" t="s">
        <v>23</v>
      </c>
      <c r="AU2" s="270" t="s">
        <v>3</v>
      </c>
      <c r="AV2" s="270" t="s">
        <v>4</v>
      </c>
      <c r="AW2" s="270" t="s">
        <v>5</v>
      </c>
      <c r="AX2" s="276" t="s">
        <v>6</v>
      </c>
      <c r="AY2" s="277"/>
      <c r="AZ2" s="270" t="s">
        <v>7</v>
      </c>
      <c r="BA2" s="270" t="s">
        <v>8</v>
      </c>
      <c r="BB2" s="270" t="s">
        <v>9</v>
      </c>
      <c r="BC2" s="270" t="s">
        <v>24</v>
      </c>
      <c r="BD2" s="262" t="s">
        <v>10</v>
      </c>
      <c r="BE2" s="263"/>
      <c r="BF2" s="263"/>
      <c r="BG2" s="264"/>
      <c r="BH2" s="18"/>
      <c r="BI2" s="273" t="s">
        <v>23</v>
      </c>
      <c r="BJ2" s="270" t="s">
        <v>3</v>
      </c>
      <c r="BK2" s="270" t="s">
        <v>4</v>
      </c>
      <c r="BL2" s="270" t="s">
        <v>5</v>
      </c>
      <c r="BM2" s="276" t="s">
        <v>6</v>
      </c>
      <c r="BN2" s="277"/>
      <c r="BO2" s="270" t="s">
        <v>7</v>
      </c>
      <c r="BP2" s="270" t="s">
        <v>8</v>
      </c>
      <c r="BQ2" s="270" t="s">
        <v>9</v>
      </c>
      <c r="BR2" s="270" t="s">
        <v>24</v>
      </c>
      <c r="BS2" s="262" t="s">
        <v>10</v>
      </c>
      <c r="BT2" s="263"/>
      <c r="BU2" s="263"/>
      <c r="BV2" s="264"/>
      <c r="BW2" s="18"/>
      <c r="BX2" s="273" t="s">
        <v>23</v>
      </c>
      <c r="BY2" s="270" t="s">
        <v>3</v>
      </c>
      <c r="BZ2" s="270" t="s">
        <v>4</v>
      </c>
      <c r="CA2" s="270" t="s">
        <v>5</v>
      </c>
      <c r="CB2" s="276" t="s">
        <v>6</v>
      </c>
      <c r="CC2" s="277"/>
      <c r="CD2" s="270" t="s">
        <v>7</v>
      </c>
      <c r="CE2" s="270" t="s">
        <v>8</v>
      </c>
      <c r="CF2" s="270" t="s">
        <v>9</v>
      </c>
      <c r="CG2" s="270" t="s">
        <v>24</v>
      </c>
      <c r="CH2" s="262" t="s">
        <v>10</v>
      </c>
      <c r="CI2" s="263"/>
      <c r="CJ2" s="263"/>
      <c r="CK2" s="264"/>
      <c r="CL2" s="18"/>
      <c r="CM2" s="273" t="s">
        <v>23</v>
      </c>
      <c r="CN2" s="270" t="s">
        <v>3</v>
      </c>
      <c r="CO2" s="270" t="s">
        <v>4</v>
      </c>
      <c r="CP2" s="270" t="s">
        <v>5</v>
      </c>
      <c r="CQ2" s="276" t="s">
        <v>6</v>
      </c>
      <c r="CR2" s="277"/>
      <c r="CS2" s="270" t="s">
        <v>7</v>
      </c>
      <c r="CT2" s="270" t="s">
        <v>8</v>
      </c>
      <c r="CU2" s="270" t="s">
        <v>9</v>
      </c>
      <c r="CV2" s="270" t="s">
        <v>24</v>
      </c>
      <c r="CW2" s="262" t="s">
        <v>10</v>
      </c>
      <c r="CX2" s="263"/>
      <c r="CY2" s="263"/>
      <c r="CZ2" s="264"/>
      <c r="DA2" s="18"/>
      <c r="DB2" s="273" t="s">
        <v>23</v>
      </c>
      <c r="DC2" s="270" t="s">
        <v>3</v>
      </c>
      <c r="DD2" s="270" t="s">
        <v>4</v>
      </c>
      <c r="DE2" s="270" t="s">
        <v>5</v>
      </c>
      <c r="DF2" s="276" t="s">
        <v>6</v>
      </c>
      <c r="DG2" s="277"/>
      <c r="DH2" s="270" t="s">
        <v>7</v>
      </c>
      <c r="DI2" s="270" t="s">
        <v>8</v>
      </c>
      <c r="DJ2" s="270" t="s">
        <v>9</v>
      </c>
      <c r="DK2" s="270" t="s">
        <v>24</v>
      </c>
      <c r="DL2" s="262" t="s">
        <v>10</v>
      </c>
      <c r="DM2" s="263"/>
      <c r="DN2" s="263"/>
      <c r="DO2" s="264"/>
      <c r="DP2" s="18"/>
      <c r="DQ2" s="273" t="s">
        <v>23</v>
      </c>
      <c r="DR2" s="270" t="s">
        <v>3</v>
      </c>
      <c r="DS2" s="270" t="s">
        <v>4</v>
      </c>
      <c r="DT2" s="270" t="s">
        <v>5</v>
      </c>
      <c r="DU2" s="276" t="s">
        <v>6</v>
      </c>
      <c r="DV2" s="277"/>
      <c r="DW2" s="270" t="s">
        <v>7</v>
      </c>
      <c r="DX2" s="270" t="s">
        <v>8</v>
      </c>
      <c r="DY2" s="270" t="s">
        <v>9</v>
      </c>
      <c r="DZ2" s="270" t="s">
        <v>24</v>
      </c>
      <c r="EA2" s="262" t="s">
        <v>10</v>
      </c>
      <c r="EB2" s="263"/>
      <c r="EC2" s="263"/>
      <c r="ED2" s="264"/>
      <c r="EE2" s="18"/>
      <c r="EF2" s="273" t="s">
        <v>23</v>
      </c>
      <c r="EG2" s="270" t="s">
        <v>3</v>
      </c>
      <c r="EH2" s="270" t="s">
        <v>4</v>
      </c>
      <c r="EI2" s="270" t="s">
        <v>5</v>
      </c>
      <c r="EJ2" s="276" t="s">
        <v>6</v>
      </c>
      <c r="EK2" s="277"/>
      <c r="EL2" s="270" t="s">
        <v>7</v>
      </c>
      <c r="EM2" s="270" t="s">
        <v>8</v>
      </c>
      <c r="EN2" s="270" t="s">
        <v>9</v>
      </c>
      <c r="EO2" s="270" t="s">
        <v>24</v>
      </c>
      <c r="EP2" s="262" t="s">
        <v>10</v>
      </c>
      <c r="EQ2" s="263"/>
      <c r="ER2" s="263"/>
      <c r="ES2" s="264"/>
      <c r="ET2" s="18"/>
      <c r="EU2" s="273" t="s">
        <v>23</v>
      </c>
      <c r="EV2" s="270" t="s">
        <v>3</v>
      </c>
      <c r="EW2" s="270" t="s">
        <v>4</v>
      </c>
      <c r="EX2" s="270" t="s">
        <v>5</v>
      </c>
      <c r="EY2" s="276" t="s">
        <v>6</v>
      </c>
      <c r="EZ2" s="277"/>
      <c r="FA2" s="270" t="s">
        <v>7</v>
      </c>
      <c r="FB2" s="270" t="s">
        <v>8</v>
      </c>
      <c r="FC2" s="270" t="s">
        <v>9</v>
      </c>
      <c r="FD2" s="270" t="s">
        <v>24</v>
      </c>
      <c r="FE2" s="262" t="s">
        <v>10</v>
      </c>
      <c r="FF2" s="263"/>
      <c r="FG2" s="263"/>
      <c r="FH2" s="264"/>
      <c r="FI2" s="18"/>
      <c r="FJ2" s="273" t="s">
        <v>23</v>
      </c>
      <c r="FK2" s="270" t="s">
        <v>3</v>
      </c>
      <c r="FL2" s="270" t="s">
        <v>4</v>
      </c>
      <c r="FM2" s="270" t="s">
        <v>5</v>
      </c>
      <c r="FN2" s="276" t="s">
        <v>6</v>
      </c>
      <c r="FO2" s="277"/>
      <c r="FP2" s="270" t="s">
        <v>7</v>
      </c>
      <c r="FQ2" s="270" t="s">
        <v>8</v>
      </c>
      <c r="FR2" s="270" t="s">
        <v>9</v>
      </c>
      <c r="FS2" s="270" t="s">
        <v>24</v>
      </c>
      <c r="FT2" s="262" t="s">
        <v>10</v>
      </c>
      <c r="FU2" s="263"/>
      <c r="FV2" s="263"/>
      <c r="FW2" s="264"/>
      <c r="FX2" s="6"/>
      <c r="FY2" s="273" t="s">
        <v>23</v>
      </c>
      <c r="FZ2" s="270" t="s">
        <v>3</v>
      </c>
      <c r="GA2" s="270" t="s">
        <v>4</v>
      </c>
      <c r="GB2" s="270" t="s">
        <v>5</v>
      </c>
      <c r="GC2" s="276" t="s">
        <v>6</v>
      </c>
      <c r="GD2" s="277"/>
      <c r="GE2" s="270" t="s">
        <v>7</v>
      </c>
      <c r="GF2" s="270" t="s">
        <v>8</v>
      </c>
      <c r="GG2" s="270" t="s">
        <v>9</v>
      </c>
      <c r="GH2" s="270" t="s">
        <v>24</v>
      </c>
      <c r="GI2" s="262" t="s">
        <v>10</v>
      </c>
      <c r="GJ2" s="263"/>
      <c r="GK2" s="263"/>
      <c r="GL2" s="264"/>
      <c r="GM2" s="6"/>
    </row>
    <row r="3" spans="1:195" ht="53.25" customHeight="1" thickBot="1" x14ac:dyDescent="0.25">
      <c r="A3" s="274"/>
      <c r="B3" s="271"/>
      <c r="C3" s="271"/>
      <c r="D3" s="275"/>
      <c r="E3" s="3" t="s">
        <v>11</v>
      </c>
      <c r="F3" s="4" t="s">
        <v>12</v>
      </c>
      <c r="G3" s="275"/>
      <c r="H3" s="275"/>
      <c r="I3" s="272"/>
      <c r="J3" s="272"/>
      <c r="K3" s="5" t="s">
        <v>13</v>
      </c>
      <c r="L3" s="7" t="s">
        <v>14</v>
      </c>
      <c r="M3" s="7" t="s">
        <v>15</v>
      </c>
      <c r="N3" s="8" t="s">
        <v>16</v>
      </c>
      <c r="O3" s="18"/>
      <c r="P3" s="274"/>
      <c r="Q3" s="271"/>
      <c r="R3" s="271"/>
      <c r="S3" s="275"/>
      <c r="T3" s="3" t="s">
        <v>11</v>
      </c>
      <c r="U3" s="4" t="s">
        <v>12</v>
      </c>
      <c r="V3" s="275"/>
      <c r="W3" s="275"/>
      <c r="X3" s="272"/>
      <c r="Y3" s="272"/>
      <c r="Z3" s="5" t="s">
        <v>13</v>
      </c>
      <c r="AA3" s="7" t="s">
        <v>14</v>
      </c>
      <c r="AB3" s="7" t="s">
        <v>15</v>
      </c>
      <c r="AC3" s="8" t="s">
        <v>16</v>
      </c>
      <c r="AD3" s="18"/>
      <c r="AE3" s="274"/>
      <c r="AF3" s="271"/>
      <c r="AG3" s="271"/>
      <c r="AH3" s="275"/>
      <c r="AI3" s="3" t="s">
        <v>11</v>
      </c>
      <c r="AJ3" s="4" t="s">
        <v>12</v>
      </c>
      <c r="AK3" s="275"/>
      <c r="AL3" s="275"/>
      <c r="AM3" s="272"/>
      <c r="AN3" s="272"/>
      <c r="AO3" s="5" t="s">
        <v>13</v>
      </c>
      <c r="AP3" s="7" t="s">
        <v>14</v>
      </c>
      <c r="AQ3" s="7" t="s">
        <v>15</v>
      </c>
      <c r="AR3" s="8" t="s">
        <v>16</v>
      </c>
      <c r="AS3" s="18"/>
      <c r="AT3" s="274"/>
      <c r="AU3" s="271"/>
      <c r="AV3" s="271"/>
      <c r="AW3" s="275"/>
      <c r="AX3" s="3" t="s">
        <v>11</v>
      </c>
      <c r="AY3" s="4" t="s">
        <v>12</v>
      </c>
      <c r="AZ3" s="275"/>
      <c r="BA3" s="275"/>
      <c r="BB3" s="272"/>
      <c r="BC3" s="272"/>
      <c r="BD3" s="5" t="s">
        <v>13</v>
      </c>
      <c r="BE3" s="7" t="s">
        <v>14</v>
      </c>
      <c r="BF3" s="7" t="s">
        <v>15</v>
      </c>
      <c r="BG3" s="8" t="s">
        <v>16</v>
      </c>
      <c r="BH3" s="18"/>
      <c r="BI3" s="274"/>
      <c r="BJ3" s="271"/>
      <c r="BK3" s="271"/>
      <c r="BL3" s="275"/>
      <c r="BM3" s="3" t="s">
        <v>11</v>
      </c>
      <c r="BN3" s="4" t="s">
        <v>12</v>
      </c>
      <c r="BO3" s="275"/>
      <c r="BP3" s="275"/>
      <c r="BQ3" s="272"/>
      <c r="BR3" s="272"/>
      <c r="BS3" s="5" t="s">
        <v>13</v>
      </c>
      <c r="BT3" s="7" t="s">
        <v>14</v>
      </c>
      <c r="BU3" s="7" t="s">
        <v>15</v>
      </c>
      <c r="BV3" s="8" t="s">
        <v>16</v>
      </c>
      <c r="BW3" s="18"/>
      <c r="BX3" s="274"/>
      <c r="BY3" s="271"/>
      <c r="BZ3" s="271"/>
      <c r="CA3" s="275"/>
      <c r="CB3" s="3" t="s">
        <v>11</v>
      </c>
      <c r="CC3" s="4" t="s">
        <v>12</v>
      </c>
      <c r="CD3" s="275"/>
      <c r="CE3" s="275"/>
      <c r="CF3" s="272"/>
      <c r="CG3" s="272"/>
      <c r="CH3" s="5" t="s">
        <v>13</v>
      </c>
      <c r="CI3" s="7" t="s">
        <v>14</v>
      </c>
      <c r="CJ3" s="7" t="s">
        <v>15</v>
      </c>
      <c r="CK3" s="8" t="s">
        <v>16</v>
      </c>
      <c r="CL3" s="18"/>
      <c r="CM3" s="274"/>
      <c r="CN3" s="271"/>
      <c r="CO3" s="271"/>
      <c r="CP3" s="275"/>
      <c r="CQ3" s="3" t="s">
        <v>11</v>
      </c>
      <c r="CR3" s="4" t="s">
        <v>12</v>
      </c>
      <c r="CS3" s="275"/>
      <c r="CT3" s="275"/>
      <c r="CU3" s="272"/>
      <c r="CV3" s="272"/>
      <c r="CW3" s="5" t="s">
        <v>13</v>
      </c>
      <c r="CX3" s="7" t="s">
        <v>14</v>
      </c>
      <c r="CY3" s="7" t="s">
        <v>15</v>
      </c>
      <c r="CZ3" s="8" t="s">
        <v>16</v>
      </c>
      <c r="DA3" s="18"/>
      <c r="DB3" s="274"/>
      <c r="DC3" s="271"/>
      <c r="DD3" s="271"/>
      <c r="DE3" s="275"/>
      <c r="DF3" s="3" t="s">
        <v>11</v>
      </c>
      <c r="DG3" s="4" t="s">
        <v>12</v>
      </c>
      <c r="DH3" s="275"/>
      <c r="DI3" s="275"/>
      <c r="DJ3" s="272"/>
      <c r="DK3" s="272"/>
      <c r="DL3" s="5" t="s">
        <v>13</v>
      </c>
      <c r="DM3" s="7" t="s">
        <v>14</v>
      </c>
      <c r="DN3" s="7" t="s">
        <v>15</v>
      </c>
      <c r="DO3" s="8" t="s">
        <v>16</v>
      </c>
      <c r="DP3" s="18"/>
      <c r="DQ3" s="274"/>
      <c r="DR3" s="271"/>
      <c r="DS3" s="271"/>
      <c r="DT3" s="275"/>
      <c r="DU3" s="3" t="s">
        <v>11</v>
      </c>
      <c r="DV3" s="4" t="s">
        <v>12</v>
      </c>
      <c r="DW3" s="275"/>
      <c r="DX3" s="275"/>
      <c r="DY3" s="272"/>
      <c r="DZ3" s="272"/>
      <c r="EA3" s="5" t="s">
        <v>13</v>
      </c>
      <c r="EB3" s="7" t="s">
        <v>14</v>
      </c>
      <c r="EC3" s="7" t="s">
        <v>15</v>
      </c>
      <c r="ED3" s="8" t="s">
        <v>16</v>
      </c>
      <c r="EE3" s="18"/>
      <c r="EF3" s="274"/>
      <c r="EG3" s="271"/>
      <c r="EH3" s="271"/>
      <c r="EI3" s="275"/>
      <c r="EJ3" s="3" t="s">
        <v>11</v>
      </c>
      <c r="EK3" s="4" t="s">
        <v>12</v>
      </c>
      <c r="EL3" s="275"/>
      <c r="EM3" s="275"/>
      <c r="EN3" s="272"/>
      <c r="EO3" s="272"/>
      <c r="EP3" s="5" t="s">
        <v>13</v>
      </c>
      <c r="EQ3" s="7" t="s">
        <v>14</v>
      </c>
      <c r="ER3" s="7" t="s">
        <v>15</v>
      </c>
      <c r="ES3" s="8" t="s">
        <v>16</v>
      </c>
      <c r="ET3" s="18"/>
      <c r="EU3" s="274"/>
      <c r="EV3" s="271"/>
      <c r="EW3" s="271"/>
      <c r="EX3" s="275"/>
      <c r="EY3" s="3" t="s">
        <v>11</v>
      </c>
      <c r="EZ3" s="4" t="s">
        <v>12</v>
      </c>
      <c r="FA3" s="275"/>
      <c r="FB3" s="275"/>
      <c r="FC3" s="272"/>
      <c r="FD3" s="272"/>
      <c r="FE3" s="5" t="s">
        <v>13</v>
      </c>
      <c r="FF3" s="7" t="s">
        <v>14</v>
      </c>
      <c r="FG3" s="7" t="s">
        <v>15</v>
      </c>
      <c r="FH3" s="8" t="s">
        <v>16</v>
      </c>
      <c r="FI3" s="18"/>
      <c r="FJ3" s="274"/>
      <c r="FK3" s="271"/>
      <c r="FL3" s="271"/>
      <c r="FM3" s="275"/>
      <c r="FN3" s="3" t="s">
        <v>11</v>
      </c>
      <c r="FO3" s="4" t="s">
        <v>12</v>
      </c>
      <c r="FP3" s="275"/>
      <c r="FQ3" s="275"/>
      <c r="FR3" s="272"/>
      <c r="FS3" s="272"/>
      <c r="FT3" s="5" t="s">
        <v>13</v>
      </c>
      <c r="FU3" s="7" t="s">
        <v>14</v>
      </c>
      <c r="FV3" s="7" t="s">
        <v>15</v>
      </c>
      <c r="FW3" s="8" t="s">
        <v>16</v>
      </c>
      <c r="FX3" s="6"/>
      <c r="FY3" s="274"/>
      <c r="FZ3" s="271"/>
      <c r="GA3" s="271"/>
      <c r="GB3" s="275"/>
      <c r="GC3" s="3" t="s">
        <v>11</v>
      </c>
      <c r="GD3" s="4" t="s">
        <v>12</v>
      </c>
      <c r="GE3" s="275"/>
      <c r="GF3" s="275"/>
      <c r="GG3" s="272"/>
      <c r="GH3" s="272"/>
      <c r="GI3" s="5" t="s">
        <v>13</v>
      </c>
      <c r="GJ3" s="7" t="s">
        <v>14</v>
      </c>
      <c r="GK3" s="7" t="s">
        <v>15</v>
      </c>
      <c r="GL3" s="8" t="s">
        <v>16</v>
      </c>
      <c r="GM3" s="6"/>
    </row>
    <row r="4" spans="1:195" s="11" customFormat="1" ht="18" customHeight="1" x14ac:dyDescent="0.2">
      <c r="A4" s="265" t="s">
        <v>40</v>
      </c>
      <c r="B4" s="9"/>
      <c r="C4" s="13" t="s">
        <v>18</v>
      </c>
      <c r="D4" s="107">
        <f>SUM('الطفل السليم'!D80)</f>
        <v>168</v>
      </c>
      <c r="E4" s="104">
        <f>SUM('الطفل السليم'!E80)</f>
        <v>10</v>
      </c>
      <c r="F4" s="104">
        <f>SUM('الطفل السليم'!F80)</f>
        <v>4</v>
      </c>
      <c r="G4" s="104">
        <f>SUM('الطفل السليم'!G80)</f>
        <v>2629</v>
      </c>
      <c r="H4" s="104">
        <f>SUM('الطفل السليم'!H80)</f>
        <v>504</v>
      </c>
      <c r="I4" s="104">
        <f>SUM('الطفل السليم'!I80)</f>
        <v>304</v>
      </c>
      <c r="J4" s="104">
        <f>SUM('الطفل السليم'!J80)</f>
        <v>1307</v>
      </c>
      <c r="K4" s="104">
        <f>SUM('الطفل السليم'!K80)</f>
        <v>0</v>
      </c>
      <c r="L4" s="104">
        <f>SUM('الطفل السليم'!L80)</f>
        <v>0</v>
      </c>
      <c r="M4" s="104">
        <f>SUM('الطفل السليم'!M80)</f>
        <v>0</v>
      </c>
      <c r="N4" s="104">
        <f>SUM('الطفل السليم'!N80)</f>
        <v>0</v>
      </c>
      <c r="O4" s="19"/>
      <c r="P4" s="265" t="s">
        <v>40</v>
      </c>
      <c r="Q4" s="9"/>
      <c r="R4" s="13" t="s">
        <v>18</v>
      </c>
      <c r="S4" s="107">
        <f>SUM('الطفل السليم'!S80)</f>
        <v>339</v>
      </c>
      <c r="T4" s="104">
        <f>SUM('الطفل السليم'!T80)</f>
        <v>123</v>
      </c>
      <c r="U4" s="104">
        <f>SUM('الطفل السليم'!U80)</f>
        <v>10</v>
      </c>
      <c r="V4" s="104">
        <f>SUM('الطفل السليم'!V80)</f>
        <v>2573</v>
      </c>
      <c r="W4" s="104">
        <f>SUM('الطفل السليم'!W80)</f>
        <v>499</v>
      </c>
      <c r="X4" s="104">
        <f>SUM('الطفل السليم'!X80)</f>
        <v>393</v>
      </c>
      <c r="Y4" s="104">
        <f>SUM('الطفل السليم'!Y80)</f>
        <v>1425</v>
      </c>
      <c r="Z4" s="104">
        <f>SUM('الطفل السليم'!Z80)</f>
        <v>51</v>
      </c>
      <c r="AA4" s="104">
        <f>SUM('الطفل السليم'!AA80)</f>
        <v>160</v>
      </c>
      <c r="AB4" s="104">
        <f>SUM('الطفل السليم'!AB80)</f>
        <v>0</v>
      </c>
      <c r="AC4" s="104">
        <f>SUM('الطفل السليم'!AC80)</f>
        <v>0</v>
      </c>
      <c r="AD4" s="19"/>
      <c r="AE4" s="265" t="s">
        <v>40</v>
      </c>
      <c r="AF4" s="9"/>
      <c r="AG4" s="13" t="s">
        <v>18</v>
      </c>
      <c r="AH4" s="107">
        <f>SUM('الطفل السليم'!AH80)</f>
        <v>100</v>
      </c>
      <c r="AI4" s="104">
        <f>SUM('الطفل السليم'!AI80)</f>
        <v>95</v>
      </c>
      <c r="AJ4" s="104">
        <f>SUM('الطفل السليم'!AJ80)</f>
        <v>2</v>
      </c>
      <c r="AK4" s="104">
        <f>SUM('الطفل السليم'!AK80)</f>
        <v>2328</v>
      </c>
      <c r="AL4" s="104">
        <f>SUM('الطفل السليم'!AL80)</f>
        <v>397</v>
      </c>
      <c r="AM4" s="104">
        <f>SUM('الطفل السليم'!AM80)</f>
        <v>337</v>
      </c>
      <c r="AN4" s="104">
        <f>SUM('الطفل السليم'!AN80)</f>
        <v>1002</v>
      </c>
      <c r="AO4" s="104">
        <f>SUM('الطفل السليم'!AO80)</f>
        <v>0</v>
      </c>
      <c r="AP4" s="104">
        <f>SUM('الطفل السليم'!AP80)</f>
        <v>0</v>
      </c>
      <c r="AQ4" s="104">
        <f>SUM('الطفل السليم'!AQ80)</f>
        <v>0</v>
      </c>
      <c r="AR4" s="104">
        <f>SUM('الطفل السليم'!AR80)</f>
        <v>0</v>
      </c>
      <c r="AS4" s="19"/>
      <c r="AT4" s="265" t="s">
        <v>40</v>
      </c>
      <c r="AU4" s="9"/>
      <c r="AV4" s="13" t="s">
        <v>18</v>
      </c>
      <c r="AW4" s="107">
        <f>SUM('الطفل السليم'!AW80)</f>
        <v>231</v>
      </c>
      <c r="AX4" s="104">
        <f>SUM('الطفل السليم'!AX80)</f>
        <v>47</v>
      </c>
      <c r="AY4" s="104">
        <f>SUM('الطفل السليم'!AY80)</f>
        <v>7</v>
      </c>
      <c r="AZ4" s="104">
        <f>SUM('الطفل السليم'!AZ80)</f>
        <v>1580</v>
      </c>
      <c r="BA4" s="104">
        <f>SUM('الطفل السليم'!BA80)</f>
        <v>344</v>
      </c>
      <c r="BB4" s="104">
        <f>SUM('الطفل السليم'!BB80)</f>
        <v>218</v>
      </c>
      <c r="BC4" s="104">
        <f>SUM('الطفل السليم'!BC80)</f>
        <v>701</v>
      </c>
      <c r="BD4" s="104">
        <f>SUM('الطفل السليم'!BD80)</f>
        <v>0</v>
      </c>
      <c r="BE4" s="104">
        <f>SUM('الطفل السليم'!BE80)</f>
        <v>0</v>
      </c>
      <c r="BF4" s="104">
        <f>SUM('الطفل السليم'!BF80)</f>
        <v>0</v>
      </c>
      <c r="BG4" s="104">
        <f>SUM('الطفل السليم'!BG80)</f>
        <v>0</v>
      </c>
      <c r="BH4" s="19"/>
      <c r="BI4" s="265" t="s">
        <v>40</v>
      </c>
      <c r="BJ4" s="9"/>
      <c r="BK4" s="13" t="s">
        <v>18</v>
      </c>
      <c r="BL4" s="107">
        <f>SUM('الطفل السليم'!BL80)</f>
        <v>231</v>
      </c>
      <c r="BM4" s="104">
        <f>SUM('الطفل السليم'!BM80)</f>
        <v>47</v>
      </c>
      <c r="BN4" s="104">
        <f>SUM('الطفل السليم'!BN80)</f>
        <v>7</v>
      </c>
      <c r="BO4" s="104">
        <f>SUM('الطفل السليم'!BO80)</f>
        <v>1580</v>
      </c>
      <c r="BP4" s="104">
        <f>SUM('الطفل السليم'!BP80)</f>
        <v>343</v>
      </c>
      <c r="BQ4" s="104">
        <f>SUM('الطفل السليم'!BQ80)</f>
        <v>218</v>
      </c>
      <c r="BR4" s="104">
        <f>SUM('الطفل السليم'!BR80)</f>
        <v>792</v>
      </c>
      <c r="BS4" s="104">
        <f>SUM('الطفل السليم'!BS80)</f>
        <v>0</v>
      </c>
      <c r="BT4" s="104">
        <f>SUM('الطفل السليم'!BT80)</f>
        <v>0</v>
      </c>
      <c r="BU4" s="104">
        <f>SUM('الطفل السليم'!BU80)</f>
        <v>0</v>
      </c>
      <c r="BV4" s="104">
        <f>SUM('الطفل السليم'!BV80)</f>
        <v>0</v>
      </c>
      <c r="BW4" s="19"/>
      <c r="BX4" s="265" t="s">
        <v>40</v>
      </c>
      <c r="BY4" s="9"/>
      <c r="BZ4" s="13" t="s">
        <v>18</v>
      </c>
      <c r="CA4" s="107">
        <f>SUM('الطفل السليم'!CA80)</f>
        <v>232</v>
      </c>
      <c r="CB4" s="104">
        <f>SUM('الطفل السليم'!CB80)</f>
        <v>44</v>
      </c>
      <c r="CC4" s="104">
        <f>SUM('الطفل السليم'!CC80)</f>
        <v>0</v>
      </c>
      <c r="CD4" s="104">
        <f>SUM('الطفل السليم'!CD80)</f>
        <v>1419</v>
      </c>
      <c r="CE4" s="104">
        <f>SUM('الطفل السليم'!CE80)</f>
        <v>324</v>
      </c>
      <c r="CF4" s="104">
        <f>SUM('الطفل السليم'!CF80)</f>
        <v>163</v>
      </c>
      <c r="CG4" s="104">
        <f>SUM('الطفل السليم'!CG80)</f>
        <v>468</v>
      </c>
      <c r="CH4" s="104">
        <f>SUM('الطفل السليم'!CH80)</f>
        <v>0</v>
      </c>
      <c r="CI4" s="104">
        <f>SUM('الطفل السليم'!CI80)</f>
        <v>0</v>
      </c>
      <c r="CJ4" s="104">
        <f>SUM('الطفل السليم'!CJ80)</f>
        <v>0</v>
      </c>
      <c r="CK4" s="104">
        <f>SUM('الطفل السليم'!CK80)</f>
        <v>0</v>
      </c>
      <c r="CL4" s="19"/>
      <c r="CM4" s="265" t="s">
        <v>40</v>
      </c>
      <c r="CN4" s="9"/>
      <c r="CO4" s="13" t="s">
        <v>18</v>
      </c>
      <c r="CP4" s="107">
        <f>SUM('الطفل السليم'!CP80)</f>
        <v>66</v>
      </c>
      <c r="CQ4" s="104">
        <f>SUM('الطفل السليم'!CQ80)</f>
        <v>33</v>
      </c>
      <c r="CR4" s="104">
        <f>SUM('الطفل السليم'!CR80)</f>
        <v>30</v>
      </c>
      <c r="CS4" s="104">
        <f>SUM('الطفل السليم'!CS80)</f>
        <v>2543</v>
      </c>
      <c r="CT4" s="104">
        <f>SUM('الطفل السليم'!CT80)</f>
        <v>529</v>
      </c>
      <c r="CU4" s="104">
        <f>SUM('الطفل السليم'!CU80)</f>
        <v>276</v>
      </c>
      <c r="CV4" s="104">
        <f>SUM('الطفل السليم'!CV80)</f>
        <v>1876</v>
      </c>
      <c r="CW4" s="104">
        <f>SUM('الطفل السليم'!CW80)</f>
        <v>0</v>
      </c>
      <c r="CX4" s="104">
        <f>SUM('الطفل السليم'!CX80)</f>
        <v>0</v>
      </c>
      <c r="CY4" s="104">
        <f>SUM('الطفل السليم'!CY80)</f>
        <v>0</v>
      </c>
      <c r="CZ4" s="104">
        <f>SUM('الطفل السليم'!CZ80)</f>
        <v>0</v>
      </c>
      <c r="DA4" s="19"/>
      <c r="DB4" s="265" t="s">
        <v>40</v>
      </c>
      <c r="DC4" s="9"/>
      <c r="DD4" s="13" t="s">
        <v>18</v>
      </c>
      <c r="DE4" s="107">
        <f>SUM('الطفل السليم'!DE80)</f>
        <v>311</v>
      </c>
      <c r="DF4" s="104">
        <f>SUM('الطفل السليم'!DF80)</f>
        <v>73</v>
      </c>
      <c r="DG4" s="104">
        <f>SUM('الطفل السليم'!DG80)</f>
        <v>206</v>
      </c>
      <c r="DH4" s="104">
        <f>SUM('الطفل السليم'!DH80)</f>
        <v>2044</v>
      </c>
      <c r="DI4" s="104">
        <f>SUM('الطفل السليم'!DI80)</f>
        <v>40</v>
      </c>
      <c r="DJ4" s="104">
        <f>SUM('الطفل السليم'!DJ80)</f>
        <v>84</v>
      </c>
      <c r="DK4" s="104">
        <f>SUM('الطفل السليم'!DK80)</f>
        <v>569</v>
      </c>
      <c r="DL4" s="104">
        <f>SUM('الطفل السليم'!DL80)</f>
        <v>99</v>
      </c>
      <c r="DM4" s="104">
        <f>SUM('الطفل السليم'!DM80)</f>
        <v>0</v>
      </c>
      <c r="DN4" s="104">
        <f>SUM('الطفل السليم'!DN80)</f>
        <v>0</v>
      </c>
      <c r="DO4" s="104">
        <f>SUM('الطفل السليم'!DO80)</f>
        <v>0</v>
      </c>
      <c r="DP4" s="19"/>
      <c r="DQ4" s="265" t="s">
        <v>40</v>
      </c>
      <c r="DR4" s="9"/>
      <c r="DS4" s="13" t="s">
        <v>18</v>
      </c>
      <c r="DT4" s="107">
        <f>SUM('الطفل السليم'!DT80)</f>
        <v>369</v>
      </c>
      <c r="DU4" s="104">
        <f>SUM('الطفل السليم'!DU80)</f>
        <v>103</v>
      </c>
      <c r="DV4" s="104">
        <f>SUM('الطفل السليم'!DV80)</f>
        <v>53</v>
      </c>
      <c r="DW4" s="104">
        <f>SUM('الطفل السليم'!DW80)</f>
        <v>4761</v>
      </c>
      <c r="DX4" s="104">
        <f>SUM('الطفل السليم'!DX80)</f>
        <v>201</v>
      </c>
      <c r="DY4" s="104">
        <f>SUM('الطفل السليم'!DY80)</f>
        <v>254</v>
      </c>
      <c r="DZ4" s="104">
        <f>SUM('الطفل السليم'!DZ80)</f>
        <v>541</v>
      </c>
      <c r="EA4" s="104">
        <f>SUM('الطفل السليم'!EA80)</f>
        <v>0</v>
      </c>
      <c r="EB4" s="104">
        <f>SUM('الطفل السليم'!EB80)</f>
        <v>0</v>
      </c>
      <c r="EC4" s="104">
        <f>SUM('الطفل السليم'!EC80)</f>
        <v>0</v>
      </c>
      <c r="ED4" s="104">
        <f>SUM('الطفل السليم'!ED80)</f>
        <v>0</v>
      </c>
      <c r="EE4" s="19"/>
      <c r="EF4" s="265" t="s">
        <v>40</v>
      </c>
      <c r="EG4" s="9"/>
      <c r="EH4" s="13" t="s">
        <v>18</v>
      </c>
      <c r="EI4" s="107">
        <f>SUM('الطفل السليم'!EI80)</f>
        <v>354</v>
      </c>
      <c r="EJ4" s="104">
        <f>SUM('الطفل السليم'!EJ80)</f>
        <v>97</v>
      </c>
      <c r="EK4" s="104">
        <f>SUM('الطفل السليم'!EK80)</f>
        <v>53</v>
      </c>
      <c r="EL4" s="104">
        <f>SUM('الطفل السليم'!EL80)</f>
        <v>4488</v>
      </c>
      <c r="EM4" s="104">
        <f>SUM('الطفل السليم'!EM80)</f>
        <v>196</v>
      </c>
      <c r="EN4" s="104">
        <f>SUM('الطفل السليم'!EN80)</f>
        <v>254</v>
      </c>
      <c r="EO4" s="104">
        <f>SUM('الطفل السليم'!EO80)</f>
        <v>2052</v>
      </c>
      <c r="EP4" s="104">
        <f>SUM('الطفل السليم'!EP80)</f>
        <v>0</v>
      </c>
      <c r="EQ4" s="104">
        <f>SUM('الطفل السليم'!EQ80)</f>
        <v>0</v>
      </c>
      <c r="ER4" s="104">
        <f>SUM('الطفل السليم'!ER80)</f>
        <v>0</v>
      </c>
      <c r="ES4" s="104">
        <f>SUM('الطفل السليم'!ES80)</f>
        <v>0</v>
      </c>
      <c r="ET4" s="19"/>
      <c r="EU4" s="265" t="s">
        <v>40</v>
      </c>
      <c r="EV4" s="9"/>
      <c r="EW4" s="13" t="s">
        <v>18</v>
      </c>
      <c r="EX4" s="107">
        <f>SUM('الطفل السليم'!EX80)</f>
        <v>0</v>
      </c>
      <c r="EY4" s="104">
        <f>SUM('الطفل السليم'!EY80)</f>
        <v>0</v>
      </c>
      <c r="EZ4" s="104">
        <f>SUM('الطفل السليم'!EZ80)</f>
        <v>0</v>
      </c>
      <c r="FA4" s="104">
        <f>SUM('الطفل السليم'!FA80)</f>
        <v>0</v>
      </c>
      <c r="FB4" s="104">
        <f>SUM('الطفل السليم'!FB80)</f>
        <v>0</v>
      </c>
      <c r="FC4" s="104">
        <f>SUM('الطفل السليم'!FC80)</f>
        <v>0</v>
      </c>
      <c r="FD4" s="104">
        <f>SUM('الطفل السليم'!FD80)</f>
        <v>0</v>
      </c>
      <c r="FE4" s="104">
        <f>SUM('الطفل السليم'!FE80)</f>
        <v>0</v>
      </c>
      <c r="FF4" s="104">
        <f>SUM('الطفل السليم'!FF80)</f>
        <v>0</v>
      </c>
      <c r="FG4" s="104">
        <f>SUM('الطفل السليم'!FG80)</f>
        <v>0</v>
      </c>
      <c r="FH4" s="104">
        <f>SUM('الطفل السليم'!FH80)</f>
        <v>0</v>
      </c>
      <c r="FI4" s="19"/>
      <c r="FJ4" s="265" t="s">
        <v>40</v>
      </c>
      <c r="FK4" s="9"/>
      <c r="FL4" s="13" t="s">
        <v>18</v>
      </c>
      <c r="FM4" s="107">
        <f>SUM('الطفل السليم'!FM80)</f>
        <v>0</v>
      </c>
      <c r="FN4" s="104">
        <f>SUM('الطفل السليم'!FN80)</f>
        <v>0</v>
      </c>
      <c r="FO4" s="104">
        <f>SUM('الطفل السليم'!FO80)</f>
        <v>0</v>
      </c>
      <c r="FP4" s="104">
        <f>SUM('الطفل السليم'!FP80)</f>
        <v>0</v>
      </c>
      <c r="FQ4" s="104">
        <f>SUM('الطفل السليم'!FQ80)</f>
        <v>0</v>
      </c>
      <c r="FR4" s="104">
        <f>SUM('الطفل السليم'!FR80)</f>
        <v>0</v>
      </c>
      <c r="FS4" s="104">
        <f>SUM('الطفل السليم'!FS80)</f>
        <v>0</v>
      </c>
      <c r="FT4" s="104">
        <f>SUM('الطفل السليم'!FT80)</f>
        <v>0</v>
      </c>
      <c r="FU4" s="104">
        <f>SUM('الطفل السليم'!FU80)</f>
        <v>0</v>
      </c>
      <c r="FV4" s="104">
        <f>SUM('الطفل السليم'!FV80)</f>
        <v>0</v>
      </c>
      <c r="FW4" s="104">
        <f>SUM('الطفل السليم'!FW80)</f>
        <v>0</v>
      </c>
      <c r="FX4" s="10"/>
      <c r="FY4" s="265" t="s">
        <v>40</v>
      </c>
      <c r="FZ4" s="9"/>
      <c r="GA4" s="13" t="s">
        <v>18</v>
      </c>
      <c r="GB4" s="107">
        <f>SUM('الطفل السليم'!GB80)</f>
        <v>0</v>
      </c>
      <c r="GC4" s="104">
        <f>SUM('الطفل السليم'!GC80)</f>
        <v>672</v>
      </c>
      <c r="GD4" s="104">
        <f>SUM('الطفل السليم'!GD80)</f>
        <v>372</v>
      </c>
      <c r="GE4" s="104">
        <f>SUM('الطفل السليم'!GE80)</f>
        <v>0</v>
      </c>
      <c r="GF4" s="104">
        <f>SUM('الطفل السليم'!GF80)</f>
        <v>0</v>
      </c>
      <c r="GG4" s="104">
        <f>SUM('الطفل السليم'!GG80)</f>
        <v>0</v>
      </c>
      <c r="GH4" s="104">
        <f>SUM('الطفل السليم'!GH80)</f>
        <v>10733</v>
      </c>
      <c r="GI4" s="104">
        <f>SUM('الطفل السليم'!GI80)</f>
        <v>150</v>
      </c>
      <c r="GJ4" s="104">
        <f>SUM('الطفل السليم'!GJ80)</f>
        <v>160</v>
      </c>
      <c r="GK4" s="104">
        <f>SUM('الطفل السليم'!GK80)</f>
        <v>0</v>
      </c>
      <c r="GL4" s="104">
        <f>SUM('الطفل السليم'!GL80)</f>
        <v>0</v>
      </c>
      <c r="GM4" s="10"/>
    </row>
    <row r="5" spans="1:195" s="11" customFormat="1" ht="18" customHeight="1" thickBot="1" x14ac:dyDescent="0.25">
      <c r="A5" s="266"/>
      <c r="B5" s="12" t="s">
        <v>17</v>
      </c>
      <c r="C5" s="14" t="s">
        <v>19</v>
      </c>
      <c r="D5" s="108">
        <f>SUM('الطفل السليم'!D81)</f>
        <v>149</v>
      </c>
      <c r="E5" s="105">
        <f>SUM('الطفل السليم'!E81)</f>
        <v>6</v>
      </c>
      <c r="F5" s="105">
        <f>SUM('الطفل السليم'!F81)</f>
        <v>12</v>
      </c>
      <c r="G5" s="105">
        <f>SUM('الطفل السليم'!G81)</f>
        <v>2617</v>
      </c>
      <c r="H5" s="105">
        <f>SUM('الطفل السليم'!H81)</f>
        <v>377</v>
      </c>
      <c r="I5" s="105">
        <f>SUM('الطفل السليم'!I81)</f>
        <v>286</v>
      </c>
      <c r="J5" s="105">
        <f>SUM('الطفل السليم'!J81)</f>
        <v>1332</v>
      </c>
      <c r="K5" s="105">
        <f>SUM('الطفل السليم'!K81)</f>
        <v>0</v>
      </c>
      <c r="L5" s="105">
        <f>SUM('الطفل السليم'!L81)</f>
        <v>0</v>
      </c>
      <c r="M5" s="105">
        <f>SUM('الطفل السليم'!M81)</f>
        <v>0</v>
      </c>
      <c r="N5" s="105">
        <f>SUM('الطفل السليم'!N81)</f>
        <v>0</v>
      </c>
      <c r="O5" s="19"/>
      <c r="P5" s="266"/>
      <c r="Q5" s="12" t="s">
        <v>17</v>
      </c>
      <c r="R5" s="14" t="s">
        <v>19</v>
      </c>
      <c r="S5" s="108">
        <f>SUM('الطفل السليم'!S81)</f>
        <v>322</v>
      </c>
      <c r="T5" s="105">
        <f>SUM('الطفل السليم'!T81)</f>
        <v>161</v>
      </c>
      <c r="U5" s="105">
        <f>SUM('الطفل السليم'!U81)</f>
        <v>3</v>
      </c>
      <c r="V5" s="105">
        <f>SUM('الطفل السليم'!V81)</f>
        <v>1669</v>
      </c>
      <c r="W5" s="105">
        <f>SUM('الطفل السليم'!W81)</f>
        <v>328</v>
      </c>
      <c r="X5" s="105">
        <f>SUM('الطفل السليم'!X81)</f>
        <v>400</v>
      </c>
      <c r="Y5" s="105">
        <f>SUM('الطفل السليم'!Y81)</f>
        <v>1487</v>
      </c>
      <c r="Z5" s="105">
        <f>SUM('الطفل السليم'!Z81)</f>
        <v>41</v>
      </c>
      <c r="AA5" s="105">
        <f>SUM('الطفل السليم'!AA81)</f>
        <v>120</v>
      </c>
      <c r="AB5" s="105">
        <f>SUM('الطفل السليم'!AB81)</f>
        <v>0</v>
      </c>
      <c r="AC5" s="105">
        <f>SUM('الطفل السليم'!AC81)</f>
        <v>0</v>
      </c>
      <c r="AD5" s="19"/>
      <c r="AE5" s="266"/>
      <c r="AF5" s="12" t="s">
        <v>17</v>
      </c>
      <c r="AG5" s="14" t="s">
        <v>19</v>
      </c>
      <c r="AH5" s="108">
        <f>SUM('الطفل السليم'!AH81)</f>
        <v>100</v>
      </c>
      <c r="AI5" s="105">
        <f>SUM('الطفل السليم'!AI81)</f>
        <v>86</v>
      </c>
      <c r="AJ5" s="105">
        <f>SUM('الطفل السليم'!AJ81)</f>
        <v>2</v>
      </c>
      <c r="AK5" s="105">
        <f>SUM('الطفل السليم'!AK81)</f>
        <v>1362</v>
      </c>
      <c r="AL5" s="105">
        <f>SUM('الطفل السليم'!AL81)</f>
        <v>266</v>
      </c>
      <c r="AM5" s="105">
        <f>SUM('الطفل السليم'!AM81)</f>
        <v>353</v>
      </c>
      <c r="AN5" s="105">
        <f>SUM('الطفل السليم'!AN81)</f>
        <v>869</v>
      </c>
      <c r="AO5" s="105">
        <f>SUM('الطفل السليم'!AO81)</f>
        <v>0</v>
      </c>
      <c r="AP5" s="105">
        <f>SUM('الطفل السليم'!AP81)</f>
        <v>0</v>
      </c>
      <c r="AQ5" s="105">
        <f>SUM('الطفل السليم'!AQ81)</f>
        <v>0</v>
      </c>
      <c r="AR5" s="105">
        <f>SUM('الطفل السليم'!AR81)</f>
        <v>0</v>
      </c>
      <c r="AS5" s="19"/>
      <c r="AT5" s="266"/>
      <c r="AU5" s="12" t="s">
        <v>17</v>
      </c>
      <c r="AV5" s="14" t="s">
        <v>19</v>
      </c>
      <c r="AW5" s="108">
        <f>SUM('الطفل السليم'!AW81)</f>
        <v>275</v>
      </c>
      <c r="AX5" s="105">
        <f>SUM('الطفل السليم'!AX81)</f>
        <v>54</v>
      </c>
      <c r="AY5" s="105">
        <f>SUM('الطفل السليم'!AY81)</f>
        <v>5</v>
      </c>
      <c r="AZ5" s="105">
        <f>SUM('الطفل السليم'!AZ81)</f>
        <v>1040</v>
      </c>
      <c r="BA5" s="105">
        <f>SUM('الطفل السليم'!BA81)</f>
        <v>251</v>
      </c>
      <c r="BB5" s="105">
        <f>SUM('الطفل السليم'!BB81)</f>
        <v>209</v>
      </c>
      <c r="BC5" s="105">
        <f>SUM('الطفل السليم'!BC81)</f>
        <v>736</v>
      </c>
      <c r="BD5" s="105">
        <f>SUM('الطفل السليم'!BD81)</f>
        <v>0</v>
      </c>
      <c r="BE5" s="105">
        <f>SUM('الطفل السليم'!BE81)</f>
        <v>0</v>
      </c>
      <c r="BF5" s="105">
        <f>SUM('الطفل السليم'!BF81)</f>
        <v>0</v>
      </c>
      <c r="BG5" s="105">
        <f>SUM('الطفل السليم'!BG81)</f>
        <v>0</v>
      </c>
      <c r="BH5" s="19"/>
      <c r="BI5" s="266"/>
      <c r="BJ5" s="12" t="s">
        <v>17</v>
      </c>
      <c r="BK5" s="14" t="s">
        <v>19</v>
      </c>
      <c r="BL5" s="108">
        <f>SUM('الطفل السليم'!BL81)</f>
        <v>276</v>
      </c>
      <c r="BM5" s="105">
        <f>SUM('الطفل السليم'!BM81)</f>
        <v>55</v>
      </c>
      <c r="BN5" s="105">
        <f>SUM('الطفل السليم'!BN81)</f>
        <v>5</v>
      </c>
      <c r="BO5" s="105">
        <f>SUM('الطفل السليم'!BO81)</f>
        <v>1040</v>
      </c>
      <c r="BP5" s="105">
        <f>SUM('الطفل السليم'!BP81)</f>
        <v>249</v>
      </c>
      <c r="BQ5" s="105">
        <f>SUM('الطفل السليم'!BQ81)</f>
        <v>209</v>
      </c>
      <c r="BR5" s="105">
        <f>SUM('الطفل السليم'!BR81)</f>
        <v>764</v>
      </c>
      <c r="BS5" s="105">
        <f>SUM('الطفل السليم'!BS81)</f>
        <v>0</v>
      </c>
      <c r="BT5" s="105">
        <f>SUM('الطفل السليم'!BT81)</f>
        <v>0</v>
      </c>
      <c r="BU5" s="105">
        <f>SUM('الطفل السليم'!BU81)</f>
        <v>0</v>
      </c>
      <c r="BV5" s="105">
        <f>SUM('الطفل السليم'!BV81)</f>
        <v>0</v>
      </c>
      <c r="BW5" s="19"/>
      <c r="BX5" s="266"/>
      <c r="BY5" s="12" t="s">
        <v>17</v>
      </c>
      <c r="BZ5" s="14" t="s">
        <v>19</v>
      </c>
      <c r="CA5" s="108">
        <f>SUM('الطفل السليم'!CA81)</f>
        <v>280</v>
      </c>
      <c r="CB5" s="105">
        <f>SUM('الطفل السليم'!CB81)</f>
        <v>39</v>
      </c>
      <c r="CC5" s="105">
        <f>SUM('الطفل السليم'!CC81)</f>
        <v>0</v>
      </c>
      <c r="CD5" s="105">
        <f>SUM('الطفل السليم'!CD81)</f>
        <v>855</v>
      </c>
      <c r="CE5" s="105">
        <f>SUM('الطفل السليم'!CE81)</f>
        <v>226</v>
      </c>
      <c r="CF5" s="105">
        <f>SUM('الطفل السليم'!CF81)</f>
        <v>145</v>
      </c>
      <c r="CG5" s="105">
        <f>SUM('الطفل السليم'!CG81)</f>
        <v>503</v>
      </c>
      <c r="CH5" s="105">
        <f>SUM('الطفل السليم'!CH81)</f>
        <v>0</v>
      </c>
      <c r="CI5" s="105">
        <f>SUM('الطفل السليم'!CI81)</f>
        <v>0</v>
      </c>
      <c r="CJ5" s="105">
        <f>SUM('الطفل السليم'!CJ81)</f>
        <v>0</v>
      </c>
      <c r="CK5" s="105">
        <f>SUM('الطفل السليم'!CK81)</f>
        <v>0</v>
      </c>
      <c r="CL5" s="19"/>
      <c r="CM5" s="266"/>
      <c r="CN5" s="12" t="s">
        <v>17</v>
      </c>
      <c r="CO5" s="14" t="s">
        <v>19</v>
      </c>
      <c r="CP5" s="108">
        <f>SUM('الطفل السليم'!CP81)</f>
        <v>70</v>
      </c>
      <c r="CQ5" s="105">
        <f>SUM('الطفل السليم'!CQ81)</f>
        <v>79</v>
      </c>
      <c r="CR5" s="105">
        <f>SUM('الطفل السليم'!CR81)</f>
        <v>1</v>
      </c>
      <c r="CS5" s="105">
        <f>SUM('الطفل السليم'!CS81)</f>
        <v>2808</v>
      </c>
      <c r="CT5" s="105">
        <f>SUM('الطفل السليم'!CT81)</f>
        <v>343</v>
      </c>
      <c r="CU5" s="105">
        <f>SUM('الطفل السليم'!CU81)</f>
        <v>228</v>
      </c>
      <c r="CV5" s="105">
        <f>SUM('الطفل السليم'!CV81)</f>
        <v>1785</v>
      </c>
      <c r="CW5" s="105">
        <f>SUM('الطفل السليم'!CW81)</f>
        <v>0</v>
      </c>
      <c r="CX5" s="105">
        <f>SUM('الطفل السليم'!CX81)</f>
        <v>0</v>
      </c>
      <c r="CY5" s="105">
        <f>SUM('الطفل السليم'!CY81)</f>
        <v>0</v>
      </c>
      <c r="CZ5" s="105">
        <f>SUM('الطفل السليم'!CZ81)</f>
        <v>0</v>
      </c>
      <c r="DA5" s="19"/>
      <c r="DB5" s="266"/>
      <c r="DC5" s="12" t="s">
        <v>17</v>
      </c>
      <c r="DD5" s="14" t="s">
        <v>19</v>
      </c>
      <c r="DE5" s="108">
        <f>SUM('الطفل السليم'!DE81)</f>
        <v>297</v>
      </c>
      <c r="DF5" s="105">
        <f>SUM('الطفل السليم'!DF81)</f>
        <v>68</v>
      </c>
      <c r="DG5" s="105">
        <f>SUM('الطفل السليم'!DG81)</f>
        <v>102</v>
      </c>
      <c r="DH5" s="105">
        <f>SUM('الطفل السليم'!DH81)</f>
        <v>2106</v>
      </c>
      <c r="DI5" s="105">
        <f>SUM('الطفل السليم'!DI81)</f>
        <v>50</v>
      </c>
      <c r="DJ5" s="105">
        <f>SUM('الطفل السليم'!DJ81)</f>
        <v>73</v>
      </c>
      <c r="DK5" s="105">
        <f>SUM('الطفل السليم'!DK81)</f>
        <v>563</v>
      </c>
      <c r="DL5" s="105">
        <f>SUM('الطفل السليم'!DL81)</f>
        <v>100</v>
      </c>
      <c r="DM5" s="105">
        <f>SUM('الطفل السليم'!DM81)</f>
        <v>0</v>
      </c>
      <c r="DN5" s="105">
        <f>SUM('الطفل السليم'!DN81)</f>
        <v>0</v>
      </c>
      <c r="DO5" s="105">
        <f>SUM('الطفل السليم'!DO81)</f>
        <v>0</v>
      </c>
      <c r="DP5" s="19"/>
      <c r="DQ5" s="266"/>
      <c r="DR5" s="12" t="s">
        <v>17</v>
      </c>
      <c r="DS5" s="14" t="s">
        <v>19</v>
      </c>
      <c r="DT5" s="108">
        <f>SUM('الطفل السليم'!DT81)</f>
        <v>325</v>
      </c>
      <c r="DU5" s="105">
        <f>SUM('الطفل السليم'!DU81)</f>
        <v>57</v>
      </c>
      <c r="DV5" s="105">
        <f>SUM('الطفل السليم'!DV81)</f>
        <v>44</v>
      </c>
      <c r="DW5" s="105">
        <f>SUM('الطفل السليم'!DW81)</f>
        <v>5040</v>
      </c>
      <c r="DX5" s="105">
        <f>SUM('الطفل السليم'!DX81)</f>
        <v>160</v>
      </c>
      <c r="DY5" s="105">
        <f>SUM('الطفل السليم'!DY81)</f>
        <v>264</v>
      </c>
      <c r="DZ5" s="105">
        <f>SUM('الطفل السليم'!DZ81)</f>
        <v>441</v>
      </c>
      <c r="EA5" s="105">
        <f>SUM('الطفل السليم'!EA81)</f>
        <v>0</v>
      </c>
      <c r="EB5" s="105">
        <f>SUM('الطفل السليم'!EB81)</f>
        <v>0</v>
      </c>
      <c r="EC5" s="105">
        <f>SUM('الطفل السليم'!EC81)</f>
        <v>0</v>
      </c>
      <c r="ED5" s="105">
        <f>SUM('الطفل السليم'!ED81)</f>
        <v>0</v>
      </c>
      <c r="EE5" s="19"/>
      <c r="EF5" s="266"/>
      <c r="EG5" s="12" t="s">
        <v>17</v>
      </c>
      <c r="EH5" s="14" t="s">
        <v>19</v>
      </c>
      <c r="EI5" s="108">
        <f>SUM('الطفل السليم'!EI81)</f>
        <v>311</v>
      </c>
      <c r="EJ5" s="105">
        <f>SUM('الطفل السليم'!EJ81)</f>
        <v>49</v>
      </c>
      <c r="EK5" s="105">
        <f>SUM('الطفل السليم'!EK81)</f>
        <v>44</v>
      </c>
      <c r="EL5" s="105">
        <f>SUM('الطفل السليم'!EL81)</f>
        <v>4631</v>
      </c>
      <c r="EM5" s="105">
        <f>SUM('الطفل السليم'!EM81)</f>
        <v>140</v>
      </c>
      <c r="EN5" s="105">
        <f>SUM('الطفل السليم'!EN81)</f>
        <v>261</v>
      </c>
      <c r="EO5" s="105">
        <f>SUM('الطفل السليم'!EO81)</f>
        <v>1495</v>
      </c>
      <c r="EP5" s="105">
        <f>SUM('الطفل السليم'!EP81)</f>
        <v>0</v>
      </c>
      <c r="EQ5" s="105">
        <f>SUM('الطفل السليم'!EQ81)</f>
        <v>0</v>
      </c>
      <c r="ER5" s="105">
        <f>SUM('الطفل السليم'!ER81)</f>
        <v>0</v>
      </c>
      <c r="ES5" s="105">
        <f>SUM('الطفل السليم'!ES81)</f>
        <v>0</v>
      </c>
      <c r="ET5" s="19"/>
      <c r="EU5" s="266"/>
      <c r="EV5" s="12" t="s">
        <v>17</v>
      </c>
      <c r="EW5" s="14" t="s">
        <v>19</v>
      </c>
      <c r="EX5" s="108">
        <f>SUM('الطفل السليم'!EX81)</f>
        <v>0</v>
      </c>
      <c r="EY5" s="105">
        <f>SUM('الطفل السليم'!EY81)</f>
        <v>0</v>
      </c>
      <c r="EZ5" s="105">
        <f>SUM('الطفل السليم'!EZ81)</f>
        <v>0</v>
      </c>
      <c r="FA5" s="105">
        <f>SUM('الطفل السليم'!FA81)</f>
        <v>0</v>
      </c>
      <c r="FB5" s="105">
        <f>SUM('الطفل السليم'!FB81)</f>
        <v>0</v>
      </c>
      <c r="FC5" s="105">
        <f>SUM('الطفل السليم'!FC81)</f>
        <v>0</v>
      </c>
      <c r="FD5" s="105">
        <f>SUM('الطفل السليم'!FD81)</f>
        <v>0</v>
      </c>
      <c r="FE5" s="105">
        <f>SUM('الطفل السليم'!FE81)</f>
        <v>0</v>
      </c>
      <c r="FF5" s="105">
        <f>SUM('الطفل السليم'!FF81)</f>
        <v>0</v>
      </c>
      <c r="FG5" s="105">
        <f>SUM('الطفل السليم'!FG81)</f>
        <v>0</v>
      </c>
      <c r="FH5" s="105">
        <f>SUM('الطفل السليم'!FH81)</f>
        <v>0</v>
      </c>
      <c r="FI5" s="19"/>
      <c r="FJ5" s="266"/>
      <c r="FK5" s="12" t="s">
        <v>17</v>
      </c>
      <c r="FL5" s="14" t="s">
        <v>19</v>
      </c>
      <c r="FM5" s="108">
        <f>SUM('الطفل السليم'!FM81)</f>
        <v>0</v>
      </c>
      <c r="FN5" s="105">
        <f>SUM('الطفل السليم'!FN81)</f>
        <v>0</v>
      </c>
      <c r="FO5" s="105">
        <f>SUM('الطفل السليم'!FO81)</f>
        <v>0</v>
      </c>
      <c r="FP5" s="105">
        <f>SUM('الطفل السليم'!FP81)</f>
        <v>0</v>
      </c>
      <c r="FQ5" s="105">
        <f>SUM('الطفل السليم'!FQ81)</f>
        <v>0</v>
      </c>
      <c r="FR5" s="105">
        <f>SUM('الطفل السليم'!FR81)</f>
        <v>0</v>
      </c>
      <c r="FS5" s="105">
        <f>SUM('الطفل السليم'!FS81)</f>
        <v>0</v>
      </c>
      <c r="FT5" s="105">
        <f>SUM('الطفل السليم'!FT81)</f>
        <v>0</v>
      </c>
      <c r="FU5" s="105">
        <f>SUM('الطفل السليم'!FU81)</f>
        <v>0</v>
      </c>
      <c r="FV5" s="105">
        <f>SUM('الطفل السليم'!FV81)</f>
        <v>0</v>
      </c>
      <c r="FW5" s="105">
        <f>SUM('الطفل السليم'!FW81)</f>
        <v>0</v>
      </c>
      <c r="FX5" s="10"/>
      <c r="FY5" s="266"/>
      <c r="FZ5" s="12" t="s">
        <v>17</v>
      </c>
      <c r="GA5" s="14" t="s">
        <v>19</v>
      </c>
      <c r="GB5" s="108">
        <f>SUM('الطفل السليم'!GB81)</f>
        <v>0</v>
      </c>
      <c r="GC5" s="105">
        <f>SUM('الطفل السليم'!GC81)</f>
        <v>654</v>
      </c>
      <c r="GD5" s="105">
        <f>SUM('الطفل السليم'!GD81)</f>
        <v>218</v>
      </c>
      <c r="GE5" s="105">
        <f>SUM('الطفل السليم'!GE81)</f>
        <v>0</v>
      </c>
      <c r="GF5" s="105">
        <f>SUM('الطفل السليم'!GF81)</f>
        <v>0</v>
      </c>
      <c r="GG5" s="105">
        <f>SUM('الطفل السليم'!GG81)</f>
        <v>0</v>
      </c>
      <c r="GH5" s="105">
        <f>SUM('الطفل السليم'!GH81)</f>
        <v>9975</v>
      </c>
      <c r="GI5" s="105">
        <f>SUM('الطفل السليم'!GI81)</f>
        <v>141</v>
      </c>
      <c r="GJ5" s="105">
        <f>SUM('الطفل السليم'!GJ81)</f>
        <v>120</v>
      </c>
      <c r="GK5" s="105">
        <f>SUM('الطفل السليم'!GK81)</f>
        <v>0</v>
      </c>
      <c r="GL5" s="105">
        <f>SUM('الطفل السليم'!GL81)</f>
        <v>0</v>
      </c>
      <c r="GM5" s="10"/>
    </row>
    <row r="6" spans="1:195" s="11" customFormat="1" ht="18" customHeight="1" x14ac:dyDescent="0.2">
      <c r="A6" s="266"/>
      <c r="B6" s="9" t="s">
        <v>20</v>
      </c>
      <c r="C6" s="13" t="s">
        <v>18</v>
      </c>
      <c r="D6" s="109">
        <f>SUM('الطفل السليم'!D82)</f>
        <v>6</v>
      </c>
      <c r="E6" s="106">
        <f>SUM('الطفل السليم'!E82)</f>
        <v>0</v>
      </c>
      <c r="F6" s="106">
        <f>SUM('الطفل السليم'!F82)</f>
        <v>0</v>
      </c>
      <c r="G6" s="106">
        <f>SUM('الطفل السليم'!G82)</f>
        <v>12</v>
      </c>
      <c r="H6" s="106">
        <f>SUM('الطفل السليم'!H82)</f>
        <v>54</v>
      </c>
      <c r="I6" s="106">
        <f>SUM('الطفل السليم'!I82)</f>
        <v>40</v>
      </c>
      <c r="J6" s="106">
        <f>SUM('الطفل السليم'!J82)</f>
        <v>449</v>
      </c>
      <c r="K6" s="106">
        <f>SUM('الطفل السليم'!K82)</f>
        <v>0</v>
      </c>
      <c r="L6" s="106">
        <f>SUM('الطفل السليم'!L82)</f>
        <v>0</v>
      </c>
      <c r="M6" s="106">
        <f>SUM('الطفل السليم'!M82)</f>
        <v>0</v>
      </c>
      <c r="N6" s="106">
        <f>SUM('الطفل السليم'!N82)</f>
        <v>0</v>
      </c>
      <c r="O6" s="19"/>
      <c r="P6" s="266"/>
      <c r="Q6" s="9" t="s">
        <v>20</v>
      </c>
      <c r="R6" s="13" t="s">
        <v>18</v>
      </c>
      <c r="S6" s="109">
        <f>SUM('الطفل السليم'!S82)</f>
        <v>367</v>
      </c>
      <c r="T6" s="106">
        <f>SUM('الطفل السليم'!T82)</f>
        <v>127</v>
      </c>
      <c r="U6" s="106">
        <f>SUM('الطفل السليم'!U82)</f>
        <v>5</v>
      </c>
      <c r="V6" s="106">
        <f>SUM('الطفل السليم'!V82)</f>
        <v>172</v>
      </c>
      <c r="W6" s="106">
        <f>SUM('الطفل السليم'!W82)</f>
        <v>6</v>
      </c>
      <c r="X6" s="106">
        <f>SUM('الطفل السليم'!X82)</f>
        <v>0</v>
      </c>
      <c r="Y6" s="106">
        <f>SUM('الطفل السليم'!Y82)</f>
        <v>709</v>
      </c>
      <c r="Z6" s="106">
        <f>SUM('الطفل السليم'!Z82)</f>
        <v>0</v>
      </c>
      <c r="AA6" s="106">
        <f>SUM('الطفل السليم'!AA82)</f>
        <v>179</v>
      </c>
      <c r="AB6" s="106">
        <f>SUM('الطفل السليم'!AB82)</f>
        <v>0</v>
      </c>
      <c r="AC6" s="106">
        <f>SUM('الطفل السليم'!AC82)</f>
        <v>0</v>
      </c>
      <c r="AD6" s="19"/>
      <c r="AE6" s="266"/>
      <c r="AF6" s="9" t="s">
        <v>20</v>
      </c>
      <c r="AG6" s="13" t="s">
        <v>18</v>
      </c>
      <c r="AH6" s="109">
        <f>SUM('الطفل السليم'!AH82)</f>
        <v>3</v>
      </c>
      <c r="AI6" s="106">
        <f>SUM('الطفل السليم'!AI82)</f>
        <v>2</v>
      </c>
      <c r="AJ6" s="106">
        <f>SUM('الطفل السليم'!AJ82)</f>
        <v>0</v>
      </c>
      <c r="AK6" s="106">
        <f>SUM('الطفل السليم'!AK82)</f>
        <v>18</v>
      </c>
      <c r="AL6" s="106">
        <f>SUM('الطفل السليم'!AL82)</f>
        <v>2</v>
      </c>
      <c r="AM6" s="106">
        <f>SUM('الطفل السليم'!AM82)</f>
        <v>101</v>
      </c>
      <c r="AN6" s="106">
        <f>SUM('الطفل السليم'!AN82)</f>
        <v>369</v>
      </c>
      <c r="AO6" s="106">
        <f>SUM('الطفل السليم'!AO82)</f>
        <v>0</v>
      </c>
      <c r="AP6" s="106">
        <f>SUM('الطفل السليم'!AP82)</f>
        <v>0</v>
      </c>
      <c r="AQ6" s="106">
        <f>SUM('الطفل السليم'!AQ82)</f>
        <v>0</v>
      </c>
      <c r="AR6" s="106">
        <f>SUM('الطفل السليم'!AR82)</f>
        <v>0</v>
      </c>
      <c r="AS6" s="19"/>
      <c r="AT6" s="266"/>
      <c r="AU6" s="9" t="s">
        <v>20</v>
      </c>
      <c r="AV6" s="13" t="s">
        <v>18</v>
      </c>
      <c r="AW6" s="109">
        <f>SUM('الطفل السليم'!AW82)</f>
        <v>0</v>
      </c>
      <c r="AX6" s="106">
        <f>SUM('الطفل السليم'!AX82)</f>
        <v>0</v>
      </c>
      <c r="AY6" s="106">
        <f>SUM('الطفل السليم'!AY82)</f>
        <v>0</v>
      </c>
      <c r="AZ6" s="106">
        <f>SUM('الطفل السليم'!AZ82)</f>
        <v>0</v>
      </c>
      <c r="BA6" s="106">
        <f>SUM('الطفل السليم'!BA82)</f>
        <v>0</v>
      </c>
      <c r="BB6" s="106">
        <f>SUM('الطفل السليم'!BB82)</f>
        <v>0</v>
      </c>
      <c r="BC6" s="106">
        <f>SUM('الطفل السليم'!BC82)</f>
        <v>177</v>
      </c>
      <c r="BD6" s="106">
        <f>SUM('الطفل السليم'!BD82)</f>
        <v>0</v>
      </c>
      <c r="BE6" s="106">
        <f>SUM('الطفل السليم'!BE82)</f>
        <v>0</v>
      </c>
      <c r="BF6" s="106">
        <f>SUM('الطفل السليم'!BF82)</f>
        <v>0</v>
      </c>
      <c r="BG6" s="106">
        <f>SUM('الطفل السليم'!BG82)</f>
        <v>0</v>
      </c>
      <c r="BH6" s="19"/>
      <c r="BI6" s="266"/>
      <c r="BJ6" s="9" t="s">
        <v>20</v>
      </c>
      <c r="BK6" s="13" t="s">
        <v>18</v>
      </c>
      <c r="BL6" s="109">
        <f>SUM('الطفل السليم'!BL82)</f>
        <v>0</v>
      </c>
      <c r="BM6" s="106">
        <f>SUM('الطفل السليم'!BM82)</f>
        <v>0</v>
      </c>
      <c r="BN6" s="106">
        <f>SUM('الطفل السليم'!BN82)</f>
        <v>0</v>
      </c>
      <c r="BO6" s="106">
        <f>SUM('الطفل السليم'!BO82)</f>
        <v>0</v>
      </c>
      <c r="BP6" s="106">
        <f>SUM('الطفل السليم'!BP82)</f>
        <v>0</v>
      </c>
      <c r="BQ6" s="106">
        <f>SUM('الطفل السليم'!BQ82)</f>
        <v>0</v>
      </c>
      <c r="BR6" s="106">
        <f>SUM('الطفل السليم'!BR82)</f>
        <v>283</v>
      </c>
      <c r="BS6" s="106">
        <f>SUM('الطفل السليم'!BS82)</f>
        <v>0</v>
      </c>
      <c r="BT6" s="106">
        <f>SUM('الطفل السليم'!BT82)</f>
        <v>0</v>
      </c>
      <c r="BU6" s="106">
        <f>SUM('الطفل السليم'!BU82)</f>
        <v>0</v>
      </c>
      <c r="BV6" s="106">
        <f>SUM('الطفل السليم'!BV82)</f>
        <v>0</v>
      </c>
      <c r="BW6" s="19"/>
      <c r="BX6" s="266"/>
      <c r="BY6" s="9" t="s">
        <v>20</v>
      </c>
      <c r="BZ6" s="13" t="s">
        <v>18</v>
      </c>
      <c r="CA6" s="109">
        <f>SUM('الطفل السليم'!CA82)</f>
        <v>0</v>
      </c>
      <c r="CB6" s="106">
        <f>SUM('الطفل السليم'!CB82)</f>
        <v>0</v>
      </c>
      <c r="CC6" s="106">
        <f>SUM('الطفل السليم'!CC82)</f>
        <v>0</v>
      </c>
      <c r="CD6" s="106">
        <f>SUM('الطفل السليم'!CD82)</f>
        <v>0</v>
      </c>
      <c r="CE6" s="106">
        <f>SUM('الطفل السليم'!CE82)</f>
        <v>0</v>
      </c>
      <c r="CF6" s="106">
        <f>SUM('الطفل السليم'!CF82)</f>
        <v>0</v>
      </c>
      <c r="CG6" s="106">
        <f>SUM('الطفل السليم'!CG82)</f>
        <v>113</v>
      </c>
      <c r="CH6" s="106">
        <f>SUM('الطفل السليم'!CH82)</f>
        <v>0</v>
      </c>
      <c r="CI6" s="106">
        <f>SUM('الطفل السليم'!CI82)</f>
        <v>0</v>
      </c>
      <c r="CJ6" s="106">
        <f>SUM('الطفل السليم'!CJ82)</f>
        <v>0</v>
      </c>
      <c r="CK6" s="106">
        <f>SUM('الطفل السليم'!CK82)</f>
        <v>0</v>
      </c>
      <c r="CL6" s="19"/>
      <c r="CM6" s="266"/>
      <c r="CN6" s="9" t="s">
        <v>20</v>
      </c>
      <c r="CO6" s="13" t="s">
        <v>18</v>
      </c>
      <c r="CP6" s="109">
        <f>SUM('الطفل السليم'!CP82)</f>
        <v>12</v>
      </c>
      <c r="CQ6" s="106">
        <f>SUM('الطفل السليم'!CQ82)</f>
        <v>13</v>
      </c>
      <c r="CR6" s="106">
        <f>SUM('الطفل السليم'!CR82)</f>
        <v>1</v>
      </c>
      <c r="CS6" s="106">
        <f>SUM('الطفل السليم'!CS82)</f>
        <v>30</v>
      </c>
      <c r="CT6" s="106">
        <f>SUM('الطفل السليم'!CT82)</f>
        <v>1</v>
      </c>
      <c r="CU6" s="106">
        <f>SUM('الطفل السليم'!CU82)</f>
        <v>0</v>
      </c>
      <c r="CV6" s="106">
        <f>SUM('الطفل السليم'!CV82)</f>
        <v>697</v>
      </c>
      <c r="CW6" s="106">
        <f>SUM('الطفل السليم'!CW82)</f>
        <v>0</v>
      </c>
      <c r="CX6" s="106">
        <f>SUM('الطفل السليم'!CX82)</f>
        <v>0</v>
      </c>
      <c r="CY6" s="106">
        <f>SUM('الطفل السليم'!CY82)</f>
        <v>0</v>
      </c>
      <c r="CZ6" s="106">
        <f>SUM('الطفل السليم'!CZ82)</f>
        <v>0</v>
      </c>
      <c r="DA6" s="19"/>
      <c r="DB6" s="266"/>
      <c r="DC6" s="9" t="s">
        <v>20</v>
      </c>
      <c r="DD6" s="13" t="s">
        <v>18</v>
      </c>
      <c r="DE6" s="109">
        <f>SUM('الطفل السليم'!DE82)</f>
        <v>4</v>
      </c>
      <c r="DF6" s="106">
        <f>SUM('الطفل السليم'!DF82)</f>
        <v>0</v>
      </c>
      <c r="DG6" s="106">
        <f>SUM('الطفل السليم'!DG82)</f>
        <v>3</v>
      </c>
      <c r="DH6" s="106">
        <f>SUM('الطفل السليم'!DH82)</f>
        <v>21</v>
      </c>
      <c r="DI6" s="106">
        <f>SUM('الطفل السليم'!DI82)</f>
        <v>0</v>
      </c>
      <c r="DJ6" s="106">
        <f>SUM('الطفل السليم'!DJ82)</f>
        <v>0</v>
      </c>
      <c r="DK6" s="106">
        <f>SUM('الطفل السليم'!DK82)</f>
        <v>131</v>
      </c>
      <c r="DL6" s="106">
        <f>SUM('الطفل السليم'!DL82)</f>
        <v>9</v>
      </c>
      <c r="DM6" s="106">
        <f>SUM('الطفل السليم'!DM82)</f>
        <v>0</v>
      </c>
      <c r="DN6" s="106">
        <f>SUM('الطفل السليم'!DN82)</f>
        <v>0</v>
      </c>
      <c r="DO6" s="106">
        <f>SUM('الطفل السليم'!DO82)</f>
        <v>0</v>
      </c>
      <c r="DP6" s="19"/>
      <c r="DQ6" s="266"/>
      <c r="DR6" s="9" t="s">
        <v>20</v>
      </c>
      <c r="DS6" s="13" t="s">
        <v>18</v>
      </c>
      <c r="DT6" s="109">
        <f>SUM('الطفل السليم'!DT82)</f>
        <v>106</v>
      </c>
      <c r="DU6" s="106">
        <f>SUM('الطفل السليم'!DU82)</f>
        <v>48</v>
      </c>
      <c r="DV6" s="106">
        <f>SUM('الطفل السليم'!DV82)</f>
        <v>36</v>
      </c>
      <c r="DW6" s="106">
        <f>SUM('الطفل السليم'!DW82)</f>
        <v>183</v>
      </c>
      <c r="DX6" s="106">
        <f>SUM('الطفل السليم'!DX82)</f>
        <v>45</v>
      </c>
      <c r="DY6" s="106">
        <f>SUM('الطفل السليم'!DY82)</f>
        <v>37</v>
      </c>
      <c r="DZ6" s="106">
        <f>SUM('الطفل السليم'!DZ82)</f>
        <v>78</v>
      </c>
      <c r="EA6" s="106">
        <f>SUM('الطفل السليم'!EA82)</f>
        <v>0</v>
      </c>
      <c r="EB6" s="106">
        <f>SUM('الطفل السليم'!EB82)</f>
        <v>0</v>
      </c>
      <c r="EC6" s="106">
        <f>SUM('الطفل السليم'!EC82)</f>
        <v>0</v>
      </c>
      <c r="ED6" s="106">
        <f>SUM('الطفل السليم'!ED82)</f>
        <v>0</v>
      </c>
      <c r="EE6" s="19"/>
      <c r="EF6" s="266"/>
      <c r="EG6" s="9" t="s">
        <v>20</v>
      </c>
      <c r="EH6" s="13" t="s">
        <v>18</v>
      </c>
      <c r="EI6" s="109">
        <f>SUM('الطفل السليم'!EI82)</f>
        <v>106</v>
      </c>
      <c r="EJ6" s="106">
        <f>SUM('الطفل السليم'!EJ82)</f>
        <v>48</v>
      </c>
      <c r="EK6" s="106">
        <f>SUM('الطفل السليم'!EK82)</f>
        <v>36</v>
      </c>
      <c r="EL6" s="106">
        <f>SUM('الطفل السليم'!EL82)</f>
        <v>183</v>
      </c>
      <c r="EM6" s="106">
        <f>SUM('الطفل السليم'!EM82)</f>
        <v>45</v>
      </c>
      <c r="EN6" s="106">
        <f>SUM('الطفل السليم'!EN82)</f>
        <v>37</v>
      </c>
      <c r="EO6" s="106">
        <f>SUM('الطفل السليم'!EO82)</f>
        <v>399</v>
      </c>
      <c r="EP6" s="106">
        <f>SUM('الطفل السليم'!EP82)</f>
        <v>0</v>
      </c>
      <c r="EQ6" s="106">
        <f>SUM('الطفل السليم'!EQ82)</f>
        <v>0</v>
      </c>
      <c r="ER6" s="106">
        <f>SUM('الطفل السليم'!ER82)</f>
        <v>0</v>
      </c>
      <c r="ES6" s="106">
        <f>SUM('الطفل السليم'!ES82)</f>
        <v>0</v>
      </c>
      <c r="ET6" s="19"/>
      <c r="EU6" s="266"/>
      <c r="EV6" s="9" t="s">
        <v>20</v>
      </c>
      <c r="EW6" s="13" t="s">
        <v>18</v>
      </c>
      <c r="EX6" s="109">
        <f>SUM('الطفل السليم'!EX82)</f>
        <v>0</v>
      </c>
      <c r="EY6" s="106">
        <f>SUM('الطفل السليم'!EY82)</f>
        <v>0</v>
      </c>
      <c r="EZ6" s="106">
        <f>SUM('الطفل السليم'!EZ82)</f>
        <v>0</v>
      </c>
      <c r="FA6" s="106">
        <f>SUM('الطفل السليم'!FA82)</f>
        <v>0</v>
      </c>
      <c r="FB6" s="106">
        <f>SUM('الطفل السليم'!FB82)</f>
        <v>0</v>
      </c>
      <c r="FC6" s="106">
        <f>SUM('الطفل السليم'!FC82)</f>
        <v>0</v>
      </c>
      <c r="FD6" s="106">
        <f>SUM('الطفل السليم'!FD82)</f>
        <v>0</v>
      </c>
      <c r="FE6" s="106">
        <f>SUM('الطفل السليم'!FE82)</f>
        <v>0</v>
      </c>
      <c r="FF6" s="106">
        <f>SUM('الطفل السليم'!FF82)</f>
        <v>0</v>
      </c>
      <c r="FG6" s="106">
        <f>SUM('الطفل السليم'!FG82)</f>
        <v>0</v>
      </c>
      <c r="FH6" s="106">
        <f>SUM('الطفل السليم'!FH82)</f>
        <v>0</v>
      </c>
      <c r="FI6" s="19"/>
      <c r="FJ6" s="266"/>
      <c r="FK6" s="9" t="s">
        <v>20</v>
      </c>
      <c r="FL6" s="13" t="s">
        <v>18</v>
      </c>
      <c r="FM6" s="109">
        <f>SUM('الطفل السليم'!FM82)</f>
        <v>0</v>
      </c>
      <c r="FN6" s="106">
        <f>SUM('الطفل السليم'!FN82)</f>
        <v>0</v>
      </c>
      <c r="FO6" s="106">
        <f>SUM('الطفل السليم'!FO82)</f>
        <v>0</v>
      </c>
      <c r="FP6" s="106">
        <f>SUM('الطفل السليم'!FP82)</f>
        <v>0</v>
      </c>
      <c r="FQ6" s="106">
        <f>SUM('الطفل السليم'!FQ82)</f>
        <v>0</v>
      </c>
      <c r="FR6" s="106">
        <f>SUM('الطفل السليم'!FR82)</f>
        <v>0</v>
      </c>
      <c r="FS6" s="106">
        <f>SUM('الطفل السليم'!FS82)</f>
        <v>0</v>
      </c>
      <c r="FT6" s="106">
        <f>SUM('الطفل السليم'!FT82)</f>
        <v>0</v>
      </c>
      <c r="FU6" s="106">
        <f>SUM('الطفل السليم'!FU82)</f>
        <v>0</v>
      </c>
      <c r="FV6" s="106">
        <f>SUM('الطفل السليم'!FV82)</f>
        <v>0</v>
      </c>
      <c r="FW6" s="106">
        <f>SUM('الطفل السليم'!FW82)</f>
        <v>0</v>
      </c>
      <c r="FX6" s="10"/>
      <c r="FY6" s="266"/>
      <c r="FZ6" s="9" t="s">
        <v>20</v>
      </c>
      <c r="GA6" s="13" t="s">
        <v>18</v>
      </c>
      <c r="GB6" s="109">
        <f>SUM('الطفل السليم'!GB82)</f>
        <v>0</v>
      </c>
      <c r="GC6" s="106">
        <f>SUM('الطفل السليم'!GC82)</f>
        <v>238</v>
      </c>
      <c r="GD6" s="106">
        <f>SUM('الطفل السليم'!GD82)</f>
        <v>81</v>
      </c>
      <c r="GE6" s="106">
        <f>SUM('الطفل السليم'!GE82)</f>
        <v>0</v>
      </c>
      <c r="GF6" s="106">
        <f>SUM('الطفل السليم'!GF82)</f>
        <v>0</v>
      </c>
      <c r="GG6" s="106">
        <f>SUM('الطفل السليم'!GG82)</f>
        <v>0</v>
      </c>
      <c r="GH6" s="106">
        <f>SUM('الطفل السليم'!GH82)</f>
        <v>3405</v>
      </c>
      <c r="GI6" s="106">
        <f>SUM('الطفل السليم'!GI82)</f>
        <v>9</v>
      </c>
      <c r="GJ6" s="106">
        <f>SUM('الطفل السليم'!GJ82)</f>
        <v>179</v>
      </c>
      <c r="GK6" s="106">
        <f>SUM('الطفل السليم'!GK82)</f>
        <v>0</v>
      </c>
      <c r="GL6" s="106">
        <f>SUM('الطفل السليم'!GL82)</f>
        <v>0</v>
      </c>
      <c r="GM6" s="10"/>
    </row>
    <row r="7" spans="1:195" s="11" customFormat="1" ht="18" customHeight="1" thickBot="1" x14ac:dyDescent="0.25">
      <c r="A7" s="266"/>
      <c r="B7" s="12" t="s">
        <v>17</v>
      </c>
      <c r="C7" s="14" t="s">
        <v>19</v>
      </c>
      <c r="D7" s="108">
        <f>SUM('الطفل السليم'!D83)</f>
        <v>2</v>
      </c>
      <c r="E7" s="105">
        <f>SUM('الطفل السليم'!E83)</f>
        <v>0</v>
      </c>
      <c r="F7" s="105">
        <f>SUM('الطفل السليم'!F83)</f>
        <v>0</v>
      </c>
      <c r="G7" s="105">
        <f>SUM('الطفل السليم'!G83)</f>
        <v>6</v>
      </c>
      <c r="H7" s="105">
        <f>SUM('الطفل السليم'!H83)</f>
        <v>60</v>
      </c>
      <c r="I7" s="105">
        <f>SUM('الطفل السليم'!I83)</f>
        <v>43</v>
      </c>
      <c r="J7" s="105">
        <f>SUM('الطفل السليم'!J83)</f>
        <v>433</v>
      </c>
      <c r="K7" s="105">
        <f>SUM('الطفل السليم'!K83)</f>
        <v>0</v>
      </c>
      <c r="L7" s="105">
        <f>SUM('الطفل السليم'!L83)</f>
        <v>0</v>
      </c>
      <c r="M7" s="105">
        <f>SUM('الطفل السليم'!M83)</f>
        <v>0</v>
      </c>
      <c r="N7" s="105">
        <f>SUM('الطفل السليم'!N83)</f>
        <v>0</v>
      </c>
      <c r="O7" s="19"/>
      <c r="P7" s="266"/>
      <c r="Q7" s="12" t="s">
        <v>17</v>
      </c>
      <c r="R7" s="14" t="s">
        <v>19</v>
      </c>
      <c r="S7" s="108">
        <f>SUM('الطفل السليم'!S83)</f>
        <v>323</v>
      </c>
      <c r="T7" s="105">
        <f>SUM('الطفل السليم'!T83)</f>
        <v>122</v>
      </c>
      <c r="U7" s="105">
        <f>SUM('الطفل السليم'!U83)</f>
        <v>3</v>
      </c>
      <c r="V7" s="105">
        <f>SUM('الطفل السليم'!V83)</f>
        <v>220</v>
      </c>
      <c r="W7" s="105">
        <f>SUM('الطفل السليم'!W83)</f>
        <v>8</v>
      </c>
      <c r="X7" s="105">
        <f>SUM('الطفل السليم'!X83)</f>
        <v>0</v>
      </c>
      <c r="Y7" s="105">
        <f>SUM('الطفل السليم'!Y83)</f>
        <v>584</v>
      </c>
      <c r="Z7" s="105">
        <f>SUM('الطفل السليم'!Z83)</f>
        <v>0</v>
      </c>
      <c r="AA7" s="105">
        <f>SUM('الطفل السليم'!AA83)</f>
        <v>170</v>
      </c>
      <c r="AB7" s="105">
        <f>SUM('الطفل السليم'!AB83)</f>
        <v>0</v>
      </c>
      <c r="AC7" s="105">
        <f>SUM('الطفل السليم'!AC83)</f>
        <v>0</v>
      </c>
      <c r="AD7" s="19"/>
      <c r="AE7" s="266"/>
      <c r="AF7" s="12" t="s">
        <v>17</v>
      </c>
      <c r="AG7" s="14" t="s">
        <v>19</v>
      </c>
      <c r="AH7" s="108">
        <f>SUM('الطفل السليم'!AH83)</f>
        <v>9</v>
      </c>
      <c r="AI7" s="105">
        <f>SUM('الطفل السليم'!AI83)</f>
        <v>1</v>
      </c>
      <c r="AJ7" s="105">
        <f>SUM('الطفل السليم'!AJ83)</f>
        <v>0</v>
      </c>
      <c r="AK7" s="105">
        <f>SUM('الطفل السليم'!AK83)</f>
        <v>0</v>
      </c>
      <c r="AL7" s="105">
        <f>SUM('الطفل السليم'!AL83)</f>
        <v>0</v>
      </c>
      <c r="AM7" s="105">
        <f>SUM('الطفل السليم'!AM83)</f>
        <v>119</v>
      </c>
      <c r="AN7" s="105">
        <f>SUM('الطفل السليم'!AN83)</f>
        <v>401</v>
      </c>
      <c r="AO7" s="105">
        <f>SUM('الطفل السليم'!AO83)</f>
        <v>0</v>
      </c>
      <c r="AP7" s="105">
        <f>SUM('الطفل السليم'!AP83)</f>
        <v>0</v>
      </c>
      <c r="AQ7" s="105">
        <f>SUM('الطفل السليم'!AQ83)</f>
        <v>0</v>
      </c>
      <c r="AR7" s="105">
        <f>SUM('الطفل السليم'!AR83)</f>
        <v>0</v>
      </c>
      <c r="AS7" s="19"/>
      <c r="AT7" s="266"/>
      <c r="AU7" s="12" t="s">
        <v>17</v>
      </c>
      <c r="AV7" s="14" t="s">
        <v>19</v>
      </c>
      <c r="AW7" s="108">
        <f>SUM('الطفل السليم'!AW83)</f>
        <v>0</v>
      </c>
      <c r="AX7" s="105">
        <f>SUM('الطفل السليم'!AX83)</f>
        <v>0</v>
      </c>
      <c r="AY7" s="105">
        <f>SUM('الطفل السليم'!AY83)</f>
        <v>0</v>
      </c>
      <c r="AZ7" s="105">
        <f>SUM('الطفل السليم'!AZ83)</f>
        <v>0</v>
      </c>
      <c r="BA7" s="105">
        <f>SUM('الطفل السليم'!BA83)</f>
        <v>0</v>
      </c>
      <c r="BB7" s="105">
        <f>SUM('الطفل السليم'!BB83)</f>
        <v>0</v>
      </c>
      <c r="BC7" s="105">
        <f>SUM('الطفل السليم'!BC83)</f>
        <v>154</v>
      </c>
      <c r="BD7" s="105">
        <f>SUM('الطفل السليم'!BD83)</f>
        <v>0</v>
      </c>
      <c r="BE7" s="105">
        <f>SUM('الطفل السليم'!BE83)</f>
        <v>0</v>
      </c>
      <c r="BF7" s="105">
        <f>SUM('الطفل السليم'!BF83)</f>
        <v>0</v>
      </c>
      <c r="BG7" s="105">
        <f>SUM('الطفل السليم'!BG83)</f>
        <v>0</v>
      </c>
      <c r="BH7" s="19"/>
      <c r="BI7" s="266"/>
      <c r="BJ7" s="12" t="s">
        <v>17</v>
      </c>
      <c r="BK7" s="14" t="s">
        <v>19</v>
      </c>
      <c r="BL7" s="108">
        <f>SUM('الطفل السليم'!BL83)</f>
        <v>0</v>
      </c>
      <c r="BM7" s="105">
        <f>SUM('الطفل السليم'!BM83)</f>
        <v>0</v>
      </c>
      <c r="BN7" s="105">
        <f>SUM('الطفل السليم'!BN83)</f>
        <v>0</v>
      </c>
      <c r="BO7" s="105">
        <f>SUM('الطفل السليم'!BO83)</f>
        <v>0</v>
      </c>
      <c r="BP7" s="105">
        <f>SUM('الطفل السليم'!BP83)</f>
        <v>0</v>
      </c>
      <c r="BQ7" s="105">
        <f>SUM('الطفل السليم'!BQ83)</f>
        <v>0</v>
      </c>
      <c r="BR7" s="105">
        <f>SUM('الطفل السليم'!BR83)</f>
        <v>254</v>
      </c>
      <c r="BS7" s="105">
        <f>SUM('الطفل السليم'!BS83)</f>
        <v>0</v>
      </c>
      <c r="BT7" s="105">
        <f>SUM('الطفل السليم'!BT83)</f>
        <v>0</v>
      </c>
      <c r="BU7" s="105">
        <f>SUM('الطفل السليم'!BU83)</f>
        <v>0</v>
      </c>
      <c r="BV7" s="105">
        <f>SUM('الطفل السليم'!BV83)</f>
        <v>0</v>
      </c>
      <c r="BW7" s="19"/>
      <c r="BX7" s="266"/>
      <c r="BY7" s="12" t="s">
        <v>17</v>
      </c>
      <c r="BZ7" s="14" t="s">
        <v>19</v>
      </c>
      <c r="CA7" s="108">
        <f>SUM('الطفل السليم'!CA83)</f>
        <v>0</v>
      </c>
      <c r="CB7" s="105">
        <f>SUM('الطفل السليم'!CB83)</f>
        <v>0</v>
      </c>
      <c r="CC7" s="105">
        <f>SUM('الطفل السليم'!CC83)</f>
        <v>0</v>
      </c>
      <c r="CD7" s="105">
        <f>SUM('الطفل السليم'!CD83)</f>
        <v>0</v>
      </c>
      <c r="CE7" s="105">
        <f>SUM('الطفل السليم'!CE83)</f>
        <v>0</v>
      </c>
      <c r="CF7" s="105">
        <f>SUM('الطفل السليم'!CF83)</f>
        <v>0</v>
      </c>
      <c r="CG7" s="105">
        <f>SUM('الطفل السليم'!CG83)</f>
        <v>104</v>
      </c>
      <c r="CH7" s="105">
        <f>SUM('الطفل السليم'!CH83)</f>
        <v>0</v>
      </c>
      <c r="CI7" s="105">
        <f>SUM('الطفل السليم'!CI83)</f>
        <v>0</v>
      </c>
      <c r="CJ7" s="105">
        <f>SUM('الطفل السليم'!CJ83)</f>
        <v>0</v>
      </c>
      <c r="CK7" s="105">
        <f>SUM('الطفل السليم'!CK83)</f>
        <v>0</v>
      </c>
      <c r="CL7" s="19"/>
      <c r="CM7" s="266"/>
      <c r="CN7" s="12" t="s">
        <v>17</v>
      </c>
      <c r="CO7" s="14" t="s">
        <v>19</v>
      </c>
      <c r="CP7" s="108">
        <f>SUM('الطفل السليم'!CP83)</f>
        <v>19</v>
      </c>
      <c r="CQ7" s="105">
        <f>SUM('الطفل السليم'!CQ83)</f>
        <v>18</v>
      </c>
      <c r="CR7" s="105">
        <f>SUM('الطفل السليم'!CR83)</f>
        <v>2</v>
      </c>
      <c r="CS7" s="105">
        <f>SUM('الطفل السليم'!CS83)</f>
        <v>34</v>
      </c>
      <c r="CT7" s="105">
        <f>SUM('الطفل السليم'!CT83)</f>
        <v>3</v>
      </c>
      <c r="CU7" s="105">
        <f>SUM('الطفل السليم'!CU83)</f>
        <v>3</v>
      </c>
      <c r="CV7" s="105">
        <f>SUM('الطفل السليم'!CV83)</f>
        <v>693</v>
      </c>
      <c r="CW7" s="105">
        <f>SUM('الطفل السليم'!CW83)</f>
        <v>0</v>
      </c>
      <c r="CX7" s="105">
        <f>SUM('الطفل السليم'!CX83)</f>
        <v>0</v>
      </c>
      <c r="CY7" s="105">
        <f>SUM('الطفل السليم'!CY83)</f>
        <v>0</v>
      </c>
      <c r="CZ7" s="105">
        <f>SUM('الطفل السليم'!CZ83)</f>
        <v>0</v>
      </c>
      <c r="DA7" s="19"/>
      <c r="DB7" s="266"/>
      <c r="DC7" s="12" t="s">
        <v>17</v>
      </c>
      <c r="DD7" s="14" t="s">
        <v>19</v>
      </c>
      <c r="DE7" s="108">
        <f>SUM('الطفل السليم'!DE83)</f>
        <v>8</v>
      </c>
      <c r="DF7" s="105">
        <f>SUM('الطفل السليم'!DF83)</f>
        <v>0</v>
      </c>
      <c r="DG7" s="105">
        <f>SUM('الطفل السليم'!DG83)</f>
        <v>1</v>
      </c>
      <c r="DH7" s="105">
        <f>SUM('الطفل السليم'!DH83)</f>
        <v>13</v>
      </c>
      <c r="DI7" s="105">
        <f>SUM('الطفل السليم'!DI83)</f>
        <v>0</v>
      </c>
      <c r="DJ7" s="105">
        <f>SUM('الطفل السليم'!DJ83)</f>
        <v>1</v>
      </c>
      <c r="DK7" s="105">
        <f>SUM('الطفل السليم'!DK83)</f>
        <v>114</v>
      </c>
      <c r="DL7" s="105">
        <f>SUM('الطفل السليم'!DL83)</f>
        <v>7</v>
      </c>
      <c r="DM7" s="105">
        <f>SUM('الطفل السليم'!DM83)</f>
        <v>0</v>
      </c>
      <c r="DN7" s="105">
        <f>SUM('الطفل السليم'!DN83)</f>
        <v>0</v>
      </c>
      <c r="DO7" s="105">
        <f>SUM('الطفل السليم'!DO83)</f>
        <v>0</v>
      </c>
      <c r="DP7" s="19"/>
      <c r="DQ7" s="266"/>
      <c r="DR7" s="12" t="s">
        <v>17</v>
      </c>
      <c r="DS7" s="14" t="s">
        <v>19</v>
      </c>
      <c r="DT7" s="108">
        <f>SUM('الطفل السليم'!DT83)</f>
        <v>104</v>
      </c>
      <c r="DU7" s="105">
        <f>SUM('الطفل السليم'!DU83)</f>
        <v>37</v>
      </c>
      <c r="DV7" s="105">
        <f>SUM('الطفل السليم'!DV83)</f>
        <v>28</v>
      </c>
      <c r="DW7" s="105">
        <f>SUM('الطفل السليم'!DW83)</f>
        <v>186</v>
      </c>
      <c r="DX7" s="105">
        <f>SUM('الطفل السليم'!DX83)</f>
        <v>67</v>
      </c>
      <c r="DY7" s="105">
        <f>SUM('الطفل السليم'!DY83)</f>
        <v>29</v>
      </c>
      <c r="DZ7" s="105">
        <f>SUM('الطفل السليم'!DZ83)</f>
        <v>56</v>
      </c>
      <c r="EA7" s="105">
        <f>SUM('الطفل السليم'!EA83)</f>
        <v>0</v>
      </c>
      <c r="EB7" s="105">
        <f>SUM('الطفل السليم'!EB83)</f>
        <v>0</v>
      </c>
      <c r="EC7" s="105">
        <f>SUM('الطفل السليم'!EC83)</f>
        <v>0</v>
      </c>
      <c r="ED7" s="105">
        <f>SUM('الطفل السليم'!ED83)</f>
        <v>0</v>
      </c>
      <c r="EE7" s="19"/>
      <c r="EF7" s="266"/>
      <c r="EG7" s="12" t="s">
        <v>17</v>
      </c>
      <c r="EH7" s="14" t="s">
        <v>19</v>
      </c>
      <c r="EI7" s="108">
        <f>SUM('الطفل السليم'!EI83)</f>
        <v>104</v>
      </c>
      <c r="EJ7" s="105">
        <f>SUM('الطفل السليم'!EJ83)</f>
        <v>37</v>
      </c>
      <c r="EK7" s="105">
        <f>SUM('الطفل السليم'!EK83)</f>
        <v>28</v>
      </c>
      <c r="EL7" s="105">
        <f>SUM('الطفل السليم'!EL83)</f>
        <v>186</v>
      </c>
      <c r="EM7" s="105">
        <f>SUM('الطفل السليم'!EM83)</f>
        <v>67</v>
      </c>
      <c r="EN7" s="105">
        <f>SUM('الطفل السليم'!EN83)</f>
        <v>29</v>
      </c>
      <c r="EO7" s="105">
        <f>SUM('الطفل السليم'!EO83)</f>
        <v>292</v>
      </c>
      <c r="EP7" s="105">
        <f>SUM('الطفل السليم'!EP83)</f>
        <v>0</v>
      </c>
      <c r="EQ7" s="105">
        <f>SUM('الطفل السليم'!EQ83)</f>
        <v>0</v>
      </c>
      <c r="ER7" s="105">
        <f>SUM('الطفل السليم'!ER83)</f>
        <v>0</v>
      </c>
      <c r="ES7" s="105">
        <f>SUM('الطفل السليم'!ES83)</f>
        <v>0</v>
      </c>
      <c r="ET7" s="19"/>
      <c r="EU7" s="266"/>
      <c r="EV7" s="12" t="s">
        <v>17</v>
      </c>
      <c r="EW7" s="14" t="s">
        <v>19</v>
      </c>
      <c r="EX7" s="108">
        <f>SUM('الطفل السليم'!EX83)</f>
        <v>0</v>
      </c>
      <c r="EY7" s="105">
        <f>SUM('الطفل السليم'!EY83)</f>
        <v>0</v>
      </c>
      <c r="EZ7" s="105">
        <f>SUM('الطفل السليم'!EZ83)</f>
        <v>0</v>
      </c>
      <c r="FA7" s="105">
        <f>SUM('الطفل السليم'!FA83)</f>
        <v>0</v>
      </c>
      <c r="FB7" s="105">
        <f>SUM('الطفل السليم'!FB83)</f>
        <v>0</v>
      </c>
      <c r="FC7" s="105">
        <f>SUM('الطفل السليم'!FC83)</f>
        <v>0</v>
      </c>
      <c r="FD7" s="105">
        <f>SUM('الطفل السليم'!FD83)</f>
        <v>0</v>
      </c>
      <c r="FE7" s="105">
        <f>SUM('الطفل السليم'!FE83)</f>
        <v>0</v>
      </c>
      <c r="FF7" s="105">
        <f>SUM('الطفل السليم'!FF83)</f>
        <v>0</v>
      </c>
      <c r="FG7" s="105">
        <f>SUM('الطفل السليم'!FG83)</f>
        <v>0</v>
      </c>
      <c r="FH7" s="105">
        <f>SUM('الطفل السليم'!FH83)</f>
        <v>0</v>
      </c>
      <c r="FI7" s="19"/>
      <c r="FJ7" s="266"/>
      <c r="FK7" s="12" t="s">
        <v>17</v>
      </c>
      <c r="FL7" s="14" t="s">
        <v>19</v>
      </c>
      <c r="FM7" s="108">
        <f>SUM('الطفل السليم'!FM83)</f>
        <v>0</v>
      </c>
      <c r="FN7" s="105">
        <f>SUM('الطفل السليم'!FN83)</f>
        <v>0</v>
      </c>
      <c r="FO7" s="105">
        <f>SUM('الطفل السليم'!FO83)</f>
        <v>0</v>
      </c>
      <c r="FP7" s="105">
        <f>SUM('الطفل السليم'!FP83)</f>
        <v>0</v>
      </c>
      <c r="FQ7" s="105">
        <f>SUM('الطفل السليم'!FQ83)</f>
        <v>0</v>
      </c>
      <c r="FR7" s="105">
        <f>SUM('الطفل السليم'!FR83)</f>
        <v>0</v>
      </c>
      <c r="FS7" s="105">
        <f>SUM('الطفل السليم'!FS83)</f>
        <v>0</v>
      </c>
      <c r="FT7" s="105">
        <f>SUM('الطفل السليم'!FT83)</f>
        <v>0</v>
      </c>
      <c r="FU7" s="105">
        <f>SUM('الطفل السليم'!FU83)</f>
        <v>0</v>
      </c>
      <c r="FV7" s="105">
        <f>SUM('الطفل السليم'!FV83)</f>
        <v>0</v>
      </c>
      <c r="FW7" s="105">
        <f>SUM('الطفل السليم'!FW83)</f>
        <v>0</v>
      </c>
      <c r="FX7" s="10"/>
      <c r="FY7" s="266"/>
      <c r="FZ7" s="12" t="s">
        <v>17</v>
      </c>
      <c r="GA7" s="14" t="s">
        <v>19</v>
      </c>
      <c r="GB7" s="108">
        <f>SUM('الطفل السليم'!GB83)</f>
        <v>0</v>
      </c>
      <c r="GC7" s="105">
        <f>SUM('الطفل السليم'!GC83)</f>
        <v>215</v>
      </c>
      <c r="GD7" s="105">
        <f>SUM('الطفل السليم'!GD83)</f>
        <v>62</v>
      </c>
      <c r="GE7" s="105">
        <f>SUM('الطفل السليم'!GE83)</f>
        <v>0</v>
      </c>
      <c r="GF7" s="105">
        <f>SUM('الطفل السليم'!GF83)</f>
        <v>0</v>
      </c>
      <c r="GG7" s="105">
        <f>SUM('الطفل السليم'!GG83)</f>
        <v>0</v>
      </c>
      <c r="GH7" s="105">
        <f>SUM('الطفل السليم'!GH83)</f>
        <v>3085</v>
      </c>
      <c r="GI7" s="105">
        <f>SUM('الطفل السليم'!GI83)</f>
        <v>7</v>
      </c>
      <c r="GJ7" s="105">
        <f>SUM('الطفل السليم'!GJ83)</f>
        <v>170</v>
      </c>
      <c r="GK7" s="105">
        <f>SUM('الطفل السليم'!GK83)</f>
        <v>0</v>
      </c>
      <c r="GL7" s="105">
        <f>SUM('الطفل السليم'!GL83)</f>
        <v>0</v>
      </c>
      <c r="GM7" s="10"/>
    </row>
    <row r="8" spans="1:195" s="11" customFormat="1" ht="18" customHeight="1" thickBot="1" x14ac:dyDescent="0.25">
      <c r="A8" s="267"/>
      <c r="B8" s="268" t="s">
        <v>21</v>
      </c>
      <c r="C8" s="269"/>
      <c r="D8" s="103">
        <f t="shared" ref="D8:J8" si="0">SUM(D4:D7)</f>
        <v>325</v>
      </c>
      <c r="E8" s="103">
        <f t="shared" si="0"/>
        <v>16</v>
      </c>
      <c r="F8" s="103">
        <f t="shared" si="0"/>
        <v>16</v>
      </c>
      <c r="G8" s="103">
        <f t="shared" si="0"/>
        <v>5264</v>
      </c>
      <c r="H8" s="103">
        <f t="shared" si="0"/>
        <v>995</v>
      </c>
      <c r="I8" s="103">
        <f t="shared" si="0"/>
        <v>673</v>
      </c>
      <c r="J8" s="103">
        <f t="shared" si="0"/>
        <v>3521</v>
      </c>
      <c r="K8" s="15">
        <f>SUM(K4:K7)</f>
        <v>0</v>
      </c>
      <c r="L8" s="16">
        <f>SUM(L4:L7)</f>
        <v>0</v>
      </c>
      <c r="M8" s="16">
        <f>SUM(M4:M7)</f>
        <v>0</v>
      </c>
      <c r="N8" s="17">
        <f>SUM(N4:N7)</f>
        <v>0</v>
      </c>
      <c r="O8" s="19"/>
      <c r="P8" s="267"/>
      <c r="Q8" s="268" t="s">
        <v>21</v>
      </c>
      <c r="R8" s="269"/>
      <c r="S8" s="103">
        <f t="shared" ref="S8:Y8" si="1">SUM(S4:S7)</f>
        <v>1351</v>
      </c>
      <c r="T8" s="103">
        <f t="shared" si="1"/>
        <v>533</v>
      </c>
      <c r="U8" s="103">
        <f t="shared" si="1"/>
        <v>21</v>
      </c>
      <c r="V8" s="103">
        <f t="shared" si="1"/>
        <v>4634</v>
      </c>
      <c r="W8" s="103">
        <f t="shared" si="1"/>
        <v>841</v>
      </c>
      <c r="X8" s="103">
        <f t="shared" si="1"/>
        <v>793</v>
      </c>
      <c r="Y8" s="103">
        <f t="shared" si="1"/>
        <v>4205</v>
      </c>
      <c r="Z8" s="15">
        <f>SUM(Z4:Z7)</f>
        <v>92</v>
      </c>
      <c r="AA8" s="16">
        <f>SUM(AA4:AA7)</f>
        <v>629</v>
      </c>
      <c r="AB8" s="16">
        <f>SUM(AB4:AB7)</f>
        <v>0</v>
      </c>
      <c r="AC8" s="17">
        <f>SUM(AC4:AC7)</f>
        <v>0</v>
      </c>
      <c r="AD8" s="19"/>
      <c r="AE8" s="267"/>
      <c r="AF8" s="268" t="s">
        <v>21</v>
      </c>
      <c r="AG8" s="269"/>
      <c r="AH8" s="103">
        <f t="shared" ref="AH8:AN8" si="2">SUM(AH4:AH7)</f>
        <v>212</v>
      </c>
      <c r="AI8" s="103">
        <f t="shared" si="2"/>
        <v>184</v>
      </c>
      <c r="AJ8" s="103">
        <f t="shared" si="2"/>
        <v>4</v>
      </c>
      <c r="AK8" s="103">
        <f t="shared" si="2"/>
        <v>3708</v>
      </c>
      <c r="AL8" s="103">
        <f t="shared" si="2"/>
        <v>665</v>
      </c>
      <c r="AM8" s="103">
        <f t="shared" si="2"/>
        <v>910</v>
      </c>
      <c r="AN8" s="103">
        <f t="shared" si="2"/>
        <v>2641</v>
      </c>
      <c r="AO8" s="15">
        <f>SUM(AO4:AO7)</f>
        <v>0</v>
      </c>
      <c r="AP8" s="16">
        <f>SUM(AP4:AP7)</f>
        <v>0</v>
      </c>
      <c r="AQ8" s="16">
        <f>SUM(AQ4:AQ7)</f>
        <v>0</v>
      </c>
      <c r="AR8" s="17">
        <f>SUM(AR4:AR7)</f>
        <v>0</v>
      </c>
      <c r="AS8" s="19"/>
      <c r="AT8" s="267"/>
      <c r="AU8" s="268" t="s">
        <v>21</v>
      </c>
      <c r="AV8" s="269"/>
      <c r="AW8" s="103">
        <f t="shared" ref="AW8:BC8" si="3">SUM(AW4:AW7)</f>
        <v>506</v>
      </c>
      <c r="AX8" s="103">
        <f t="shared" si="3"/>
        <v>101</v>
      </c>
      <c r="AY8" s="103">
        <f t="shared" si="3"/>
        <v>12</v>
      </c>
      <c r="AZ8" s="103">
        <f t="shared" si="3"/>
        <v>2620</v>
      </c>
      <c r="BA8" s="103">
        <f t="shared" si="3"/>
        <v>595</v>
      </c>
      <c r="BB8" s="103">
        <f t="shared" si="3"/>
        <v>427</v>
      </c>
      <c r="BC8" s="103">
        <f t="shared" si="3"/>
        <v>1768</v>
      </c>
      <c r="BD8" s="15">
        <f>SUM(BD4:BD7)</f>
        <v>0</v>
      </c>
      <c r="BE8" s="16">
        <f>SUM(BE4:BE7)</f>
        <v>0</v>
      </c>
      <c r="BF8" s="16">
        <f>SUM(BF4:BF7)</f>
        <v>0</v>
      </c>
      <c r="BG8" s="17">
        <f>SUM(BG4:BG7)</f>
        <v>0</v>
      </c>
      <c r="BH8" s="19"/>
      <c r="BI8" s="267"/>
      <c r="BJ8" s="268" t="s">
        <v>21</v>
      </c>
      <c r="BK8" s="269"/>
      <c r="BL8" s="103">
        <f t="shared" ref="BL8:BR8" si="4">SUM(BL4:BL7)</f>
        <v>507</v>
      </c>
      <c r="BM8" s="103">
        <f t="shared" si="4"/>
        <v>102</v>
      </c>
      <c r="BN8" s="103">
        <f t="shared" si="4"/>
        <v>12</v>
      </c>
      <c r="BO8" s="103">
        <f t="shared" si="4"/>
        <v>2620</v>
      </c>
      <c r="BP8" s="103">
        <f t="shared" si="4"/>
        <v>592</v>
      </c>
      <c r="BQ8" s="103">
        <f t="shared" si="4"/>
        <v>427</v>
      </c>
      <c r="BR8" s="103">
        <f t="shared" si="4"/>
        <v>2093</v>
      </c>
      <c r="BS8" s="15">
        <f>SUM(BS4:BS7)</f>
        <v>0</v>
      </c>
      <c r="BT8" s="16">
        <f>SUM(BT4:BT7)</f>
        <v>0</v>
      </c>
      <c r="BU8" s="16">
        <f>SUM(BU4:BU7)</f>
        <v>0</v>
      </c>
      <c r="BV8" s="17">
        <f>SUM(BV4:BV7)</f>
        <v>0</v>
      </c>
      <c r="BW8" s="19"/>
      <c r="BX8" s="266"/>
      <c r="BY8" s="280" t="s">
        <v>21</v>
      </c>
      <c r="BZ8" s="281"/>
      <c r="CA8" s="146">
        <f t="shared" ref="CA8:CG8" si="5">SUM(CA4:CA7)</f>
        <v>512</v>
      </c>
      <c r="CB8" s="146">
        <f t="shared" si="5"/>
        <v>83</v>
      </c>
      <c r="CC8" s="146">
        <f t="shared" si="5"/>
        <v>0</v>
      </c>
      <c r="CD8" s="146">
        <f t="shared" si="5"/>
        <v>2274</v>
      </c>
      <c r="CE8" s="146">
        <f t="shared" si="5"/>
        <v>550</v>
      </c>
      <c r="CF8" s="146">
        <f t="shared" si="5"/>
        <v>308</v>
      </c>
      <c r="CG8" s="146">
        <f t="shared" si="5"/>
        <v>1188</v>
      </c>
      <c r="CH8" s="147">
        <f>SUM(CH4:CH7)</f>
        <v>0</v>
      </c>
      <c r="CI8" s="148">
        <f>SUM(CI4:CI7)</f>
        <v>0</v>
      </c>
      <c r="CJ8" s="148">
        <f>SUM(CJ4:CJ7)</f>
        <v>0</v>
      </c>
      <c r="CK8" s="149">
        <f>SUM(CK4:CK7)</f>
        <v>0</v>
      </c>
      <c r="CL8" s="19"/>
      <c r="CM8" s="267"/>
      <c r="CN8" s="268" t="s">
        <v>21</v>
      </c>
      <c r="CO8" s="269"/>
      <c r="CP8" s="103">
        <f t="shared" ref="CP8:CV8" si="6">SUM(CP4:CP7)</f>
        <v>167</v>
      </c>
      <c r="CQ8" s="103">
        <f t="shared" si="6"/>
        <v>143</v>
      </c>
      <c r="CR8" s="103">
        <f t="shared" si="6"/>
        <v>34</v>
      </c>
      <c r="CS8" s="103">
        <f t="shared" si="6"/>
        <v>5415</v>
      </c>
      <c r="CT8" s="103">
        <f t="shared" si="6"/>
        <v>876</v>
      </c>
      <c r="CU8" s="103">
        <f t="shared" si="6"/>
        <v>507</v>
      </c>
      <c r="CV8" s="103">
        <f t="shared" si="6"/>
        <v>5051</v>
      </c>
      <c r="CW8" s="15">
        <f>SUM(CW4:CW7)</f>
        <v>0</v>
      </c>
      <c r="CX8" s="16">
        <f>SUM(CX4:CX7)</f>
        <v>0</v>
      </c>
      <c r="CY8" s="16">
        <f>SUM(CY4:CY7)</f>
        <v>0</v>
      </c>
      <c r="CZ8" s="17">
        <f>SUM(CZ4:CZ7)</f>
        <v>0</v>
      </c>
      <c r="DA8" s="19"/>
      <c r="DB8" s="267"/>
      <c r="DC8" s="268" t="s">
        <v>21</v>
      </c>
      <c r="DD8" s="269"/>
      <c r="DE8" s="103">
        <f t="shared" ref="DE8:DK8" si="7">SUM(DE4:DE7)</f>
        <v>620</v>
      </c>
      <c r="DF8" s="103">
        <f t="shared" si="7"/>
        <v>141</v>
      </c>
      <c r="DG8" s="103">
        <f t="shared" si="7"/>
        <v>312</v>
      </c>
      <c r="DH8" s="103">
        <f t="shared" si="7"/>
        <v>4184</v>
      </c>
      <c r="DI8" s="103">
        <f t="shared" si="7"/>
        <v>90</v>
      </c>
      <c r="DJ8" s="103">
        <f t="shared" si="7"/>
        <v>158</v>
      </c>
      <c r="DK8" s="103">
        <f t="shared" si="7"/>
        <v>1377</v>
      </c>
      <c r="DL8" s="15">
        <f>SUM(DL4:DL7)</f>
        <v>215</v>
      </c>
      <c r="DM8" s="16">
        <f>SUM(DM4:DM7)</f>
        <v>0</v>
      </c>
      <c r="DN8" s="16">
        <f>SUM(DN4:DN7)</f>
        <v>0</v>
      </c>
      <c r="DO8" s="17">
        <f>SUM(DO4:DO7)</f>
        <v>0</v>
      </c>
      <c r="DP8" s="19"/>
      <c r="DQ8" s="267"/>
      <c r="DR8" s="268" t="s">
        <v>21</v>
      </c>
      <c r="DS8" s="269"/>
      <c r="DT8" s="103">
        <f t="shared" ref="DT8:DZ8" si="8">SUM(DT4:DT7)</f>
        <v>904</v>
      </c>
      <c r="DU8" s="103">
        <f t="shared" si="8"/>
        <v>245</v>
      </c>
      <c r="DV8" s="103">
        <f t="shared" si="8"/>
        <v>161</v>
      </c>
      <c r="DW8" s="103">
        <f t="shared" si="8"/>
        <v>10170</v>
      </c>
      <c r="DX8" s="103">
        <f t="shared" si="8"/>
        <v>473</v>
      </c>
      <c r="DY8" s="103">
        <f t="shared" si="8"/>
        <v>584</v>
      </c>
      <c r="DZ8" s="103">
        <f t="shared" si="8"/>
        <v>1116</v>
      </c>
      <c r="EA8" s="15">
        <f>SUM(EA4:EA7)</f>
        <v>0</v>
      </c>
      <c r="EB8" s="16">
        <f>SUM(EB4:EB7)</f>
        <v>0</v>
      </c>
      <c r="EC8" s="16">
        <f>SUM(EC4:EC7)</f>
        <v>0</v>
      </c>
      <c r="ED8" s="17">
        <f>SUM(ED4:ED7)</f>
        <v>0</v>
      </c>
      <c r="EE8" s="19"/>
      <c r="EF8" s="267"/>
      <c r="EG8" s="268" t="s">
        <v>21</v>
      </c>
      <c r="EH8" s="269"/>
      <c r="EI8" s="103">
        <f t="shared" ref="EI8:EO8" si="9">SUM(EI4:EI7)</f>
        <v>875</v>
      </c>
      <c r="EJ8" s="103">
        <f t="shared" si="9"/>
        <v>231</v>
      </c>
      <c r="EK8" s="103">
        <f t="shared" si="9"/>
        <v>161</v>
      </c>
      <c r="EL8" s="103">
        <f t="shared" si="9"/>
        <v>9488</v>
      </c>
      <c r="EM8" s="103">
        <f t="shared" si="9"/>
        <v>448</v>
      </c>
      <c r="EN8" s="103">
        <f t="shared" si="9"/>
        <v>581</v>
      </c>
      <c r="EO8" s="103">
        <f t="shared" si="9"/>
        <v>4238</v>
      </c>
      <c r="EP8" s="15">
        <f>SUM(EP4:EP7)</f>
        <v>0</v>
      </c>
      <c r="EQ8" s="16">
        <f>SUM(EQ4:EQ7)</f>
        <v>0</v>
      </c>
      <c r="ER8" s="16">
        <f>SUM(ER4:ER7)</f>
        <v>0</v>
      </c>
      <c r="ES8" s="17">
        <f>SUM(ES4:ES7)</f>
        <v>0</v>
      </c>
      <c r="ET8" s="19"/>
      <c r="EU8" s="267"/>
      <c r="EV8" s="268" t="s">
        <v>21</v>
      </c>
      <c r="EW8" s="269"/>
      <c r="EX8" s="103">
        <f t="shared" ref="EX8:FD8" si="10">SUM(EX4:EX7)</f>
        <v>0</v>
      </c>
      <c r="EY8" s="103">
        <f t="shared" si="10"/>
        <v>0</v>
      </c>
      <c r="EZ8" s="103">
        <f t="shared" si="10"/>
        <v>0</v>
      </c>
      <c r="FA8" s="103">
        <f t="shared" si="10"/>
        <v>0</v>
      </c>
      <c r="FB8" s="103">
        <f t="shared" si="10"/>
        <v>0</v>
      </c>
      <c r="FC8" s="103">
        <f t="shared" si="10"/>
        <v>0</v>
      </c>
      <c r="FD8" s="103">
        <f t="shared" si="10"/>
        <v>0</v>
      </c>
      <c r="FE8" s="15">
        <f>SUM(FE4:FE7)</f>
        <v>0</v>
      </c>
      <c r="FF8" s="16">
        <f>SUM(FF4:FF7)</f>
        <v>0</v>
      </c>
      <c r="FG8" s="16">
        <f>SUM(FG4:FG7)</f>
        <v>0</v>
      </c>
      <c r="FH8" s="17">
        <f>SUM(FH4:FH7)</f>
        <v>0</v>
      </c>
      <c r="FI8" s="19"/>
      <c r="FJ8" s="267"/>
      <c r="FK8" s="268" t="s">
        <v>21</v>
      </c>
      <c r="FL8" s="269"/>
      <c r="FM8" s="103">
        <f t="shared" ref="FM8:FS8" si="11">SUM(FM4:FM7)</f>
        <v>0</v>
      </c>
      <c r="FN8" s="103">
        <f t="shared" si="11"/>
        <v>0</v>
      </c>
      <c r="FO8" s="103">
        <f t="shared" si="11"/>
        <v>0</v>
      </c>
      <c r="FP8" s="103">
        <f t="shared" si="11"/>
        <v>0</v>
      </c>
      <c r="FQ8" s="103">
        <f t="shared" si="11"/>
        <v>0</v>
      </c>
      <c r="FR8" s="103">
        <f t="shared" si="11"/>
        <v>0</v>
      </c>
      <c r="FS8" s="103">
        <f t="shared" si="11"/>
        <v>0</v>
      </c>
      <c r="FT8" s="15">
        <f>SUM(FT4:FT7)</f>
        <v>0</v>
      </c>
      <c r="FU8" s="16">
        <f>SUM(FU4:FU7)</f>
        <v>0</v>
      </c>
      <c r="FV8" s="16">
        <f>SUM(FV4:FV7)</f>
        <v>0</v>
      </c>
      <c r="FW8" s="17">
        <f>SUM(FW4:FW7)</f>
        <v>0</v>
      </c>
      <c r="FX8" s="10"/>
      <c r="FY8" s="267"/>
      <c r="FZ8" s="268" t="s">
        <v>21</v>
      </c>
      <c r="GA8" s="269"/>
      <c r="GB8" s="103">
        <f t="shared" ref="GB8:GH8" si="12">SUM(GB4:GB7)</f>
        <v>0</v>
      </c>
      <c r="GC8" s="103">
        <f t="shared" si="12"/>
        <v>1779</v>
      </c>
      <c r="GD8" s="103">
        <f t="shared" si="12"/>
        <v>733</v>
      </c>
      <c r="GE8" s="103">
        <f t="shared" si="12"/>
        <v>0</v>
      </c>
      <c r="GF8" s="103">
        <f t="shared" si="12"/>
        <v>0</v>
      </c>
      <c r="GG8" s="103">
        <f t="shared" si="12"/>
        <v>0</v>
      </c>
      <c r="GH8" s="103">
        <f t="shared" si="12"/>
        <v>27198</v>
      </c>
      <c r="GI8" s="15">
        <f>SUM(GI4:GI7)</f>
        <v>307</v>
      </c>
      <c r="GJ8" s="16">
        <f>SUM(GJ4:GJ7)</f>
        <v>629</v>
      </c>
      <c r="GK8" s="16">
        <f>SUM(GK4:GK7)</f>
        <v>0</v>
      </c>
      <c r="GL8" s="17">
        <f>SUM(GL4:GL7)</f>
        <v>0</v>
      </c>
      <c r="GM8" s="10"/>
    </row>
    <row r="9" spans="1:195" s="11" customFormat="1" ht="15.75" thickBot="1" x14ac:dyDescent="0.25">
      <c r="A9" s="141"/>
      <c r="B9" s="142" t="s">
        <v>22</v>
      </c>
      <c r="C9" s="143"/>
      <c r="D9" s="143"/>
      <c r="E9" s="143"/>
      <c r="F9" s="143"/>
      <c r="G9" s="143"/>
      <c r="H9" s="143"/>
      <c r="I9" s="143"/>
      <c r="J9" s="143"/>
      <c r="K9" s="144" t="s">
        <v>18</v>
      </c>
      <c r="L9" s="110">
        <f>SUM('الطفل السليم'!L85)</f>
        <v>0</v>
      </c>
      <c r="M9" s="144" t="s">
        <v>19</v>
      </c>
      <c r="N9" s="110">
        <f>SUM('الطفل السليم'!N85)</f>
        <v>0</v>
      </c>
      <c r="O9" s="19"/>
      <c r="P9" s="141"/>
      <c r="Q9" s="142" t="s">
        <v>22</v>
      </c>
      <c r="R9" s="143"/>
      <c r="S9" s="143"/>
      <c r="T9" s="143"/>
      <c r="U9" s="143"/>
      <c r="V9" s="143"/>
      <c r="W9" s="143"/>
      <c r="X9" s="143"/>
      <c r="Y9" s="143"/>
      <c r="Z9" s="144" t="s">
        <v>18</v>
      </c>
      <c r="AA9" s="110">
        <f>SUM('الطفل السليم'!AA85)</f>
        <v>0</v>
      </c>
      <c r="AB9" s="144" t="s">
        <v>19</v>
      </c>
      <c r="AC9" s="110">
        <f>SUM('الطفل السليم'!AC85)</f>
        <v>0</v>
      </c>
      <c r="AD9" s="19"/>
      <c r="AE9" s="141"/>
      <c r="AF9" s="142" t="s">
        <v>22</v>
      </c>
      <c r="AG9" s="143"/>
      <c r="AH9" s="143"/>
      <c r="AI9" s="143"/>
      <c r="AJ9" s="143"/>
      <c r="AK9" s="143"/>
      <c r="AL9" s="143"/>
      <c r="AM9" s="143"/>
      <c r="AN9" s="143"/>
      <c r="AO9" s="144" t="s">
        <v>18</v>
      </c>
      <c r="AP9" s="110">
        <f>SUM('الطفل السليم'!AP85)</f>
        <v>0</v>
      </c>
      <c r="AQ9" s="144" t="s">
        <v>19</v>
      </c>
      <c r="AR9" s="110">
        <f>SUM('الطفل السليم'!AR85)</f>
        <v>0</v>
      </c>
      <c r="AS9" s="19"/>
      <c r="AT9" s="141"/>
      <c r="AU9" s="142" t="s">
        <v>22</v>
      </c>
      <c r="AV9" s="143"/>
      <c r="AW9" s="143"/>
      <c r="AX9" s="143"/>
      <c r="AY9" s="143"/>
      <c r="AZ9" s="143"/>
      <c r="BA9" s="143"/>
      <c r="BB9" s="143"/>
      <c r="BC9" s="143"/>
      <c r="BD9" s="144" t="s">
        <v>18</v>
      </c>
      <c r="BE9" s="110">
        <f>SUM('الطفل السليم'!BE85)</f>
        <v>0</v>
      </c>
      <c r="BF9" s="145" t="s">
        <v>19</v>
      </c>
      <c r="BG9" s="110">
        <f>SUM('الطفل السليم'!BG85)</f>
        <v>0</v>
      </c>
      <c r="BH9" s="19"/>
      <c r="BI9" s="141"/>
      <c r="BJ9" s="142" t="s">
        <v>22</v>
      </c>
      <c r="BK9" s="143"/>
      <c r="BL9" s="143"/>
      <c r="BM9" s="143"/>
      <c r="BN9" s="143"/>
      <c r="BO9" s="143"/>
      <c r="BP9" s="143"/>
      <c r="BQ9" s="143"/>
      <c r="BR9" s="143"/>
      <c r="BS9" s="144" t="s">
        <v>18</v>
      </c>
      <c r="BT9" s="110">
        <f>SUM('الطفل السليم'!BT85)</f>
        <v>0</v>
      </c>
      <c r="BU9" s="144" t="s">
        <v>19</v>
      </c>
      <c r="BV9" s="110">
        <f>SUM('الطفل السليم'!BV85)</f>
        <v>0</v>
      </c>
      <c r="BW9" s="19"/>
      <c r="BX9" s="141"/>
      <c r="BY9" s="142" t="s">
        <v>22</v>
      </c>
      <c r="BZ9" s="143"/>
      <c r="CA9" s="143"/>
      <c r="CB9" s="143"/>
      <c r="CC9" s="143"/>
      <c r="CD9" s="143"/>
      <c r="CE9" s="143"/>
      <c r="CF9" s="143"/>
      <c r="CG9" s="143"/>
      <c r="CH9" s="144" t="s">
        <v>18</v>
      </c>
      <c r="CI9" s="110">
        <f>SUM('الطفل السليم'!CI85)</f>
        <v>0</v>
      </c>
      <c r="CJ9" s="144" t="s">
        <v>19</v>
      </c>
      <c r="CK9" s="110">
        <f>SUM('الطفل السليم'!CK85)</f>
        <v>0</v>
      </c>
      <c r="CL9" s="150"/>
      <c r="CM9" s="141"/>
      <c r="CN9" s="142" t="s">
        <v>22</v>
      </c>
      <c r="CO9" s="143"/>
      <c r="CP9" s="143"/>
      <c r="CQ9" s="143"/>
      <c r="CR9" s="143"/>
      <c r="CS9" s="143"/>
      <c r="CT9" s="143"/>
      <c r="CU9" s="143"/>
      <c r="CV9" s="143"/>
      <c r="CW9" s="144" t="s">
        <v>18</v>
      </c>
      <c r="CX9" s="110">
        <f>SUM('الطفل السليم'!CX85)</f>
        <v>0</v>
      </c>
      <c r="CY9" s="144" t="s">
        <v>19</v>
      </c>
      <c r="CZ9" s="110">
        <f>SUM('الطفل السليم'!CZ85)</f>
        <v>0</v>
      </c>
      <c r="DA9" s="19"/>
      <c r="DB9" s="141"/>
      <c r="DC9" s="142" t="s">
        <v>22</v>
      </c>
      <c r="DD9" s="143"/>
      <c r="DE9" s="143"/>
      <c r="DF9" s="143"/>
      <c r="DG9" s="143"/>
      <c r="DH9" s="143"/>
      <c r="DI9" s="143"/>
      <c r="DJ9" s="143"/>
      <c r="DK9" s="143"/>
      <c r="DL9" s="144" t="s">
        <v>18</v>
      </c>
      <c r="DM9" s="110">
        <f>SUM('الطفل السليم'!DM85)</f>
        <v>0</v>
      </c>
      <c r="DN9" s="144" t="s">
        <v>19</v>
      </c>
      <c r="DO9" s="110">
        <f>SUM('الطفل السليم'!DO85)</f>
        <v>0</v>
      </c>
      <c r="DP9" s="19"/>
      <c r="DQ9" s="141"/>
      <c r="DR9" s="142" t="s">
        <v>22</v>
      </c>
      <c r="DS9" s="143"/>
      <c r="DT9" s="143"/>
      <c r="DU9" s="143"/>
      <c r="DV9" s="143"/>
      <c r="DW9" s="143"/>
      <c r="DX9" s="143"/>
      <c r="DY9" s="143"/>
      <c r="DZ9" s="143"/>
      <c r="EA9" s="144" t="s">
        <v>18</v>
      </c>
      <c r="EB9" s="110">
        <f>SUM('الطفل السليم'!EB85)</f>
        <v>0</v>
      </c>
      <c r="EC9" s="144" t="s">
        <v>19</v>
      </c>
      <c r="ED9" s="110">
        <f>SUM('الطفل السليم'!ED85)</f>
        <v>0</v>
      </c>
      <c r="EE9" s="19"/>
      <c r="EF9" s="141"/>
      <c r="EG9" s="142" t="s">
        <v>22</v>
      </c>
      <c r="EH9" s="143"/>
      <c r="EI9" s="143"/>
      <c r="EJ9" s="143"/>
      <c r="EK9" s="143"/>
      <c r="EL9" s="143"/>
      <c r="EM9" s="143"/>
      <c r="EN9" s="143"/>
      <c r="EO9" s="143"/>
      <c r="EP9" s="144" t="s">
        <v>18</v>
      </c>
      <c r="EQ9" s="110">
        <f>SUM('الطفل السليم'!EQ85)</f>
        <v>0</v>
      </c>
      <c r="ER9" s="144" t="s">
        <v>19</v>
      </c>
      <c r="ES9" s="110">
        <f>SUM('الطفل السليم'!ES85)</f>
        <v>0</v>
      </c>
      <c r="ET9" s="19"/>
      <c r="EU9" s="141"/>
      <c r="EV9" s="142" t="s">
        <v>22</v>
      </c>
      <c r="EW9" s="143"/>
      <c r="EX9" s="143"/>
      <c r="EY9" s="143"/>
      <c r="EZ9" s="143"/>
      <c r="FA9" s="143"/>
      <c r="FB9" s="143"/>
      <c r="FC9" s="143"/>
      <c r="FD9" s="143"/>
      <c r="FE9" s="144" t="s">
        <v>18</v>
      </c>
      <c r="FF9" s="110">
        <f>SUM('الطفل السليم'!FF85)</f>
        <v>0</v>
      </c>
      <c r="FG9" s="144" t="s">
        <v>19</v>
      </c>
      <c r="FH9" s="110">
        <f>SUM('الطفل السليم'!FH85)</f>
        <v>0</v>
      </c>
      <c r="FI9" s="19"/>
      <c r="FJ9" s="141"/>
      <c r="FK9" s="142" t="s">
        <v>22</v>
      </c>
      <c r="FL9" s="143"/>
      <c r="FM9" s="143"/>
      <c r="FN9" s="143"/>
      <c r="FO9" s="143"/>
      <c r="FP9" s="143"/>
      <c r="FQ9" s="143"/>
      <c r="FR9" s="143"/>
      <c r="FS9" s="143"/>
      <c r="FT9" s="144" t="s">
        <v>18</v>
      </c>
      <c r="FU9" s="110">
        <f>SUM('الطفل السليم'!FU85)</f>
        <v>0</v>
      </c>
      <c r="FV9" s="144" t="s">
        <v>19</v>
      </c>
      <c r="FW9" s="110">
        <f>SUM('الطفل السليم'!FW85)</f>
        <v>0</v>
      </c>
      <c r="FX9" s="10"/>
      <c r="FY9" s="141"/>
      <c r="FZ9" s="142" t="s">
        <v>22</v>
      </c>
      <c r="GA9" s="143"/>
      <c r="GB9" s="143"/>
      <c r="GC9" s="143"/>
      <c r="GD9" s="143"/>
      <c r="GE9" s="143"/>
      <c r="GF9" s="143"/>
      <c r="GG9" s="143"/>
      <c r="GH9" s="143"/>
      <c r="GI9" s="144" t="s">
        <v>18</v>
      </c>
      <c r="GJ9" s="110">
        <f>SUM('الطفل السليم'!GJ85)</f>
        <v>0</v>
      </c>
      <c r="GK9" s="144" t="s">
        <v>19</v>
      </c>
      <c r="GL9" s="110">
        <f>SUM('الطفل السليم'!GL85)</f>
        <v>0</v>
      </c>
      <c r="GM9" s="10"/>
    </row>
    <row r="10" spans="1:195" s="30" customFormat="1" ht="39" customHeight="1" thickBot="1" x14ac:dyDescent="0.3">
      <c r="A10" s="27" t="s">
        <v>30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9" t="s">
        <v>42</v>
      </c>
      <c r="P10" s="27" t="s">
        <v>30</v>
      </c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9" t="s">
        <v>42</v>
      </c>
      <c r="AE10" s="27" t="s">
        <v>30</v>
      </c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9" t="s">
        <v>42</v>
      </c>
      <c r="AT10" s="27" t="s">
        <v>30</v>
      </c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9" t="s">
        <v>42</v>
      </c>
      <c r="BI10" s="27" t="s">
        <v>30</v>
      </c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9" t="s">
        <v>42</v>
      </c>
      <c r="BX10" s="27" t="s">
        <v>30</v>
      </c>
      <c r="BY10" s="28"/>
      <c r="BZ10" s="28"/>
      <c r="CA10" s="28"/>
      <c r="CB10" s="28"/>
      <c r="CC10" s="28"/>
      <c r="CD10" s="28"/>
      <c r="CE10" s="28"/>
      <c r="CF10" s="28"/>
      <c r="CG10" s="28"/>
      <c r="CH10" s="28"/>
      <c r="CI10" s="28"/>
      <c r="CJ10" s="28"/>
      <c r="CK10" s="29" t="s">
        <v>42</v>
      </c>
      <c r="CM10" s="27" t="s">
        <v>30</v>
      </c>
      <c r="CN10" s="28"/>
      <c r="CO10" s="28"/>
      <c r="CP10" s="28"/>
      <c r="CQ10" s="28"/>
      <c r="CR10" s="28"/>
      <c r="CS10" s="28"/>
      <c r="CT10" s="28"/>
      <c r="CU10" s="28"/>
      <c r="CV10" s="28"/>
      <c r="CW10" s="28"/>
      <c r="CX10" s="28"/>
      <c r="CY10" s="28"/>
      <c r="CZ10" s="29" t="s">
        <v>42</v>
      </c>
      <c r="DB10" s="27" t="s">
        <v>30</v>
      </c>
      <c r="DC10" s="28"/>
      <c r="DD10" s="28"/>
      <c r="DE10" s="28"/>
      <c r="DF10" s="28"/>
      <c r="DG10" s="28"/>
      <c r="DH10" s="28"/>
      <c r="DI10" s="28"/>
      <c r="DJ10" s="28"/>
      <c r="DK10" s="28"/>
      <c r="DL10" s="28"/>
      <c r="DM10" s="28"/>
      <c r="DN10" s="28"/>
      <c r="DO10" s="29" t="s">
        <v>42</v>
      </c>
      <c r="DQ10" s="27" t="s">
        <v>30</v>
      </c>
      <c r="DR10" s="28"/>
      <c r="DS10" s="28"/>
      <c r="DT10" s="28"/>
      <c r="DU10" s="28"/>
      <c r="DV10" s="28"/>
      <c r="DW10" s="28"/>
      <c r="DX10" s="28"/>
      <c r="DY10" s="28"/>
      <c r="DZ10" s="28"/>
      <c r="EA10" s="28"/>
      <c r="EB10" s="28"/>
      <c r="EC10" s="28"/>
      <c r="ED10" s="29" t="s">
        <v>42</v>
      </c>
      <c r="EF10" s="27" t="s">
        <v>30</v>
      </c>
      <c r="EG10" s="28"/>
      <c r="EH10" s="28"/>
      <c r="EI10" s="28"/>
      <c r="EJ10" s="28"/>
      <c r="EK10" s="28"/>
      <c r="EL10" s="28"/>
      <c r="EM10" s="28"/>
      <c r="EN10" s="28"/>
      <c r="EO10" s="28"/>
      <c r="EP10" s="28"/>
      <c r="EQ10" s="28"/>
      <c r="ER10" s="28"/>
      <c r="ES10" s="29" t="s">
        <v>42</v>
      </c>
      <c r="EU10" s="27" t="s">
        <v>30</v>
      </c>
      <c r="EV10" s="28"/>
      <c r="EW10" s="28"/>
      <c r="EX10" s="28"/>
      <c r="EY10" s="28"/>
      <c r="EZ10" s="28"/>
      <c r="FA10" s="28"/>
      <c r="FB10" s="28"/>
      <c r="FC10" s="28"/>
      <c r="FD10" s="28"/>
      <c r="FE10" s="28"/>
      <c r="FF10" s="28"/>
      <c r="FG10" s="28"/>
      <c r="FH10" s="29" t="s">
        <v>42</v>
      </c>
      <c r="FJ10" s="27" t="s">
        <v>30</v>
      </c>
      <c r="FK10" s="28"/>
      <c r="FL10" s="28"/>
      <c r="FM10" s="28"/>
      <c r="FN10" s="28"/>
      <c r="FO10" s="28"/>
      <c r="FP10" s="28"/>
      <c r="FQ10" s="28"/>
      <c r="FR10" s="28"/>
      <c r="FS10" s="28"/>
      <c r="FT10" s="28"/>
      <c r="FU10" s="28"/>
      <c r="FV10" s="28"/>
      <c r="FW10" s="29" t="s">
        <v>42</v>
      </c>
      <c r="FY10" s="27" t="s">
        <v>30</v>
      </c>
      <c r="FZ10" s="28"/>
      <c r="GA10" s="28"/>
      <c r="GB10" s="28"/>
      <c r="GC10" s="28"/>
      <c r="GD10" s="28"/>
      <c r="GE10" s="28"/>
      <c r="GF10" s="28"/>
      <c r="GG10" s="28"/>
      <c r="GH10" s="28"/>
      <c r="GI10" s="28"/>
      <c r="GJ10" s="28"/>
      <c r="GK10" s="28"/>
      <c r="GL10" s="29" t="s">
        <v>42</v>
      </c>
    </row>
    <row r="11" spans="1:195" x14ac:dyDescent="0.2">
      <c r="FX11" s="6"/>
      <c r="GM11" s="6"/>
    </row>
    <row r="16" spans="1:195" x14ac:dyDescent="0.2">
      <c r="G16" s="133"/>
    </row>
    <row r="17" spans="7:7" x14ac:dyDescent="0.2">
      <c r="G17" s="132"/>
    </row>
  </sheetData>
  <customSheetViews>
    <customSheetView guid="{683E718B-8FAE-4089-A239-9413018333B3}" fitToPage="1" showRuler="0" topLeftCell="FR22">
      <selection activeCell="FY1" sqref="FY1:GL38"/>
      <pageMargins left="0.15748031496062992" right="0.15748031496062992" top="0.19685039370078741" bottom="0.19685039370078741" header="0.51181102362204722" footer="0.51181102362204722"/>
      <printOptions horizontalCentered="1" verticalCentered="1"/>
      <pageSetup paperSize="9" scale="96" orientation="portrait" horizontalDpi="300" verticalDpi="300" r:id="rId1"/>
      <headerFooter alignWithMargins="0"/>
    </customSheetView>
  </customSheetViews>
  <mergeCells count="169">
    <mergeCell ref="DB4:DB8"/>
    <mergeCell ref="DC8:DD8"/>
    <mergeCell ref="DF2:DG2"/>
    <mergeCell ref="DB2:DB3"/>
    <mergeCell ref="DC2:DC3"/>
    <mergeCell ref="DD2:DD3"/>
    <mergeCell ref="DH2:DH3"/>
    <mergeCell ref="DI1:DK1"/>
    <mergeCell ref="FQ1:FS1"/>
    <mergeCell ref="FJ2:FJ3"/>
    <mergeCell ref="FK2:FK3"/>
    <mergeCell ref="FL2:FL3"/>
    <mergeCell ref="FM2:FM3"/>
    <mergeCell ref="FN2:FO2"/>
    <mergeCell ref="FP2:FP3"/>
    <mergeCell ref="FB1:FD1"/>
    <mergeCell ref="EU2:EU3"/>
    <mergeCell ref="EV2:EV3"/>
    <mergeCell ref="EW2:EW3"/>
    <mergeCell ref="EX2:EX3"/>
    <mergeCell ref="EY2:EZ2"/>
    <mergeCell ref="FD2:FD3"/>
    <mergeCell ref="EM1:EO1"/>
    <mergeCell ref="EG2:EG3"/>
    <mergeCell ref="CM2:CM3"/>
    <mergeCell ref="DX1:DZ1"/>
    <mergeCell ref="DS2:DS3"/>
    <mergeCell ref="DT2:DT3"/>
    <mergeCell ref="DU2:DV2"/>
    <mergeCell ref="DW2:DW3"/>
    <mergeCell ref="DY2:DY3"/>
    <mergeCell ref="DZ2:DZ3"/>
    <mergeCell ref="CN2:CN3"/>
    <mergeCell ref="CE1:CG1"/>
    <mergeCell ref="BX2:BX3"/>
    <mergeCell ref="BY2:BY3"/>
    <mergeCell ref="CB2:CC2"/>
    <mergeCell ref="CD2:CD3"/>
    <mergeCell ref="CE2:CE3"/>
    <mergeCell ref="CF2:CF3"/>
    <mergeCell ref="CG2:CG3"/>
    <mergeCell ref="CA2:CA3"/>
    <mergeCell ref="BP1:BR1"/>
    <mergeCell ref="BJ2:BJ3"/>
    <mergeCell ref="BK2:BK3"/>
    <mergeCell ref="BM2:BN2"/>
    <mergeCell ref="BO2:BO3"/>
    <mergeCell ref="BP2:BP3"/>
    <mergeCell ref="BQ2:BQ3"/>
    <mergeCell ref="BR2:BR3"/>
    <mergeCell ref="BA1:BC1"/>
    <mergeCell ref="BB2:BB3"/>
    <mergeCell ref="BC2:BC3"/>
    <mergeCell ref="I2:I3"/>
    <mergeCell ref="AH2:AH3"/>
    <mergeCell ref="AI2:AJ2"/>
    <mergeCell ref="AM2:AM3"/>
    <mergeCell ref="AN2:AN3"/>
    <mergeCell ref="FT2:FW2"/>
    <mergeCell ref="FJ4:FJ8"/>
    <mergeCell ref="FK8:FL8"/>
    <mergeCell ref="FE2:FH2"/>
    <mergeCell ref="FQ2:FQ3"/>
    <mergeCell ref="FR2:FR3"/>
    <mergeCell ref="FS2:FS3"/>
    <mergeCell ref="FA2:FA3"/>
    <mergeCell ref="FB2:FB3"/>
    <mergeCell ref="FC2:FC3"/>
    <mergeCell ref="EP2:ES2"/>
    <mergeCell ref="EV8:EW8"/>
    <mergeCell ref="EL2:EL3"/>
    <mergeCell ref="EM2:EM3"/>
    <mergeCell ref="EN2:EN3"/>
    <mergeCell ref="EO2:EO3"/>
    <mergeCell ref="EF2:EF3"/>
    <mergeCell ref="K2:N2"/>
    <mergeCell ref="DI2:DI3"/>
    <mergeCell ref="AL1:AN1"/>
    <mergeCell ref="AE4:AE8"/>
    <mergeCell ref="AF8:AG8"/>
    <mergeCell ref="H1:J1"/>
    <mergeCell ref="A2:A3"/>
    <mergeCell ref="B2:B3"/>
    <mergeCell ref="C2:C3"/>
    <mergeCell ref="D2:D3"/>
    <mergeCell ref="E2:F2"/>
    <mergeCell ref="G2:G3"/>
    <mergeCell ref="H2:H3"/>
    <mergeCell ref="J2:J3"/>
    <mergeCell ref="A4:A8"/>
    <mergeCell ref="B8:C8"/>
    <mergeCell ref="Z2:AC2"/>
    <mergeCell ref="W1:Y1"/>
    <mergeCell ref="P4:P8"/>
    <mergeCell ref="Q8:R8"/>
    <mergeCell ref="Y2:Y3"/>
    <mergeCell ref="V2:V3"/>
    <mergeCell ref="W2:W3"/>
    <mergeCell ref="X2:X3"/>
    <mergeCell ref="T2:U2"/>
    <mergeCell ref="P2:P3"/>
    <mergeCell ref="Q2:Q3"/>
    <mergeCell ref="R2:R3"/>
    <mergeCell ref="S2:S3"/>
    <mergeCell ref="AE2:AE3"/>
    <mergeCell ref="AF2:AF3"/>
    <mergeCell ref="AG2:AG3"/>
    <mergeCell ref="AK2:AK3"/>
    <mergeCell ref="AL2:AL3"/>
    <mergeCell ref="AO2:AR2"/>
    <mergeCell ref="CH2:CK2"/>
    <mergeCell ref="AT2:AT3"/>
    <mergeCell ref="AU2:AU3"/>
    <mergeCell ref="BI2:BI3"/>
    <mergeCell ref="BL2:BL3"/>
    <mergeCell ref="BZ2:BZ3"/>
    <mergeCell ref="AZ2:AZ3"/>
    <mergeCell ref="BX4:BX8"/>
    <mergeCell ref="BY8:BZ8"/>
    <mergeCell ref="BJ8:BK8"/>
    <mergeCell ref="BA2:BA3"/>
    <mergeCell ref="BD2:BG2"/>
    <mergeCell ref="AU8:AV8"/>
    <mergeCell ref="AV2:AV3"/>
    <mergeCell ref="AW2:AW3"/>
    <mergeCell ref="AX2:AY2"/>
    <mergeCell ref="BI4:BI8"/>
    <mergeCell ref="BS2:BV2"/>
    <mergeCell ref="AT4:AT8"/>
    <mergeCell ref="CM4:CM8"/>
    <mergeCell ref="CN8:CO8"/>
    <mergeCell ref="CO2:CO3"/>
    <mergeCell ref="GF1:GH1"/>
    <mergeCell ref="FY2:FY3"/>
    <mergeCell ref="FZ2:FZ3"/>
    <mergeCell ref="GA2:GA3"/>
    <mergeCell ref="GB2:GB3"/>
    <mergeCell ref="GC2:GD2"/>
    <mergeCell ref="GE2:GE3"/>
    <mergeCell ref="GF2:GF3"/>
    <mergeCell ref="GH2:GH3"/>
    <mergeCell ref="GG2:GG3"/>
    <mergeCell ref="CV2:CV3"/>
    <mergeCell ref="CT1:CV1"/>
    <mergeCell ref="CQ2:CR2"/>
    <mergeCell ref="CS2:CS3"/>
    <mergeCell ref="CT2:CT3"/>
    <mergeCell ref="CU2:CU3"/>
    <mergeCell ref="CW2:CZ2"/>
    <mergeCell ref="DE2:DE3"/>
    <mergeCell ref="CP2:CP3"/>
    <mergeCell ref="EU4:EU8"/>
    <mergeCell ref="EH2:EH3"/>
    <mergeCell ref="GI2:GL2"/>
    <mergeCell ref="FY4:FY8"/>
    <mergeCell ref="FZ8:GA8"/>
    <mergeCell ref="DR2:DR3"/>
    <mergeCell ref="DJ2:DJ3"/>
    <mergeCell ref="DK2:DK3"/>
    <mergeCell ref="DQ2:DQ3"/>
    <mergeCell ref="DL2:DO2"/>
    <mergeCell ref="EA2:ED2"/>
    <mergeCell ref="EF4:EF8"/>
    <mergeCell ref="EG8:EH8"/>
    <mergeCell ref="DX2:DX3"/>
    <mergeCell ref="DQ4:DQ8"/>
    <mergeCell ref="DR8:DS8"/>
    <mergeCell ref="EI2:EI3"/>
    <mergeCell ref="EJ2:EK2"/>
  </mergeCells>
  <phoneticPr fontId="0" type="noConversion"/>
  <printOptions horizontalCentered="1" verticalCentered="1"/>
  <pageMargins left="0.15748031496062992" right="0.15748031496062992" top="0.19685039370078741" bottom="0.19685039370078741" header="0.51181102362204722" footer="0.51181102362204722"/>
  <pageSetup paperSize="9" scale="10" orientation="portrait" horizontalDpi="300" verticalDpi="300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3</vt:i4>
      </vt:variant>
      <vt:variant>
        <vt:lpstr>نطاقات تمت تسميتها</vt:lpstr>
      </vt:variant>
      <vt:variant>
        <vt:i4>1</vt:i4>
      </vt:variant>
    </vt:vector>
  </HeadingPairs>
  <TitlesOfParts>
    <vt:vector size="4" baseType="lpstr">
      <vt:lpstr>ورقة2</vt:lpstr>
      <vt:lpstr>الطفل السليم</vt:lpstr>
      <vt:lpstr>إجمالية</vt:lpstr>
      <vt:lpstr>'الطفل السليم'!Print_Titles</vt:lpstr>
    </vt:vector>
  </TitlesOfParts>
  <Company>مؤسسة سارة التجارية بصبيح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يحي</dc:creator>
  <cp:lastModifiedBy>Entesar Mansor Hamoud Aljedani</cp:lastModifiedBy>
  <cp:lastPrinted>2015-08-31T07:32:09Z</cp:lastPrinted>
  <dcterms:created xsi:type="dcterms:W3CDTF">2001-04-30T08:12:36Z</dcterms:created>
  <dcterms:modified xsi:type="dcterms:W3CDTF">2026-04-16T07:15:42Z</dcterms:modified>
</cp:coreProperties>
</file>