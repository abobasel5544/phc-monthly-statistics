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65" tabRatio="481"/>
  </bookViews>
  <sheets>
    <sheet name="مراجعي العيادات" sheetId="8" r:id="rId1"/>
    <sheet name="إجمالي" sheetId="2" r:id="rId2"/>
  </sheets>
  <calcPr calcId="152511"/>
</workbook>
</file>

<file path=xl/calcChain.xml><?xml version="1.0" encoding="utf-8"?>
<calcChain xmlns="http://schemas.openxmlformats.org/spreadsheetml/2006/main">
  <c r="EH39" i="8" l="1"/>
  <c r="EG39" i="8"/>
  <c r="EG40" i="8" s="1"/>
  <c r="EF39" i="8"/>
  <c r="EF40" i="8" s="1"/>
  <c r="ED39" i="8"/>
  <c r="EC39" i="8"/>
  <c r="EC40" i="8" s="1"/>
  <c r="EB39" i="8"/>
  <c r="EB40" i="8" s="1"/>
  <c r="EA39" i="8"/>
  <c r="DZ39" i="8"/>
  <c r="EI38" i="8"/>
  <c r="EE38" i="8"/>
  <c r="EI37" i="8"/>
  <c r="EI39" i="8" s="1"/>
  <c r="EE37" i="8"/>
  <c r="EE39" i="8" s="1"/>
  <c r="EH36" i="8"/>
  <c r="EH40" i="8" s="1"/>
  <c r="EG36" i="8"/>
  <c r="EF36" i="8"/>
  <c r="ED36" i="8"/>
  <c r="ED40" i="8" s="1"/>
  <c r="EC36" i="8"/>
  <c r="EB36" i="8"/>
  <c r="EA36" i="8"/>
  <c r="EA40" i="8" s="1"/>
  <c r="DZ36" i="8"/>
  <c r="DZ40" i="8" s="1"/>
  <c r="EI35" i="8"/>
  <c r="EE35" i="8"/>
  <c r="EI34" i="8"/>
  <c r="EI36" i="8" s="1"/>
  <c r="EE34" i="8"/>
  <c r="EE36" i="8" s="1"/>
  <c r="EE40" i="8" s="1"/>
  <c r="EH11" i="8"/>
  <c r="EH12" i="8" s="1"/>
  <c r="EG11" i="8"/>
  <c r="EG12" i="8" s="1"/>
  <c r="EF11" i="8"/>
  <c r="EF12" i="8" s="1"/>
  <c r="ED11" i="8"/>
  <c r="ED12" i="8" s="1"/>
  <c r="EC11" i="8"/>
  <c r="EC12" i="8" s="1"/>
  <c r="EB11" i="8"/>
  <c r="EB12" i="8" s="1"/>
  <c r="EA11" i="8"/>
  <c r="EA12" i="8" s="1"/>
  <c r="DZ11" i="8"/>
  <c r="DZ12" i="8" s="1"/>
  <c r="EI10" i="8"/>
  <c r="EE10" i="8"/>
  <c r="EI9" i="8"/>
  <c r="EI11" i="8" s="1"/>
  <c r="EE9" i="8"/>
  <c r="EE11" i="8" s="1"/>
  <c r="EH8" i="8"/>
  <c r="EG8" i="8"/>
  <c r="EF8" i="8"/>
  <c r="ED8" i="8"/>
  <c r="EC8" i="8"/>
  <c r="EB8" i="8"/>
  <c r="EA8" i="8"/>
  <c r="DZ8" i="8"/>
  <c r="EI7" i="8"/>
  <c r="EE7" i="8"/>
  <c r="EI6" i="8"/>
  <c r="EI8" i="8" s="1"/>
  <c r="EE6" i="8"/>
  <c r="EE8" i="8" s="1"/>
  <c r="EE12" i="8" s="1"/>
  <c r="EI40" i="8" l="1"/>
  <c r="EI12" i="8"/>
  <c r="DT60" i="8"/>
  <c r="DT61" i="8" s="1"/>
  <c r="DS60" i="8"/>
  <c r="DS61" i="8" s="1"/>
  <c r="DR60" i="8"/>
  <c r="DP60" i="8"/>
  <c r="DP61" i="8" s="1"/>
  <c r="DO60" i="8"/>
  <c r="DO61" i="8" s="1"/>
  <c r="DN60" i="8"/>
  <c r="DM60" i="8"/>
  <c r="DL60" i="8"/>
  <c r="DL61" i="8" s="1"/>
  <c r="DU59" i="8"/>
  <c r="DQ59" i="8"/>
  <c r="DU58" i="8"/>
  <c r="DU60" i="8" s="1"/>
  <c r="DQ58" i="8"/>
  <c r="DQ60" i="8" s="1"/>
  <c r="DT57" i="8"/>
  <c r="DS57" i="8"/>
  <c r="DR57" i="8"/>
  <c r="DR61" i="8" s="1"/>
  <c r="DP57" i="8"/>
  <c r="DO57" i="8"/>
  <c r="DN57" i="8"/>
  <c r="DN61" i="8" s="1"/>
  <c r="DM57" i="8"/>
  <c r="DM61" i="8" s="1"/>
  <c r="DL57" i="8"/>
  <c r="DU56" i="8"/>
  <c r="DQ56" i="8"/>
  <c r="DQ57" i="8" s="1"/>
  <c r="DU55" i="8"/>
  <c r="DU57" i="8" s="1"/>
  <c r="DQ55" i="8"/>
  <c r="DT53" i="8"/>
  <c r="DT54" i="8" s="1"/>
  <c r="DS53" i="8"/>
  <c r="DS54" i="8" s="1"/>
  <c r="DR53" i="8"/>
  <c r="DP53" i="8"/>
  <c r="DP54" i="8" s="1"/>
  <c r="DO53" i="8"/>
  <c r="DO54" i="8" s="1"/>
  <c r="DN53" i="8"/>
  <c r="DM53" i="8"/>
  <c r="DL53" i="8"/>
  <c r="DL54" i="8" s="1"/>
  <c r="DU52" i="8"/>
  <c r="DQ52" i="8"/>
  <c r="DU51" i="8"/>
  <c r="DU53" i="8" s="1"/>
  <c r="DQ51" i="8"/>
  <c r="DQ53" i="8" s="1"/>
  <c r="DT50" i="8"/>
  <c r="DS50" i="8"/>
  <c r="DR50" i="8"/>
  <c r="DR54" i="8" s="1"/>
  <c r="DP50" i="8"/>
  <c r="DO50" i="8"/>
  <c r="DN50" i="8"/>
  <c r="DN54" i="8" s="1"/>
  <c r="DM50" i="8"/>
  <c r="DM54" i="8" s="1"/>
  <c r="DL50" i="8"/>
  <c r="DU49" i="8"/>
  <c r="DQ49" i="8"/>
  <c r="DQ50" i="8" s="1"/>
  <c r="DU48" i="8"/>
  <c r="DU50" i="8" s="1"/>
  <c r="DQ48" i="8"/>
  <c r="DT32" i="8"/>
  <c r="DT33" i="8" s="1"/>
  <c r="DS32" i="8"/>
  <c r="DS33" i="8" s="1"/>
  <c r="DR32" i="8"/>
  <c r="DP32" i="8"/>
  <c r="DP33" i="8" s="1"/>
  <c r="DO32" i="8"/>
  <c r="DO33" i="8" s="1"/>
  <c r="DN32" i="8"/>
  <c r="DM32" i="8"/>
  <c r="DM33" i="8" s="1"/>
  <c r="DL32" i="8"/>
  <c r="DL33" i="8" s="1"/>
  <c r="DU31" i="8"/>
  <c r="DQ31" i="8"/>
  <c r="DU30" i="8"/>
  <c r="DU32" i="8" s="1"/>
  <c r="DQ30" i="8"/>
  <c r="DQ32" i="8" s="1"/>
  <c r="DT29" i="8"/>
  <c r="DS29" i="8"/>
  <c r="DR29" i="8"/>
  <c r="DR33" i="8" s="1"/>
  <c r="DP29" i="8"/>
  <c r="DO29" i="8"/>
  <c r="DN29" i="8"/>
  <c r="DN33" i="8" s="1"/>
  <c r="DM29" i="8"/>
  <c r="DL29" i="8"/>
  <c r="DU28" i="8"/>
  <c r="DQ28" i="8"/>
  <c r="DU27" i="8"/>
  <c r="DU29" i="8" s="1"/>
  <c r="DQ27" i="8"/>
  <c r="DQ29" i="8" s="1"/>
  <c r="DQ33" i="8" s="1"/>
  <c r="DT25" i="8"/>
  <c r="DT26" i="8" s="1"/>
  <c r="DS25" i="8"/>
  <c r="DS26" i="8" s="1"/>
  <c r="DR25" i="8"/>
  <c r="DP25" i="8"/>
  <c r="DP26" i="8" s="1"/>
  <c r="DO25" i="8"/>
  <c r="DO26" i="8" s="1"/>
  <c r="DN25" i="8"/>
  <c r="DM25" i="8"/>
  <c r="DL25" i="8"/>
  <c r="DL26" i="8" s="1"/>
  <c r="DU24" i="8"/>
  <c r="DQ24" i="8"/>
  <c r="DU23" i="8"/>
  <c r="DU25" i="8" s="1"/>
  <c r="DQ23" i="8"/>
  <c r="DQ25" i="8" s="1"/>
  <c r="DT22" i="8"/>
  <c r="DS22" i="8"/>
  <c r="DR22" i="8"/>
  <c r="DR26" i="8" s="1"/>
  <c r="DQ22" i="8"/>
  <c r="DQ26" i="8" s="1"/>
  <c r="DP22" i="8"/>
  <c r="DO22" i="8"/>
  <c r="DN22" i="8"/>
  <c r="DN26" i="8" s="1"/>
  <c r="DM22" i="8"/>
  <c r="DM26" i="8" s="1"/>
  <c r="DL22" i="8"/>
  <c r="DU21" i="8"/>
  <c r="DQ21" i="8"/>
  <c r="DU20" i="8"/>
  <c r="DU22" i="8" s="1"/>
  <c r="DQ20" i="8"/>
  <c r="DT18" i="8"/>
  <c r="DT19" i="8" s="1"/>
  <c r="DS18" i="8"/>
  <c r="DS19" i="8" s="1"/>
  <c r="DR18" i="8"/>
  <c r="DP18" i="8"/>
  <c r="DP19" i="8" s="1"/>
  <c r="DO18" i="8"/>
  <c r="DO19" i="8" s="1"/>
  <c r="DN18" i="8"/>
  <c r="DM18" i="8"/>
  <c r="DL18" i="8"/>
  <c r="DL19" i="8" s="1"/>
  <c r="DU17" i="8"/>
  <c r="DQ17" i="8"/>
  <c r="DU16" i="8"/>
  <c r="DU18" i="8" s="1"/>
  <c r="DQ16" i="8"/>
  <c r="DQ18" i="8" s="1"/>
  <c r="DT15" i="8"/>
  <c r="DS15" i="8"/>
  <c r="DR15" i="8"/>
  <c r="DR19" i="8" s="1"/>
  <c r="DQ15" i="8"/>
  <c r="DQ19" i="8" s="1"/>
  <c r="DP15" i="8"/>
  <c r="DO15" i="8"/>
  <c r="DN15" i="8"/>
  <c r="DN19" i="8" s="1"/>
  <c r="DM15" i="8"/>
  <c r="DM19" i="8" s="1"/>
  <c r="DL15" i="8"/>
  <c r="DU14" i="8"/>
  <c r="DQ14" i="8"/>
  <c r="DU13" i="8"/>
  <c r="DU15" i="8" s="1"/>
  <c r="DQ13" i="8"/>
  <c r="DT11" i="8"/>
  <c r="DT12" i="8" s="1"/>
  <c r="DS11" i="8"/>
  <c r="DR11" i="8"/>
  <c r="DP11" i="8"/>
  <c r="DP12" i="8" s="1"/>
  <c r="DO11" i="8"/>
  <c r="DN11" i="8"/>
  <c r="DM11" i="8"/>
  <c r="DM12" i="8" s="1"/>
  <c r="DL11" i="8"/>
  <c r="DL12" i="8" s="1"/>
  <c r="DU10" i="8"/>
  <c r="DQ10" i="8"/>
  <c r="DU9" i="8"/>
  <c r="DU11" i="8" s="1"/>
  <c r="DU12" i="8" s="1"/>
  <c r="DQ9" i="8"/>
  <c r="DQ11" i="8" s="1"/>
  <c r="DT8" i="8"/>
  <c r="DS8" i="8"/>
  <c r="DS12" i="8" s="1"/>
  <c r="DR8" i="8"/>
  <c r="DR12" i="8" s="1"/>
  <c r="DP8" i="8"/>
  <c r="DO8" i="8"/>
  <c r="DO12" i="8" s="1"/>
  <c r="DN8" i="8"/>
  <c r="DN12" i="8" s="1"/>
  <c r="DM8" i="8"/>
  <c r="DL8" i="8"/>
  <c r="DU7" i="8"/>
  <c r="DQ7" i="8"/>
  <c r="DU6" i="8"/>
  <c r="DU8" i="8" s="1"/>
  <c r="DQ6" i="8"/>
  <c r="DQ8" i="8" s="1"/>
  <c r="DQ12" i="8" s="1"/>
  <c r="DU61" i="8" l="1"/>
  <c r="DQ61" i="8"/>
  <c r="DU54" i="8"/>
  <c r="DQ54" i="8"/>
  <c r="DU33" i="8"/>
  <c r="DU26" i="8"/>
  <c r="DU19" i="8"/>
  <c r="DC80" i="8"/>
  <c r="DC79" i="8"/>
  <c r="DF78" i="8"/>
  <c r="DE78" i="8"/>
  <c r="DD78" i="8"/>
  <c r="DB78" i="8"/>
  <c r="DA78" i="8"/>
  <c r="CZ78" i="8"/>
  <c r="CY78" i="8"/>
  <c r="CX78" i="8"/>
  <c r="DC77" i="8"/>
  <c r="DC76" i="8"/>
  <c r="DC78" i="8" s="1"/>
  <c r="DF74" i="8"/>
  <c r="DF75" i="8" s="1"/>
  <c r="DE74" i="8"/>
  <c r="DE75" i="8" s="1"/>
  <c r="DD74" i="8"/>
  <c r="DB74" i="8"/>
  <c r="DB75" i="8" s="1"/>
  <c r="DA74" i="8"/>
  <c r="DA75" i="8" s="1"/>
  <c r="CZ74" i="8"/>
  <c r="CY74" i="8"/>
  <c r="CY75" i="8" s="1"/>
  <c r="CX74" i="8"/>
  <c r="CX75" i="8" s="1"/>
  <c r="DC73" i="8"/>
  <c r="DC72" i="8"/>
  <c r="DC74" i="8" s="1"/>
  <c r="DF71" i="8"/>
  <c r="DE71" i="8"/>
  <c r="DD71" i="8"/>
  <c r="DD75" i="8" s="1"/>
  <c r="DB71" i="8"/>
  <c r="DA71" i="8"/>
  <c r="CZ71" i="8"/>
  <c r="CZ75" i="8" s="1"/>
  <c r="CY71" i="8"/>
  <c r="CX71" i="8"/>
  <c r="DC70" i="8"/>
  <c r="DC69" i="8"/>
  <c r="DC71" i="8" s="1"/>
  <c r="DC75" i="8" s="1"/>
  <c r="DF67" i="8"/>
  <c r="DF68" i="8" s="1"/>
  <c r="DE67" i="8"/>
  <c r="DE68" i="8" s="1"/>
  <c r="DD67" i="8"/>
  <c r="DD68" i="8" s="1"/>
  <c r="DB67" i="8"/>
  <c r="DB68" i="8" s="1"/>
  <c r="DA67" i="8"/>
  <c r="DA68" i="8" s="1"/>
  <c r="CZ67" i="8"/>
  <c r="CZ68" i="8" s="1"/>
  <c r="CY67" i="8"/>
  <c r="CX67" i="8"/>
  <c r="CX68" i="8" s="1"/>
  <c r="DC66" i="8"/>
  <c r="DC65" i="8"/>
  <c r="DC67" i="8" s="1"/>
  <c r="DF64" i="8"/>
  <c r="DE64" i="8"/>
  <c r="DD64" i="8"/>
  <c r="DC64" i="8"/>
  <c r="DC68" i="8" s="1"/>
  <c r="DB64" i="8"/>
  <c r="DA64" i="8"/>
  <c r="CZ64" i="8"/>
  <c r="CY64" i="8"/>
  <c r="CY68" i="8" s="1"/>
  <c r="CX64" i="8"/>
  <c r="DC63" i="8"/>
  <c r="DC62" i="8"/>
  <c r="DF61" i="8"/>
  <c r="DB61" i="8"/>
  <c r="CX61" i="8"/>
  <c r="DF60" i="8"/>
  <c r="DE60" i="8"/>
  <c r="DE61" i="8" s="1"/>
  <c r="DD60" i="8"/>
  <c r="DD61" i="8" s="1"/>
  <c r="DC60" i="8"/>
  <c r="DB60" i="8"/>
  <c r="DA60" i="8"/>
  <c r="DA61" i="8" s="1"/>
  <c r="CZ60" i="8"/>
  <c r="CZ61" i="8" s="1"/>
  <c r="CY60" i="8"/>
  <c r="CY61" i="8" s="1"/>
  <c r="CX60" i="8"/>
  <c r="DF57" i="8"/>
  <c r="DE57" i="8"/>
  <c r="DD57" i="8"/>
  <c r="DC57" i="8"/>
  <c r="DC61" i="8" s="1"/>
  <c r="DB57" i="8"/>
  <c r="DA57" i="8"/>
  <c r="CZ57" i="8"/>
  <c r="CY57" i="8"/>
  <c r="CX57" i="8"/>
  <c r="DE54" i="8"/>
  <c r="DA54" i="8"/>
  <c r="DF53" i="8"/>
  <c r="DF54" i="8" s="1"/>
  <c r="DE53" i="8"/>
  <c r="DD53" i="8"/>
  <c r="DD54" i="8" s="1"/>
  <c r="DC53" i="8"/>
  <c r="DB53" i="8"/>
  <c r="DB54" i="8" s="1"/>
  <c r="DA53" i="8"/>
  <c r="CZ53" i="8"/>
  <c r="CZ54" i="8" s="1"/>
  <c r="CY53" i="8"/>
  <c r="CY54" i="8" s="1"/>
  <c r="CX53" i="8"/>
  <c r="CX54" i="8" s="1"/>
  <c r="DC52" i="8"/>
  <c r="DC51" i="8"/>
  <c r="DF50" i="8"/>
  <c r="DD50" i="8"/>
  <c r="DB50" i="8"/>
  <c r="DA50" i="8"/>
  <c r="CZ50" i="8"/>
  <c r="CY50" i="8"/>
  <c r="CX50" i="8"/>
  <c r="DC49" i="8"/>
  <c r="DC48" i="8"/>
  <c r="DC50" i="8" s="1"/>
  <c r="DC54" i="8" s="1"/>
  <c r="DC47" i="8"/>
  <c r="CY47" i="8"/>
  <c r="DF46" i="8"/>
  <c r="DF47" i="8" s="1"/>
  <c r="DE46" i="8"/>
  <c r="DE47" i="8" s="1"/>
  <c r="DD46" i="8"/>
  <c r="DD47" i="8" s="1"/>
  <c r="DC46" i="8"/>
  <c r="DB46" i="8"/>
  <c r="DB47" i="8" s="1"/>
  <c r="DA46" i="8"/>
  <c r="DA47" i="8" s="1"/>
  <c r="CZ46" i="8"/>
  <c r="CZ47" i="8" s="1"/>
  <c r="CY46" i="8"/>
  <c r="CX46" i="8"/>
  <c r="CX47" i="8" s="1"/>
  <c r="DF43" i="8"/>
  <c r="DE43" i="8"/>
  <c r="DD43" i="8"/>
  <c r="DC43" i="8"/>
  <c r="DB43" i="8"/>
  <c r="DA43" i="8"/>
  <c r="CZ43" i="8"/>
  <c r="CY43" i="8"/>
  <c r="CX43" i="8"/>
  <c r="DF39" i="8"/>
  <c r="DE39" i="8"/>
  <c r="DE40" i="8" s="1"/>
  <c r="DD39" i="8"/>
  <c r="DD40" i="8" s="1"/>
  <c r="DC39" i="8"/>
  <c r="DB39" i="8"/>
  <c r="DA39" i="8"/>
  <c r="DA40" i="8" s="1"/>
  <c r="CZ39" i="8"/>
  <c r="CZ40" i="8" s="1"/>
  <c r="CY39" i="8"/>
  <c r="CY40" i="8" s="1"/>
  <c r="CX39" i="8"/>
  <c r="DC38" i="8"/>
  <c r="DC37" i="8"/>
  <c r="DF36" i="8"/>
  <c r="DF40" i="8" s="1"/>
  <c r="DE36" i="8"/>
  <c r="DD36" i="8"/>
  <c r="DC36" i="8"/>
  <c r="DC40" i="8" s="1"/>
  <c r="DB36" i="8"/>
  <c r="DB40" i="8" s="1"/>
  <c r="DA36" i="8"/>
  <c r="CZ36" i="8"/>
  <c r="CY36" i="8"/>
  <c r="CX36" i="8"/>
  <c r="CX40" i="8" s="1"/>
  <c r="DC35" i="8"/>
  <c r="DC34" i="8"/>
  <c r="DE33" i="8"/>
  <c r="DA33" i="8"/>
  <c r="DF32" i="8"/>
  <c r="DF33" i="8" s="1"/>
  <c r="DE32" i="8"/>
  <c r="DD32" i="8"/>
  <c r="DD33" i="8" s="1"/>
  <c r="DC32" i="8"/>
  <c r="DB32" i="8"/>
  <c r="DB33" i="8" s="1"/>
  <c r="DA32" i="8"/>
  <c r="CZ32" i="8"/>
  <c r="CZ33" i="8" s="1"/>
  <c r="CY32" i="8"/>
  <c r="CY33" i="8" s="1"/>
  <c r="CX32" i="8"/>
  <c r="CX33" i="8" s="1"/>
  <c r="DF29" i="8"/>
  <c r="DE29" i="8"/>
  <c r="DD29" i="8"/>
  <c r="DC29" i="8"/>
  <c r="DC33" i="8" s="1"/>
  <c r="DB29" i="8"/>
  <c r="DA29" i="8"/>
  <c r="CZ29" i="8"/>
  <c r="CY29" i="8"/>
  <c r="CX29" i="8"/>
  <c r="DF25" i="8"/>
  <c r="DF26" i="8" s="1"/>
  <c r="DE25" i="8"/>
  <c r="DE26" i="8" s="1"/>
  <c r="DD25" i="8"/>
  <c r="DB25" i="8"/>
  <c r="DB26" i="8" s="1"/>
  <c r="DA25" i="8"/>
  <c r="DA26" i="8" s="1"/>
  <c r="CZ25" i="8"/>
  <c r="CY25" i="8"/>
  <c r="CY26" i="8" s="1"/>
  <c r="CX25" i="8"/>
  <c r="CX26" i="8" s="1"/>
  <c r="DC24" i="8"/>
  <c r="DC23" i="8"/>
  <c r="DC25" i="8" s="1"/>
  <c r="DF22" i="8"/>
  <c r="DE22" i="8"/>
  <c r="DD22" i="8"/>
  <c r="DD26" i="8" s="1"/>
  <c r="DB22" i="8"/>
  <c r="DA22" i="8"/>
  <c r="CZ22" i="8"/>
  <c r="CZ26" i="8" s="1"/>
  <c r="CY22" i="8"/>
  <c r="CX22" i="8"/>
  <c r="DC21" i="8"/>
  <c r="DC20" i="8"/>
  <c r="DC22" i="8" s="1"/>
  <c r="DC19" i="8"/>
  <c r="CY19" i="8"/>
  <c r="DF18" i="8"/>
  <c r="DF19" i="8" s="1"/>
  <c r="DE18" i="8"/>
  <c r="DE19" i="8" s="1"/>
  <c r="DD18" i="8"/>
  <c r="DD19" i="8" s="1"/>
  <c r="DC18" i="8"/>
  <c r="DB18" i="8"/>
  <c r="DB19" i="8" s="1"/>
  <c r="DA18" i="8"/>
  <c r="DA19" i="8" s="1"/>
  <c r="CZ18" i="8"/>
  <c r="CZ19" i="8" s="1"/>
  <c r="CY18" i="8"/>
  <c r="CX18" i="8"/>
  <c r="CX19" i="8" s="1"/>
  <c r="DF15" i="8"/>
  <c r="DE15" i="8"/>
  <c r="DD15" i="8"/>
  <c r="DC15" i="8"/>
  <c r="DB15" i="8"/>
  <c r="DA15" i="8"/>
  <c r="CZ15" i="8"/>
  <c r="CY15" i="8"/>
  <c r="CX15" i="8"/>
  <c r="DF11" i="8"/>
  <c r="DE11" i="8"/>
  <c r="DE12" i="8" s="1"/>
  <c r="DD11" i="8"/>
  <c r="DD12" i="8" s="1"/>
  <c r="DC11" i="8"/>
  <c r="DB11" i="8"/>
  <c r="DA11" i="8"/>
  <c r="DA12" i="8" s="1"/>
  <c r="CZ11" i="8"/>
  <c r="CZ12" i="8" s="1"/>
  <c r="CY11" i="8"/>
  <c r="CY12" i="8" s="1"/>
  <c r="CX11" i="8"/>
  <c r="DC10" i="8"/>
  <c r="DC9" i="8"/>
  <c r="DF8" i="8"/>
  <c r="DF12" i="8" s="1"/>
  <c r="DE8" i="8"/>
  <c r="DD8" i="8"/>
  <c r="DC8" i="8"/>
  <c r="DC12" i="8" s="1"/>
  <c r="DB8" i="8"/>
  <c r="DB12" i="8" s="1"/>
  <c r="DA8" i="8"/>
  <c r="CZ8" i="8"/>
  <c r="CY8" i="8"/>
  <c r="CX8" i="8"/>
  <c r="CX12" i="8" s="1"/>
  <c r="DC7" i="8"/>
  <c r="DC6" i="8"/>
  <c r="DC26" i="8" l="1"/>
  <c r="BJ60" i="8" l="1"/>
  <c r="FJ97" i="8" l="1"/>
  <c r="FI97" i="8"/>
  <c r="FH97" i="8"/>
  <c r="FF97" i="8"/>
  <c r="FE97" i="8"/>
  <c r="FD97" i="8"/>
  <c r="FC97" i="8"/>
  <c r="FB97" i="8"/>
  <c r="FJ96" i="8"/>
  <c r="FJ98" i="8" s="1"/>
  <c r="FI96" i="8"/>
  <c r="FI98" i="8" s="1"/>
  <c r="FH96" i="8"/>
  <c r="FF96" i="8"/>
  <c r="FF98" i="8" s="1"/>
  <c r="FE96" i="8"/>
  <c r="FE98" i="8" s="1"/>
  <c r="FD96" i="8"/>
  <c r="FD98" i="8" s="1"/>
  <c r="FC96" i="8"/>
  <c r="FC98" i="8" s="1"/>
  <c r="FB96" i="8"/>
  <c r="FB98" i="8" s="1"/>
  <c r="FJ94" i="8"/>
  <c r="FI94" i="8"/>
  <c r="FH94" i="8"/>
  <c r="FF94" i="8"/>
  <c r="FE94" i="8"/>
  <c r="FD94" i="8"/>
  <c r="FC94" i="8"/>
  <c r="FB94" i="8"/>
  <c r="FJ93" i="8"/>
  <c r="FJ95" i="8" s="1"/>
  <c r="FI93" i="8"/>
  <c r="FI95" i="8" s="1"/>
  <c r="FH93" i="8"/>
  <c r="FH95" i="8" s="1"/>
  <c r="FF93" i="8"/>
  <c r="FF95" i="8" s="1"/>
  <c r="FE93" i="8"/>
  <c r="FE95" i="8" s="1"/>
  <c r="FD93" i="8"/>
  <c r="FD95" i="8" s="1"/>
  <c r="FC93" i="8"/>
  <c r="FC95" i="8" s="1"/>
  <c r="FB93" i="8"/>
  <c r="FB95" i="8" s="1"/>
  <c r="FG90" i="8"/>
  <c r="FJ88" i="8"/>
  <c r="FI88" i="8"/>
  <c r="FH88" i="8"/>
  <c r="FF88" i="8"/>
  <c r="FE88" i="8"/>
  <c r="FD88" i="8"/>
  <c r="FC88" i="8"/>
  <c r="FB88" i="8"/>
  <c r="FK87" i="8"/>
  <c r="FG87" i="8"/>
  <c r="FK86" i="8"/>
  <c r="FG86" i="8"/>
  <c r="FJ85" i="8"/>
  <c r="FI85" i="8"/>
  <c r="FH85" i="8"/>
  <c r="FF85" i="8"/>
  <c r="FE85" i="8"/>
  <c r="FD85" i="8"/>
  <c r="FD89" i="8" s="1"/>
  <c r="FC85" i="8"/>
  <c r="FB85" i="8"/>
  <c r="FK84" i="8"/>
  <c r="FG84" i="8"/>
  <c r="FK83" i="8"/>
  <c r="FG83" i="8"/>
  <c r="FJ81" i="8"/>
  <c r="FI81" i="8"/>
  <c r="FH81" i="8"/>
  <c r="FF81" i="8"/>
  <c r="FE81" i="8"/>
  <c r="FD81" i="8"/>
  <c r="FC81" i="8"/>
  <c r="FB81" i="8"/>
  <c r="FK80" i="8"/>
  <c r="FG80" i="8"/>
  <c r="FK79" i="8"/>
  <c r="FG79" i="8"/>
  <c r="FJ78" i="8"/>
  <c r="FJ82" i="8" s="1"/>
  <c r="FI78" i="8"/>
  <c r="FH78" i="8"/>
  <c r="FF78" i="8"/>
  <c r="FF82" i="8" s="1"/>
  <c r="FE78" i="8"/>
  <c r="FD78" i="8"/>
  <c r="FC78" i="8"/>
  <c r="FB78" i="8"/>
  <c r="FB82" i="8" s="1"/>
  <c r="FK77" i="8"/>
  <c r="FG77" i="8"/>
  <c r="FK76" i="8"/>
  <c r="FG76" i="8"/>
  <c r="FJ74" i="8"/>
  <c r="FI74" i="8"/>
  <c r="FH74" i="8"/>
  <c r="FF74" i="8"/>
  <c r="FE74" i="8"/>
  <c r="FD74" i="8"/>
  <c r="FC74" i="8"/>
  <c r="FB74" i="8"/>
  <c r="FK73" i="8"/>
  <c r="FG73" i="8"/>
  <c r="FK72" i="8"/>
  <c r="FK74" i="8" s="1"/>
  <c r="FG72" i="8"/>
  <c r="FJ71" i="8"/>
  <c r="FI71" i="8"/>
  <c r="FH71" i="8"/>
  <c r="FH75" i="8" s="1"/>
  <c r="FF71" i="8"/>
  <c r="FE71" i="8"/>
  <c r="FD71" i="8"/>
  <c r="FD75" i="8" s="1"/>
  <c r="FC71" i="8"/>
  <c r="FB71" i="8"/>
  <c r="FK70" i="8"/>
  <c r="FG70" i="8"/>
  <c r="FK69" i="8"/>
  <c r="FK71" i="8" s="1"/>
  <c r="FG69" i="8"/>
  <c r="FJ67" i="8"/>
  <c r="FI67" i="8"/>
  <c r="FH67" i="8"/>
  <c r="FF67" i="8"/>
  <c r="FE67" i="8"/>
  <c r="FD67" i="8"/>
  <c r="FC67" i="8"/>
  <c r="FB67" i="8"/>
  <c r="FK66" i="8"/>
  <c r="FG66" i="8"/>
  <c r="FK65" i="8"/>
  <c r="FK67" i="8" s="1"/>
  <c r="FG65" i="8"/>
  <c r="FJ64" i="8"/>
  <c r="FJ68" i="8" s="1"/>
  <c r="FI64" i="8"/>
  <c r="FH64" i="8"/>
  <c r="FF64" i="8"/>
  <c r="FF68" i="8" s="1"/>
  <c r="FE64" i="8"/>
  <c r="FD64" i="8"/>
  <c r="FC64" i="8"/>
  <c r="FB64" i="8"/>
  <c r="FB68" i="8" s="1"/>
  <c r="FK63" i="8"/>
  <c r="FG63" i="8"/>
  <c r="FK62" i="8"/>
  <c r="FK64" i="8" s="1"/>
  <c r="FG62" i="8"/>
  <c r="FJ60" i="8"/>
  <c r="FI60" i="8"/>
  <c r="FH60" i="8"/>
  <c r="FF60" i="8"/>
  <c r="FE60" i="8"/>
  <c r="FD60" i="8"/>
  <c r="FC60" i="8"/>
  <c r="FB60" i="8"/>
  <c r="FK59" i="8"/>
  <c r="FG59" i="8"/>
  <c r="FK58" i="8"/>
  <c r="FK60" i="8" s="1"/>
  <c r="FG58" i="8"/>
  <c r="FJ57" i="8"/>
  <c r="FI57" i="8"/>
  <c r="FH57" i="8"/>
  <c r="FH61" i="8" s="1"/>
  <c r="FF57" i="8"/>
  <c r="FE57" i="8"/>
  <c r="FD57" i="8"/>
  <c r="FD61" i="8" s="1"/>
  <c r="FC57" i="8"/>
  <c r="FB57" i="8"/>
  <c r="FK56" i="8"/>
  <c r="FG56" i="8"/>
  <c r="FK55" i="8"/>
  <c r="FK57" i="8" s="1"/>
  <c r="FG55" i="8"/>
  <c r="FJ53" i="8"/>
  <c r="FI53" i="8"/>
  <c r="FH53" i="8"/>
  <c r="FF53" i="8"/>
  <c r="FE53" i="8"/>
  <c r="FD53" i="8"/>
  <c r="FC53" i="8"/>
  <c r="FB53" i="8"/>
  <c r="FK52" i="8"/>
  <c r="FG52" i="8"/>
  <c r="FK51" i="8"/>
  <c r="FK53" i="8" s="1"/>
  <c r="FG51" i="8"/>
  <c r="FJ50" i="8"/>
  <c r="FJ54" i="8" s="1"/>
  <c r="FI50" i="8"/>
  <c r="FH50" i="8"/>
  <c r="FF50" i="8"/>
  <c r="FF54" i="8" s="1"/>
  <c r="FE50" i="8"/>
  <c r="FD50" i="8"/>
  <c r="FC50" i="8"/>
  <c r="FB50" i="8"/>
  <c r="FB54" i="8" s="1"/>
  <c r="FK49" i="8"/>
  <c r="FG49" i="8"/>
  <c r="FK48" i="8"/>
  <c r="FK50" i="8" s="1"/>
  <c r="FG48" i="8"/>
  <c r="FJ46" i="8"/>
  <c r="FI46" i="8"/>
  <c r="FH46" i="8"/>
  <c r="FF46" i="8"/>
  <c r="FE46" i="8"/>
  <c r="FD46" i="8"/>
  <c r="FC46" i="8"/>
  <c r="FB46" i="8"/>
  <c r="FK45" i="8"/>
  <c r="FG45" i="8"/>
  <c r="FK44" i="8"/>
  <c r="FK46" i="8" s="1"/>
  <c r="FG44" i="8"/>
  <c r="FJ43" i="8"/>
  <c r="FI43" i="8"/>
  <c r="FH43" i="8"/>
  <c r="FH47" i="8" s="1"/>
  <c r="FF43" i="8"/>
  <c r="FE43" i="8"/>
  <c r="FD43" i="8"/>
  <c r="FD47" i="8" s="1"/>
  <c r="FC43" i="8"/>
  <c r="FB43" i="8"/>
  <c r="FK42" i="8"/>
  <c r="FG42" i="8"/>
  <c r="FK41" i="8"/>
  <c r="FK43" i="8" s="1"/>
  <c r="FG41" i="8"/>
  <c r="FJ39" i="8"/>
  <c r="FI39" i="8"/>
  <c r="FH39" i="8"/>
  <c r="FF39" i="8"/>
  <c r="FE39" i="8"/>
  <c r="FD39" i="8"/>
  <c r="FC39" i="8"/>
  <c r="FB39" i="8"/>
  <c r="FK38" i="8"/>
  <c r="FG38" i="8"/>
  <c r="FK37" i="8"/>
  <c r="FK39" i="8" s="1"/>
  <c r="FG37" i="8"/>
  <c r="FJ36" i="8"/>
  <c r="FJ40" i="8" s="1"/>
  <c r="FI36" i="8"/>
  <c r="FH36" i="8"/>
  <c r="FF36" i="8"/>
  <c r="FF40" i="8" s="1"/>
  <c r="FE36" i="8"/>
  <c r="FD36" i="8"/>
  <c r="FC36" i="8"/>
  <c r="FB36" i="8"/>
  <c r="FB40" i="8" s="1"/>
  <c r="FK35" i="8"/>
  <c r="FG35" i="8"/>
  <c r="FK34" i="8"/>
  <c r="FK36" i="8" s="1"/>
  <c r="FG34" i="8"/>
  <c r="FJ32" i="8"/>
  <c r="FI32" i="8"/>
  <c r="FH32" i="8"/>
  <c r="FF32" i="8"/>
  <c r="FE32" i="8"/>
  <c r="FD32" i="8"/>
  <c r="FC32" i="8"/>
  <c r="FB32" i="8"/>
  <c r="FK31" i="8"/>
  <c r="FG31" i="8"/>
  <c r="FK30" i="8"/>
  <c r="FK32" i="8" s="1"/>
  <c r="FG30" i="8"/>
  <c r="FJ29" i="8"/>
  <c r="FI29" i="8"/>
  <c r="FI33" i="8" s="1"/>
  <c r="FH29" i="8"/>
  <c r="FH33" i="8" s="1"/>
  <c r="FF29" i="8"/>
  <c r="FE29" i="8"/>
  <c r="FE33" i="8" s="1"/>
  <c r="FD29" i="8"/>
  <c r="FD33" i="8" s="1"/>
  <c r="FC29" i="8"/>
  <c r="FB29" i="8"/>
  <c r="FK28" i="8"/>
  <c r="FG28" i="8"/>
  <c r="FK27" i="8"/>
  <c r="FK29" i="8" s="1"/>
  <c r="FG27" i="8"/>
  <c r="FJ25" i="8"/>
  <c r="FI25" i="8"/>
  <c r="FH25" i="8"/>
  <c r="FF25" i="8"/>
  <c r="FE25" i="8"/>
  <c r="FD25" i="8"/>
  <c r="FC25" i="8"/>
  <c r="FB25" i="8"/>
  <c r="FK24" i="8"/>
  <c r="FG24" i="8"/>
  <c r="FK23" i="8"/>
  <c r="FK25" i="8" s="1"/>
  <c r="FG23" i="8"/>
  <c r="FJ22" i="8"/>
  <c r="FJ26" i="8" s="1"/>
  <c r="FI22" i="8"/>
  <c r="FH22" i="8"/>
  <c r="FF22" i="8"/>
  <c r="FF26" i="8" s="1"/>
  <c r="FE22" i="8"/>
  <c r="FD22" i="8"/>
  <c r="FC22" i="8"/>
  <c r="FC26" i="8" s="1"/>
  <c r="FB22" i="8"/>
  <c r="FB26" i="8" s="1"/>
  <c r="FK21" i="8"/>
  <c r="FG21" i="8"/>
  <c r="FK20" i="8"/>
  <c r="FK22" i="8" s="1"/>
  <c r="FG20" i="8"/>
  <c r="FJ18" i="8"/>
  <c r="FI18" i="8"/>
  <c r="FH18" i="8"/>
  <c r="FF18" i="8"/>
  <c r="FE18" i="8"/>
  <c r="FD18" i="8"/>
  <c r="FC18" i="8"/>
  <c r="FB18" i="8"/>
  <c r="FK17" i="8"/>
  <c r="FG17" i="8"/>
  <c r="FK16" i="8"/>
  <c r="FK18" i="8" s="1"/>
  <c r="FG16" i="8"/>
  <c r="FJ15" i="8"/>
  <c r="FI15" i="8"/>
  <c r="FI19" i="8" s="1"/>
  <c r="FH15" i="8"/>
  <c r="FH19" i="8" s="1"/>
  <c r="FF15" i="8"/>
  <c r="FE15" i="8"/>
  <c r="FE19" i="8" s="1"/>
  <c r="FD15" i="8"/>
  <c r="FD19" i="8" s="1"/>
  <c r="FC15" i="8"/>
  <c r="FB15" i="8"/>
  <c r="FK14" i="8"/>
  <c r="FG14" i="8"/>
  <c r="FK13" i="8"/>
  <c r="FK15" i="8" s="1"/>
  <c r="FG13" i="8"/>
  <c r="FJ11" i="8"/>
  <c r="FI11" i="8"/>
  <c r="FH11" i="8"/>
  <c r="FF11" i="8"/>
  <c r="FE11" i="8"/>
  <c r="FD11" i="8"/>
  <c r="FC11" i="8"/>
  <c r="FB11" i="8"/>
  <c r="FK10" i="8"/>
  <c r="FG10" i="8"/>
  <c r="FK9" i="8"/>
  <c r="FK11" i="8" s="1"/>
  <c r="FG9" i="8"/>
  <c r="FJ8" i="8"/>
  <c r="FJ12" i="8" s="1"/>
  <c r="FI8" i="8"/>
  <c r="FH8" i="8"/>
  <c r="FF8" i="8"/>
  <c r="FF12" i="8" s="1"/>
  <c r="FE8" i="8"/>
  <c r="FD8" i="8"/>
  <c r="FC8" i="8"/>
  <c r="FB8" i="8"/>
  <c r="FB12" i="8" s="1"/>
  <c r="FK7" i="8"/>
  <c r="FG7" i="8"/>
  <c r="FK6" i="8"/>
  <c r="FK8" i="8" s="1"/>
  <c r="FG6" i="8"/>
  <c r="EV97" i="8"/>
  <c r="EU97" i="8"/>
  <c r="ET97" i="8"/>
  <c r="EW97" i="8" s="1"/>
  <c r="ER97" i="8"/>
  <c r="EQ97" i="8"/>
  <c r="EP97" i="8"/>
  <c r="EO97" i="8"/>
  <c r="EN97" i="8"/>
  <c r="EV96" i="8"/>
  <c r="EV98" i="8" s="1"/>
  <c r="EU96" i="8"/>
  <c r="EU98" i="8" s="1"/>
  <c r="ET96" i="8"/>
  <c r="ET98" i="8" s="1"/>
  <c r="ER96" i="8"/>
  <c r="EQ96" i="8"/>
  <c r="EQ98" i="8" s="1"/>
  <c r="EP96" i="8"/>
  <c r="EP98" i="8" s="1"/>
  <c r="EO96" i="8"/>
  <c r="EO98" i="8" s="1"/>
  <c r="EN96" i="8"/>
  <c r="EV94" i="8"/>
  <c r="EU94" i="8"/>
  <c r="ET94" i="8"/>
  <c r="ER94" i="8"/>
  <c r="EQ94" i="8"/>
  <c r="EP94" i="8"/>
  <c r="EO94" i="8"/>
  <c r="EN94" i="8"/>
  <c r="EV93" i="8"/>
  <c r="EV95" i="8" s="1"/>
  <c r="EU93" i="8"/>
  <c r="ET93" i="8"/>
  <c r="ET95" i="8" s="1"/>
  <c r="ER93" i="8"/>
  <c r="ER95" i="8" s="1"/>
  <c r="EQ93" i="8"/>
  <c r="EQ95" i="8" s="1"/>
  <c r="EP93" i="8"/>
  <c r="EP95" i="8" s="1"/>
  <c r="EO93" i="8"/>
  <c r="EO95" i="8" s="1"/>
  <c r="EN93" i="8"/>
  <c r="EN95" i="8" s="1"/>
  <c r="ES90" i="8"/>
  <c r="EV88" i="8"/>
  <c r="EU88" i="8"/>
  <c r="ET88" i="8"/>
  <c r="ER88" i="8"/>
  <c r="EQ88" i="8"/>
  <c r="EP88" i="8"/>
  <c r="EO88" i="8"/>
  <c r="EN88" i="8"/>
  <c r="EW87" i="8"/>
  <c r="ES87" i="8"/>
  <c r="EW86" i="8"/>
  <c r="ES86" i="8"/>
  <c r="EV85" i="8"/>
  <c r="EU85" i="8"/>
  <c r="ET85" i="8"/>
  <c r="ET89" i="8" s="1"/>
  <c r="ER85" i="8"/>
  <c r="EQ85" i="8"/>
  <c r="EP85" i="8"/>
  <c r="EP89" i="8" s="1"/>
  <c r="EO85" i="8"/>
  <c r="EO89" i="8" s="1"/>
  <c r="EN85" i="8"/>
  <c r="EW84" i="8"/>
  <c r="ES84" i="8"/>
  <c r="EW83" i="8"/>
  <c r="ES83" i="8"/>
  <c r="EV81" i="8"/>
  <c r="EU81" i="8"/>
  <c r="ET81" i="8"/>
  <c r="ER81" i="8"/>
  <c r="EQ81" i="8"/>
  <c r="EP81" i="8"/>
  <c r="EO81" i="8"/>
  <c r="EN81" i="8"/>
  <c r="EW80" i="8"/>
  <c r="ES80" i="8"/>
  <c r="EW79" i="8"/>
  <c r="ES79" i="8"/>
  <c r="EV78" i="8"/>
  <c r="EV82" i="8" s="1"/>
  <c r="EU78" i="8"/>
  <c r="EU82" i="8" s="1"/>
  <c r="ET78" i="8"/>
  <c r="ER78" i="8"/>
  <c r="ER82" i="8" s="1"/>
  <c r="EQ78" i="8"/>
  <c r="EQ82" i="8" s="1"/>
  <c r="EP78" i="8"/>
  <c r="EO78" i="8"/>
  <c r="EN78" i="8"/>
  <c r="EN82" i="8" s="1"/>
  <c r="EW77" i="8"/>
  <c r="ES77" i="8"/>
  <c r="EW76" i="8"/>
  <c r="ES76" i="8"/>
  <c r="EV74" i="8"/>
  <c r="EU74" i="8"/>
  <c r="ET74" i="8"/>
  <c r="ER74" i="8"/>
  <c r="EQ74" i="8"/>
  <c r="EP74" i="8"/>
  <c r="EO74" i="8"/>
  <c r="EN74" i="8"/>
  <c r="EW73" i="8"/>
  <c r="ES73" i="8"/>
  <c r="EW72" i="8"/>
  <c r="ES72" i="8"/>
  <c r="EV71" i="8"/>
  <c r="EU71" i="8"/>
  <c r="ET71" i="8"/>
  <c r="ET75" i="8" s="1"/>
  <c r="ER71" i="8"/>
  <c r="EQ71" i="8"/>
  <c r="EP71" i="8"/>
  <c r="EP75" i="8" s="1"/>
  <c r="EO71" i="8"/>
  <c r="EO75" i="8" s="1"/>
  <c r="EN71" i="8"/>
  <c r="EW70" i="8"/>
  <c r="ES70" i="8"/>
  <c r="EW69" i="8"/>
  <c r="ES69" i="8"/>
  <c r="EV67" i="8"/>
  <c r="EU67" i="8"/>
  <c r="ET67" i="8"/>
  <c r="ER67" i="8"/>
  <c r="EQ67" i="8"/>
  <c r="EP67" i="8"/>
  <c r="EO67" i="8"/>
  <c r="EN67" i="8"/>
  <c r="EW66" i="8"/>
  <c r="ES66" i="8"/>
  <c r="ES67" i="8" s="1"/>
  <c r="EW65" i="8"/>
  <c r="ES65" i="8"/>
  <c r="EV64" i="8"/>
  <c r="EU64" i="8"/>
  <c r="ET64" i="8"/>
  <c r="ER64" i="8"/>
  <c r="ER68" i="8" s="1"/>
  <c r="EQ64" i="8"/>
  <c r="EQ68" i="8" s="1"/>
  <c r="EP64" i="8"/>
  <c r="EO64" i="8"/>
  <c r="EN64" i="8"/>
  <c r="EN68" i="8" s="1"/>
  <c r="EW63" i="8"/>
  <c r="ES63" i="8"/>
  <c r="EW62" i="8"/>
  <c r="ES62" i="8"/>
  <c r="EV60" i="8"/>
  <c r="EU60" i="8"/>
  <c r="ET60" i="8"/>
  <c r="ER60" i="8"/>
  <c r="EQ60" i="8"/>
  <c r="EP60" i="8"/>
  <c r="EO60" i="8"/>
  <c r="EN60" i="8"/>
  <c r="EW59" i="8"/>
  <c r="ES59" i="8"/>
  <c r="EW58" i="8"/>
  <c r="ES58" i="8"/>
  <c r="EV57" i="8"/>
  <c r="EU57" i="8"/>
  <c r="ET57" i="8"/>
  <c r="ET61" i="8" s="1"/>
  <c r="ER57" i="8"/>
  <c r="EQ57" i="8"/>
  <c r="EP57" i="8"/>
  <c r="EP61" i="8" s="1"/>
  <c r="EO57" i="8"/>
  <c r="EO61" i="8" s="1"/>
  <c r="EN57" i="8"/>
  <c r="EW56" i="8"/>
  <c r="ES56" i="8"/>
  <c r="EW55" i="8"/>
  <c r="ES55" i="8"/>
  <c r="EV53" i="8"/>
  <c r="EU53" i="8"/>
  <c r="ET53" i="8"/>
  <c r="ER53" i="8"/>
  <c r="EQ53" i="8"/>
  <c r="EP53" i="8"/>
  <c r="EO53" i="8"/>
  <c r="EN53" i="8"/>
  <c r="EW52" i="8"/>
  <c r="ES52" i="8"/>
  <c r="EW51" i="8"/>
  <c r="ES51" i="8"/>
  <c r="EV50" i="8"/>
  <c r="EV54" i="8" s="1"/>
  <c r="EU50" i="8"/>
  <c r="EU54" i="8" s="1"/>
  <c r="ET50" i="8"/>
  <c r="ER50" i="8"/>
  <c r="ER54" i="8" s="1"/>
  <c r="EQ50" i="8"/>
  <c r="EQ54" i="8" s="1"/>
  <c r="EP50" i="8"/>
  <c r="EO50" i="8"/>
  <c r="EN50" i="8"/>
  <c r="EN54" i="8" s="1"/>
  <c r="EW49" i="8"/>
  <c r="ES49" i="8"/>
  <c r="EW48" i="8"/>
  <c r="ES48" i="8"/>
  <c r="EV46" i="8"/>
  <c r="EU46" i="8"/>
  <c r="ET46" i="8"/>
  <c r="ER46" i="8"/>
  <c r="EQ46" i="8"/>
  <c r="EP46" i="8"/>
  <c r="EO46" i="8"/>
  <c r="EN46" i="8"/>
  <c r="EW45" i="8"/>
  <c r="ES45" i="8"/>
  <c r="EW44" i="8"/>
  <c r="ES44" i="8"/>
  <c r="EV43" i="8"/>
  <c r="EU43" i="8"/>
  <c r="ET43" i="8"/>
  <c r="ET47" i="8" s="1"/>
  <c r="ER43" i="8"/>
  <c r="EQ43" i="8"/>
  <c r="EP43" i="8"/>
  <c r="EO43" i="8"/>
  <c r="EO47" i="8" s="1"/>
  <c r="EN43" i="8"/>
  <c r="EW42" i="8"/>
  <c r="ES42" i="8"/>
  <c r="EW41" i="8"/>
  <c r="ES41" i="8"/>
  <c r="EV39" i="8"/>
  <c r="EU39" i="8"/>
  <c r="ET39" i="8"/>
  <c r="ER39" i="8"/>
  <c r="EQ39" i="8"/>
  <c r="EP39" i="8"/>
  <c r="EO39" i="8"/>
  <c r="EN39" i="8"/>
  <c r="EW38" i="8"/>
  <c r="ES38" i="8"/>
  <c r="EW37" i="8"/>
  <c r="ES37" i="8"/>
  <c r="EV36" i="8"/>
  <c r="EU36" i="8"/>
  <c r="EU40" i="8" s="1"/>
  <c r="ET36" i="8"/>
  <c r="ER36" i="8"/>
  <c r="ER40" i="8" s="1"/>
  <c r="EQ36" i="8"/>
  <c r="EQ40" i="8" s="1"/>
  <c r="EP36" i="8"/>
  <c r="EO36" i="8"/>
  <c r="EN36" i="8"/>
  <c r="EN40" i="8" s="1"/>
  <c r="EW35" i="8"/>
  <c r="ES35" i="8"/>
  <c r="EW34" i="8"/>
  <c r="ES34" i="8"/>
  <c r="EV32" i="8"/>
  <c r="EU32" i="8"/>
  <c r="ET32" i="8"/>
  <c r="ER32" i="8"/>
  <c r="EQ32" i="8"/>
  <c r="EP32" i="8"/>
  <c r="EO32" i="8"/>
  <c r="EN32" i="8"/>
  <c r="EW31" i="8"/>
  <c r="ES31" i="8"/>
  <c r="EW30" i="8"/>
  <c r="ES30" i="8"/>
  <c r="EV29" i="8"/>
  <c r="EU29" i="8"/>
  <c r="ET29" i="8"/>
  <c r="ET33" i="8" s="1"/>
  <c r="ER29" i="8"/>
  <c r="EQ29" i="8"/>
  <c r="EP29" i="8"/>
  <c r="EP33" i="8" s="1"/>
  <c r="EO29" i="8"/>
  <c r="EO33" i="8" s="1"/>
  <c r="EN29" i="8"/>
  <c r="EW28" i="8"/>
  <c r="ES28" i="8"/>
  <c r="EW27" i="8"/>
  <c r="ES27" i="8"/>
  <c r="EV25" i="8"/>
  <c r="EU25" i="8"/>
  <c r="ET25" i="8"/>
  <c r="ER25" i="8"/>
  <c r="EQ25" i="8"/>
  <c r="EP25" i="8"/>
  <c r="EO25" i="8"/>
  <c r="EN25" i="8"/>
  <c r="EW24" i="8"/>
  <c r="ES24" i="8"/>
  <c r="EW23" i="8"/>
  <c r="ES23" i="8"/>
  <c r="EV22" i="8"/>
  <c r="EV26" i="8" s="1"/>
  <c r="EU22" i="8"/>
  <c r="EU26" i="8" s="1"/>
  <c r="ET22" i="8"/>
  <c r="ER22" i="8"/>
  <c r="ER26" i="8" s="1"/>
  <c r="EQ22" i="8"/>
  <c r="EQ26" i="8" s="1"/>
  <c r="EP22" i="8"/>
  <c r="EO22" i="8"/>
  <c r="EN22" i="8"/>
  <c r="EN26" i="8" s="1"/>
  <c r="EW21" i="8"/>
  <c r="ES21" i="8"/>
  <c r="EW20" i="8"/>
  <c r="ES20" i="8"/>
  <c r="EV18" i="8"/>
  <c r="EU18" i="8"/>
  <c r="ET18" i="8"/>
  <c r="ER18" i="8"/>
  <c r="EQ18" i="8"/>
  <c r="EP18" i="8"/>
  <c r="EO18" i="8"/>
  <c r="EN18" i="8"/>
  <c r="EW17" i="8"/>
  <c r="ES17" i="8"/>
  <c r="EW16" i="8"/>
  <c r="ES16" i="8"/>
  <c r="EV15" i="8"/>
  <c r="EU15" i="8"/>
  <c r="ET15" i="8"/>
  <c r="ET19" i="8" s="1"/>
  <c r="ER15" i="8"/>
  <c r="EQ15" i="8"/>
  <c r="EP15" i="8"/>
  <c r="EP19" i="8" s="1"/>
  <c r="EO15" i="8"/>
  <c r="EO19" i="8" s="1"/>
  <c r="EN15" i="8"/>
  <c r="EW14" i="8"/>
  <c r="ES14" i="8"/>
  <c r="EW13" i="8"/>
  <c r="ES13" i="8"/>
  <c r="EV11" i="8"/>
  <c r="EU11" i="8"/>
  <c r="ET11" i="8"/>
  <c r="ER11" i="8"/>
  <c r="EQ11" i="8"/>
  <c r="EP11" i="8"/>
  <c r="EO11" i="8"/>
  <c r="EN11" i="8"/>
  <c r="EW10" i="8"/>
  <c r="ES10" i="8"/>
  <c r="EW9" i="8"/>
  <c r="ES9" i="8"/>
  <c r="EV8" i="8"/>
  <c r="EV12" i="8" s="1"/>
  <c r="EU8" i="8"/>
  <c r="EU12" i="8" s="1"/>
  <c r="ET8" i="8"/>
  <c r="ER8" i="8"/>
  <c r="ER12" i="8" s="1"/>
  <c r="EQ8" i="8"/>
  <c r="EQ12" i="8" s="1"/>
  <c r="EP8" i="8"/>
  <c r="EO8" i="8"/>
  <c r="EN8" i="8"/>
  <c r="EN12" i="8" s="1"/>
  <c r="EW7" i="8"/>
  <c r="ES7" i="8"/>
  <c r="EW6" i="8"/>
  <c r="ES6" i="8"/>
  <c r="EH97" i="8"/>
  <c r="EG97" i="8"/>
  <c r="EF97" i="8"/>
  <c r="ED97" i="8"/>
  <c r="EC97" i="8"/>
  <c r="EB97" i="8"/>
  <c r="EA97" i="8"/>
  <c r="DZ97" i="8"/>
  <c r="EH96" i="8"/>
  <c r="EH98" i="8" s="1"/>
  <c r="EG96" i="8"/>
  <c r="EF96" i="8"/>
  <c r="ED96" i="8"/>
  <c r="ED98" i="8" s="1"/>
  <c r="EC96" i="8"/>
  <c r="EC98" i="8" s="1"/>
  <c r="EB96" i="8"/>
  <c r="EB98" i="8" s="1"/>
  <c r="EA96" i="8"/>
  <c r="EA98" i="8" s="1"/>
  <c r="DZ96" i="8"/>
  <c r="DZ98" i="8" s="1"/>
  <c r="EH94" i="8"/>
  <c r="EG94" i="8"/>
  <c r="EF94" i="8"/>
  <c r="ED94" i="8"/>
  <c r="EC94" i="8"/>
  <c r="EB94" i="8"/>
  <c r="EA94" i="8"/>
  <c r="DZ94" i="8"/>
  <c r="EH93" i="8"/>
  <c r="EH95" i="8" s="1"/>
  <c r="EG93" i="8"/>
  <c r="EF93" i="8"/>
  <c r="EF95" i="8" s="1"/>
  <c r="ED93" i="8"/>
  <c r="ED95" i="8" s="1"/>
  <c r="EC93" i="8"/>
  <c r="EC95" i="8" s="1"/>
  <c r="EB93" i="8"/>
  <c r="EA93" i="8"/>
  <c r="EA95" i="8" s="1"/>
  <c r="DZ93" i="8"/>
  <c r="DZ95" i="8" s="1"/>
  <c r="EE90" i="8"/>
  <c r="EH88" i="8"/>
  <c r="EG88" i="8"/>
  <c r="EF88" i="8"/>
  <c r="ED88" i="8"/>
  <c r="EC88" i="8"/>
  <c r="EB88" i="8"/>
  <c r="EA88" i="8"/>
  <c r="DZ88" i="8"/>
  <c r="EI87" i="8"/>
  <c r="EE87" i="8"/>
  <c r="EI86" i="8"/>
  <c r="EE86" i="8"/>
  <c r="EH85" i="8"/>
  <c r="EG85" i="8"/>
  <c r="EF85" i="8"/>
  <c r="EF89" i="8" s="1"/>
  <c r="ED85" i="8"/>
  <c r="EC85" i="8"/>
  <c r="EB85" i="8"/>
  <c r="EB89" i="8" s="1"/>
  <c r="EA85" i="8"/>
  <c r="DZ85" i="8"/>
  <c r="EI84" i="8"/>
  <c r="EE84" i="8"/>
  <c r="EI83" i="8"/>
  <c r="EE83" i="8"/>
  <c r="EH81" i="8"/>
  <c r="EG81" i="8"/>
  <c r="EF81" i="8"/>
  <c r="ED81" i="8"/>
  <c r="EC81" i="8"/>
  <c r="EB81" i="8"/>
  <c r="EA81" i="8"/>
  <c r="DZ81" i="8"/>
  <c r="EI80" i="8"/>
  <c r="EE80" i="8"/>
  <c r="EI79" i="8"/>
  <c r="EE79" i="8"/>
  <c r="EH78" i="8"/>
  <c r="EH82" i="8" s="1"/>
  <c r="EG78" i="8"/>
  <c r="EF78" i="8"/>
  <c r="ED78" i="8"/>
  <c r="ED82" i="8" s="1"/>
  <c r="EC78" i="8"/>
  <c r="EC82" i="8" s="1"/>
  <c r="EB78" i="8"/>
  <c r="EA78" i="8"/>
  <c r="DZ78" i="8"/>
  <c r="DZ82" i="8" s="1"/>
  <c r="EI77" i="8"/>
  <c r="EE77" i="8"/>
  <c r="EI76" i="8"/>
  <c r="EE76" i="8"/>
  <c r="EH74" i="8"/>
  <c r="EG74" i="8"/>
  <c r="EF74" i="8"/>
  <c r="ED74" i="8"/>
  <c r="EC74" i="8"/>
  <c r="EB74" i="8"/>
  <c r="EA74" i="8"/>
  <c r="DZ74" i="8"/>
  <c r="EI73" i="8"/>
  <c r="EE73" i="8"/>
  <c r="EI72" i="8"/>
  <c r="EE72" i="8"/>
  <c r="EH71" i="8"/>
  <c r="EG71" i="8"/>
  <c r="EF71" i="8"/>
  <c r="EF75" i="8" s="1"/>
  <c r="ED71" i="8"/>
  <c r="EC71" i="8"/>
  <c r="EB71" i="8"/>
  <c r="EB75" i="8" s="1"/>
  <c r="EA71" i="8"/>
  <c r="EA75" i="8" s="1"/>
  <c r="DZ71" i="8"/>
  <c r="EI70" i="8"/>
  <c r="EE70" i="8"/>
  <c r="EI69" i="8"/>
  <c r="EE69" i="8"/>
  <c r="EH67" i="8"/>
  <c r="EG67" i="8"/>
  <c r="EF67" i="8"/>
  <c r="ED67" i="8"/>
  <c r="EC67" i="8"/>
  <c r="EB67" i="8"/>
  <c r="EA67" i="8"/>
  <c r="DZ67" i="8"/>
  <c r="EI66" i="8"/>
  <c r="EE66" i="8"/>
  <c r="EI65" i="8"/>
  <c r="EE65" i="8"/>
  <c r="EH64" i="8"/>
  <c r="EH68" i="8" s="1"/>
  <c r="EG64" i="8"/>
  <c r="EG68" i="8" s="1"/>
  <c r="EF64" i="8"/>
  <c r="ED64" i="8"/>
  <c r="ED68" i="8" s="1"/>
  <c r="EC64" i="8"/>
  <c r="EC68" i="8" s="1"/>
  <c r="EB64" i="8"/>
  <c r="EA64" i="8"/>
  <c r="DZ64" i="8"/>
  <c r="DZ68" i="8" s="1"/>
  <c r="EI63" i="8"/>
  <c r="EE63" i="8"/>
  <c r="EI62" i="8"/>
  <c r="EE62" i="8"/>
  <c r="EH60" i="8"/>
  <c r="EG60" i="8"/>
  <c r="EF60" i="8"/>
  <c r="ED60" i="8"/>
  <c r="EC60" i="8"/>
  <c r="EB60" i="8"/>
  <c r="EA60" i="8"/>
  <c r="DZ60" i="8"/>
  <c r="EI59" i="8"/>
  <c r="EE59" i="8"/>
  <c r="EI58" i="8"/>
  <c r="EE58" i="8"/>
  <c r="EH57" i="8"/>
  <c r="EG57" i="8"/>
  <c r="EF57" i="8"/>
  <c r="EF61" i="8" s="1"/>
  <c r="ED57" i="8"/>
  <c r="EC57" i="8"/>
  <c r="EB57" i="8"/>
  <c r="EB61" i="8" s="1"/>
  <c r="EA57" i="8"/>
  <c r="DZ57" i="8"/>
  <c r="EI56" i="8"/>
  <c r="EE56" i="8"/>
  <c r="EI55" i="8"/>
  <c r="EE55" i="8"/>
  <c r="EH25" i="8"/>
  <c r="EG25" i="8"/>
  <c r="EF25" i="8"/>
  <c r="ED25" i="8"/>
  <c r="EC25" i="8"/>
  <c r="EB25" i="8"/>
  <c r="EA25" i="8"/>
  <c r="DZ25" i="8"/>
  <c r="EI24" i="8"/>
  <c r="EE24" i="8"/>
  <c r="EI23" i="8"/>
  <c r="EE23" i="8"/>
  <c r="EH22" i="8"/>
  <c r="EG22" i="8"/>
  <c r="EF22" i="8"/>
  <c r="ED22" i="8"/>
  <c r="ED26" i="8" s="1"/>
  <c r="EC22" i="8"/>
  <c r="EC26" i="8" s="1"/>
  <c r="EB22" i="8"/>
  <c r="EA22" i="8"/>
  <c r="DZ22" i="8"/>
  <c r="DZ26" i="8" s="1"/>
  <c r="EI21" i="8"/>
  <c r="EE21" i="8"/>
  <c r="EI20" i="8"/>
  <c r="EE20" i="8"/>
  <c r="EH18" i="8"/>
  <c r="EG18" i="8"/>
  <c r="EF18" i="8"/>
  <c r="ED18" i="8"/>
  <c r="EC18" i="8"/>
  <c r="EB18" i="8"/>
  <c r="EA18" i="8"/>
  <c r="DZ18" i="8"/>
  <c r="EI17" i="8"/>
  <c r="EE17" i="8"/>
  <c r="EI16" i="8"/>
  <c r="EE16" i="8"/>
  <c r="EH15" i="8"/>
  <c r="EG15" i="8"/>
  <c r="EF15" i="8"/>
  <c r="EF19" i="8" s="1"/>
  <c r="ED15" i="8"/>
  <c r="EC15" i="8"/>
  <c r="EB15" i="8"/>
  <c r="EA15" i="8"/>
  <c r="EA19" i="8" s="1"/>
  <c r="DZ15" i="8"/>
  <c r="EI14" i="8"/>
  <c r="EE14" i="8"/>
  <c r="EI13" i="8"/>
  <c r="EE13" i="8"/>
  <c r="DT97" i="8"/>
  <c r="DS97" i="8"/>
  <c r="DR97" i="8"/>
  <c r="DP97" i="8"/>
  <c r="DO97" i="8"/>
  <c r="DN97" i="8"/>
  <c r="DM97" i="8"/>
  <c r="DL97" i="8"/>
  <c r="DT96" i="8"/>
  <c r="DT98" i="8" s="1"/>
  <c r="DS96" i="8"/>
  <c r="DS98" i="8" s="1"/>
  <c r="DR96" i="8"/>
  <c r="DP96" i="8"/>
  <c r="DP98" i="8" s="1"/>
  <c r="DO96" i="8"/>
  <c r="DO98" i="8" s="1"/>
  <c r="DN96" i="8"/>
  <c r="DN98" i="8" s="1"/>
  <c r="DM96" i="8"/>
  <c r="DM98" i="8" s="1"/>
  <c r="DL96" i="8"/>
  <c r="DL98" i="8" s="1"/>
  <c r="DT94" i="8"/>
  <c r="DS94" i="8"/>
  <c r="DR94" i="8"/>
  <c r="DP94" i="8"/>
  <c r="DO94" i="8"/>
  <c r="DN94" i="8"/>
  <c r="DM94" i="8"/>
  <c r="DL94" i="8"/>
  <c r="DT93" i="8"/>
  <c r="DT95" i="8" s="1"/>
  <c r="DS93" i="8"/>
  <c r="DS95" i="8" s="1"/>
  <c r="DR93" i="8"/>
  <c r="DR95" i="8" s="1"/>
  <c r="DP93" i="8"/>
  <c r="DP95" i="8" s="1"/>
  <c r="DO93" i="8"/>
  <c r="DO95" i="8" s="1"/>
  <c r="DN93" i="8"/>
  <c r="DN95" i="8" s="1"/>
  <c r="DM93" i="8"/>
  <c r="DM95" i="8" s="1"/>
  <c r="DL93" i="8"/>
  <c r="DL95" i="8" s="1"/>
  <c r="DQ90" i="8"/>
  <c r="DT88" i="8"/>
  <c r="DS88" i="8"/>
  <c r="DR88" i="8"/>
  <c r="DP88" i="8"/>
  <c r="DO88" i="8"/>
  <c r="DN88" i="8"/>
  <c r="DM88" i="8"/>
  <c r="DL88" i="8"/>
  <c r="DU87" i="8"/>
  <c r="DQ87" i="8"/>
  <c r="DU86" i="8"/>
  <c r="DQ86" i="8"/>
  <c r="DT85" i="8"/>
  <c r="DS85" i="8"/>
  <c r="DR85" i="8"/>
  <c r="DR89" i="8" s="1"/>
  <c r="DP85" i="8"/>
  <c r="DO85" i="8"/>
  <c r="DN85" i="8"/>
  <c r="DM85" i="8"/>
  <c r="DM89" i="8" s="1"/>
  <c r="DL85" i="8"/>
  <c r="DU84" i="8"/>
  <c r="DQ84" i="8"/>
  <c r="DU83" i="8"/>
  <c r="DQ83" i="8"/>
  <c r="DQ85" i="8" s="1"/>
  <c r="DT81" i="8"/>
  <c r="DS81" i="8"/>
  <c r="DR81" i="8"/>
  <c r="DQ81" i="8"/>
  <c r="DP81" i="8"/>
  <c r="DO81" i="8"/>
  <c r="DN81" i="8"/>
  <c r="DM81" i="8"/>
  <c r="DL81" i="8"/>
  <c r="DU80" i="8"/>
  <c r="DQ80" i="8"/>
  <c r="DU79" i="8"/>
  <c r="DU81" i="8" s="1"/>
  <c r="DQ79" i="8"/>
  <c r="DT78" i="8"/>
  <c r="DS78" i="8"/>
  <c r="DS82" i="8" s="1"/>
  <c r="DR78" i="8"/>
  <c r="DP78" i="8"/>
  <c r="DO78" i="8"/>
  <c r="DO82" i="8" s="1"/>
  <c r="DN78" i="8"/>
  <c r="DM78" i="8"/>
  <c r="DL78" i="8"/>
  <c r="DU77" i="8"/>
  <c r="DQ77" i="8"/>
  <c r="DU76" i="8"/>
  <c r="DU78" i="8" s="1"/>
  <c r="DQ76" i="8"/>
  <c r="DT74" i="8"/>
  <c r="DS74" i="8"/>
  <c r="DR74" i="8"/>
  <c r="DP74" i="8"/>
  <c r="DO74" i="8"/>
  <c r="DN74" i="8"/>
  <c r="DM74" i="8"/>
  <c r="DL74" i="8"/>
  <c r="DU73" i="8"/>
  <c r="DQ73" i="8"/>
  <c r="DU72" i="8"/>
  <c r="DQ72" i="8"/>
  <c r="DT71" i="8"/>
  <c r="DS71" i="8"/>
  <c r="DR71" i="8"/>
  <c r="DP71" i="8"/>
  <c r="DO71" i="8"/>
  <c r="DN71" i="8"/>
  <c r="DM71" i="8"/>
  <c r="DM75" i="8" s="1"/>
  <c r="DL71" i="8"/>
  <c r="DU70" i="8"/>
  <c r="DQ70" i="8"/>
  <c r="DU69" i="8"/>
  <c r="DQ69" i="8"/>
  <c r="DT67" i="8"/>
  <c r="DS67" i="8"/>
  <c r="DR67" i="8"/>
  <c r="DP67" i="8"/>
  <c r="DO67" i="8"/>
  <c r="DN67" i="8"/>
  <c r="DM67" i="8"/>
  <c r="DL67" i="8"/>
  <c r="DU66" i="8"/>
  <c r="DQ66" i="8"/>
  <c r="DU65" i="8"/>
  <c r="DU67" i="8" s="1"/>
  <c r="DQ65" i="8"/>
  <c r="DT64" i="8"/>
  <c r="DS64" i="8"/>
  <c r="DS68" i="8" s="1"/>
  <c r="DR64" i="8"/>
  <c r="DP64" i="8"/>
  <c r="DO64" i="8"/>
  <c r="DO68" i="8" s="1"/>
  <c r="DN64" i="8"/>
  <c r="DM64" i="8"/>
  <c r="DL64" i="8"/>
  <c r="DU63" i="8"/>
  <c r="DQ63" i="8"/>
  <c r="DU62" i="8"/>
  <c r="DU64" i="8" s="1"/>
  <c r="DQ62" i="8"/>
  <c r="DT39" i="8"/>
  <c r="DS39" i="8"/>
  <c r="DR39" i="8"/>
  <c r="DP39" i="8"/>
  <c r="DO39" i="8"/>
  <c r="DN39" i="8"/>
  <c r="DM39" i="8"/>
  <c r="DL39" i="8"/>
  <c r="DU38" i="8"/>
  <c r="DQ38" i="8"/>
  <c r="DU37" i="8"/>
  <c r="DQ37" i="8"/>
  <c r="DT36" i="8"/>
  <c r="DT40" i="8" s="1"/>
  <c r="DS36" i="8"/>
  <c r="DS40" i="8" s="1"/>
  <c r="DR36" i="8"/>
  <c r="DP36" i="8"/>
  <c r="DP40" i="8" s="1"/>
  <c r="DO36" i="8"/>
  <c r="DO40" i="8" s="1"/>
  <c r="DN36" i="8"/>
  <c r="DM36" i="8"/>
  <c r="DL36" i="8"/>
  <c r="DL40" i="8" s="1"/>
  <c r="DU35" i="8"/>
  <c r="DQ35" i="8"/>
  <c r="DU34" i="8"/>
  <c r="DQ34" i="8"/>
  <c r="DF97" i="8"/>
  <c r="DE97" i="8"/>
  <c r="DD97" i="8"/>
  <c r="DB97" i="8"/>
  <c r="DA97" i="8"/>
  <c r="CZ97" i="8"/>
  <c r="CY97" i="8"/>
  <c r="CX97" i="8"/>
  <c r="DF96" i="8"/>
  <c r="DF98" i="8" s="1"/>
  <c r="DE96" i="8"/>
  <c r="DE98" i="8" s="1"/>
  <c r="DD96" i="8"/>
  <c r="DB96" i="8"/>
  <c r="DB98" i="8" s="1"/>
  <c r="DA96" i="8"/>
  <c r="DA98" i="8" s="1"/>
  <c r="CZ96" i="8"/>
  <c r="CZ98" i="8" s="1"/>
  <c r="CY96" i="8"/>
  <c r="CY98" i="8" s="1"/>
  <c r="CX96" i="8"/>
  <c r="CX98" i="8" s="1"/>
  <c r="DF94" i="8"/>
  <c r="DE94" i="8"/>
  <c r="DD94" i="8"/>
  <c r="DB94" i="8"/>
  <c r="DA94" i="8"/>
  <c r="CZ94" i="8"/>
  <c r="CY94" i="8"/>
  <c r="CX94" i="8"/>
  <c r="DF93" i="8"/>
  <c r="DF95" i="8" s="1"/>
  <c r="DE93" i="8"/>
  <c r="DE95" i="8" s="1"/>
  <c r="DD93" i="8"/>
  <c r="DD95" i="8" s="1"/>
  <c r="DB93" i="8"/>
  <c r="DB95" i="8" s="1"/>
  <c r="DA93" i="8"/>
  <c r="DA95" i="8" s="1"/>
  <c r="CZ93" i="8"/>
  <c r="CZ95" i="8" s="1"/>
  <c r="CY93" i="8"/>
  <c r="CY95" i="8" s="1"/>
  <c r="CX93" i="8"/>
  <c r="CX95" i="8" s="1"/>
  <c r="DC90" i="8"/>
  <c r="DF88" i="8"/>
  <c r="DE88" i="8"/>
  <c r="DD88" i="8"/>
  <c r="DB88" i="8"/>
  <c r="DA88" i="8"/>
  <c r="CZ88" i="8"/>
  <c r="CY88" i="8"/>
  <c r="CX88" i="8"/>
  <c r="DG87" i="8"/>
  <c r="DC87" i="8"/>
  <c r="DG86" i="8"/>
  <c r="DC86" i="8"/>
  <c r="DF85" i="8"/>
  <c r="DE85" i="8"/>
  <c r="DD85" i="8"/>
  <c r="DD89" i="8" s="1"/>
  <c r="DB85" i="8"/>
  <c r="DA85" i="8"/>
  <c r="CZ85" i="8"/>
  <c r="CY85" i="8"/>
  <c r="CX85" i="8"/>
  <c r="DG84" i="8"/>
  <c r="DC84" i="8"/>
  <c r="DG83" i="8"/>
  <c r="DC83" i="8"/>
  <c r="DF81" i="8"/>
  <c r="DE81" i="8"/>
  <c r="DD81" i="8"/>
  <c r="DB81" i="8"/>
  <c r="DA81" i="8"/>
  <c r="CZ81" i="8"/>
  <c r="CY81" i="8"/>
  <c r="CX81" i="8"/>
  <c r="DG80" i="8"/>
  <c r="DG79" i="8"/>
  <c r="DB82" i="8"/>
  <c r="CX82" i="8"/>
  <c r="DG77" i="8"/>
  <c r="DG76" i="8"/>
  <c r="DG73" i="8"/>
  <c r="DG72" i="8"/>
  <c r="DG70" i="8"/>
  <c r="DG69" i="8"/>
  <c r="DG66" i="8"/>
  <c r="DG65" i="8"/>
  <c r="DG63" i="8"/>
  <c r="DG62" i="8"/>
  <c r="DG59" i="8"/>
  <c r="DG58" i="8"/>
  <c r="DG56" i="8"/>
  <c r="DG55" i="8"/>
  <c r="DG52" i="8"/>
  <c r="DG51" i="8"/>
  <c r="DG49" i="8"/>
  <c r="DG48" i="8"/>
  <c r="DG45" i="8"/>
  <c r="DG44" i="8"/>
  <c r="DG42" i="8"/>
  <c r="DG41" i="8"/>
  <c r="DG38" i="8"/>
  <c r="DG37" i="8"/>
  <c r="DG35" i="8"/>
  <c r="DG34" i="8"/>
  <c r="DG31" i="8"/>
  <c r="DG30" i="8"/>
  <c r="DG28" i="8"/>
  <c r="DG27" i="8"/>
  <c r="DG24" i="8"/>
  <c r="DG23" i="8"/>
  <c r="DG21" i="8"/>
  <c r="DG20" i="8"/>
  <c r="DG17" i="8"/>
  <c r="DG16" i="8"/>
  <c r="DG14" i="8"/>
  <c r="DG13" i="8"/>
  <c r="DG10" i="8"/>
  <c r="DG9" i="8"/>
  <c r="DG7" i="8"/>
  <c r="DG6" i="8"/>
  <c r="CR97" i="8"/>
  <c r="CQ97" i="8"/>
  <c r="CP97" i="8"/>
  <c r="CN97" i="8"/>
  <c r="CM97" i="8"/>
  <c r="CL97" i="8"/>
  <c r="CK97" i="8"/>
  <c r="CJ97" i="8"/>
  <c r="CR96" i="8"/>
  <c r="CR98" i="8" s="1"/>
  <c r="CQ96" i="8"/>
  <c r="CQ98" i="8" s="1"/>
  <c r="CP96" i="8"/>
  <c r="CN96" i="8"/>
  <c r="CN98" i="8" s="1"/>
  <c r="CM96" i="8"/>
  <c r="CM98" i="8" s="1"/>
  <c r="CL96" i="8"/>
  <c r="CL98" i="8" s="1"/>
  <c r="CK96" i="8"/>
  <c r="CK98" i="8" s="1"/>
  <c r="CJ96" i="8"/>
  <c r="CJ98" i="8" s="1"/>
  <c r="CR94" i="8"/>
  <c r="CQ94" i="8"/>
  <c r="CP94" i="8"/>
  <c r="CN94" i="8"/>
  <c r="CM94" i="8"/>
  <c r="CL94" i="8"/>
  <c r="CK94" i="8"/>
  <c r="CJ94" i="8"/>
  <c r="CR93" i="8"/>
  <c r="CR95" i="8" s="1"/>
  <c r="CQ93" i="8"/>
  <c r="CQ95" i="8" s="1"/>
  <c r="CP93" i="8"/>
  <c r="CP95" i="8" s="1"/>
  <c r="CN93" i="8"/>
  <c r="CN95" i="8" s="1"/>
  <c r="CM93" i="8"/>
  <c r="CM95" i="8" s="1"/>
  <c r="CL93" i="8"/>
  <c r="CK93" i="8"/>
  <c r="CK95" i="8" s="1"/>
  <c r="CJ93" i="8"/>
  <c r="CJ95" i="8" s="1"/>
  <c r="CO90" i="8"/>
  <c r="CR88" i="8"/>
  <c r="CQ88" i="8"/>
  <c r="CP88" i="8"/>
  <c r="CN88" i="8"/>
  <c r="CM88" i="8"/>
  <c r="CL88" i="8"/>
  <c r="CK88" i="8"/>
  <c r="CJ88" i="8"/>
  <c r="CS87" i="8"/>
  <c r="CO87" i="8"/>
  <c r="CS86" i="8"/>
  <c r="CO86" i="8"/>
  <c r="CR85" i="8"/>
  <c r="CQ85" i="8"/>
  <c r="CP85" i="8"/>
  <c r="CP89" i="8" s="1"/>
  <c r="CN85" i="8"/>
  <c r="CM85" i="8"/>
  <c r="CL85" i="8"/>
  <c r="CK85" i="8"/>
  <c r="CJ85" i="8"/>
  <c r="CS84" i="8"/>
  <c r="CO84" i="8"/>
  <c r="CS83" i="8"/>
  <c r="CO83" i="8"/>
  <c r="CR81" i="8"/>
  <c r="CQ81" i="8"/>
  <c r="CP81" i="8"/>
  <c r="CN81" i="8"/>
  <c r="CM81" i="8"/>
  <c r="CL81" i="8"/>
  <c r="CK81" i="8"/>
  <c r="CJ81" i="8"/>
  <c r="CS80" i="8"/>
  <c r="CO80" i="8"/>
  <c r="CS79" i="8"/>
  <c r="CO79" i="8"/>
  <c r="CR78" i="8"/>
  <c r="CQ78" i="8"/>
  <c r="CP78" i="8"/>
  <c r="CN78" i="8"/>
  <c r="CN82" i="8" s="1"/>
  <c r="CM78" i="8"/>
  <c r="CL78" i="8"/>
  <c r="CK78" i="8"/>
  <c r="CJ78" i="8"/>
  <c r="CJ82" i="8" s="1"/>
  <c r="CS77" i="8"/>
  <c r="CO77" i="8"/>
  <c r="CS76" i="8"/>
  <c r="CO76" i="8"/>
  <c r="CR74" i="8"/>
  <c r="CQ74" i="8"/>
  <c r="CP74" i="8"/>
  <c r="CN74" i="8"/>
  <c r="CM74" i="8"/>
  <c r="CL74" i="8"/>
  <c r="CK74" i="8"/>
  <c r="CJ74" i="8"/>
  <c r="CS73" i="8"/>
  <c r="CO73" i="8"/>
  <c r="CS72" i="8"/>
  <c r="CO72" i="8"/>
  <c r="CR71" i="8"/>
  <c r="CQ71" i="8"/>
  <c r="CP71" i="8"/>
  <c r="CP75" i="8" s="1"/>
  <c r="CN71" i="8"/>
  <c r="CM71" i="8"/>
  <c r="CL71" i="8"/>
  <c r="CL75" i="8" s="1"/>
  <c r="CK71" i="8"/>
  <c r="CJ71" i="8"/>
  <c r="CS70" i="8"/>
  <c r="CO70" i="8"/>
  <c r="CS69" i="8"/>
  <c r="CO69" i="8"/>
  <c r="CR67" i="8"/>
  <c r="CQ67" i="8"/>
  <c r="CP67" i="8"/>
  <c r="CN67" i="8"/>
  <c r="CM67" i="8"/>
  <c r="CL67" i="8"/>
  <c r="CK67" i="8"/>
  <c r="CJ67" i="8"/>
  <c r="CS66" i="8"/>
  <c r="CO66" i="8"/>
  <c r="CS65" i="8"/>
  <c r="CO65" i="8"/>
  <c r="CR64" i="8"/>
  <c r="CR68" i="8" s="1"/>
  <c r="CQ64" i="8"/>
  <c r="CP64" i="8"/>
  <c r="CN64" i="8"/>
  <c r="CN68" i="8" s="1"/>
  <c r="CM64" i="8"/>
  <c r="CL64" i="8"/>
  <c r="CK64" i="8"/>
  <c r="CJ64" i="8"/>
  <c r="CJ68" i="8" s="1"/>
  <c r="CS63" i="8"/>
  <c r="CO63" i="8"/>
  <c r="CS62" i="8"/>
  <c r="CO62" i="8"/>
  <c r="CD97" i="8"/>
  <c r="CC97" i="8"/>
  <c r="CB97" i="8"/>
  <c r="BZ97" i="8"/>
  <c r="BY97" i="8"/>
  <c r="BX97" i="8"/>
  <c r="BW97" i="8"/>
  <c r="BV97" i="8"/>
  <c r="CD96" i="8"/>
  <c r="CC96" i="8"/>
  <c r="CC98" i="8" s="1"/>
  <c r="CB96" i="8"/>
  <c r="BZ96" i="8"/>
  <c r="BZ98" i="8" s="1"/>
  <c r="BY96" i="8"/>
  <c r="BY98" i="8" s="1"/>
  <c r="BX96" i="8"/>
  <c r="BX98" i="8" s="1"/>
  <c r="BW96" i="8"/>
  <c r="BW98" i="8" s="1"/>
  <c r="BV96" i="8"/>
  <c r="BV98" i="8" s="1"/>
  <c r="CD94" i="8"/>
  <c r="CC94" i="8"/>
  <c r="CB94" i="8"/>
  <c r="BZ94" i="8"/>
  <c r="BY94" i="8"/>
  <c r="BX94" i="8"/>
  <c r="BW94" i="8"/>
  <c r="BV94" i="8"/>
  <c r="CD93" i="8"/>
  <c r="CD95" i="8" s="1"/>
  <c r="CC93" i="8"/>
  <c r="CC95" i="8" s="1"/>
  <c r="CB93" i="8"/>
  <c r="CB95" i="8" s="1"/>
  <c r="BZ93" i="8"/>
  <c r="BZ95" i="8" s="1"/>
  <c r="BY93" i="8"/>
  <c r="BX93" i="8"/>
  <c r="BX95" i="8" s="1"/>
  <c r="BW93" i="8"/>
  <c r="BW95" i="8" s="1"/>
  <c r="BV93" i="8"/>
  <c r="BV95" i="8" s="1"/>
  <c r="CA90" i="8"/>
  <c r="CD88" i="8"/>
  <c r="CC88" i="8"/>
  <c r="CB88" i="8"/>
  <c r="BZ88" i="8"/>
  <c r="BY88" i="8"/>
  <c r="BX88" i="8"/>
  <c r="BW88" i="8"/>
  <c r="BV88" i="8"/>
  <c r="CE87" i="8"/>
  <c r="CA87" i="8"/>
  <c r="CE86" i="8"/>
  <c r="CA86" i="8"/>
  <c r="CA88" i="8" s="1"/>
  <c r="CD85" i="8"/>
  <c r="CC85" i="8"/>
  <c r="CB85" i="8"/>
  <c r="BZ85" i="8"/>
  <c r="BY85" i="8"/>
  <c r="BX85" i="8"/>
  <c r="BW85" i="8"/>
  <c r="BV85" i="8"/>
  <c r="CE84" i="8"/>
  <c r="CA84" i="8"/>
  <c r="CE83" i="8"/>
  <c r="CA83" i="8"/>
  <c r="CA85" i="8" s="1"/>
  <c r="CA89" i="8" s="1"/>
  <c r="CD81" i="8"/>
  <c r="CC81" i="8"/>
  <c r="CB81" i="8"/>
  <c r="BZ81" i="8"/>
  <c r="BY81" i="8"/>
  <c r="BX81" i="8"/>
  <c r="BW81" i="8"/>
  <c r="BV81" i="8"/>
  <c r="CE80" i="8"/>
  <c r="CA80" i="8"/>
  <c r="CE79" i="8"/>
  <c r="CA79" i="8"/>
  <c r="CD78" i="8"/>
  <c r="CC78" i="8"/>
  <c r="CB78" i="8"/>
  <c r="BZ78" i="8"/>
  <c r="BY78" i="8"/>
  <c r="BX78" i="8"/>
  <c r="BW78" i="8"/>
  <c r="BV78" i="8"/>
  <c r="CE77" i="8"/>
  <c r="CA77" i="8"/>
  <c r="CE76" i="8"/>
  <c r="CA76" i="8"/>
  <c r="CD74" i="8"/>
  <c r="CC74" i="8"/>
  <c r="CB74" i="8"/>
  <c r="BZ74" i="8"/>
  <c r="BY74" i="8"/>
  <c r="BX74" i="8"/>
  <c r="BW74" i="8"/>
  <c r="BV74" i="8"/>
  <c r="CE73" i="8"/>
  <c r="CA73" i="8"/>
  <c r="CE72" i="8"/>
  <c r="CA72" i="8"/>
  <c r="CD71" i="8"/>
  <c r="CC71" i="8"/>
  <c r="CB71" i="8"/>
  <c r="BZ71" i="8"/>
  <c r="BY71" i="8"/>
  <c r="BX71" i="8"/>
  <c r="BW71" i="8"/>
  <c r="BV71" i="8"/>
  <c r="CE70" i="8"/>
  <c r="CA70" i="8"/>
  <c r="CE69" i="8"/>
  <c r="CA69" i="8"/>
  <c r="CD67" i="8"/>
  <c r="CC67" i="8"/>
  <c r="CB67" i="8"/>
  <c r="BZ67" i="8"/>
  <c r="BY67" i="8"/>
  <c r="BX67" i="8"/>
  <c r="BW67" i="8"/>
  <c r="BV67" i="8"/>
  <c r="CE66" i="8"/>
  <c r="CA66" i="8"/>
  <c r="CE65" i="8"/>
  <c r="CA65" i="8"/>
  <c r="CA67" i="8" s="1"/>
  <c r="CD64" i="8"/>
  <c r="CC64" i="8"/>
  <c r="CB64" i="8"/>
  <c r="BZ64" i="8"/>
  <c r="BY64" i="8"/>
  <c r="BX64" i="8"/>
  <c r="BW64" i="8"/>
  <c r="BV64" i="8"/>
  <c r="CE63" i="8"/>
  <c r="CA63" i="8"/>
  <c r="CE62" i="8"/>
  <c r="CA62" i="8"/>
  <c r="CE59" i="8"/>
  <c r="CE58" i="8"/>
  <c r="CE56" i="8"/>
  <c r="CE55" i="8"/>
  <c r="CE52" i="8"/>
  <c r="CE51" i="8"/>
  <c r="CE49" i="8"/>
  <c r="CE48" i="8"/>
  <c r="CE50" i="8" s="1"/>
  <c r="CE45" i="8"/>
  <c r="CE44" i="8"/>
  <c r="CE42" i="8"/>
  <c r="CE41" i="8"/>
  <c r="CD39" i="8"/>
  <c r="CC39" i="8"/>
  <c r="CB39" i="8"/>
  <c r="CA39" i="8"/>
  <c r="BZ39" i="8"/>
  <c r="BY39" i="8"/>
  <c r="BX39" i="8"/>
  <c r="BW39" i="8"/>
  <c r="BV39" i="8"/>
  <c r="CE38" i="8"/>
  <c r="CA38" i="8"/>
  <c r="CE37" i="8"/>
  <c r="CE39" i="8" s="1"/>
  <c r="CA37" i="8"/>
  <c r="CD36" i="8"/>
  <c r="CC36" i="8"/>
  <c r="CB36" i="8"/>
  <c r="BZ36" i="8"/>
  <c r="BY36" i="8"/>
  <c r="BX36" i="8"/>
  <c r="BW36" i="8"/>
  <c r="BW40" i="8" s="1"/>
  <c r="BV36" i="8"/>
  <c r="CE35" i="8"/>
  <c r="CA35" i="8"/>
  <c r="CE34" i="8"/>
  <c r="CE36" i="8" s="1"/>
  <c r="CA34" i="8"/>
  <c r="CC33" i="8"/>
  <c r="BY33" i="8"/>
  <c r="CE24" i="8"/>
  <c r="CE23" i="8"/>
  <c r="CE21" i="8"/>
  <c r="CE20" i="8"/>
  <c r="CE17" i="8"/>
  <c r="CE16" i="8"/>
  <c r="CE14" i="8"/>
  <c r="CE13" i="8"/>
  <c r="CE10" i="8"/>
  <c r="CE9" i="8"/>
  <c r="CE7" i="8"/>
  <c r="CE6" i="8"/>
  <c r="BP97" i="8"/>
  <c r="BO97" i="8"/>
  <c r="BN97" i="8"/>
  <c r="BL97" i="8"/>
  <c r="BK97" i="8"/>
  <c r="BJ97" i="8"/>
  <c r="BI97" i="8"/>
  <c r="BH97" i="8"/>
  <c r="BP96" i="8"/>
  <c r="BP98" i="8" s="1"/>
  <c r="BO96" i="8"/>
  <c r="BO98" i="8" s="1"/>
  <c r="BN96" i="8"/>
  <c r="BL96" i="8"/>
  <c r="BL98" i="8" s="1"/>
  <c r="BK96" i="8"/>
  <c r="BK98" i="8" s="1"/>
  <c r="BJ96" i="8"/>
  <c r="BJ98" i="8" s="1"/>
  <c r="BI96" i="8"/>
  <c r="BI98" i="8" s="1"/>
  <c r="BH96" i="8"/>
  <c r="BP94" i="8"/>
  <c r="BO94" i="8"/>
  <c r="BN94" i="8"/>
  <c r="BL94" i="8"/>
  <c r="BK94" i="8"/>
  <c r="BJ94" i="8"/>
  <c r="BI94" i="8"/>
  <c r="BH94" i="8"/>
  <c r="BP93" i="8"/>
  <c r="BP95" i="8" s="1"/>
  <c r="BO93" i="8"/>
  <c r="BO95" i="8" s="1"/>
  <c r="BN93" i="8"/>
  <c r="BN95" i="8" s="1"/>
  <c r="BL93" i="8"/>
  <c r="BL95" i="8" s="1"/>
  <c r="BK93" i="8"/>
  <c r="BK95" i="8" s="1"/>
  <c r="BJ93" i="8"/>
  <c r="BJ95" i="8" s="1"/>
  <c r="BI93" i="8"/>
  <c r="BI95" i="8" s="1"/>
  <c r="BH93" i="8"/>
  <c r="BH95" i="8" s="1"/>
  <c r="BM90" i="8"/>
  <c r="BP88" i="8"/>
  <c r="BO88" i="8"/>
  <c r="BN88" i="8"/>
  <c r="BL88" i="8"/>
  <c r="BK88" i="8"/>
  <c r="BJ88" i="8"/>
  <c r="BI88" i="8"/>
  <c r="BH88" i="8"/>
  <c r="BQ87" i="8"/>
  <c r="BM87" i="8"/>
  <c r="BQ86" i="8"/>
  <c r="BM86" i="8"/>
  <c r="BP85" i="8"/>
  <c r="BO85" i="8"/>
  <c r="BN85" i="8"/>
  <c r="BN89" i="8" s="1"/>
  <c r="BL85" i="8"/>
  <c r="BK85" i="8"/>
  <c r="BJ85" i="8"/>
  <c r="BJ89" i="8" s="1"/>
  <c r="BI85" i="8"/>
  <c r="BI89" i="8" s="1"/>
  <c r="BH85" i="8"/>
  <c r="BQ84" i="8"/>
  <c r="BM84" i="8"/>
  <c r="BQ83" i="8"/>
  <c r="BM83" i="8"/>
  <c r="BP81" i="8"/>
  <c r="BO81" i="8"/>
  <c r="BN81" i="8"/>
  <c r="BL81" i="8"/>
  <c r="BK81" i="8"/>
  <c r="BJ81" i="8"/>
  <c r="BI81" i="8"/>
  <c r="BH81" i="8"/>
  <c r="BQ80" i="8"/>
  <c r="BM80" i="8"/>
  <c r="BQ79" i="8"/>
  <c r="BM79" i="8"/>
  <c r="BP78" i="8"/>
  <c r="BP82" i="8" s="1"/>
  <c r="BO78" i="8"/>
  <c r="BN78" i="8"/>
  <c r="BL78" i="8"/>
  <c r="BL82" i="8" s="1"/>
  <c r="BK78" i="8"/>
  <c r="BK82" i="8" s="1"/>
  <c r="BJ78" i="8"/>
  <c r="BI78" i="8"/>
  <c r="BH78" i="8"/>
  <c r="BH82" i="8" s="1"/>
  <c r="BQ77" i="8"/>
  <c r="BM77" i="8"/>
  <c r="BQ76" i="8"/>
  <c r="BM76" i="8"/>
  <c r="BP74" i="8"/>
  <c r="BO74" i="8"/>
  <c r="BN74" i="8"/>
  <c r="BL74" i="8"/>
  <c r="BK74" i="8"/>
  <c r="BJ74" i="8"/>
  <c r="BI74" i="8"/>
  <c r="BH74" i="8"/>
  <c r="BQ73" i="8"/>
  <c r="BM73" i="8"/>
  <c r="BQ72" i="8"/>
  <c r="BM72" i="8"/>
  <c r="BP71" i="8"/>
  <c r="BO71" i="8"/>
  <c r="BN71" i="8"/>
  <c r="BN75" i="8" s="1"/>
  <c r="BL71" i="8"/>
  <c r="BK71" i="8"/>
  <c r="BJ71" i="8"/>
  <c r="BJ75" i="8" s="1"/>
  <c r="BI71" i="8"/>
  <c r="BH71" i="8"/>
  <c r="BQ70" i="8"/>
  <c r="BM70" i="8"/>
  <c r="BQ69" i="8"/>
  <c r="BM69" i="8"/>
  <c r="BP67" i="8"/>
  <c r="BO67" i="8"/>
  <c r="BN67" i="8"/>
  <c r="BL67" i="8"/>
  <c r="BK67" i="8"/>
  <c r="BJ67" i="8"/>
  <c r="BI67" i="8"/>
  <c r="BH67" i="8"/>
  <c r="BQ66" i="8"/>
  <c r="BM66" i="8"/>
  <c r="BQ65" i="8"/>
  <c r="BM65" i="8"/>
  <c r="BP64" i="8"/>
  <c r="BP68" i="8" s="1"/>
  <c r="BO64" i="8"/>
  <c r="BN64" i="8"/>
  <c r="BL64" i="8"/>
  <c r="BL68" i="8" s="1"/>
  <c r="BK64" i="8"/>
  <c r="BK68" i="8" s="1"/>
  <c r="BJ64" i="8"/>
  <c r="BI64" i="8"/>
  <c r="BH64" i="8"/>
  <c r="BH68" i="8" s="1"/>
  <c r="BQ63" i="8"/>
  <c r="BM63" i="8"/>
  <c r="BQ62" i="8"/>
  <c r="BM62" i="8"/>
  <c r="BP60" i="8"/>
  <c r="BO60" i="8"/>
  <c r="BN60" i="8"/>
  <c r="BL60" i="8"/>
  <c r="BK60" i="8"/>
  <c r="BJ61" i="8"/>
  <c r="BI60" i="8"/>
  <c r="BH60" i="8"/>
  <c r="BQ59" i="8"/>
  <c r="BQ58" i="8"/>
  <c r="BN61" i="8"/>
  <c r="BI61" i="8"/>
  <c r="BQ56" i="8"/>
  <c r="BQ55" i="8"/>
  <c r="BP53" i="8"/>
  <c r="BO53" i="8"/>
  <c r="BO54" i="8" s="1"/>
  <c r="BN53" i="8"/>
  <c r="BL53" i="8"/>
  <c r="BK53" i="8"/>
  <c r="BJ53" i="8"/>
  <c r="BI53" i="8"/>
  <c r="BH53" i="8"/>
  <c r="BQ52" i="8"/>
  <c r="BQ51" i="8"/>
  <c r="BP54" i="8"/>
  <c r="BL54" i="8"/>
  <c r="BK54" i="8"/>
  <c r="BH54" i="8"/>
  <c r="BQ49" i="8"/>
  <c r="BQ48" i="8"/>
  <c r="BP46" i="8"/>
  <c r="BO46" i="8"/>
  <c r="BN46" i="8"/>
  <c r="BL46" i="8"/>
  <c r="BK46" i="8"/>
  <c r="BJ46" i="8"/>
  <c r="BJ47" i="8" s="1"/>
  <c r="BI46" i="8"/>
  <c r="BH46" i="8"/>
  <c r="BQ45" i="8"/>
  <c r="BQ44" i="8"/>
  <c r="BN47" i="8"/>
  <c r="BQ42" i="8"/>
  <c r="BQ41" i="8"/>
  <c r="BP39" i="8"/>
  <c r="BO39" i="8"/>
  <c r="BN39" i="8"/>
  <c r="BL39" i="8"/>
  <c r="BK39" i="8"/>
  <c r="BJ39" i="8"/>
  <c r="BI39" i="8"/>
  <c r="BH39" i="8"/>
  <c r="BQ38" i="8"/>
  <c r="BM38" i="8"/>
  <c r="BQ37" i="8"/>
  <c r="BM37" i="8"/>
  <c r="BP36" i="8"/>
  <c r="BP40" i="8" s="1"/>
  <c r="BO36" i="8"/>
  <c r="BN36" i="8"/>
  <c r="BL36" i="8"/>
  <c r="BL40" i="8" s="1"/>
  <c r="BK36" i="8"/>
  <c r="BK40" i="8" s="1"/>
  <c r="BJ36" i="8"/>
  <c r="BI36" i="8"/>
  <c r="BH36" i="8"/>
  <c r="BH40" i="8" s="1"/>
  <c r="BQ35" i="8"/>
  <c r="BM35" i="8"/>
  <c r="BQ34" i="8"/>
  <c r="BM34" i="8"/>
  <c r="BP32" i="8"/>
  <c r="BO32" i="8"/>
  <c r="BN32" i="8"/>
  <c r="BL32" i="8"/>
  <c r="BK32" i="8"/>
  <c r="BJ32" i="8"/>
  <c r="BJ33" i="8" s="1"/>
  <c r="BI32" i="8"/>
  <c r="BH32" i="8"/>
  <c r="BQ31" i="8"/>
  <c r="BQ30" i="8"/>
  <c r="BN33" i="8"/>
  <c r="BI33" i="8"/>
  <c r="BQ28" i="8"/>
  <c r="BQ27" i="8"/>
  <c r="BP25" i="8"/>
  <c r="BP26" i="8" s="1"/>
  <c r="BO25" i="8"/>
  <c r="BN25" i="8"/>
  <c r="BL25" i="8"/>
  <c r="BK25" i="8"/>
  <c r="BK26" i="8" s="1"/>
  <c r="BJ25" i="8"/>
  <c r="BI25" i="8"/>
  <c r="BH25" i="8"/>
  <c r="BH26" i="8" s="1"/>
  <c r="BQ24" i="8"/>
  <c r="BQ23" i="8"/>
  <c r="BO26" i="8"/>
  <c r="BL26" i="8"/>
  <c r="BQ21" i="8"/>
  <c r="BQ20" i="8"/>
  <c r="BP18" i="8"/>
  <c r="BO18" i="8"/>
  <c r="BN18" i="8"/>
  <c r="BL18" i="8"/>
  <c r="BK18" i="8"/>
  <c r="BJ18" i="8"/>
  <c r="BJ19" i="8" s="1"/>
  <c r="BI18" i="8"/>
  <c r="BH18" i="8"/>
  <c r="BQ17" i="8"/>
  <c r="BQ16" i="8"/>
  <c r="BN19" i="8"/>
  <c r="BQ14" i="8"/>
  <c r="BQ13" i="8"/>
  <c r="BP11" i="8"/>
  <c r="BP12" i="8" s="1"/>
  <c r="BO11" i="8"/>
  <c r="BN11" i="8"/>
  <c r="BL11" i="8"/>
  <c r="BK11" i="8"/>
  <c r="BJ11" i="8"/>
  <c r="BI11" i="8"/>
  <c r="BH11" i="8"/>
  <c r="BH12" i="8" s="1"/>
  <c r="BQ10" i="8"/>
  <c r="BQ9" i="8"/>
  <c r="BL12" i="8"/>
  <c r="BK12" i="8"/>
  <c r="BQ7" i="8"/>
  <c r="BQ6" i="8"/>
  <c r="BB97" i="8"/>
  <c r="BA97" i="8"/>
  <c r="AZ97" i="8"/>
  <c r="AX97" i="8"/>
  <c r="AW97" i="8"/>
  <c r="AV97" i="8"/>
  <c r="AU97" i="8"/>
  <c r="AT97" i="8"/>
  <c r="BB96" i="8"/>
  <c r="BB98" i="8" s="1"/>
  <c r="BA96" i="8"/>
  <c r="BA98" i="8" s="1"/>
  <c r="AZ96" i="8"/>
  <c r="AX96" i="8"/>
  <c r="AX98" i="8" s="1"/>
  <c r="AW96" i="8"/>
  <c r="AW98" i="8" s="1"/>
  <c r="AV96" i="8"/>
  <c r="AU96" i="8"/>
  <c r="AU98" i="8" s="1"/>
  <c r="AT96" i="8"/>
  <c r="AT98" i="8" s="1"/>
  <c r="BB94" i="8"/>
  <c r="BA94" i="8"/>
  <c r="AZ94" i="8"/>
  <c r="AX94" i="8"/>
  <c r="AW94" i="8"/>
  <c r="AV94" i="8"/>
  <c r="AU94" i="8"/>
  <c r="AT94" i="8"/>
  <c r="BB93" i="8"/>
  <c r="BB95" i="8" s="1"/>
  <c r="BA93" i="8"/>
  <c r="BA95" i="8" s="1"/>
  <c r="AZ93" i="8"/>
  <c r="AZ95" i="8" s="1"/>
  <c r="AX93" i="8"/>
  <c r="AX95" i="8" s="1"/>
  <c r="AW93" i="8"/>
  <c r="AW95" i="8" s="1"/>
  <c r="AV93" i="8"/>
  <c r="AV95" i="8" s="1"/>
  <c r="AU93" i="8"/>
  <c r="AU95" i="8" s="1"/>
  <c r="AT93" i="8"/>
  <c r="AT95" i="8" s="1"/>
  <c r="AY90" i="8"/>
  <c r="BB88" i="8"/>
  <c r="BA88" i="8"/>
  <c r="AZ88" i="8"/>
  <c r="AX88" i="8"/>
  <c r="AW88" i="8"/>
  <c r="AV88" i="8"/>
  <c r="AU88" i="8"/>
  <c r="AT88" i="8"/>
  <c r="BC87" i="8"/>
  <c r="AY87" i="8"/>
  <c r="BC86" i="8"/>
  <c r="AY86" i="8"/>
  <c r="AY88" i="8" s="1"/>
  <c r="BB85" i="8"/>
  <c r="BA85" i="8"/>
  <c r="AZ85" i="8"/>
  <c r="AZ89" i="8" s="1"/>
  <c r="AX85" i="8"/>
  <c r="AW85" i="8"/>
  <c r="AV85" i="8"/>
  <c r="AV89" i="8" s="1"/>
  <c r="AU85" i="8"/>
  <c r="AT85" i="8"/>
  <c r="BC84" i="8"/>
  <c r="AY84" i="8"/>
  <c r="BC83" i="8"/>
  <c r="AY83" i="8"/>
  <c r="BB81" i="8"/>
  <c r="BA81" i="8"/>
  <c r="AZ81" i="8"/>
  <c r="AX81" i="8"/>
  <c r="AW81" i="8"/>
  <c r="AV81" i="8"/>
  <c r="AU81" i="8"/>
  <c r="AT81" i="8"/>
  <c r="BC80" i="8"/>
  <c r="AY80" i="8"/>
  <c r="BC79" i="8"/>
  <c r="AY79" i="8"/>
  <c r="BB78" i="8"/>
  <c r="BB82" i="8" s="1"/>
  <c r="BA78" i="8"/>
  <c r="AZ78" i="8"/>
  <c r="AX78" i="8"/>
  <c r="AX82" i="8" s="1"/>
  <c r="AW78" i="8"/>
  <c r="AV78" i="8"/>
  <c r="AU78" i="8"/>
  <c r="AT78" i="8"/>
  <c r="AT82" i="8" s="1"/>
  <c r="BC77" i="8"/>
  <c r="AY77" i="8"/>
  <c r="BC76" i="8"/>
  <c r="AY76" i="8"/>
  <c r="AY78" i="8" s="1"/>
  <c r="BB74" i="8"/>
  <c r="BA74" i="8"/>
  <c r="AZ74" i="8"/>
  <c r="AX74" i="8"/>
  <c r="AW74" i="8"/>
  <c r="AV74" i="8"/>
  <c r="AU74" i="8"/>
  <c r="AT74" i="8"/>
  <c r="BC73" i="8"/>
  <c r="AY73" i="8"/>
  <c r="BC72" i="8"/>
  <c r="AY72" i="8"/>
  <c r="AY74" i="8" s="1"/>
  <c r="BB71" i="8"/>
  <c r="BA71" i="8"/>
  <c r="AZ71" i="8"/>
  <c r="AZ75" i="8" s="1"/>
  <c r="AX71" i="8"/>
  <c r="AW71" i="8"/>
  <c r="AV71" i="8"/>
  <c r="AV75" i="8" s="1"/>
  <c r="AU71" i="8"/>
  <c r="AT71" i="8"/>
  <c r="BC70" i="8"/>
  <c r="AY70" i="8"/>
  <c r="BC69" i="8"/>
  <c r="AY69" i="8"/>
  <c r="BB67" i="8"/>
  <c r="BA67" i="8"/>
  <c r="AZ67" i="8"/>
  <c r="AX67" i="8"/>
  <c r="AW67" i="8"/>
  <c r="AV67" i="8"/>
  <c r="AU67" i="8"/>
  <c r="AT67" i="8"/>
  <c r="BC66" i="8"/>
  <c r="AY66" i="8"/>
  <c r="BC65" i="8"/>
  <c r="AY65" i="8"/>
  <c r="BB64" i="8"/>
  <c r="BB68" i="8" s="1"/>
  <c r="BA64" i="8"/>
  <c r="AZ64" i="8"/>
  <c r="AX64" i="8"/>
  <c r="AX68" i="8" s="1"/>
  <c r="AW64" i="8"/>
  <c r="AV64" i="8"/>
  <c r="AU64" i="8"/>
  <c r="AT64" i="8"/>
  <c r="AT68" i="8" s="1"/>
  <c r="BC63" i="8"/>
  <c r="AY63" i="8"/>
  <c r="BC62" i="8"/>
  <c r="AY62" i="8"/>
  <c r="AY64" i="8" s="1"/>
  <c r="BB60" i="8"/>
  <c r="BA60" i="8"/>
  <c r="AZ60" i="8"/>
  <c r="AZ61" i="8" s="1"/>
  <c r="AX60" i="8"/>
  <c r="AW60" i="8"/>
  <c r="AV60" i="8"/>
  <c r="AV61" i="8" s="1"/>
  <c r="AU60" i="8"/>
  <c r="AT60" i="8"/>
  <c r="AY60" i="8"/>
  <c r="BB54" i="8"/>
  <c r="AX54" i="8"/>
  <c r="AT54" i="8"/>
  <c r="AZ47" i="8"/>
  <c r="AV47" i="8"/>
  <c r="BB39" i="8"/>
  <c r="BA39" i="8"/>
  <c r="AZ39" i="8"/>
  <c r="AX39" i="8"/>
  <c r="AW39" i="8"/>
  <c r="AV39" i="8"/>
  <c r="AU39" i="8"/>
  <c r="AT39" i="8"/>
  <c r="BC38" i="8"/>
  <c r="AY38" i="8"/>
  <c r="BC37" i="8"/>
  <c r="AY37" i="8"/>
  <c r="BB36" i="8"/>
  <c r="BB40" i="8" s="1"/>
  <c r="BA36" i="8"/>
  <c r="AZ36" i="8"/>
  <c r="AX36" i="8"/>
  <c r="AX40" i="8" s="1"/>
  <c r="AW36" i="8"/>
  <c r="AV36" i="8"/>
  <c r="AU36" i="8"/>
  <c r="AT36" i="8"/>
  <c r="AT40" i="8" s="1"/>
  <c r="BC35" i="8"/>
  <c r="AY35" i="8"/>
  <c r="BC34" i="8"/>
  <c r="AY34" i="8"/>
  <c r="BB32" i="8"/>
  <c r="BA32" i="8"/>
  <c r="AZ32" i="8"/>
  <c r="AX32" i="8"/>
  <c r="AW32" i="8"/>
  <c r="AV32" i="8"/>
  <c r="AU32" i="8"/>
  <c r="AT32" i="8"/>
  <c r="BC31" i="8"/>
  <c r="AY31" i="8"/>
  <c r="BC30" i="8"/>
  <c r="AY30" i="8"/>
  <c r="BB29" i="8"/>
  <c r="BA29" i="8"/>
  <c r="AZ29" i="8"/>
  <c r="AZ33" i="8" s="1"/>
  <c r="AX29" i="8"/>
  <c r="AW29" i="8"/>
  <c r="AV29" i="8"/>
  <c r="AV33" i="8" s="1"/>
  <c r="AU29" i="8"/>
  <c r="AT29" i="8"/>
  <c r="BC28" i="8"/>
  <c r="AY28" i="8"/>
  <c r="BC27" i="8"/>
  <c r="AY27" i="8"/>
  <c r="BB26" i="8"/>
  <c r="AX26" i="8"/>
  <c r="AT26" i="8"/>
  <c r="AZ19" i="8"/>
  <c r="AV19" i="8"/>
  <c r="BB11" i="8"/>
  <c r="BB12" i="8" s="1"/>
  <c r="BA11" i="8"/>
  <c r="AZ11" i="8"/>
  <c r="AX11" i="8"/>
  <c r="AX12" i="8" s="1"/>
  <c r="AW11" i="8"/>
  <c r="AV11" i="8"/>
  <c r="AU11" i="8"/>
  <c r="AT11" i="8"/>
  <c r="AT12" i="8" s="1"/>
  <c r="AN97" i="8"/>
  <c r="AM97" i="8"/>
  <c r="AL97" i="8"/>
  <c r="AJ97" i="8"/>
  <c r="AI97" i="8"/>
  <c r="AH97" i="8"/>
  <c r="AG97" i="8"/>
  <c r="AF97" i="8"/>
  <c r="AN96" i="8"/>
  <c r="AN98" i="8" s="1"/>
  <c r="AM96" i="8"/>
  <c r="AM98" i="8" s="1"/>
  <c r="AL96" i="8"/>
  <c r="AL98" i="8" s="1"/>
  <c r="AJ96" i="8"/>
  <c r="AJ98" i="8" s="1"/>
  <c r="AI96" i="8"/>
  <c r="AI98" i="8" s="1"/>
  <c r="AH96" i="8"/>
  <c r="AH98" i="8" s="1"/>
  <c r="AG96" i="8"/>
  <c r="AG98" i="8" s="1"/>
  <c r="AF96" i="8"/>
  <c r="AF98" i="8" s="1"/>
  <c r="AN94" i="8"/>
  <c r="AM94" i="8"/>
  <c r="AL94" i="8"/>
  <c r="AJ94" i="8"/>
  <c r="AI94" i="8"/>
  <c r="AH94" i="8"/>
  <c r="AG94" i="8"/>
  <c r="AF94" i="8"/>
  <c r="AN93" i="8"/>
  <c r="AN95" i="8" s="1"/>
  <c r="AM93" i="8"/>
  <c r="AM95" i="8" s="1"/>
  <c r="AL93" i="8"/>
  <c r="AL95" i="8" s="1"/>
  <c r="AJ93" i="8"/>
  <c r="AJ95" i="8" s="1"/>
  <c r="AI93" i="8"/>
  <c r="AI95" i="8" s="1"/>
  <c r="AH93" i="8"/>
  <c r="AH95" i="8" s="1"/>
  <c r="AG93" i="8"/>
  <c r="AG95" i="8" s="1"/>
  <c r="AF93" i="8"/>
  <c r="AF95" i="8" s="1"/>
  <c r="AK90" i="8"/>
  <c r="AN88" i="8"/>
  <c r="AM88" i="8"/>
  <c r="AL88" i="8"/>
  <c r="AJ88" i="8"/>
  <c r="AI88" i="8"/>
  <c r="AH88" i="8"/>
  <c r="AG88" i="8"/>
  <c r="AF88" i="8"/>
  <c r="AO87" i="8"/>
  <c r="AK87" i="8"/>
  <c r="AO86" i="8"/>
  <c r="AO88" i="8" s="1"/>
  <c r="AK86" i="8"/>
  <c r="AN85" i="8"/>
  <c r="AM85" i="8"/>
  <c r="AL85" i="8"/>
  <c r="AL89" i="8" s="1"/>
  <c r="AJ85" i="8"/>
  <c r="AI85" i="8"/>
  <c r="AH85" i="8"/>
  <c r="AG85" i="8"/>
  <c r="AF85" i="8"/>
  <c r="AO84" i="8"/>
  <c r="AK84" i="8"/>
  <c r="AO83" i="8"/>
  <c r="AK83" i="8"/>
  <c r="AK85" i="8" s="1"/>
  <c r="AN81" i="8"/>
  <c r="AM81" i="8"/>
  <c r="AL81" i="8"/>
  <c r="AJ81" i="8"/>
  <c r="AI81" i="8"/>
  <c r="AH81" i="8"/>
  <c r="AG81" i="8"/>
  <c r="AF81" i="8"/>
  <c r="AO80" i="8"/>
  <c r="AK80" i="8"/>
  <c r="AO79" i="8"/>
  <c r="AK79" i="8"/>
  <c r="AK81" i="8" s="1"/>
  <c r="AN78" i="8"/>
  <c r="AM78" i="8"/>
  <c r="AL78" i="8"/>
  <c r="AJ78" i="8"/>
  <c r="AJ82" i="8" s="1"/>
  <c r="AI78" i="8"/>
  <c r="AI82" i="8" s="1"/>
  <c r="AH78" i="8"/>
  <c r="AG78" i="8"/>
  <c r="AF78" i="8"/>
  <c r="AF82" i="8" s="1"/>
  <c r="AO77" i="8"/>
  <c r="AK77" i="8"/>
  <c r="AO76" i="8"/>
  <c r="AK76" i="8"/>
  <c r="AK78" i="8" s="1"/>
  <c r="AN74" i="8"/>
  <c r="AM74" i="8"/>
  <c r="AL74" i="8"/>
  <c r="AJ74" i="8"/>
  <c r="AI74" i="8"/>
  <c r="AH74" i="8"/>
  <c r="AG74" i="8"/>
  <c r="AF74" i="8"/>
  <c r="AO73" i="8"/>
  <c r="AK73" i="8"/>
  <c r="AO72" i="8"/>
  <c r="AK72" i="8"/>
  <c r="AK74" i="8" s="1"/>
  <c r="AN71" i="8"/>
  <c r="AM71" i="8"/>
  <c r="AL71" i="8"/>
  <c r="AL75" i="8" s="1"/>
  <c r="AJ71" i="8"/>
  <c r="AI71" i="8"/>
  <c r="AH71" i="8"/>
  <c r="AH75" i="8" s="1"/>
  <c r="AG71" i="8"/>
  <c r="AF71" i="8"/>
  <c r="AO70" i="8"/>
  <c r="AK70" i="8"/>
  <c r="AO69" i="8"/>
  <c r="AO71" i="8" s="1"/>
  <c r="AK69" i="8"/>
  <c r="AN67" i="8"/>
  <c r="AM67" i="8"/>
  <c r="AL67" i="8"/>
  <c r="AJ67" i="8"/>
  <c r="AI67" i="8"/>
  <c r="AH67" i="8"/>
  <c r="AG67" i="8"/>
  <c r="AF67" i="8"/>
  <c r="AO66" i="8"/>
  <c r="AK66" i="8"/>
  <c r="AO65" i="8"/>
  <c r="AO67" i="8" s="1"/>
  <c r="AK65" i="8"/>
  <c r="AN64" i="8"/>
  <c r="AN68" i="8" s="1"/>
  <c r="AM64" i="8"/>
  <c r="AM68" i="8" s="1"/>
  <c r="AL64" i="8"/>
  <c r="AJ64" i="8"/>
  <c r="AJ68" i="8" s="1"/>
  <c r="AI64" i="8"/>
  <c r="AI68" i="8" s="1"/>
  <c r="AH64" i="8"/>
  <c r="AG64" i="8"/>
  <c r="AF64" i="8"/>
  <c r="AF68" i="8" s="1"/>
  <c r="AO63" i="8"/>
  <c r="AK63" i="8"/>
  <c r="AO62" i="8"/>
  <c r="AO64" i="8" s="1"/>
  <c r="AK62" i="8"/>
  <c r="AO59" i="8"/>
  <c r="AO58" i="8"/>
  <c r="AO60" i="8" s="1"/>
  <c r="AL61" i="8"/>
  <c r="AO56" i="8"/>
  <c r="AO55" i="8"/>
  <c r="AO52" i="8"/>
  <c r="AO51" i="8"/>
  <c r="AO49" i="8"/>
  <c r="AO48" i="8"/>
  <c r="AO45" i="8"/>
  <c r="AO44" i="8"/>
  <c r="AO42" i="8"/>
  <c r="AO41" i="8"/>
  <c r="AO38" i="8"/>
  <c r="AO37" i="8"/>
  <c r="AO35" i="8"/>
  <c r="AO34" i="8"/>
  <c r="AO31" i="8"/>
  <c r="AO30" i="8"/>
  <c r="AO28" i="8"/>
  <c r="AO27" i="8"/>
  <c r="AO24" i="8"/>
  <c r="AO23" i="8"/>
  <c r="AO21" i="8"/>
  <c r="AO20" i="8"/>
  <c r="AO17" i="8"/>
  <c r="AO16" i="8"/>
  <c r="AO14" i="8"/>
  <c r="AO13" i="8"/>
  <c r="AO10" i="8"/>
  <c r="AO9" i="8"/>
  <c r="AO7" i="8"/>
  <c r="AO6" i="8"/>
  <c r="Z97" i="8"/>
  <c r="Y97" i="8"/>
  <c r="X97" i="8"/>
  <c r="V97" i="8"/>
  <c r="U97" i="8"/>
  <c r="T97" i="8"/>
  <c r="S97" i="8"/>
  <c r="R97" i="8"/>
  <c r="Z96" i="8"/>
  <c r="Z98" i="8" s="1"/>
  <c r="Y96" i="8"/>
  <c r="Y98" i="8" s="1"/>
  <c r="X96" i="8"/>
  <c r="V96" i="8"/>
  <c r="U96" i="8"/>
  <c r="U98" i="8" s="1"/>
  <c r="T96" i="8"/>
  <c r="T98" i="8" s="1"/>
  <c r="S96" i="8"/>
  <c r="S98" i="8" s="1"/>
  <c r="R96" i="8"/>
  <c r="R98" i="8" s="1"/>
  <c r="Z94" i="8"/>
  <c r="Y94" i="8"/>
  <c r="X94" i="8"/>
  <c r="V94" i="8"/>
  <c r="U94" i="8"/>
  <c r="T94" i="8"/>
  <c r="S94" i="8"/>
  <c r="R94" i="8"/>
  <c r="Z93" i="8"/>
  <c r="Z95" i="8" s="1"/>
  <c r="Y93" i="8"/>
  <c r="Y95" i="8" s="1"/>
  <c r="X93" i="8"/>
  <c r="X95" i="8" s="1"/>
  <c r="V93" i="8"/>
  <c r="V95" i="8" s="1"/>
  <c r="U93" i="8"/>
  <c r="U95" i="8" s="1"/>
  <c r="T93" i="8"/>
  <c r="T95" i="8" s="1"/>
  <c r="S93" i="8"/>
  <c r="S95" i="8" s="1"/>
  <c r="R93" i="8"/>
  <c r="R95" i="8" s="1"/>
  <c r="W90" i="8"/>
  <c r="Z88" i="8"/>
  <c r="Y88" i="8"/>
  <c r="X88" i="8"/>
  <c r="V88" i="8"/>
  <c r="U88" i="8"/>
  <c r="T88" i="8"/>
  <c r="S88" i="8"/>
  <c r="R88" i="8"/>
  <c r="AA87" i="8"/>
  <c r="W87" i="8"/>
  <c r="AA86" i="8"/>
  <c r="W86" i="8"/>
  <c r="Z85" i="8"/>
  <c r="Y85" i="8"/>
  <c r="X85" i="8"/>
  <c r="X89" i="8" s="1"/>
  <c r="V85" i="8"/>
  <c r="U85" i="8"/>
  <c r="T85" i="8"/>
  <c r="T89" i="8" s="1"/>
  <c r="S85" i="8"/>
  <c r="R85" i="8"/>
  <c r="AA84" i="8"/>
  <c r="W84" i="8"/>
  <c r="AA83" i="8"/>
  <c r="W83" i="8"/>
  <c r="Z81" i="8"/>
  <c r="Y81" i="8"/>
  <c r="X81" i="8"/>
  <c r="V81" i="8"/>
  <c r="U81" i="8"/>
  <c r="T81" i="8"/>
  <c r="S81" i="8"/>
  <c r="R81" i="8"/>
  <c r="AA80" i="8"/>
  <c r="W80" i="8"/>
  <c r="AA79" i="8"/>
  <c r="W79" i="8"/>
  <c r="Z78" i="8"/>
  <c r="Z82" i="8" s="1"/>
  <c r="Y78" i="8"/>
  <c r="X78" i="8"/>
  <c r="V78" i="8"/>
  <c r="U78" i="8"/>
  <c r="T78" i="8"/>
  <c r="S78" i="8"/>
  <c r="R78" i="8"/>
  <c r="AA77" i="8"/>
  <c r="W77" i="8"/>
  <c r="AA76" i="8"/>
  <c r="W76" i="8"/>
  <c r="Z74" i="8"/>
  <c r="Y74" i="8"/>
  <c r="X74" i="8"/>
  <c r="V74" i="8"/>
  <c r="U74" i="8"/>
  <c r="T74" i="8"/>
  <c r="S74" i="8"/>
  <c r="R74" i="8"/>
  <c r="AA73" i="8"/>
  <c r="W73" i="8"/>
  <c r="AA72" i="8"/>
  <c r="W72" i="8"/>
  <c r="Z71" i="8"/>
  <c r="Y71" i="8"/>
  <c r="X71" i="8"/>
  <c r="V71" i="8"/>
  <c r="U71" i="8"/>
  <c r="T71" i="8"/>
  <c r="S71" i="8"/>
  <c r="R71" i="8"/>
  <c r="AA70" i="8"/>
  <c r="W70" i="8"/>
  <c r="AA69" i="8"/>
  <c r="W69" i="8"/>
  <c r="Z67" i="8"/>
  <c r="Y67" i="8"/>
  <c r="X67" i="8"/>
  <c r="V67" i="8"/>
  <c r="U67" i="8"/>
  <c r="T67" i="8"/>
  <c r="S67" i="8"/>
  <c r="R67" i="8"/>
  <c r="AA66" i="8"/>
  <c r="W66" i="8"/>
  <c r="AA65" i="8"/>
  <c r="W65" i="8"/>
  <c r="Z64" i="8"/>
  <c r="Z68" i="8" s="1"/>
  <c r="Y64" i="8"/>
  <c r="X64" i="8"/>
  <c r="V64" i="8"/>
  <c r="V68" i="8" s="1"/>
  <c r="U64" i="8"/>
  <c r="T64" i="8"/>
  <c r="S64" i="8"/>
  <c r="R64" i="8"/>
  <c r="R68" i="8" s="1"/>
  <c r="AA63" i="8"/>
  <c r="W63" i="8"/>
  <c r="AA62" i="8"/>
  <c r="W62" i="8"/>
  <c r="Z60" i="8"/>
  <c r="Y60" i="8"/>
  <c r="X60" i="8"/>
  <c r="V60" i="8"/>
  <c r="U60" i="8"/>
  <c r="T60" i="8"/>
  <c r="T61" i="8" s="1"/>
  <c r="S60" i="8"/>
  <c r="R60" i="8"/>
  <c r="AA59" i="8"/>
  <c r="AA58" i="8"/>
  <c r="AA56" i="8"/>
  <c r="AA55" i="8"/>
  <c r="AA57" i="8" s="1"/>
  <c r="Z53" i="8"/>
  <c r="Z54" i="8" s="1"/>
  <c r="Y53" i="8"/>
  <c r="X53" i="8"/>
  <c r="V53" i="8"/>
  <c r="V54" i="8" s="1"/>
  <c r="T53" i="8"/>
  <c r="S53" i="8"/>
  <c r="R53" i="8"/>
  <c r="R54" i="8" s="1"/>
  <c r="AA52" i="8"/>
  <c r="AA51" i="8"/>
  <c r="AA49" i="8"/>
  <c r="AA48" i="8"/>
  <c r="Z46" i="8"/>
  <c r="Y46" i="8"/>
  <c r="Y47" i="8" s="1"/>
  <c r="X46" i="8"/>
  <c r="V46" i="8"/>
  <c r="U46" i="8"/>
  <c r="U47" i="8" s="1"/>
  <c r="T46" i="8"/>
  <c r="T47" i="8" s="1"/>
  <c r="S46" i="8"/>
  <c r="R46" i="8"/>
  <c r="AA45" i="8"/>
  <c r="AA44" i="8"/>
  <c r="X47" i="8"/>
  <c r="AA42" i="8"/>
  <c r="AA41" i="8"/>
  <c r="AA43" i="8" s="1"/>
  <c r="Z39" i="8"/>
  <c r="Y39" i="8"/>
  <c r="X39" i="8"/>
  <c r="V39" i="8"/>
  <c r="U39" i="8"/>
  <c r="T39" i="8"/>
  <c r="S39" i="8"/>
  <c r="R39" i="8"/>
  <c r="AA38" i="8"/>
  <c r="W38" i="8"/>
  <c r="AA37" i="8"/>
  <c r="W37" i="8"/>
  <c r="Z36" i="8"/>
  <c r="Z40" i="8" s="1"/>
  <c r="Y36" i="8"/>
  <c r="X36" i="8"/>
  <c r="V36" i="8"/>
  <c r="V40" i="8" s="1"/>
  <c r="U36" i="8"/>
  <c r="T36" i="8"/>
  <c r="S36" i="8"/>
  <c r="S40" i="8" s="1"/>
  <c r="R36" i="8"/>
  <c r="R40" i="8" s="1"/>
  <c r="AA35" i="8"/>
  <c r="W35" i="8"/>
  <c r="AA34" i="8"/>
  <c r="W34" i="8"/>
  <c r="Z32" i="8"/>
  <c r="Y32" i="8"/>
  <c r="Y33" i="8" s="1"/>
  <c r="X32" i="8"/>
  <c r="V32" i="8"/>
  <c r="U32" i="8"/>
  <c r="U33" i="8" s="1"/>
  <c r="T32" i="8"/>
  <c r="T33" i="8" s="1"/>
  <c r="S32" i="8"/>
  <c r="R32" i="8"/>
  <c r="AA31" i="8"/>
  <c r="AA30" i="8"/>
  <c r="X33" i="8"/>
  <c r="AA28" i="8"/>
  <c r="AA27" i="8"/>
  <c r="AA24" i="8"/>
  <c r="AA23" i="8"/>
  <c r="Z26" i="8"/>
  <c r="V26" i="8"/>
  <c r="S26" i="8"/>
  <c r="R26" i="8"/>
  <c r="AA21" i="8"/>
  <c r="AA20" i="8"/>
  <c r="Z18" i="8"/>
  <c r="Y18" i="8"/>
  <c r="Y19" i="8" s="1"/>
  <c r="X18" i="8"/>
  <c r="V18" i="8"/>
  <c r="U18" i="8"/>
  <c r="U19" i="8" s="1"/>
  <c r="T18" i="8"/>
  <c r="T19" i="8" s="1"/>
  <c r="S18" i="8"/>
  <c r="R18" i="8"/>
  <c r="AA17" i="8"/>
  <c r="AA16" i="8"/>
  <c r="X19" i="8"/>
  <c r="AA14" i="8"/>
  <c r="AA13" i="8"/>
  <c r="Z11" i="8"/>
  <c r="Z12" i="8" s="1"/>
  <c r="Y11" i="8"/>
  <c r="X11" i="8"/>
  <c r="V11" i="8"/>
  <c r="U11" i="8"/>
  <c r="T11" i="8"/>
  <c r="S11" i="8"/>
  <c r="R11" i="8"/>
  <c r="AA10" i="8"/>
  <c r="W11" i="8"/>
  <c r="AA9" i="8"/>
  <c r="R12" i="8"/>
  <c r="AA7" i="8"/>
  <c r="AA6" i="8"/>
  <c r="I87" i="8"/>
  <c r="I86" i="8"/>
  <c r="L85" i="8"/>
  <c r="K85" i="8"/>
  <c r="J85" i="8"/>
  <c r="H85" i="8"/>
  <c r="G85" i="8"/>
  <c r="F85" i="8"/>
  <c r="E85" i="8"/>
  <c r="D85" i="8"/>
  <c r="I84" i="8"/>
  <c r="I83" i="8"/>
  <c r="I80" i="8"/>
  <c r="I79" i="8"/>
  <c r="L78" i="8"/>
  <c r="K78" i="8"/>
  <c r="J78" i="8"/>
  <c r="H78" i="8"/>
  <c r="G78" i="8"/>
  <c r="F78" i="8"/>
  <c r="E78" i="8"/>
  <c r="D78" i="8"/>
  <c r="I77" i="8"/>
  <c r="I76" i="8"/>
  <c r="I73" i="8"/>
  <c r="I72" i="8"/>
  <c r="L71" i="8"/>
  <c r="K71" i="8"/>
  <c r="J71" i="8"/>
  <c r="H71" i="8"/>
  <c r="G71" i="8"/>
  <c r="F71" i="8"/>
  <c r="E71" i="8"/>
  <c r="D71" i="8"/>
  <c r="I70" i="8"/>
  <c r="I69" i="8"/>
  <c r="I66" i="8"/>
  <c r="I65" i="8"/>
  <c r="L64" i="8"/>
  <c r="K64" i="8"/>
  <c r="J64" i="8"/>
  <c r="H64" i="8"/>
  <c r="G64" i="8"/>
  <c r="F64" i="8"/>
  <c r="E64" i="8"/>
  <c r="D64" i="8"/>
  <c r="I63" i="8"/>
  <c r="I62" i="8"/>
  <c r="I64" i="8" s="1"/>
  <c r="I38" i="8"/>
  <c r="I37" i="8"/>
  <c r="L36" i="8"/>
  <c r="K36" i="8"/>
  <c r="J36" i="8"/>
  <c r="H36" i="8"/>
  <c r="G36" i="8"/>
  <c r="F36" i="8"/>
  <c r="E36" i="8"/>
  <c r="D36" i="8"/>
  <c r="I35" i="8"/>
  <c r="I34" i="8"/>
  <c r="J97" i="8"/>
  <c r="K97" i="8"/>
  <c r="L97" i="8"/>
  <c r="K96" i="8"/>
  <c r="L96" i="8"/>
  <c r="J96" i="8"/>
  <c r="J94" i="8"/>
  <c r="K94" i="8"/>
  <c r="L94" i="8"/>
  <c r="K93" i="8"/>
  <c r="L93" i="8"/>
  <c r="J93" i="8"/>
  <c r="D97" i="8"/>
  <c r="E97" i="8"/>
  <c r="F97" i="8"/>
  <c r="G97" i="8"/>
  <c r="H97" i="8"/>
  <c r="E96" i="8"/>
  <c r="F96" i="8"/>
  <c r="G96" i="8"/>
  <c r="H96" i="8"/>
  <c r="D96" i="8"/>
  <c r="D94" i="8"/>
  <c r="E94" i="8"/>
  <c r="F94" i="8"/>
  <c r="G94" i="8"/>
  <c r="H94" i="8"/>
  <c r="E93" i="8"/>
  <c r="F93" i="8"/>
  <c r="G93" i="8"/>
  <c r="H93" i="8"/>
  <c r="D93" i="8"/>
  <c r="EG98" i="8" l="1"/>
  <c r="EG95" i="8"/>
  <c r="EB95" i="8"/>
  <c r="CL95" i="8"/>
  <c r="FG94" i="8"/>
  <c r="W88" i="8"/>
  <c r="AY32" i="8"/>
  <c r="AY36" i="8"/>
  <c r="CE78" i="8"/>
  <c r="CE81" i="8"/>
  <c r="CO64" i="8"/>
  <c r="CO74" i="8"/>
  <c r="CO78" i="8"/>
  <c r="CO81" i="8"/>
  <c r="CO85" i="8"/>
  <c r="DQ39" i="8"/>
  <c r="DQ64" i="8"/>
  <c r="DQ78" i="8"/>
  <c r="EE57" i="8"/>
  <c r="EE71" i="8"/>
  <c r="EE74" i="8"/>
  <c r="EE78" i="8"/>
  <c r="EE81" i="8"/>
  <c r="FG81" i="8"/>
  <c r="AA32" i="8"/>
  <c r="CE53" i="8"/>
  <c r="T75" i="8"/>
  <c r="CE11" i="8"/>
  <c r="BY95" i="8"/>
  <c r="CE25" i="8"/>
  <c r="CD98" i="8"/>
  <c r="CE8" i="8"/>
  <c r="CE22" i="8"/>
  <c r="AV98" i="8"/>
  <c r="AJ75" i="8"/>
  <c r="FG97" i="8"/>
  <c r="BC19" i="8"/>
  <c r="BC32" i="8"/>
  <c r="BC60" i="8"/>
  <c r="BC64" i="8"/>
  <c r="BC67" i="8"/>
  <c r="BC71" i="8"/>
  <c r="BC74" i="8"/>
  <c r="BC78" i="8"/>
  <c r="BC81" i="8"/>
  <c r="BC85" i="8"/>
  <c r="BC88" i="8"/>
  <c r="BM11" i="8"/>
  <c r="BM12" i="8" s="1"/>
  <c r="BM32" i="8"/>
  <c r="BM36" i="8"/>
  <c r="BM39" i="8"/>
  <c r="BM60" i="8"/>
  <c r="BM64" i="8"/>
  <c r="BM71" i="8"/>
  <c r="BM81" i="8"/>
  <c r="CA64" i="8"/>
  <c r="CA68" i="8" s="1"/>
  <c r="CA78" i="8"/>
  <c r="CA81" i="8"/>
  <c r="CE94" i="8"/>
  <c r="CE96" i="8"/>
  <c r="CE97" i="8"/>
  <c r="CS64" i="8"/>
  <c r="CS67" i="8"/>
  <c r="CS71" i="8"/>
  <c r="CS74" i="8"/>
  <c r="CS78" i="8"/>
  <c r="CS81" i="8"/>
  <c r="DC85" i="8"/>
  <c r="EI60" i="8"/>
  <c r="EI64" i="8"/>
  <c r="EI67" i="8"/>
  <c r="EI68" i="8" s="1"/>
  <c r="EI71" i="8"/>
  <c r="EI88" i="8"/>
  <c r="ES8" i="8"/>
  <c r="ES18" i="8"/>
  <c r="ES22" i="8"/>
  <c r="ES32" i="8"/>
  <c r="ES36" i="8"/>
  <c r="ES39" i="8"/>
  <c r="ES43" i="8"/>
  <c r="ES60" i="8"/>
  <c r="AF75" i="8"/>
  <c r="EU95" i="8"/>
  <c r="EU99" i="8" s="1"/>
  <c r="AA78" i="8"/>
  <c r="AA81" i="8"/>
  <c r="AA85" i="8"/>
  <c r="AA88" i="8"/>
  <c r="AA89" i="8" s="1"/>
  <c r="AK67" i="8"/>
  <c r="AK71" i="8"/>
  <c r="AK75" i="8" s="1"/>
  <c r="BC11" i="8"/>
  <c r="BC12" i="8" s="1"/>
  <c r="BC29" i="8"/>
  <c r="BC36" i="8"/>
  <c r="BC39" i="8"/>
  <c r="I71" i="8"/>
  <c r="AA36" i="8"/>
  <c r="AA39" i="8"/>
  <c r="AA40" i="8" s="1"/>
  <c r="AA46" i="8"/>
  <c r="W67" i="8"/>
  <c r="W71" i="8"/>
  <c r="W78" i="8"/>
  <c r="BQ85" i="8"/>
  <c r="DG8" i="8"/>
  <c r="DG12" i="8" s="1"/>
  <c r="DG11" i="8"/>
  <c r="DG15" i="8"/>
  <c r="DG18" i="8"/>
  <c r="DG19" i="8" s="1"/>
  <c r="DG22" i="8"/>
  <c r="DG25" i="8"/>
  <c r="DG29" i="8"/>
  <c r="DG32" i="8"/>
  <c r="DG33" i="8" s="1"/>
  <c r="DG36" i="8"/>
  <c r="DG40" i="8" s="1"/>
  <c r="DG39" i="8"/>
  <c r="DG43" i="8"/>
  <c r="DG46" i="8"/>
  <c r="DG47" i="8" s="1"/>
  <c r="DG50" i="8"/>
  <c r="DG54" i="8" s="1"/>
  <c r="DG53" i="8"/>
  <c r="DG57" i="8"/>
  <c r="DG60" i="8"/>
  <c r="DG61" i="8" s="1"/>
  <c r="DG64" i="8"/>
  <c r="DG68" i="8" s="1"/>
  <c r="DG67" i="8"/>
  <c r="DG71" i="8"/>
  <c r="DG74" i="8"/>
  <c r="DG75" i="8" s="1"/>
  <c r="DG78" i="8"/>
  <c r="DG81" i="8"/>
  <c r="DQ67" i="8"/>
  <c r="EE15" i="8"/>
  <c r="EI94" i="8"/>
  <c r="EI96" i="8"/>
  <c r="EI97" i="8"/>
  <c r="EW8" i="8"/>
  <c r="EW11" i="8"/>
  <c r="EW15" i="8"/>
  <c r="EW19" i="8" s="1"/>
  <c r="EW18" i="8"/>
  <c r="EW22" i="8"/>
  <c r="EW25" i="8"/>
  <c r="EW29" i="8"/>
  <c r="EW33" i="8" s="1"/>
  <c r="EW32" i="8"/>
  <c r="EW39" i="8"/>
  <c r="FG8" i="8"/>
  <c r="FG18" i="8"/>
  <c r="FG22" i="8"/>
  <c r="FG32" i="8"/>
  <c r="FG36" i="8"/>
  <c r="FG46" i="8"/>
  <c r="FG50" i="8"/>
  <c r="FG60" i="8"/>
  <c r="FG64" i="8"/>
  <c r="FG74" i="8"/>
  <c r="FG88" i="8"/>
  <c r="AO97" i="8"/>
  <c r="V98" i="8"/>
  <c r="AA53" i="8"/>
  <c r="AA54" i="8" s="1"/>
  <c r="AA50" i="8"/>
  <c r="I36" i="8"/>
  <c r="I78" i="8"/>
  <c r="I85" i="8"/>
  <c r="W12" i="8"/>
  <c r="V12" i="8"/>
  <c r="W18" i="8"/>
  <c r="W32" i="8"/>
  <c r="W33" i="8" s="1"/>
  <c r="W60" i="8"/>
  <c r="W61" i="8" s="1"/>
  <c r="DC81" i="8"/>
  <c r="AA11" i="8"/>
  <c r="AA15" i="8"/>
  <c r="AA19" i="8" s="1"/>
  <c r="AA18" i="8"/>
  <c r="S19" i="8"/>
  <c r="AA22" i="8"/>
  <c r="AA25" i="8"/>
  <c r="AA29" i="8"/>
  <c r="S82" i="8"/>
  <c r="T12" i="8"/>
  <c r="CM89" i="8"/>
  <c r="DU82" i="8"/>
  <c r="DM82" i="8"/>
  <c r="EO99" i="8"/>
  <c r="ET99" i="8"/>
  <c r="Y12" i="8"/>
  <c r="BK33" i="8"/>
  <c r="BK61" i="8"/>
  <c r="DQ68" i="8"/>
  <c r="EQ47" i="8"/>
  <c r="T68" i="8"/>
  <c r="Y75" i="8"/>
  <c r="AY94" i="8"/>
  <c r="AY97" i="8"/>
  <c r="BM67" i="8"/>
  <c r="BK89" i="8"/>
  <c r="CA36" i="8"/>
  <c r="CA40" i="8" s="1"/>
  <c r="DS75" i="8"/>
  <c r="DQ82" i="8"/>
  <c r="EC19" i="8"/>
  <c r="EE67" i="8"/>
  <c r="EW36" i="8"/>
  <c r="ES53" i="8"/>
  <c r="EN61" i="8"/>
  <c r="ER61" i="8"/>
  <c r="ES64" i="8"/>
  <c r="ES68" i="8" s="1"/>
  <c r="EW94" i="8"/>
  <c r="FD82" i="8"/>
  <c r="FK94" i="8"/>
  <c r="FK96" i="8"/>
  <c r="FK97" i="8"/>
  <c r="W36" i="8"/>
  <c r="W46" i="8"/>
  <c r="Z61" i="8"/>
  <c r="U68" i="8"/>
  <c r="AO32" i="8"/>
  <c r="AO36" i="8"/>
  <c r="AO39" i="8"/>
  <c r="AO43" i="8"/>
  <c r="AI75" i="8"/>
  <c r="BN12" i="8"/>
  <c r="BQ18" i="8"/>
  <c r="BQ22" i="8"/>
  <c r="BQ26" i="8" s="1"/>
  <c r="BQ25" i="8"/>
  <c r="BQ29" i="8"/>
  <c r="BQ46" i="8"/>
  <c r="BQ50" i="8"/>
  <c r="BQ53" i="8"/>
  <c r="BQ57" i="8"/>
  <c r="BQ74" i="8"/>
  <c r="BQ78" i="8"/>
  <c r="BQ82" i="8" s="1"/>
  <c r="BQ81" i="8"/>
  <c r="BM85" i="8"/>
  <c r="BM88" i="8"/>
  <c r="CE64" i="8"/>
  <c r="CE67" i="8"/>
  <c r="CA71" i="8"/>
  <c r="CA74" i="8"/>
  <c r="DA89" i="8"/>
  <c r="DU36" i="8"/>
  <c r="DU39" i="8"/>
  <c r="DR40" i="8"/>
  <c r="DO75" i="8"/>
  <c r="EI15" i="8"/>
  <c r="EE18" i="8"/>
  <c r="EE19" i="8" s="1"/>
  <c r="DZ19" i="8"/>
  <c r="ED19" i="8"/>
  <c r="EE22" i="8"/>
  <c r="EE25" i="8"/>
  <c r="EC75" i="8"/>
  <c r="ET54" i="8"/>
  <c r="EW57" i="8"/>
  <c r="EW60" i="8"/>
  <c r="EW64" i="8"/>
  <c r="EW67" i="8"/>
  <c r="ES74" i="8"/>
  <c r="ES78" i="8"/>
  <c r="ES88" i="8"/>
  <c r="FJ75" i="8"/>
  <c r="X61" i="8"/>
  <c r="AA60" i="8"/>
  <c r="W64" i="8"/>
  <c r="W74" i="8"/>
  <c r="Z89" i="8"/>
  <c r="AL68" i="8"/>
  <c r="AG75" i="8"/>
  <c r="BM25" i="8"/>
  <c r="BM53" i="8"/>
  <c r="BO82" i="8"/>
  <c r="DU68" i="8"/>
  <c r="DM68" i="8"/>
  <c r="DQ71" i="8"/>
  <c r="DQ74" i="8"/>
  <c r="DO89" i="8"/>
  <c r="EB19" i="8"/>
  <c r="EE85" i="8"/>
  <c r="ES57" i="8"/>
  <c r="ES61" i="8" s="1"/>
  <c r="EU68" i="8"/>
  <c r="FG78" i="8"/>
  <c r="FG82" i="8" s="1"/>
  <c r="FG85" i="8"/>
  <c r="R19" i="8"/>
  <c r="V19" i="8"/>
  <c r="R33" i="8"/>
  <c r="R61" i="8"/>
  <c r="Y68" i="8"/>
  <c r="AA8" i="8"/>
  <c r="AA12" i="8" s="1"/>
  <c r="S12" i="8"/>
  <c r="Z19" i="8"/>
  <c r="U26" i="8"/>
  <c r="Z33" i="8"/>
  <c r="U40" i="8"/>
  <c r="Z47" i="8"/>
  <c r="U54" i="8"/>
  <c r="U61" i="8"/>
  <c r="Y61" i="8"/>
  <c r="AA67" i="8"/>
  <c r="S68" i="8"/>
  <c r="X68" i="8"/>
  <c r="AA71" i="8"/>
  <c r="X75" i="8"/>
  <c r="AA74" i="8"/>
  <c r="S75" i="8"/>
  <c r="R82" i="8"/>
  <c r="V82" i="8"/>
  <c r="U82" i="8"/>
  <c r="U89" i="8"/>
  <c r="Y89" i="8"/>
  <c r="AA94" i="8"/>
  <c r="AA96" i="8"/>
  <c r="AA97" i="8"/>
  <c r="AO8" i="8"/>
  <c r="AO11" i="8"/>
  <c r="AO15" i="8"/>
  <c r="AO18" i="8"/>
  <c r="AO22" i="8"/>
  <c r="AO25" i="8"/>
  <c r="AO29" i="8"/>
  <c r="AO57" i="8"/>
  <c r="AO61" i="8" s="1"/>
  <c r="AG61" i="8"/>
  <c r="AK61" i="8"/>
  <c r="AF61" i="8"/>
  <c r="AJ61" i="8"/>
  <c r="AK64" i="8"/>
  <c r="AK68" i="8" s="1"/>
  <c r="AM75" i="8"/>
  <c r="AM82" i="8"/>
  <c r="AH82" i="8"/>
  <c r="AL82" i="8"/>
  <c r="AO85" i="8"/>
  <c r="AG89" i="8"/>
  <c r="AK88" i="8"/>
  <c r="AK89" i="8" s="1"/>
  <c r="AF89" i="8"/>
  <c r="AJ89" i="8"/>
  <c r="AO94" i="8"/>
  <c r="AW12" i="8"/>
  <c r="AW19" i="8"/>
  <c r="BB19" i="8"/>
  <c r="AW26" i="8"/>
  <c r="AW33" i="8"/>
  <c r="BB33" i="8"/>
  <c r="AW40" i="8"/>
  <c r="AW47" i="8"/>
  <c r="BB47" i="8"/>
  <c r="AW54" i="8"/>
  <c r="AW61" i="8"/>
  <c r="BB61" i="8"/>
  <c r="AW68" i="8"/>
  <c r="AW75" i="8"/>
  <c r="BB75" i="8"/>
  <c r="AW82" i="8"/>
  <c r="AW89" i="8"/>
  <c r="U12" i="8"/>
  <c r="T26" i="8"/>
  <c r="Y26" i="8"/>
  <c r="W39" i="8"/>
  <c r="W40" i="8" s="1"/>
  <c r="T40" i="8"/>
  <c r="Y40" i="8"/>
  <c r="W53" i="8"/>
  <c r="W54" i="8" s="1"/>
  <c r="T54" i="8"/>
  <c r="Y54" i="8"/>
  <c r="AA64" i="8"/>
  <c r="R75" i="8"/>
  <c r="V75" i="8"/>
  <c r="Z75" i="8"/>
  <c r="W81" i="8"/>
  <c r="T82" i="8"/>
  <c r="Y82" i="8"/>
  <c r="W85" i="8"/>
  <c r="W89" i="8" s="1"/>
  <c r="W94" i="8"/>
  <c r="W97" i="8"/>
  <c r="AO46" i="8"/>
  <c r="AO47" i="8" s="1"/>
  <c r="AO50" i="8"/>
  <c r="AO53" i="8"/>
  <c r="AI61" i="8"/>
  <c r="AN61" i="8"/>
  <c r="AO74" i="8"/>
  <c r="AO78" i="8"/>
  <c r="AO81" i="8"/>
  <c r="AG82" i="8"/>
  <c r="AI89" i="8"/>
  <c r="AN89" i="8"/>
  <c r="AY11" i="8"/>
  <c r="AV12" i="8"/>
  <c r="BA12" i="8"/>
  <c r="AY19" i="8"/>
  <c r="BA19" i="8"/>
  <c r="AY26" i="8"/>
  <c r="AV26" i="8"/>
  <c r="BA26" i="8"/>
  <c r="AY29" i="8"/>
  <c r="AY33" i="8" s="1"/>
  <c r="BA33" i="8"/>
  <c r="AY39" i="8"/>
  <c r="AV40" i="8"/>
  <c r="BA40" i="8"/>
  <c r="AY47" i="8"/>
  <c r="BA47" i="8"/>
  <c r="AV54" i="8"/>
  <c r="BA54" i="8"/>
  <c r="AY61" i="8"/>
  <c r="BA61" i="8"/>
  <c r="AY67" i="8"/>
  <c r="AV68" i="8"/>
  <c r="BA68" i="8"/>
  <c r="AY71" i="8"/>
  <c r="AY75" i="8" s="1"/>
  <c r="BA75" i="8"/>
  <c r="AY81" i="8"/>
  <c r="AY82" i="8" s="1"/>
  <c r="AV82" i="8"/>
  <c r="BA82" i="8"/>
  <c r="AY85" i="8"/>
  <c r="AY89" i="8" s="1"/>
  <c r="BA89" i="8"/>
  <c r="X26" i="8"/>
  <c r="S33" i="8"/>
  <c r="X40" i="8"/>
  <c r="S47" i="8"/>
  <c r="S54" i="8"/>
  <c r="X54" i="8"/>
  <c r="S61" i="8"/>
  <c r="U75" i="8"/>
  <c r="X82" i="8"/>
  <c r="S89" i="8"/>
  <c r="AM61" i="8"/>
  <c r="AH68" i="8"/>
  <c r="AK82" i="8"/>
  <c r="AM89" i="8"/>
  <c r="AU12" i="8"/>
  <c r="AZ12" i="8"/>
  <c r="AU19" i="8"/>
  <c r="BC26" i="8"/>
  <c r="AU26" i="8"/>
  <c r="AZ26" i="8"/>
  <c r="AU33" i="8"/>
  <c r="BC40" i="8"/>
  <c r="AU40" i="8"/>
  <c r="AZ40" i="8"/>
  <c r="AU47" i="8"/>
  <c r="BC54" i="8"/>
  <c r="AU54" i="8"/>
  <c r="AZ54" i="8"/>
  <c r="BC61" i="8"/>
  <c r="AU61" i="8"/>
  <c r="AU68" i="8"/>
  <c r="AZ68" i="8"/>
  <c r="AU75" i="8"/>
  <c r="AU82" i="8"/>
  <c r="AZ82" i="8"/>
  <c r="AU89" i="8"/>
  <c r="X12" i="8"/>
  <c r="W26" i="8"/>
  <c r="V33" i="8"/>
  <c r="R47" i="8"/>
  <c r="V47" i="8"/>
  <c r="V61" i="8"/>
  <c r="R89" i="8"/>
  <c r="V89" i="8"/>
  <c r="AH61" i="8"/>
  <c r="AG68" i="8"/>
  <c r="AN75" i="8"/>
  <c r="AN82" i="8"/>
  <c r="AH89" i="8"/>
  <c r="AO89" i="8"/>
  <c r="AK94" i="8"/>
  <c r="AK97" i="8"/>
  <c r="AT19" i="8"/>
  <c r="AX19" i="8"/>
  <c r="AT33" i="8"/>
  <c r="AX33" i="8"/>
  <c r="AT47" i="8"/>
  <c r="AX47" i="8"/>
  <c r="AT61" i="8"/>
  <c r="AX61" i="8"/>
  <c r="AT75" i="8"/>
  <c r="AX75" i="8"/>
  <c r="AT89" i="8"/>
  <c r="AX89" i="8"/>
  <c r="BB89" i="8"/>
  <c r="BO12" i="8"/>
  <c r="BJ12" i="8"/>
  <c r="BQ15" i="8"/>
  <c r="BQ19" i="8" s="1"/>
  <c r="BI19" i="8"/>
  <c r="BM18" i="8"/>
  <c r="BH19" i="8"/>
  <c r="BL19" i="8"/>
  <c r="BO33" i="8"/>
  <c r="BO40" i="8"/>
  <c r="BJ40" i="8"/>
  <c r="BN40" i="8"/>
  <c r="BQ43" i="8"/>
  <c r="BI47" i="8"/>
  <c r="BM46" i="8"/>
  <c r="BH47" i="8"/>
  <c r="BL47" i="8"/>
  <c r="BM54" i="8"/>
  <c r="BO61" i="8"/>
  <c r="BO68" i="8"/>
  <c r="BJ68" i="8"/>
  <c r="BN68" i="8"/>
  <c r="BQ71" i="8"/>
  <c r="BI75" i="8"/>
  <c r="BM74" i="8"/>
  <c r="BM75" i="8" s="1"/>
  <c r="BH75" i="8"/>
  <c r="BL75" i="8"/>
  <c r="BM78" i="8"/>
  <c r="BO89" i="8"/>
  <c r="BQ94" i="8"/>
  <c r="BQ96" i="8"/>
  <c r="BQ97" i="8"/>
  <c r="CE18" i="8"/>
  <c r="BX33" i="8"/>
  <c r="CB33" i="8"/>
  <c r="BW33" i="8"/>
  <c r="BV40" i="8"/>
  <c r="BZ40" i="8"/>
  <c r="CD40" i="8"/>
  <c r="BY40" i="8"/>
  <c r="CC40" i="8"/>
  <c r="CE46" i="8"/>
  <c r="CE60" i="8"/>
  <c r="BV68" i="8"/>
  <c r="BZ68" i="8"/>
  <c r="CD68" i="8"/>
  <c r="BY68" i="8"/>
  <c r="CC68" i="8"/>
  <c r="BX75" i="8"/>
  <c r="CB75" i="8"/>
  <c r="CE74" i="8"/>
  <c r="BW75" i="8"/>
  <c r="BV82" i="8"/>
  <c r="BZ82" i="8"/>
  <c r="CD82" i="8"/>
  <c r="BY82" i="8"/>
  <c r="CC82" i="8"/>
  <c r="BX89" i="8"/>
  <c r="CB89" i="8"/>
  <c r="CE88" i="8"/>
  <c r="BW89" i="8"/>
  <c r="CM68" i="8"/>
  <c r="CM75" i="8"/>
  <c r="CR75" i="8"/>
  <c r="CR82" i="8"/>
  <c r="CM82" i="8"/>
  <c r="CQ82" i="8"/>
  <c r="CL89" i="8"/>
  <c r="CS88" i="8"/>
  <c r="CK89" i="8"/>
  <c r="CO94" i="8"/>
  <c r="CO97" i="8"/>
  <c r="DF82" i="8"/>
  <c r="DA82" i="8"/>
  <c r="DE82" i="8"/>
  <c r="CZ89" i="8"/>
  <c r="DG88" i="8"/>
  <c r="CY89" i="8"/>
  <c r="DC94" i="8"/>
  <c r="DC97" i="8"/>
  <c r="DQ36" i="8"/>
  <c r="DQ40" i="8" s="1"/>
  <c r="DL68" i="8"/>
  <c r="DP68" i="8"/>
  <c r="DT68" i="8"/>
  <c r="DN75" i="8"/>
  <c r="DR75" i="8"/>
  <c r="DU74" i="8"/>
  <c r="DL82" i="8"/>
  <c r="DP82" i="8"/>
  <c r="DT82" i="8"/>
  <c r="DN89" i="8"/>
  <c r="DU88" i="8"/>
  <c r="DQ94" i="8"/>
  <c r="DQ97" i="8"/>
  <c r="EG19" i="8"/>
  <c r="EG26" i="8"/>
  <c r="EB26" i="8"/>
  <c r="EF26" i="8"/>
  <c r="EI57" i="8"/>
  <c r="EA61" i="8"/>
  <c r="EE60" i="8"/>
  <c r="DZ61" i="8"/>
  <c r="ED61" i="8"/>
  <c r="EE64" i="8"/>
  <c r="EE68" i="8" s="1"/>
  <c r="EG75" i="8"/>
  <c r="EG82" i="8"/>
  <c r="EB82" i="8"/>
  <c r="EF82" i="8"/>
  <c r="EI85" i="8"/>
  <c r="EA89" i="8"/>
  <c r="EE88" i="8"/>
  <c r="EE89" i="8" s="1"/>
  <c r="DZ89" i="8"/>
  <c r="ED89" i="8"/>
  <c r="EQ19" i="8"/>
  <c r="EV19" i="8"/>
  <c r="EQ33" i="8"/>
  <c r="EV33" i="8"/>
  <c r="EV40" i="8"/>
  <c r="EP47" i="8"/>
  <c r="EW46" i="8"/>
  <c r="EW50" i="8"/>
  <c r="EW53" i="8"/>
  <c r="EO54" i="8"/>
  <c r="EQ61" i="8"/>
  <c r="EV61" i="8"/>
  <c r="EV68" i="8"/>
  <c r="ES71" i="8"/>
  <c r="EU75" i="8"/>
  <c r="ES81" i="8"/>
  <c r="ES82" i="8" s="1"/>
  <c r="EP82" i="8"/>
  <c r="ES85" i="8"/>
  <c r="EU89" i="8"/>
  <c r="EN98" i="8"/>
  <c r="ER98" i="8"/>
  <c r="EW96" i="8"/>
  <c r="FE12" i="8"/>
  <c r="FJ19" i="8"/>
  <c r="FE26" i="8"/>
  <c r="FJ33" i="8"/>
  <c r="FE40" i="8"/>
  <c r="FE47" i="8"/>
  <c r="FJ47" i="8"/>
  <c r="FE54" i="8"/>
  <c r="FE61" i="8"/>
  <c r="FJ61" i="8"/>
  <c r="FE68" i="8"/>
  <c r="FE75" i="8"/>
  <c r="FI75" i="8"/>
  <c r="FK81" i="8"/>
  <c r="FC82" i="8"/>
  <c r="FH82" i="8"/>
  <c r="FK85" i="8"/>
  <c r="FH89" i="8"/>
  <c r="FK88" i="8"/>
  <c r="FC89" i="8"/>
  <c r="BC94" i="8"/>
  <c r="BC96" i="8"/>
  <c r="BC97" i="8"/>
  <c r="BQ8" i="8"/>
  <c r="BQ11" i="8"/>
  <c r="BI12" i="8"/>
  <c r="BK19" i="8"/>
  <c r="BP19" i="8"/>
  <c r="BQ32" i="8"/>
  <c r="BQ33" i="8" s="1"/>
  <c r="BQ36" i="8"/>
  <c r="BQ39" i="8"/>
  <c r="BI40" i="8"/>
  <c r="BK47" i="8"/>
  <c r="BP47" i="8"/>
  <c r="BQ60" i="8"/>
  <c r="BQ64" i="8"/>
  <c r="BQ67" i="8"/>
  <c r="BI68" i="8"/>
  <c r="BK75" i="8"/>
  <c r="BP75" i="8"/>
  <c r="BQ88" i="8"/>
  <c r="BQ89" i="8" s="1"/>
  <c r="BM94" i="8"/>
  <c r="BM96" i="8"/>
  <c r="BM97" i="8"/>
  <c r="CE15" i="8"/>
  <c r="CE33" i="8"/>
  <c r="BV33" i="8"/>
  <c r="BZ33" i="8"/>
  <c r="CD33" i="8"/>
  <c r="BX40" i="8"/>
  <c r="CB40" i="8"/>
  <c r="CE43" i="8"/>
  <c r="CE57" i="8"/>
  <c r="BX68" i="8"/>
  <c r="CB68" i="8"/>
  <c r="CE71" i="8"/>
  <c r="BV75" i="8"/>
  <c r="BZ75" i="8"/>
  <c r="CD75" i="8"/>
  <c r="BX82" i="8"/>
  <c r="CB82" i="8"/>
  <c r="CE85" i="8"/>
  <c r="CE89" i="8" s="1"/>
  <c r="BV89" i="8"/>
  <c r="BZ89" i="8"/>
  <c r="CD89" i="8"/>
  <c r="CO67" i="8"/>
  <c r="CL68" i="8"/>
  <c r="CQ68" i="8"/>
  <c r="CO71" i="8"/>
  <c r="CQ75" i="8"/>
  <c r="CL82" i="8"/>
  <c r="CP82" i="8"/>
  <c r="CS85" i="8"/>
  <c r="CO88" i="8"/>
  <c r="CO89" i="8" s="1"/>
  <c r="CJ89" i="8"/>
  <c r="CN89" i="8"/>
  <c r="CZ82" i="8"/>
  <c r="DD82" i="8"/>
  <c r="DG85" i="8"/>
  <c r="DC88" i="8"/>
  <c r="CX89" i="8"/>
  <c r="DB89" i="8"/>
  <c r="DN68" i="8"/>
  <c r="DR68" i="8"/>
  <c r="DU71" i="8"/>
  <c r="DL75" i="8"/>
  <c r="DP75" i="8"/>
  <c r="DT75" i="8"/>
  <c r="DN82" i="8"/>
  <c r="DR82" i="8"/>
  <c r="DU85" i="8"/>
  <c r="DQ88" i="8"/>
  <c r="DQ89" i="8" s="1"/>
  <c r="DL89" i="8"/>
  <c r="DP89" i="8"/>
  <c r="EI18" i="8"/>
  <c r="EI19" i="8" s="1"/>
  <c r="EI22" i="8"/>
  <c r="EI25" i="8"/>
  <c r="EA26" i="8"/>
  <c r="EC61" i="8"/>
  <c r="EH61" i="8"/>
  <c r="EI74" i="8"/>
  <c r="EI75" i="8" s="1"/>
  <c r="EI78" i="8"/>
  <c r="EI81" i="8"/>
  <c r="EA82" i="8"/>
  <c r="EC89" i="8"/>
  <c r="EH89" i="8"/>
  <c r="ES11" i="8"/>
  <c r="EP12" i="8"/>
  <c r="ES15" i="8"/>
  <c r="ES19" i="8" s="1"/>
  <c r="EU19" i="8"/>
  <c r="ES25" i="8"/>
  <c r="EP26" i="8"/>
  <c r="ES29" i="8"/>
  <c r="EU33" i="8"/>
  <c r="EP40" i="8"/>
  <c r="ET40" i="8"/>
  <c r="EW43" i="8"/>
  <c r="ES46" i="8"/>
  <c r="ES47" i="8" s="1"/>
  <c r="EN47" i="8"/>
  <c r="ER47" i="8"/>
  <c r="ES50" i="8"/>
  <c r="ES54" i="8" s="1"/>
  <c r="EU61" i="8"/>
  <c r="EP68" i="8"/>
  <c r="ET68" i="8"/>
  <c r="EW71" i="8"/>
  <c r="EW75" i="8" s="1"/>
  <c r="EW74" i="8"/>
  <c r="EW78" i="8"/>
  <c r="EW81" i="8"/>
  <c r="EW82" i="8" s="1"/>
  <c r="EO82" i="8"/>
  <c r="ET82" i="8"/>
  <c r="EW85" i="8"/>
  <c r="EW88" i="8"/>
  <c r="ES94" i="8"/>
  <c r="FG11" i="8"/>
  <c r="FD12" i="8"/>
  <c r="FI12" i="8"/>
  <c r="FG15" i="8"/>
  <c r="FG19" i="8" s="1"/>
  <c r="FG25" i="8"/>
  <c r="FG26" i="8" s="1"/>
  <c r="FD26" i="8"/>
  <c r="FI26" i="8"/>
  <c r="FG29" i="8"/>
  <c r="FG33" i="8" s="1"/>
  <c r="FG39" i="8"/>
  <c r="FD40" i="8"/>
  <c r="FI40" i="8"/>
  <c r="FG43" i="8"/>
  <c r="FG47" i="8" s="1"/>
  <c r="FI47" i="8"/>
  <c r="FG53" i="8"/>
  <c r="FD54" i="8"/>
  <c r="FI54" i="8"/>
  <c r="FG57" i="8"/>
  <c r="FG61" i="8" s="1"/>
  <c r="FI61" i="8"/>
  <c r="FG67" i="8"/>
  <c r="FG68" i="8" s="1"/>
  <c r="FD68" i="8"/>
  <c r="FI68" i="8"/>
  <c r="FG71" i="8"/>
  <c r="FK78" i="8"/>
  <c r="FB89" i="8"/>
  <c r="FF89" i="8"/>
  <c r="FJ89" i="8"/>
  <c r="BO19" i="8"/>
  <c r="BJ26" i="8"/>
  <c r="BN26" i="8"/>
  <c r="BH33" i="8"/>
  <c r="BL33" i="8"/>
  <c r="BM40" i="8"/>
  <c r="BO47" i="8"/>
  <c r="BJ54" i="8"/>
  <c r="BN54" i="8"/>
  <c r="BH61" i="8"/>
  <c r="BL61" i="8"/>
  <c r="BM68" i="8"/>
  <c r="BO75" i="8"/>
  <c r="BJ82" i="8"/>
  <c r="BN82" i="8"/>
  <c r="BH89" i="8"/>
  <c r="BL89" i="8"/>
  <c r="CK68" i="8"/>
  <c r="CP68" i="8"/>
  <c r="CK75" i="8"/>
  <c r="CK82" i="8"/>
  <c r="CR89" i="8"/>
  <c r="CY82" i="8"/>
  <c r="DF89" i="8"/>
  <c r="DN40" i="8"/>
  <c r="DT89" i="8"/>
  <c r="EE26" i="8"/>
  <c r="EG61" i="8"/>
  <c r="EB68" i="8"/>
  <c r="EF68" i="8"/>
  <c r="DZ75" i="8"/>
  <c r="ED75" i="8"/>
  <c r="EE82" i="8"/>
  <c r="EG89" i="8"/>
  <c r="EO12" i="8"/>
  <c r="ET12" i="8"/>
  <c r="EO26" i="8"/>
  <c r="ET26" i="8"/>
  <c r="EO40" i="8"/>
  <c r="EV47" i="8"/>
  <c r="EW61" i="8"/>
  <c r="EO68" i="8"/>
  <c r="EN75" i="8"/>
  <c r="ER75" i="8"/>
  <c r="EN89" i="8"/>
  <c r="ER89" i="8"/>
  <c r="EP99" i="8"/>
  <c r="EW98" i="8"/>
  <c r="FC12" i="8"/>
  <c r="FH12" i="8"/>
  <c r="FC19" i="8"/>
  <c r="FH26" i="8"/>
  <c r="FC33" i="8"/>
  <c r="FC40" i="8"/>
  <c r="FH40" i="8"/>
  <c r="FC47" i="8"/>
  <c r="FC54" i="8"/>
  <c r="FH54" i="8"/>
  <c r="FC61" i="8"/>
  <c r="FC68" i="8"/>
  <c r="FH68" i="8"/>
  <c r="FC75" i="8"/>
  <c r="FE82" i="8"/>
  <c r="FE89" i="8"/>
  <c r="FI89" i="8"/>
  <c r="BI26" i="8"/>
  <c r="BP33" i="8"/>
  <c r="BQ47" i="8"/>
  <c r="BI54" i="8"/>
  <c r="BP61" i="8"/>
  <c r="BQ75" i="8"/>
  <c r="BI82" i="8"/>
  <c r="BP89" i="8"/>
  <c r="BW68" i="8"/>
  <c r="BY75" i="8"/>
  <c r="CC75" i="8"/>
  <c r="BW82" i="8"/>
  <c r="BY89" i="8"/>
  <c r="CC89" i="8"/>
  <c r="CA94" i="8"/>
  <c r="CA97" i="8"/>
  <c r="CO68" i="8"/>
  <c r="CJ75" i="8"/>
  <c r="CN75" i="8"/>
  <c r="CQ89" i="8"/>
  <c r="CS94" i="8"/>
  <c r="CS96" i="8"/>
  <c r="CS97" i="8"/>
  <c r="DC82" i="8"/>
  <c r="DE89" i="8"/>
  <c r="DG94" i="8"/>
  <c r="DG96" i="8"/>
  <c r="DG97" i="8"/>
  <c r="DG98" i="8" s="1"/>
  <c r="DM40" i="8"/>
  <c r="DS89" i="8"/>
  <c r="DU94" i="8"/>
  <c r="DU96" i="8"/>
  <c r="DU97" i="8"/>
  <c r="EH19" i="8"/>
  <c r="EH26" i="8"/>
  <c r="EA68" i="8"/>
  <c r="EH75" i="8"/>
  <c r="EI89" i="8"/>
  <c r="EE94" i="8"/>
  <c r="EE97" i="8"/>
  <c r="ES12" i="8"/>
  <c r="EN19" i="8"/>
  <c r="ER19" i="8"/>
  <c r="ES26" i="8"/>
  <c r="EN33" i="8"/>
  <c r="ER33" i="8"/>
  <c r="EU47" i="8"/>
  <c r="EP54" i="8"/>
  <c r="EQ75" i="8"/>
  <c r="EV75" i="8"/>
  <c r="EQ89" i="8"/>
  <c r="EV89" i="8"/>
  <c r="ES97" i="8"/>
  <c r="FB19" i="8"/>
  <c r="FF19" i="8"/>
  <c r="FB33" i="8"/>
  <c r="FF33" i="8"/>
  <c r="FG40" i="8"/>
  <c r="FB47" i="8"/>
  <c r="FF47" i="8"/>
  <c r="FG54" i="8"/>
  <c r="FB61" i="8"/>
  <c r="FF61" i="8"/>
  <c r="FB75" i="8"/>
  <c r="FF75" i="8"/>
  <c r="FI82" i="8"/>
  <c r="FG89" i="8"/>
  <c r="FE99" i="8"/>
  <c r="FJ99" i="8"/>
  <c r="FD99" i="8"/>
  <c r="FI99" i="8"/>
  <c r="FK12" i="8"/>
  <c r="FK19" i="8"/>
  <c r="FK26" i="8"/>
  <c r="FK33" i="8"/>
  <c r="FK40" i="8"/>
  <c r="FK47" i="8"/>
  <c r="FK54" i="8"/>
  <c r="FK61" i="8"/>
  <c r="FK68" i="8"/>
  <c r="FK75" i="8"/>
  <c r="FC99" i="8"/>
  <c r="FK98" i="8"/>
  <c r="FG12" i="8"/>
  <c r="FB99" i="8"/>
  <c r="FF99" i="8"/>
  <c r="FG93" i="8"/>
  <c r="FG95" i="8" s="1"/>
  <c r="FK93" i="8"/>
  <c r="FK95" i="8" s="1"/>
  <c r="FH98" i="8"/>
  <c r="FH99" i="8" s="1"/>
  <c r="FG96" i="8"/>
  <c r="FG98" i="8" s="1"/>
  <c r="EW54" i="8"/>
  <c r="ES89" i="8"/>
  <c r="EN99" i="8"/>
  <c r="ER99" i="8"/>
  <c r="ES33" i="8"/>
  <c r="EW89" i="8"/>
  <c r="EQ99" i="8"/>
  <c r="EV99" i="8"/>
  <c r="EW12" i="8"/>
  <c r="EW26" i="8"/>
  <c r="EW40" i="8"/>
  <c r="EW68" i="8"/>
  <c r="ES93" i="8"/>
  <c r="ES95" i="8" s="1"/>
  <c r="EW93" i="8"/>
  <c r="ES96" i="8"/>
  <c r="ES98" i="8" s="1"/>
  <c r="EC99" i="8"/>
  <c r="EH99" i="8"/>
  <c r="EI26" i="8"/>
  <c r="EI82" i="8"/>
  <c r="EB99" i="8"/>
  <c r="EG99" i="8"/>
  <c r="EA99" i="8"/>
  <c r="DZ99" i="8"/>
  <c r="ED99" i="8"/>
  <c r="EE93" i="8"/>
  <c r="EI93" i="8"/>
  <c r="EI95" i="8" s="1"/>
  <c r="EF98" i="8"/>
  <c r="EF99" i="8" s="1"/>
  <c r="EE96" i="8"/>
  <c r="DO99" i="8"/>
  <c r="DT99" i="8"/>
  <c r="DN99" i="8"/>
  <c r="DS99" i="8"/>
  <c r="DM99" i="8"/>
  <c r="DL99" i="8"/>
  <c r="DP99" i="8"/>
  <c r="DQ93" i="8"/>
  <c r="DU93" i="8"/>
  <c r="DR98" i="8"/>
  <c r="DR99" i="8" s="1"/>
  <c r="DQ96" i="8"/>
  <c r="DA99" i="8"/>
  <c r="DF99" i="8"/>
  <c r="DG82" i="8"/>
  <c r="CZ99" i="8"/>
  <c r="DE99" i="8"/>
  <c r="DG26" i="8"/>
  <c r="CY99" i="8"/>
  <c r="CX99" i="8"/>
  <c r="DB99" i="8"/>
  <c r="DC93" i="8"/>
  <c r="DC95" i="8" s="1"/>
  <c r="DG93" i="8"/>
  <c r="DG95" i="8" s="1"/>
  <c r="DD98" i="8"/>
  <c r="DD99" i="8" s="1"/>
  <c r="DC96" i="8"/>
  <c r="DC98" i="8" s="1"/>
  <c r="CO75" i="8"/>
  <c r="CM99" i="8"/>
  <c r="CR99" i="8"/>
  <c r="CS68" i="8"/>
  <c r="CS75" i="8"/>
  <c r="CS82" i="8"/>
  <c r="CL99" i="8"/>
  <c r="CQ99" i="8"/>
  <c r="CK99" i="8"/>
  <c r="CJ99" i="8"/>
  <c r="CN99" i="8"/>
  <c r="CO93" i="8"/>
  <c r="CO95" i="8" s="1"/>
  <c r="CS93" i="8"/>
  <c r="CP98" i="8"/>
  <c r="CP99" i="8" s="1"/>
  <c r="CO96" i="8"/>
  <c r="CO98" i="8" s="1"/>
  <c r="BV99" i="8"/>
  <c r="CE47" i="8"/>
  <c r="CE75" i="8"/>
  <c r="BY99" i="8"/>
  <c r="CD99" i="8"/>
  <c r="BX99" i="8"/>
  <c r="CC99" i="8"/>
  <c r="CE12" i="8"/>
  <c r="CE40" i="8"/>
  <c r="CE54" i="8"/>
  <c r="CE68" i="8"/>
  <c r="CE82" i="8"/>
  <c r="BW99" i="8"/>
  <c r="BZ99" i="8"/>
  <c r="CA93" i="8"/>
  <c r="CE93" i="8"/>
  <c r="CB98" i="8"/>
  <c r="CB99" i="8" s="1"/>
  <c r="CA96" i="8"/>
  <c r="CA98" i="8" s="1"/>
  <c r="BM47" i="8"/>
  <c r="BQ40" i="8"/>
  <c r="BQ61" i="8"/>
  <c r="BL99" i="8"/>
  <c r="BP99" i="8"/>
  <c r="BM19" i="8"/>
  <c r="BK99" i="8"/>
  <c r="BQ54" i="8"/>
  <c r="BJ99" i="8"/>
  <c r="BO99" i="8"/>
  <c r="BI99" i="8"/>
  <c r="BH98" i="8"/>
  <c r="BH99" i="8" s="1"/>
  <c r="BM93" i="8"/>
  <c r="BQ93" i="8"/>
  <c r="BN98" i="8"/>
  <c r="BN99" i="8" s="1"/>
  <c r="BC33" i="8"/>
  <c r="BC47" i="8"/>
  <c r="BC68" i="8"/>
  <c r="BC75" i="8"/>
  <c r="BC89" i="8"/>
  <c r="AT99" i="8"/>
  <c r="AX99" i="8"/>
  <c r="AY12" i="8"/>
  <c r="AY40" i="8"/>
  <c r="AY54" i="8"/>
  <c r="AY68" i="8"/>
  <c r="AW99" i="8"/>
  <c r="BB99" i="8"/>
  <c r="AV99" i="8"/>
  <c r="BA99" i="8"/>
  <c r="AU99" i="8"/>
  <c r="AY93" i="8"/>
  <c r="BC93" i="8"/>
  <c r="AZ98" i="8"/>
  <c r="AZ99" i="8" s="1"/>
  <c r="AY96" i="8"/>
  <c r="AO40" i="8"/>
  <c r="AO68" i="8"/>
  <c r="AF99" i="8"/>
  <c r="AJ99" i="8"/>
  <c r="AO12" i="8"/>
  <c r="AO26" i="8"/>
  <c r="AI99" i="8"/>
  <c r="AN99" i="8"/>
  <c r="AO54" i="8"/>
  <c r="AO75" i="8"/>
  <c r="AO82" i="8"/>
  <c r="AH99" i="8"/>
  <c r="AM99" i="8"/>
  <c r="AG99" i="8"/>
  <c r="AL99" i="8"/>
  <c r="AK93" i="8"/>
  <c r="AK95" i="8" s="1"/>
  <c r="AO93" i="8"/>
  <c r="AO95" i="8" s="1"/>
  <c r="AK96" i="8"/>
  <c r="AO96" i="8"/>
  <c r="AO98" i="8" s="1"/>
  <c r="AA33" i="8"/>
  <c r="AA47" i="8"/>
  <c r="AA61" i="8"/>
  <c r="AA82" i="8"/>
  <c r="U99" i="8"/>
  <c r="Z99" i="8"/>
  <c r="T99" i="8"/>
  <c r="Y99" i="8"/>
  <c r="AA75" i="8"/>
  <c r="S99" i="8"/>
  <c r="W19" i="8"/>
  <c r="W47" i="8"/>
  <c r="W68" i="8"/>
  <c r="R99" i="8"/>
  <c r="V99" i="8"/>
  <c r="W93" i="8"/>
  <c r="W95" i="8" s="1"/>
  <c r="AA93" i="8"/>
  <c r="X98" i="8"/>
  <c r="X99" i="8" s="1"/>
  <c r="W96" i="8"/>
  <c r="EI61" i="8" l="1"/>
  <c r="EE61" i="8"/>
  <c r="EI98" i="8"/>
  <c r="EI99" i="8" s="1"/>
  <c r="DQ95" i="8"/>
  <c r="DQ98" i="8"/>
  <c r="DU98" i="8"/>
  <c r="CE61" i="8"/>
  <c r="ES75" i="8"/>
  <c r="DU40" i="8"/>
  <c r="DU95" i="8"/>
  <c r="CS98" i="8"/>
  <c r="W75" i="8"/>
  <c r="CE26" i="8"/>
  <c r="CO82" i="8"/>
  <c r="BQ68" i="8"/>
  <c r="BQ12" i="8"/>
  <c r="EW47" i="8"/>
  <c r="CE19" i="8"/>
  <c r="AO19" i="8"/>
  <c r="BC82" i="8"/>
  <c r="EE75" i="8"/>
  <c r="CE95" i="8"/>
  <c r="CA95" i="8"/>
  <c r="CE98" i="8"/>
  <c r="BQ95" i="8"/>
  <c r="BM95" i="8"/>
  <c r="BQ98" i="8"/>
  <c r="AY95" i="8"/>
  <c r="AY98" i="8"/>
  <c r="BC98" i="8"/>
  <c r="AY99" i="8"/>
  <c r="AA98" i="8"/>
  <c r="CA75" i="8"/>
  <c r="AA26" i="8"/>
  <c r="ES40" i="8"/>
  <c r="BM61" i="8"/>
  <c r="BC95" i="8"/>
  <c r="FG75" i="8"/>
  <c r="BM98" i="8"/>
  <c r="W82" i="8"/>
  <c r="BM33" i="8"/>
  <c r="CS95" i="8"/>
  <c r="CS99" i="8" s="1"/>
  <c r="EW95" i="8"/>
  <c r="EW99" i="8" s="1"/>
  <c r="DC89" i="8"/>
  <c r="BM82" i="8"/>
  <c r="BM26" i="8"/>
  <c r="CA33" i="8"/>
  <c r="CA82" i="8"/>
  <c r="AO33" i="8"/>
  <c r="AK98" i="8"/>
  <c r="AK99" i="8" s="1"/>
  <c r="W98" i="8"/>
  <c r="AA95" i="8"/>
  <c r="AA99" i="8" s="1"/>
  <c r="W99" i="8"/>
  <c r="FK89" i="8"/>
  <c r="AO99" i="8"/>
  <c r="AA68" i="8"/>
  <c r="BM89" i="8"/>
  <c r="FK82" i="8"/>
  <c r="DQ75" i="8"/>
  <c r="FK99" i="8"/>
  <c r="CA99" i="8"/>
  <c r="CO99" i="8"/>
  <c r="DC99" i="8"/>
  <c r="EE98" i="8"/>
  <c r="DG89" i="8"/>
  <c r="EE95" i="8"/>
  <c r="FG99" i="8"/>
  <c r="DU75" i="8"/>
  <c r="CS89" i="8"/>
  <c r="DU89" i="8"/>
  <c r="ES99" i="8"/>
  <c r="DG99" i="8"/>
  <c r="BC99" i="8"/>
  <c r="DU99" i="8" l="1"/>
  <c r="DQ99" i="8"/>
  <c r="BM99" i="8"/>
  <c r="CE99" i="8"/>
  <c r="BQ99" i="8"/>
  <c r="EE99" i="8"/>
  <c r="FM83" i="8"/>
  <c r="FM76" i="8"/>
  <c r="FM69" i="8"/>
  <c r="FM62" i="8"/>
  <c r="FM55" i="8"/>
  <c r="FM48" i="8"/>
  <c r="FM41" i="8"/>
  <c r="FM34" i="8"/>
  <c r="FM27" i="8"/>
  <c r="FM20" i="8"/>
  <c r="FM13" i="8"/>
  <c r="FM6" i="8"/>
  <c r="I90" i="8" l="1"/>
  <c r="FP6" i="8" l="1"/>
  <c r="FQ6" i="8"/>
  <c r="FR6" i="8"/>
  <c r="FS6" i="8"/>
  <c r="FT6" i="8"/>
  <c r="FW6" i="8"/>
  <c r="FX6" i="8"/>
  <c r="FP7" i="8"/>
  <c r="FQ7" i="8"/>
  <c r="FR7" i="8"/>
  <c r="FS7" i="8"/>
  <c r="FT7" i="8"/>
  <c r="FV7" i="8"/>
  <c r="FW7" i="8"/>
  <c r="FX7" i="8"/>
  <c r="FP9" i="8"/>
  <c r="FQ9" i="8"/>
  <c r="FR9" i="8"/>
  <c r="FS9" i="8"/>
  <c r="FT9" i="8"/>
  <c r="FV9" i="8"/>
  <c r="FW9" i="8"/>
  <c r="FX9" i="8"/>
  <c r="FI2" i="2"/>
  <c r="FG2" i="2"/>
  <c r="EU2" i="2"/>
  <c r="ES2" i="2"/>
  <c r="EG2" i="2"/>
  <c r="EE2" i="2"/>
  <c r="DS2" i="2"/>
  <c r="DQ2" i="2"/>
  <c r="DE2" i="2"/>
  <c r="DC2" i="2"/>
  <c r="CQ2" i="2"/>
  <c r="CO2" i="2"/>
  <c r="CC2" i="2"/>
  <c r="CA2" i="2"/>
  <c r="BO2" i="2"/>
  <c r="BM2" i="2"/>
  <c r="BA2" i="2"/>
  <c r="AY2" i="2"/>
  <c r="AM2" i="2"/>
  <c r="AK2" i="2"/>
  <c r="Y2" i="2"/>
  <c r="W2" i="2"/>
  <c r="D5" i="2"/>
  <c r="E5" i="2"/>
  <c r="D6" i="2"/>
  <c r="E6" i="2"/>
  <c r="J6" i="2"/>
  <c r="K6" i="2"/>
  <c r="J5" i="2"/>
  <c r="K5" i="2"/>
  <c r="J8" i="2"/>
  <c r="K8" i="2"/>
  <c r="J9" i="2"/>
  <c r="K9" i="2"/>
  <c r="D9" i="2"/>
  <c r="E9" i="2"/>
  <c r="E8" i="2"/>
  <c r="D8" i="2"/>
  <c r="FJ9" i="2"/>
  <c r="FI9" i="2"/>
  <c r="FH9" i="2"/>
  <c r="FF9" i="2"/>
  <c r="FE9" i="2"/>
  <c r="FD9" i="2"/>
  <c r="FC9" i="2"/>
  <c r="FB9" i="2"/>
  <c r="FH8" i="2"/>
  <c r="FC8" i="2"/>
  <c r="FJ6" i="2"/>
  <c r="FI6" i="2"/>
  <c r="FH6" i="2"/>
  <c r="FF6" i="2"/>
  <c r="FE6" i="2"/>
  <c r="FD6" i="2"/>
  <c r="FC6" i="2"/>
  <c r="FB6" i="2"/>
  <c r="FB5" i="2"/>
  <c r="EV9" i="2"/>
  <c r="EU9" i="2"/>
  <c r="ET9" i="2"/>
  <c r="ER9" i="2"/>
  <c r="EQ9" i="2"/>
  <c r="EP9" i="2"/>
  <c r="EN9" i="2"/>
  <c r="EV6" i="2"/>
  <c r="EU6" i="2"/>
  <c r="ER6" i="2"/>
  <c r="EQ6" i="2"/>
  <c r="EP6" i="2"/>
  <c r="EO6" i="2"/>
  <c r="EH9" i="2"/>
  <c r="EG9" i="2"/>
  <c r="ED9" i="2"/>
  <c r="EC9" i="2"/>
  <c r="EB9" i="2"/>
  <c r="EA9" i="2"/>
  <c r="DZ9" i="2"/>
  <c r="EG8" i="2"/>
  <c r="EH6" i="2"/>
  <c r="EG6" i="2"/>
  <c r="EF6" i="2"/>
  <c r="ED6" i="2"/>
  <c r="EC6" i="2"/>
  <c r="EB6" i="2"/>
  <c r="EA6" i="2"/>
  <c r="DT9" i="2"/>
  <c r="DS9" i="2"/>
  <c r="DR9" i="2"/>
  <c r="DP9" i="2"/>
  <c r="DO9" i="2"/>
  <c r="DN9" i="2"/>
  <c r="DM9" i="2"/>
  <c r="DL9" i="2"/>
  <c r="DO8" i="2"/>
  <c r="DT6" i="2"/>
  <c r="DS6" i="2"/>
  <c r="DR6" i="2"/>
  <c r="DP6" i="2"/>
  <c r="DO6" i="2"/>
  <c r="DN6" i="2"/>
  <c r="DM6" i="2"/>
  <c r="DL6" i="2"/>
  <c r="DO5" i="2"/>
  <c r="DM5" i="2"/>
  <c r="DF9" i="2"/>
  <c r="DE9" i="2"/>
  <c r="DD9" i="2"/>
  <c r="DB9" i="2"/>
  <c r="DA9" i="2"/>
  <c r="CZ9" i="2"/>
  <c r="CY9" i="2"/>
  <c r="CX9" i="2"/>
  <c r="DE8" i="2"/>
  <c r="DF6" i="2"/>
  <c r="DE6" i="2"/>
  <c r="DD6" i="2"/>
  <c r="DB6" i="2"/>
  <c r="DA6" i="2"/>
  <c r="CZ6" i="2"/>
  <c r="CY6" i="2"/>
  <c r="CR9" i="2"/>
  <c r="CQ9" i="2"/>
  <c r="CP9" i="2"/>
  <c r="CN9" i="2"/>
  <c r="CM9" i="2"/>
  <c r="CL9" i="2"/>
  <c r="CK9" i="2"/>
  <c r="CJ9" i="2"/>
  <c r="CQ8" i="2"/>
  <c r="CR6" i="2"/>
  <c r="CQ6" i="2"/>
  <c r="CP6" i="2"/>
  <c r="CN6" i="2"/>
  <c r="CM6" i="2"/>
  <c r="CL6" i="2"/>
  <c r="CK6" i="2"/>
  <c r="CD9" i="2"/>
  <c r="CC9" i="2"/>
  <c r="CB9" i="2"/>
  <c r="BZ9" i="2"/>
  <c r="BY9" i="2"/>
  <c r="BX9" i="2"/>
  <c r="BW9" i="2"/>
  <c r="CD6" i="2"/>
  <c r="CC6" i="2"/>
  <c r="BZ6" i="2"/>
  <c r="BY6" i="2"/>
  <c r="BX6" i="2"/>
  <c r="BW6" i="2"/>
  <c r="BP9" i="2"/>
  <c r="BO9" i="2"/>
  <c r="BL9" i="2"/>
  <c r="BK9" i="2"/>
  <c r="BJ9" i="2"/>
  <c r="BI9" i="2"/>
  <c r="BH9" i="2"/>
  <c r="BO8" i="2"/>
  <c r="BP6" i="2"/>
  <c r="BO6" i="2"/>
  <c r="BN6" i="2"/>
  <c r="BL6" i="2"/>
  <c r="BK6" i="2"/>
  <c r="BJ6" i="2"/>
  <c r="BI6" i="2"/>
  <c r="BH6" i="2"/>
  <c r="BO5" i="2"/>
  <c r="BK5" i="2"/>
  <c r="BI5" i="2"/>
  <c r="BB9" i="2"/>
  <c r="BA9" i="2"/>
  <c r="AX9" i="2"/>
  <c r="AW9" i="2"/>
  <c r="AV9" i="2"/>
  <c r="AU9" i="2"/>
  <c r="BB8" i="2"/>
  <c r="BB6" i="2"/>
  <c r="BA6" i="2"/>
  <c r="AZ6" i="2"/>
  <c r="AX6" i="2"/>
  <c r="AW6" i="2"/>
  <c r="AV6" i="2"/>
  <c r="AU6" i="2"/>
  <c r="AN9" i="2"/>
  <c r="AM9" i="2"/>
  <c r="AJ9" i="2"/>
  <c r="AI9" i="2"/>
  <c r="AH9" i="2"/>
  <c r="AG9" i="2"/>
  <c r="AM6" i="2"/>
  <c r="AL6" i="2"/>
  <c r="AJ6" i="2"/>
  <c r="AI6" i="2"/>
  <c r="AH6" i="2"/>
  <c r="AG6" i="2"/>
  <c r="Z9" i="2"/>
  <c r="Y9" i="2"/>
  <c r="V9" i="2"/>
  <c r="U9" i="2"/>
  <c r="T9" i="2"/>
  <c r="S9" i="2"/>
  <c r="R9" i="2"/>
  <c r="Z6" i="2"/>
  <c r="Y6" i="2"/>
  <c r="X6" i="2"/>
  <c r="V6" i="2"/>
  <c r="U6" i="2"/>
  <c r="T6" i="2"/>
  <c r="S6" i="2"/>
  <c r="L9" i="2"/>
  <c r="L8" i="2"/>
  <c r="L6" i="2"/>
  <c r="L5" i="2"/>
  <c r="F9" i="2"/>
  <c r="G9" i="2"/>
  <c r="H9" i="2"/>
  <c r="F8" i="2"/>
  <c r="G8" i="2"/>
  <c r="H8" i="2"/>
  <c r="F6" i="2"/>
  <c r="G6" i="2"/>
  <c r="H6" i="2"/>
  <c r="F5" i="2"/>
  <c r="G5" i="2"/>
  <c r="H5" i="2"/>
  <c r="L81" i="8"/>
  <c r="K81" i="8"/>
  <c r="K82" i="8" s="1"/>
  <c r="J81" i="8"/>
  <c r="H81" i="8"/>
  <c r="G81" i="8"/>
  <c r="G82" i="8" s="1"/>
  <c r="F81" i="8"/>
  <c r="E81" i="8"/>
  <c r="D81" i="8"/>
  <c r="M80" i="8"/>
  <c r="M79" i="8"/>
  <c r="I81" i="8"/>
  <c r="I82" i="8" s="1"/>
  <c r="M77" i="8"/>
  <c r="M76" i="8"/>
  <c r="L74" i="8"/>
  <c r="K74" i="8"/>
  <c r="K75" i="8" s="1"/>
  <c r="J74" i="8"/>
  <c r="H74" i="8"/>
  <c r="G74" i="8"/>
  <c r="G75" i="8" s="1"/>
  <c r="F74" i="8"/>
  <c r="E74" i="8"/>
  <c r="D74" i="8"/>
  <c r="M73" i="8"/>
  <c r="M72" i="8"/>
  <c r="M70" i="8"/>
  <c r="M69" i="8"/>
  <c r="L67" i="8"/>
  <c r="K67" i="8"/>
  <c r="K68" i="8" s="1"/>
  <c r="J67" i="8"/>
  <c r="H67" i="8"/>
  <c r="G67" i="8"/>
  <c r="G68" i="8" s="1"/>
  <c r="F67" i="8"/>
  <c r="E67" i="8"/>
  <c r="D67" i="8"/>
  <c r="M66" i="8"/>
  <c r="M65" i="8"/>
  <c r="M63" i="8"/>
  <c r="M62" i="8"/>
  <c r="L60" i="8"/>
  <c r="K60" i="8"/>
  <c r="K61" i="8" s="1"/>
  <c r="J60" i="8"/>
  <c r="H60" i="8"/>
  <c r="G60" i="8"/>
  <c r="G61" i="8" s="1"/>
  <c r="F60" i="8"/>
  <c r="E60" i="8"/>
  <c r="D60" i="8"/>
  <c r="M59" i="8"/>
  <c r="M58" i="8"/>
  <c r="M56" i="8"/>
  <c r="M55" i="8"/>
  <c r="L53" i="8"/>
  <c r="K53" i="8"/>
  <c r="K54" i="8" s="1"/>
  <c r="J53" i="8"/>
  <c r="H53" i="8"/>
  <c r="G53" i="8"/>
  <c r="G54" i="8" s="1"/>
  <c r="F53" i="8"/>
  <c r="E53" i="8"/>
  <c r="D53" i="8"/>
  <c r="M52" i="8"/>
  <c r="M51" i="8"/>
  <c r="M49" i="8"/>
  <c r="M48" i="8"/>
  <c r="L46" i="8"/>
  <c r="K46" i="8"/>
  <c r="J46" i="8"/>
  <c r="H46" i="8"/>
  <c r="G46" i="8"/>
  <c r="G47" i="8" s="1"/>
  <c r="F46" i="8"/>
  <c r="E46" i="8"/>
  <c r="D46" i="8"/>
  <c r="M45" i="8"/>
  <c r="M44" i="8"/>
  <c r="M42" i="8"/>
  <c r="M41" i="8"/>
  <c r="L39" i="8"/>
  <c r="K39" i="8"/>
  <c r="K40" i="8" s="1"/>
  <c r="J39" i="8"/>
  <c r="H39" i="8"/>
  <c r="G39" i="8"/>
  <c r="G40" i="8" s="1"/>
  <c r="F39" i="8"/>
  <c r="E39" i="8"/>
  <c r="D39" i="8"/>
  <c r="M38" i="8"/>
  <c r="M37" i="8"/>
  <c r="M35" i="8"/>
  <c r="M34" i="8"/>
  <c r="L32" i="8"/>
  <c r="K32" i="8"/>
  <c r="K33" i="8" s="1"/>
  <c r="J32" i="8"/>
  <c r="J33" i="8" s="1"/>
  <c r="H32" i="8"/>
  <c r="G32" i="8"/>
  <c r="G33" i="8" s="1"/>
  <c r="F32" i="8"/>
  <c r="F33" i="8" s="1"/>
  <c r="E32" i="8"/>
  <c r="D32" i="8"/>
  <c r="M31" i="8"/>
  <c r="M30" i="8"/>
  <c r="M28" i="8"/>
  <c r="M27" i="8"/>
  <c r="L25" i="8"/>
  <c r="K25" i="8"/>
  <c r="K26" i="8" s="1"/>
  <c r="J25" i="8"/>
  <c r="H25" i="8"/>
  <c r="G25" i="8"/>
  <c r="G26" i="8" s="1"/>
  <c r="F25" i="8"/>
  <c r="E25" i="8"/>
  <c r="D25" i="8"/>
  <c r="M24" i="8"/>
  <c r="M23" i="8"/>
  <c r="M21" i="8"/>
  <c r="M20" i="8"/>
  <c r="L18" i="8"/>
  <c r="K18" i="8"/>
  <c r="K19" i="8" s="1"/>
  <c r="J18" i="8"/>
  <c r="H18" i="8"/>
  <c r="G18" i="8"/>
  <c r="G19" i="8" s="1"/>
  <c r="F18" i="8"/>
  <c r="E18" i="8"/>
  <c r="D18" i="8"/>
  <c r="M17" i="8"/>
  <c r="M16" i="8"/>
  <c r="M14" i="8"/>
  <c r="M13" i="8"/>
  <c r="FX87" i="8"/>
  <c r="FW87" i="8"/>
  <c r="FV87" i="8"/>
  <c r="FT87" i="8"/>
  <c r="FS87" i="8"/>
  <c r="FR87" i="8"/>
  <c r="FQ87" i="8"/>
  <c r="FP87" i="8"/>
  <c r="FX86" i="8"/>
  <c r="FX88" i="8" s="1"/>
  <c r="FW86" i="8"/>
  <c r="FV86" i="8"/>
  <c r="FV88" i="8" s="1"/>
  <c r="FT86" i="8"/>
  <c r="FT88" i="8" s="1"/>
  <c r="FS86" i="8"/>
  <c r="FS88" i="8" s="1"/>
  <c r="FR86" i="8"/>
  <c r="FQ86" i="8"/>
  <c r="FQ88" i="8" s="1"/>
  <c r="FP86" i="8"/>
  <c r="FP88" i="8" s="1"/>
  <c r="FX84" i="8"/>
  <c r="FW84" i="8"/>
  <c r="FV84" i="8"/>
  <c r="FT84" i="8"/>
  <c r="FS84" i="8"/>
  <c r="FR84" i="8"/>
  <c r="FQ84" i="8"/>
  <c r="FP84" i="8"/>
  <c r="FX83" i="8"/>
  <c r="FW83" i="8"/>
  <c r="FV83" i="8"/>
  <c r="FT83" i="8"/>
  <c r="FS83" i="8"/>
  <c r="FR83" i="8"/>
  <c r="FQ83" i="8"/>
  <c r="FP83" i="8"/>
  <c r="FX80" i="8"/>
  <c r="FW80" i="8"/>
  <c r="FV80" i="8"/>
  <c r="FT80" i="8"/>
  <c r="FS80" i="8"/>
  <c r="FR80" i="8"/>
  <c r="FQ80" i="8"/>
  <c r="FP80" i="8"/>
  <c r="FX79" i="8"/>
  <c r="FX81" i="8" s="1"/>
  <c r="FW79" i="8"/>
  <c r="FW81" i="8" s="1"/>
  <c r="FV79" i="8"/>
  <c r="FV81" i="8" s="1"/>
  <c r="FT79" i="8"/>
  <c r="FS79" i="8"/>
  <c r="FS81" i="8" s="1"/>
  <c r="FR79" i="8"/>
  <c r="FR81" i="8" s="1"/>
  <c r="FQ79" i="8"/>
  <c r="FQ81" i="8" s="1"/>
  <c r="FP79" i="8"/>
  <c r="FX77" i="8"/>
  <c r="FW77" i="8"/>
  <c r="FV77" i="8"/>
  <c r="FT77" i="8"/>
  <c r="FS77" i="8"/>
  <c r="FR77" i="8"/>
  <c r="FQ77" i="8"/>
  <c r="FP77" i="8"/>
  <c r="FX76" i="8"/>
  <c r="FW76" i="8"/>
  <c r="FW78" i="8" s="1"/>
  <c r="FV76" i="8"/>
  <c r="FV78" i="8" s="1"/>
  <c r="FT76" i="8"/>
  <c r="FS76" i="8"/>
  <c r="FR76" i="8"/>
  <c r="FQ76" i="8"/>
  <c r="FQ78" i="8" s="1"/>
  <c r="FP76" i="8"/>
  <c r="FX73" i="8"/>
  <c r="FW73" i="8"/>
  <c r="FV73" i="8"/>
  <c r="FT73" i="8"/>
  <c r="FS73" i="8"/>
  <c r="FR73" i="8"/>
  <c r="FQ73" i="8"/>
  <c r="FP73" i="8"/>
  <c r="FX72" i="8"/>
  <c r="FX74" i="8" s="1"/>
  <c r="FW72" i="8"/>
  <c r="FV72" i="8"/>
  <c r="FV74" i="8" s="1"/>
  <c r="FT72" i="8"/>
  <c r="FS72" i="8"/>
  <c r="FS74" i="8" s="1"/>
  <c r="FR72" i="8"/>
  <c r="FR74" i="8" s="1"/>
  <c r="FQ72" i="8"/>
  <c r="FP72" i="8"/>
  <c r="FP74" i="8" s="1"/>
  <c r="FX70" i="8"/>
  <c r="FW70" i="8"/>
  <c r="FV70" i="8"/>
  <c r="FT70" i="8"/>
  <c r="FS70" i="8"/>
  <c r="FR70" i="8"/>
  <c r="FQ70" i="8"/>
  <c r="FP70" i="8"/>
  <c r="FX69" i="8"/>
  <c r="FX71" i="8" s="1"/>
  <c r="FW69" i="8"/>
  <c r="FW71" i="8" s="1"/>
  <c r="FV69" i="8"/>
  <c r="FT69" i="8"/>
  <c r="FS69" i="8"/>
  <c r="FR69" i="8"/>
  <c r="FQ69" i="8"/>
  <c r="FP69" i="8"/>
  <c r="FX66" i="8"/>
  <c r="FW66" i="8"/>
  <c r="FV66" i="8"/>
  <c r="FT66" i="8"/>
  <c r="FS66" i="8"/>
  <c r="FR66" i="8"/>
  <c r="FQ66" i="8"/>
  <c r="FP66" i="8"/>
  <c r="FX65" i="8"/>
  <c r="FX67" i="8" s="1"/>
  <c r="FW65" i="8"/>
  <c r="FV65" i="8"/>
  <c r="FV67" i="8" s="1"/>
  <c r="FT65" i="8"/>
  <c r="FS65" i="8"/>
  <c r="FR65" i="8"/>
  <c r="FQ65" i="8"/>
  <c r="FP65" i="8"/>
  <c r="FX63" i="8"/>
  <c r="FW63" i="8"/>
  <c r="FV63" i="8"/>
  <c r="FT63" i="8"/>
  <c r="FS63" i="8"/>
  <c r="FR63" i="8"/>
  <c r="FQ63" i="8"/>
  <c r="FP63" i="8"/>
  <c r="FX62" i="8"/>
  <c r="FX64" i="8" s="1"/>
  <c r="FW62" i="8"/>
  <c r="FV62" i="8"/>
  <c r="FT62" i="8"/>
  <c r="FS62" i="8"/>
  <c r="FR62" i="8"/>
  <c r="FQ62" i="8"/>
  <c r="FP62" i="8"/>
  <c r="FX59" i="8"/>
  <c r="FW59" i="8"/>
  <c r="FV59" i="8"/>
  <c r="FT59" i="8"/>
  <c r="FS59" i="8"/>
  <c r="FR59" i="8"/>
  <c r="FQ59" i="8"/>
  <c r="FP59" i="8"/>
  <c r="FX58" i="8"/>
  <c r="FX60" i="8" s="1"/>
  <c r="FW58" i="8"/>
  <c r="FV58" i="8"/>
  <c r="FT58" i="8"/>
  <c r="FS58" i="8"/>
  <c r="FR58" i="8"/>
  <c r="FR60" i="8" s="1"/>
  <c r="FQ58" i="8"/>
  <c r="FQ60" i="8" s="1"/>
  <c r="FP58" i="8"/>
  <c r="FX56" i="8"/>
  <c r="FW56" i="8"/>
  <c r="FV56" i="8"/>
  <c r="FT56" i="8"/>
  <c r="FS56" i="8"/>
  <c r="FR56" i="8"/>
  <c r="FQ56" i="8"/>
  <c r="FP56" i="8"/>
  <c r="FX55" i="8"/>
  <c r="FX57" i="8" s="1"/>
  <c r="FW55" i="8"/>
  <c r="FW57" i="8" s="1"/>
  <c r="FV55" i="8"/>
  <c r="FT55" i="8"/>
  <c r="FT57" i="8" s="1"/>
  <c r="FS55" i="8"/>
  <c r="FS57" i="8" s="1"/>
  <c r="FR55" i="8"/>
  <c r="FQ55" i="8"/>
  <c r="FP55" i="8"/>
  <c r="FP57" i="8" s="1"/>
  <c r="FX52" i="8"/>
  <c r="FW52" i="8"/>
  <c r="FV52" i="8"/>
  <c r="FT52" i="8"/>
  <c r="FS52" i="8"/>
  <c r="FR52" i="8"/>
  <c r="FQ52" i="8"/>
  <c r="FP52" i="8"/>
  <c r="FX51" i="8"/>
  <c r="FX53" i="8" s="1"/>
  <c r="FW51" i="8"/>
  <c r="FV51" i="8"/>
  <c r="FT51" i="8"/>
  <c r="FS51" i="8"/>
  <c r="FS53" i="8" s="1"/>
  <c r="FR51" i="8"/>
  <c r="FR53" i="8" s="1"/>
  <c r="FQ51" i="8"/>
  <c r="FQ53" i="8" s="1"/>
  <c r="FP51" i="8"/>
  <c r="FX49" i="8"/>
  <c r="FW49" i="8"/>
  <c r="FV49" i="8"/>
  <c r="FT49" i="8"/>
  <c r="FS49" i="8"/>
  <c r="FR49" i="8"/>
  <c r="FQ49" i="8"/>
  <c r="FP49" i="8"/>
  <c r="FX48" i="8"/>
  <c r="FX50" i="8" s="1"/>
  <c r="FW48" i="8"/>
  <c r="FV48" i="8"/>
  <c r="FV50" i="8" s="1"/>
  <c r="FT48" i="8"/>
  <c r="FS48" i="8"/>
  <c r="FR48" i="8"/>
  <c r="FQ48" i="8"/>
  <c r="FP48" i="8"/>
  <c r="FP50" i="8" s="1"/>
  <c r="FX45" i="8"/>
  <c r="FW45" i="8"/>
  <c r="FV45" i="8"/>
  <c r="FT45" i="8"/>
  <c r="FS45" i="8"/>
  <c r="FR45" i="8"/>
  <c r="FQ45" i="8"/>
  <c r="FP45" i="8"/>
  <c r="FX44" i="8"/>
  <c r="FW44" i="8"/>
  <c r="FW46" i="8" s="1"/>
  <c r="FV44" i="8"/>
  <c r="FT44" i="8"/>
  <c r="FS44" i="8"/>
  <c r="FR44" i="8"/>
  <c r="FR46" i="8" s="1"/>
  <c r="FQ44" i="8"/>
  <c r="FQ46" i="8" s="1"/>
  <c r="FP44" i="8"/>
  <c r="FP46" i="8" s="1"/>
  <c r="FX42" i="8"/>
  <c r="FW42" i="8"/>
  <c r="FV42" i="8"/>
  <c r="FT42" i="8"/>
  <c r="FS42" i="8"/>
  <c r="FR42" i="8"/>
  <c r="FQ42" i="8"/>
  <c r="FP42" i="8"/>
  <c r="FX41" i="8"/>
  <c r="FX43" i="8" s="1"/>
  <c r="FW41" i="8"/>
  <c r="FV41" i="8"/>
  <c r="FT41" i="8"/>
  <c r="FS41" i="8"/>
  <c r="FR41" i="8"/>
  <c r="FQ41" i="8"/>
  <c r="FP41" i="8"/>
  <c r="FX38" i="8"/>
  <c r="FW38" i="8"/>
  <c r="FV38" i="8"/>
  <c r="FT38" i="8"/>
  <c r="FS38" i="8"/>
  <c r="FR38" i="8"/>
  <c r="FQ38" i="8"/>
  <c r="FP38" i="8"/>
  <c r="FX37" i="8"/>
  <c r="FW37" i="8"/>
  <c r="FV37" i="8"/>
  <c r="FT37" i="8"/>
  <c r="FS37" i="8"/>
  <c r="FR37" i="8"/>
  <c r="FQ37" i="8"/>
  <c r="FQ39" i="8" s="1"/>
  <c r="FP37" i="8"/>
  <c r="FX35" i="8"/>
  <c r="FW35" i="8"/>
  <c r="FV35" i="8"/>
  <c r="FT35" i="8"/>
  <c r="FS35" i="8"/>
  <c r="FR35" i="8"/>
  <c r="FQ35" i="8"/>
  <c r="FP35" i="8"/>
  <c r="FX34" i="8"/>
  <c r="FW34" i="8"/>
  <c r="FV34" i="8"/>
  <c r="FT34" i="8"/>
  <c r="FS34" i="8"/>
  <c r="FR34" i="8"/>
  <c r="FQ34" i="8"/>
  <c r="FP34" i="8"/>
  <c r="FX31" i="8"/>
  <c r="FW31" i="8"/>
  <c r="FV31" i="8"/>
  <c r="FT31" i="8"/>
  <c r="FS31" i="8"/>
  <c r="FR31" i="8"/>
  <c r="FQ31" i="8"/>
  <c r="FP31" i="8"/>
  <c r="FX30" i="8"/>
  <c r="FW30" i="8"/>
  <c r="FV30" i="8"/>
  <c r="FT30" i="8"/>
  <c r="FS30" i="8"/>
  <c r="FR30" i="8"/>
  <c r="FQ30" i="8"/>
  <c r="FQ32" i="8" s="1"/>
  <c r="FP30" i="8"/>
  <c r="FX28" i="8"/>
  <c r="FW28" i="8"/>
  <c r="FV28" i="8"/>
  <c r="FT28" i="8"/>
  <c r="FS28" i="8"/>
  <c r="FR28" i="8"/>
  <c r="FQ28" i="8"/>
  <c r="FP28" i="8"/>
  <c r="FX27" i="8"/>
  <c r="FW27" i="8"/>
  <c r="FV27" i="8"/>
  <c r="FT27" i="8"/>
  <c r="FS27" i="8"/>
  <c r="FR27" i="8"/>
  <c r="FQ27" i="8"/>
  <c r="FP27" i="8"/>
  <c r="FX24" i="8"/>
  <c r="FW24" i="8"/>
  <c r="FV24" i="8"/>
  <c r="FT24" i="8"/>
  <c r="FS24" i="8"/>
  <c r="FR24" i="8"/>
  <c r="FQ24" i="8"/>
  <c r="FP24" i="8"/>
  <c r="FX23" i="8"/>
  <c r="FX25" i="8" s="1"/>
  <c r="FW23" i="8"/>
  <c r="FV23" i="8"/>
  <c r="FT23" i="8"/>
  <c r="FS23" i="8"/>
  <c r="FR23" i="8"/>
  <c r="FQ23" i="8"/>
  <c r="FP23" i="8"/>
  <c r="FX21" i="8"/>
  <c r="FW21" i="8"/>
  <c r="FV21" i="8"/>
  <c r="FT21" i="8"/>
  <c r="FS21" i="8"/>
  <c r="FR21" i="8"/>
  <c r="FQ21" i="8"/>
  <c r="FP21" i="8"/>
  <c r="FX20" i="8"/>
  <c r="FX22" i="8" s="1"/>
  <c r="FW20" i="8"/>
  <c r="FV20" i="8"/>
  <c r="FT20" i="8"/>
  <c r="FS20" i="8"/>
  <c r="FR20" i="8"/>
  <c r="FQ20" i="8"/>
  <c r="FP20" i="8"/>
  <c r="FX17" i="8"/>
  <c r="FW17" i="8"/>
  <c r="FV17" i="8"/>
  <c r="FT17" i="8"/>
  <c r="FS17" i="8"/>
  <c r="FR17" i="8"/>
  <c r="FQ17" i="8"/>
  <c r="FP17" i="8"/>
  <c r="FX16" i="8"/>
  <c r="FW16" i="8"/>
  <c r="FV16" i="8"/>
  <c r="FT16" i="8"/>
  <c r="FS16" i="8"/>
  <c r="FR16" i="8"/>
  <c r="FQ16" i="8"/>
  <c r="FP16" i="8"/>
  <c r="FX14" i="8"/>
  <c r="FW14" i="8"/>
  <c r="FV14" i="8"/>
  <c r="FT14" i="8"/>
  <c r="FS14" i="8"/>
  <c r="FR14" i="8"/>
  <c r="FQ14" i="8"/>
  <c r="FP14" i="8"/>
  <c r="FX13" i="8"/>
  <c r="FW13" i="8"/>
  <c r="FV13" i="8"/>
  <c r="FT13" i="8"/>
  <c r="FS13" i="8"/>
  <c r="FR13" i="8"/>
  <c r="FQ13" i="8"/>
  <c r="FP13" i="8"/>
  <c r="FV10" i="8"/>
  <c r="FW10" i="8"/>
  <c r="FX10" i="8"/>
  <c r="FP10" i="8"/>
  <c r="FQ10" i="8"/>
  <c r="FR10" i="8"/>
  <c r="FR97" i="8" s="1"/>
  <c r="FS10" i="8"/>
  <c r="FT10" i="8"/>
  <c r="FP97" i="8" l="1"/>
  <c r="FW60" i="8"/>
  <c r="FT60" i="8"/>
  <c r="FT61" i="8" s="1"/>
  <c r="FP53" i="8"/>
  <c r="FR88" i="8"/>
  <c r="FW97" i="8"/>
  <c r="FX46" i="8"/>
  <c r="FX47" i="8" s="1"/>
  <c r="FT97" i="8"/>
  <c r="FT46" i="8"/>
  <c r="FS97" i="8"/>
  <c r="FX97" i="8"/>
  <c r="FQ97" i="8"/>
  <c r="FV97" i="8"/>
  <c r="FT96" i="8"/>
  <c r="FP96" i="8"/>
  <c r="FT94" i="8"/>
  <c r="FP94" i="8"/>
  <c r="FR93" i="8"/>
  <c r="M32" i="8"/>
  <c r="FX96" i="8"/>
  <c r="FS96" i="8"/>
  <c r="FS8" i="2" s="1"/>
  <c r="FX94" i="8"/>
  <c r="FS94" i="8"/>
  <c r="FS93" i="8"/>
  <c r="FW96" i="8"/>
  <c r="FR96" i="8"/>
  <c r="FW94" i="8"/>
  <c r="FR94" i="8"/>
  <c r="FV96" i="8"/>
  <c r="FQ96" i="8"/>
  <c r="FV94" i="8"/>
  <c r="FQ94" i="8"/>
  <c r="FX85" i="8"/>
  <c r="FX89" i="8" s="1"/>
  <c r="FX93" i="8"/>
  <c r="FX95" i="8" s="1"/>
  <c r="FW85" i="8"/>
  <c r="FW93" i="8"/>
  <c r="FV85" i="8"/>
  <c r="FV89" i="8" s="1"/>
  <c r="FT85" i="8"/>
  <c r="FT93" i="8"/>
  <c r="FQ85" i="8"/>
  <c r="FQ93" i="8"/>
  <c r="FP85" i="8"/>
  <c r="FP93" i="8"/>
  <c r="FS78" i="8"/>
  <c r="FS82" i="8" s="1"/>
  <c r="FX78" i="8"/>
  <c r="FW64" i="8"/>
  <c r="FR57" i="8"/>
  <c r="FT50" i="8"/>
  <c r="FT53" i="8"/>
  <c r="FQ64" i="8"/>
  <c r="FS85" i="8"/>
  <c r="FR78" i="8"/>
  <c r="FT74" i="8"/>
  <c r="FR64" i="8"/>
  <c r="FT64" i="8"/>
  <c r="FS25" i="8"/>
  <c r="FV57" i="8"/>
  <c r="FS64" i="8"/>
  <c r="FP67" i="8"/>
  <c r="FW67" i="8"/>
  <c r="FS71" i="8"/>
  <c r="FR71" i="8"/>
  <c r="FS60" i="8"/>
  <c r="FS61" i="8" s="1"/>
  <c r="FT81" i="8"/>
  <c r="M81" i="8"/>
  <c r="FR67" i="8"/>
  <c r="FW50" i="8"/>
  <c r="EN5" i="2"/>
  <c r="ER5" i="2"/>
  <c r="ER7" i="2" s="1"/>
  <c r="EN6" i="2"/>
  <c r="ES6" i="2" s="1"/>
  <c r="EN8" i="2"/>
  <c r="EN10" i="2" s="1"/>
  <c r="ER8" i="2"/>
  <c r="ER10" i="2" s="1"/>
  <c r="EQ5" i="2"/>
  <c r="EV5" i="2"/>
  <c r="EQ8" i="2"/>
  <c r="EQ10" i="2" s="1"/>
  <c r="EV8" i="2"/>
  <c r="EP5" i="2"/>
  <c r="EP7" i="2" s="1"/>
  <c r="EU5" i="2"/>
  <c r="EU7" i="2" s="1"/>
  <c r="EP8" i="2"/>
  <c r="EP10" i="2" s="1"/>
  <c r="EU8" i="2"/>
  <c r="EO5" i="2"/>
  <c r="ET5" i="2"/>
  <c r="ET6" i="2"/>
  <c r="EW6" i="2" s="1"/>
  <c r="EO8" i="2"/>
  <c r="ET8" i="2"/>
  <c r="ET10" i="2" s="1"/>
  <c r="EO9" i="2"/>
  <c r="DA5" i="2"/>
  <c r="DA7" i="2" s="1"/>
  <c r="CM8" i="2"/>
  <c r="CM10" i="2" s="1"/>
  <c r="BY8" i="2"/>
  <c r="BY10" i="2" s="1"/>
  <c r="AW5" i="2"/>
  <c r="AW7" i="2" s="1"/>
  <c r="FP81" i="8"/>
  <c r="FP78" i="8"/>
  <c r="FQ74" i="8"/>
  <c r="FQ71" i="8"/>
  <c r="FQ67" i="8"/>
  <c r="FP64" i="8"/>
  <c r="FP60" i="8"/>
  <c r="EC5" i="2"/>
  <c r="EC7" i="2" s="1"/>
  <c r="FQ50" i="8"/>
  <c r="FQ54" i="8" s="1"/>
  <c r="EB8" i="2"/>
  <c r="EB10" i="2" s="1"/>
  <c r="ED8" i="2"/>
  <c r="ED10" i="2" s="1"/>
  <c r="EC8" i="2"/>
  <c r="EC10" i="2" s="1"/>
  <c r="EH5" i="2"/>
  <c r="EH7" i="2" s="1"/>
  <c r="EF5" i="2"/>
  <c r="EF7" i="2" s="1"/>
  <c r="ED5" i="2"/>
  <c r="DZ5" i="2"/>
  <c r="EF9" i="2"/>
  <c r="EI9" i="2" s="1"/>
  <c r="EH8" i="2"/>
  <c r="EH10" i="2" s="1"/>
  <c r="EF8" i="2"/>
  <c r="EA8" i="2"/>
  <c r="EA10" i="2" s="1"/>
  <c r="DZ8" i="2"/>
  <c r="DZ10" i="2" s="1"/>
  <c r="EI6" i="2"/>
  <c r="DZ6" i="2"/>
  <c r="EE6" i="2" s="1"/>
  <c r="EG5" i="2"/>
  <c r="EB5" i="2"/>
  <c r="EB7" i="2" s="1"/>
  <c r="EA5" i="2"/>
  <c r="EA7" i="2" s="1"/>
  <c r="FT78" i="8"/>
  <c r="DN8" i="2"/>
  <c r="DR8" i="2"/>
  <c r="DR10" i="2" s="1"/>
  <c r="DM8" i="2"/>
  <c r="DM10" i="2" s="1"/>
  <c r="DN5" i="2"/>
  <c r="DN7" i="2" s="1"/>
  <c r="DT8" i="2"/>
  <c r="DS8" i="2"/>
  <c r="DS10" i="2" s="1"/>
  <c r="DP8" i="2"/>
  <c r="DP10" i="2" s="1"/>
  <c r="DL8" i="2"/>
  <c r="DU6" i="2"/>
  <c r="DT5" i="2"/>
  <c r="DS5" i="2"/>
  <c r="DR5" i="2"/>
  <c r="DR7" i="2" s="1"/>
  <c r="DP5" i="2"/>
  <c r="DP7" i="2" s="1"/>
  <c r="DL5" i="2"/>
  <c r="DL7" i="2" s="1"/>
  <c r="FQ57" i="8"/>
  <c r="DA8" i="2"/>
  <c r="DA10" i="2" s="1"/>
  <c r="FS67" i="8"/>
  <c r="DF8" i="2"/>
  <c r="DF5" i="2"/>
  <c r="DF7" i="2" s="1"/>
  <c r="DD8" i="2"/>
  <c r="DD10" i="2" s="1"/>
  <c r="DB8" i="2"/>
  <c r="CZ8" i="2"/>
  <c r="CY8" i="2"/>
  <c r="CY10" i="2" s="1"/>
  <c r="CX8" i="2"/>
  <c r="CX10" i="2" s="1"/>
  <c r="DG6" i="2"/>
  <c r="CX6" i="2"/>
  <c r="DC6" i="2" s="1"/>
  <c r="DE5" i="2"/>
  <c r="DE7" i="2" s="1"/>
  <c r="DD5" i="2"/>
  <c r="DB5" i="2"/>
  <c r="DB7" i="2" s="1"/>
  <c r="CZ5" i="2"/>
  <c r="CZ7" i="2" s="1"/>
  <c r="CY5" i="2"/>
  <c r="CY7" i="2" s="1"/>
  <c r="CX5" i="2"/>
  <c r="CM5" i="2"/>
  <c r="CL8" i="2"/>
  <c r="CR8" i="2"/>
  <c r="CR10" i="2" s="1"/>
  <c r="CP8" i="2"/>
  <c r="CN8" i="2"/>
  <c r="CN10" i="2" s="1"/>
  <c r="CK8" i="2"/>
  <c r="CK10" i="2" s="1"/>
  <c r="CJ8" i="2"/>
  <c r="CJ10" i="2" s="1"/>
  <c r="CS6" i="2"/>
  <c r="CJ6" i="2"/>
  <c r="CO6" i="2" s="1"/>
  <c r="CR5" i="2"/>
  <c r="CR7" i="2" s="1"/>
  <c r="CQ5" i="2"/>
  <c r="CQ7" i="2" s="1"/>
  <c r="CP5" i="2"/>
  <c r="CN5" i="2"/>
  <c r="CN7" i="2" s="1"/>
  <c r="CL5" i="2"/>
  <c r="CL7" i="2" s="1"/>
  <c r="CK5" i="2"/>
  <c r="CK7" i="2" s="1"/>
  <c r="CJ5" i="2"/>
  <c r="FS50" i="8"/>
  <c r="FS46" i="8"/>
  <c r="FS43" i="8"/>
  <c r="FT39" i="8"/>
  <c r="FP39" i="8"/>
  <c r="FS36" i="8"/>
  <c r="FR18" i="8"/>
  <c r="BX8" i="2"/>
  <c r="BX10" i="2" s="1"/>
  <c r="BY5" i="2"/>
  <c r="BV9" i="2"/>
  <c r="CA9" i="2" s="1"/>
  <c r="CD8" i="2"/>
  <c r="CD10" i="2" s="1"/>
  <c r="CC8" i="2"/>
  <c r="CB8" i="2"/>
  <c r="CB10" i="2" s="1"/>
  <c r="BZ8" i="2"/>
  <c r="BZ10" i="2" s="1"/>
  <c r="BW8" i="2"/>
  <c r="BW10" i="2" s="1"/>
  <c r="BV8" i="2"/>
  <c r="CB6" i="2"/>
  <c r="CE6" i="2" s="1"/>
  <c r="BV6" i="2"/>
  <c r="CA6" i="2" s="1"/>
  <c r="CD5" i="2"/>
  <c r="CC5" i="2"/>
  <c r="CC7" i="2" s="1"/>
  <c r="CB5" i="2"/>
  <c r="BZ5" i="2"/>
  <c r="BZ7" i="2" s="1"/>
  <c r="BX5" i="2"/>
  <c r="BX7" i="2" s="1"/>
  <c r="BW5" i="2"/>
  <c r="BW7" i="2" s="1"/>
  <c r="BV5" i="2"/>
  <c r="BK8" i="2"/>
  <c r="BK10" i="2" s="1"/>
  <c r="FV64" i="8"/>
  <c r="FW53" i="8"/>
  <c r="FV43" i="8"/>
  <c r="FV39" i="8"/>
  <c r="FR32" i="8"/>
  <c r="FV25" i="8"/>
  <c r="FR25" i="8"/>
  <c r="BJ8" i="2"/>
  <c r="BJ10" i="2" s="1"/>
  <c r="BN9" i="2"/>
  <c r="BQ9" i="2" s="1"/>
  <c r="BP8" i="2"/>
  <c r="BP10" i="2" s="1"/>
  <c r="BN8" i="2"/>
  <c r="BL8" i="2"/>
  <c r="BL10" i="2" s="1"/>
  <c r="BI8" i="2"/>
  <c r="BI10" i="2" s="1"/>
  <c r="BH8" i="2"/>
  <c r="BH10" i="2" s="1"/>
  <c r="BQ6" i="2"/>
  <c r="BP5" i="2"/>
  <c r="BP7" i="2" s="1"/>
  <c r="BN5" i="2"/>
  <c r="BN7" i="2" s="1"/>
  <c r="BL5" i="2"/>
  <c r="BL7" i="2" s="1"/>
  <c r="BJ5" i="2"/>
  <c r="BJ7" i="2" s="1"/>
  <c r="BH5" i="2"/>
  <c r="BH7" i="2" s="1"/>
  <c r="AW8" i="2"/>
  <c r="AW10" i="2" s="1"/>
  <c r="FR85" i="8"/>
  <c r="FT67" i="8"/>
  <c r="FR50" i="8"/>
  <c r="FR54" i="8" s="1"/>
  <c r="FW43" i="8"/>
  <c r="FT43" i="8"/>
  <c r="FQ43" i="8"/>
  <c r="FR39" i="8"/>
  <c r="AV8" i="2"/>
  <c r="FW36" i="8"/>
  <c r="FQ36" i="8"/>
  <c r="FW29" i="8"/>
  <c r="FW25" i="8"/>
  <c r="FQ25" i="8"/>
  <c r="FW22" i="8"/>
  <c r="FV22" i="8"/>
  <c r="FW18" i="8"/>
  <c r="AZ9" i="2"/>
  <c r="AT9" i="2"/>
  <c r="AY9" i="2" s="1"/>
  <c r="BA8" i="2"/>
  <c r="BA10" i="2" s="1"/>
  <c r="AZ8" i="2"/>
  <c r="AX8" i="2"/>
  <c r="AX10" i="2" s="1"/>
  <c r="AU8" i="2"/>
  <c r="AU10" i="2" s="1"/>
  <c r="AT8" i="2"/>
  <c r="BC6" i="2"/>
  <c r="AT6" i="2"/>
  <c r="AY6" i="2" s="1"/>
  <c r="BB5" i="2"/>
  <c r="BB7" i="2" s="1"/>
  <c r="BA5" i="2"/>
  <c r="BA7" i="2" s="1"/>
  <c r="AZ5" i="2"/>
  <c r="AZ7" i="2" s="1"/>
  <c r="AX5" i="2"/>
  <c r="AX7" i="2" s="1"/>
  <c r="AV5" i="2"/>
  <c r="AV7" i="2" s="1"/>
  <c r="AU5" i="2"/>
  <c r="AU7" i="2" s="1"/>
  <c r="AT5" i="2"/>
  <c r="FV46" i="8"/>
  <c r="FP43" i="8"/>
  <c r="FT36" i="8"/>
  <c r="FR36" i="8"/>
  <c r="FP36" i="8"/>
  <c r="FX32" i="8"/>
  <c r="FV32" i="8"/>
  <c r="FT32" i="8"/>
  <c r="FP32" i="8"/>
  <c r="FV29" i="8"/>
  <c r="FT29" i="8"/>
  <c r="FR29" i="8"/>
  <c r="FQ29" i="8"/>
  <c r="FQ33" i="8" s="1"/>
  <c r="FP29" i="8"/>
  <c r="FT25" i="8"/>
  <c r="FP25" i="8"/>
  <c r="FT22" i="8"/>
  <c r="FS22" i="8"/>
  <c r="FR22" i="8"/>
  <c r="FP22" i="8"/>
  <c r="FX18" i="8"/>
  <c r="FV18" i="8"/>
  <c r="FT18" i="8"/>
  <c r="FS18" i="8"/>
  <c r="FQ18" i="8"/>
  <c r="FP18" i="8"/>
  <c r="FX15" i="8"/>
  <c r="FT15" i="8"/>
  <c r="U8" i="2"/>
  <c r="U5" i="2"/>
  <c r="U7" i="2" s="1"/>
  <c r="FV71" i="8"/>
  <c r="FR43" i="8"/>
  <c r="FV36" i="8"/>
  <c r="FS32" i="8"/>
  <c r="Z8" i="2"/>
  <c r="T8" i="2"/>
  <c r="FS29" i="8"/>
  <c r="FQ22" i="8"/>
  <c r="X9" i="2"/>
  <c r="AA9" i="2" s="1"/>
  <c r="Y8" i="2"/>
  <c r="Y10" i="2" s="1"/>
  <c r="X8" i="2"/>
  <c r="V8" i="2"/>
  <c r="S8" i="2"/>
  <c r="S10" i="2" s="1"/>
  <c r="AA6" i="2"/>
  <c r="FV15" i="8"/>
  <c r="FS15" i="8"/>
  <c r="FQ15" i="8"/>
  <c r="Z5" i="2"/>
  <c r="Z7" i="2" s="1"/>
  <c r="Y5" i="2"/>
  <c r="X5" i="2"/>
  <c r="X7" i="2" s="1"/>
  <c r="V5" i="2"/>
  <c r="V7" i="2" s="1"/>
  <c r="T5" i="2"/>
  <c r="S5" i="2"/>
  <c r="S7" i="2" s="1"/>
  <c r="AM8" i="2"/>
  <c r="AL8" i="2"/>
  <c r="AL9" i="2"/>
  <c r="AN8" i="2"/>
  <c r="AN5" i="2"/>
  <c r="AM5" i="2"/>
  <c r="AN6" i="2"/>
  <c r="AL5" i="2"/>
  <c r="AI8" i="2"/>
  <c r="AI10" i="2" s="1"/>
  <c r="AH8" i="2"/>
  <c r="AG8" i="2"/>
  <c r="AF8" i="2"/>
  <c r="AJ8" i="2"/>
  <c r="AF9" i="2"/>
  <c r="AG5" i="2"/>
  <c r="AF5" i="2"/>
  <c r="AJ5" i="2"/>
  <c r="AJ7" i="2" s="1"/>
  <c r="AF6" i="2"/>
  <c r="AI5" i="2"/>
  <c r="AH5" i="2"/>
  <c r="AH7" i="2" s="1"/>
  <c r="I67" i="8"/>
  <c r="M64" i="8"/>
  <c r="M53" i="8"/>
  <c r="I53" i="8"/>
  <c r="M50" i="8"/>
  <c r="M54" i="8" s="1"/>
  <c r="I32" i="8"/>
  <c r="I33" i="8" s="1"/>
  <c r="FX29" i="8"/>
  <c r="M29" i="8"/>
  <c r="M33" i="8" s="1"/>
  <c r="M74" i="8"/>
  <c r="I74" i="8"/>
  <c r="I75" i="8" s="1"/>
  <c r="M60" i="8"/>
  <c r="I60" i="8"/>
  <c r="I61" i="8" s="1"/>
  <c r="M57" i="8"/>
  <c r="M46" i="8"/>
  <c r="I46" i="8"/>
  <c r="I47" i="8" s="1"/>
  <c r="M43" i="8"/>
  <c r="M39" i="8"/>
  <c r="I39" i="8"/>
  <c r="I40" i="8" s="1"/>
  <c r="FX36" i="8"/>
  <c r="M25" i="8"/>
  <c r="I25" i="8"/>
  <c r="I26" i="8" s="1"/>
  <c r="M22" i="8"/>
  <c r="FR15" i="8"/>
  <c r="M18" i="8"/>
  <c r="M19" i="8" s="1"/>
  <c r="I18" i="8"/>
  <c r="I19" i="8" s="1"/>
  <c r="FW15" i="8"/>
  <c r="M15" i="8"/>
  <c r="FP15" i="8"/>
  <c r="FJ8" i="2"/>
  <c r="FJ10" i="2" s="1"/>
  <c r="FI8" i="2"/>
  <c r="FF8" i="2"/>
  <c r="FF10" i="2" s="1"/>
  <c r="FE8" i="2"/>
  <c r="FD8" i="2"/>
  <c r="FD10" i="2" s="1"/>
  <c r="FB8" i="2"/>
  <c r="FB10" i="2" s="1"/>
  <c r="FK6" i="2"/>
  <c r="FJ5" i="2"/>
  <c r="FJ7" i="2" s="1"/>
  <c r="FI5" i="2"/>
  <c r="FI7" i="2" s="1"/>
  <c r="FH5" i="2"/>
  <c r="FH7" i="2" s="1"/>
  <c r="FF5" i="2"/>
  <c r="FF7" i="2" s="1"/>
  <c r="FE5" i="2"/>
  <c r="FE7" i="2" s="1"/>
  <c r="FD5" i="2"/>
  <c r="FD7" i="2" s="1"/>
  <c r="FC5" i="2"/>
  <c r="R8" i="2"/>
  <c r="R10" i="2" s="1"/>
  <c r="R6" i="2"/>
  <c r="R5" i="2"/>
  <c r="FG9" i="2"/>
  <c r="FK9" i="2"/>
  <c r="FE10" i="2"/>
  <c r="FB7" i="2"/>
  <c r="FH10" i="2"/>
  <c r="FG6" i="2"/>
  <c r="FC10" i="2"/>
  <c r="EW5" i="2"/>
  <c r="ES9" i="2"/>
  <c r="EW9" i="2"/>
  <c r="EU10" i="2"/>
  <c r="EV7" i="2"/>
  <c r="EQ7" i="2"/>
  <c r="EV10" i="2"/>
  <c r="EE9" i="2"/>
  <c r="EG10" i="2"/>
  <c r="ED7" i="2"/>
  <c r="DM7" i="2"/>
  <c r="DQ9" i="2"/>
  <c r="DU9" i="2"/>
  <c r="DO10" i="2"/>
  <c r="DT7" i="2"/>
  <c r="DQ6" i="2"/>
  <c r="DO7" i="2"/>
  <c r="DL10" i="2"/>
  <c r="DT10" i="2"/>
  <c r="DC9" i="2"/>
  <c r="DG9" i="2"/>
  <c r="DE10" i="2"/>
  <c r="DD7" i="2"/>
  <c r="CO9" i="2"/>
  <c r="CS9" i="2"/>
  <c r="CQ10" i="2"/>
  <c r="CL10" i="2"/>
  <c r="CM7" i="2"/>
  <c r="CE9" i="2"/>
  <c r="CC10" i="2"/>
  <c r="CD7" i="2"/>
  <c r="BY7" i="2"/>
  <c r="BI7" i="2"/>
  <c r="BM9" i="2"/>
  <c r="BO10" i="2"/>
  <c r="BM6" i="2"/>
  <c r="BK7" i="2"/>
  <c r="BO7" i="2"/>
  <c r="BB10" i="2"/>
  <c r="AI7" i="2"/>
  <c r="W9" i="2"/>
  <c r="M67" i="8"/>
  <c r="M68" i="8" s="1"/>
  <c r="M78" i="8"/>
  <c r="FX39" i="8"/>
  <c r="FU14" i="8"/>
  <c r="FY14" i="8"/>
  <c r="FY17" i="8"/>
  <c r="FU24" i="8"/>
  <c r="FY24" i="8"/>
  <c r="FU31" i="8"/>
  <c r="FY45" i="8"/>
  <c r="FY49" i="8"/>
  <c r="FY51" i="8"/>
  <c r="FY52" i="8"/>
  <c r="FU56" i="8"/>
  <c r="FY56" i="8"/>
  <c r="FY73" i="8"/>
  <c r="FU77" i="8"/>
  <c r="FY77" i="8"/>
  <c r="FY87" i="8"/>
  <c r="FY38" i="8"/>
  <c r="FY58" i="8"/>
  <c r="FY59" i="8"/>
  <c r="K47" i="8"/>
  <c r="FY31" i="8"/>
  <c r="FY66" i="8"/>
  <c r="FU80" i="8"/>
  <c r="M36" i="8"/>
  <c r="FU21" i="8"/>
  <c r="FU42" i="8"/>
  <c r="FY63" i="8"/>
  <c r="FY84" i="8"/>
  <c r="M71" i="8"/>
  <c r="M75" i="8" s="1"/>
  <c r="FY86" i="8"/>
  <c r="FP89" i="8"/>
  <c r="FT89" i="8"/>
  <c r="E19" i="8"/>
  <c r="J19" i="8"/>
  <c r="E26" i="8"/>
  <c r="J26" i="8"/>
  <c r="E33" i="8"/>
  <c r="E40" i="8"/>
  <c r="J40" i="8"/>
  <c r="E47" i="8"/>
  <c r="J47" i="8"/>
  <c r="E54" i="8"/>
  <c r="J54" i="8"/>
  <c r="E61" i="8"/>
  <c r="J61" i="8"/>
  <c r="E68" i="8"/>
  <c r="J68" i="8"/>
  <c r="E75" i="8"/>
  <c r="J75" i="8"/>
  <c r="E82" i="8"/>
  <c r="J82" i="8"/>
  <c r="FU35" i="8"/>
  <c r="FU49" i="8"/>
  <c r="FU63" i="8"/>
  <c r="FY83" i="8"/>
  <c r="D19" i="8"/>
  <c r="H19" i="8"/>
  <c r="D26" i="8"/>
  <c r="H26" i="8"/>
  <c r="D33" i="8"/>
  <c r="H33" i="8"/>
  <c r="D40" i="8"/>
  <c r="H40" i="8"/>
  <c r="D47" i="8"/>
  <c r="H47" i="8"/>
  <c r="D54" i="8"/>
  <c r="H54" i="8"/>
  <c r="D61" i="8"/>
  <c r="H61" i="8"/>
  <c r="D68" i="8"/>
  <c r="H68" i="8"/>
  <c r="D75" i="8"/>
  <c r="H75" i="8"/>
  <c r="D82" i="8"/>
  <c r="H82" i="8"/>
  <c r="FY42" i="8"/>
  <c r="L19" i="8"/>
  <c r="L26" i="8"/>
  <c r="L33" i="8"/>
  <c r="L40" i="8"/>
  <c r="L47" i="8"/>
  <c r="L54" i="8"/>
  <c r="L61" i="8"/>
  <c r="L68" i="8"/>
  <c r="L75" i="8"/>
  <c r="L82" i="8"/>
  <c r="FY28" i="8"/>
  <c r="FY70" i="8"/>
  <c r="FY80" i="8"/>
  <c r="FU84" i="8"/>
  <c r="FU87" i="8"/>
  <c r="F19" i="8"/>
  <c r="F26" i="8"/>
  <c r="F40" i="8"/>
  <c r="F47" i="8"/>
  <c r="F54" i="8"/>
  <c r="F61" i="8"/>
  <c r="F68" i="8"/>
  <c r="F75" i="8"/>
  <c r="F82" i="8"/>
  <c r="FY79" i="8"/>
  <c r="FW82" i="8"/>
  <c r="FP71" i="8"/>
  <c r="FT71" i="8"/>
  <c r="FY69" i="8"/>
  <c r="FY72" i="8"/>
  <c r="FU73" i="8"/>
  <c r="FU70" i="8"/>
  <c r="FU66" i="8"/>
  <c r="FU59" i="8"/>
  <c r="FP54" i="8"/>
  <c r="FY48" i="8"/>
  <c r="FU45" i="8"/>
  <c r="FY34" i="8"/>
  <c r="FY37" i="8"/>
  <c r="FU38" i="8"/>
  <c r="FU28" i="8"/>
  <c r="FY30" i="8"/>
  <c r="FY21" i="8"/>
  <c r="FU17" i="8"/>
  <c r="FY16" i="8"/>
  <c r="FS89" i="8"/>
  <c r="FQ89" i="8"/>
  <c r="FU83" i="8"/>
  <c r="FW88" i="8"/>
  <c r="FU86" i="8"/>
  <c r="FX82" i="8"/>
  <c r="FQ82" i="8"/>
  <c r="FV82" i="8"/>
  <c r="FU76" i="8"/>
  <c r="FY76" i="8"/>
  <c r="FU79" i="8"/>
  <c r="FX75" i="8"/>
  <c r="FU69" i="8"/>
  <c r="FW74" i="8"/>
  <c r="FU72" i="8"/>
  <c r="FX68" i="8"/>
  <c r="FU62" i="8"/>
  <c r="FY62" i="8"/>
  <c r="FU65" i="8"/>
  <c r="FY65" i="8"/>
  <c r="FX61" i="8"/>
  <c r="FW61" i="8"/>
  <c r="FU55" i="8"/>
  <c r="FY55" i="8"/>
  <c r="FV60" i="8"/>
  <c r="FU58" i="8"/>
  <c r="FX54" i="8"/>
  <c r="FU48" i="8"/>
  <c r="FU52" i="8"/>
  <c r="FV53" i="8"/>
  <c r="FU51" i="8"/>
  <c r="FP47" i="8"/>
  <c r="FU41" i="8"/>
  <c r="FY41" i="8"/>
  <c r="FU44" i="8"/>
  <c r="FY44" i="8"/>
  <c r="FU34" i="8"/>
  <c r="FS39" i="8"/>
  <c r="FW39" i="8"/>
  <c r="FY35" i="8"/>
  <c r="FU37" i="8"/>
  <c r="FU27" i="8"/>
  <c r="FY27" i="8"/>
  <c r="FW32" i="8"/>
  <c r="FU30" i="8"/>
  <c r="FX26" i="8"/>
  <c r="FU20" i="8"/>
  <c r="FY20" i="8"/>
  <c r="FU23" i="8"/>
  <c r="FY23" i="8"/>
  <c r="FU13" i="8"/>
  <c r="FY13" i="8"/>
  <c r="FU16" i="8"/>
  <c r="M40" i="8" l="1"/>
  <c r="M47" i="8"/>
  <c r="FU97" i="8"/>
  <c r="FT54" i="8"/>
  <c r="FW95" i="8"/>
  <c r="FS95" i="8"/>
  <c r="FT95" i="8"/>
  <c r="FS5" i="2"/>
  <c r="FQ95" i="8"/>
  <c r="FU94" i="8"/>
  <c r="FU96" i="8"/>
  <c r="FR95" i="8"/>
  <c r="FP95" i="8"/>
  <c r="FU93" i="8"/>
  <c r="FU32" i="8"/>
  <c r="M26" i="8"/>
  <c r="M82" i="8"/>
  <c r="FR61" i="8"/>
  <c r="FR33" i="8"/>
  <c r="FP26" i="8"/>
  <c r="FR82" i="8"/>
  <c r="BN10" i="2"/>
  <c r="BN11" i="2" s="1"/>
  <c r="AY8" i="2"/>
  <c r="AY10" i="2" s="1"/>
  <c r="AV10" i="2"/>
  <c r="AV11" i="2" s="1"/>
  <c r="BC5" i="2"/>
  <c r="BC7" i="2" s="1"/>
  <c r="AT10" i="2"/>
  <c r="FP19" i="8"/>
  <c r="FR40" i="8"/>
  <c r="FV26" i="8"/>
  <c r="FS33" i="8"/>
  <c r="FS54" i="8"/>
  <c r="FQ61" i="8"/>
  <c r="FQ19" i="8"/>
  <c r="FQ40" i="8"/>
  <c r="FR75" i="8"/>
  <c r="FQ47" i="8"/>
  <c r="FV75" i="8"/>
  <c r="FR26" i="8"/>
  <c r="FP61" i="8"/>
  <c r="FS75" i="8"/>
  <c r="FP40" i="8"/>
  <c r="AZ10" i="2"/>
  <c r="AZ11" i="2" s="1"/>
  <c r="FV40" i="8"/>
  <c r="FV47" i="8"/>
  <c r="FW54" i="8"/>
  <c r="FT40" i="8"/>
  <c r="BC9" i="2"/>
  <c r="FS26" i="8"/>
  <c r="FU39" i="8"/>
  <c r="FV19" i="8"/>
  <c r="FW26" i="8"/>
  <c r="FP68" i="8"/>
  <c r="FP82" i="8"/>
  <c r="FW47" i="8"/>
  <c r="FR68" i="8"/>
  <c r="FW19" i="8"/>
  <c r="BV7" i="2"/>
  <c r="FT26" i="8"/>
  <c r="FR47" i="8"/>
  <c r="FV68" i="8"/>
  <c r="FT19" i="8"/>
  <c r="FU22" i="8"/>
  <c r="FQ26" i="8"/>
  <c r="FT47" i="8"/>
  <c r="FR89" i="8"/>
  <c r="FS47" i="8"/>
  <c r="FR19" i="8"/>
  <c r="FY74" i="8"/>
  <c r="FU46" i="8"/>
  <c r="FY39" i="8"/>
  <c r="FU43" i="8"/>
  <c r="FY32" i="8"/>
  <c r="M61" i="8"/>
  <c r="FY85" i="8"/>
  <c r="FS68" i="8"/>
  <c r="FK5" i="2"/>
  <c r="FK7" i="2" s="1"/>
  <c r="FG8" i="2"/>
  <c r="FG10" i="2" s="1"/>
  <c r="FG5" i="2"/>
  <c r="FG7" i="2" s="1"/>
  <c r="EW7" i="2"/>
  <c r="ES8" i="2"/>
  <c r="ES10" i="2" s="1"/>
  <c r="EN7" i="2"/>
  <c r="EN11" i="2" s="1"/>
  <c r="FT82" i="8"/>
  <c r="FU81" i="8"/>
  <c r="ET7" i="2"/>
  <c r="ET11" i="2" s="1"/>
  <c r="EO10" i="2"/>
  <c r="ES5" i="2"/>
  <c r="ES7" i="2" s="1"/>
  <c r="EO7" i="2"/>
  <c r="FW68" i="8"/>
  <c r="ER11" i="2"/>
  <c r="EI5" i="2"/>
  <c r="EI7" i="2" s="1"/>
  <c r="DQ8" i="2"/>
  <c r="DQ10" i="2" s="1"/>
  <c r="DN10" i="2"/>
  <c r="DN11" i="2" s="1"/>
  <c r="DB10" i="2"/>
  <c r="DB11" i="2" s="1"/>
  <c r="FX33" i="8"/>
  <c r="FX19" i="8"/>
  <c r="FY15" i="8"/>
  <c r="DG5" i="2"/>
  <c r="DG7" i="2" s="1"/>
  <c r="CX7" i="2"/>
  <c r="CX11" i="2" s="1"/>
  <c r="DC8" i="2"/>
  <c r="DC10" i="2" s="1"/>
  <c r="CZ10" i="2"/>
  <c r="CZ11" i="2" s="1"/>
  <c r="AY5" i="2"/>
  <c r="AY7" i="2" s="1"/>
  <c r="FP33" i="8"/>
  <c r="FT33" i="8"/>
  <c r="FV33" i="8"/>
  <c r="FX98" i="8"/>
  <c r="CJ7" i="2"/>
  <c r="CJ11" i="2" s="1"/>
  <c r="CO5" i="2"/>
  <c r="CO7" i="2" s="1"/>
  <c r="BV10" i="2"/>
  <c r="FT68" i="8"/>
  <c r="AT7" i="2"/>
  <c r="AK5" i="2"/>
  <c r="BM8" i="2"/>
  <c r="BM10" i="2" s="1"/>
  <c r="BM5" i="2"/>
  <c r="BM7" i="2" s="1"/>
  <c r="AH10" i="2"/>
  <c r="AH11" i="2" s="1"/>
  <c r="FU78" i="8"/>
  <c r="AJ10" i="2"/>
  <c r="AJ11" i="2" s="1"/>
  <c r="AK8" i="2"/>
  <c r="FX40" i="8"/>
  <c r="X10" i="2"/>
  <c r="X11" i="2" s="1"/>
  <c r="AF7" i="2"/>
  <c r="AG10" i="2"/>
  <c r="AK6" i="2"/>
  <c r="FC7" i="2"/>
  <c r="FC11" i="2" s="1"/>
  <c r="U10" i="2"/>
  <c r="U11" i="2" s="1"/>
  <c r="AN10" i="2"/>
  <c r="AM7" i="2"/>
  <c r="FB11" i="2"/>
  <c r="EW8" i="2"/>
  <c r="EW10" i="2" s="1"/>
  <c r="EP11" i="2"/>
  <c r="FS40" i="8"/>
  <c r="EG7" i="2"/>
  <c r="EG11" i="2" s="1"/>
  <c r="CO8" i="2"/>
  <c r="CO10" i="2" s="1"/>
  <c r="FQ75" i="8"/>
  <c r="DZ7" i="2"/>
  <c r="DZ11" i="2" s="1"/>
  <c r="FQ68" i="8"/>
  <c r="EI8" i="2"/>
  <c r="EI10" i="2" s="1"/>
  <c r="EE8" i="2"/>
  <c r="EE10" i="2" s="1"/>
  <c r="FS19" i="8"/>
  <c r="ED11" i="2"/>
  <c r="EF10" i="2"/>
  <c r="EF11" i="2" s="1"/>
  <c r="EB11" i="2"/>
  <c r="EE5" i="2"/>
  <c r="EE7" i="2" s="1"/>
  <c r="EA11" i="2"/>
  <c r="DU5" i="2"/>
  <c r="DU7" i="2" s="1"/>
  <c r="DT11" i="2"/>
  <c r="DS7" i="2"/>
  <c r="DS11" i="2" s="1"/>
  <c r="DQ5" i="2"/>
  <c r="DQ7" i="2" s="1"/>
  <c r="FY88" i="8"/>
  <c r="FY89" i="8" s="1"/>
  <c r="DM11" i="2"/>
  <c r="DU8" i="2"/>
  <c r="DU10" i="2" s="1"/>
  <c r="DP11" i="2"/>
  <c r="DG8" i="2"/>
  <c r="DG10" i="2" s="1"/>
  <c r="DF10" i="2"/>
  <c r="DF11" i="2" s="1"/>
  <c r="DC5" i="2"/>
  <c r="DC7" i="2" s="1"/>
  <c r="DE11" i="2"/>
  <c r="CY11" i="2"/>
  <c r="CP10" i="2"/>
  <c r="CS5" i="2"/>
  <c r="CS7" i="2" s="1"/>
  <c r="CP7" i="2"/>
  <c r="CR11" i="2"/>
  <c r="CK11" i="2"/>
  <c r="CS8" i="2"/>
  <c r="CS10" i="2" s="1"/>
  <c r="CN11" i="2"/>
  <c r="CB7" i="2"/>
  <c r="CB11" i="2" s="1"/>
  <c r="CE5" i="2"/>
  <c r="CE7" i="2" s="1"/>
  <c r="CA5" i="2"/>
  <c r="CA7" i="2" s="1"/>
  <c r="BZ11" i="2"/>
  <c r="CA8" i="2"/>
  <c r="CA10" i="2" s="1"/>
  <c r="CE8" i="2"/>
  <c r="CE10" i="2" s="1"/>
  <c r="BX11" i="2"/>
  <c r="BW11" i="2"/>
  <c r="BL11" i="2"/>
  <c r="BH11" i="2"/>
  <c r="BQ5" i="2"/>
  <c r="BQ7" i="2" s="1"/>
  <c r="BQ8" i="2"/>
  <c r="BQ10" i="2" s="1"/>
  <c r="BJ11" i="2"/>
  <c r="BI11" i="2"/>
  <c r="BB11" i="2"/>
  <c r="BC8" i="2"/>
  <c r="AU11" i="2"/>
  <c r="AL7" i="2"/>
  <c r="AF10" i="2"/>
  <c r="AK9" i="2"/>
  <c r="AL10" i="2"/>
  <c r="AO9" i="2"/>
  <c r="AM10" i="2"/>
  <c r="AO5" i="2"/>
  <c r="AN7" i="2"/>
  <c r="AG7" i="2"/>
  <c r="AO8" i="2"/>
  <c r="Y7" i="2"/>
  <c r="Y11" i="2" s="1"/>
  <c r="AA5" i="2"/>
  <c r="AA7" i="2" s="1"/>
  <c r="V10" i="2"/>
  <c r="V11" i="2" s="1"/>
  <c r="W8" i="2"/>
  <c r="W10" i="2" s="1"/>
  <c r="T7" i="2"/>
  <c r="W5" i="2"/>
  <c r="Z10" i="2"/>
  <c r="Z11" i="2" s="1"/>
  <c r="T10" i="2"/>
  <c r="FU71" i="8"/>
  <c r="FW33" i="8"/>
  <c r="AA8" i="2"/>
  <c r="AA10" i="2" s="1"/>
  <c r="S11" i="2"/>
  <c r="W6" i="2"/>
  <c r="R7" i="2"/>
  <c r="R11" i="2" s="1"/>
  <c r="FY97" i="8"/>
  <c r="AO6" i="2"/>
  <c r="I68" i="8"/>
  <c r="I54" i="8"/>
  <c r="FV54" i="8"/>
  <c r="FU29" i="8"/>
  <c r="FU33" i="8" s="1"/>
  <c r="FW89" i="8"/>
  <c r="FW75" i="8"/>
  <c r="FR8" i="2"/>
  <c r="FT75" i="8"/>
  <c r="FP75" i="8"/>
  <c r="FV61" i="8"/>
  <c r="FW40" i="8"/>
  <c r="FP6" i="2"/>
  <c r="FX5" i="2"/>
  <c r="FW5" i="2"/>
  <c r="FV6" i="2"/>
  <c r="FP8" i="2"/>
  <c r="FV8" i="2"/>
  <c r="FP9" i="2"/>
  <c r="FX8" i="2"/>
  <c r="FX9" i="2"/>
  <c r="FW9" i="2"/>
  <c r="FV9" i="2"/>
  <c r="FT9" i="2"/>
  <c r="FS9" i="2"/>
  <c r="FS10" i="2" s="1"/>
  <c r="FR9" i="2"/>
  <c r="FQ9" i="2"/>
  <c r="FK8" i="2"/>
  <c r="FK10" i="2" s="1"/>
  <c r="FI10" i="2"/>
  <c r="FI11" i="2" s="1"/>
  <c r="FX6" i="2"/>
  <c r="FW6" i="2"/>
  <c r="FT6" i="2"/>
  <c r="FF11" i="2"/>
  <c r="FS6" i="2"/>
  <c r="FR6" i="2"/>
  <c r="FQ6" i="2"/>
  <c r="FD11" i="2"/>
  <c r="FW8" i="2"/>
  <c r="FT8" i="2"/>
  <c r="FQ8" i="2"/>
  <c r="FT5" i="2"/>
  <c r="FR5" i="2"/>
  <c r="FQ5" i="2"/>
  <c r="FP5" i="2"/>
  <c r="FJ11" i="2"/>
  <c r="FE11" i="2"/>
  <c r="FH11" i="2"/>
  <c r="EV11" i="2"/>
  <c r="EQ11" i="2"/>
  <c r="EU11" i="2"/>
  <c r="EH11" i="2"/>
  <c r="EC11" i="2"/>
  <c r="DL11" i="2"/>
  <c r="DO11" i="2"/>
  <c r="DR11" i="2"/>
  <c r="DA11" i="2"/>
  <c r="DD11" i="2"/>
  <c r="CL11" i="2"/>
  <c r="CM11" i="2"/>
  <c r="CQ11" i="2"/>
  <c r="CD11" i="2"/>
  <c r="BY11" i="2"/>
  <c r="CC11" i="2"/>
  <c r="BP11" i="2"/>
  <c r="BK11" i="2"/>
  <c r="BO11" i="2"/>
  <c r="AX11" i="2"/>
  <c r="BA11" i="2"/>
  <c r="AW11" i="2"/>
  <c r="AI11" i="2"/>
  <c r="FQ98" i="8"/>
  <c r="FY36" i="8"/>
  <c r="FY46" i="8"/>
  <c r="FU57" i="8"/>
  <c r="FY18" i="8"/>
  <c r="FR98" i="8"/>
  <c r="FY78" i="8"/>
  <c r="FU85" i="8"/>
  <c r="FU25" i="8"/>
  <c r="FY50" i="8"/>
  <c r="FY22" i="8"/>
  <c r="FU88" i="8"/>
  <c r="FY57" i="8"/>
  <c r="FY64" i="8"/>
  <c r="FY71" i="8"/>
  <c r="FY53" i="8"/>
  <c r="FY25" i="8"/>
  <c r="FY60" i="8"/>
  <c r="FU15" i="8"/>
  <c r="FY67" i="8"/>
  <c r="FU50" i="8"/>
  <c r="FU36" i="8"/>
  <c r="FY81" i="8"/>
  <c r="FY43" i="8"/>
  <c r="FY29" i="8"/>
  <c r="FU60" i="8"/>
  <c r="FU18" i="8"/>
  <c r="FU53" i="8"/>
  <c r="FU67" i="8"/>
  <c r="FU64" i="8"/>
  <c r="FU74" i="8"/>
  <c r="FT98" i="8"/>
  <c r="FS98" i="8"/>
  <c r="FY94" i="8"/>
  <c r="FW98" i="8"/>
  <c r="FY75" i="8" l="1"/>
  <c r="FS7" i="2"/>
  <c r="FS11" i="2" s="1"/>
  <c r="FU47" i="8"/>
  <c r="FY40" i="8"/>
  <c r="FU95" i="8"/>
  <c r="AN11" i="2"/>
  <c r="EW11" i="2"/>
  <c r="FY47" i="8"/>
  <c r="BV11" i="2"/>
  <c r="FU26" i="8"/>
  <c r="FU75" i="8"/>
  <c r="AT11" i="2"/>
  <c r="BC10" i="2"/>
  <c r="BC11" i="2" s="1"/>
  <c r="AM11" i="2"/>
  <c r="AG11" i="2"/>
  <c r="FU40" i="8"/>
  <c r="FU61" i="8"/>
  <c r="FU54" i="8"/>
  <c r="FY33" i="8"/>
  <c r="FY19" i="8"/>
  <c r="AO7" i="2"/>
  <c r="AF11" i="2"/>
  <c r="FK11" i="2"/>
  <c r="EO11" i="2"/>
  <c r="ES11" i="2"/>
  <c r="FU82" i="8"/>
  <c r="AK7" i="2"/>
  <c r="FX99" i="8"/>
  <c r="AK10" i="2"/>
  <c r="FT99" i="8"/>
  <c r="CP11" i="2"/>
  <c r="T11" i="2"/>
  <c r="EI11" i="2"/>
  <c r="DU11" i="2"/>
  <c r="CS11" i="2"/>
  <c r="EE11" i="2"/>
  <c r="DQ11" i="2"/>
  <c r="FY82" i="8"/>
  <c r="DG11" i="2"/>
  <c r="DC11" i="2"/>
  <c r="CO11" i="2"/>
  <c r="CE11" i="2"/>
  <c r="CA11" i="2"/>
  <c r="BM11" i="2"/>
  <c r="BQ11" i="2"/>
  <c r="AY11" i="2"/>
  <c r="AL11" i="2"/>
  <c r="AO10" i="2"/>
  <c r="FY26" i="8"/>
  <c r="AA11" i="2"/>
  <c r="W7" i="2"/>
  <c r="W11" i="2" s="1"/>
  <c r="FX7" i="2"/>
  <c r="FY8" i="2"/>
  <c r="FR10" i="2"/>
  <c r="FX10" i="2"/>
  <c r="FS99" i="8"/>
  <c r="FP10" i="2"/>
  <c r="FW7" i="2"/>
  <c r="FG11" i="2"/>
  <c r="FU9" i="2"/>
  <c r="FY9" i="2"/>
  <c r="FV10" i="2"/>
  <c r="FY6" i="2"/>
  <c r="FU6" i="2"/>
  <c r="FW10" i="2"/>
  <c r="FT10" i="2"/>
  <c r="FQ10" i="2"/>
  <c r="FU8" i="2"/>
  <c r="FT7" i="2"/>
  <c r="FR7" i="2"/>
  <c r="FQ7" i="2"/>
  <c r="FU5" i="2"/>
  <c r="FP7" i="2"/>
  <c r="FQ99" i="8"/>
  <c r="FU89" i="8"/>
  <c r="FR99" i="8"/>
  <c r="FY54" i="8"/>
  <c r="FU19" i="8"/>
  <c r="FY61" i="8"/>
  <c r="FY68" i="8"/>
  <c r="FU68" i="8"/>
  <c r="FW99" i="8"/>
  <c r="AO11" i="2" l="1"/>
  <c r="AK11" i="2"/>
  <c r="FX11" i="2"/>
  <c r="FY10" i="2"/>
  <c r="FR11" i="2"/>
  <c r="FW11" i="2"/>
  <c r="FP11" i="2"/>
  <c r="FU10" i="2"/>
  <c r="FQ11" i="2"/>
  <c r="FU7" i="2"/>
  <c r="FT11" i="2"/>
  <c r="FU11" i="2" l="1"/>
  <c r="H95" i="8" l="1"/>
  <c r="K98" i="8"/>
  <c r="L98" i="8"/>
  <c r="G98" i="8"/>
  <c r="F98" i="8"/>
  <c r="G95" i="8"/>
  <c r="F95" i="8"/>
  <c r="M94" i="8"/>
  <c r="D95" i="8"/>
  <c r="M93" i="8"/>
  <c r="E95" i="8"/>
  <c r="J98" i="8"/>
  <c r="E98" i="8"/>
  <c r="H98" i="8"/>
  <c r="D98" i="8"/>
  <c r="M97" i="8"/>
  <c r="M96" i="8"/>
  <c r="J95" i="8"/>
  <c r="I97" i="8"/>
  <c r="I96" i="8"/>
  <c r="I94" i="8"/>
  <c r="I93" i="8"/>
  <c r="K95" i="8"/>
  <c r="L95" i="8"/>
  <c r="L88" i="8"/>
  <c r="K88" i="8"/>
  <c r="J88" i="8"/>
  <c r="H88" i="8"/>
  <c r="G88" i="8"/>
  <c r="F88" i="8"/>
  <c r="E88" i="8"/>
  <c r="D88" i="8"/>
  <c r="M87" i="8"/>
  <c r="M86" i="8"/>
  <c r="M84" i="8"/>
  <c r="M83" i="8"/>
  <c r="I98" i="8" l="1"/>
  <c r="H99" i="8"/>
  <c r="F99" i="8"/>
  <c r="G99" i="8"/>
  <c r="E99" i="8"/>
  <c r="M95" i="8"/>
  <c r="D99" i="8"/>
  <c r="M88" i="8"/>
  <c r="I95" i="8"/>
  <c r="M98" i="8"/>
  <c r="M85" i="8"/>
  <c r="I88" i="8"/>
  <c r="H89" i="8"/>
  <c r="E89" i="8"/>
  <c r="D89" i="8"/>
  <c r="K89" i="8"/>
  <c r="G89" i="8"/>
  <c r="L89" i="8"/>
  <c r="J89" i="8"/>
  <c r="F89" i="8"/>
  <c r="I89" i="8" l="1"/>
  <c r="I99" i="8"/>
  <c r="M89" i="8"/>
  <c r="FW1" i="8" l="1"/>
  <c r="FW2" i="2" l="1"/>
  <c r="I2" i="2"/>
  <c r="FM93" i="8"/>
  <c r="L11" i="8"/>
  <c r="K11" i="8"/>
  <c r="J11" i="8"/>
  <c r="H11" i="8"/>
  <c r="G11" i="8"/>
  <c r="F11" i="8"/>
  <c r="E11" i="8"/>
  <c r="D11" i="8"/>
  <c r="M10" i="8"/>
  <c r="M9" i="8"/>
  <c r="M7" i="8"/>
  <c r="FV6" i="8"/>
  <c r="FV93" i="8" s="1"/>
  <c r="FV95" i="8" s="1"/>
  <c r="M6" i="8"/>
  <c r="FY6" i="8" l="1"/>
  <c r="FV98" i="8"/>
  <c r="FY96" i="8"/>
  <c r="FY98" i="8" s="1"/>
  <c r="FP98" i="8"/>
  <c r="FU98" i="8"/>
  <c r="M11" i="8"/>
  <c r="I11" i="8"/>
  <c r="M8" i="8"/>
  <c r="FP8" i="8"/>
  <c r="FR8" i="8"/>
  <c r="FT8" i="8"/>
  <c r="FV8" i="8"/>
  <c r="FX8" i="8"/>
  <c r="FU9" i="8"/>
  <c r="FY9" i="8"/>
  <c r="FP11" i="8"/>
  <c r="FR11" i="8"/>
  <c r="FT11" i="8"/>
  <c r="FV11" i="8"/>
  <c r="FX11" i="8"/>
  <c r="D12" i="8"/>
  <c r="F12" i="8"/>
  <c r="H12" i="8"/>
  <c r="J12" i="8"/>
  <c r="L12" i="8"/>
  <c r="K99" i="8"/>
  <c r="FU6" i="8"/>
  <c r="FU7" i="8"/>
  <c r="FY7" i="8"/>
  <c r="FQ8" i="8"/>
  <c r="FS8" i="8"/>
  <c r="FW8" i="8"/>
  <c r="FU10" i="8"/>
  <c r="FY10" i="8"/>
  <c r="FQ11" i="8"/>
  <c r="FS11" i="8"/>
  <c r="FW11" i="8"/>
  <c r="E12" i="8"/>
  <c r="G12" i="8"/>
  <c r="K12" i="8"/>
  <c r="J99" i="8"/>
  <c r="L99" i="8"/>
  <c r="M99" i="8"/>
  <c r="FY93" i="8" l="1"/>
  <c r="FY95" i="8" s="1"/>
  <c r="FY99" i="8" s="1"/>
  <c r="FV5" i="2"/>
  <c r="FV99" i="8"/>
  <c r="FP99" i="8"/>
  <c r="FU99" i="8"/>
  <c r="M12" i="8"/>
  <c r="I12" i="8"/>
  <c r="FY8" i="8"/>
  <c r="FW12" i="8"/>
  <c r="FQ12" i="8"/>
  <c r="FX12" i="8"/>
  <c r="FT12" i="8"/>
  <c r="FP12" i="8"/>
  <c r="FY11" i="8"/>
  <c r="FU11" i="8"/>
  <c r="FS12" i="8"/>
  <c r="FV12" i="8"/>
  <c r="FR12" i="8"/>
  <c r="FU8" i="8"/>
  <c r="K2" i="2"/>
  <c r="L10" i="2"/>
  <c r="L7" i="2"/>
  <c r="K10" i="2"/>
  <c r="K7" i="2"/>
  <c r="J10" i="2"/>
  <c r="M5" i="2"/>
  <c r="M8" i="2"/>
  <c r="FV7" i="2" l="1"/>
  <c r="FV11" i="2" s="1"/>
  <c r="FY5" i="2"/>
  <c r="FY7" i="2" s="1"/>
  <c r="FY11" i="2" s="1"/>
  <c r="FY12" i="8"/>
  <c r="FU12" i="8"/>
  <c r="L11" i="2"/>
  <c r="G7" i="2"/>
  <c r="G10" i="2"/>
  <c r="E10" i="2"/>
  <c r="F7" i="2"/>
  <c r="I6" i="2"/>
  <c r="D7" i="2"/>
  <c r="I5" i="2"/>
  <c r="E7" i="2"/>
  <c r="I9" i="2"/>
  <c r="H7" i="2"/>
  <c r="H10" i="2"/>
  <c r="F10" i="2"/>
  <c r="I8" i="2"/>
  <c r="D10" i="2"/>
  <c r="M9" i="2"/>
  <c r="M10" i="2" s="1"/>
  <c r="M6" i="2"/>
  <c r="M7" i="2" s="1"/>
  <c r="J7" i="2"/>
  <c r="J11" i="2" s="1"/>
  <c r="K11" i="2"/>
  <c r="I10" i="2" l="1"/>
  <c r="F11" i="2"/>
  <c r="E11" i="2"/>
  <c r="G11" i="2"/>
  <c r="D11" i="2"/>
  <c r="H11" i="2"/>
  <c r="I7" i="2"/>
  <c r="M11" i="2"/>
  <c r="I11" i="2" l="1"/>
</calcChain>
</file>

<file path=xl/sharedStrings.xml><?xml version="1.0" encoding="utf-8"?>
<sst xmlns="http://schemas.openxmlformats.org/spreadsheetml/2006/main" count="2511" uniqueCount="46">
  <si>
    <t>شهر</t>
  </si>
  <si>
    <t>المركز الصحي</t>
  </si>
  <si>
    <t>مجموع مراجعي العيادات</t>
  </si>
  <si>
    <t>المختبر</t>
  </si>
  <si>
    <t>الأشعة</t>
  </si>
  <si>
    <t>سعودي</t>
  </si>
  <si>
    <t>الجنسية</t>
  </si>
  <si>
    <t>عام</t>
  </si>
  <si>
    <t>الجنس</t>
  </si>
  <si>
    <t>3ـ</t>
  </si>
  <si>
    <t>إجمالي المراجعين للمركز خلال الشهر :</t>
  </si>
  <si>
    <t>عدد مراجعي العيادات العامة</t>
  </si>
  <si>
    <t>مراجعي الأمراض المزمنة</t>
  </si>
  <si>
    <t>عدد مراجعي عيادة الأسنان</t>
  </si>
  <si>
    <t>عدد زيارات الحوامل خلال الشهر</t>
  </si>
  <si>
    <t>الطفل السليم والتطعيمات</t>
  </si>
  <si>
    <t>الضماد والحقن والطواريء</t>
  </si>
  <si>
    <t>مجموع  الخدمات والمساندة</t>
  </si>
  <si>
    <t>7=3+4+5+6</t>
  </si>
  <si>
    <t>11=8+9+10</t>
  </si>
  <si>
    <t>ذكر</t>
  </si>
  <si>
    <t>أنثى</t>
  </si>
  <si>
    <t>مجموع السعوديين</t>
  </si>
  <si>
    <t>غير سعودي</t>
  </si>
  <si>
    <t>مجموع غ.سعودي</t>
  </si>
  <si>
    <t>المجموع الكلي</t>
  </si>
  <si>
    <t>هـ</t>
  </si>
  <si>
    <t xml:space="preserve">عدد زيارات الحوامل </t>
  </si>
  <si>
    <t>إجمالي المراجعين للمركز خلال العام :</t>
  </si>
  <si>
    <t>6=1+2+3+4+5</t>
  </si>
  <si>
    <t>10=7+8+9</t>
  </si>
  <si>
    <t xml:space="preserve">شهر </t>
  </si>
  <si>
    <t xml:space="preserve">عام </t>
  </si>
  <si>
    <t>محمد الزهراني</t>
  </si>
  <si>
    <t>الربيع والتوفيق</t>
  </si>
  <si>
    <t>السليمانية</t>
  </si>
  <si>
    <t>المطار القديم</t>
  </si>
  <si>
    <t>الروابي</t>
  </si>
  <si>
    <t>قويزة</t>
  </si>
  <si>
    <t>الجامعه</t>
  </si>
  <si>
    <t>الرغامة</t>
  </si>
  <si>
    <t>إجمالي المراجعين للمراكز الصحية محافظة شرق جدة خلال العام</t>
  </si>
  <si>
    <t>إجمالي مراكز شرق جدة</t>
  </si>
  <si>
    <t xml:space="preserve">إجمالي المراجعين للمراكز الصحية التابع لشرق جدة 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</si>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</sst>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  <charset val="178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b/>
      <sz val="14"/>
      <color rgb="FFFF0000"/>
      <name val="Arial"/>
      <family val="2"/>
    </font>
    <font>
      <b/>
      <sz val="14"/>
      <color rgb="FF0000FF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  <scheme val="minor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</fills>
  <borders count="9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0" fillId="2" borderId="0" xfId="0" applyFill="1" applyAlignment="1">
      <alignment readingOrder="2"/>
    </xf>
    <xf numFmtId="0" fontId="0" fillId="0" borderId="0" xfId="0" applyAlignment="1">
      <alignment readingOrder="2"/>
    </xf>
    <xf numFmtId="0" fontId="2" fillId="0" borderId="0" xfId="0" applyFont="1" applyAlignment="1">
      <alignment readingOrder="2"/>
    </xf>
    <xf numFmtId="0" fontId="6" fillId="7" borderId="0" xfId="0" applyFont="1" applyFill="1" applyAlignment="1">
      <alignment readingOrder="2"/>
    </xf>
    <xf numFmtId="0" fontId="6" fillId="7" borderId="0" xfId="0" applyFont="1" applyFill="1" applyAlignment="1">
      <alignment horizontal="center" wrapText="1" readingOrder="2"/>
    </xf>
    <xf numFmtId="0" fontId="0" fillId="7" borderId="0" xfId="0" applyFill="1" applyAlignment="1">
      <alignment readingOrder="2"/>
    </xf>
    <xf numFmtId="0" fontId="8" fillId="0" borderId="0" xfId="0" applyFont="1" applyAlignment="1">
      <alignment vertical="center" readingOrder="2"/>
    </xf>
    <xf numFmtId="0" fontId="8" fillId="7" borderId="0" xfId="0" applyFont="1" applyFill="1" applyAlignment="1">
      <alignment vertical="center" readingOrder="2"/>
    </xf>
    <xf numFmtId="0" fontId="12" fillId="2" borderId="12" xfId="0" applyFont="1" applyFill="1" applyBorder="1" applyAlignment="1">
      <alignment horizontal="center" vertical="center" readingOrder="2"/>
    </xf>
    <xf numFmtId="0" fontId="12" fillId="2" borderId="13" xfId="0" applyFont="1" applyFill="1" applyBorder="1" applyAlignment="1">
      <alignment horizontal="center" vertical="center" readingOrder="2"/>
    </xf>
    <xf numFmtId="0" fontId="2" fillId="0" borderId="10" xfId="0" applyFont="1" applyBorder="1" applyAlignment="1">
      <alignment readingOrder="2"/>
    </xf>
    <xf numFmtId="0" fontId="2" fillId="0" borderId="31" xfId="0" applyFont="1" applyBorder="1" applyAlignment="1">
      <alignment readingOrder="2"/>
    </xf>
    <xf numFmtId="0" fontId="3" fillId="2" borderId="6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vertical="center" readingOrder="2"/>
    </xf>
    <xf numFmtId="0" fontId="9" fillId="2" borderId="29" xfId="0" applyFont="1" applyFill="1" applyBorder="1" applyAlignment="1">
      <alignment vertical="center" readingOrder="2"/>
    </xf>
    <xf numFmtId="0" fontId="10" fillId="2" borderId="29" xfId="0" applyFont="1" applyFill="1" applyBorder="1" applyAlignment="1">
      <alignment horizontal="right" vertical="center" readingOrder="2"/>
    </xf>
    <xf numFmtId="0" fontId="10" fillId="2" borderId="29" xfId="0" applyFont="1" applyFill="1" applyBorder="1" applyAlignment="1">
      <alignment horizontal="center" vertical="center" readingOrder="2"/>
    </xf>
    <xf numFmtId="0" fontId="9" fillId="2" borderId="29" xfId="0" applyFont="1" applyFill="1" applyBorder="1" applyAlignment="1">
      <alignment horizontal="center" vertical="center" readingOrder="2"/>
    </xf>
    <xf numFmtId="0" fontId="10" fillId="2" borderId="30" xfId="0" applyFont="1" applyFill="1" applyBorder="1" applyAlignment="1">
      <alignment horizontal="right" vertical="center" readingOrder="2"/>
    </xf>
    <xf numFmtId="0" fontId="11" fillId="7" borderId="0" xfId="0" applyFont="1" applyFill="1" applyAlignment="1">
      <alignment vertical="center" readingOrder="2"/>
    </xf>
    <xf numFmtId="0" fontId="11" fillId="0" borderId="0" xfId="0" applyFont="1" applyAlignment="1">
      <alignment vertical="center" readingOrder="2"/>
    </xf>
    <xf numFmtId="0" fontId="2" fillId="2" borderId="14" xfId="0" applyFont="1" applyFill="1" applyBorder="1" applyAlignment="1">
      <alignment vertical="center" readingOrder="2"/>
    </xf>
    <xf numFmtId="0" fontId="2" fillId="2" borderId="23" xfId="0" applyFont="1" applyFill="1" applyBorder="1" applyAlignment="1">
      <alignment vertical="center" readingOrder="2"/>
    </xf>
    <xf numFmtId="0" fontId="2" fillId="2" borderId="15" xfId="0" applyFont="1" applyFill="1" applyBorder="1" applyAlignment="1">
      <alignment vertical="center" readingOrder="2"/>
    </xf>
    <xf numFmtId="0" fontId="6" fillId="2" borderId="2" xfId="0" applyFont="1" applyFill="1" applyBorder="1" applyAlignment="1">
      <alignment horizontal="right" vertical="center" readingOrder="2"/>
    </xf>
    <xf numFmtId="0" fontId="2" fillId="2" borderId="20" xfId="0" applyFont="1" applyFill="1" applyBorder="1" applyAlignment="1">
      <alignment vertical="center" readingOrder="2"/>
    </xf>
    <xf numFmtId="0" fontId="2" fillId="2" borderId="24" xfId="0" applyFont="1" applyFill="1" applyBorder="1" applyAlignment="1">
      <alignment vertical="center" readingOrder="2"/>
    </xf>
    <xf numFmtId="0" fontId="2" fillId="2" borderId="21" xfId="0" applyFont="1" applyFill="1" applyBorder="1" applyAlignment="1">
      <alignment vertical="center" readingOrder="2"/>
    </xf>
    <xf numFmtId="0" fontId="6" fillId="2" borderId="25" xfId="0" applyFont="1" applyFill="1" applyBorder="1" applyAlignment="1">
      <alignment vertical="center" readingOrder="2"/>
    </xf>
    <xf numFmtId="0" fontId="6" fillId="2" borderId="17" xfId="0" applyFont="1" applyFill="1" applyBorder="1" applyAlignment="1">
      <alignment vertical="center" readingOrder="2"/>
    </xf>
    <xf numFmtId="0" fontId="6" fillId="2" borderId="4" xfId="0" applyFont="1" applyFill="1" applyBorder="1" applyAlignment="1">
      <alignment horizontal="right" vertical="center" readingOrder="2"/>
    </xf>
    <xf numFmtId="0" fontId="6" fillId="2" borderId="8" xfId="0" applyFont="1" applyFill="1" applyBorder="1" applyAlignment="1">
      <alignment horizontal="right" vertical="center" readingOrder="2"/>
    </xf>
    <xf numFmtId="0" fontId="6" fillId="2" borderId="19" xfId="0" applyFont="1" applyFill="1" applyBorder="1" applyAlignment="1">
      <alignment vertical="center" readingOrder="2"/>
    </xf>
    <xf numFmtId="0" fontId="7" fillId="2" borderId="14" xfId="0" applyFont="1" applyFill="1" applyBorder="1" applyAlignment="1">
      <alignment horizontal="center" vertical="center" wrapText="1" readingOrder="2"/>
    </xf>
    <xf numFmtId="0" fontId="7" fillId="2" borderId="15" xfId="0" applyFont="1" applyFill="1" applyBorder="1" applyAlignment="1">
      <alignment horizontal="center" vertical="center" wrapText="1" readingOrder="2"/>
    </xf>
    <xf numFmtId="0" fontId="7" fillId="2" borderId="23" xfId="0" applyFont="1" applyFill="1" applyBorder="1" applyAlignment="1">
      <alignment horizontal="center" vertical="center" wrapText="1" readingOrder="2"/>
    </xf>
    <xf numFmtId="0" fontId="7" fillId="2" borderId="57" xfId="0" applyFont="1" applyFill="1" applyBorder="1" applyAlignment="1">
      <alignment horizontal="center" vertical="center" wrapText="1" readingOrder="2"/>
    </xf>
    <xf numFmtId="0" fontId="7" fillId="2" borderId="2" xfId="0" applyFont="1" applyFill="1" applyBorder="1" applyAlignment="1">
      <alignment horizontal="center" vertical="center" wrapText="1" readingOrder="2"/>
    </xf>
    <xf numFmtId="0" fontId="7" fillId="2" borderId="18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7" fillId="2" borderId="37" xfId="0" applyFont="1" applyFill="1" applyBorder="1" applyAlignment="1">
      <alignment horizontal="center" vertical="center" wrapText="1" readingOrder="2"/>
    </xf>
    <xf numFmtId="0" fontId="7" fillId="2" borderId="53" xfId="0" applyFont="1" applyFill="1" applyBorder="1" applyAlignment="1">
      <alignment horizontal="center" vertical="center" wrapText="1" readingOrder="2"/>
    </xf>
    <xf numFmtId="0" fontId="7" fillId="2" borderId="58" xfId="0" applyFont="1" applyFill="1" applyBorder="1" applyAlignment="1">
      <alignment horizontal="center" vertical="center" wrapText="1" readingOrder="2"/>
    </xf>
    <xf numFmtId="0" fontId="7" fillId="2" borderId="59" xfId="0" applyFont="1" applyFill="1" applyBorder="1" applyAlignment="1">
      <alignment horizontal="center" vertical="center" wrapText="1" readingOrder="2"/>
    </xf>
    <xf numFmtId="0" fontId="7" fillId="2" borderId="38" xfId="0" applyFont="1" applyFill="1" applyBorder="1" applyAlignment="1">
      <alignment horizontal="center" vertical="center" wrapText="1" readingOrder="2"/>
    </xf>
    <xf numFmtId="0" fontId="7" fillId="2" borderId="43" xfId="0" applyFont="1" applyFill="1" applyBorder="1" applyAlignment="1">
      <alignment horizontal="center" vertical="center" wrapText="1" readingOrder="2"/>
    </xf>
    <xf numFmtId="0" fontId="7" fillId="2" borderId="55" xfId="0" applyFont="1" applyFill="1" applyBorder="1" applyAlignment="1">
      <alignment horizontal="center" vertical="center" wrapText="1" readingOrder="2"/>
    </xf>
    <xf numFmtId="0" fontId="2" fillId="4" borderId="29" xfId="0" applyFont="1" applyFill="1" applyBorder="1" applyAlignment="1" applyProtection="1">
      <alignment wrapText="1" readingOrder="2"/>
      <protection locked="0"/>
    </xf>
    <xf numFmtId="0" fontId="2" fillId="4" borderId="29" xfId="0" applyFont="1" applyFill="1" applyBorder="1" applyAlignment="1" applyProtection="1">
      <alignment readingOrder="2"/>
      <protection locked="0"/>
    </xf>
    <xf numFmtId="0" fontId="2" fillId="4" borderId="29" xfId="0" applyFont="1" applyFill="1" applyBorder="1" applyAlignment="1" applyProtection="1">
      <alignment vertical="top" readingOrder="2"/>
      <protection locked="0"/>
    </xf>
    <xf numFmtId="0" fontId="6" fillId="4" borderId="29" xfId="0" applyFont="1" applyFill="1" applyBorder="1" applyAlignment="1" applyProtection="1">
      <alignment vertical="top" readingOrder="2"/>
      <protection locked="0"/>
    </xf>
    <xf numFmtId="0" fontId="6" fillId="4" borderId="29" xfId="0" applyFont="1" applyFill="1" applyBorder="1" applyAlignment="1" applyProtection="1">
      <alignment horizontal="center" vertical="top" readingOrder="2"/>
      <protection locked="0"/>
    </xf>
    <xf numFmtId="0" fontId="2" fillId="4" borderId="30" xfId="0" applyFont="1" applyFill="1" applyBorder="1" applyAlignment="1" applyProtection="1">
      <alignment vertical="top" readingOrder="2"/>
      <protection locked="0"/>
    </xf>
    <xf numFmtId="0" fontId="2" fillId="2" borderId="0" xfId="0" applyFont="1" applyFill="1" applyAlignment="1" applyProtection="1">
      <alignment vertical="top" readingOrder="2"/>
      <protection locked="0"/>
    </xf>
    <xf numFmtId="0" fontId="2" fillId="4" borderId="0" xfId="0" applyFont="1" applyFill="1" applyAlignment="1" applyProtection="1">
      <alignment vertical="top" readingOrder="2"/>
      <protection locked="0"/>
    </xf>
    <xf numFmtId="0" fontId="2" fillId="0" borderId="0" xfId="0" applyFont="1" applyAlignment="1" applyProtection="1">
      <alignment readingOrder="2"/>
      <protection locked="0"/>
    </xf>
    <xf numFmtId="0" fontId="2" fillId="0" borderId="9" xfId="0" applyFont="1" applyBorder="1" applyAlignment="1" applyProtection="1">
      <alignment horizontal="center" wrapText="1" readingOrder="2"/>
      <protection locked="0"/>
    </xf>
    <xf numFmtId="0" fontId="2" fillId="0" borderId="29" xfId="0" applyFont="1" applyBorder="1" applyAlignment="1" applyProtection="1">
      <alignment readingOrder="2"/>
      <protection locked="0"/>
    </xf>
    <xf numFmtId="0" fontId="2" fillId="0" borderId="29" xfId="0" applyFont="1" applyBorder="1" applyAlignment="1" applyProtection="1">
      <alignment horizontal="right" readingOrder="2"/>
      <protection locked="0"/>
    </xf>
    <xf numFmtId="0" fontId="2" fillId="0" borderId="30" xfId="0" applyFont="1" applyBorder="1" applyAlignment="1" applyProtection="1">
      <alignment readingOrder="2"/>
      <protection locked="0"/>
    </xf>
    <xf numFmtId="0" fontId="2" fillId="4" borderId="0" xfId="0" applyFont="1" applyFill="1" applyAlignment="1" applyProtection="1">
      <alignment readingOrder="2"/>
      <protection locked="0"/>
    </xf>
    <xf numFmtId="0" fontId="2" fillId="2" borderId="0" xfId="0" applyFont="1" applyFill="1" applyAlignment="1" applyProtection="1">
      <alignment readingOrder="2"/>
      <protection locked="0"/>
    </xf>
    <xf numFmtId="0" fontId="2" fillId="0" borderId="10" xfId="0" applyFont="1" applyBorder="1" applyAlignment="1" applyProtection="1">
      <alignment horizontal="center" wrapText="1" readingOrder="2"/>
      <protection locked="0"/>
    </xf>
    <xf numFmtId="0" fontId="2" fillId="0" borderId="31" xfId="0" applyFont="1" applyBorder="1" applyAlignment="1" applyProtection="1">
      <alignment horizontal="center" readingOrder="2"/>
      <protection locked="0"/>
    </xf>
    <xf numFmtId="0" fontId="2" fillId="0" borderId="31" xfId="0" applyFont="1" applyBorder="1" applyAlignment="1" applyProtection="1">
      <alignment horizontal="right" readingOrder="2"/>
      <protection locked="0"/>
    </xf>
    <xf numFmtId="0" fontId="2" fillId="0" borderId="0" xfId="0" applyFont="1" applyAlignment="1" applyProtection="1">
      <alignment horizontal="right" readingOrder="2"/>
      <protection locked="0"/>
    </xf>
    <xf numFmtId="0" fontId="2" fillId="0" borderId="6" xfId="0" applyFont="1" applyBorder="1" applyAlignment="1" applyProtection="1">
      <alignment horizontal="right" readingOrder="2"/>
      <protection locked="0"/>
    </xf>
    <xf numFmtId="0" fontId="1" fillId="3" borderId="52" xfId="0" applyFont="1" applyFill="1" applyBorder="1" applyAlignment="1" applyProtection="1">
      <alignment horizontal="center" vertical="center" wrapText="1" readingOrder="2"/>
      <protection locked="0"/>
    </xf>
    <xf numFmtId="0" fontId="1" fillId="3" borderId="35" xfId="0" applyFont="1" applyFill="1" applyBorder="1" applyAlignment="1" applyProtection="1">
      <alignment horizontal="center" vertical="center" wrapText="1" readingOrder="2"/>
      <protection locked="0"/>
    </xf>
    <xf numFmtId="0" fontId="1" fillId="3" borderId="30" xfId="0" applyFont="1" applyFill="1" applyBorder="1" applyAlignment="1" applyProtection="1">
      <alignment horizontal="center" vertical="center" wrapText="1" readingOrder="2"/>
      <protection locked="0"/>
    </xf>
    <xf numFmtId="0" fontId="1" fillId="3" borderId="44" xfId="0" applyFont="1" applyFill="1" applyBorder="1" applyAlignment="1" applyProtection="1">
      <alignment horizontal="center" vertical="center" wrapText="1" readingOrder="2"/>
      <protection locked="0"/>
    </xf>
    <xf numFmtId="0" fontId="1" fillId="3" borderId="36" xfId="0" applyFont="1" applyFill="1" applyBorder="1" applyAlignment="1" applyProtection="1">
      <alignment horizontal="center" vertical="center" wrapText="1" readingOrder="2"/>
      <protection locked="0"/>
    </xf>
    <xf numFmtId="0" fontId="1" fillId="3" borderId="49" xfId="0" applyFont="1" applyFill="1" applyBorder="1" applyAlignment="1" applyProtection="1">
      <alignment horizontal="center" vertical="center" wrapText="1" readingOrder="2"/>
      <protection locked="0"/>
    </xf>
    <xf numFmtId="0" fontId="1" fillId="4" borderId="0" xfId="0" applyFont="1" applyFill="1" applyAlignment="1" applyProtection="1">
      <alignment horizontal="center" vertical="center" wrapText="1" readingOrder="2"/>
      <protection locked="0"/>
    </xf>
    <xf numFmtId="0" fontId="1" fillId="2" borderId="0" xfId="0" applyFont="1" applyFill="1" applyAlignment="1" applyProtection="1">
      <alignment horizontal="center" vertical="center" wrapText="1" readingOrder="2"/>
      <protection locked="0"/>
    </xf>
    <xf numFmtId="0" fontId="1" fillId="0" borderId="0" xfId="0" applyFont="1" applyAlignment="1" applyProtection="1">
      <alignment horizontal="center" vertical="center" wrapText="1" readingOrder="2"/>
      <protection locked="0"/>
    </xf>
    <xf numFmtId="0" fontId="1" fillId="3" borderId="33" xfId="0" applyFont="1" applyFill="1" applyBorder="1" applyAlignment="1" applyProtection="1">
      <alignment horizontal="center" vertical="center" wrapText="1" readingOrder="2"/>
      <protection locked="0"/>
    </xf>
    <xf numFmtId="0" fontId="1" fillId="3" borderId="56" xfId="0" applyFont="1" applyFill="1" applyBorder="1" applyAlignment="1" applyProtection="1">
      <alignment horizontal="center" vertical="center" wrapText="1" readingOrder="2"/>
      <protection locked="0"/>
    </xf>
    <xf numFmtId="0" fontId="1" fillId="3" borderId="48" xfId="0" applyFont="1" applyFill="1" applyBorder="1" applyAlignment="1" applyProtection="1">
      <alignment horizontal="center" vertical="center" wrapText="1" readingOrder="2"/>
      <protection locked="0"/>
    </xf>
    <xf numFmtId="0" fontId="1" fillId="3" borderId="47" xfId="0" applyFont="1" applyFill="1" applyBorder="1" applyAlignment="1" applyProtection="1">
      <alignment horizontal="center" vertical="center" wrapText="1" readingOrder="2"/>
      <protection locked="0"/>
    </xf>
    <xf numFmtId="0" fontId="1" fillId="3" borderId="51" xfId="0" applyFont="1" applyFill="1" applyBorder="1" applyAlignment="1" applyProtection="1">
      <alignment horizontal="center" vertical="center" wrapText="1" readingOrder="2"/>
      <protection locked="0"/>
    </xf>
    <xf numFmtId="0" fontId="2" fillId="3" borderId="1" xfId="0" applyFont="1" applyFill="1" applyBorder="1" applyAlignment="1" applyProtection="1">
      <alignment horizontal="center" vertical="center" readingOrder="2"/>
      <protection locked="0"/>
    </xf>
    <xf numFmtId="0" fontId="2" fillId="0" borderId="14" xfId="0" applyFont="1" applyBorder="1" applyAlignment="1" applyProtection="1">
      <alignment vertical="center" readingOrder="2"/>
      <protection locked="0"/>
    </xf>
    <xf numFmtId="0" fontId="2" fillId="0" borderId="15" xfId="0" applyFont="1" applyBorder="1" applyAlignment="1" applyProtection="1">
      <alignment vertical="center" readingOrder="2"/>
      <protection locked="0"/>
    </xf>
    <xf numFmtId="0" fontId="2" fillId="5" borderId="15" xfId="0" applyFont="1" applyFill="1" applyBorder="1" applyAlignment="1" applyProtection="1">
      <alignment vertical="center" readingOrder="2"/>
      <protection locked="0"/>
    </xf>
    <xf numFmtId="0" fontId="5" fillId="0" borderId="23" xfId="0" applyFont="1" applyBorder="1" applyAlignment="1" applyProtection="1">
      <alignment vertical="center" wrapText="1" readingOrder="2"/>
      <protection locked="0"/>
    </xf>
    <xf numFmtId="0" fontId="6" fillId="7" borderId="2" xfId="0" applyFont="1" applyFill="1" applyBorder="1" applyAlignment="1" applyProtection="1">
      <alignment horizontal="right" vertical="center" readingOrder="2"/>
      <protection locked="0"/>
    </xf>
    <xf numFmtId="0" fontId="2" fillId="0" borderId="18" xfId="0" applyFont="1" applyBorder="1" applyAlignment="1" applyProtection="1">
      <alignment vertical="center" readingOrder="2"/>
      <protection locked="0"/>
    </xf>
    <xf numFmtId="0" fontId="2" fillId="0" borderId="23" xfId="0" applyFont="1" applyBorder="1" applyAlignment="1" applyProtection="1">
      <alignment vertical="center" readingOrder="2"/>
      <protection locked="0"/>
    </xf>
    <xf numFmtId="0" fontId="6" fillId="3" borderId="2" xfId="0" applyFont="1" applyFill="1" applyBorder="1" applyAlignment="1" applyProtection="1">
      <alignment horizontal="right" vertical="center" readingOrder="2"/>
      <protection locked="0"/>
    </xf>
    <xf numFmtId="0" fontId="2" fillId="4" borderId="0" xfId="0" applyFont="1" applyFill="1" applyAlignment="1" applyProtection="1">
      <alignment vertical="center" readingOrder="2"/>
      <protection locked="0"/>
    </xf>
    <xf numFmtId="0" fontId="2" fillId="3" borderId="12" xfId="0" applyFont="1" applyFill="1" applyBorder="1" applyAlignment="1" applyProtection="1">
      <alignment horizontal="center" vertical="center" readingOrder="2"/>
      <protection locked="0"/>
    </xf>
    <xf numFmtId="0" fontId="6" fillId="7" borderId="8" xfId="0" applyFont="1" applyFill="1" applyBorder="1" applyAlignment="1" applyProtection="1">
      <alignment horizontal="right" vertical="center" readingOrder="2"/>
      <protection locked="0"/>
    </xf>
    <xf numFmtId="0" fontId="6" fillId="3" borderId="1" xfId="0" applyFont="1" applyFill="1" applyBorder="1" applyAlignment="1" applyProtection="1">
      <alignment horizontal="right" vertical="center" readingOrder="2"/>
      <protection locked="0"/>
    </xf>
    <xf numFmtId="0" fontId="2" fillId="2" borderId="0" xfId="0" applyFont="1" applyFill="1" applyAlignment="1" applyProtection="1">
      <alignment vertical="center" readingOrder="2"/>
      <protection locked="0"/>
    </xf>
    <xf numFmtId="0" fontId="2" fillId="0" borderId="0" xfId="0" applyFont="1" applyAlignment="1" applyProtection="1">
      <alignment vertical="center" readingOrder="2"/>
      <protection locked="0"/>
    </xf>
    <xf numFmtId="0" fontId="2" fillId="3" borderId="3" xfId="0" applyFont="1" applyFill="1" applyBorder="1" applyAlignment="1" applyProtection="1">
      <alignment horizontal="center" vertical="center" readingOrder="2"/>
      <protection locked="0"/>
    </xf>
    <xf numFmtId="0" fontId="2" fillId="0" borderId="20" xfId="0" applyFont="1" applyBorder="1" applyAlignment="1" applyProtection="1">
      <alignment vertical="center" readingOrder="2"/>
      <protection locked="0"/>
    </xf>
    <xf numFmtId="0" fontId="2" fillId="0" borderId="21" xfId="0" applyFont="1" applyBorder="1" applyAlignment="1" applyProtection="1">
      <alignment vertical="center" readingOrder="2"/>
      <protection locked="0"/>
    </xf>
    <xf numFmtId="0" fontId="5" fillId="0" borderId="24" xfId="0" applyFont="1" applyBorder="1" applyAlignment="1" applyProtection="1">
      <alignment vertical="center" wrapText="1" readingOrder="2"/>
      <protection locked="0"/>
    </xf>
    <xf numFmtId="0" fontId="6" fillId="7" borderId="4" xfId="0" applyFont="1" applyFill="1" applyBorder="1" applyAlignment="1" applyProtection="1">
      <alignment horizontal="right" vertical="center" readingOrder="2"/>
      <protection locked="0"/>
    </xf>
    <xf numFmtId="0" fontId="2" fillId="0" borderId="27" xfId="0" applyFont="1" applyBorder="1" applyAlignment="1" applyProtection="1">
      <alignment vertical="center" readingOrder="2"/>
      <protection locked="0"/>
    </xf>
    <xf numFmtId="0" fontId="2" fillId="0" borderId="24" xfId="0" applyFont="1" applyBorder="1" applyAlignment="1" applyProtection="1">
      <alignment vertical="center" readingOrder="2"/>
      <protection locked="0"/>
    </xf>
    <xf numFmtId="0" fontId="6" fillId="3" borderId="4" xfId="0" applyFont="1" applyFill="1" applyBorder="1" applyAlignment="1" applyProtection="1">
      <alignment horizontal="right" vertical="center" readingOrder="2"/>
      <protection locked="0"/>
    </xf>
    <xf numFmtId="0" fontId="2" fillId="3" borderId="13" xfId="0" applyFont="1" applyFill="1" applyBorder="1" applyAlignment="1" applyProtection="1">
      <alignment horizontal="center" vertical="center" readingOrder="2"/>
      <protection locked="0"/>
    </xf>
    <xf numFmtId="0" fontId="6" fillId="3" borderId="3" xfId="0" applyFont="1" applyFill="1" applyBorder="1" applyAlignment="1" applyProtection="1">
      <alignment horizontal="right" vertical="center" readingOrder="2"/>
      <protection locked="0"/>
    </xf>
    <xf numFmtId="0" fontId="6" fillId="3" borderId="16" xfId="0" applyFont="1" applyFill="1" applyBorder="1" applyAlignment="1" applyProtection="1">
      <alignment vertical="center" readingOrder="2"/>
      <protection locked="0"/>
    </xf>
    <xf numFmtId="0" fontId="6" fillId="3" borderId="17" xfId="0" applyFont="1" applyFill="1" applyBorder="1" applyAlignment="1" applyProtection="1">
      <alignment vertical="center" readingOrder="2"/>
      <protection locked="0"/>
    </xf>
    <xf numFmtId="0" fontId="6" fillId="3" borderId="25" xfId="0" applyFont="1" applyFill="1" applyBorder="1" applyAlignment="1" applyProtection="1">
      <alignment vertical="center" readingOrder="2"/>
      <protection locked="0"/>
    </xf>
    <xf numFmtId="0" fontId="3" fillId="2" borderId="6" xfId="0" applyFont="1" applyFill="1" applyBorder="1" applyAlignment="1" applyProtection="1">
      <alignment horizontal="right" vertical="center" readingOrder="2"/>
      <protection locked="0"/>
    </xf>
    <xf numFmtId="0" fontId="6" fillId="3" borderId="19" xfId="0" applyFont="1" applyFill="1" applyBorder="1" applyAlignment="1" applyProtection="1">
      <alignment vertical="center" readingOrder="2"/>
      <protection locked="0"/>
    </xf>
    <xf numFmtId="0" fontId="3" fillId="3" borderId="6" xfId="0" applyFont="1" applyFill="1" applyBorder="1" applyAlignment="1" applyProtection="1">
      <alignment horizontal="right" vertical="center" readingOrder="2"/>
      <protection locked="0"/>
    </xf>
    <xf numFmtId="0" fontId="3" fillId="2" borderId="34" xfId="0" applyFont="1" applyFill="1" applyBorder="1" applyAlignment="1" applyProtection="1">
      <alignment horizontal="right" vertical="center" readingOrder="2"/>
      <protection locked="0"/>
    </xf>
    <xf numFmtId="0" fontId="3" fillId="3" borderId="5" xfId="0" applyFont="1" applyFill="1" applyBorder="1" applyAlignment="1" applyProtection="1">
      <alignment horizontal="right" vertical="center" readingOrder="2"/>
      <protection locked="0"/>
    </xf>
    <xf numFmtId="0" fontId="2" fillId="0" borderId="41" xfId="0" applyFont="1" applyBorder="1" applyAlignment="1" applyProtection="1">
      <alignment vertical="center" readingOrder="2"/>
      <protection locked="0"/>
    </xf>
    <xf numFmtId="0" fontId="2" fillId="0" borderId="22" xfId="0" applyFont="1" applyBorder="1" applyAlignment="1" applyProtection="1">
      <alignment vertical="center" readingOrder="2"/>
      <protection locked="0"/>
    </xf>
    <xf numFmtId="0" fontId="2" fillId="5" borderId="22" xfId="0" applyFont="1" applyFill="1" applyBorder="1" applyAlignment="1" applyProtection="1">
      <alignment vertical="center" readingOrder="2"/>
      <protection locked="0"/>
    </xf>
    <xf numFmtId="0" fontId="5" fillId="0" borderId="26" xfId="0" applyFont="1" applyBorder="1" applyAlignment="1" applyProtection="1">
      <alignment vertical="center" wrapText="1" readingOrder="2"/>
      <protection locked="0"/>
    </xf>
    <xf numFmtId="0" fontId="2" fillId="0" borderId="28" xfId="0" applyFont="1" applyBorder="1" applyAlignment="1" applyProtection="1">
      <alignment vertical="center" readingOrder="2"/>
      <protection locked="0"/>
    </xf>
    <xf numFmtId="0" fontId="2" fillId="0" borderId="26" xfId="0" applyFont="1" applyBorder="1" applyAlignment="1" applyProtection="1">
      <alignment vertical="center" readingOrder="2"/>
      <protection locked="0"/>
    </xf>
    <xf numFmtId="0" fontId="6" fillId="3" borderId="8" xfId="0" applyFont="1" applyFill="1" applyBorder="1" applyAlignment="1" applyProtection="1">
      <alignment horizontal="right" vertical="center" readingOrder="2"/>
      <protection locked="0"/>
    </xf>
    <xf numFmtId="0" fontId="6" fillId="3" borderId="7" xfId="0" applyFont="1" applyFill="1" applyBorder="1" applyAlignment="1" applyProtection="1">
      <alignment horizontal="right" vertical="center" readingOrder="2"/>
      <protection locked="0"/>
    </xf>
    <xf numFmtId="0" fontId="3" fillId="4" borderId="16" xfId="0" applyFont="1" applyFill="1" applyBorder="1" applyAlignment="1" applyProtection="1">
      <alignment vertical="center" readingOrder="2"/>
      <protection locked="0"/>
    </xf>
    <xf numFmtId="0" fontId="3" fillId="4" borderId="17" xfId="0" applyFont="1" applyFill="1" applyBorder="1" applyAlignment="1" applyProtection="1">
      <alignment vertical="center" readingOrder="2"/>
      <protection locked="0"/>
    </xf>
    <xf numFmtId="0" fontId="3" fillId="4" borderId="25" xfId="0" applyFont="1" applyFill="1" applyBorder="1" applyAlignment="1" applyProtection="1">
      <alignment vertical="center" readingOrder="2"/>
      <protection locked="0"/>
    </xf>
    <xf numFmtId="0" fontId="6" fillId="6" borderId="6" xfId="0" applyFont="1" applyFill="1" applyBorder="1" applyAlignment="1" applyProtection="1">
      <alignment horizontal="right" vertical="center" readingOrder="2"/>
      <protection locked="0"/>
    </xf>
    <xf numFmtId="0" fontId="6" fillId="4" borderId="19" xfId="0" applyFont="1" applyFill="1" applyBorder="1" applyAlignment="1" applyProtection="1">
      <alignment vertical="center" readingOrder="2"/>
      <protection locked="0"/>
    </xf>
    <xf numFmtId="0" fontId="6" fillId="4" borderId="17" xfId="0" applyFont="1" applyFill="1" applyBorder="1" applyAlignment="1" applyProtection="1">
      <alignment vertical="center" readingOrder="2"/>
      <protection locked="0"/>
    </xf>
    <xf numFmtId="0" fontId="6" fillId="4" borderId="25" xfId="0" applyFont="1" applyFill="1" applyBorder="1" applyAlignment="1" applyProtection="1">
      <alignment vertical="center" readingOrder="2"/>
      <protection locked="0"/>
    </xf>
    <xf numFmtId="0" fontId="6" fillId="4" borderId="6" xfId="0" applyFont="1" applyFill="1" applyBorder="1" applyAlignment="1" applyProtection="1">
      <alignment horizontal="right" vertical="center" readingOrder="2"/>
      <protection locked="0"/>
    </xf>
    <xf numFmtId="0" fontId="6" fillId="6" borderId="34" xfId="0" applyFont="1" applyFill="1" applyBorder="1" applyAlignment="1" applyProtection="1">
      <alignment horizontal="right" vertical="center" readingOrder="2"/>
      <protection locked="0"/>
    </xf>
    <xf numFmtId="0" fontId="3" fillId="4" borderId="19" xfId="0" applyFont="1" applyFill="1" applyBorder="1" applyAlignment="1" applyProtection="1">
      <alignment vertical="center" readingOrder="2"/>
      <protection locked="0"/>
    </xf>
    <xf numFmtId="0" fontId="6" fillId="4" borderId="5" xfId="0" applyFont="1" applyFill="1" applyBorder="1" applyAlignment="1" applyProtection="1">
      <alignment horizontal="right" vertical="center" readingOrder="2"/>
      <protection locked="0"/>
    </xf>
    <xf numFmtId="0" fontId="2" fillId="4" borderId="0" xfId="0" applyFont="1" applyFill="1" applyAlignment="1" applyProtection="1">
      <alignment horizontal="center" vertical="center" wrapText="1" readingOrder="2"/>
      <protection locked="0"/>
    </xf>
    <xf numFmtId="0" fontId="2" fillId="3" borderId="5" xfId="0" applyFont="1" applyFill="1" applyBorder="1" applyAlignment="1" applyProtection="1">
      <alignment horizontal="center" vertical="center" wrapText="1" readingOrder="2"/>
      <protection locked="0"/>
    </xf>
    <xf numFmtId="0" fontId="2" fillId="3" borderId="6" xfId="0" applyFont="1" applyFill="1" applyBorder="1" applyAlignment="1" applyProtection="1">
      <alignment horizontal="center" vertical="center" wrapText="1" readingOrder="2"/>
      <protection locked="0"/>
    </xf>
    <xf numFmtId="0" fontId="2" fillId="2" borderId="0" xfId="0" applyFont="1" applyFill="1" applyAlignment="1" applyProtection="1">
      <alignment horizontal="center" vertical="center" wrapText="1" readingOrder="2"/>
      <protection locked="0"/>
    </xf>
    <xf numFmtId="0" fontId="2" fillId="0" borderId="0" xfId="0" applyFont="1" applyAlignment="1" applyProtection="1">
      <alignment horizontal="center" vertical="center" wrapText="1" readingOrder="2"/>
      <protection locked="0"/>
    </xf>
    <xf numFmtId="0" fontId="6" fillId="8" borderId="2" xfId="0" applyFont="1" applyFill="1" applyBorder="1" applyAlignment="1" applyProtection="1">
      <alignment horizontal="right" vertical="center" readingOrder="2"/>
      <protection locked="0"/>
    </xf>
    <xf numFmtId="0" fontId="2" fillId="4" borderId="29" xfId="0" applyFont="1" applyFill="1" applyBorder="1" applyAlignment="1" applyProtection="1">
      <alignment horizontal="center" vertical="top" readingOrder="2"/>
      <protection locked="0"/>
    </xf>
    <xf numFmtId="0" fontId="1" fillId="3" borderId="9" xfId="0" applyFont="1" applyFill="1" applyBorder="1" applyAlignment="1" applyProtection="1">
      <alignment horizontal="center" vertical="center" wrapText="1" readingOrder="2"/>
      <protection locked="0"/>
    </xf>
    <xf numFmtId="0" fontId="2" fillId="9" borderId="0" xfId="0" applyFont="1" applyFill="1" applyAlignment="1" applyProtection="1">
      <alignment readingOrder="2"/>
      <protection locked="0"/>
    </xf>
    <xf numFmtId="0" fontId="6" fillId="9" borderId="34" xfId="0" applyFont="1" applyFill="1" applyBorder="1" applyAlignment="1" applyProtection="1">
      <alignment horizontal="right" vertical="center" readingOrder="2"/>
      <protection locked="0"/>
    </xf>
    <xf numFmtId="0" fontId="2" fillId="0" borderId="0" xfId="0" applyFont="1" applyAlignment="1" applyProtection="1">
      <alignment wrapText="1" readingOrder="2"/>
      <protection locked="0"/>
    </xf>
    <xf numFmtId="0" fontId="2" fillId="9" borderId="29" xfId="0" applyFont="1" applyFill="1" applyBorder="1" applyAlignment="1" applyProtection="1">
      <alignment vertical="top" readingOrder="2"/>
      <protection locked="0"/>
    </xf>
    <xf numFmtId="0" fontId="1" fillId="9" borderId="0" xfId="0" applyFont="1" applyFill="1" applyAlignment="1" applyProtection="1">
      <alignment horizontal="center" vertical="center" wrapText="1" readingOrder="2"/>
      <protection locked="0"/>
    </xf>
    <xf numFmtId="0" fontId="2" fillId="9" borderId="0" xfId="0" applyFont="1" applyFill="1" applyAlignment="1" applyProtection="1">
      <alignment vertical="center" readingOrder="2"/>
      <protection locked="0"/>
    </xf>
    <xf numFmtId="0" fontId="2" fillId="9" borderId="0" xfId="0" applyFont="1" applyFill="1" applyAlignment="1" applyProtection="1">
      <alignment horizontal="center" vertical="center" wrapText="1" readingOrder="2"/>
      <protection locked="0"/>
    </xf>
    <xf numFmtId="0" fontId="2" fillId="10" borderId="14" xfId="0" applyFont="1" applyFill="1" applyBorder="1" applyAlignment="1" applyProtection="1">
      <alignment vertical="center" readingOrder="2"/>
      <protection locked="0"/>
    </xf>
    <xf numFmtId="0" fontId="2" fillId="10" borderId="41" xfId="0" applyFont="1" applyFill="1" applyBorder="1" applyAlignment="1" applyProtection="1">
      <alignment vertical="center" readingOrder="2"/>
      <protection locked="0"/>
    </xf>
    <xf numFmtId="0" fontId="1" fillId="3" borderId="32" xfId="0" applyFont="1" applyFill="1" applyBorder="1" applyAlignment="1" applyProtection="1">
      <alignment horizontal="center" vertical="center" wrapText="1" readingOrder="2"/>
      <protection locked="0"/>
    </xf>
    <xf numFmtId="0" fontId="2" fillId="8" borderId="60" xfId="0" applyFont="1" applyFill="1" applyBorder="1" applyAlignment="1" applyProtection="1">
      <alignment vertical="center" readingOrder="2"/>
      <protection locked="0"/>
    </xf>
    <xf numFmtId="0" fontId="2" fillId="0" borderId="39" xfId="0" applyFont="1" applyBorder="1" applyAlignment="1" applyProtection="1">
      <alignment vertical="center" readingOrder="2"/>
      <protection locked="0"/>
    </xf>
    <xf numFmtId="0" fontId="2" fillId="0" borderId="46" xfId="0" applyFont="1" applyBorder="1" applyAlignment="1" applyProtection="1">
      <alignment vertical="center" readingOrder="2"/>
      <protection locked="0"/>
    </xf>
    <xf numFmtId="0" fontId="2" fillId="0" borderId="45" xfId="0" applyFont="1" applyBorder="1" applyAlignment="1" applyProtection="1">
      <alignment vertical="center" readingOrder="2"/>
      <protection locked="0"/>
    </xf>
    <xf numFmtId="0" fontId="1" fillId="3" borderId="50" xfId="0" applyFont="1" applyFill="1" applyBorder="1" applyAlignment="1" applyProtection="1">
      <alignment horizontal="center" vertical="center" wrapText="1" readingOrder="2"/>
      <protection locked="0"/>
    </xf>
    <xf numFmtId="0" fontId="1" fillId="3" borderId="0" xfId="0" applyFont="1" applyFill="1" applyAlignment="1" applyProtection="1">
      <alignment horizontal="center" vertical="center" wrapText="1" readingOrder="2"/>
      <protection locked="0"/>
    </xf>
    <xf numFmtId="0" fontId="6" fillId="0" borderId="42" xfId="0" applyFont="1" applyBorder="1" applyAlignment="1" applyProtection="1">
      <alignment horizontal="center" wrapText="1" readingOrder="2"/>
      <protection locked="0"/>
    </xf>
    <xf numFmtId="0" fontId="6" fillId="0" borderId="54" xfId="0" applyFont="1" applyBorder="1" applyAlignment="1" applyProtection="1">
      <alignment readingOrder="2"/>
      <protection locked="0"/>
    </xf>
    <xf numFmtId="0" fontId="6" fillId="4" borderId="54" xfId="0" applyFont="1" applyFill="1" applyBorder="1" applyAlignment="1" applyProtection="1">
      <alignment readingOrder="2"/>
      <protection locked="0"/>
    </xf>
    <xf numFmtId="0" fontId="6" fillId="0" borderId="54" xfId="0" applyFont="1" applyBorder="1" applyAlignment="1" applyProtection="1">
      <alignment horizontal="center" wrapText="1" readingOrder="2"/>
      <protection locked="0"/>
    </xf>
    <xf numFmtId="0" fontId="6" fillId="9" borderId="54" xfId="0" applyFont="1" applyFill="1" applyBorder="1" applyAlignment="1" applyProtection="1">
      <alignment readingOrder="2"/>
      <protection locked="0"/>
    </xf>
    <xf numFmtId="0" fontId="6" fillId="2" borderId="54" xfId="0" applyFont="1" applyFill="1" applyBorder="1" applyAlignment="1" applyProtection="1">
      <alignment readingOrder="2"/>
      <protection locked="0"/>
    </xf>
    <xf numFmtId="0" fontId="2" fillId="3" borderId="47" xfId="0" applyFont="1" applyFill="1" applyBorder="1" applyAlignment="1" applyProtection="1">
      <alignment horizontal="center" vertical="center" wrapText="1" readingOrder="2"/>
      <protection locked="0"/>
    </xf>
    <xf numFmtId="0" fontId="2" fillId="3" borderId="48" xfId="0" applyFont="1" applyFill="1" applyBorder="1" applyAlignment="1" applyProtection="1">
      <alignment horizontal="center" vertical="center" wrapText="1" readingOrder="2"/>
      <protection locked="0"/>
    </xf>
    <xf numFmtId="0" fontId="2" fillId="3" borderId="50" xfId="0" applyFont="1" applyFill="1" applyBorder="1" applyAlignment="1" applyProtection="1">
      <alignment horizontal="center" vertical="center" wrapText="1" readingOrder="2"/>
      <protection locked="0"/>
    </xf>
    <xf numFmtId="0" fontId="2" fillId="3" borderId="0" xfId="0" applyFont="1" applyFill="1" applyAlignment="1" applyProtection="1">
      <alignment horizontal="center" vertical="center" wrapText="1" readingOrder="2"/>
      <protection locked="0"/>
    </xf>
    <xf numFmtId="0" fontId="2" fillId="3" borderId="56" xfId="0" applyFont="1" applyFill="1" applyBorder="1" applyAlignment="1" applyProtection="1">
      <alignment horizontal="center" vertical="center" wrapText="1" readingOrder="2"/>
      <protection locked="0"/>
    </xf>
    <xf numFmtId="0" fontId="2" fillId="3" borderId="51" xfId="0" applyFont="1" applyFill="1" applyBorder="1" applyAlignment="1" applyProtection="1">
      <alignment horizontal="center" vertical="center" wrapText="1" readingOrder="2"/>
      <protection locked="0"/>
    </xf>
    <xf numFmtId="0" fontId="6" fillId="2" borderId="49" xfId="0" applyFont="1" applyFill="1" applyBorder="1" applyAlignment="1">
      <alignment horizontal="right" vertical="center" readingOrder="2"/>
    </xf>
    <xf numFmtId="0" fontId="3" fillId="2" borderId="51" xfId="0" applyFont="1" applyFill="1" applyBorder="1" applyAlignment="1">
      <alignment vertical="center" readingOrder="2"/>
    </xf>
    <xf numFmtId="0" fontId="3" fillId="2" borderId="48" xfId="0" applyFont="1" applyFill="1" applyBorder="1" applyAlignment="1">
      <alignment vertical="center" readingOrder="2"/>
    </xf>
    <xf numFmtId="0" fontId="3" fillId="2" borderId="50" xfId="0" applyFont="1" applyFill="1" applyBorder="1" applyAlignment="1">
      <alignment vertical="center" readingOrder="2"/>
    </xf>
    <xf numFmtId="0" fontId="12" fillId="2" borderId="42" xfId="0" applyFont="1" applyFill="1" applyBorder="1" applyAlignment="1">
      <alignment vertical="center" readingOrder="2"/>
    </xf>
    <xf numFmtId="0" fontId="12" fillId="2" borderId="54" xfId="0" applyFont="1" applyFill="1" applyBorder="1" applyAlignment="1">
      <alignment vertical="center" readingOrder="2"/>
    </xf>
    <xf numFmtId="0" fontId="2" fillId="2" borderId="53" xfId="0" applyFont="1" applyFill="1" applyBorder="1" applyAlignment="1">
      <alignment vertical="center" readingOrder="2"/>
    </xf>
    <xf numFmtId="0" fontId="6" fillId="2" borderId="39" xfId="0" applyFont="1" applyFill="1" applyBorder="1" applyAlignment="1">
      <alignment vertical="center" readingOrder="2"/>
    </xf>
    <xf numFmtId="0" fontId="6" fillId="2" borderId="46" xfId="0" applyFont="1" applyFill="1" applyBorder="1" applyAlignment="1">
      <alignment vertical="center" readingOrder="2"/>
    </xf>
    <xf numFmtId="0" fontId="2" fillId="2" borderId="37" xfId="0" applyFont="1" applyFill="1" applyBorder="1" applyAlignment="1">
      <alignment vertical="center" readingOrder="2"/>
    </xf>
    <xf numFmtId="0" fontId="3" fillId="2" borderId="39" xfId="0" applyFont="1" applyFill="1" applyBorder="1" applyAlignment="1">
      <alignment vertical="center" readingOrder="2"/>
    </xf>
    <xf numFmtId="0" fontId="3" fillId="2" borderId="46" xfId="0" applyFont="1" applyFill="1" applyBorder="1" applyAlignment="1">
      <alignment vertical="center" readingOrder="2"/>
    </xf>
    <xf numFmtId="0" fontId="3" fillId="2" borderId="45" xfId="0" applyFont="1" applyFill="1" applyBorder="1" applyAlignment="1">
      <alignment vertical="center" readingOrder="2"/>
    </xf>
    <xf numFmtId="0" fontId="6" fillId="2" borderId="34" xfId="0" applyFont="1" applyFill="1" applyBorder="1" applyAlignment="1">
      <alignment horizontal="right" vertical="center" readingOrder="2"/>
    </xf>
    <xf numFmtId="0" fontId="3" fillId="2" borderId="40" xfId="0" applyFont="1" applyFill="1" applyBorder="1" applyAlignment="1">
      <alignment vertical="center" readingOrder="2"/>
    </xf>
    <xf numFmtId="0" fontId="6" fillId="2" borderId="47" xfId="0" applyFont="1" applyFill="1" applyBorder="1" applyAlignment="1">
      <alignment vertical="center" readingOrder="2"/>
    </xf>
    <xf numFmtId="0" fontId="6" fillId="2" borderId="51" xfId="0" applyFont="1" applyFill="1" applyBorder="1" applyAlignment="1">
      <alignment vertical="center" readingOrder="2"/>
    </xf>
    <xf numFmtId="0" fontId="6" fillId="2" borderId="48" xfId="0" applyFont="1" applyFill="1" applyBorder="1" applyAlignment="1">
      <alignment vertical="center" readingOrder="2"/>
    </xf>
    <xf numFmtId="0" fontId="6" fillId="2" borderId="60" xfId="0" applyFont="1" applyFill="1" applyBorder="1" applyAlignment="1">
      <alignment horizontal="right" vertical="center" readingOrder="2"/>
    </xf>
    <xf numFmtId="0" fontId="6" fillId="2" borderId="61" xfId="0" applyFont="1" applyFill="1" applyBorder="1" applyAlignment="1">
      <alignment horizontal="right" vertical="center" readingOrder="2"/>
    </xf>
    <xf numFmtId="0" fontId="6" fillId="2" borderId="62" xfId="0" applyFont="1" applyFill="1" applyBorder="1" applyAlignment="1">
      <alignment horizontal="right" vertical="center" readingOrder="2"/>
    </xf>
    <xf numFmtId="0" fontId="6" fillId="2" borderId="50" xfId="0" applyFont="1" applyFill="1" applyBorder="1" applyAlignment="1">
      <alignment vertical="center" readingOrder="2"/>
    </xf>
    <xf numFmtId="0" fontId="2" fillId="2" borderId="43" xfId="0" applyFont="1" applyFill="1" applyBorder="1" applyAlignment="1">
      <alignment vertical="center" readingOrder="2"/>
    </xf>
    <xf numFmtId="0" fontId="6" fillId="2" borderId="45" xfId="0" applyFont="1" applyFill="1" applyBorder="1" applyAlignment="1">
      <alignment vertical="center" readingOrder="2"/>
    </xf>
    <xf numFmtId="0" fontId="12" fillId="2" borderId="34" xfId="0" applyFont="1" applyFill="1" applyBorder="1" applyAlignment="1">
      <alignment vertical="center" readingOrder="2"/>
    </xf>
    <xf numFmtId="0" fontId="2" fillId="0" borderId="54" xfId="0" applyFont="1" applyBorder="1" applyAlignment="1">
      <alignment readingOrder="2"/>
    </xf>
    <xf numFmtId="0" fontId="3" fillId="2" borderId="49" xfId="0" applyFont="1" applyFill="1" applyBorder="1" applyAlignment="1">
      <alignment vertical="center" readingOrder="2"/>
    </xf>
    <xf numFmtId="0" fontId="2" fillId="0" borderId="63" xfId="0" applyFont="1" applyBorder="1" applyAlignment="1">
      <alignment horizontal="right" vertical="center" wrapText="1" readingOrder="2"/>
    </xf>
    <xf numFmtId="0" fontId="2" fillId="0" borderId="64" xfId="0" applyFont="1" applyBorder="1" applyAlignment="1">
      <alignment horizontal="right" vertical="center" wrapText="1" readingOrder="2"/>
    </xf>
    <xf numFmtId="0" fontId="2" fillId="11" borderId="64" xfId="0" applyFont="1" applyFill="1" applyBorder="1" applyAlignment="1">
      <alignment horizontal="right" vertical="center" wrapText="1" readingOrder="2"/>
    </xf>
    <xf numFmtId="0" fontId="2" fillId="0" borderId="65" xfId="0" applyFont="1" applyBorder="1" applyAlignment="1">
      <alignment horizontal="right" vertical="center" wrapText="1" readingOrder="2"/>
    </xf>
    <xf numFmtId="0" fontId="14" fillId="12" borderId="65" xfId="0" applyFont="1" applyFill="1" applyBorder="1" applyAlignment="1">
      <alignment horizontal="right" vertical="center" wrapText="1" readingOrder="2"/>
    </xf>
    <xf numFmtId="0" fontId="2" fillId="0" borderId="66" xfId="0" applyFont="1" applyBorder="1" applyAlignment="1">
      <alignment horizontal="right" vertical="center" wrapText="1" readingOrder="2"/>
    </xf>
    <xf numFmtId="0" fontId="2" fillId="0" borderId="67" xfId="0" applyFont="1" applyBorder="1" applyAlignment="1">
      <alignment horizontal="right" vertical="center" wrapText="1" readingOrder="2"/>
    </xf>
    <xf numFmtId="0" fontId="2" fillId="0" borderId="68" xfId="0" applyFont="1" applyBorder="1" applyAlignment="1">
      <alignment horizontal="right" vertical="center" wrapText="1" readingOrder="2"/>
    </xf>
    <xf numFmtId="0" fontId="14" fillId="12" borderId="68" xfId="0" applyFont="1" applyFill="1" applyBorder="1" applyAlignment="1">
      <alignment horizontal="right" vertical="center" wrapText="1" readingOrder="2"/>
    </xf>
    <xf numFmtId="0" fontId="14" fillId="13" borderId="66" xfId="0" applyFont="1" applyFill="1" applyBorder="1" applyAlignment="1">
      <alignment horizontal="right" vertical="center" wrapText="1" readingOrder="2"/>
    </xf>
    <xf numFmtId="0" fontId="14" fillId="13" borderId="67" xfId="0" applyFont="1" applyFill="1" applyBorder="1" applyAlignment="1">
      <alignment horizontal="right" vertical="center" wrapText="1" readingOrder="2"/>
    </xf>
    <xf numFmtId="0" fontId="14" fillId="13" borderId="68" xfId="0" applyFont="1" applyFill="1" applyBorder="1" applyAlignment="1">
      <alignment horizontal="right" vertical="center" wrapText="1" readingOrder="2"/>
    </xf>
    <xf numFmtId="0" fontId="15" fillId="14" borderId="68" xfId="0" applyFont="1" applyFill="1" applyBorder="1" applyAlignment="1">
      <alignment horizontal="right" vertical="center" wrapText="1" readingOrder="2"/>
    </xf>
    <xf numFmtId="0" fontId="2" fillId="0" borderId="69" xfId="0" applyFont="1" applyBorder="1" applyAlignment="1">
      <alignment horizontal="right" vertical="center" wrapText="1" readingOrder="2"/>
    </xf>
    <xf numFmtId="0" fontId="2" fillId="0" borderId="70" xfId="0" applyFont="1" applyBorder="1" applyAlignment="1">
      <alignment horizontal="right" vertical="center" wrapText="1" readingOrder="2"/>
    </xf>
    <xf numFmtId="0" fontId="2" fillId="11" borderId="70" xfId="0" applyFont="1" applyFill="1" applyBorder="1" applyAlignment="1">
      <alignment horizontal="right" vertical="center" wrapText="1" readingOrder="2"/>
    </xf>
    <xf numFmtId="0" fontId="2" fillId="0" borderId="71" xfId="0" applyFont="1" applyBorder="1" applyAlignment="1">
      <alignment horizontal="right" vertical="center" wrapText="1" readingOrder="2"/>
    </xf>
    <xf numFmtId="0" fontId="14" fillId="12" borderId="71" xfId="0" applyFont="1" applyFill="1" applyBorder="1" applyAlignment="1">
      <alignment horizontal="right" vertical="center" wrapText="1" readingOrder="2"/>
    </xf>
    <xf numFmtId="0" fontId="2" fillId="0" borderId="63" xfId="0" applyFont="1" applyBorder="1" applyAlignment="1">
      <alignment horizontal="right" wrapText="1" readingOrder="2"/>
    </xf>
    <xf numFmtId="0" fontId="2" fillId="0" borderId="64" xfId="0" applyFont="1" applyBorder="1" applyAlignment="1">
      <alignment horizontal="right" wrapText="1" readingOrder="2"/>
    </xf>
    <xf numFmtId="0" fontId="2" fillId="11" borderId="64" xfId="0" applyFont="1" applyFill="1" applyBorder="1" applyAlignment="1">
      <alignment horizontal="right" wrapText="1" readingOrder="2"/>
    </xf>
    <xf numFmtId="0" fontId="14" fillId="12" borderId="64" xfId="0" applyFont="1" applyFill="1" applyBorder="1" applyAlignment="1">
      <alignment horizontal="right" wrapText="1" readingOrder="2"/>
    </xf>
    <xf numFmtId="0" fontId="2" fillId="0" borderId="69" xfId="0" applyFont="1" applyBorder="1" applyAlignment="1">
      <alignment horizontal="right" wrapText="1" readingOrder="2"/>
    </xf>
    <xf numFmtId="0" fontId="2" fillId="0" borderId="70" xfId="0" applyFont="1" applyBorder="1" applyAlignment="1">
      <alignment horizontal="right" wrapText="1" readingOrder="2"/>
    </xf>
    <xf numFmtId="0" fontId="14" fillId="12" borderId="70" xfId="0" applyFont="1" applyFill="1" applyBorder="1" applyAlignment="1">
      <alignment horizontal="right" wrapText="1" readingOrder="2"/>
    </xf>
    <xf numFmtId="0" fontId="14" fillId="13" borderId="69" xfId="0" applyFont="1" applyFill="1" applyBorder="1" applyAlignment="1">
      <alignment horizontal="right" wrapText="1" readingOrder="2"/>
    </xf>
    <xf numFmtId="0" fontId="14" fillId="13" borderId="70" xfId="0" applyFont="1" applyFill="1" applyBorder="1" applyAlignment="1">
      <alignment horizontal="right" wrapText="1" readingOrder="2"/>
    </xf>
    <xf numFmtId="0" fontId="15" fillId="14" borderId="70" xfId="0" applyFont="1" applyFill="1" applyBorder="1" applyAlignment="1">
      <alignment horizontal="right" wrapText="1" readingOrder="2"/>
    </xf>
    <xf numFmtId="0" fontId="2" fillId="11" borderId="70" xfId="0" applyFont="1" applyFill="1" applyBorder="1" applyAlignment="1">
      <alignment horizontal="right" wrapText="1" readingOrder="2"/>
    </xf>
    <xf numFmtId="0" fontId="16" fillId="13" borderId="65" xfId="0" applyFont="1" applyFill="1" applyBorder="1" applyAlignment="1">
      <alignment horizontal="center" wrapText="1" readingOrder="2"/>
    </xf>
    <xf numFmtId="0" fontId="16" fillId="13" borderId="71" xfId="0" applyFont="1" applyFill="1" applyBorder="1" applyAlignment="1">
      <alignment horizontal="center" wrapText="1" readingOrder="2"/>
    </xf>
    <xf numFmtId="0" fontId="17" fillId="13" borderId="71" xfId="0" applyFont="1" applyFill="1" applyBorder="1" applyAlignment="1">
      <alignment horizontal="center" wrapText="1" readingOrder="2"/>
    </xf>
    <xf numFmtId="0" fontId="2" fillId="0" borderId="72" xfId="0" applyFont="1" applyBorder="1" applyAlignment="1">
      <alignment horizontal="right" wrapText="1" readingOrder="2"/>
    </xf>
    <xf numFmtId="0" fontId="2" fillId="0" borderId="73" xfId="0" applyFont="1" applyBorder="1" applyAlignment="1">
      <alignment horizontal="right" wrapText="1" readingOrder="2"/>
    </xf>
    <xf numFmtId="0" fontId="2" fillId="0" borderId="65" xfId="0" applyFont="1" applyBorder="1" applyAlignment="1">
      <alignment horizontal="right" wrapText="1" readingOrder="2"/>
    </xf>
    <xf numFmtId="0" fontId="2" fillId="0" borderId="74" xfId="0" applyFont="1" applyBorder="1" applyAlignment="1">
      <alignment horizontal="right" wrapText="1" readingOrder="2"/>
    </xf>
    <xf numFmtId="0" fontId="2" fillId="0" borderId="67" xfId="0" applyFont="1" applyBorder="1" applyAlignment="1">
      <alignment horizontal="right" wrapText="1" readingOrder="2"/>
    </xf>
    <xf numFmtId="0" fontId="2" fillId="0" borderId="66" xfId="0" applyFont="1" applyBorder="1" applyAlignment="1">
      <alignment horizontal="right" wrapText="1" readingOrder="2"/>
    </xf>
    <xf numFmtId="0" fontId="18" fillId="0" borderId="69" xfId="0" applyFont="1" applyBorder="1" applyAlignment="1">
      <alignment horizontal="right" wrapText="1" readingOrder="2"/>
    </xf>
    <xf numFmtId="0" fontId="15" fillId="9" borderId="66" xfId="0" applyFont="1" applyFill="1" applyBorder="1" applyAlignment="1">
      <alignment horizontal="right" vertical="center" wrapText="1" readingOrder="2"/>
    </xf>
    <xf numFmtId="0" fontId="15" fillId="9" borderId="67" xfId="0" applyFont="1" applyFill="1" applyBorder="1" applyAlignment="1">
      <alignment horizontal="right" vertical="center" wrapText="1" readingOrder="2"/>
    </xf>
    <xf numFmtId="0" fontId="15" fillId="9" borderId="68" xfId="0" applyFont="1" applyFill="1" applyBorder="1" applyAlignment="1">
      <alignment horizontal="right" vertical="center" wrapText="1" readingOrder="2"/>
    </xf>
    <xf numFmtId="0" fontId="14" fillId="15" borderId="68" xfId="0" applyFont="1" applyFill="1" applyBorder="1" applyAlignment="1">
      <alignment horizontal="right" vertical="center" wrapText="1" readingOrder="2"/>
    </xf>
    <xf numFmtId="0" fontId="14" fillId="9" borderId="67" xfId="0" applyFont="1" applyFill="1" applyBorder="1" applyAlignment="1">
      <alignment horizontal="right" vertical="center" wrapText="1" readingOrder="2"/>
    </xf>
    <xf numFmtId="0" fontId="14" fillId="9" borderId="68" xfId="0" applyFont="1" applyFill="1" applyBorder="1" applyAlignment="1">
      <alignment horizontal="right" vertical="center" wrapText="1" readingOrder="2"/>
    </xf>
    <xf numFmtId="0" fontId="14" fillId="13" borderId="65" xfId="0" applyFont="1" applyFill="1" applyBorder="1" applyAlignment="1">
      <alignment horizontal="right" vertical="center" wrapText="1" readingOrder="2"/>
    </xf>
    <xf numFmtId="0" fontId="15" fillId="13" borderId="68" xfId="0" applyFont="1" applyFill="1" applyBorder="1" applyAlignment="1">
      <alignment horizontal="right" vertical="center" wrapText="1" readingOrder="2"/>
    </xf>
    <xf numFmtId="0" fontId="14" fillId="13" borderId="71" xfId="0" applyFont="1" applyFill="1" applyBorder="1" applyAlignment="1">
      <alignment horizontal="right" vertical="center" wrapText="1" readingOrder="2"/>
    </xf>
    <xf numFmtId="0" fontId="14" fillId="13" borderId="75" xfId="0" applyFont="1" applyFill="1" applyBorder="1" applyAlignment="1">
      <alignment horizontal="right" wrapText="1" readingOrder="2"/>
    </xf>
    <xf numFmtId="0" fontId="15" fillId="13" borderId="75" xfId="0" applyFont="1" applyFill="1" applyBorder="1" applyAlignment="1">
      <alignment horizontal="right" wrapText="1" readingOrder="2"/>
    </xf>
    <xf numFmtId="0" fontId="19" fillId="0" borderId="63" xfId="0" applyFont="1" applyBorder="1" applyAlignment="1">
      <alignment horizontal="right" vertical="center" wrapText="1" readingOrder="2"/>
    </xf>
    <xf numFmtId="0" fontId="19" fillId="0" borderId="64" xfId="0" applyFont="1" applyBorder="1" applyAlignment="1">
      <alignment horizontal="right" vertical="center" wrapText="1" readingOrder="2"/>
    </xf>
    <xf numFmtId="0" fontId="19" fillId="11" borderId="64" xfId="0" applyFont="1" applyFill="1" applyBorder="1" applyAlignment="1">
      <alignment horizontal="right" vertical="center" wrapText="1" readingOrder="2"/>
    </xf>
    <xf numFmtId="0" fontId="19" fillId="0" borderId="65" xfId="0" applyFont="1" applyBorder="1" applyAlignment="1">
      <alignment horizontal="right" vertical="center" wrapText="1" readingOrder="2"/>
    </xf>
    <xf numFmtId="0" fontId="20" fillId="16" borderId="76" xfId="0" applyFont="1" applyFill="1" applyBorder="1" applyAlignment="1">
      <alignment horizontal="right" vertical="center" readingOrder="2"/>
    </xf>
    <xf numFmtId="0" fontId="21" fillId="0" borderId="77" xfId="0" applyFont="1" applyBorder="1" applyAlignment="1">
      <alignment horizontal="right" vertical="center" readingOrder="2"/>
    </xf>
    <xf numFmtId="0" fontId="21" fillId="0" borderId="78" xfId="0" applyFont="1" applyBorder="1" applyAlignment="1">
      <alignment horizontal="right" vertical="center" readingOrder="2"/>
    </xf>
    <xf numFmtId="0" fontId="21" fillId="0" borderId="79" xfId="0" applyFont="1" applyBorder="1" applyAlignment="1">
      <alignment horizontal="right" vertical="center" readingOrder="2"/>
    </xf>
    <xf numFmtId="0" fontId="19" fillId="0" borderId="66" xfId="0" applyFont="1" applyBorder="1" applyAlignment="1">
      <alignment horizontal="right" vertical="center" wrapText="1" readingOrder="2"/>
    </xf>
    <xf numFmtId="0" fontId="19" fillId="0" borderId="67" xfId="0" applyFont="1" applyBorder="1" applyAlignment="1">
      <alignment horizontal="right" vertical="center" wrapText="1" readingOrder="2"/>
    </xf>
    <xf numFmtId="0" fontId="19" fillId="0" borderId="68" xfId="0" applyFont="1" applyBorder="1" applyAlignment="1">
      <alignment horizontal="right" vertical="center" wrapText="1" readingOrder="2"/>
    </xf>
    <xf numFmtId="0" fontId="20" fillId="16" borderId="80" xfId="0" applyFont="1" applyFill="1" applyBorder="1" applyAlignment="1">
      <alignment horizontal="right" vertical="center" readingOrder="2"/>
    </xf>
    <xf numFmtId="0" fontId="21" fillId="0" borderId="81" xfId="0" applyFont="1" applyBorder="1" applyAlignment="1">
      <alignment horizontal="right" vertical="center" readingOrder="2"/>
    </xf>
    <xf numFmtId="0" fontId="21" fillId="0" borderId="82" xfId="0" applyFont="1" applyBorder="1" applyAlignment="1">
      <alignment horizontal="right" vertical="center" readingOrder="2"/>
    </xf>
    <xf numFmtId="0" fontId="21" fillId="0" borderId="83" xfId="0" applyFont="1" applyBorder="1" applyAlignment="1">
      <alignment horizontal="right" vertical="center" readingOrder="2"/>
    </xf>
    <xf numFmtId="0" fontId="20" fillId="17" borderId="84" xfId="0" applyFont="1" applyFill="1" applyBorder="1" applyAlignment="1">
      <alignment horizontal="right" vertical="center" readingOrder="2"/>
    </xf>
    <xf numFmtId="0" fontId="20" fillId="17" borderId="85" xfId="0" applyFont="1" applyFill="1" applyBorder="1" applyAlignment="1">
      <alignment horizontal="right" vertical="center" readingOrder="2"/>
    </xf>
    <xf numFmtId="0" fontId="20" fillId="17" borderId="86" xfId="0" applyFont="1" applyFill="1" applyBorder="1" applyAlignment="1">
      <alignment horizontal="right" vertical="center" readingOrder="2"/>
    </xf>
    <xf numFmtId="0" fontId="22" fillId="18" borderId="87" xfId="0" applyFont="1" applyFill="1" applyBorder="1" applyAlignment="1">
      <alignment horizontal="right" vertical="center" readingOrder="2"/>
    </xf>
    <xf numFmtId="0" fontId="20" fillId="17" borderId="88" xfId="0" applyFont="1" applyFill="1" applyBorder="1" applyAlignment="1">
      <alignment horizontal="right" vertical="center" readingOrder="2"/>
    </xf>
    <xf numFmtId="0" fontId="21" fillId="0" borderId="89" xfId="0" applyFont="1" applyBorder="1" applyAlignment="1">
      <alignment horizontal="right" vertical="center" readingOrder="2"/>
    </xf>
    <xf numFmtId="0" fontId="21" fillId="0" borderId="90" xfId="0" applyFont="1" applyBorder="1" applyAlignment="1">
      <alignment horizontal="right" vertical="center" readingOrder="2"/>
    </xf>
    <xf numFmtId="0" fontId="21" fillId="19" borderId="90" xfId="0" applyFont="1" applyFill="1" applyBorder="1" applyAlignment="1">
      <alignment horizontal="right" vertical="center" readingOrder="2"/>
    </xf>
    <xf numFmtId="0" fontId="23" fillId="0" borderId="91" xfId="0" applyFont="1" applyBorder="1" applyAlignment="1">
      <alignment horizontal="right" vertical="center" wrapText="1" readingOrder="2"/>
    </xf>
    <xf numFmtId="0" fontId="20" fillId="16" borderId="92" xfId="0" applyFont="1" applyFill="1" applyBorder="1" applyAlignment="1">
      <alignment horizontal="right" vertical="center" readingOrder="2"/>
    </xf>
    <xf numFmtId="0" fontId="21" fillId="0" borderId="93" xfId="0" applyFont="1" applyBorder="1" applyAlignment="1">
      <alignment horizontal="right" vertical="center" readingOrder="2"/>
    </xf>
    <xf numFmtId="0" fontId="21" fillId="0" borderId="91" xfId="0" applyFont="1" applyBorder="1" applyAlignment="1">
      <alignment horizontal="right" vertical="center" readingOrder="2"/>
    </xf>
    <xf numFmtId="0" fontId="21" fillId="0" borderId="94" xfId="0" applyFont="1" applyBorder="1" applyAlignment="1">
      <alignment horizontal="right" vertical="center" readingOrder="2"/>
    </xf>
    <xf numFmtId="0" fontId="23" fillId="0" borderId="83" xfId="0" applyFont="1" applyBorder="1" applyAlignment="1">
      <alignment horizontal="right" vertical="center" wrapText="1" readingOrder="2"/>
    </xf>
    <xf numFmtId="0" fontId="22" fillId="20" borderId="84" xfId="0" applyFont="1" applyFill="1" applyBorder="1" applyAlignment="1">
      <alignment horizontal="right" vertical="center" readingOrder="2"/>
    </xf>
    <xf numFmtId="0" fontId="22" fillId="20" borderId="85" xfId="0" applyFont="1" applyFill="1" applyBorder="1" applyAlignment="1">
      <alignment horizontal="right" vertical="center" readingOrder="2"/>
    </xf>
    <xf numFmtId="0" fontId="22" fillId="20" borderId="86" xfId="0" applyFont="1" applyFill="1" applyBorder="1" applyAlignment="1">
      <alignment horizontal="right" vertical="center" readingOrder="2"/>
    </xf>
    <xf numFmtId="0" fontId="20" fillId="21" borderId="87" xfId="0" applyFont="1" applyFill="1" applyBorder="1" applyAlignment="1">
      <alignment horizontal="right" vertical="center" readingOrder="2"/>
    </xf>
    <xf numFmtId="0" fontId="20" fillId="20" borderId="88" xfId="0" applyFont="1" applyFill="1" applyBorder="1" applyAlignment="1">
      <alignment horizontal="right" vertical="center" readingOrder="2"/>
    </xf>
    <xf numFmtId="0" fontId="20" fillId="20" borderId="85" xfId="0" applyFont="1" applyFill="1" applyBorder="1" applyAlignment="1">
      <alignment horizontal="right" vertical="center" readingOrder="2"/>
    </xf>
    <xf numFmtId="0" fontId="20" fillId="20" borderId="86" xfId="0" applyFont="1" applyFill="1" applyBorder="1" applyAlignment="1">
      <alignment horizontal="right" vertical="center" readingOrder="2"/>
    </xf>
    <xf numFmtId="0" fontId="24" fillId="12" borderId="65" xfId="0" applyFont="1" applyFill="1" applyBorder="1" applyAlignment="1">
      <alignment horizontal="right" vertical="center" wrapText="1" readingOrder="2"/>
    </xf>
    <xf numFmtId="0" fontId="24" fillId="12" borderId="68" xfId="0" applyFont="1" applyFill="1" applyBorder="1" applyAlignment="1">
      <alignment horizontal="right" vertical="center" wrapText="1" readingOrder="2"/>
    </xf>
    <xf numFmtId="0" fontId="21" fillId="0" borderId="95" xfId="0" applyFont="1" applyBorder="1" applyAlignment="1">
      <alignment horizontal="right" vertical="center" readingOrder="2"/>
    </xf>
    <xf numFmtId="0" fontId="21" fillId="19" borderId="78" xfId="0" applyFont="1" applyFill="1" applyBorder="1" applyAlignment="1">
      <alignment horizontal="right" vertical="center" readingOrder="2"/>
    </xf>
    <xf numFmtId="0" fontId="23" fillId="0" borderId="79" xfId="0" applyFont="1" applyBorder="1" applyAlignment="1">
      <alignment horizontal="right" vertical="center" wrapText="1" readingOrder="2"/>
    </xf>
    <xf numFmtId="0" fontId="20" fillId="17" borderId="76" xfId="0" applyFont="1" applyFill="1" applyBorder="1" applyAlignment="1">
      <alignment horizontal="right" vertical="center" readingOrder="2"/>
    </xf>
    <xf numFmtId="0" fontId="20" fillId="17" borderId="80" xfId="0" applyFont="1" applyFill="1" applyBorder="1" applyAlignment="1">
      <alignment horizontal="right" vertical="center" readingOrder="2"/>
    </xf>
    <xf numFmtId="0" fontId="22" fillId="17" borderId="87" xfId="0" applyFont="1" applyFill="1" applyBorder="1" applyAlignment="1">
      <alignment horizontal="right" vertical="center" readingOrder="2"/>
    </xf>
    <xf numFmtId="0" fontId="20" fillId="17" borderId="92" xfId="0" applyFont="1" applyFill="1" applyBorder="1" applyAlignment="1">
      <alignment horizontal="right" vertical="center" readingOrder="2"/>
    </xf>
    <xf numFmtId="0" fontId="20" fillId="20" borderId="87" xfId="0" applyFont="1" applyFill="1" applyBorder="1" applyAlignment="1">
      <alignment horizontal="right" vertical="center" readingOrder="2"/>
    </xf>
    <xf numFmtId="0" fontId="2" fillId="3" borderId="33" xfId="0" applyFont="1" applyFill="1" applyBorder="1" applyAlignment="1" applyProtection="1">
      <alignment horizontal="center" vertical="center" wrapText="1" readingOrder="2"/>
      <protection locked="0"/>
    </xf>
    <xf numFmtId="0" fontId="2" fillId="3" borderId="10" xfId="0" applyFont="1" applyFill="1" applyBorder="1" applyAlignment="1" applyProtection="1">
      <alignment horizontal="center" vertical="center" wrapText="1" readingOrder="2"/>
      <protection locked="0"/>
    </xf>
    <xf numFmtId="0" fontId="2" fillId="3" borderId="32" xfId="0" applyFont="1" applyFill="1" applyBorder="1" applyAlignment="1" applyProtection="1">
      <alignment horizontal="center" vertical="center" wrapText="1" readingOrder="2"/>
      <protection locked="0"/>
    </xf>
    <xf numFmtId="0" fontId="2" fillId="3" borderId="5" xfId="0" applyFont="1" applyFill="1" applyBorder="1" applyAlignment="1" applyProtection="1">
      <alignment horizontal="center" vertical="center" wrapText="1" readingOrder="2"/>
      <protection locked="0"/>
    </xf>
    <xf numFmtId="0" fontId="2" fillId="4" borderId="42" xfId="0" applyFont="1" applyFill="1" applyBorder="1" applyAlignment="1" applyProtection="1">
      <alignment horizontal="center" vertical="center" readingOrder="2"/>
      <protection locked="0"/>
    </xf>
    <xf numFmtId="0" fontId="2" fillId="4" borderId="54" xfId="0" applyFont="1" applyFill="1" applyBorder="1" applyAlignment="1" applyProtection="1">
      <alignment horizontal="center" vertical="center" readingOrder="2"/>
      <protection locked="0"/>
    </xf>
    <xf numFmtId="0" fontId="2" fillId="4" borderId="34" xfId="0" applyFont="1" applyFill="1" applyBorder="1" applyAlignment="1" applyProtection="1">
      <alignment horizontal="center" vertical="center" readingOrder="2"/>
      <protection locked="0"/>
    </xf>
    <xf numFmtId="0" fontId="2" fillId="3" borderId="9" xfId="0" applyFont="1" applyFill="1" applyBorder="1" applyAlignment="1" applyProtection="1">
      <alignment horizontal="center" vertical="center" wrapText="1" readingOrder="2"/>
      <protection locked="0"/>
    </xf>
    <xf numFmtId="0" fontId="2" fillId="3" borderId="9" xfId="0" applyFont="1" applyFill="1" applyBorder="1" applyAlignment="1" applyProtection="1">
      <alignment horizontal="center" vertical="center" readingOrder="2"/>
      <protection locked="0"/>
    </xf>
    <xf numFmtId="0" fontId="2" fillId="3" borderId="29" xfId="0" applyFont="1" applyFill="1" applyBorder="1" applyAlignment="1" applyProtection="1">
      <alignment horizontal="center" vertical="center" readingOrder="2"/>
      <protection locked="0"/>
    </xf>
    <xf numFmtId="0" fontId="6" fillId="2" borderId="11" xfId="0" applyFont="1" applyFill="1" applyBorder="1" applyAlignment="1" applyProtection="1">
      <alignment horizontal="center" vertical="center" wrapText="1" readingOrder="2"/>
      <protection locked="0"/>
    </xf>
    <xf numFmtId="0" fontId="6" fillId="2" borderId="32" xfId="0" applyFont="1" applyFill="1" applyBorder="1" applyAlignment="1" applyProtection="1">
      <alignment horizontal="center" vertical="center" wrapText="1" readingOrder="2"/>
      <protection locked="0"/>
    </xf>
    <xf numFmtId="0" fontId="6" fillId="2" borderId="5" xfId="0" applyFont="1" applyFill="1" applyBorder="1" applyAlignment="1" applyProtection="1">
      <alignment horizontal="center" vertical="center" wrapText="1" readingOrder="2"/>
      <protection locked="0"/>
    </xf>
    <xf numFmtId="0" fontId="2" fillId="3" borderId="11" xfId="0" applyFont="1" applyFill="1" applyBorder="1" applyAlignment="1" applyProtection="1">
      <alignment horizontal="center" vertical="center" readingOrder="2"/>
      <protection locked="0"/>
    </xf>
    <xf numFmtId="0" fontId="2" fillId="3" borderId="5" xfId="0" applyFont="1" applyFill="1" applyBorder="1" applyAlignment="1" applyProtection="1">
      <alignment horizontal="center" vertical="center" readingOrder="2"/>
      <protection locked="0"/>
    </xf>
    <xf numFmtId="0" fontId="2" fillId="3" borderId="42" xfId="0" applyFont="1" applyFill="1" applyBorder="1" applyAlignment="1" applyProtection="1">
      <alignment horizontal="center" vertical="center" readingOrder="2"/>
      <protection locked="0"/>
    </xf>
    <xf numFmtId="0" fontId="2" fillId="3" borderId="54" xfId="0" applyFont="1" applyFill="1" applyBorder="1" applyAlignment="1" applyProtection="1">
      <alignment horizontal="center" vertical="center" readingOrder="2"/>
      <protection locked="0"/>
    </xf>
    <xf numFmtId="0" fontId="2" fillId="3" borderId="30" xfId="0" applyFont="1" applyFill="1" applyBorder="1" applyAlignment="1" applyProtection="1">
      <alignment horizontal="center" vertical="center" readingOrder="2"/>
      <protection locked="0"/>
    </xf>
    <xf numFmtId="0" fontId="2" fillId="3" borderId="34" xfId="0" applyFont="1" applyFill="1" applyBorder="1" applyAlignment="1" applyProtection="1">
      <alignment horizontal="center" vertical="center" readingOrder="2"/>
      <protection locked="0"/>
    </xf>
    <xf numFmtId="0" fontId="1" fillId="3" borderId="33" xfId="0" applyFont="1" applyFill="1" applyBorder="1" applyAlignment="1" applyProtection="1">
      <alignment horizontal="center" vertical="center" wrapText="1" readingOrder="2"/>
      <protection locked="0"/>
    </xf>
    <xf numFmtId="0" fontId="1" fillId="3" borderId="10" xfId="0" applyFont="1" applyFill="1" applyBorder="1" applyAlignment="1" applyProtection="1">
      <alignment horizontal="center" vertical="center" wrapText="1" readingOrder="2"/>
      <protection locked="0"/>
    </xf>
    <xf numFmtId="0" fontId="1" fillId="3" borderId="32" xfId="0" applyFont="1" applyFill="1" applyBorder="1" applyAlignment="1" applyProtection="1">
      <alignment horizontal="center" vertical="center" wrapText="1" readingOrder="2"/>
      <protection locked="0"/>
    </xf>
    <xf numFmtId="0" fontId="1" fillId="3" borderId="5" xfId="0" applyFont="1" applyFill="1" applyBorder="1" applyAlignment="1" applyProtection="1">
      <alignment horizontal="center" vertical="center" wrapText="1" readingOrder="2"/>
      <protection locked="0"/>
    </xf>
    <xf numFmtId="0" fontId="2" fillId="0" borderId="54" xfId="0" applyFont="1" applyBorder="1" applyAlignment="1">
      <alignment horizontal="center" readingOrder="2"/>
    </xf>
    <xf numFmtId="0" fontId="2" fillId="0" borderId="34" xfId="0" applyFont="1" applyBorder="1" applyAlignment="1">
      <alignment horizontal="center" readingOrder="2"/>
    </xf>
    <xf numFmtId="0" fontId="12" fillId="2" borderId="42" xfId="0" applyFont="1" applyFill="1" applyBorder="1" applyAlignment="1">
      <alignment horizontal="center" vertical="center" readingOrder="2"/>
    </xf>
    <xf numFmtId="0" fontId="12" fillId="2" borderId="54" xfId="0" applyFont="1" applyFill="1" applyBorder="1" applyAlignment="1">
      <alignment horizontal="center" vertical="center" readingOrder="2"/>
    </xf>
    <xf numFmtId="0" fontId="10" fillId="2" borderId="29" xfId="0" applyFont="1" applyFill="1" applyBorder="1" applyAlignment="1">
      <alignment horizontal="center" vertical="center" readingOrder="2"/>
    </xf>
    <xf numFmtId="0" fontId="7" fillId="2" borderId="11" xfId="0" applyFont="1" applyFill="1" applyBorder="1" applyAlignment="1">
      <alignment horizontal="center" vertical="center" wrapText="1" readingOrder="2"/>
    </xf>
    <xf numFmtId="0" fontId="7" fillId="2" borderId="5" xfId="0" applyFont="1" applyFill="1" applyBorder="1" applyAlignment="1">
      <alignment horizontal="center" vertical="center" wrapText="1" readingOrder="2"/>
    </xf>
    <xf numFmtId="0" fontId="7" fillId="2" borderId="9" xfId="0" applyFont="1" applyFill="1" applyBorder="1" applyAlignment="1">
      <alignment horizontal="center" vertical="center" wrapText="1" readingOrder="2"/>
    </xf>
    <xf numFmtId="0" fontId="7" fillId="2" borderId="10" xfId="0" applyFont="1" applyFill="1" applyBorder="1" applyAlignment="1">
      <alignment horizontal="center" vertical="center" wrapText="1" readingOrder="2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2" borderId="32" xfId="0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2" fillId="2" borderId="11" xfId="0" applyFont="1" applyFill="1" applyBorder="1" applyAlignment="1">
      <alignment horizontal="center" vertical="center" readingOrder="2"/>
    </xf>
    <xf numFmtId="0" fontId="12" fillId="2" borderId="5" xfId="0" applyFont="1" applyFill="1" applyBorder="1" applyAlignment="1">
      <alignment horizontal="center" vertical="center" readingOrder="2"/>
    </xf>
    <xf numFmtId="0" fontId="12" fillId="2" borderId="9" xfId="0" applyFont="1" applyFill="1" applyBorder="1" applyAlignment="1">
      <alignment horizontal="center" vertical="center" wrapText="1" readingOrder="2"/>
    </xf>
    <xf numFmtId="0" fontId="12" fillId="2" borderId="10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readingOrder="2"/>
    </xf>
    <xf numFmtId="0" fontId="12" fillId="2" borderId="29" xfId="0" applyFont="1" applyFill="1" applyBorder="1" applyAlignment="1">
      <alignment horizontal="center" vertical="center" readingOrder="2"/>
    </xf>
    <xf numFmtId="0" fontId="18" fillId="0" borderId="67" xfId="0" applyFont="1" applyBorder="1" applyAlignment="1">
      <alignment vertical="center" wrapText="1" readingOrder="2"/>
    </xf>
    <xf numFmtId="0" fontId="18" fillId="9" borderId="67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160"/>
  <sheetViews>
    <sheetView rightToLeft="1" tabSelected="1" topLeftCell="DW37" zoomScaleNormal="100" workbookViewId="0">
      <selection activeCell="EG28" sqref="EG28"/>
    </sheetView>
  </sheetViews>
  <sheetFormatPr defaultColWidth="9.140625" defaultRowHeight="17.100000000000001" customHeight="1" x14ac:dyDescent="0.25"/>
  <cols>
    <col min="1" max="1" width="10.85546875" style="144" customWidth="1"/>
    <col min="2" max="13" width="9.5703125" style="56" customWidth="1"/>
    <col min="14" max="14" width="4.140625" style="56" customWidth="1"/>
    <col min="15" max="15" width="10.5703125" style="144" customWidth="1"/>
    <col min="16" max="17" width="8.5703125" style="56" customWidth="1"/>
    <col min="18" max="18" width="9.5703125" style="56" customWidth="1"/>
    <col min="19" max="19" width="9" style="56" customWidth="1"/>
    <col min="20" max="20" width="9.28515625" style="56" customWidth="1"/>
    <col min="21" max="21" width="8.5703125" style="56" customWidth="1"/>
    <col min="22" max="22" width="9.42578125" style="56" customWidth="1"/>
    <col min="23" max="23" width="10" style="56" customWidth="1"/>
    <col min="24" max="24" width="8.7109375" style="56" customWidth="1"/>
    <col min="25" max="25" width="9.5703125" style="56" customWidth="1"/>
    <col min="26" max="26" width="7.5703125" style="56" customWidth="1"/>
    <col min="27" max="27" width="8.85546875" style="56" customWidth="1"/>
    <col min="28" max="28" width="4.28515625" style="56" customWidth="1"/>
    <col min="29" max="29" width="10.85546875" style="144" customWidth="1"/>
    <col min="30" max="30" width="7.85546875" style="56" customWidth="1"/>
    <col min="31" max="31" width="7.140625" style="56" customWidth="1"/>
    <col min="32" max="32" width="9.5703125" style="56" customWidth="1"/>
    <col min="33" max="33" width="9" style="56" customWidth="1"/>
    <col min="34" max="34" width="9.28515625" style="56" customWidth="1"/>
    <col min="35" max="35" width="8.5703125" style="56" customWidth="1"/>
    <col min="36" max="36" width="9.42578125" style="56" customWidth="1"/>
    <col min="37" max="37" width="10" style="56" customWidth="1"/>
    <col min="38" max="38" width="8.7109375" style="56" customWidth="1"/>
    <col min="39" max="39" width="9.5703125" style="56" customWidth="1"/>
    <col min="40" max="40" width="7.5703125" style="56" customWidth="1"/>
    <col min="41" max="41" width="8.85546875" style="56" customWidth="1"/>
    <col min="42" max="42" width="4" style="56" customWidth="1"/>
    <col min="43" max="43" width="10.42578125" style="144" customWidth="1"/>
    <col min="44" max="45" width="8.5703125" style="56" customWidth="1"/>
    <col min="46" max="46" width="9.5703125" style="56" customWidth="1"/>
    <col min="47" max="47" width="9" style="56" customWidth="1"/>
    <col min="48" max="48" width="9.28515625" style="56" customWidth="1"/>
    <col min="49" max="49" width="8.5703125" style="56" customWidth="1"/>
    <col min="50" max="50" width="9.42578125" style="56" customWidth="1"/>
    <col min="51" max="51" width="10" style="56" customWidth="1"/>
    <col min="52" max="52" width="8.7109375" style="56" customWidth="1"/>
    <col min="53" max="53" width="9.5703125" style="56" customWidth="1"/>
    <col min="54" max="54" width="7.5703125" style="56" customWidth="1"/>
    <col min="55" max="55" width="8.85546875" style="56" customWidth="1"/>
    <col min="56" max="56" width="4" style="56" customWidth="1"/>
    <col min="57" max="57" width="9.140625" style="144" customWidth="1"/>
    <col min="58" max="58" width="8.5703125" style="56" customWidth="1"/>
    <col min="59" max="59" width="7" style="56" customWidth="1"/>
    <col min="60" max="60" width="9.5703125" style="56" customWidth="1"/>
    <col min="61" max="61" width="9" style="56" customWidth="1"/>
    <col min="62" max="62" width="9.28515625" style="56" customWidth="1"/>
    <col min="63" max="63" width="8.5703125" style="56" customWidth="1"/>
    <col min="64" max="64" width="9.42578125" style="56" customWidth="1"/>
    <col min="65" max="65" width="10" style="56" customWidth="1"/>
    <col min="66" max="66" width="8.7109375" style="56" customWidth="1"/>
    <col min="67" max="67" width="9.5703125" style="56" customWidth="1"/>
    <col min="68" max="68" width="7.5703125" style="56" customWidth="1"/>
    <col min="69" max="69" width="8.85546875" style="56" customWidth="1"/>
    <col min="70" max="70" width="3.42578125" style="56" customWidth="1"/>
    <col min="71" max="71" width="8.5703125" style="144" customWidth="1"/>
    <col min="72" max="72" width="8" style="56" customWidth="1"/>
    <col min="73" max="73" width="5.85546875" style="56" customWidth="1"/>
    <col min="74" max="74" width="9.5703125" style="56" customWidth="1"/>
    <col min="75" max="75" width="9" style="56" customWidth="1"/>
    <col min="76" max="76" width="9.28515625" style="56" customWidth="1"/>
    <col min="77" max="77" width="8.5703125" style="56" customWidth="1"/>
    <col min="78" max="78" width="9.42578125" style="56" customWidth="1"/>
    <col min="79" max="79" width="10" style="56" customWidth="1"/>
    <col min="80" max="80" width="8.7109375" style="56" customWidth="1"/>
    <col min="81" max="81" width="9.5703125" style="56" customWidth="1"/>
    <col min="82" max="82" width="7.5703125" style="56" customWidth="1"/>
    <col min="83" max="83" width="8.85546875" style="56" customWidth="1"/>
    <col min="84" max="84" width="3.140625" style="56" customWidth="1"/>
    <col min="85" max="85" width="8.5703125" style="144" customWidth="1"/>
    <col min="86" max="87" width="8.5703125" style="56" customWidth="1"/>
    <col min="88" max="88" width="9.5703125" style="56" customWidth="1"/>
    <col min="89" max="89" width="9" style="56" customWidth="1"/>
    <col min="90" max="90" width="9.28515625" style="56" customWidth="1"/>
    <col min="91" max="91" width="8.5703125" style="56" customWidth="1"/>
    <col min="92" max="92" width="9.42578125" style="56" customWidth="1"/>
    <col min="93" max="93" width="10" style="56" customWidth="1"/>
    <col min="94" max="94" width="8.7109375" style="56" customWidth="1"/>
    <col min="95" max="95" width="9.5703125" style="56" customWidth="1"/>
    <col min="96" max="96" width="7.5703125" style="56" customWidth="1"/>
    <col min="97" max="97" width="8.85546875" style="56" customWidth="1"/>
    <col min="98" max="98" width="3.28515625" style="56" customWidth="1"/>
    <col min="99" max="99" width="8.5703125" style="144" customWidth="1"/>
    <col min="100" max="101" width="8.5703125" style="56" customWidth="1"/>
    <col min="102" max="102" width="9.5703125" style="56" customWidth="1"/>
    <col min="103" max="103" width="9" style="56" customWidth="1"/>
    <col min="104" max="104" width="9.28515625" style="56" customWidth="1"/>
    <col min="105" max="105" width="8.5703125" style="56" customWidth="1"/>
    <col min="106" max="106" width="9.42578125" style="56" customWidth="1"/>
    <col min="107" max="107" width="10" style="56" customWidth="1"/>
    <col min="108" max="108" width="8.7109375" style="56" customWidth="1"/>
    <col min="109" max="109" width="9.5703125" style="56" customWidth="1"/>
    <col min="110" max="110" width="7.5703125" style="56" customWidth="1"/>
    <col min="111" max="111" width="8.85546875" style="56" customWidth="1"/>
    <col min="112" max="112" width="3.42578125" style="56" customWidth="1"/>
    <col min="113" max="113" width="8.5703125" style="144" customWidth="1"/>
    <col min="114" max="115" width="8.5703125" style="56" customWidth="1"/>
    <col min="116" max="116" width="9.5703125" style="56" customWidth="1"/>
    <col min="117" max="117" width="9" style="56" customWidth="1"/>
    <col min="118" max="118" width="9.28515625" style="56" customWidth="1"/>
    <col min="119" max="119" width="8.5703125" style="56" customWidth="1"/>
    <col min="120" max="120" width="9.42578125" style="56" customWidth="1"/>
    <col min="121" max="121" width="10" style="56" customWidth="1"/>
    <col min="122" max="122" width="8.7109375" style="56" customWidth="1"/>
    <col min="123" max="123" width="9.5703125" style="56" customWidth="1"/>
    <col min="124" max="124" width="7.5703125" style="56" customWidth="1"/>
    <col min="125" max="125" width="8.85546875" style="56" customWidth="1"/>
    <col min="126" max="126" width="3.85546875" style="56" customWidth="1"/>
    <col min="127" max="127" width="8.5703125" style="144" customWidth="1"/>
    <col min="128" max="129" width="8.5703125" style="56" customWidth="1"/>
    <col min="130" max="130" width="9.5703125" style="56" customWidth="1"/>
    <col min="131" max="131" width="9" style="56" customWidth="1"/>
    <col min="132" max="132" width="9.28515625" style="56" customWidth="1"/>
    <col min="133" max="133" width="8.5703125" style="56" customWidth="1"/>
    <col min="134" max="134" width="9.42578125" style="56" customWidth="1"/>
    <col min="135" max="135" width="10" style="56" customWidth="1"/>
    <col min="136" max="136" width="8.7109375" style="56" customWidth="1"/>
    <col min="137" max="137" width="9.5703125" style="56" customWidth="1"/>
    <col min="138" max="138" width="7.5703125" style="56" customWidth="1"/>
    <col min="139" max="139" width="8.85546875" style="56" customWidth="1"/>
    <col min="140" max="140" width="3.7109375" style="56" customWidth="1"/>
    <col min="141" max="141" width="8.5703125" style="144" customWidth="1"/>
    <col min="142" max="142" width="8.5703125" style="56" customWidth="1"/>
    <col min="143" max="143" width="6.7109375" style="56" customWidth="1"/>
    <col min="144" max="144" width="9.5703125" style="56" customWidth="1"/>
    <col min="145" max="145" width="9" style="56" customWidth="1"/>
    <col min="146" max="146" width="9.28515625" style="56" customWidth="1"/>
    <col min="147" max="147" width="8.5703125" style="56" customWidth="1"/>
    <col min="148" max="148" width="9.42578125" style="56" customWidth="1"/>
    <col min="149" max="149" width="10" style="56" customWidth="1"/>
    <col min="150" max="150" width="8.7109375" style="56" customWidth="1"/>
    <col min="151" max="151" width="9.5703125" style="56" customWidth="1"/>
    <col min="152" max="152" width="7.5703125" style="56" customWidth="1"/>
    <col min="153" max="153" width="8.85546875" style="56" customWidth="1"/>
    <col min="154" max="154" width="5.28515625" style="56" customWidth="1"/>
    <col min="155" max="155" width="8.5703125" style="144" customWidth="1"/>
    <col min="156" max="157" width="8.5703125" style="56" customWidth="1"/>
    <col min="158" max="158" width="9.5703125" style="56" customWidth="1"/>
    <col min="159" max="159" width="9" style="56" customWidth="1"/>
    <col min="160" max="160" width="9.28515625" style="56" customWidth="1"/>
    <col min="161" max="161" width="8.5703125" style="56" customWidth="1"/>
    <col min="162" max="162" width="9.42578125" style="56" customWidth="1"/>
    <col min="163" max="163" width="10" style="56" customWidth="1"/>
    <col min="164" max="164" width="8.7109375" style="56" customWidth="1"/>
    <col min="165" max="165" width="9.5703125" style="56" customWidth="1"/>
    <col min="166" max="166" width="7.5703125" style="56" customWidth="1"/>
    <col min="167" max="167" width="8.85546875" style="56" customWidth="1"/>
    <col min="168" max="168" width="5.28515625" style="142" customWidth="1"/>
    <col min="169" max="169" width="8.5703125" style="144" customWidth="1"/>
    <col min="170" max="170" width="7" style="56" customWidth="1"/>
    <col min="171" max="171" width="7.5703125" style="56" customWidth="1"/>
    <col min="172" max="172" width="10.5703125" style="56" customWidth="1"/>
    <col min="173" max="173" width="9" style="56" customWidth="1"/>
    <col min="174" max="175" width="8.140625" style="56" customWidth="1"/>
    <col min="176" max="176" width="10" style="56" customWidth="1"/>
    <col min="177" max="177" width="11.28515625" style="56" customWidth="1"/>
    <col min="178" max="178" width="9.5703125" style="56" customWidth="1"/>
    <col min="179" max="179" width="9.7109375" style="56" customWidth="1"/>
    <col min="180" max="180" width="7.5703125" style="56" customWidth="1"/>
    <col min="181" max="181" width="10.7109375" style="56" customWidth="1"/>
    <col min="182" max="182" width="2.42578125" style="62" customWidth="1"/>
    <col min="183" max="183" width="3.140625" style="62" customWidth="1"/>
    <col min="184" max="16384" width="9.140625" style="56"/>
  </cols>
  <sheetData>
    <row r="1" spans="1:183" ht="20.100000000000001" customHeight="1" thickBot="1" x14ac:dyDescent="0.3">
      <c r="A1" s="48"/>
      <c r="B1" s="49"/>
      <c r="C1" s="49"/>
      <c r="D1" s="49"/>
      <c r="E1" s="49"/>
      <c r="F1" s="50"/>
      <c r="G1" s="50"/>
      <c r="H1" s="51" t="s">
        <v>0</v>
      </c>
      <c r="I1" s="140">
        <v>1</v>
      </c>
      <c r="J1" s="52" t="s">
        <v>7</v>
      </c>
      <c r="K1" s="50">
        <v>1447</v>
      </c>
      <c r="L1" s="50" t="s">
        <v>26</v>
      </c>
      <c r="M1" s="50"/>
      <c r="N1" s="50"/>
      <c r="O1" s="48"/>
      <c r="P1" s="49"/>
      <c r="Q1" s="49"/>
      <c r="R1" s="49"/>
      <c r="S1" s="49"/>
      <c r="T1" s="50"/>
      <c r="U1" s="50"/>
      <c r="V1" s="51" t="s">
        <v>0</v>
      </c>
      <c r="W1" s="140">
        <v>2</v>
      </c>
      <c r="X1" s="52" t="s">
        <v>7</v>
      </c>
      <c r="Y1" s="50">
        <v>1447</v>
      </c>
      <c r="Z1" s="50" t="s">
        <v>26</v>
      </c>
      <c r="AA1" s="50"/>
      <c r="AB1" s="50"/>
      <c r="AC1" s="48"/>
      <c r="AD1" s="49"/>
      <c r="AE1" s="49"/>
      <c r="AF1" s="49"/>
      <c r="AG1" s="49"/>
      <c r="AH1" s="50"/>
      <c r="AI1" s="50"/>
      <c r="AJ1" s="51" t="s">
        <v>0</v>
      </c>
      <c r="AK1" s="140">
        <v>3</v>
      </c>
      <c r="AL1" s="52" t="s">
        <v>7</v>
      </c>
      <c r="AM1" s="50">
        <v>1447</v>
      </c>
      <c r="AN1" s="50" t="s">
        <v>26</v>
      </c>
      <c r="AO1" s="50"/>
      <c r="AP1" s="50"/>
      <c r="AQ1" s="48"/>
      <c r="AR1" s="49"/>
      <c r="AS1" s="49"/>
      <c r="AT1" s="49"/>
      <c r="AU1" s="49"/>
      <c r="AV1" s="50"/>
      <c r="AW1" s="50"/>
      <c r="AX1" s="51" t="s">
        <v>0</v>
      </c>
      <c r="AY1" s="140">
        <v>4</v>
      </c>
      <c r="AZ1" s="52" t="s">
        <v>7</v>
      </c>
      <c r="BA1" s="50">
        <v>1447</v>
      </c>
      <c r="BB1" s="50" t="s">
        <v>26</v>
      </c>
      <c r="BC1" s="50"/>
      <c r="BD1" s="50"/>
      <c r="BE1" s="48"/>
      <c r="BF1" s="49"/>
      <c r="BG1" s="49"/>
      <c r="BH1" s="49"/>
      <c r="BI1" s="49"/>
      <c r="BJ1" s="50"/>
      <c r="BK1" s="50"/>
      <c r="BL1" s="51" t="s">
        <v>0</v>
      </c>
      <c r="BM1" s="140">
        <v>5</v>
      </c>
      <c r="BN1" s="52" t="s">
        <v>7</v>
      </c>
      <c r="BO1" s="50">
        <v>1447</v>
      </c>
      <c r="BP1" s="50" t="s">
        <v>26</v>
      </c>
      <c r="BQ1" s="50"/>
      <c r="BR1" s="50"/>
      <c r="BS1" s="48"/>
      <c r="BT1" s="49"/>
      <c r="BU1" s="49"/>
      <c r="BV1" s="49"/>
      <c r="BW1" s="49"/>
      <c r="BX1" s="50"/>
      <c r="BY1" s="50"/>
      <c r="BZ1" s="51" t="s">
        <v>0</v>
      </c>
      <c r="CA1" s="140">
        <v>6</v>
      </c>
      <c r="CB1" s="52" t="s">
        <v>7</v>
      </c>
      <c r="CC1" s="50">
        <v>1447</v>
      </c>
      <c r="CD1" s="50" t="s">
        <v>26</v>
      </c>
      <c r="CE1" s="50"/>
      <c r="CF1" s="50"/>
      <c r="CG1" s="48"/>
      <c r="CH1" s="49"/>
      <c r="CI1" s="49"/>
      <c r="CJ1" s="49"/>
      <c r="CK1" s="49"/>
      <c r="CL1" s="50"/>
      <c r="CM1" s="50"/>
      <c r="CN1" s="51" t="s">
        <v>0</v>
      </c>
      <c r="CO1" s="140">
        <v>7</v>
      </c>
      <c r="CP1" s="52" t="s">
        <v>7</v>
      </c>
      <c r="CQ1" s="50">
        <v>1447</v>
      </c>
      <c r="CR1" s="50" t="s">
        <v>26</v>
      </c>
      <c r="CS1" s="50"/>
      <c r="CT1" s="50"/>
      <c r="CU1" s="48"/>
      <c r="CV1" s="49"/>
      <c r="CW1" s="49"/>
      <c r="CX1" s="49"/>
      <c r="CY1" s="49"/>
      <c r="CZ1" s="50"/>
      <c r="DA1" s="50"/>
      <c r="DB1" s="51" t="s">
        <v>0</v>
      </c>
      <c r="DC1" s="140">
        <v>8</v>
      </c>
      <c r="DD1" s="52" t="s">
        <v>7</v>
      </c>
      <c r="DE1" s="50">
        <v>1447</v>
      </c>
      <c r="DF1" s="50" t="s">
        <v>26</v>
      </c>
      <c r="DG1" s="50"/>
      <c r="DH1" s="50"/>
      <c r="DI1" s="48"/>
      <c r="DJ1" s="49"/>
      <c r="DK1" s="49"/>
      <c r="DL1" s="49"/>
      <c r="DM1" s="49"/>
      <c r="DN1" s="50"/>
      <c r="DO1" s="50"/>
      <c r="DP1" s="51" t="s">
        <v>0</v>
      </c>
      <c r="DQ1" s="140">
        <v>9</v>
      </c>
      <c r="DR1" s="52" t="s">
        <v>7</v>
      </c>
      <c r="DS1" s="50">
        <v>1447</v>
      </c>
      <c r="DT1" s="50" t="s">
        <v>26</v>
      </c>
      <c r="DU1" s="50"/>
      <c r="DV1" s="50"/>
      <c r="DW1" s="48"/>
      <c r="DX1" s="49"/>
      <c r="DY1" s="49"/>
      <c r="DZ1" s="49"/>
      <c r="EA1" s="49"/>
      <c r="EB1" s="50"/>
      <c r="EC1" s="50"/>
      <c r="ED1" s="51" t="s">
        <v>0</v>
      </c>
      <c r="EE1" s="140">
        <v>10</v>
      </c>
      <c r="EF1" s="52" t="s">
        <v>7</v>
      </c>
      <c r="EG1" s="50">
        <v>1447</v>
      </c>
      <c r="EH1" s="50" t="s">
        <v>26</v>
      </c>
      <c r="EI1" s="50"/>
      <c r="EJ1" s="50"/>
      <c r="EK1" s="48"/>
      <c r="EL1" s="49"/>
      <c r="EM1" s="49"/>
      <c r="EN1" s="49"/>
      <c r="EO1" s="49"/>
      <c r="EP1" s="50"/>
      <c r="EQ1" s="50"/>
      <c r="ER1" s="51" t="s">
        <v>0</v>
      </c>
      <c r="ES1" s="140">
        <v>11</v>
      </c>
      <c r="ET1" s="52" t="s">
        <v>7</v>
      </c>
      <c r="EU1" s="50">
        <v>1447</v>
      </c>
      <c r="EV1" s="50" t="s">
        <v>26</v>
      </c>
      <c r="EW1" s="50"/>
      <c r="EX1" s="50"/>
      <c r="EY1" s="48"/>
      <c r="EZ1" s="49"/>
      <c r="FA1" s="49"/>
      <c r="FB1" s="49"/>
      <c r="FC1" s="49"/>
      <c r="FD1" s="50"/>
      <c r="FE1" s="50"/>
      <c r="FF1" s="51" t="s">
        <v>0</v>
      </c>
      <c r="FG1" s="140">
        <v>12</v>
      </c>
      <c r="FH1" s="52" t="s">
        <v>7</v>
      </c>
      <c r="FI1" s="50">
        <v>1447</v>
      </c>
      <c r="FJ1" s="50" t="s">
        <v>26</v>
      </c>
      <c r="FK1" s="50"/>
      <c r="FL1" s="145"/>
      <c r="FM1" s="48"/>
      <c r="FN1" s="49"/>
      <c r="FO1" s="49"/>
      <c r="FP1" s="49"/>
      <c r="FQ1" s="49"/>
      <c r="FR1" s="50"/>
      <c r="FS1" s="50"/>
      <c r="FT1" s="51"/>
      <c r="FU1" s="140"/>
      <c r="FV1" s="52" t="s">
        <v>7</v>
      </c>
      <c r="FW1" s="50">
        <f>SUM(FI1)</f>
        <v>1447</v>
      </c>
      <c r="FX1" s="50" t="s">
        <v>26</v>
      </c>
      <c r="FY1" s="53"/>
      <c r="FZ1" s="54"/>
      <c r="GA1" s="55"/>
    </row>
    <row r="2" spans="1:183" ht="20.100000000000001" customHeight="1" x14ac:dyDescent="0.25">
      <c r="A2" s="57" t="s">
        <v>9</v>
      </c>
      <c r="B2" s="58" t="s">
        <v>10</v>
      </c>
      <c r="C2" s="58"/>
      <c r="D2" s="58"/>
      <c r="E2" s="58"/>
      <c r="F2" s="58"/>
      <c r="G2" s="58"/>
      <c r="H2" s="59"/>
      <c r="I2" s="58"/>
      <c r="J2" s="58"/>
      <c r="K2" s="58"/>
      <c r="L2" s="58"/>
      <c r="M2" s="60"/>
      <c r="N2" s="61"/>
      <c r="O2" s="57" t="s">
        <v>9</v>
      </c>
      <c r="P2" s="58" t="s">
        <v>10</v>
      </c>
      <c r="Q2" s="58"/>
      <c r="R2" s="58"/>
      <c r="S2" s="58"/>
      <c r="T2" s="58"/>
      <c r="U2" s="58"/>
      <c r="V2" s="59"/>
      <c r="W2" s="58"/>
      <c r="X2" s="58"/>
      <c r="Y2" s="58"/>
      <c r="Z2" s="58"/>
      <c r="AA2" s="60"/>
      <c r="AB2" s="61"/>
      <c r="AC2" s="57" t="s">
        <v>9</v>
      </c>
      <c r="AD2" s="58" t="s">
        <v>10</v>
      </c>
      <c r="AE2" s="58"/>
      <c r="AF2" s="58"/>
      <c r="AG2" s="58"/>
      <c r="AH2" s="58"/>
      <c r="AI2" s="58"/>
      <c r="AJ2" s="59"/>
      <c r="AK2" s="58"/>
      <c r="AL2" s="58"/>
      <c r="AM2" s="58"/>
      <c r="AN2" s="58"/>
      <c r="AO2" s="60"/>
      <c r="AP2" s="61"/>
      <c r="AQ2" s="57" t="s">
        <v>9</v>
      </c>
      <c r="AR2" s="58" t="s">
        <v>10</v>
      </c>
      <c r="AS2" s="58"/>
      <c r="AT2" s="58"/>
      <c r="AU2" s="58"/>
      <c r="AV2" s="58"/>
      <c r="AW2" s="58"/>
      <c r="AX2" s="59"/>
      <c r="AY2" s="58"/>
      <c r="AZ2" s="58"/>
      <c r="BA2" s="58"/>
      <c r="BB2" s="58"/>
      <c r="BC2" s="60"/>
      <c r="BD2" s="61"/>
      <c r="BE2" s="57" t="s">
        <v>9</v>
      </c>
      <c r="BF2" s="58" t="s">
        <v>10</v>
      </c>
      <c r="BG2" s="58"/>
      <c r="BH2" s="58"/>
      <c r="BI2" s="58"/>
      <c r="BJ2" s="58"/>
      <c r="BK2" s="58"/>
      <c r="BL2" s="59"/>
      <c r="BM2" s="58"/>
      <c r="BN2" s="58"/>
      <c r="BO2" s="58"/>
      <c r="BP2" s="58"/>
      <c r="BQ2" s="60"/>
      <c r="BR2" s="61"/>
      <c r="BS2" s="57" t="s">
        <v>9</v>
      </c>
      <c r="BT2" s="58" t="s">
        <v>10</v>
      </c>
      <c r="BU2" s="58"/>
      <c r="BV2" s="58"/>
      <c r="BW2" s="58"/>
      <c r="BX2" s="58"/>
      <c r="BY2" s="58"/>
      <c r="BZ2" s="59"/>
      <c r="CA2" s="58"/>
      <c r="CB2" s="58"/>
      <c r="CC2" s="58"/>
      <c r="CD2" s="58"/>
      <c r="CE2" s="60"/>
      <c r="CF2" s="61"/>
      <c r="CG2" s="57" t="s">
        <v>9</v>
      </c>
      <c r="CH2" s="58" t="s">
        <v>10</v>
      </c>
      <c r="CI2" s="58"/>
      <c r="CJ2" s="58"/>
      <c r="CK2" s="58"/>
      <c r="CL2" s="58"/>
      <c r="CM2" s="58"/>
      <c r="CN2" s="59"/>
      <c r="CO2" s="58"/>
      <c r="CP2" s="58"/>
      <c r="CQ2" s="58"/>
      <c r="CR2" s="58"/>
      <c r="CS2" s="60"/>
      <c r="CT2" s="61"/>
      <c r="CU2" s="57" t="s">
        <v>9</v>
      </c>
      <c r="CV2" s="58" t="s">
        <v>10</v>
      </c>
      <c r="CW2" s="58"/>
      <c r="CX2" s="58"/>
      <c r="CY2" s="58"/>
      <c r="CZ2" s="58"/>
      <c r="DA2" s="58"/>
      <c r="DB2" s="59"/>
      <c r="DC2" s="58"/>
      <c r="DD2" s="58"/>
      <c r="DE2" s="58"/>
      <c r="DF2" s="58"/>
      <c r="DG2" s="60"/>
      <c r="DH2" s="61"/>
      <c r="DI2" s="57" t="s">
        <v>9</v>
      </c>
      <c r="DJ2" s="58" t="s">
        <v>10</v>
      </c>
      <c r="DK2" s="58"/>
      <c r="DL2" s="58"/>
      <c r="DM2" s="58"/>
      <c r="DN2" s="58"/>
      <c r="DO2" s="58"/>
      <c r="DP2" s="59"/>
      <c r="DQ2" s="58"/>
      <c r="DR2" s="58"/>
      <c r="DS2" s="58"/>
      <c r="DT2" s="58"/>
      <c r="DU2" s="60"/>
      <c r="DV2" s="61"/>
      <c r="DW2" s="57" t="s">
        <v>9</v>
      </c>
      <c r="DX2" s="58" t="s">
        <v>10</v>
      </c>
      <c r="DY2" s="58"/>
      <c r="DZ2" s="58"/>
      <c r="EA2" s="58"/>
      <c r="EB2" s="58"/>
      <c r="EC2" s="58"/>
      <c r="ED2" s="59"/>
      <c r="EE2" s="58"/>
      <c r="EF2" s="58"/>
      <c r="EG2" s="58"/>
      <c r="EH2" s="58"/>
      <c r="EI2" s="60"/>
      <c r="EJ2" s="61"/>
      <c r="EK2" s="57" t="s">
        <v>9</v>
      </c>
      <c r="EL2" s="58" t="s">
        <v>10</v>
      </c>
      <c r="EM2" s="58"/>
      <c r="EN2" s="58"/>
      <c r="EO2" s="58"/>
      <c r="EP2" s="58"/>
      <c r="EQ2" s="58"/>
      <c r="ER2" s="59"/>
      <c r="ES2" s="58"/>
      <c r="ET2" s="58"/>
      <c r="EU2" s="58"/>
      <c r="EV2" s="58"/>
      <c r="EW2" s="60"/>
      <c r="EX2" s="61"/>
      <c r="EY2" s="57" t="s">
        <v>9</v>
      </c>
      <c r="EZ2" s="58" t="s">
        <v>10</v>
      </c>
      <c r="FA2" s="58"/>
      <c r="FB2" s="58"/>
      <c r="FC2" s="58"/>
      <c r="FD2" s="58"/>
      <c r="FE2" s="58"/>
      <c r="FF2" s="59"/>
      <c r="FG2" s="58"/>
      <c r="FH2" s="58"/>
      <c r="FI2" s="58"/>
      <c r="FJ2" s="58"/>
      <c r="FK2" s="60"/>
      <c r="FM2" s="57" t="s">
        <v>9</v>
      </c>
      <c r="FN2" s="58" t="s">
        <v>28</v>
      </c>
      <c r="FO2" s="58"/>
      <c r="FP2" s="58"/>
      <c r="FQ2" s="58"/>
      <c r="FR2" s="58"/>
      <c r="FS2" s="58"/>
      <c r="FT2" s="59"/>
      <c r="FU2" s="58"/>
      <c r="FV2" s="58"/>
      <c r="FW2" s="58"/>
      <c r="FX2" s="58"/>
      <c r="FY2" s="60"/>
      <c r="GA2" s="61"/>
    </row>
    <row r="3" spans="1:183" ht="20.100000000000001" customHeight="1" thickBot="1" x14ac:dyDescent="0.3">
      <c r="A3" s="63"/>
      <c r="B3" s="64"/>
      <c r="C3" s="65"/>
      <c r="D3" s="66"/>
      <c r="E3" s="66"/>
      <c r="F3" s="66"/>
      <c r="G3" s="66"/>
      <c r="H3" s="66"/>
      <c r="I3" s="65"/>
      <c r="J3" s="65"/>
      <c r="K3" s="65"/>
      <c r="L3" s="65"/>
      <c r="M3" s="67"/>
      <c r="N3" s="61"/>
      <c r="O3" s="63"/>
      <c r="P3" s="64"/>
      <c r="Q3" s="65"/>
      <c r="R3" s="66"/>
      <c r="S3" s="66"/>
      <c r="T3" s="66"/>
      <c r="U3" s="66"/>
      <c r="V3" s="66"/>
      <c r="W3" s="65"/>
      <c r="X3" s="65"/>
      <c r="Y3" s="65"/>
      <c r="Z3" s="65"/>
      <c r="AA3" s="67"/>
      <c r="AB3" s="61"/>
      <c r="AC3" s="63"/>
      <c r="AD3" s="64"/>
      <c r="AE3" s="65"/>
      <c r="AF3" s="66"/>
      <c r="AG3" s="66"/>
      <c r="AH3" s="66"/>
      <c r="AI3" s="66"/>
      <c r="AJ3" s="66"/>
      <c r="AK3" s="65"/>
      <c r="AL3" s="65"/>
      <c r="AM3" s="65"/>
      <c r="AN3" s="65"/>
      <c r="AO3" s="67"/>
      <c r="AP3" s="61"/>
      <c r="AQ3" s="63"/>
      <c r="AR3" s="64"/>
      <c r="AS3" s="65"/>
      <c r="AT3" s="66"/>
      <c r="AU3" s="66"/>
      <c r="AV3" s="66"/>
      <c r="AW3" s="66"/>
      <c r="AX3" s="66"/>
      <c r="AY3" s="65"/>
      <c r="AZ3" s="65"/>
      <c r="BA3" s="65"/>
      <c r="BB3" s="65"/>
      <c r="BC3" s="67"/>
      <c r="BD3" s="61"/>
      <c r="BE3" s="63"/>
      <c r="BF3" s="64"/>
      <c r="BG3" s="65"/>
      <c r="BH3" s="66"/>
      <c r="BI3" s="66"/>
      <c r="BJ3" s="66"/>
      <c r="BK3" s="66"/>
      <c r="BL3" s="66"/>
      <c r="BM3" s="65"/>
      <c r="BN3" s="65"/>
      <c r="BO3" s="65"/>
      <c r="BP3" s="65"/>
      <c r="BQ3" s="67"/>
      <c r="BR3" s="61"/>
      <c r="BS3" s="63"/>
      <c r="BT3" s="64"/>
      <c r="BU3" s="65"/>
      <c r="BV3" s="66"/>
      <c r="BW3" s="66"/>
      <c r="BX3" s="66"/>
      <c r="BY3" s="66"/>
      <c r="BZ3" s="66"/>
      <c r="CA3" s="65"/>
      <c r="CB3" s="65"/>
      <c r="CC3" s="65"/>
      <c r="CD3" s="65"/>
      <c r="CE3" s="67"/>
      <c r="CF3" s="61"/>
      <c r="CG3" s="63"/>
      <c r="CH3" s="64"/>
      <c r="CI3" s="65"/>
      <c r="CJ3" s="66"/>
      <c r="CK3" s="66"/>
      <c r="CL3" s="66"/>
      <c r="CM3" s="66"/>
      <c r="CN3" s="66"/>
      <c r="CO3" s="65"/>
      <c r="CP3" s="65"/>
      <c r="CQ3" s="65"/>
      <c r="CR3" s="65"/>
      <c r="CS3" s="67"/>
      <c r="CT3" s="61"/>
      <c r="CU3" s="63"/>
      <c r="CV3" s="64"/>
      <c r="CW3" s="65"/>
      <c r="CX3" s="66"/>
      <c r="CY3" s="66"/>
      <c r="CZ3" s="66"/>
      <c r="DA3" s="66"/>
      <c r="DB3" s="66"/>
      <c r="DC3" s="65"/>
      <c r="DD3" s="65"/>
      <c r="DE3" s="65"/>
      <c r="DF3" s="65"/>
      <c r="DG3" s="67"/>
      <c r="DH3" s="61"/>
      <c r="DI3" s="63"/>
      <c r="DJ3" s="64"/>
      <c r="DK3" s="65"/>
      <c r="DL3" s="66"/>
      <c r="DM3" s="66"/>
      <c r="DN3" s="66"/>
      <c r="DO3" s="66"/>
      <c r="DP3" s="66"/>
      <c r="DQ3" s="65"/>
      <c r="DR3" s="65"/>
      <c r="DS3" s="65"/>
      <c r="DT3" s="65"/>
      <c r="DU3" s="67"/>
      <c r="DV3" s="61"/>
      <c r="DW3" s="63"/>
      <c r="DX3" s="64"/>
      <c r="DY3" s="65"/>
      <c r="DZ3" s="66"/>
      <c r="EA3" s="66"/>
      <c r="EB3" s="66"/>
      <c r="EC3" s="66"/>
      <c r="ED3" s="66"/>
      <c r="EE3" s="65"/>
      <c r="EF3" s="65"/>
      <c r="EG3" s="65"/>
      <c r="EH3" s="65"/>
      <c r="EI3" s="67"/>
      <c r="EJ3" s="61"/>
      <c r="EK3" s="63"/>
      <c r="EL3" s="64"/>
      <c r="EM3" s="65"/>
      <c r="EN3" s="66"/>
      <c r="EO3" s="66"/>
      <c r="EP3" s="66"/>
      <c r="EQ3" s="66"/>
      <c r="ER3" s="66"/>
      <c r="ES3" s="65"/>
      <c r="ET3" s="65"/>
      <c r="EU3" s="65"/>
      <c r="EV3" s="65"/>
      <c r="EW3" s="67"/>
      <c r="EX3" s="61"/>
      <c r="EY3" s="63"/>
      <c r="EZ3" s="64"/>
      <c r="FA3" s="65"/>
      <c r="FB3" s="66"/>
      <c r="FC3" s="66"/>
      <c r="FD3" s="66"/>
      <c r="FE3" s="66"/>
      <c r="FF3" s="66"/>
      <c r="FG3" s="65"/>
      <c r="FH3" s="65"/>
      <c r="FI3" s="65"/>
      <c r="FJ3" s="65"/>
      <c r="FK3" s="67"/>
      <c r="FM3" s="63"/>
      <c r="FN3" s="64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7"/>
      <c r="GA3" s="61"/>
    </row>
    <row r="4" spans="1:183" s="76" customFormat="1" ht="23.25" customHeight="1" x14ac:dyDescent="0.2">
      <c r="A4" s="314" t="s">
        <v>1</v>
      </c>
      <c r="B4" s="314" t="s">
        <v>6</v>
      </c>
      <c r="C4" s="312" t="s">
        <v>8</v>
      </c>
      <c r="D4" s="141" t="s">
        <v>11</v>
      </c>
      <c r="E4" s="68" t="s">
        <v>12</v>
      </c>
      <c r="F4" s="68" t="s">
        <v>13</v>
      </c>
      <c r="G4" s="68" t="s">
        <v>27</v>
      </c>
      <c r="H4" s="69" t="s">
        <v>15</v>
      </c>
      <c r="I4" s="70" t="s">
        <v>2</v>
      </c>
      <c r="J4" s="71" t="s">
        <v>16</v>
      </c>
      <c r="K4" s="72" t="s">
        <v>3</v>
      </c>
      <c r="L4" s="69" t="s">
        <v>4</v>
      </c>
      <c r="M4" s="73" t="s">
        <v>17</v>
      </c>
      <c r="N4" s="74"/>
      <c r="O4" s="314" t="s">
        <v>1</v>
      </c>
      <c r="P4" s="314" t="s">
        <v>6</v>
      </c>
      <c r="Q4" s="312" t="s">
        <v>8</v>
      </c>
      <c r="R4" s="141" t="s">
        <v>11</v>
      </c>
      <c r="S4" s="68" t="s">
        <v>12</v>
      </c>
      <c r="T4" s="68" t="s">
        <v>13</v>
      </c>
      <c r="U4" s="68" t="s">
        <v>27</v>
      </c>
      <c r="V4" s="69" t="s">
        <v>15</v>
      </c>
      <c r="W4" s="70" t="s">
        <v>2</v>
      </c>
      <c r="X4" s="71" t="s">
        <v>16</v>
      </c>
      <c r="Y4" s="72" t="s">
        <v>3</v>
      </c>
      <c r="Z4" s="69" t="s">
        <v>4</v>
      </c>
      <c r="AA4" s="73" t="s">
        <v>17</v>
      </c>
      <c r="AB4" s="74"/>
      <c r="AC4" s="314" t="s">
        <v>1</v>
      </c>
      <c r="AD4" s="314" t="s">
        <v>6</v>
      </c>
      <c r="AE4" s="312" t="s">
        <v>8</v>
      </c>
      <c r="AF4" s="141" t="s">
        <v>11</v>
      </c>
      <c r="AG4" s="68" t="s">
        <v>12</v>
      </c>
      <c r="AH4" s="68" t="s">
        <v>13</v>
      </c>
      <c r="AI4" s="68" t="s">
        <v>27</v>
      </c>
      <c r="AJ4" s="69" t="s">
        <v>15</v>
      </c>
      <c r="AK4" s="70" t="s">
        <v>2</v>
      </c>
      <c r="AL4" s="71" t="s">
        <v>16</v>
      </c>
      <c r="AM4" s="72" t="s">
        <v>3</v>
      </c>
      <c r="AN4" s="69" t="s">
        <v>4</v>
      </c>
      <c r="AO4" s="73" t="s">
        <v>17</v>
      </c>
      <c r="AP4" s="74"/>
      <c r="AQ4" s="314" t="s">
        <v>1</v>
      </c>
      <c r="AR4" s="314" t="s">
        <v>6</v>
      </c>
      <c r="AS4" s="312" t="s">
        <v>8</v>
      </c>
      <c r="AT4" s="141" t="s">
        <v>11</v>
      </c>
      <c r="AU4" s="68" t="s">
        <v>12</v>
      </c>
      <c r="AV4" s="68" t="s">
        <v>13</v>
      </c>
      <c r="AW4" s="68" t="s">
        <v>27</v>
      </c>
      <c r="AX4" s="69" t="s">
        <v>15</v>
      </c>
      <c r="AY4" s="70" t="s">
        <v>2</v>
      </c>
      <c r="AZ4" s="71" t="s">
        <v>16</v>
      </c>
      <c r="BA4" s="72" t="s">
        <v>3</v>
      </c>
      <c r="BB4" s="69" t="s">
        <v>4</v>
      </c>
      <c r="BC4" s="73" t="s">
        <v>17</v>
      </c>
      <c r="BD4" s="74"/>
      <c r="BE4" s="314" t="s">
        <v>1</v>
      </c>
      <c r="BF4" s="314" t="s">
        <v>6</v>
      </c>
      <c r="BG4" s="312" t="s">
        <v>8</v>
      </c>
      <c r="BH4" s="141" t="s">
        <v>11</v>
      </c>
      <c r="BI4" s="68" t="s">
        <v>12</v>
      </c>
      <c r="BJ4" s="68" t="s">
        <v>13</v>
      </c>
      <c r="BK4" s="68" t="s">
        <v>27</v>
      </c>
      <c r="BL4" s="69" t="s">
        <v>15</v>
      </c>
      <c r="BM4" s="70" t="s">
        <v>2</v>
      </c>
      <c r="BN4" s="71" t="s">
        <v>16</v>
      </c>
      <c r="BO4" s="72" t="s">
        <v>3</v>
      </c>
      <c r="BP4" s="69" t="s">
        <v>4</v>
      </c>
      <c r="BQ4" s="73" t="s">
        <v>17</v>
      </c>
      <c r="BR4" s="74"/>
      <c r="BS4" s="314" t="s">
        <v>1</v>
      </c>
      <c r="BT4" s="314" t="s">
        <v>6</v>
      </c>
      <c r="BU4" s="312" t="s">
        <v>8</v>
      </c>
      <c r="BV4" s="141" t="s">
        <v>11</v>
      </c>
      <c r="BW4" s="68" t="s">
        <v>12</v>
      </c>
      <c r="BX4" s="68" t="s">
        <v>13</v>
      </c>
      <c r="BY4" s="68" t="s">
        <v>27</v>
      </c>
      <c r="BZ4" s="69" t="s">
        <v>15</v>
      </c>
      <c r="CA4" s="70" t="s">
        <v>2</v>
      </c>
      <c r="CB4" s="71" t="s">
        <v>16</v>
      </c>
      <c r="CC4" s="72" t="s">
        <v>3</v>
      </c>
      <c r="CD4" s="69" t="s">
        <v>4</v>
      </c>
      <c r="CE4" s="73" t="s">
        <v>17</v>
      </c>
      <c r="CF4" s="74"/>
      <c r="CG4" s="314" t="s">
        <v>1</v>
      </c>
      <c r="CH4" s="314" t="s">
        <v>6</v>
      </c>
      <c r="CI4" s="312" t="s">
        <v>8</v>
      </c>
      <c r="CJ4" s="141" t="s">
        <v>11</v>
      </c>
      <c r="CK4" s="68" t="s">
        <v>12</v>
      </c>
      <c r="CL4" s="68" t="s">
        <v>13</v>
      </c>
      <c r="CM4" s="68" t="s">
        <v>27</v>
      </c>
      <c r="CN4" s="69" t="s">
        <v>15</v>
      </c>
      <c r="CO4" s="70" t="s">
        <v>2</v>
      </c>
      <c r="CP4" s="71" t="s">
        <v>16</v>
      </c>
      <c r="CQ4" s="72" t="s">
        <v>3</v>
      </c>
      <c r="CR4" s="69" t="s">
        <v>4</v>
      </c>
      <c r="CS4" s="73" t="s">
        <v>17</v>
      </c>
      <c r="CT4" s="74"/>
      <c r="CU4" s="314" t="s">
        <v>1</v>
      </c>
      <c r="CV4" s="314" t="s">
        <v>6</v>
      </c>
      <c r="CW4" s="312" t="s">
        <v>8</v>
      </c>
      <c r="CX4" s="141" t="s">
        <v>11</v>
      </c>
      <c r="CY4" s="68" t="s">
        <v>12</v>
      </c>
      <c r="CZ4" s="68" t="s">
        <v>13</v>
      </c>
      <c r="DA4" s="68" t="s">
        <v>27</v>
      </c>
      <c r="DB4" s="69" t="s">
        <v>15</v>
      </c>
      <c r="DC4" s="70" t="s">
        <v>2</v>
      </c>
      <c r="DD4" s="71" t="s">
        <v>16</v>
      </c>
      <c r="DE4" s="72" t="s">
        <v>3</v>
      </c>
      <c r="DF4" s="69" t="s">
        <v>4</v>
      </c>
      <c r="DG4" s="73" t="s">
        <v>17</v>
      </c>
      <c r="DH4" s="74"/>
      <c r="DI4" s="314" t="s">
        <v>1</v>
      </c>
      <c r="DJ4" s="314" t="s">
        <v>6</v>
      </c>
      <c r="DK4" s="312" t="s">
        <v>8</v>
      </c>
      <c r="DL4" s="141" t="s">
        <v>11</v>
      </c>
      <c r="DM4" s="68" t="s">
        <v>12</v>
      </c>
      <c r="DN4" s="68" t="s">
        <v>13</v>
      </c>
      <c r="DO4" s="68" t="s">
        <v>27</v>
      </c>
      <c r="DP4" s="69" t="s">
        <v>15</v>
      </c>
      <c r="DQ4" s="70" t="s">
        <v>2</v>
      </c>
      <c r="DR4" s="71" t="s">
        <v>16</v>
      </c>
      <c r="DS4" s="72" t="s">
        <v>3</v>
      </c>
      <c r="DT4" s="69" t="s">
        <v>4</v>
      </c>
      <c r="DU4" s="73" t="s">
        <v>17</v>
      </c>
      <c r="DV4" s="74"/>
      <c r="DW4" s="314" t="s">
        <v>1</v>
      </c>
      <c r="DX4" s="314" t="s">
        <v>6</v>
      </c>
      <c r="DY4" s="312" t="s">
        <v>8</v>
      </c>
      <c r="DZ4" s="141" t="s">
        <v>11</v>
      </c>
      <c r="EA4" s="68" t="s">
        <v>12</v>
      </c>
      <c r="EB4" s="68" t="s">
        <v>13</v>
      </c>
      <c r="EC4" s="68" t="s">
        <v>27</v>
      </c>
      <c r="ED4" s="69" t="s">
        <v>15</v>
      </c>
      <c r="EE4" s="70" t="s">
        <v>2</v>
      </c>
      <c r="EF4" s="71" t="s">
        <v>16</v>
      </c>
      <c r="EG4" s="72" t="s">
        <v>3</v>
      </c>
      <c r="EH4" s="69" t="s">
        <v>4</v>
      </c>
      <c r="EI4" s="73" t="s">
        <v>17</v>
      </c>
      <c r="EJ4" s="74"/>
      <c r="EK4" s="314" t="s">
        <v>1</v>
      </c>
      <c r="EL4" s="314" t="s">
        <v>6</v>
      </c>
      <c r="EM4" s="312" t="s">
        <v>8</v>
      </c>
      <c r="EN4" s="141" t="s">
        <v>11</v>
      </c>
      <c r="EO4" s="68" t="s">
        <v>12</v>
      </c>
      <c r="EP4" s="68" t="s">
        <v>13</v>
      </c>
      <c r="EQ4" s="68" t="s">
        <v>27</v>
      </c>
      <c r="ER4" s="69" t="s">
        <v>15</v>
      </c>
      <c r="ES4" s="70" t="s">
        <v>2</v>
      </c>
      <c r="ET4" s="71" t="s">
        <v>16</v>
      </c>
      <c r="EU4" s="72" t="s">
        <v>3</v>
      </c>
      <c r="EV4" s="69" t="s">
        <v>4</v>
      </c>
      <c r="EW4" s="73" t="s">
        <v>17</v>
      </c>
      <c r="EX4" s="74"/>
      <c r="EY4" s="314" t="s">
        <v>1</v>
      </c>
      <c r="EZ4" s="314" t="s">
        <v>6</v>
      </c>
      <c r="FA4" s="312" t="s">
        <v>8</v>
      </c>
      <c r="FB4" s="141" t="s">
        <v>11</v>
      </c>
      <c r="FC4" s="68" t="s">
        <v>12</v>
      </c>
      <c r="FD4" s="68" t="s">
        <v>13</v>
      </c>
      <c r="FE4" s="68" t="s">
        <v>27</v>
      </c>
      <c r="FF4" s="69" t="s">
        <v>15</v>
      </c>
      <c r="FG4" s="70" t="s">
        <v>2</v>
      </c>
      <c r="FH4" s="71" t="s">
        <v>16</v>
      </c>
      <c r="FI4" s="72" t="s">
        <v>3</v>
      </c>
      <c r="FJ4" s="69" t="s">
        <v>4</v>
      </c>
      <c r="FK4" s="73" t="s">
        <v>17</v>
      </c>
      <c r="FL4" s="146"/>
      <c r="FM4" s="314" t="s">
        <v>1</v>
      </c>
      <c r="FN4" s="314" t="s">
        <v>6</v>
      </c>
      <c r="FO4" s="312" t="s">
        <v>8</v>
      </c>
      <c r="FP4" s="141" t="s">
        <v>11</v>
      </c>
      <c r="FQ4" s="68" t="s">
        <v>12</v>
      </c>
      <c r="FR4" s="68" t="s">
        <v>13</v>
      </c>
      <c r="FS4" s="68" t="s">
        <v>27</v>
      </c>
      <c r="FT4" s="69" t="s">
        <v>15</v>
      </c>
      <c r="FU4" s="70" t="s">
        <v>2</v>
      </c>
      <c r="FV4" s="71" t="s">
        <v>16</v>
      </c>
      <c r="FW4" s="72" t="s">
        <v>3</v>
      </c>
      <c r="FX4" s="69" t="s">
        <v>4</v>
      </c>
      <c r="FY4" s="73" t="s">
        <v>17</v>
      </c>
      <c r="FZ4" s="75"/>
      <c r="GA4" s="74"/>
    </row>
    <row r="5" spans="1:183" s="76" customFormat="1" ht="27.75" customHeight="1" thickBot="1" x14ac:dyDescent="0.25">
      <c r="A5" s="315"/>
      <c r="B5" s="315"/>
      <c r="C5" s="313"/>
      <c r="D5" s="77">
        <v>1</v>
      </c>
      <c r="E5" s="78">
        <v>2</v>
      </c>
      <c r="F5" s="78">
        <v>3</v>
      </c>
      <c r="G5" s="78">
        <v>4</v>
      </c>
      <c r="H5" s="79">
        <v>5</v>
      </c>
      <c r="I5" s="73" t="s">
        <v>29</v>
      </c>
      <c r="J5" s="80">
        <v>7</v>
      </c>
      <c r="K5" s="81">
        <v>8</v>
      </c>
      <c r="L5" s="79">
        <v>9</v>
      </c>
      <c r="M5" s="73" t="s">
        <v>30</v>
      </c>
      <c r="N5" s="74"/>
      <c r="O5" s="315"/>
      <c r="P5" s="315"/>
      <c r="Q5" s="313"/>
      <c r="R5" s="77">
        <v>1</v>
      </c>
      <c r="S5" s="78">
        <v>2</v>
      </c>
      <c r="T5" s="78">
        <v>3</v>
      </c>
      <c r="U5" s="78">
        <v>4</v>
      </c>
      <c r="V5" s="79">
        <v>5</v>
      </c>
      <c r="W5" s="73" t="s">
        <v>29</v>
      </c>
      <c r="X5" s="80">
        <v>7</v>
      </c>
      <c r="Y5" s="81">
        <v>8</v>
      </c>
      <c r="Z5" s="79">
        <v>9</v>
      </c>
      <c r="AA5" s="73" t="s">
        <v>30</v>
      </c>
      <c r="AB5" s="74"/>
      <c r="AC5" s="315"/>
      <c r="AD5" s="315"/>
      <c r="AE5" s="313"/>
      <c r="AF5" s="77">
        <v>1</v>
      </c>
      <c r="AG5" s="78">
        <v>2</v>
      </c>
      <c r="AH5" s="78">
        <v>3</v>
      </c>
      <c r="AI5" s="78">
        <v>4</v>
      </c>
      <c r="AJ5" s="79">
        <v>5</v>
      </c>
      <c r="AK5" s="73" t="s">
        <v>29</v>
      </c>
      <c r="AL5" s="80">
        <v>7</v>
      </c>
      <c r="AM5" s="81">
        <v>8</v>
      </c>
      <c r="AN5" s="79">
        <v>9</v>
      </c>
      <c r="AO5" s="73" t="s">
        <v>30</v>
      </c>
      <c r="AP5" s="74"/>
      <c r="AQ5" s="315"/>
      <c r="AR5" s="315"/>
      <c r="AS5" s="313"/>
      <c r="AT5" s="77">
        <v>1</v>
      </c>
      <c r="AU5" s="78">
        <v>2</v>
      </c>
      <c r="AV5" s="78">
        <v>3</v>
      </c>
      <c r="AW5" s="78">
        <v>4</v>
      </c>
      <c r="AX5" s="79">
        <v>5</v>
      </c>
      <c r="AY5" s="73" t="s">
        <v>29</v>
      </c>
      <c r="AZ5" s="80">
        <v>7</v>
      </c>
      <c r="BA5" s="81">
        <v>8</v>
      </c>
      <c r="BB5" s="79">
        <v>9</v>
      </c>
      <c r="BC5" s="73" t="s">
        <v>30</v>
      </c>
      <c r="BD5" s="74"/>
      <c r="BE5" s="315"/>
      <c r="BF5" s="315"/>
      <c r="BG5" s="313"/>
      <c r="BH5" s="77">
        <v>1</v>
      </c>
      <c r="BI5" s="78">
        <v>2</v>
      </c>
      <c r="BJ5" s="78">
        <v>3</v>
      </c>
      <c r="BK5" s="78">
        <v>4</v>
      </c>
      <c r="BL5" s="79">
        <v>5</v>
      </c>
      <c r="BM5" s="73" t="s">
        <v>29</v>
      </c>
      <c r="BN5" s="80">
        <v>7</v>
      </c>
      <c r="BO5" s="81">
        <v>8</v>
      </c>
      <c r="BP5" s="79">
        <v>9</v>
      </c>
      <c r="BQ5" s="73" t="s">
        <v>30</v>
      </c>
      <c r="BR5" s="74"/>
      <c r="BS5" s="315"/>
      <c r="BT5" s="315"/>
      <c r="BU5" s="313"/>
      <c r="BV5" s="77">
        <v>1</v>
      </c>
      <c r="BW5" s="78">
        <v>2</v>
      </c>
      <c r="BX5" s="78">
        <v>3</v>
      </c>
      <c r="BY5" s="78">
        <v>4</v>
      </c>
      <c r="BZ5" s="79">
        <v>5</v>
      </c>
      <c r="CA5" s="73" t="s">
        <v>29</v>
      </c>
      <c r="CB5" s="80">
        <v>7</v>
      </c>
      <c r="CC5" s="81">
        <v>8</v>
      </c>
      <c r="CD5" s="79">
        <v>9</v>
      </c>
      <c r="CE5" s="73" t="s">
        <v>30</v>
      </c>
      <c r="CF5" s="74"/>
      <c r="CG5" s="315"/>
      <c r="CH5" s="315"/>
      <c r="CI5" s="313"/>
      <c r="CJ5" s="77">
        <v>1</v>
      </c>
      <c r="CK5" s="78">
        <v>2</v>
      </c>
      <c r="CL5" s="78">
        <v>3</v>
      </c>
      <c r="CM5" s="78">
        <v>4</v>
      </c>
      <c r="CN5" s="79">
        <v>5</v>
      </c>
      <c r="CO5" s="73" t="s">
        <v>29</v>
      </c>
      <c r="CP5" s="80">
        <v>7</v>
      </c>
      <c r="CQ5" s="81">
        <v>8</v>
      </c>
      <c r="CR5" s="79">
        <v>9</v>
      </c>
      <c r="CS5" s="73" t="s">
        <v>30</v>
      </c>
      <c r="CT5" s="74"/>
      <c r="CU5" s="315"/>
      <c r="CV5" s="315"/>
      <c r="CW5" s="313"/>
      <c r="CX5" s="77">
        <v>1</v>
      </c>
      <c r="CY5" s="78">
        <v>2</v>
      </c>
      <c r="CZ5" s="78">
        <v>3</v>
      </c>
      <c r="DA5" s="78">
        <v>4</v>
      </c>
      <c r="DB5" s="79">
        <v>5</v>
      </c>
      <c r="DC5" s="73" t="s">
        <v>29</v>
      </c>
      <c r="DD5" s="80">
        <v>7</v>
      </c>
      <c r="DE5" s="81">
        <v>8</v>
      </c>
      <c r="DF5" s="79">
        <v>9</v>
      </c>
      <c r="DG5" s="73" t="s">
        <v>30</v>
      </c>
      <c r="DH5" s="74"/>
      <c r="DI5" s="315"/>
      <c r="DJ5" s="315"/>
      <c r="DK5" s="313"/>
      <c r="DL5" s="77">
        <v>1</v>
      </c>
      <c r="DM5" s="78">
        <v>2</v>
      </c>
      <c r="DN5" s="78">
        <v>3</v>
      </c>
      <c r="DO5" s="78">
        <v>4</v>
      </c>
      <c r="DP5" s="79">
        <v>5</v>
      </c>
      <c r="DQ5" s="73" t="s">
        <v>29</v>
      </c>
      <c r="DR5" s="80">
        <v>7</v>
      </c>
      <c r="DS5" s="81">
        <v>8</v>
      </c>
      <c r="DT5" s="79">
        <v>9</v>
      </c>
      <c r="DU5" s="73" t="s">
        <v>30</v>
      </c>
      <c r="DV5" s="74"/>
      <c r="DW5" s="315"/>
      <c r="DX5" s="315"/>
      <c r="DY5" s="313"/>
      <c r="DZ5" s="77">
        <v>1</v>
      </c>
      <c r="EA5" s="78">
        <v>2</v>
      </c>
      <c r="EB5" s="78">
        <v>3</v>
      </c>
      <c r="EC5" s="78">
        <v>4</v>
      </c>
      <c r="ED5" s="79">
        <v>5</v>
      </c>
      <c r="EE5" s="73" t="s">
        <v>29</v>
      </c>
      <c r="EF5" s="80">
        <v>7</v>
      </c>
      <c r="EG5" s="81">
        <v>8</v>
      </c>
      <c r="EH5" s="79">
        <v>9</v>
      </c>
      <c r="EI5" s="73" t="s">
        <v>30</v>
      </c>
      <c r="EJ5" s="74"/>
      <c r="EK5" s="315"/>
      <c r="EL5" s="315"/>
      <c r="EM5" s="313"/>
      <c r="EN5" s="77">
        <v>1</v>
      </c>
      <c r="EO5" s="78">
        <v>2</v>
      </c>
      <c r="EP5" s="78">
        <v>3</v>
      </c>
      <c r="EQ5" s="78">
        <v>4</v>
      </c>
      <c r="ER5" s="79">
        <v>5</v>
      </c>
      <c r="ES5" s="73" t="s">
        <v>29</v>
      </c>
      <c r="ET5" s="80">
        <v>7</v>
      </c>
      <c r="EU5" s="81">
        <v>8</v>
      </c>
      <c r="EV5" s="79">
        <v>9</v>
      </c>
      <c r="EW5" s="73" t="s">
        <v>30</v>
      </c>
      <c r="EX5" s="74"/>
      <c r="EY5" s="315"/>
      <c r="EZ5" s="315"/>
      <c r="FA5" s="313"/>
      <c r="FB5" s="77">
        <v>1</v>
      </c>
      <c r="FC5" s="78">
        <v>2</v>
      </c>
      <c r="FD5" s="78">
        <v>3</v>
      </c>
      <c r="FE5" s="78">
        <v>4</v>
      </c>
      <c r="FF5" s="79">
        <v>5</v>
      </c>
      <c r="FG5" s="73" t="s">
        <v>29</v>
      </c>
      <c r="FH5" s="80">
        <v>7</v>
      </c>
      <c r="FI5" s="81">
        <v>8</v>
      </c>
      <c r="FJ5" s="79">
        <v>9</v>
      </c>
      <c r="FK5" s="73" t="s">
        <v>30</v>
      </c>
      <c r="FL5" s="146"/>
      <c r="FM5" s="315"/>
      <c r="FN5" s="315"/>
      <c r="FO5" s="313"/>
      <c r="FP5" s="77">
        <v>1</v>
      </c>
      <c r="FQ5" s="78">
        <v>2</v>
      </c>
      <c r="FR5" s="78">
        <v>3</v>
      </c>
      <c r="FS5" s="78">
        <v>4</v>
      </c>
      <c r="FT5" s="79">
        <v>5</v>
      </c>
      <c r="FU5" s="73" t="s">
        <v>29</v>
      </c>
      <c r="FV5" s="80">
        <v>7</v>
      </c>
      <c r="FW5" s="81">
        <v>8</v>
      </c>
      <c r="FX5" s="79">
        <v>9</v>
      </c>
      <c r="FY5" s="73" t="s">
        <v>30</v>
      </c>
      <c r="FZ5" s="75"/>
      <c r="GA5" s="74"/>
    </row>
    <row r="6" spans="1:183" s="96" customFormat="1" ht="20.100000000000001" customHeight="1" thickTop="1" thickBot="1" x14ac:dyDescent="0.25">
      <c r="A6" s="303" t="s">
        <v>34</v>
      </c>
      <c r="B6" s="306" t="s">
        <v>5</v>
      </c>
      <c r="C6" s="82" t="s">
        <v>20</v>
      </c>
      <c r="D6" s="197">
        <v>2111</v>
      </c>
      <c r="E6" s="198">
        <v>151</v>
      </c>
      <c r="F6" s="198">
        <v>182</v>
      </c>
      <c r="G6" s="199">
        <v>0</v>
      </c>
      <c r="H6" s="200">
        <v>498</v>
      </c>
      <c r="I6" s="201">
        <v>2942</v>
      </c>
      <c r="J6" s="198">
        <v>86</v>
      </c>
      <c r="K6" s="198">
        <v>597</v>
      </c>
      <c r="L6" s="200">
        <v>0</v>
      </c>
      <c r="M6" s="90">
        <f>SUM(J6:L6)</f>
        <v>683</v>
      </c>
      <c r="N6" s="91"/>
      <c r="O6" s="303" t="s">
        <v>34</v>
      </c>
      <c r="P6" s="306" t="s">
        <v>5</v>
      </c>
      <c r="Q6" s="82" t="s">
        <v>20</v>
      </c>
      <c r="R6" s="197">
        <v>2122</v>
      </c>
      <c r="S6" s="198">
        <v>132</v>
      </c>
      <c r="T6" s="198">
        <v>123</v>
      </c>
      <c r="U6" s="199">
        <v>0</v>
      </c>
      <c r="V6" s="200">
        <v>522</v>
      </c>
      <c r="W6" s="201">
        <v>2122</v>
      </c>
      <c r="X6" s="198">
        <v>94</v>
      </c>
      <c r="Y6" s="198">
        <v>752</v>
      </c>
      <c r="Z6" s="200">
        <v>0</v>
      </c>
      <c r="AA6" s="90">
        <f>SUM(X6:Z6)</f>
        <v>846</v>
      </c>
      <c r="AB6" s="91"/>
      <c r="AC6" s="303" t="s">
        <v>34</v>
      </c>
      <c r="AD6" s="306" t="s">
        <v>5</v>
      </c>
      <c r="AE6" s="82" t="s">
        <v>20</v>
      </c>
      <c r="AF6" s="235">
        <v>2155</v>
      </c>
      <c r="AG6" s="198">
        <v>865</v>
      </c>
      <c r="AH6" s="198">
        <v>145</v>
      </c>
      <c r="AI6" s="199">
        <v>0</v>
      </c>
      <c r="AJ6" s="200">
        <v>388</v>
      </c>
      <c r="AK6" s="201">
        <v>3553</v>
      </c>
      <c r="AL6" s="198">
        <v>154</v>
      </c>
      <c r="AM6" s="198">
        <v>565</v>
      </c>
      <c r="AN6" s="200">
        <v>0</v>
      </c>
      <c r="AO6" s="90">
        <f>SUM(AL6:AN6)</f>
        <v>719</v>
      </c>
      <c r="AP6" s="91"/>
      <c r="AQ6" s="303" t="s">
        <v>34</v>
      </c>
      <c r="AR6" s="306" t="s">
        <v>5</v>
      </c>
      <c r="AS6" s="82" t="s">
        <v>20</v>
      </c>
      <c r="AT6" s="197">
        <v>1520</v>
      </c>
      <c r="AU6" s="198">
        <v>537</v>
      </c>
      <c r="AV6" s="198">
        <v>219</v>
      </c>
      <c r="AW6" s="199">
        <v>0</v>
      </c>
      <c r="AX6" s="200">
        <v>644</v>
      </c>
      <c r="AY6" s="201">
        <v>2920</v>
      </c>
      <c r="AZ6" s="198">
        <v>226</v>
      </c>
      <c r="BA6" s="198">
        <v>744</v>
      </c>
      <c r="BB6" s="200">
        <v>0</v>
      </c>
      <c r="BC6" s="242">
        <v>970</v>
      </c>
      <c r="BD6" s="91"/>
      <c r="BE6" s="303" t="s">
        <v>34</v>
      </c>
      <c r="BF6" s="306" t="s">
        <v>5</v>
      </c>
      <c r="BG6" s="82" t="s">
        <v>20</v>
      </c>
      <c r="BH6" s="197">
        <v>1852</v>
      </c>
      <c r="BI6" s="198">
        <v>332</v>
      </c>
      <c r="BJ6" s="198">
        <v>185</v>
      </c>
      <c r="BK6" s="199">
        <v>0</v>
      </c>
      <c r="BL6" s="200">
        <v>285</v>
      </c>
      <c r="BM6" s="201">
        <v>2654</v>
      </c>
      <c r="BN6" s="198">
        <v>202</v>
      </c>
      <c r="BO6" s="198">
        <v>544</v>
      </c>
      <c r="BP6" s="200">
        <v>0</v>
      </c>
      <c r="BQ6" s="90">
        <f>SUM(BN6:BP6)</f>
        <v>746</v>
      </c>
      <c r="BR6" s="91"/>
      <c r="BS6" s="303" t="s">
        <v>34</v>
      </c>
      <c r="BT6" s="306" t="s">
        <v>5</v>
      </c>
      <c r="BU6" s="82" t="s">
        <v>20</v>
      </c>
      <c r="BV6" s="197">
        <v>1640</v>
      </c>
      <c r="BW6" s="198">
        <v>573</v>
      </c>
      <c r="BX6" s="198">
        <v>78</v>
      </c>
      <c r="BY6" s="199">
        <v>0</v>
      </c>
      <c r="BZ6" s="200">
        <v>747</v>
      </c>
      <c r="CA6" s="201">
        <v>3038</v>
      </c>
      <c r="CB6" s="198">
        <v>48</v>
      </c>
      <c r="CC6" s="198">
        <v>744</v>
      </c>
      <c r="CD6" s="200">
        <v>0</v>
      </c>
      <c r="CE6" s="90">
        <f>SUM(CB6:CD6)</f>
        <v>792</v>
      </c>
      <c r="CF6" s="91"/>
      <c r="CG6" s="303" t="s">
        <v>34</v>
      </c>
      <c r="CH6" s="306" t="s">
        <v>5</v>
      </c>
      <c r="CI6" s="82" t="s">
        <v>20</v>
      </c>
      <c r="CJ6" s="197">
        <v>1890</v>
      </c>
      <c r="CK6" s="198">
        <v>0</v>
      </c>
      <c r="CL6" s="198">
        <v>173</v>
      </c>
      <c r="CM6" s="199">
        <v>0</v>
      </c>
      <c r="CN6" s="200">
        <v>400</v>
      </c>
      <c r="CO6" s="201">
        <v>597</v>
      </c>
      <c r="CP6" s="198">
        <v>0</v>
      </c>
      <c r="CQ6" s="198">
        <v>683</v>
      </c>
      <c r="CR6" s="200">
        <v>0</v>
      </c>
      <c r="CS6" s="242">
        <v>683</v>
      </c>
      <c r="CT6" s="91"/>
      <c r="CU6" s="303" t="s">
        <v>34</v>
      </c>
      <c r="CV6" s="306" t="s">
        <v>5</v>
      </c>
      <c r="CW6" s="82" t="s">
        <v>20</v>
      </c>
      <c r="CX6" s="247">
        <v>1640</v>
      </c>
      <c r="CY6" s="248">
        <v>573</v>
      </c>
      <c r="CZ6" s="248">
        <v>78</v>
      </c>
      <c r="DA6" s="249">
        <v>0</v>
      </c>
      <c r="DB6" s="250">
        <v>747</v>
      </c>
      <c r="DC6" s="251">
        <f t="shared" ref="DC6:DC7" si="0">SUM(CX6:DB6)</f>
        <v>3038</v>
      </c>
      <c r="DD6" s="252">
        <v>48</v>
      </c>
      <c r="DE6" s="253">
        <v>744</v>
      </c>
      <c r="DF6" s="254">
        <v>0</v>
      </c>
      <c r="DG6" s="90">
        <f>SUM(DD6:DF6)</f>
        <v>792</v>
      </c>
      <c r="DH6" s="91"/>
      <c r="DI6" s="303" t="s">
        <v>34</v>
      </c>
      <c r="DJ6" s="306" t="s">
        <v>5</v>
      </c>
      <c r="DK6" s="82" t="s">
        <v>20</v>
      </c>
      <c r="DL6" s="285">
        <v>882</v>
      </c>
      <c r="DM6" s="253">
        <v>210</v>
      </c>
      <c r="DN6" s="253">
        <v>123</v>
      </c>
      <c r="DO6" s="286">
        <v>0</v>
      </c>
      <c r="DP6" s="287">
        <v>474</v>
      </c>
      <c r="DQ6" s="251">
        <f t="shared" ref="DQ6:DQ7" si="1">SUM(DL6:DP6)</f>
        <v>1689</v>
      </c>
      <c r="DR6" s="252">
        <v>54</v>
      </c>
      <c r="DS6" s="253">
        <v>356</v>
      </c>
      <c r="DT6" s="254">
        <v>0</v>
      </c>
      <c r="DU6" s="288">
        <f t="shared" ref="DU6:DU7" si="2">SUM(DR6:DT6)</f>
        <v>410</v>
      </c>
      <c r="DV6" s="91"/>
      <c r="DW6" s="303" t="s">
        <v>34</v>
      </c>
      <c r="DX6" s="306" t="s">
        <v>5</v>
      </c>
      <c r="DY6" s="82" t="s">
        <v>20</v>
      </c>
      <c r="DZ6" s="83">
        <v>2128</v>
      </c>
      <c r="EA6" s="84">
        <v>66</v>
      </c>
      <c r="EB6" s="84">
        <v>0</v>
      </c>
      <c r="EC6" s="85">
        <v>0</v>
      </c>
      <c r="ED6" s="86">
        <v>500</v>
      </c>
      <c r="EE6" s="87">
        <f>SUM(DZ6:ED6)</f>
        <v>2694</v>
      </c>
      <c r="EF6" s="88">
        <v>85</v>
      </c>
      <c r="EG6" s="84">
        <v>586</v>
      </c>
      <c r="EH6" s="89">
        <v>0</v>
      </c>
      <c r="EI6" s="90">
        <f>SUM(EF6:EH6)</f>
        <v>671</v>
      </c>
      <c r="EJ6" s="91"/>
      <c r="EK6" s="303" t="s">
        <v>34</v>
      </c>
      <c r="EL6" s="306" t="s">
        <v>5</v>
      </c>
      <c r="EM6" s="82" t="s">
        <v>20</v>
      </c>
      <c r="EN6" s="83">
        <v>0</v>
      </c>
      <c r="EO6" s="84">
        <v>0</v>
      </c>
      <c r="EP6" s="84">
        <v>0</v>
      </c>
      <c r="EQ6" s="85">
        <v>0</v>
      </c>
      <c r="ER6" s="86">
        <v>0</v>
      </c>
      <c r="ES6" s="87">
        <f>SUM(EN6:ER6)</f>
        <v>0</v>
      </c>
      <c r="ET6" s="88">
        <v>0</v>
      </c>
      <c r="EU6" s="84">
        <v>0</v>
      </c>
      <c r="EV6" s="89">
        <v>0</v>
      </c>
      <c r="EW6" s="90">
        <f>SUM(ET6:EV6)</f>
        <v>0</v>
      </c>
      <c r="EX6" s="91"/>
      <c r="EY6" s="303" t="s">
        <v>34</v>
      </c>
      <c r="EZ6" s="306" t="s">
        <v>5</v>
      </c>
      <c r="FA6" s="82" t="s">
        <v>20</v>
      </c>
      <c r="FB6" s="83">
        <v>0</v>
      </c>
      <c r="FC6" s="84">
        <v>0</v>
      </c>
      <c r="FD6" s="84">
        <v>0</v>
      </c>
      <c r="FE6" s="85">
        <v>0</v>
      </c>
      <c r="FF6" s="86">
        <v>0</v>
      </c>
      <c r="FG6" s="87">
        <f>SUM(FB6:FF6)</f>
        <v>0</v>
      </c>
      <c r="FH6" s="88">
        <v>0</v>
      </c>
      <c r="FI6" s="84">
        <v>0</v>
      </c>
      <c r="FJ6" s="89">
        <v>0</v>
      </c>
      <c r="FK6" s="90">
        <f>SUM(FH6:FJ6)</f>
        <v>0</v>
      </c>
      <c r="FL6" s="147"/>
      <c r="FM6" s="303" t="str">
        <f>EY6</f>
        <v>الربيع والتوفيق</v>
      </c>
      <c r="FN6" s="306" t="s">
        <v>5</v>
      </c>
      <c r="FO6" s="82" t="s">
        <v>20</v>
      </c>
      <c r="FP6" s="83">
        <f t="shared" ref="FP6" si="3">SUM(D6+R6+AF6+AT6+BH6+BV6+CJ6+CX6+DL6+DZ6+EN6+FB6)</f>
        <v>17940</v>
      </c>
      <c r="FQ6" s="83">
        <f t="shared" ref="FQ6" si="4">SUM(E6+S6+AG6+AU6+BI6+BW6+CK6+CY6+DM6+EA6+EO6+FC6)</f>
        <v>3439</v>
      </c>
      <c r="FR6" s="83">
        <f t="shared" ref="FR6" si="5">SUM(F6+T6+AH6+AV6+BJ6+BX6+CL6+CZ6+DN6+EB6+EP6+FD6)</f>
        <v>1306</v>
      </c>
      <c r="FS6" s="149">
        <f t="shared" ref="FS6" si="6">SUM(G6+U6+AI6+AW6+BK6+BY6+CM6+DA6+DO6+EC6+EQ6+FE6)</f>
        <v>0</v>
      </c>
      <c r="FT6" s="83">
        <f t="shared" ref="FT6" si="7">SUM(H6+V6+AJ6+AX6+BL6+BZ6+CN6+DB6+DP6+ED6+ER6+FF6)</f>
        <v>5205</v>
      </c>
      <c r="FU6" s="93">
        <f>SUM(FP6:FT6)</f>
        <v>27890</v>
      </c>
      <c r="FV6" s="88">
        <f t="shared" ref="FV6" si="8">SUM(J6+X6+AL6+AZ6+BN6+CB6+CP6+DD6+DR6+EF6+ET6+FH6)</f>
        <v>997</v>
      </c>
      <c r="FW6" s="88">
        <f t="shared" ref="FW6" si="9">SUM(K6+Y6+AM6+BA6+BO6+CC6+CQ6+DE6+DS6+EG6+EU6+FI6)</f>
        <v>6315</v>
      </c>
      <c r="FX6" s="88">
        <f t="shared" ref="FX6" si="10">SUM(L6+Z6+AN6+BB6+BP6+CD6+CR6+DF6+DT6+EH6+EV6+FJ6)</f>
        <v>0</v>
      </c>
      <c r="FY6" s="94">
        <f>SUM(FV6:FX6)</f>
        <v>7312</v>
      </c>
      <c r="FZ6" s="95"/>
      <c r="GA6" s="91"/>
    </row>
    <row r="7" spans="1:183" s="96" customFormat="1" ht="20.100000000000001" customHeight="1" thickBot="1" x14ac:dyDescent="0.25">
      <c r="A7" s="304"/>
      <c r="B7" s="307"/>
      <c r="C7" s="97" t="s">
        <v>21</v>
      </c>
      <c r="D7" s="202">
        <v>2698</v>
      </c>
      <c r="E7" s="203">
        <v>201</v>
      </c>
      <c r="F7" s="203">
        <v>261</v>
      </c>
      <c r="G7" s="203">
        <v>5</v>
      </c>
      <c r="H7" s="204">
        <v>489</v>
      </c>
      <c r="I7" s="205">
        <v>3654</v>
      </c>
      <c r="J7" s="203">
        <v>85</v>
      </c>
      <c r="K7" s="203">
        <v>750</v>
      </c>
      <c r="L7" s="204">
        <v>0</v>
      </c>
      <c r="M7" s="104">
        <f>SUM(J7:L7)</f>
        <v>835</v>
      </c>
      <c r="N7" s="91"/>
      <c r="O7" s="304"/>
      <c r="P7" s="307"/>
      <c r="Q7" s="97" t="s">
        <v>21</v>
      </c>
      <c r="R7" s="202">
        <v>2470</v>
      </c>
      <c r="S7" s="203">
        <v>182</v>
      </c>
      <c r="T7" s="203">
        <v>219</v>
      </c>
      <c r="U7" s="203">
        <v>32</v>
      </c>
      <c r="V7" s="204">
        <v>585</v>
      </c>
      <c r="W7" s="205">
        <v>2470</v>
      </c>
      <c r="X7" s="203">
        <v>102</v>
      </c>
      <c r="Y7" s="203">
        <v>862</v>
      </c>
      <c r="Z7" s="204">
        <v>0</v>
      </c>
      <c r="AA7" s="104">
        <f>SUM(X7:Z7)</f>
        <v>964</v>
      </c>
      <c r="AB7" s="91"/>
      <c r="AC7" s="304"/>
      <c r="AD7" s="307"/>
      <c r="AE7" s="97" t="s">
        <v>21</v>
      </c>
      <c r="AF7" s="202">
        <v>2530</v>
      </c>
      <c r="AG7" s="203">
        <v>777</v>
      </c>
      <c r="AH7" s="203">
        <v>145</v>
      </c>
      <c r="AI7" s="203">
        <v>19</v>
      </c>
      <c r="AJ7" s="204">
        <v>379</v>
      </c>
      <c r="AK7" s="205">
        <v>3850</v>
      </c>
      <c r="AL7" s="203">
        <v>95</v>
      </c>
      <c r="AM7" s="203">
        <v>745</v>
      </c>
      <c r="AN7" s="204">
        <v>0</v>
      </c>
      <c r="AO7" s="104">
        <f>SUM(AL7:AN7)</f>
        <v>840</v>
      </c>
      <c r="AP7" s="91"/>
      <c r="AQ7" s="304"/>
      <c r="AR7" s="307"/>
      <c r="AS7" s="97" t="s">
        <v>21</v>
      </c>
      <c r="AT7" s="202">
        <v>633</v>
      </c>
      <c r="AU7" s="203">
        <v>425</v>
      </c>
      <c r="AV7" s="203">
        <v>274</v>
      </c>
      <c r="AW7" s="203">
        <v>29</v>
      </c>
      <c r="AX7" s="204">
        <v>910</v>
      </c>
      <c r="AY7" s="205">
        <v>2271</v>
      </c>
      <c r="AZ7" s="203">
        <v>63</v>
      </c>
      <c r="BA7" s="203">
        <v>1080</v>
      </c>
      <c r="BB7" s="204">
        <v>0</v>
      </c>
      <c r="BC7" s="208">
        <v>1143</v>
      </c>
      <c r="BD7" s="91"/>
      <c r="BE7" s="304"/>
      <c r="BF7" s="307"/>
      <c r="BG7" s="97" t="s">
        <v>21</v>
      </c>
      <c r="BH7" s="202">
        <v>1208</v>
      </c>
      <c r="BI7" s="203">
        <v>348</v>
      </c>
      <c r="BJ7" s="203">
        <v>255</v>
      </c>
      <c r="BK7" s="203">
        <v>3</v>
      </c>
      <c r="BL7" s="204">
        <v>301</v>
      </c>
      <c r="BM7" s="205">
        <v>2115</v>
      </c>
      <c r="BN7" s="203">
        <v>140</v>
      </c>
      <c r="BO7" s="203">
        <v>432</v>
      </c>
      <c r="BP7" s="204">
        <v>0</v>
      </c>
      <c r="BQ7" s="104">
        <f>SUM(BN7:BP7)</f>
        <v>572</v>
      </c>
      <c r="BR7" s="91"/>
      <c r="BS7" s="304"/>
      <c r="BT7" s="307"/>
      <c r="BU7" s="97" t="s">
        <v>21</v>
      </c>
      <c r="BV7" s="202">
        <v>1380</v>
      </c>
      <c r="BW7" s="203">
        <v>465</v>
      </c>
      <c r="BX7" s="203">
        <v>113</v>
      </c>
      <c r="BY7" s="203">
        <v>15</v>
      </c>
      <c r="BZ7" s="204">
        <v>824</v>
      </c>
      <c r="CA7" s="205">
        <v>2797</v>
      </c>
      <c r="CB7" s="203">
        <v>32</v>
      </c>
      <c r="CC7" s="203">
        <v>1081</v>
      </c>
      <c r="CD7" s="204">
        <v>0</v>
      </c>
      <c r="CE7" s="104">
        <f>SUM(CB7:CD7)</f>
        <v>1113</v>
      </c>
      <c r="CF7" s="91"/>
      <c r="CG7" s="304"/>
      <c r="CH7" s="307"/>
      <c r="CI7" s="97" t="s">
        <v>21</v>
      </c>
      <c r="CJ7" s="202">
        <v>1800</v>
      </c>
      <c r="CK7" s="203">
        <v>5</v>
      </c>
      <c r="CL7" s="203">
        <v>265</v>
      </c>
      <c r="CM7" s="203">
        <v>26</v>
      </c>
      <c r="CN7" s="204">
        <v>436</v>
      </c>
      <c r="CO7" s="205">
        <v>750</v>
      </c>
      <c r="CP7" s="203">
        <v>0</v>
      </c>
      <c r="CQ7" s="203">
        <v>835</v>
      </c>
      <c r="CR7" s="204">
        <v>0</v>
      </c>
      <c r="CS7" s="208">
        <v>835</v>
      </c>
      <c r="CT7" s="91"/>
      <c r="CU7" s="304"/>
      <c r="CV7" s="307"/>
      <c r="CW7" s="97" t="s">
        <v>21</v>
      </c>
      <c r="CX7" s="255">
        <v>1380</v>
      </c>
      <c r="CY7" s="256">
        <v>465</v>
      </c>
      <c r="CZ7" s="256">
        <v>113</v>
      </c>
      <c r="DA7" s="256">
        <v>15</v>
      </c>
      <c r="DB7" s="257">
        <v>824</v>
      </c>
      <c r="DC7" s="258">
        <f t="shared" si="0"/>
        <v>2797</v>
      </c>
      <c r="DD7" s="259">
        <v>32</v>
      </c>
      <c r="DE7" s="260">
        <v>1081</v>
      </c>
      <c r="DF7" s="261">
        <v>0</v>
      </c>
      <c r="DG7" s="104">
        <f>SUM(DD7:DF7)</f>
        <v>1113</v>
      </c>
      <c r="DH7" s="91"/>
      <c r="DI7" s="304"/>
      <c r="DJ7" s="307"/>
      <c r="DK7" s="97" t="s">
        <v>21</v>
      </c>
      <c r="DL7" s="274">
        <v>1032</v>
      </c>
      <c r="DM7" s="260">
        <v>223</v>
      </c>
      <c r="DN7" s="260">
        <v>204</v>
      </c>
      <c r="DO7" s="260">
        <v>147</v>
      </c>
      <c r="DP7" s="275">
        <v>520</v>
      </c>
      <c r="DQ7" s="258">
        <f t="shared" si="1"/>
        <v>2126</v>
      </c>
      <c r="DR7" s="259">
        <v>88</v>
      </c>
      <c r="DS7" s="260">
        <v>250</v>
      </c>
      <c r="DT7" s="261">
        <v>0</v>
      </c>
      <c r="DU7" s="289">
        <f t="shared" si="2"/>
        <v>338</v>
      </c>
      <c r="DV7" s="91"/>
      <c r="DW7" s="304"/>
      <c r="DX7" s="307"/>
      <c r="DY7" s="97" t="s">
        <v>21</v>
      </c>
      <c r="DZ7" s="98">
        <v>2715</v>
      </c>
      <c r="EA7" s="99">
        <v>60</v>
      </c>
      <c r="EB7" s="99">
        <v>0</v>
      </c>
      <c r="EC7" s="99">
        <v>2</v>
      </c>
      <c r="ED7" s="100">
        <v>216</v>
      </c>
      <c r="EE7" s="101">
        <f>SUM(DZ7:ED7)</f>
        <v>2993</v>
      </c>
      <c r="EF7" s="102">
        <v>81</v>
      </c>
      <c r="EG7" s="99">
        <v>747</v>
      </c>
      <c r="EH7" s="103">
        <v>0</v>
      </c>
      <c r="EI7" s="104">
        <f>SUM(EF7:EH7)</f>
        <v>828</v>
      </c>
      <c r="EJ7" s="91"/>
      <c r="EK7" s="304"/>
      <c r="EL7" s="307"/>
      <c r="EM7" s="97" t="s">
        <v>21</v>
      </c>
      <c r="EN7" s="98">
        <v>0</v>
      </c>
      <c r="EO7" s="99">
        <v>0</v>
      </c>
      <c r="EP7" s="99">
        <v>0</v>
      </c>
      <c r="EQ7" s="99">
        <v>0</v>
      </c>
      <c r="ER7" s="100">
        <v>0</v>
      </c>
      <c r="ES7" s="101">
        <f>SUM(EN7:ER7)</f>
        <v>0</v>
      </c>
      <c r="ET7" s="102">
        <v>0</v>
      </c>
      <c r="EU7" s="99">
        <v>0</v>
      </c>
      <c r="EV7" s="103">
        <v>0</v>
      </c>
      <c r="EW7" s="104">
        <f>SUM(ET7:EV7)</f>
        <v>0</v>
      </c>
      <c r="EX7" s="91"/>
      <c r="EY7" s="304"/>
      <c r="EZ7" s="307"/>
      <c r="FA7" s="97" t="s">
        <v>21</v>
      </c>
      <c r="FB7" s="98">
        <v>0</v>
      </c>
      <c r="FC7" s="99">
        <v>0</v>
      </c>
      <c r="FD7" s="99">
        <v>0</v>
      </c>
      <c r="FE7" s="99">
        <v>0</v>
      </c>
      <c r="FF7" s="100">
        <v>0</v>
      </c>
      <c r="FG7" s="101">
        <f>SUM(FB7:FF7)</f>
        <v>0</v>
      </c>
      <c r="FH7" s="102">
        <v>0</v>
      </c>
      <c r="FI7" s="99">
        <v>0</v>
      </c>
      <c r="FJ7" s="103">
        <v>0</v>
      </c>
      <c r="FK7" s="104">
        <f>SUM(FH7:FJ7)</f>
        <v>0</v>
      </c>
      <c r="FL7" s="147"/>
      <c r="FM7" s="304"/>
      <c r="FN7" s="307"/>
      <c r="FO7" s="97" t="s">
        <v>21</v>
      </c>
      <c r="FP7" s="83">
        <f t="shared" ref="FP7" si="11">SUM(D7+R7+AF7+AT7+BH7+BV7+CJ7+CX7+DL7+DZ7+EN7+FB7)</f>
        <v>17846</v>
      </c>
      <c r="FQ7" s="83">
        <f t="shared" ref="FQ7" si="12">SUM(E7+S7+AG7+AU7+BI7+BW7+CK7+CY7+DM7+EA7+EO7+FC7)</f>
        <v>3151</v>
      </c>
      <c r="FR7" s="83">
        <f t="shared" ref="FR7" si="13">SUM(F7+T7+AH7+AV7+BJ7+BX7+CL7+CZ7+DN7+EB7+EP7+FD7)</f>
        <v>1849</v>
      </c>
      <c r="FS7" s="83">
        <f t="shared" ref="FS7" si="14">SUM(G7+U7+AI7+AW7+BK7+BY7+CM7+DA7+DO7+EC7+EQ7+FE7)</f>
        <v>293</v>
      </c>
      <c r="FT7" s="83">
        <f t="shared" ref="FT7" si="15">SUM(H7+V7+AJ7+AX7+BL7+BZ7+CN7+DB7+DP7+ED7+ER7+FF7)</f>
        <v>5484</v>
      </c>
      <c r="FU7" s="101">
        <f>SUM(FP7:FT7)</f>
        <v>28623</v>
      </c>
      <c r="FV7" s="88">
        <f t="shared" ref="FV7" si="16">SUM(J7+X7+AL7+AZ7+BN7+CB7+CP7+DD7+DR7+EF7+ET7+FH7)</f>
        <v>718</v>
      </c>
      <c r="FW7" s="88">
        <f t="shared" ref="FW7" si="17">SUM(K7+Y7+AM7+BA7+BO7+CC7+CQ7+DE7+DS7+EG7+EU7+FI7)</f>
        <v>7863</v>
      </c>
      <c r="FX7" s="88">
        <f t="shared" ref="FX7" si="18">SUM(L7+Z7+AN7+BB7+BP7+CD7+CR7+DF7+DT7+EH7+EV7+FJ7)</f>
        <v>0</v>
      </c>
      <c r="FY7" s="106">
        <f>SUM(FV7:FX7)</f>
        <v>8581</v>
      </c>
      <c r="FZ7" s="95"/>
      <c r="GA7" s="91"/>
    </row>
    <row r="8" spans="1:183" s="96" customFormat="1" ht="20.100000000000001" customHeight="1" thickBot="1" x14ac:dyDescent="0.25">
      <c r="A8" s="304"/>
      <c r="B8" s="308" t="s">
        <v>22</v>
      </c>
      <c r="C8" s="311"/>
      <c r="D8" s="206">
        <v>4809</v>
      </c>
      <c r="E8" s="207">
        <v>352</v>
      </c>
      <c r="F8" s="207">
        <v>443</v>
      </c>
      <c r="G8" s="207">
        <v>5</v>
      </c>
      <c r="H8" s="208">
        <v>987</v>
      </c>
      <c r="I8" s="209">
        <v>6596</v>
      </c>
      <c r="J8" s="207">
        <v>171</v>
      </c>
      <c r="K8" s="207">
        <v>1347</v>
      </c>
      <c r="L8" s="208">
        <v>0</v>
      </c>
      <c r="M8" s="112">
        <f t="shared" ref="M8" si="19">SUM(M6:M7)</f>
        <v>1518</v>
      </c>
      <c r="N8" s="91"/>
      <c r="O8" s="304"/>
      <c r="P8" s="308" t="s">
        <v>22</v>
      </c>
      <c r="Q8" s="311"/>
      <c r="R8" s="206">
        <v>4592</v>
      </c>
      <c r="S8" s="207">
        <v>314</v>
      </c>
      <c r="T8" s="207">
        <v>342</v>
      </c>
      <c r="U8" s="207">
        <v>32</v>
      </c>
      <c r="V8" s="208">
        <v>1107</v>
      </c>
      <c r="W8" s="209">
        <v>4592</v>
      </c>
      <c r="X8" s="207">
        <v>196</v>
      </c>
      <c r="Y8" s="207">
        <v>1614</v>
      </c>
      <c r="Z8" s="208">
        <v>0</v>
      </c>
      <c r="AA8" s="112">
        <f t="shared" ref="AA8" si="20">SUM(AA6:AA7)</f>
        <v>1810</v>
      </c>
      <c r="AB8" s="91"/>
      <c r="AC8" s="304"/>
      <c r="AD8" s="308" t="s">
        <v>22</v>
      </c>
      <c r="AE8" s="311"/>
      <c r="AF8" s="206">
        <v>2350</v>
      </c>
      <c r="AG8" s="207">
        <v>1642</v>
      </c>
      <c r="AH8" s="207">
        <v>290</v>
      </c>
      <c r="AI8" s="207">
        <v>19</v>
      </c>
      <c r="AJ8" s="208">
        <v>767</v>
      </c>
      <c r="AK8" s="209">
        <v>7403</v>
      </c>
      <c r="AL8" s="207">
        <v>249</v>
      </c>
      <c r="AM8" s="207">
        <v>1310</v>
      </c>
      <c r="AN8" s="208">
        <v>0</v>
      </c>
      <c r="AO8" s="112">
        <f t="shared" ref="AO8" si="21">SUM(AO6:AO7)</f>
        <v>1559</v>
      </c>
      <c r="AP8" s="91"/>
      <c r="AQ8" s="304"/>
      <c r="AR8" s="308" t="s">
        <v>22</v>
      </c>
      <c r="AS8" s="311"/>
      <c r="AT8" s="206">
        <v>2153</v>
      </c>
      <c r="AU8" s="207">
        <v>962</v>
      </c>
      <c r="AV8" s="207">
        <v>493</v>
      </c>
      <c r="AW8" s="207">
        <v>29</v>
      </c>
      <c r="AX8" s="208">
        <v>1554</v>
      </c>
      <c r="AY8" s="209">
        <v>5191</v>
      </c>
      <c r="AZ8" s="207">
        <v>289</v>
      </c>
      <c r="BA8" s="207">
        <v>1824</v>
      </c>
      <c r="BB8" s="208">
        <v>0</v>
      </c>
      <c r="BC8" s="243">
        <v>2113</v>
      </c>
      <c r="BD8" s="91"/>
      <c r="BE8" s="304"/>
      <c r="BF8" s="308" t="s">
        <v>22</v>
      </c>
      <c r="BG8" s="311"/>
      <c r="BH8" s="206">
        <v>3060</v>
      </c>
      <c r="BI8" s="207">
        <v>680</v>
      </c>
      <c r="BJ8" s="207">
        <v>440</v>
      </c>
      <c r="BK8" s="207">
        <v>3</v>
      </c>
      <c r="BL8" s="208">
        <v>586</v>
      </c>
      <c r="BM8" s="209">
        <v>4769</v>
      </c>
      <c r="BN8" s="207">
        <v>342</v>
      </c>
      <c r="BO8" s="207">
        <v>976</v>
      </c>
      <c r="BP8" s="208">
        <v>0</v>
      </c>
      <c r="BQ8" s="112">
        <f t="shared" ref="BQ8" si="22">SUM(BQ6:BQ7)</f>
        <v>1318</v>
      </c>
      <c r="BR8" s="91"/>
      <c r="BS8" s="304"/>
      <c r="BT8" s="308" t="s">
        <v>22</v>
      </c>
      <c r="BU8" s="311"/>
      <c r="BV8" s="206">
        <v>3020</v>
      </c>
      <c r="BW8" s="207">
        <v>1038</v>
      </c>
      <c r="BX8" s="207">
        <v>191</v>
      </c>
      <c r="BY8" s="207">
        <v>15</v>
      </c>
      <c r="BZ8" s="208">
        <v>1571</v>
      </c>
      <c r="CA8" s="209">
        <v>5835</v>
      </c>
      <c r="CB8" s="207">
        <v>80</v>
      </c>
      <c r="CC8" s="207">
        <v>1825</v>
      </c>
      <c r="CD8" s="208">
        <v>0</v>
      </c>
      <c r="CE8" s="112">
        <f t="shared" ref="CE8" si="23">SUM(CE6:CE7)</f>
        <v>1905</v>
      </c>
      <c r="CF8" s="91"/>
      <c r="CG8" s="304"/>
      <c r="CH8" s="308" t="s">
        <v>22</v>
      </c>
      <c r="CI8" s="311"/>
      <c r="CJ8" s="206">
        <v>3690</v>
      </c>
      <c r="CK8" s="207">
        <v>5</v>
      </c>
      <c r="CL8" s="207">
        <v>438</v>
      </c>
      <c r="CM8" s="207">
        <v>26</v>
      </c>
      <c r="CN8" s="208">
        <v>836</v>
      </c>
      <c r="CO8" s="209">
        <v>1347</v>
      </c>
      <c r="CP8" s="207">
        <v>0</v>
      </c>
      <c r="CQ8" s="207">
        <v>1518</v>
      </c>
      <c r="CR8" s="208">
        <v>0</v>
      </c>
      <c r="CS8" s="243">
        <v>1518</v>
      </c>
      <c r="CT8" s="91"/>
      <c r="CU8" s="304"/>
      <c r="CV8" s="308" t="s">
        <v>22</v>
      </c>
      <c r="CW8" s="311"/>
      <c r="CX8" s="262">
        <f t="shared" ref="CX8:DF8" si="24">SUM(CX6:CX7)</f>
        <v>3020</v>
      </c>
      <c r="CY8" s="263">
        <f t="shared" si="24"/>
        <v>1038</v>
      </c>
      <c r="CZ8" s="263">
        <f t="shared" si="24"/>
        <v>191</v>
      </c>
      <c r="DA8" s="263">
        <f t="shared" si="24"/>
        <v>15</v>
      </c>
      <c r="DB8" s="264">
        <f t="shared" si="24"/>
        <v>1571</v>
      </c>
      <c r="DC8" s="265">
        <f t="shared" si="24"/>
        <v>5835</v>
      </c>
      <c r="DD8" s="266">
        <f t="shared" si="24"/>
        <v>80</v>
      </c>
      <c r="DE8" s="263">
        <f t="shared" si="24"/>
        <v>1825</v>
      </c>
      <c r="DF8" s="264">
        <f t="shared" si="24"/>
        <v>0</v>
      </c>
      <c r="DG8" s="112">
        <f t="shared" ref="DG8" si="25">SUM(DG6:DG7)</f>
        <v>1905</v>
      </c>
      <c r="DH8" s="91"/>
      <c r="DI8" s="304"/>
      <c r="DJ8" s="308" t="s">
        <v>22</v>
      </c>
      <c r="DK8" s="311"/>
      <c r="DL8" s="262">
        <f t="shared" ref="DL8:DU8" si="26">SUM(DL6:DL7)</f>
        <v>1914</v>
      </c>
      <c r="DM8" s="263">
        <f t="shared" si="26"/>
        <v>433</v>
      </c>
      <c r="DN8" s="263">
        <f t="shared" si="26"/>
        <v>327</v>
      </c>
      <c r="DO8" s="263">
        <f t="shared" si="26"/>
        <v>147</v>
      </c>
      <c r="DP8" s="264">
        <f t="shared" si="26"/>
        <v>994</v>
      </c>
      <c r="DQ8" s="265">
        <f t="shared" si="26"/>
        <v>3815</v>
      </c>
      <c r="DR8" s="266">
        <f t="shared" si="26"/>
        <v>142</v>
      </c>
      <c r="DS8" s="263">
        <f t="shared" si="26"/>
        <v>606</v>
      </c>
      <c r="DT8" s="264">
        <f t="shared" si="26"/>
        <v>0</v>
      </c>
      <c r="DU8" s="290">
        <f t="shared" si="26"/>
        <v>748</v>
      </c>
      <c r="DV8" s="91"/>
      <c r="DW8" s="304"/>
      <c r="DX8" s="308" t="s">
        <v>22</v>
      </c>
      <c r="DY8" s="311"/>
      <c r="DZ8" s="107">
        <f t="shared" ref="DZ8:EI8" si="27">SUM(DZ6:DZ7)</f>
        <v>4843</v>
      </c>
      <c r="EA8" s="108">
        <f t="shared" si="27"/>
        <v>126</v>
      </c>
      <c r="EB8" s="108">
        <f t="shared" si="27"/>
        <v>0</v>
      </c>
      <c r="EC8" s="108">
        <f t="shared" si="27"/>
        <v>2</v>
      </c>
      <c r="ED8" s="109">
        <f t="shared" si="27"/>
        <v>716</v>
      </c>
      <c r="EE8" s="110">
        <f t="shared" si="27"/>
        <v>5687</v>
      </c>
      <c r="EF8" s="111">
        <f t="shared" si="27"/>
        <v>166</v>
      </c>
      <c r="EG8" s="108">
        <f t="shared" si="27"/>
        <v>1333</v>
      </c>
      <c r="EH8" s="109">
        <f t="shared" si="27"/>
        <v>0</v>
      </c>
      <c r="EI8" s="112">
        <f t="shared" si="27"/>
        <v>1499</v>
      </c>
      <c r="EJ8" s="91"/>
      <c r="EK8" s="304"/>
      <c r="EL8" s="308" t="s">
        <v>22</v>
      </c>
      <c r="EM8" s="311"/>
      <c r="EN8" s="107">
        <f t="shared" ref="EN8:EW8" si="28">SUM(EN6:EN7)</f>
        <v>0</v>
      </c>
      <c r="EO8" s="108">
        <f t="shared" si="28"/>
        <v>0</v>
      </c>
      <c r="EP8" s="108">
        <f t="shared" si="28"/>
        <v>0</v>
      </c>
      <c r="EQ8" s="108">
        <f t="shared" si="28"/>
        <v>0</v>
      </c>
      <c r="ER8" s="109">
        <f t="shared" si="28"/>
        <v>0</v>
      </c>
      <c r="ES8" s="110">
        <f t="shared" si="28"/>
        <v>0</v>
      </c>
      <c r="ET8" s="111">
        <f t="shared" si="28"/>
        <v>0</v>
      </c>
      <c r="EU8" s="108">
        <f t="shared" si="28"/>
        <v>0</v>
      </c>
      <c r="EV8" s="109">
        <f t="shared" si="28"/>
        <v>0</v>
      </c>
      <c r="EW8" s="112">
        <f t="shared" si="28"/>
        <v>0</v>
      </c>
      <c r="EX8" s="91"/>
      <c r="EY8" s="304"/>
      <c r="EZ8" s="308" t="s">
        <v>22</v>
      </c>
      <c r="FA8" s="311"/>
      <c r="FB8" s="107">
        <f t="shared" ref="FB8:FK8" si="29">SUM(FB6:FB7)</f>
        <v>0</v>
      </c>
      <c r="FC8" s="108">
        <f t="shared" si="29"/>
        <v>0</v>
      </c>
      <c r="FD8" s="108">
        <f t="shared" si="29"/>
        <v>0</v>
      </c>
      <c r="FE8" s="108">
        <f t="shared" si="29"/>
        <v>0</v>
      </c>
      <c r="FF8" s="109">
        <f t="shared" si="29"/>
        <v>0</v>
      </c>
      <c r="FG8" s="110">
        <f t="shared" si="29"/>
        <v>0</v>
      </c>
      <c r="FH8" s="111">
        <f t="shared" si="29"/>
        <v>0</v>
      </c>
      <c r="FI8" s="108">
        <f t="shared" si="29"/>
        <v>0</v>
      </c>
      <c r="FJ8" s="109">
        <f t="shared" si="29"/>
        <v>0</v>
      </c>
      <c r="FK8" s="112">
        <f t="shared" si="29"/>
        <v>0</v>
      </c>
      <c r="FL8" s="147"/>
      <c r="FM8" s="304"/>
      <c r="FN8" s="308" t="s">
        <v>22</v>
      </c>
      <c r="FO8" s="311"/>
      <c r="FP8" s="107">
        <f t="shared" ref="FP8:FY8" si="30">SUM(FP6:FP7)</f>
        <v>35786</v>
      </c>
      <c r="FQ8" s="108">
        <f t="shared" si="30"/>
        <v>6590</v>
      </c>
      <c r="FR8" s="108">
        <f t="shared" si="30"/>
        <v>3155</v>
      </c>
      <c r="FS8" s="108">
        <f t="shared" si="30"/>
        <v>293</v>
      </c>
      <c r="FT8" s="109">
        <f t="shared" si="30"/>
        <v>10689</v>
      </c>
      <c r="FU8" s="113">
        <f t="shared" si="30"/>
        <v>56513</v>
      </c>
      <c r="FV8" s="111">
        <f t="shared" si="30"/>
        <v>1715</v>
      </c>
      <c r="FW8" s="108">
        <f t="shared" si="30"/>
        <v>14178</v>
      </c>
      <c r="FX8" s="109">
        <f t="shared" si="30"/>
        <v>0</v>
      </c>
      <c r="FY8" s="114">
        <f t="shared" si="30"/>
        <v>15893</v>
      </c>
      <c r="FZ8" s="95"/>
      <c r="GA8" s="91"/>
    </row>
    <row r="9" spans="1:183" s="96" customFormat="1" ht="20.100000000000001" customHeight="1" thickBot="1" x14ac:dyDescent="0.25">
      <c r="A9" s="304"/>
      <c r="B9" s="300" t="s">
        <v>23</v>
      </c>
      <c r="C9" s="82" t="s">
        <v>20</v>
      </c>
      <c r="D9" s="210">
        <v>308</v>
      </c>
      <c r="E9" s="211">
        <v>0</v>
      </c>
      <c r="F9" s="211">
        <v>0</v>
      </c>
      <c r="G9" s="212">
        <v>0</v>
      </c>
      <c r="H9" s="213">
        <v>51</v>
      </c>
      <c r="I9" s="214">
        <v>359</v>
      </c>
      <c r="J9" s="211">
        <v>1</v>
      </c>
      <c r="K9" s="211">
        <v>8</v>
      </c>
      <c r="L9" s="213">
        <v>0</v>
      </c>
      <c r="M9" s="121">
        <f>SUM(J9:L9)</f>
        <v>9</v>
      </c>
      <c r="N9" s="91"/>
      <c r="O9" s="304"/>
      <c r="P9" s="300" t="s">
        <v>23</v>
      </c>
      <c r="Q9" s="82" t="s">
        <v>20</v>
      </c>
      <c r="R9" s="210">
        <v>213</v>
      </c>
      <c r="S9" s="211">
        <v>0</v>
      </c>
      <c r="T9" s="211">
        <v>0</v>
      </c>
      <c r="U9" s="212">
        <v>0</v>
      </c>
      <c r="V9" s="213">
        <v>1</v>
      </c>
      <c r="W9" s="214">
        <v>213</v>
      </c>
      <c r="X9" s="211">
        <v>29</v>
      </c>
      <c r="Y9" s="211">
        <v>9</v>
      </c>
      <c r="Z9" s="213">
        <v>0</v>
      </c>
      <c r="AA9" s="121">
        <f>SUM(X9:Z9)</f>
        <v>38</v>
      </c>
      <c r="AB9" s="91"/>
      <c r="AC9" s="304"/>
      <c r="AD9" s="300" t="s">
        <v>23</v>
      </c>
      <c r="AE9" s="82" t="s">
        <v>20</v>
      </c>
      <c r="AF9" s="210">
        <v>0</v>
      </c>
      <c r="AG9" s="211">
        <v>255</v>
      </c>
      <c r="AH9" s="211">
        <v>0</v>
      </c>
      <c r="AI9" s="212">
        <v>0</v>
      </c>
      <c r="AJ9" s="213">
        <v>47</v>
      </c>
      <c r="AK9" s="214">
        <v>302</v>
      </c>
      <c r="AL9" s="211">
        <v>45</v>
      </c>
      <c r="AM9" s="211">
        <v>215</v>
      </c>
      <c r="AN9" s="213">
        <v>0</v>
      </c>
      <c r="AO9" s="121">
        <f>SUM(AL9:AN9)</f>
        <v>260</v>
      </c>
      <c r="AP9" s="91"/>
      <c r="AQ9" s="304"/>
      <c r="AR9" s="300" t="s">
        <v>23</v>
      </c>
      <c r="AS9" s="82" t="s">
        <v>20</v>
      </c>
      <c r="AT9" s="210">
        <v>99</v>
      </c>
      <c r="AU9" s="211">
        <v>291</v>
      </c>
      <c r="AV9" s="211">
        <v>0</v>
      </c>
      <c r="AW9" s="212">
        <v>0</v>
      </c>
      <c r="AX9" s="213">
        <v>0</v>
      </c>
      <c r="AY9" s="214">
        <v>390</v>
      </c>
      <c r="AZ9" s="211">
        <v>31</v>
      </c>
      <c r="BA9" s="211">
        <v>386</v>
      </c>
      <c r="BB9" s="213">
        <v>0</v>
      </c>
      <c r="BC9" s="244">
        <v>417</v>
      </c>
      <c r="BD9" s="91"/>
      <c r="BE9" s="304"/>
      <c r="BF9" s="300" t="s">
        <v>23</v>
      </c>
      <c r="BG9" s="82" t="s">
        <v>20</v>
      </c>
      <c r="BH9" s="210">
        <v>255</v>
      </c>
      <c r="BI9" s="211">
        <v>73</v>
      </c>
      <c r="BJ9" s="211">
        <v>0</v>
      </c>
      <c r="BK9" s="212">
        <v>0</v>
      </c>
      <c r="BL9" s="213">
        <v>42</v>
      </c>
      <c r="BM9" s="214">
        <v>370</v>
      </c>
      <c r="BN9" s="211">
        <v>22</v>
      </c>
      <c r="BO9" s="211">
        <v>88</v>
      </c>
      <c r="BP9" s="213">
        <v>0</v>
      </c>
      <c r="BQ9" s="121">
        <f>SUM(BN9:BP9)</f>
        <v>110</v>
      </c>
      <c r="BR9" s="91"/>
      <c r="BS9" s="304"/>
      <c r="BT9" s="300" t="s">
        <v>23</v>
      </c>
      <c r="BU9" s="82" t="s">
        <v>20</v>
      </c>
      <c r="BV9" s="210">
        <v>475</v>
      </c>
      <c r="BW9" s="211">
        <v>153</v>
      </c>
      <c r="BX9" s="211">
        <v>0</v>
      </c>
      <c r="BY9" s="212">
        <v>0</v>
      </c>
      <c r="BZ9" s="213">
        <v>0</v>
      </c>
      <c r="CA9" s="214">
        <v>628</v>
      </c>
      <c r="CB9" s="211">
        <v>9</v>
      </c>
      <c r="CC9" s="211">
        <v>386</v>
      </c>
      <c r="CD9" s="213">
        <v>0</v>
      </c>
      <c r="CE9" s="121">
        <f>SUM(CB9:CD9)</f>
        <v>395</v>
      </c>
      <c r="CF9" s="91"/>
      <c r="CG9" s="304"/>
      <c r="CH9" s="300" t="s">
        <v>23</v>
      </c>
      <c r="CI9" s="82" t="s">
        <v>20</v>
      </c>
      <c r="CJ9" s="210">
        <v>88</v>
      </c>
      <c r="CK9" s="211">
        <v>0</v>
      </c>
      <c r="CL9" s="211">
        <v>0</v>
      </c>
      <c r="CM9" s="212">
        <v>0</v>
      </c>
      <c r="CN9" s="213">
        <v>73</v>
      </c>
      <c r="CO9" s="214">
        <v>8</v>
      </c>
      <c r="CP9" s="211">
        <v>0</v>
      </c>
      <c r="CQ9" s="211">
        <v>9</v>
      </c>
      <c r="CR9" s="213">
        <v>0</v>
      </c>
      <c r="CS9" s="244">
        <v>9</v>
      </c>
      <c r="CT9" s="91"/>
      <c r="CU9" s="304"/>
      <c r="CV9" s="300" t="s">
        <v>23</v>
      </c>
      <c r="CW9" s="82" t="s">
        <v>20</v>
      </c>
      <c r="CX9" s="267">
        <v>475</v>
      </c>
      <c r="CY9" s="268">
        <v>153</v>
      </c>
      <c r="CZ9" s="268">
        <v>0</v>
      </c>
      <c r="DA9" s="269">
        <v>0</v>
      </c>
      <c r="DB9" s="270">
        <v>0</v>
      </c>
      <c r="DC9" s="271">
        <f t="shared" ref="DC9:DC10" si="31">SUM(CX9:DB9)</f>
        <v>628</v>
      </c>
      <c r="DD9" s="272">
        <v>9</v>
      </c>
      <c r="DE9" s="268">
        <v>386</v>
      </c>
      <c r="DF9" s="273">
        <v>0</v>
      </c>
      <c r="DG9" s="121">
        <f>SUM(DD9:DF9)</f>
        <v>395</v>
      </c>
      <c r="DH9" s="91"/>
      <c r="DI9" s="304"/>
      <c r="DJ9" s="300" t="s">
        <v>23</v>
      </c>
      <c r="DK9" s="82" t="s">
        <v>20</v>
      </c>
      <c r="DL9" s="267">
        <v>416</v>
      </c>
      <c r="DM9" s="268">
        <v>90</v>
      </c>
      <c r="DN9" s="268">
        <v>0</v>
      </c>
      <c r="DO9" s="269">
        <v>0</v>
      </c>
      <c r="DP9" s="270">
        <v>228</v>
      </c>
      <c r="DQ9" s="271">
        <f t="shared" ref="DQ9:DQ10" si="32">SUM(DL9:DP9)</f>
        <v>734</v>
      </c>
      <c r="DR9" s="272">
        <v>17</v>
      </c>
      <c r="DS9" s="268">
        <v>0</v>
      </c>
      <c r="DT9" s="273">
        <v>0</v>
      </c>
      <c r="DU9" s="291">
        <f t="shared" ref="DU9:DU10" si="33">SUM(DR9:DT9)</f>
        <v>17</v>
      </c>
      <c r="DV9" s="91"/>
      <c r="DW9" s="304"/>
      <c r="DX9" s="300" t="s">
        <v>23</v>
      </c>
      <c r="DY9" s="82" t="s">
        <v>20</v>
      </c>
      <c r="DZ9" s="115">
        <v>506</v>
      </c>
      <c r="EA9" s="116">
        <v>11</v>
      </c>
      <c r="EB9" s="116">
        <v>0</v>
      </c>
      <c r="EC9" s="117">
        <v>0</v>
      </c>
      <c r="ED9" s="118">
        <v>59</v>
      </c>
      <c r="EE9" s="93">
        <f>SUM(DZ9:ED9)</f>
        <v>576</v>
      </c>
      <c r="EF9" s="119">
        <v>18</v>
      </c>
      <c r="EG9" s="116">
        <v>173</v>
      </c>
      <c r="EH9" s="120">
        <v>0</v>
      </c>
      <c r="EI9" s="121">
        <f>SUM(EF9:EH9)</f>
        <v>191</v>
      </c>
      <c r="EJ9" s="91"/>
      <c r="EK9" s="304"/>
      <c r="EL9" s="300" t="s">
        <v>23</v>
      </c>
      <c r="EM9" s="82" t="s">
        <v>20</v>
      </c>
      <c r="EN9" s="115">
        <v>0</v>
      </c>
      <c r="EO9" s="116">
        <v>0</v>
      </c>
      <c r="EP9" s="116">
        <v>0</v>
      </c>
      <c r="EQ9" s="117">
        <v>0</v>
      </c>
      <c r="ER9" s="118">
        <v>0</v>
      </c>
      <c r="ES9" s="93">
        <f>SUM(EN9:ER9)</f>
        <v>0</v>
      </c>
      <c r="ET9" s="119">
        <v>0</v>
      </c>
      <c r="EU9" s="116">
        <v>0</v>
      </c>
      <c r="EV9" s="120">
        <v>0</v>
      </c>
      <c r="EW9" s="121">
        <f>SUM(ET9:EV9)</f>
        <v>0</v>
      </c>
      <c r="EX9" s="91"/>
      <c r="EY9" s="304"/>
      <c r="EZ9" s="300" t="s">
        <v>23</v>
      </c>
      <c r="FA9" s="82" t="s">
        <v>20</v>
      </c>
      <c r="FB9" s="115">
        <v>0</v>
      </c>
      <c r="FC9" s="116">
        <v>0</v>
      </c>
      <c r="FD9" s="116">
        <v>0</v>
      </c>
      <c r="FE9" s="117">
        <v>0</v>
      </c>
      <c r="FF9" s="118">
        <v>0</v>
      </c>
      <c r="FG9" s="93">
        <f>SUM(FB9:FF9)</f>
        <v>0</v>
      </c>
      <c r="FH9" s="119">
        <v>0</v>
      </c>
      <c r="FI9" s="116">
        <v>0</v>
      </c>
      <c r="FJ9" s="120">
        <v>0</v>
      </c>
      <c r="FK9" s="121">
        <f>SUM(FH9:FJ9)</f>
        <v>0</v>
      </c>
      <c r="FL9" s="147"/>
      <c r="FM9" s="304"/>
      <c r="FN9" s="300" t="s">
        <v>23</v>
      </c>
      <c r="FO9" s="82" t="s">
        <v>20</v>
      </c>
      <c r="FP9" s="115">
        <f t="shared" ref="FP9" si="34">SUM(D9+R9+AF9+AT9+BH9+BV9+CJ9+CX9+DL9+DZ9+EN9+FB9)</f>
        <v>2835</v>
      </c>
      <c r="FQ9" s="115">
        <f t="shared" ref="FQ9" si="35">SUM(E9+S9+AG9+AU9+BI9+BW9+CK9+CY9+DM9+EA9+EO9+FC9)</f>
        <v>1026</v>
      </c>
      <c r="FR9" s="115">
        <f t="shared" ref="FR9" si="36">SUM(F9+T9+AH9+AV9+BJ9+BX9+CL9+CZ9+DN9+EB9+EP9+FD9)</f>
        <v>0</v>
      </c>
      <c r="FS9" s="150">
        <f t="shared" ref="FS9" si="37">SUM(G9+U9+AI9+AW9+BK9+BY9+CM9+DA9+DO9+EC9+EQ9+FE9)</f>
        <v>0</v>
      </c>
      <c r="FT9" s="115">
        <f t="shared" ref="FT9" si="38">SUM(H9+V9+AJ9+AX9+BL9+BZ9+CN9+DB9+DP9+ED9+ER9+FF9)</f>
        <v>501</v>
      </c>
      <c r="FU9" s="93">
        <f>SUM(FP9:FT9)</f>
        <v>4362</v>
      </c>
      <c r="FV9" s="119">
        <f t="shared" ref="FV9" si="39">SUM(J9+X9+AL9+AZ9+BN9+CB9+CP9+DD9+DR9+EF9+ET9+FH9)</f>
        <v>181</v>
      </c>
      <c r="FW9" s="119">
        <f t="shared" ref="FW9" si="40">SUM(K9+Y9+AM9+BA9+BO9+CC9+CQ9+DE9+DS9+EG9+EU9+FI9)</f>
        <v>1660</v>
      </c>
      <c r="FX9" s="119">
        <f t="shared" ref="FX9" si="41">SUM(L9+Z9+AN9+BB9+BP9+CD9+CR9+DF9+DT9+EH9+EV9+FJ9)</f>
        <v>0</v>
      </c>
      <c r="FY9" s="122">
        <f>SUM(FV9:FX9)</f>
        <v>1841</v>
      </c>
      <c r="FZ9" s="95"/>
      <c r="GA9" s="91"/>
    </row>
    <row r="10" spans="1:183" ht="20.100000000000001" customHeight="1" thickBot="1" x14ac:dyDescent="0.3">
      <c r="A10" s="304"/>
      <c r="B10" s="294"/>
      <c r="C10" s="97" t="s">
        <v>21</v>
      </c>
      <c r="D10" s="202">
        <v>301</v>
      </c>
      <c r="E10" s="203">
        <v>0</v>
      </c>
      <c r="F10" s="203">
        <v>0</v>
      </c>
      <c r="G10" s="203">
        <v>0</v>
      </c>
      <c r="H10" s="204">
        <v>42</v>
      </c>
      <c r="I10" s="205">
        <v>343</v>
      </c>
      <c r="J10" s="203">
        <v>1</v>
      </c>
      <c r="K10" s="203">
        <v>8</v>
      </c>
      <c r="L10" s="204">
        <v>0</v>
      </c>
      <c r="M10" s="104">
        <f>SUM(J10:L10)</f>
        <v>9</v>
      </c>
      <c r="N10" s="61"/>
      <c r="O10" s="304"/>
      <c r="P10" s="294"/>
      <c r="Q10" s="97" t="s">
        <v>21</v>
      </c>
      <c r="R10" s="202">
        <v>170</v>
      </c>
      <c r="S10" s="203">
        <v>0</v>
      </c>
      <c r="T10" s="203">
        <v>0</v>
      </c>
      <c r="U10" s="203">
        <v>6</v>
      </c>
      <c r="V10" s="204">
        <v>1</v>
      </c>
      <c r="W10" s="205">
        <v>170</v>
      </c>
      <c r="X10" s="203">
        <v>7</v>
      </c>
      <c r="Y10" s="203">
        <v>9</v>
      </c>
      <c r="Z10" s="204">
        <v>0</v>
      </c>
      <c r="AA10" s="104">
        <f>SUM(X10:Z10)</f>
        <v>16</v>
      </c>
      <c r="AB10" s="61"/>
      <c r="AC10" s="304"/>
      <c r="AD10" s="294"/>
      <c r="AE10" s="97" t="s">
        <v>21</v>
      </c>
      <c r="AF10" s="202">
        <v>0</v>
      </c>
      <c r="AG10" s="203">
        <v>156</v>
      </c>
      <c r="AH10" s="203">
        <v>0</v>
      </c>
      <c r="AI10" s="203">
        <v>4</v>
      </c>
      <c r="AJ10" s="204">
        <v>15</v>
      </c>
      <c r="AK10" s="205">
        <v>175</v>
      </c>
      <c r="AL10" s="203">
        <v>30</v>
      </c>
      <c r="AM10" s="203">
        <v>195</v>
      </c>
      <c r="AN10" s="204">
        <v>0</v>
      </c>
      <c r="AO10" s="104">
        <f>SUM(AL10:AN10)</f>
        <v>225</v>
      </c>
      <c r="AP10" s="61"/>
      <c r="AQ10" s="304"/>
      <c r="AR10" s="294"/>
      <c r="AS10" s="97" t="s">
        <v>21</v>
      </c>
      <c r="AT10" s="202">
        <v>89</v>
      </c>
      <c r="AU10" s="203">
        <v>169</v>
      </c>
      <c r="AV10" s="203">
        <v>0</v>
      </c>
      <c r="AW10" s="203">
        <v>4</v>
      </c>
      <c r="AX10" s="204">
        <v>0</v>
      </c>
      <c r="AY10" s="205">
        <v>262</v>
      </c>
      <c r="AZ10" s="203">
        <v>39</v>
      </c>
      <c r="BA10" s="203">
        <v>677</v>
      </c>
      <c r="BB10" s="204">
        <v>0</v>
      </c>
      <c r="BC10" s="208">
        <v>716</v>
      </c>
      <c r="BD10" s="61"/>
      <c r="BE10" s="304"/>
      <c r="BF10" s="294"/>
      <c r="BG10" s="97" t="s">
        <v>21</v>
      </c>
      <c r="BH10" s="202">
        <v>227</v>
      </c>
      <c r="BI10" s="203">
        <v>31</v>
      </c>
      <c r="BJ10" s="203">
        <v>0</v>
      </c>
      <c r="BK10" s="203">
        <v>0</v>
      </c>
      <c r="BL10" s="204">
        <v>70</v>
      </c>
      <c r="BM10" s="205">
        <v>328</v>
      </c>
      <c r="BN10" s="203">
        <v>11</v>
      </c>
      <c r="BO10" s="203">
        <v>89</v>
      </c>
      <c r="BP10" s="204">
        <v>0</v>
      </c>
      <c r="BQ10" s="104">
        <f>SUM(BN10:BP10)</f>
        <v>100</v>
      </c>
      <c r="BR10" s="61"/>
      <c r="BS10" s="304"/>
      <c r="BT10" s="294"/>
      <c r="BU10" s="97" t="s">
        <v>21</v>
      </c>
      <c r="BV10" s="202">
        <v>453</v>
      </c>
      <c r="BW10" s="203">
        <v>124</v>
      </c>
      <c r="BX10" s="203">
        <v>0</v>
      </c>
      <c r="BY10" s="203">
        <v>4</v>
      </c>
      <c r="BZ10" s="204">
        <v>0</v>
      </c>
      <c r="CA10" s="205">
        <v>581</v>
      </c>
      <c r="CB10" s="203">
        <v>3</v>
      </c>
      <c r="CC10" s="203">
        <v>677</v>
      </c>
      <c r="CD10" s="204">
        <v>0</v>
      </c>
      <c r="CE10" s="104">
        <f>SUM(CB10:CD10)</f>
        <v>680</v>
      </c>
      <c r="CF10" s="61"/>
      <c r="CG10" s="304"/>
      <c r="CH10" s="294"/>
      <c r="CI10" s="97" t="s">
        <v>21</v>
      </c>
      <c r="CJ10" s="202">
        <v>100</v>
      </c>
      <c r="CK10" s="203">
        <v>0</v>
      </c>
      <c r="CL10" s="203">
        <v>0</v>
      </c>
      <c r="CM10" s="203">
        <v>343</v>
      </c>
      <c r="CN10" s="204">
        <v>110</v>
      </c>
      <c r="CO10" s="205">
        <v>8</v>
      </c>
      <c r="CP10" s="203">
        <v>0</v>
      </c>
      <c r="CQ10" s="203">
        <v>9</v>
      </c>
      <c r="CR10" s="204">
        <v>0</v>
      </c>
      <c r="CS10" s="208">
        <v>9</v>
      </c>
      <c r="CT10" s="61"/>
      <c r="CU10" s="304"/>
      <c r="CV10" s="294"/>
      <c r="CW10" s="97" t="s">
        <v>21</v>
      </c>
      <c r="CX10" s="274">
        <v>453</v>
      </c>
      <c r="CY10" s="260">
        <v>142</v>
      </c>
      <c r="CZ10" s="260">
        <v>0</v>
      </c>
      <c r="DA10" s="260">
        <v>0</v>
      </c>
      <c r="DB10" s="275">
        <v>0</v>
      </c>
      <c r="DC10" s="258">
        <f t="shared" si="31"/>
        <v>595</v>
      </c>
      <c r="DD10" s="259">
        <v>3</v>
      </c>
      <c r="DE10" s="260">
        <v>677</v>
      </c>
      <c r="DF10" s="261">
        <v>0</v>
      </c>
      <c r="DG10" s="104">
        <f>SUM(DD10:DF10)</f>
        <v>680</v>
      </c>
      <c r="DH10" s="61"/>
      <c r="DI10" s="304"/>
      <c r="DJ10" s="294"/>
      <c r="DK10" s="97" t="s">
        <v>21</v>
      </c>
      <c r="DL10" s="274">
        <v>616</v>
      </c>
      <c r="DM10" s="260">
        <v>147</v>
      </c>
      <c r="DN10" s="260">
        <v>0</v>
      </c>
      <c r="DO10" s="260">
        <v>0</v>
      </c>
      <c r="DP10" s="275">
        <v>200</v>
      </c>
      <c r="DQ10" s="258">
        <f t="shared" si="32"/>
        <v>963</v>
      </c>
      <c r="DR10" s="259">
        <v>3</v>
      </c>
      <c r="DS10" s="260">
        <v>0</v>
      </c>
      <c r="DT10" s="261">
        <v>0</v>
      </c>
      <c r="DU10" s="289">
        <f t="shared" si="33"/>
        <v>3</v>
      </c>
      <c r="DV10" s="61"/>
      <c r="DW10" s="304"/>
      <c r="DX10" s="294"/>
      <c r="DY10" s="97" t="s">
        <v>21</v>
      </c>
      <c r="DZ10" s="98">
        <v>396</v>
      </c>
      <c r="EA10" s="99">
        <v>9</v>
      </c>
      <c r="EB10" s="99">
        <v>0</v>
      </c>
      <c r="EC10" s="99">
        <v>1</v>
      </c>
      <c r="ED10" s="100">
        <v>53</v>
      </c>
      <c r="EE10" s="101">
        <f>SUM(DZ10:ED10)</f>
        <v>459</v>
      </c>
      <c r="EF10" s="102">
        <v>10</v>
      </c>
      <c r="EG10" s="99">
        <v>294</v>
      </c>
      <c r="EH10" s="103">
        <v>0</v>
      </c>
      <c r="EI10" s="104">
        <f>SUM(EF10:EH10)</f>
        <v>304</v>
      </c>
      <c r="EJ10" s="61"/>
      <c r="EK10" s="304"/>
      <c r="EL10" s="294"/>
      <c r="EM10" s="97" t="s">
        <v>21</v>
      </c>
      <c r="EN10" s="98">
        <v>0</v>
      </c>
      <c r="EO10" s="99">
        <v>0</v>
      </c>
      <c r="EP10" s="99">
        <v>0</v>
      </c>
      <c r="EQ10" s="99">
        <v>0</v>
      </c>
      <c r="ER10" s="100">
        <v>0</v>
      </c>
      <c r="ES10" s="101">
        <f>SUM(EN10:ER10)</f>
        <v>0</v>
      </c>
      <c r="ET10" s="102">
        <v>0</v>
      </c>
      <c r="EU10" s="99">
        <v>0</v>
      </c>
      <c r="EV10" s="103">
        <v>0</v>
      </c>
      <c r="EW10" s="104">
        <f>SUM(ET10:EV10)</f>
        <v>0</v>
      </c>
      <c r="EX10" s="61"/>
      <c r="EY10" s="304"/>
      <c r="EZ10" s="294"/>
      <c r="FA10" s="97" t="s">
        <v>21</v>
      </c>
      <c r="FB10" s="98">
        <v>0</v>
      </c>
      <c r="FC10" s="99">
        <v>0</v>
      </c>
      <c r="FD10" s="99">
        <v>0</v>
      </c>
      <c r="FE10" s="99">
        <v>0</v>
      </c>
      <c r="FF10" s="100">
        <v>0</v>
      </c>
      <c r="FG10" s="101">
        <f>SUM(FB10:FF10)</f>
        <v>0</v>
      </c>
      <c r="FH10" s="102">
        <v>0</v>
      </c>
      <c r="FI10" s="99">
        <v>0</v>
      </c>
      <c r="FJ10" s="103">
        <v>0</v>
      </c>
      <c r="FK10" s="104">
        <f>SUM(FH10:FJ10)</f>
        <v>0</v>
      </c>
      <c r="FM10" s="304"/>
      <c r="FN10" s="294"/>
      <c r="FO10" s="97" t="s">
        <v>21</v>
      </c>
      <c r="FP10" s="115">
        <f t="shared" ref="FP10" si="42">SUM(D10+R10+AF10+AT10+BH10+BV10+CJ10+CX10+DL10+DZ10+EN10+FB10)</f>
        <v>2805</v>
      </c>
      <c r="FQ10" s="115">
        <f t="shared" ref="FQ10" si="43">SUM(E10+S10+AG10+AU10+BI10+BW10+CK10+CY10+DM10+EA10+EO10+FC10)</f>
        <v>778</v>
      </c>
      <c r="FR10" s="115">
        <f t="shared" ref="FR10" si="44">SUM(F10+T10+AH10+AV10+BJ10+BX10+CL10+CZ10+DN10+EB10+EP10+FD10)</f>
        <v>0</v>
      </c>
      <c r="FS10" s="115">
        <f t="shared" ref="FS10" si="45">SUM(G10+U10+AI10+AW10+BK10+BY10+CM10+DA10+DO10+EC10+EQ10+FE10)</f>
        <v>362</v>
      </c>
      <c r="FT10" s="115">
        <f t="shared" ref="FT10" si="46">SUM(H10+V10+AJ10+AX10+BL10+BZ10+CN10+DB10+DP10+ED10+ER10+FF10)</f>
        <v>491</v>
      </c>
      <c r="FU10" s="101">
        <f>SUM(FP10:FT10)</f>
        <v>4436</v>
      </c>
      <c r="FV10" s="119">
        <f t="shared" ref="FV10" si="47">SUM(J10+X10+AL10+AZ10+BN10+CB10+CP10+DD10+DR10+EF10+ET10+FH10)</f>
        <v>107</v>
      </c>
      <c r="FW10" s="119">
        <f t="shared" ref="FW10" si="48">SUM(K10+Y10+AM10+BA10+BO10+CC10+CQ10+DE10+DS10+EG10+EU10+FI10)</f>
        <v>2635</v>
      </c>
      <c r="FX10" s="119">
        <f t="shared" ref="FX10" si="49">SUM(L10+Z10+AN10+BB10+BP10+CD10+CR10+DF10+DT10+EH10+EV10+FJ10)</f>
        <v>0</v>
      </c>
      <c r="FY10" s="106">
        <f>SUM(FV10:FX10)</f>
        <v>2742</v>
      </c>
      <c r="GA10" s="61"/>
    </row>
    <row r="11" spans="1:183" ht="20.100000000000001" customHeight="1" thickBot="1" x14ac:dyDescent="0.3">
      <c r="A11" s="305"/>
      <c r="B11" s="301" t="s">
        <v>24</v>
      </c>
      <c r="C11" s="310"/>
      <c r="D11" s="107">
        <f t="shared" ref="D11:M11" si="50">SUM(D9:D10)</f>
        <v>609</v>
      </c>
      <c r="E11" s="108">
        <f t="shared" si="50"/>
        <v>0</v>
      </c>
      <c r="F11" s="108">
        <f t="shared" si="50"/>
        <v>0</v>
      </c>
      <c r="G11" s="108">
        <f t="shared" si="50"/>
        <v>0</v>
      </c>
      <c r="H11" s="109">
        <f t="shared" si="50"/>
        <v>93</v>
      </c>
      <c r="I11" s="110">
        <f t="shared" si="50"/>
        <v>702</v>
      </c>
      <c r="J11" s="111">
        <f t="shared" si="50"/>
        <v>2</v>
      </c>
      <c r="K11" s="108">
        <f t="shared" si="50"/>
        <v>16</v>
      </c>
      <c r="L11" s="109">
        <f t="shared" si="50"/>
        <v>0</v>
      </c>
      <c r="M11" s="112">
        <f t="shared" si="50"/>
        <v>18</v>
      </c>
      <c r="N11" s="61"/>
      <c r="O11" s="305"/>
      <c r="P11" s="301" t="s">
        <v>24</v>
      </c>
      <c r="Q11" s="310"/>
      <c r="R11" s="107">
        <f t="shared" ref="R11:AA11" si="51">SUM(R9:R10)</f>
        <v>383</v>
      </c>
      <c r="S11" s="108">
        <f t="shared" si="51"/>
        <v>0</v>
      </c>
      <c r="T11" s="108">
        <f t="shared" si="51"/>
        <v>0</v>
      </c>
      <c r="U11" s="108">
        <f t="shared" si="51"/>
        <v>6</v>
      </c>
      <c r="V11" s="109">
        <f t="shared" si="51"/>
        <v>2</v>
      </c>
      <c r="W11" s="110">
        <f t="shared" si="51"/>
        <v>383</v>
      </c>
      <c r="X11" s="111">
        <f t="shared" si="51"/>
        <v>36</v>
      </c>
      <c r="Y11" s="108">
        <f t="shared" si="51"/>
        <v>18</v>
      </c>
      <c r="Z11" s="109">
        <f t="shared" si="51"/>
        <v>0</v>
      </c>
      <c r="AA11" s="112">
        <f t="shared" si="51"/>
        <v>54</v>
      </c>
      <c r="AB11" s="61"/>
      <c r="AC11" s="305"/>
      <c r="AD11" s="301" t="s">
        <v>24</v>
      </c>
      <c r="AE11" s="310"/>
      <c r="AF11" s="206">
        <v>0</v>
      </c>
      <c r="AG11" s="207">
        <v>411</v>
      </c>
      <c r="AH11" s="207">
        <v>0</v>
      </c>
      <c r="AI11" s="207">
        <v>4</v>
      </c>
      <c r="AJ11" s="208">
        <v>62</v>
      </c>
      <c r="AK11" s="209">
        <v>477</v>
      </c>
      <c r="AL11" s="207">
        <v>75</v>
      </c>
      <c r="AM11" s="207">
        <v>410</v>
      </c>
      <c r="AN11" s="208">
        <v>0</v>
      </c>
      <c r="AO11" s="112">
        <f t="shared" ref="AO11" si="52">SUM(AO9:AO10)</f>
        <v>485</v>
      </c>
      <c r="AP11" s="61"/>
      <c r="AQ11" s="305"/>
      <c r="AR11" s="301" t="s">
        <v>24</v>
      </c>
      <c r="AS11" s="310"/>
      <c r="AT11" s="107">
        <f t="shared" ref="AT11:BC11" si="53">SUM(AT9:AT10)</f>
        <v>188</v>
      </c>
      <c r="AU11" s="108">
        <f t="shared" si="53"/>
        <v>460</v>
      </c>
      <c r="AV11" s="108">
        <f t="shared" si="53"/>
        <v>0</v>
      </c>
      <c r="AW11" s="108">
        <f t="shared" si="53"/>
        <v>4</v>
      </c>
      <c r="AX11" s="109">
        <f t="shared" si="53"/>
        <v>0</v>
      </c>
      <c r="AY11" s="110">
        <f t="shared" si="53"/>
        <v>652</v>
      </c>
      <c r="AZ11" s="111">
        <f t="shared" si="53"/>
        <v>70</v>
      </c>
      <c r="BA11" s="108">
        <f t="shared" si="53"/>
        <v>1063</v>
      </c>
      <c r="BB11" s="109">
        <f t="shared" si="53"/>
        <v>0</v>
      </c>
      <c r="BC11" s="112">
        <f t="shared" si="53"/>
        <v>1133</v>
      </c>
      <c r="BD11" s="61"/>
      <c r="BE11" s="305"/>
      <c r="BF11" s="301" t="s">
        <v>24</v>
      </c>
      <c r="BG11" s="310"/>
      <c r="BH11" s="107">
        <f t="shared" ref="BH11:BQ11" si="54">SUM(BH9:BH10)</f>
        <v>482</v>
      </c>
      <c r="BI11" s="108">
        <f t="shared" si="54"/>
        <v>104</v>
      </c>
      <c r="BJ11" s="108">
        <f t="shared" si="54"/>
        <v>0</v>
      </c>
      <c r="BK11" s="108">
        <f t="shared" si="54"/>
        <v>0</v>
      </c>
      <c r="BL11" s="109">
        <f t="shared" si="54"/>
        <v>112</v>
      </c>
      <c r="BM11" s="110">
        <f t="shared" si="54"/>
        <v>698</v>
      </c>
      <c r="BN11" s="111">
        <f t="shared" si="54"/>
        <v>33</v>
      </c>
      <c r="BO11" s="108">
        <f t="shared" si="54"/>
        <v>177</v>
      </c>
      <c r="BP11" s="109">
        <f t="shared" si="54"/>
        <v>0</v>
      </c>
      <c r="BQ11" s="112">
        <f t="shared" si="54"/>
        <v>210</v>
      </c>
      <c r="BR11" s="61"/>
      <c r="BS11" s="305"/>
      <c r="BT11" s="301" t="s">
        <v>24</v>
      </c>
      <c r="BU11" s="310"/>
      <c r="BV11" s="206">
        <v>928</v>
      </c>
      <c r="BW11" s="207">
        <v>277</v>
      </c>
      <c r="BX11" s="207">
        <v>0</v>
      </c>
      <c r="BY11" s="207">
        <v>4</v>
      </c>
      <c r="BZ11" s="208">
        <v>0</v>
      </c>
      <c r="CA11" s="209">
        <v>1209</v>
      </c>
      <c r="CB11" s="207">
        <v>12</v>
      </c>
      <c r="CC11" s="207">
        <v>1063</v>
      </c>
      <c r="CD11" s="208">
        <v>0</v>
      </c>
      <c r="CE11" s="112">
        <f t="shared" ref="CE11" si="55">SUM(CE9:CE10)</f>
        <v>1075</v>
      </c>
      <c r="CF11" s="61"/>
      <c r="CG11" s="305"/>
      <c r="CH11" s="301" t="s">
        <v>24</v>
      </c>
      <c r="CI11" s="310"/>
      <c r="CJ11" s="206">
        <v>188</v>
      </c>
      <c r="CK11" s="207">
        <v>0</v>
      </c>
      <c r="CL11" s="207">
        <v>0</v>
      </c>
      <c r="CM11" s="207">
        <v>343</v>
      </c>
      <c r="CN11" s="208">
        <v>183</v>
      </c>
      <c r="CO11" s="209">
        <v>16</v>
      </c>
      <c r="CP11" s="207">
        <v>0</v>
      </c>
      <c r="CQ11" s="207">
        <v>18</v>
      </c>
      <c r="CR11" s="208">
        <v>0</v>
      </c>
      <c r="CS11" s="243">
        <v>18</v>
      </c>
      <c r="CT11" s="61"/>
      <c r="CU11" s="305"/>
      <c r="CV11" s="301" t="s">
        <v>24</v>
      </c>
      <c r="CW11" s="310"/>
      <c r="CX11" s="262">
        <f t="shared" ref="CX11:DF11" si="56">SUM(CX9:CX10)</f>
        <v>928</v>
      </c>
      <c r="CY11" s="263">
        <f t="shared" si="56"/>
        <v>295</v>
      </c>
      <c r="CZ11" s="263">
        <f t="shared" si="56"/>
        <v>0</v>
      </c>
      <c r="DA11" s="263">
        <f t="shared" si="56"/>
        <v>0</v>
      </c>
      <c r="DB11" s="264">
        <f t="shared" si="56"/>
        <v>0</v>
      </c>
      <c r="DC11" s="265">
        <f t="shared" si="56"/>
        <v>1223</v>
      </c>
      <c r="DD11" s="266">
        <f t="shared" si="56"/>
        <v>12</v>
      </c>
      <c r="DE11" s="263">
        <f t="shared" si="56"/>
        <v>1063</v>
      </c>
      <c r="DF11" s="264">
        <f t="shared" si="56"/>
        <v>0</v>
      </c>
      <c r="DG11" s="112">
        <f t="shared" ref="DG11" si="57">SUM(DG9:DG10)</f>
        <v>1075</v>
      </c>
      <c r="DH11" s="61"/>
      <c r="DI11" s="305"/>
      <c r="DJ11" s="301" t="s">
        <v>24</v>
      </c>
      <c r="DK11" s="310"/>
      <c r="DL11" s="262">
        <f t="shared" ref="DL11:DU11" si="58">SUM(DL9:DL10)</f>
        <v>1032</v>
      </c>
      <c r="DM11" s="263">
        <f t="shared" si="58"/>
        <v>237</v>
      </c>
      <c r="DN11" s="263">
        <f t="shared" si="58"/>
        <v>0</v>
      </c>
      <c r="DO11" s="263">
        <f t="shared" si="58"/>
        <v>0</v>
      </c>
      <c r="DP11" s="264">
        <f t="shared" si="58"/>
        <v>428</v>
      </c>
      <c r="DQ11" s="265">
        <f t="shared" si="58"/>
        <v>1697</v>
      </c>
      <c r="DR11" s="266">
        <f t="shared" si="58"/>
        <v>20</v>
      </c>
      <c r="DS11" s="263">
        <f t="shared" si="58"/>
        <v>0</v>
      </c>
      <c r="DT11" s="264">
        <f t="shared" si="58"/>
        <v>0</v>
      </c>
      <c r="DU11" s="290">
        <f t="shared" si="58"/>
        <v>20</v>
      </c>
      <c r="DV11" s="61"/>
      <c r="DW11" s="305"/>
      <c r="DX11" s="301" t="s">
        <v>24</v>
      </c>
      <c r="DY11" s="310"/>
      <c r="DZ11" s="107">
        <f t="shared" ref="DZ11:EI11" si="59">SUM(DZ9:DZ10)</f>
        <v>902</v>
      </c>
      <c r="EA11" s="108">
        <f t="shared" si="59"/>
        <v>20</v>
      </c>
      <c r="EB11" s="108">
        <f t="shared" si="59"/>
        <v>0</v>
      </c>
      <c r="EC11" s="108">
        <f t="shared" si="59"/>
        <v>1</v>
      </c>
      <c r="ED11" s="109">
        <f t="shared" si="59"/>
        <v>112</v>
      </c>
      <c r="EE11" s="110">
        <f t="shared" si="59"/>
        <v>1035</v>
      </c>
      <c r="EF11" s="111">
        <f t="shared" si="59"/>
        <v>28</v>
      </c>
      <c r="EG11" s="108">
        <f t="shared" si="59"/>
        <v>467</v>
      </c>
      <c r="EH11" s="109">
        <f t="shared" si="59"/>
        <v>0</v>
      </c>
      <c r="EI11" s="112">
        <f t="shared" si="59"/>
        <v>495</v>
      </c>
      <c r="EJ11" s="61"/>
      <c r="EK11" s="305"/>
      <c r="EL11" s="301" t="s">
        <v>24</v>
      </c>
      <c r="EM11" s="310"/>
      <c r="EN11" s="107">
        <f t="shared" ref="EN11:EW11" si="60">SUM(EN9:EN10)</f>
        <v>0</v>
      </c>
      <c r="EO11" s="108">
        <f t="shared" si="60"/>
        <v>0</v>
      </c>
      <c r="EP11" s="108">
        <f t="shared" si="60"/>
        <v>0</v>
      </c>
      <c r="EQ11" s="108">
        <f t="shared" si="60"/>
        <v>0</v>
      </c>
      <c r="ER11" s="109">
        <f t="shared" si="60"/>
        <v>0</v>
      </c>
      <c r="ES11" s="110">
        <f t="shared" si="60"/>
        <v>0</v>
      </c>
      <c r="ET11" s="111">
        <f t="shared" si="60"/>
        <v>0</v>
      </c>
      <c r="EU11" s="108">
        <f t="shared" si="60"/>
        <v>0</v>
      </c>
      <c r="EV11" s="109">
        <f t="shared" si="60"/>
        <v>0</v>
      </c>
      <c r="EW11" s="112">
        <f t="shared" si="60"/>
        <v>0</v>
      </c>
      <c r="EX11" s="61"/>
      <c r="EY11" s="305"/>
      <c r="EZ11" s="301" t="s">
        <v>24</v>
      </c>
      <c r="FA11" s="310"/>
      <c r="FB11" s="107">
        <f t="shared" ref="FB11:FK11" si="61">SUM(FB9:FB10)</f>
        <v>0</v>
      </c>
      <c r="FC11" s="108">
        <f t="shared" si="61"/>
        <v>0</v>
      </c>
      <c r="FD11" s="108">
        <f t="shared" si="61"/>
        <v>0</v>
      </c>
      <c r="FE11" s="108">
        <f t="shared" si="61"/>
        <v>0</v>
      </c>
      <c r="FF11" s="109">
        <f t="shared" si="61"/>
        <v>0</v>
      </c>
      <c r="FG11" s="110">
        <f t="shared" si="61"/>
        <v>0</v>
      </c>
      <c r="FH11" s="111">
        <f t="shared" si="61"/>
        <v>0</v>
      </c>
      <c r="FI11" s="108">
        <f t="shared" si="61"/>
        <v>0</v>
      </c>
      <c r="FJ11" s="109">
        <f t="shared" si="61"/>
        <v>0</v>
      </c>
      <c r="FK11" s="112">
        <f t="shared" si="61"/>
        <v>0</v>
      </c>
      <c r="FM11" s="305"/>
      <c r="FN11" s="301" t="s">
        <v>24</v>
      </c>
      <c r="FO11" s="310"/>
      <c r="FP11" s="107">
        <f t="shared" ref="FP11:FY11" si="62">SUM(FP9:FP10)</f>
        <v>5640</v>
      </c>
      <c r="FQ11" s="108">
        <f t="shared" si="62"/>
        <v>1804</v>
      </c>
      <c r="FR11" s="108">
        <f t="shared" si="62"/>
        <v>0</v>
      </c>
      <c r="FS11" s="108">
        <f t="shared" si="62"/>
        <v>362</v>
      </c>
      <c r="FT11" s="109">
        <f t="shared" si="62"/>
        <v>992</v>
      </c>
      <c r="FU11" s="113">
        <f t="shared" si="62"/>
        <v>8798</v>
      </c>
      <c r="FV11" s="111">
        <f t="shared" si="62"/>
        <v>288</v>
      </c>
      <c r="FW11" s="108">
        <f t="shared" si="62"/>
        <v>4295</v>
      </c>
      <c r="FX11" s="109">
        <f t="shared" si="62"/>
        <v>0</v>
      </c>
      <c r="FY11" s="114">
        <f t="shared" si="62"/>
        <v>4583</v>
      </c>
      <c r="GA11" s="61"/>
    </row>
    <row r="12" spans="1:183" ht="20.100000000000001" customHeight="1" thickBot="1" x14ac:dyDescent="0.3">
      <c r="A12" s="297" t="s">
        <v>25</v>
      </c>
      <c r="B12" s="298"/>
      <c r="C12" s="299"/>
      <c r="D12" s="123">
        <f>SUM(D11+D8)</f>
        <v>5418</v>
      </c>
      <c r="E12" s="124">
        <f>SUM(E11+E8)</f>
        <v>352</v>
      </c>
      <c r="F12" s="124">
        <f>SUM(F11+F8)</f>
        <v>443</v>
      </c>
      <c r="G12" s="124">
        <f>SUM(G11+G8)</f>
        <v>5</v>
      </c>
      <c r="H12" s="125">
        <f>SUM(H11+H8)</f>
        <v>1080</v>
      </c>
      <c r="I12" s="126">
        <f>SUM(I8+I11)</f>
        <v>7298</v>
      </c>
      <c r="J12" s="127">
        <f>SUM(J11+J8)</f>
        <v>173</v>
      </c>
      <c r="K12" s="128">
        <f>SUM(K11+K8)</f>
        <v>1363</v>
      </c>
      <c r="L12" s="129">
        <f>SUM(L11+L8)</f>
        <v>0</v>
      </c>
      <c r="M12" s="130">
        <f>SUM(M11+M8)</f>
        <v>1536</v>
      </c>
      <c r="N12" s="61"/>
      <c r="O12" s="297" t="s">
        <v>25</v>
      </c>
      <c r="P12" s="298"/>
      <c r="Q12" s="299"/>
      <c r="R12" s="123">
        <f>SUM(R11+R8)</f>
        <v>4975</v>
      </c>
      <c r="S12" s="124">
        <f>SUM(S11+S8)</f>
        <v>314</v>
      </c>
      <c r="T12" s="124">
        <f>SUM(T11+T8)</f>
        <v>342</v>
      </c>
      <c r="U12" s="124">
        <f>SUM(U11+U8)</f>
        <v>38</v>
      </c>
      <c r="V12" s="125">
        <f>SUM(V11+V8)</f>
        <v>1109</v>
      </c>
      <c r="W12" s="126">
        <f>SUM(W8+W11)</f>
        <v>4975</v>
      </c>
      <c r="X12" s="127">
        <f>SUM(X11+X8)</f>
        <v>232</v>
      </c>
      <c r="Y12" s="128">
        <f>SUM(Y11+Y8)</f>
        <v>1632</v>
      </c>
      <c r="Z12" s="129">
        <f>SUM(Z11+Z8)</f>
        <v>0</v>
      </c>
      <c r="AA12" s="130">
        <f>SUM(AA11+AA8)</f>
        <v>1864</v>
      </c>
      <c r="AB12" s="61"/>
      <c r="AC12" s="297" t="s">
        <v>25</v>
      </c>
      <c r="AD12" s="298"/>
      <c r="AE12" s="299"/>
      <c r="AF12" s="236">
        <v>2350</v>
      </c>
      <c r="AG12" s="237">
        <v>2053</v>
      </c>
      <c r="AH12" s="237">
        <v>290</v>
      </c>
      <c r="AI12" s="237">
        <v>23</v>
      </c>
      <c r="AJ12" s="238">
        <v>829</v>
      </c>
      <c r="AK12" s="239">
        <v>7880</v>
      </c>
      <c r="AL12" s="240">
        <v>324</v>
      </c>
      <c r="AM12" s="240">
        <v>1720</v>
      </c>
      <c r="AN12" s="241">
        <v>0</v>
      </c>
      <c r="AO12" s="130">
        <f>SUM(AO11+AO8)</f>
        <v>2044</v>
      </c>
      <c r="AP12" s="61"/>
      <c r="AQ12" s="297" t="s">
        <v>25</v>
      </c>
      <c r="AR12" s="298"/>
      <c r="AS12" s="299"/>
      <c r="AT12" s="123">
        <f>SUM(AT11+AT8)</f>
        <v>2341</v>
      </c>
      <c r="AU12" s="124">
        <f>SUM(AU11+AU8)</f>
        <v>1422</v>
      </c>
      <c r="AV12" s="124">
        <f>SUM(AV11+AV8)</f>
        <v>493</v>
      </c>
      <c r="AW12" s="124">
        <f>SUM(AW11+AW8)</f>
        <v>33</v>
      </c>
      <c r="AX12" s="125">
        <f>SUM(AX11+AX8)</f>
        <v>1554</v>
      </c>
      <c r="AY12" s="126">
        <f>SUM(AY8+AY11)</f>
        <v>5843</v>
      </c>
      <c r="AZ12" s="127">
        <f>SUM(AZ11+AZ8)</f>
        <v>359</v>
      </c>
      <c r="BA12" s="128">
        <f>SUM(BA11+BA8)</f>
        <v>2887</v>
      </c>
      <c r="BB12" s="129">
        <f>SUM(BB11+BB8)</f>
        <v>0</v>
      </c>
      <c r="BC12" s="130">
        <f>SUM(BC11+BC8)</f>
        <v>3246</v>
      </c>
      <c r="BD12" s="61"/>
      <c r="BE12" s="297" t="s">
        <v>25</v>
      </c>
      <c r="BF12" s="298"/>
      <c r="BG12" s="299"/>
      <c r="BH12" s="123">
        <f>SUM(BH11+BH8)</f>
        <v>3542</v>
      </c>
      <c r="BI12" s="124">
        <f>SUM(BI11+BI8)</f>
        <v>784</v>
      </c>
      <c r="BJ12" s="124">
        <f>SUM(BJ11+BJ8)</f>
        <v>440</v>
      </c>
      <c r="BK12" s="124">
        <f>SUM(BK11+BK8)</f>
        <v>3</v>
      </c>
      <c r="BL12" s="125">
        <f>SUM(BL11+BL8)</f>
        <v>698</v>
      </c>
      <c r="BM12" s="126">
        <f>SUM(BM8+BM11)</f>
        <v>5467</v>
      </c>
      <c r="BN12" s="127">
        <f>SUM(BN11+BN8)</f>
        <v>375</v>
      </c>
      <c r="BO12" s="128">
        <f>SUM(BO11+BO8)</f>
        <v>1153</v>
      </c>
      <c r="BP12" s="129">
        <f>SUM(BP11+BP8)</f>
        <v>0</v>
      </c>
      <c r="BQ12" s="130">
        <f>SUM(BQ11+BQ8)</f>
        <v>1528</v>
      </c>
      <c r="BR12" s="61"/>
      <c r="BS12" s="297" t="s">
        <v>25</v>
      </c>
      <c r="BT12" s="298"/>
      <c r="BU12" s="299"/>
      <c r="BV12" s="236">
        <v>3948</v>
      </c>
      <c r="BW12" s="237">
        <v>1315</v>
      </c>
      <c r="BX12" s="237">
        <v>191</v>
      </c>
      <c r="BY12" s="237">
        <v>19</v>
      </c>
      <c r="BZ12" s="238">
        <v>1571</v>
      </c>
      <c r="CA12" s="239">
        <v>7044</v>
      </c>
      <c r="CB12" s="240">
        <v>92</v>
      </c>
      <c r="CC12" s="240">
        <v>2888</v>
      </c>
      <c r="CD12" s="241">
        <v>0</v>
      </c>
      <c r="CE12" s="130">
        <f>SUM(CE11+CE8)</f>
        <v>2980</v>
      </c>
      <c r="CF12" s="61"/>
      <c r="CG12" s="297" t="s">
        <v>25</v>
      </c>
      <c r="CH12" s="298"/>
      <c r="CI12" s="299"/>
      <c r="CJ12" s="236">
        <v>3878</v>
      </c>
      <c r="CK12" s="237">
        <v>5</v>
      </c>
      <c r="CL12" s="237">
        <v>438</v>
      </c>
      <c r="CM12" s="237">
        <v>369</v>
      </c>
      <c r="CN12" s="238">
        <v>1019</v>
      </c>
      <c r="CO12" s="239">
        <v>1363</v>
      </c>
      <c r="CP12" s="240">
        <v>0</v>
      </c>
      <c r="CQ12" s="240">
        <v>1536</v>
      </c>
      <c r="CR12" s="241">
        <v>0</v>
      </c>
      <c r="CS12" s="241">
        <v>1536</v>
      </c>
      <c r="CT12" s="61"/>
      <c r="CU12" s="297" t="s">
        <v>25</v>
      </c>
      <c r="CV12" s="298"/>
      <c r="CW12" s="299"/>
      <c r="CX12" s="276">
        <f t="shared" ref="CX12:DB12" si="63">SUM(CX11+CX8)</f>
        <v>3948</v>
      </c>
      <c r="CY12" s="277">
        <f t="shared" si="63"/>
        <v>1333</v>
      </c>
      <c r="CZ12" s="277">
        <f t="shared" si="63"/>
        <v>191</v>
      </c>
      <c r="DA12" s="277">
        <f t="shared" si="63"/>
        <v>15</v>
      </c>
      <c r="DB12" s="278">
        <f t="shared" si="63"/>
        <v>1571</v>
      </c>
      <c r="DC12" s="279">
        <f>SUM(DC8+DC11)</f>
        <v>7058</v>
      </c>
      <c r="DD12" s="280">
        <f t="shared" ref="DD12:DF12" si="64">SUM(DD11+DD8)</f>
        <v>92</v>
      </c>
      <c r="DE12" s="281">
        <f t="shared" si="64"/>
        <v>2888</v>
      </c>
      <c r="DF12" s="282">
        <f t="shared" si="64"/>
        <v>0</v>
      </c>
      <c r="DG12" s="130">
        <f>SUM(DG11+DG8)</f>
        <v>2980</v>
      </c>
      <c r="DH12" s="61"/>
      <c r="DI12" s="297" t="s">
        <v>25</v>
      </c>
      <c r="DJ12" s="298"/>
      <c r="DK12" s="299"/>
      <c r="DL12" s="276">
        <f t="shared" ref="DL12:DP12" si="65">SUM(DL11+DL8)</f>
        <v>2946</v>
      </c>
      <c r="DM12" s="277">
        <f t="shared" si="65"/>
        <v>670</v>
      </c>
      <c r="DN12" s="277">
        <f t="shared" si="65"/>
        <v>327</v>
      </c>
      <c r="DO12" s="277">
        <f t="shared" si="65"/>
        <v>147</v>
      </c>
      <c r="DP12" s="278">
        <f t="shared" si="65"/>
        <v>1422</v>
      </c>
      <c r="DQ12" s="279">
        <f>SUM(DQ8+DQ11)</f>
        <v>5512</v>
      </c>
      <c r="DR12" s="280">
        <f t="shared" ref="DR12:DU12" si="66">SUM(DR11+DR8)</f>
        <v>162</v>
      </c>
      <c r="DS12" s="281">
        <f t="shared" si="66"/>
        <v>606</v>
      </c>
      <c r="DT12" s="282">
        <f t="shared" si="66"/>
        <v>0</v>
      </c>
      <c r="DU12" s="292">
        <f t="shared" si="66"/>
        <v>768</v>
      </c>
      <c r="DV12" s="61"/>
      <c r="DW12" s="297" t="s">
        <v>25</v>
      </c>
      <c r="DX12" s="298"/>
      <c r="DY12" s="299"/>
      <c r="DZ12" s="123">
        <f>SUM(DZ11+DZ8)</f>
        <v>5745</v>
      </c>
      <c r="EA12" s="124">
        <f>SUM(EA11+EA8)</f>
        <v>146</v>
      </c>
      <c r="EB12" s="124">
        <f>SUM(EB11+EB8)</f>
        <v>0</v>
      </c>
      <c r="EC12" s="124">
        <f>SUM(EC11+EC8)</f>
        <v>3</v>
      </c>
      <c r="ED12" s="125">
        <f>SUM(ED11+ED8)</f>
        <v>828</v>
      </c>
      <c r="EE12" s="126">
        <f>SUM(EE8+EE11)</f>
        <v>6722</v>
      </c>
      <c r="EF12" s="127">
        <f>SUM(EF11+EF8)</f>
        <v>194</v>
      </c>
      <c r="EG12" s="128">
        <f>SUM(EG11+EG8)</f>
        <v>1800</v>
      </c>
      <c r="EH12" s="129">
        <f>SUM(EH11+EH8)</f>
        <v>0</v>
      </c>
      <c r="EI12" s="130">
        <f>SUM(EI11+EI8)</f>
        <v>1994</v>
      </c>
      <c r="EJ12" s="61"/>
      <c r="EK12" s="297" t="s">
        <v>25</v>
      </c>
      <c r="EL12" s="298"/>
      <c r="EM12" s="299"/>
      <c r="EN12" s="123">
        <f>SUM(EN11+EN8)</f>
        <v>0</v>
      </c>
      <c r="EO12" s="124">
        <f>SUM(EO11+EO8)</f>
        <v>0</v>
      </c>
      <c r="EP12" s="124">
        <f>SUM(EP11+EP8)</f>
        <v>0</v>
      </c>
      <c r="EQ12" s="124">
        <f>SUM(EQ11+EQ8)</f>
        <v>0</v>
      </c>
      <c r="ER12" s="125">
        <f>SUM(ER11+ER8)</f>
        <v>0</v>
      </c>
      <c r="ES12" s="126">
        <f>SUM(ES8+ES11)</f>
        <v>0</v>
      </c>
      <c r="ET12" s="127">
        <f>SUM(ET11+ET8)</f>
        <v>0</v>
      </c>
      <c r="EU12" s="128">
        <f>SUM(EU11+EU8)</f>
        <v>0</v>
      </c>
      <c r="EV12" s="129">
        <f>SUM(EV11+EV8)</f>
        <v>0</v>
      </c>
      <c r="EW12" s="130">
        <f>SUM(EW11+EW8)</f>
        <v>0</v>
      </c>
      <c r="EX12" s="61"/>
      <c r="EY12" s="297" t="s">
        <v>25</v>
      </c>
      <c r="EZ12" s="298"/>
      <c r="FA12" s="299"/>
      <c r="FB12" s="123">
        <f>SUM(FB11+FB8)</f>
        <v>0</v>
      </c>
      <c r="FC12" s="124">
        <f>SUM(FC11+FC8)</f>
        <v>0</v>
      </c>
      <c r="FD12" s="124">
        <f>SUM(FD11+FD8)</f>
        <v>0</v>
      </c>
      <c r="FE12" s="124">
        <f>SUM(FE11+FE8)</f>
        <v>0</v>
      </c>
      <c r="FF12" s="125">
        <f>SUM(FF11+FF8)</f>
        <v>0</v>
      </c>
      <c r="FG12" s="126">
        <f>SUM(FG8+FG11)</f>
        <v>0</v>
      </c>
      <c r="FH12" s="127">
        <f>SUM(FH11+FH8)</f>
        <v>0</v>
      </c>
      <c r="FI12" s="128">
        <f>SUM(FI11+FI8)</f>
        <v>0</v>
      </c>
      <c r="FJ12" s="129">
        <f>SUM(FJ11+FJ8)</f>
        <v>0</v>
      </c>
      <c r="FK12" s="130">
        <f>SUM(FK11+FK8)</f>
        <v>0</v>
      </c>
      <c r="FM12" s="297" t="s">
        <v>25</v>
      </c>
      <c r="FN12" s="298"/>
      <c r="FO12" s="299"/>
      <c r="FP12" s="123">
        <f>SUM(FP11+FP8)</f>
        <v>41426</v>
      </c>
      <c r="FQ12" s="124">
        <f>SUM(FQ11+FQ8)</f>
        <v>8394</v>
      </c>
      <c r="FR12" s="124">
        <f>SUM(FR11+FR8)</f>
        <v>3155</v>
      </c>
      <c r="FS12" s="124">
        <f>SUM(FS11+FS8)</f>
        <v>655</v>
      </c>
      <c r="FT12" s="125">
        <f>SUM(FT11+FT8)</f>
        <v>11681</v>
      </c>
      <c r="FU12" s="131">
        <f>SUM(FU8+FU11)</f>
        <v>65311</v>
      </c>
      <c r="FV12" s="132">
        <f>SUM(FV11+FV8)</f>
        <v>2003</v>
      </c>
      <c r="FW12" s="124">
        <f>SUM(FW11+FW8)</f>
        <v>18473</v>
      </c>
      <c r="FX12" s="125">
        <f>SUM(FX11+FX8)</f>
        <v>0</v>
      </c>
      <c r="FY12" s="133">
        <f>SUM(FY11+FY8)</f>
        <v>20476</v>
      </c>
      <c r="GA12" s="61"/>
    </row>
    <row r="13" spans="1:183" s="96" customFormat="1" ht="20.100000000000001" customHeight="1" thickTop="1" thickBot="1" x14ac:dyDescent="0.25">
      <c r="A13" s="303" t="s">
        <v>39</v>
      </c>
      <c r="B13" s="306" t="s">
        <v>5</v>
      </c>
      <c r="C13" s="82" t="s">
        <v>20</v>
      </c>
      <c r="D13" s="197">
        <v>1086</v>
      </c>
      <c r="E13" s="198">
        <v>259</v>
      </c>
      <c r="F13" s="198">
        <v>107</v>
      </c>
      <c r="G13" s="199">
        <v>0</v>
      </c>
      <c r="H13" s="200">
        <v>239</v>
      </c>
      <c r="I13" s="201">
        <v>1691</v>
      </c>
      <c r="J13" s="198">
        <v>19</v>
      </c>
      <c r="K13" s="198">
        <v>260</v>
      </c>
      <c r="L13" s="200">
        <v>0</v>
      </c>
      <c r="M13" s="90">
        <f>SUM(J13:L13)</f>
        <v>279</v>
      </c>
      <c r="N13" s="91"/>
      <c r="O13" s="303" t="s">
        <v>39</v>
      </c>
      <c r="P13" s="306" t="s">
        <v>5</v>
      </c>
      <c r="Q13" s="82" t="s">
        <v>20</v>
      </c>
      <c r="R13" s="197">
        <v>2580</v>
      </c>
      <c r="S13" s="198">
        <v>148</v>
      </c>
      <c r="T13" s="198">
        <v>113</v>
      </c>
      <c r="U13" s="199">
        <v>0</v>
      </c>
      <c r="V13" s="200">
        <v>250</v>
      </c>
      <c r="W13" s="201">
        <v>3091</v>
      </c>
      <c r="X13" s="198">
        <v>11</v>
      </c>
      <c r="Y13" s="198">
        <v>290</v>
      </c>
      <c r="Z13" s="200">
        <v>0</v>
      </c>
      <c r="AA13" s="90">
        <f>SUM(X13:Z13)</f>
        <v>301</v>
      </c>
      <c r="AB13" s="91"/>
      <c r="AC13" s="303" t="s">
        <v>39</v>
      </c>
      <c r="AD13" s="306" t="s">
        <v>5</v>
      </c>
      <c r="AE13" s="82" t="s">
        <v>20</v>
      </c>
      <c r="AF13" s="210">
        <v>2499</v>
      </c>
      <c r="AG13" s="211">
        <v>279</v>
      </c>
      <c r="AH13" s="211">
        <v>83</v>
      </c>
      <c r="AI13" s="212">
        <v>0</v>
      </c>
      <c r="AJ13" s="213">
        <v>223</v>
      </c>
      <c r="AK13" s="214">
        <v>3084</v>
      </c>
      <c r="AL13" s="211">
        <v>40</v>
      </c>
      <c r="AM13" s="211">
        <v>0</v>
      </c>
      <c r="AN13" s="213">
        <v>0</v>
      </c>
      <c r="AO13" s="90">
        <f>SUM(AL13:AN13)</f>
        <v>40</v>
      </c>
      <c r="AP13" s="91"/>
      <c r="AQ13" s="303" t="s">
        <v>39</v>
      </c>
      <c r="AR13" s="306" t="s">
        <v>5</v>
      </c>
      <c r="AS13" s="82" t="s">
        <v>20</v>
      </c>
      <c r="AT13" s="197">
        <v>2781</v>
      </c>
      <c r="AU13" s="198">
        <v>209</v>
      </c>
      <c r="AV13" s="198">
        <v>160</v>
      </c>
      <c r="AW13" s="199">
        <v>0</v>
      </c>
      <c r="AX13" s="200">
        <v>259</v>
      </c>
      <c r="AY13" s="201">
        <v>3409</v>
      </c>
      <c r="AZ13" s="198">
        <v>30</v>
      </c>
      <c r="BA13" s="198">
        <v>457</v>
      </c>
      <c r="BB13" s="200">
        <v>0</v>
      </c>
      <c r="BC13" s="242">
        <v>487</v>
      </c>
      <c r="BD13" s="91"/>
      <c r="BE13" s="303" t="s">
        <v>39</v>
      </c>
      <c r="BF13" s="306" t="s">
        <v>5</v>
      </c>
      <c r="BG13" s="82" t="s">
        <v>20</v>
      </c>
      <c r="BH13" s="197">
        <v>1205</v>
      </c>
      <c r="BI13" s="198">
        <v>114</v>
      </c>
      <c r="BJ13" s="198">
        <v>71</v>
      </c>
      <c r="BK13" s="199">
        <v>0</v>
      </c>
      <c r="BL13" s="200">
        <v>136</v>
      </c>
      <c r="BM13" s="201">
        <v>1526</v>
      </c>
      <c r="BN13" s="198">
        <v>17</v>
      </c>
      <c r="BO13" s="198">
        <v>248</v>
      </c>
      <c r="BP13" s="200">
        <v>0</v>
      </c>
      <c r="BQ13" s="90">
        <f>SUM(BN13:BP13)</f>
        <v>265</v>
      </c>
      <c r="BR13" s="91"/>
      <c r="BS13" s="303" t="s">
        <v>39</v>
      </c>
      <c r="BT13" s="306" t="s">
        <v>5</v>
      </c>
      <c r="BU13" s="82" t="s">
        <v>20</v>
      </c>
      <c r="BV13" s="210">
        <v>3924</v>
      </c>
      <c r="BW13" s="211">
        <v>294</v>
      </c>
      <c r="BX13" s="211">
        <v>140</v>
      </c>
      <c r="BY13" s="212">
        <v>0</v>
      </c>
      <c r="BZ13" s="213">
        <v>289</v>
      </c>
      <c r="CA13" s="214">
        <v>4647</v>
      </c>
      <c r="CB13" s="211"/>
      <c r="CC13" s="211">
        <v>863</v>
      </c>
      <c r="CD13" s="213">
        <v>0</v>
      </c>
      <c r="CE13" s="90">
        <f>SUM(CB13:CD13)</f>
        <v>863</v>
      </c>
      <c r="CF13" s="91"/>
      <c r="CG13" s="303" t="s">
        <v>39</v>
      </c>
      <c r="CH13" s="306" t="s">
        <v>5</v>
      </c>
      <c r="CI13" s="82" t="s">
        <v>20</v>
      </c>
      <c r="CJ13" s="210">
        <v>1630</v>
      </c>
      <c r="CK13" s="211">
        <v>214</v>
      </c>
      <c r="CL13" s="211">
        <v>129</v>
      </c>
      <c r="CM13" s="212">
        <v>0</v>
      </c>
      <c r="CN13" s="213">
        <v>266</v>
      </c>
      <c r="CO13" s="214">
        <v>2239</v>
      </c>
      <c r="CP13" s="211">
        <v>18</v>
      </c>
      <c r="CQ13" s="211">
        <v>315</v>
      </c>
      <c r="CR13" s="213">
        <v>0</v>
      </c>
      <c r="CS13" s="244">
        <v>333</v>
      </c>
      <c r="CT13" s="91"/>
      <c r="CU13" s="303" t="s">
        <v>39</v>
      </c>
      <c r="CV13" s="306" t="s">
        <v>5</v>
      </c>
      <c r="CW13" s="82" t="s">
        <v>20</v>
      </c>
      <c r="CX13" s="247">
        <v>3924</v>
      </c>
      <c r="CY13" s="248">
        <v>294</v>
      </c>
      <c r="CZ13" s="248">
        <v>140</v>
      </c>
      <c r="DA13" s="249">
        <v>0</v>
      </c>
      <c r="DB13" s="250">
        <v>289</v>
      </c>
      <c r="DC13" s="283">
        <v>4647</v>
      </c>
      <c r="DD13" s="248">
        <v>890</v>
      </c>
      <c r="DE13" s="248">
        <v>4863</v>
      </c>
      <c r="DF13" s="250">
        <v>0</v>
      </c>
      <c r="DG13" s="90">
        <f>SUM(DD13:DF13)</f>
        <v>5753</v>
      </c>
      <c r="DH13" s="91"/>
      <c r="DI13" s="303" t="s">
        <v>39</v>
      </c>
      <c r="DJ13" s="306" t="s">
        <v>5</v>
      </c>
      <c r="DK13" s="82" t="s">
        <v>20</v>
      </c>
      <c r="DL13" s="285">
        <v>1065</v>
      </c>
      <c r="DM13" s="253">
        <v>36</v>
      </c>
      <c r="DN13" s="253">
        <v>131</v>
      </c>
      <c r="DO13" s="286">
        <v>0</v>
      </c>
      <c r="DP13" s="287">
        <v>210</v>
      </c>
      <c r="DQ13" s="251">
        <f t="shared" ref="DQ13:DQ14" si="67">SUM(DL13:DP13)</f>
        <v>1442</v>
      </c>
      <c r="DR13" s="252">
        <v>12</v>
      </c>
      <c r="DS13" s="253">
        <v>265</v>
      </c>
      <c r="DT13" s="254">
        <v>0</v>
      </c>
      <c r="DU13" s="288">
        <f t="shared" ref="DU13:DU14" si="68">SUM(DR13:DT13)</f>
        <v>277</v>
      </c>
      <c r="DV13" s="91"/>
      <c r="DW13" s="303" t="s">
        <v>39</v>
      </c>
      <c r="DX13" s="306" t="s">
        <v>5</v>
      </c>
      <c r="DY13" s="82" t="s">
        <v>20</v>
      </c>
      <c r="DZ13" s="83">
        <v>0</v>
      </c>
      <c r="EA13" s="84">
        <v>0</v>
      </c>
      <c r="EB13" s="84">
        <v>0</v>
      </c>
      <c r="EC13" s="85">
        <v>0</v>
      </c>
      <c r="ED13" s="86">
        <v>0</v>
      </c>
      <c r="EE13" s="87">
        <f>SUM(DZ13:ED13)</f>
        <v>0</v>
      </c>
      <c r="EF13" s="88">
        <v>0</v>
      </c>
      <c r="EG13" s="84">
        <v>0</v>
      </c>
      <c r="EH13" s="89">
        <v>0</v>
      </c>
      <c r="EI13" s="90">
        <f>SUM(EF13:EH13)</f>
        <v>0</v>
      </c>
      <c r="EJ13" s="91"/>
      <c r="EK13" s="303" t="s">
        <v>39</v>
      </c>
      <c r="EL13" s="306" t="s">
        <v>5</v>
      </c>
      <c r="EM13" s="82" t="s">
        <v>20</v>
      </c>
      <c r="EN13" s="83">
        <v>0</v>
      </c>
      <c r="EO13" s="84">
        <v>0</v>
      </c>
      <c r="EP13" s="84">
        <v>0</v>
      </c>
      <c r="EQ13" s="85">
        <v>0</v>
      </c>
      <c r="ER13" s="86">
        <v>0</v>
      </c>
      <c r="ES13" s="87">
        <f>SUM(EN13:ER13)</f>
        <v>0</v>
      </c>
      <c r="ET13" s="88">
        <v>0</v>
      </c>
      <c r="EU13" s="84">
        <v>0</v>
      </c>
      <c r="EV13" s="89">
        <v>0</v>
      </c>
      <c r="EW13" s="90">
        <f>SUM(ET13:EV13)</f>
        <v>0</v>
      </c>
      <c r="EX13" s="91"/>
      <c r="EY13" s="303" t="s">
        <v>39</v>
      </c>
      <c r="EZ13" s="306" t="s">
        <v>5</v>
      </c>
      <c r="FA13" s="82" t="s">
        <v>20</v>
      </c>
      <c r="FB13" s="83">
        <v>0</v>
      </c>
      <c r="FC13" s="84">
        <v>0</v>
      </c>
      <c r="FD13" s="84">
        <v>0</v>
      </c>
      <c r="FE13" s="85">
        <v>0</v>
      </c>
      <c r="FF13" s="86">
        <v>0</v>
      </c>
      <c r="FG13" s="87">
        <f>SUM(FB13:FF13)</f>
        <v>0</v>
      </c>
      <c r="FH13" s="88">
        <v>0</v>
      </c>
      <c r="FI13" s="84">
        <v>0</v>
      </c>
      <c r="FJ13" s="89">
        <v>0</v>
      </c>
      <c r="FK13" s="90">
        <f>SUM(FH13:FJ13)</f>
        <v>0</v>
      </c>
      <c r="FL13" s="147"/>
      <c r="FM13" s="303" t="str">
        <f>EY13</f>
        <v>الجامعه</v>
      </c>
      <c r="FN13" s="306" t="s">
        <v>5</v>
      </c>
      <c r="FO13" s="82" t="s">
        <v>20</v>
      </c>
      <c r="FP13" s="83">
        <f t="shared" ref="FP13:FP14" si="69">SUM(D13+R13+AF13+AT13+BH13+BV13+CJ13+CX13+DL13+DZ13+EN13+FB13)</f>
        <v>20694</v>
      </c>
      <c r="FQ13" s="83">
        <f t="shared" ref="FQ13:FQ14" si="70">SUM(E13+S13+AG13+AU13+BI13+BW13+CK13+CY13+DM13+EA13+EO13+FC13)</f>
        <v>1847</v>
      </c>
      <c r="FR13" s="83">
        <f t="shared" ref="FR13:FR14" si="71">SUM(F13+T13+AH13+AV13+BJ13+BX13+CL13+CZ13+DN13+EB13+EP13+FD13)</f>
        <v>1074</v>
      </c>
      <c r="FS13" s="149">
        <f t="shared" ref="FS13:FS14" si="72">SUM(G13+U13+AI13+AW13+BK13+BY13+CM13+DA13+DO13+EC13+EQ13+FE13)</f>
        <v>0</v>
      </c>
      <c r="FT13" s="83">
        <f t="shared" ref="FT13:FT14" si="73">SUM(H13+V13+AJ13+AX13+BL13+BZ13+CN13+DB13+DP13+ED13+ER13+FF13)</f>
        <v>2161</v>
      </c>
      <c r="FU13" s="93">
        <f>SUM(FP13:FT13)</f>
        <v>25776</v>
      </c>
      <c r="FV13" s="88">
        <f t="shared" ref="FV13:FV14" si="74">SUM(J13+X13+AL13+AZ13+BN13+CB13+CP13+DD13+DR13+EF13+ET13+FH13)</f>
        <v>1037</v>
      </c>
      <c r="FW13" s="88">
        <f t="shared" ref="FW13:FW14" si="75">SUM(K13+Y13+AM13+BA13+BO13+CC13+CQ13+DE13+DS13+EG13+EU13+FI13)</f>
        <v>7561</v>
      </c>
      <c r="FX13" s="88">
        <f t="shared" ref="FX13:FX14" si="76">SUM(L13+Z13+AN13+BB13+BP13+CD13+CR13+DF13+DT13+EH13+EV13+FJ13)</f>
        <v>0</v>
      </c>
      <c r="FY13" s="94">
        <f>SUM(FV13:FX13)</f>
        <v>8598</v>
      </c>
      <c r="FZ13" s="95"/>
      <c r="GA13" s="91"/>
    </row>
    <row r="14" spans="1:183" s="96" customFormat="1" ht="20.100000000000001" customHeight="1" thickBot="1" x14ac:dyDescent="0.25">
      <c r="A14" s="304"/>
      <c r="B14" s="307"/>
      <c r="C14" s="97" t="s">
        <v>21</v>
      </c>
      <c r="D14" s="202">
        <v>1018</v>
      </c>
      <c r="E14" s="203">
        <v>127</v>
      </c>
      <c r="F14" s="203">
        <v>183</v>
      </c>
      <c r="G14" s="203">
        <v>25</v>
      </c>
      <c r="H14" s="204">
        <v>265</v>
      </c>
      <c r="I14" s="205">
        <v>1618</v>
      </c>
      <c r="J14" s="203">
        <v>0</v>
      </c>
      <c r="K14" s="203">
        <v>353</v>
      </c>
      <c r="L14" s="204">
        <v>0</v>
      </c>
      <c r="M14" s="104">
        <f>SUM(J14:L14)</f>
        <v>353</v>
      </c>
      <c r="N14" s="91"/>
      <c r="O14" s="304"/>
      <c r="P14" s="307"/>
      <c r="Q14" s="97" t="s">
        <v>21</v>
      </c>
      <c r="R14" s="202">
        <v>2125</v>
      </c>
      <c r="S14" s="203">
        <v>109</v>
      </c>
      <c r="T14" s="203">
        <v>186</v>
      </c>
      <c r="U14" s="203">
        <v>20</v>
      </c>
      <c r="V14" s="204">
        <v>230</v>
      </c>
      <c r="W14" s="205">
        <v>2670</v>
      </c>
      <c r="X14" s="203">
        <v>9</v>
      </c>
      <c r="Y14" s="203">
        <v>372</v>
      </c>
      <c r="Z14" s="204">
        <v>0</v>
      </c>
      <c r="AA14" s="104">
        <f>SUM(X14:Z14)</f>
        <v>381</v>
      </c>
      <c r="AB14" s="91"/>
      <c r="AC14" s="304"/>
      <c r="AD14" s="307"/>
      <c r="AE14" s="97" t="s">
        <v>21</v>
      </c>
      <c r="AF14" s="202">
        <v>2898</v>
      </c>
      <c r="AG14" s="203">
        <v>113</v>
      </c>
      <c r="AH14" s="203">
        <v>125</v>
      </c>
      <c r="AI14" s="203">
        <v>19</v>
      </c>
      <c r="AJ14" s="204">
        <v>233</v>
      </c>
      <c r="AK14" s="205">
        <v>3388</v>
      </c>
      <c r="AL14" s="203">
        <v>11</v>
      </c>
      <c r="AM14" s="203">
        <v>0</v>
      </c>
      <c r="AN14" s="204">
        <v>0</v>
      </c>
      <c r="AO14" s="104">
        <f>SUM(AL14:AN14)</f>
        <v>11</v>
      </c>
      <c r="AP14" s="91"/>
      <c r="AQ14" s="304"/>
      <c r="AR14" s="307"/>
      <c r="AS14" s="97" t="s">
        <v>21</v>
      </c>
      <c r="AT14" s="202">
        <v>3119</v>
      </c>
      <c r="AU14" s="203">
        <v>109</v>
      </c>
      <c r="AV14" s="203">
        <v>238</v>
      </c>
      <c r="AW14" s="203">
        <v>22</v>
      </c>
      <c r="AX14" s="204">
        <v>240</v>
      </c>
      <c r="AY14" s="205">
        <v>3728</v>
      </c>
      <c r="AZ14" s="203">
        <v>12</v>
      </c>
      <c r="BA14" s="203">
        <v>544</v>
      </c>
      <c r="BB14" s="204">
        <v>0</v>
      </c>
      <c r="BC14" s="208">
        <v>556</v>
      </c>
      <c r="BD14" s="91"/>
      <c r="BE14" s="304"/>
      <c r="BF14" s="307"/>
      <c r="BG14" s="97" t="s">
        <v>21</v>
      </c>
      <c r="BH14" s="202">
        <v>1486</v>
      </c>
      <c r="BI14" s="203">
        <v>75</v>
      </c>
      <c r="BJ14" s="203">
        <v>102</v>
      </c>
      <c r="BK14" s="203">
        <v>18</v>
      </c>
      <c r="BL14" s="204">
        <v>147</v>
      </c>
      <c r="BM14" s="205">
        <v>1828</v>
      </c>
      <c r="BN14" s="203">
        <v>6</v>
      </c>
      <c r="BO14" s="203">
        <v>336</v>
      </c>
      <c r="BP14" s="204">
        <v>0</v>
      </c>
      <c r="BQ14" s="104">
        <f>SUM(BN14:BP14)</f>
        <v>342</v>
      </c>
      <c r="BR14" s="91"/>
      <c r="BS14" s="304"/>
      <c r="BT14" s="307"/>
      <c r="BU14" s="97" t="s">
        <v>21</v>
      </c>
      <c r="BV14" s="202">
        <v>4824</v>
      </c>
      <c r="BW14" s="203">
        <v>137</v>
      </c>
      <c r="BX14" s="203">
        <v>179</v>
      </c>
      <c r="BY14" s="203">
        <v>25</v>
      </c>
      <c r="BZ14" s="204">
        <v>265</v>
      </c>
      <c r="CA14" s="205">
        <v>998</v>
      </c>
      <c r="CB14" s="203"/>
      <c r="CC14" s="203">
        <v>637</v>
      </c>
      <c r="CD14" s="204">
        <v>0</v>
      </c>
      <c r="CE14" s="104">
        <f>SUM(CB14:CD14)</f>
        <v>637</v>
      </c>
      <c r="CF14" s="91"/>
      <c r="CG14" s="304"/>
      <c r="CH14" s="307"/>
      <c r="CI14" s="97" t="s">
        <v>21</v>
      </c>
      <c r="CJ14" s="202">
        <v>1515</v>
      </c>
      <c r="CK14" s="203">
        <v>108</v>
      </c>
      <c r="CL14" s="203">
        <v>213</v>
      </c>
      <c r="CM14" s="203">
        <v>18</v>
      </c>
      <c r="CN14" s="204">
        <v>239</v>
      </c>
      <c r="CO14" s="205">
        <v>2093</v>
      </c>
      <c r="CP14" s="203">
        <v>7</v>
      </c>
      <c r="CQ14" s="203">
        <v>369</v>
      </c>
      <c r="CR14" s="204">
        <v>0</v>
      </c>
      <c r="CS14" s="208">
        <v>376</v>
      </c>
      <c r="CT14" s="91"/>
      <c r="CU14" s="304"/>
      <c r="CV14" s="307"/>
      <c r="CW14" s="97" t="s">
        <v>21</v>
      </c>
      <c r="CX14" s="255">
        <v>4824</v>
      </c>
      <c r="CY14" s="256">
        <v>137</v>
      </c>
      <c r="CZ14" s="256">
        <v>179</v>
      </c>
      <c r="DA14" s="256">
        <v>275</v>
      </c>
      <c r="DB14" s="257">
        <v>265</v>
      </c>
      <c r="DC14" s="284">
        <v>998</v>
      </c>
      <c r="DD14" s="256">
        <v>876</v>
      </c>
      <c r="DE14" s="256">
        <v>6374</v>
      </c>
      <c r="DF14" s="257">
        <v>0</v>
      </c>
      <c r="DG14" s="104">
        <f>SUM(DD14:DF14)</f>
        <v>7250</v>
      </c>
      <c r="DH14" s="91"/>
      <c r="DI14" s="304"/>
      <c r="DJ14" s="307"/>
      <c r="DK14" s="97" t="s">
        <v>21</v>
      </c>
      <c r="DL14" s="274">
        <v>968</v>
      </c>
      <c r="DM14" s="260">
        <v>24</v>
      </c>
      <c r="DN14" s="260">
        <v>161</v>
      </c>
      <c r="DO14" s="260">
        <v>18</v>
      </c>
      <c r="DP14" s="275">
        <v>196</v>
      </c>
      <c r="DQ14" s="258">
        <f t="shared" si="67"/>
        <v>1367</v>
      </c>
      <c r="DR14" s="259">
        <v>15</v>
      </c>
      <c r="DS14" s="260">
        <v>360</v>
      </c>
      <c r="DT14" s="261">
        <v>0</v>
      </c>
      <c r="DU14" s="289">
        <f t="shared" si="68"/>
        <v>375</v>
      </c>
      <c r="DV14" s="91"/>
      <c r="DW14" s="304"/>
      <c r="DX14" s="307"/>
      <c r="DY14" s="97" t="s">
        <v>21</v>
      </c>
      <c r="DZ14" s="98">
        <v>0</v>
      </c>
      <c r="EA14" s="99">
        <v>0</v>
      </c>
      <c r="EB14" s="99">
        <v>0</v>
      </c>
      <c r="EC14" s="99">
        <v>0</v>
      </c>
      <c r="ED14" s="100">
        <v>0</v>
      </c>
      <c r="EE14" s="101">
        <f>SUM(DZ14:ED14)</f>
        <v>0</v>
      </c>
      <c r="EF14" s="102">
        <v>0</v>
      </c>
      <c r="EG14" s="99">
        <v>0</v>
      </c>
      <c r="EH14" s="103">
        <v>0</v>
      </c>
      <c r="EI14" s="104">
        <f>SUM(EF14:EH14)</f>
        <v>0</v>
      </c>
      <c r="EJ14" s="91"/>
      <c r="EK14" s="304"/>
      <c r="EL14" s="307"/>
      <c r="EM14" s="97" t="s">
        <v>21</v>
      </c>
      <c r="EN14" s="98">
        <v>0</v>
      </c>
      <c r="EO14" s="99">
        <v>0</v>
      </c>
      <c r="EP14" s="99">
        <v>0</v>
      </c>
      <c r="EQ14" s="99">
        <v>0</v>
      </c>
      <c r="ER14" s="100">
        <v>0</v>
      </c>
      <c r="ES14" s="101">
        <f>SUM(EN14:ER14)</f>
        <v>0</v>
      </c>
      <c r="ET14" s="102">
        <v>0</v>
      </c>
      <c r="EU14" s="99">
        <v>0</v>
      </c>
      <c r="EV14" s="103">
        <v>0</v>
      </c>
      <c r="EW14" s="104">
        <f>SUM(ET14:EV14)</f>
        <v>0</v>
      </c>
      <c r="EX14" s="91"/>
      <c r="EY14" s="304"/>
      <c r="EZ14" s="307"/>
      <c r="FA14" s="97" t="s">
        <v>21</v>
      </c>
      <c r="FB14" s="98">
        <v>0</v>
      </c>
      <c r="FC14" s="99">
        <v>0</v>
      </c>
      <c r="FD14" s="99">
        <v>0</v>
      </c>
      <c r="FE14" s="99">
        <v>0</v>
      </c>
      <c r="FF14" s="100">
        <v>0</v>
      </c>
      <c r="FG14" s="101">
        <f>SUM(FB14:FF14)</f>
        <v>0</v>
      </c>
      <c r="FH14" s="102">
        <v>0</v>
      </c>
      <c r="FI14" s="99">
        <v>0</v>
      </c>
      <c r="FJ14" s="103">
        <v>0</v>
      </c>
      <c r="FK14" s="104">
        <f>SUM(FH14:FJ14)</f>
        <v>0</v>
      </c>
      <c r="FL14" s="147"/>
      <c r="FM14" s="304"/>
      <c r="FN14" s="307"/>
      <c r="FO14" s="97" t="s">
        <v>21</v>
      </c>
      <c r="FP14" s="83">
        <f t="shared" si="69"/>
        <v>22777</v>
      </c>
      <c r="FQ14" s="83">
        <f t="shared" si="70"/>
        <v>939</v>
      </c>
      <c r="FR14" s="83">
        <f t="shared" si="71"/>
        <v>1566</v>
      </c>
      <c r="FS14" s="83">
        <f t="shared" si="72"/>
        <v>440</v>
      </c>
      <c r="FT14" s="83">
        <f t="shared" si="73"/>
        <v>2080</v>
      </c>
      <c r="FU14" s="101">
        <f>SUM(FP14:FT14)</f>
        <v>27802</v>
      </c>
      <c r="FV14" s="88">
        <f t="shared" si="74"/>
        <v>936</v>
      </c>
      <c r="FW14" s="88">
        <f t="shared" si="75"/>
        <v>9345</v>
      </c>
      <c r="FX14" s="88">
        <f t="shared" si="76"/>
        <v>0</v>
      </c>
      <c r="FY14" s="106">
        <f>SUM(FV14:FX14)</f>
        <v>10281</v>
      </c>
      <c r="FZ14" s="95"/>
      <c r="GA14" s="91"/>
    </row>
    <row r="15" spans="1:183" s="96" customFormat="1" ht="20.100000000000001" customHeight="1" thickBot="1" x14ac:dyDescent="0.25">
      <c r="A15" s="304"/>
      <c r="B15" s="308" t="s">
        <v>22</v>
      </c>
      <c r="C15" s="311"/>
      <c r="D15" s="206">
        <v>2104</v>
      </c>
      <c r="E15" s="207">
        <v>386</v>
      </c>
      <c r="F15" s="207">
        <v>290</v>
      </c>
      <c r="G15" s="207">
        <v>25</v>
      </c>
      <c r="H15" s="208">
        <v>504</v>
      </c>
      <c r="I15" s="209">
        <v>3309</v>
      </c>
      <c r="J15" s="207">
        <v>19</v>
      </c>
      <c r="K15" s="207">
        <v>613</v>
      </c>
      <c r="L15" s="208">
        <v>0</v>
      </c>
      <c r="M15" s="112">
        <f t="shared" ref="M15" si="77">SUM(M13:M14)</f>
        <v>632</v>
      </c>
      <c r="N15" s="91"/>
      <c r="O15" s="304"/>
      <c r="P15" s="308" t="s">
        <v>22</v>
      </c>
      <c r="Q15" s="311"/>
      <c r="R15" s="206">
        <v>4705</v>
      </c>
      <c r="S15" s="207">
        <v>257</v>
      </c>
      <c r="T15" s="207">
        <v>299</v>
      </c>
      <c r="U15" s="207">
        <v>20</v>
      </c>
      <c r="V15" s="208">
        <v>480</v>
      </c>
      <c r="W15" s="209">
        <v>5761</v>
      </c>
      <c r="X15" s="207">
        <v>20</v>
      </c>
      <c r="Y15" s="207">
        <v>662</v>
      </c>
      <c r="Z15" s="208">
        <v>0</v>
      </c>
      <c r="AA15" s="112">
        <f t="shared" ref="AA15" si="78">SUM(AA13:AA14)</f>
        <v>682</v>
      </c>
      <c r="AB15" s="91"/>
      <c r="AC15" s="304"/>
      <c r="AD15" s="308" t="s">
        <v>22</v>
      </c>
      <c r="AE15" s="311"/>
      <c r="AF15" s="206">
        <v>5397</v>
      </c>
      <c r="AG15" s="207">
        <v>392</v>
      </c>
      <c r="AH15" s="207">
        <v>208</v>
      </c>
      <c r="AI15" s="207">
        <v>19</v>
      </c>
      <c r="AJ15" s="208">
        <v>456</v>
      </c>
      <c r="AK15" s="209">
        <v>6472</v>
      </c>
      <c r="AL15" s="207">
        <v>51</v>
      </c>
      <c r="AM15" s="207">
        <v>0</v>
      </c>
      <c r="AN15" s="208">
        <v>0</v>
      </c>
      <c r="AO15" s="112">
        <f t="shared" ref="AO15" si="79">SUM(AO13:AO14)</f>
        <v>51</v>
      </c>
      <c r="AP15" s="91"/>
      <c r="AQ15" s="304"/>
      <c r="AR15" s="308" t="s">
        <v>22</v>
      </c>
      <c r="AS15" s="311"/>
      <c r="AT15" s="206">
        <v>5900</v>
      </c>
      <c r="AU15" s="207">
        <v>318</v>
      </c>
      <c r="AV15" s="207">
        <v>398</v>
      </c>
      <c r="AW15" s="207">
        <v>22</v>
      </c>
      <c r="AX15" s="208">
        <v>499</v>
      </c>
      <c r="AY15" s="209">
        <v>7137</v>
      </c>
      <c r="AZ15" s="207">
        <v>42</v>
      </c>
      <c r="BA15" s="207">
        <v>1001</v>
      </c>
      <c r="BB15" s="208">
        <v>0</v>
      </c>
      <c r="BC15" s="243">
        <v>1043</v>
      </c>
      <c r="BD15" s="91"/>
      <c r="BE15" s="304"/>
      <c r="BF15" s="308" t="s">
        <v>22</v>
      </c>
      <c r="BG15" s="311"/>
      <c r="BH15" s="206">
        <v>2691</v>
      </c>
      <c r="BI15" s="207">
        <v>189</v>
      </c>
      <c r="BJ15" s="207">
        <v>173</v>
      </c>
      <c r="BK15" s="207">
        <v>18</v>
      </c>
      <c r="BL15" s="208">
        <v>283</v>
      </c>
      <c r="BM15" s="209">
        <v>3354</v>
      </c>
      <c r="BN15" s="207">
        <v>23</v>
      </c>
      <c r="BO15" s="207">
        <v>584</v>
      </c>
      <c r="BP15" s="208">
        <v>0</v>
      </c>
      <c r="BQ15" s="112">
        <f t="shared" ref="BQ15" si="80">SUM(BQ13:BQ14)</f>
        <v>607</v>
      </c>
      <c r="BR15" s="91"/>
      <c r="BS15" s="304"/>
      <c r="BT15" s="308" t="s">
        <v>22</v>
      </c>
      <c r="BU15" s="311"/>
      <c r="BV15" s="206">
        <v>8748</v>
      </c>
      <c r="BW15" s="207">
        <v>431</v>
      </c>
      <c r="BX15" s="207">
        <v>319</v>
      </c>
      <c r="BY15" s="207">
        <v>275</v>
      </c>
      <c r="BZ15" s="208">
        <v>554</v>
      </c>
      <c r="CA15" s="209">
        <v>5645</v>
      </c>
      <c r="CB15" s="207"/>
      <c r="CC15" s="207">
        <v>1500</v>
      </c>
      <c r="CD15" s="208">
        <v>0</v>
      </c>
      <c r="CE15" s="112">
        <f t="shared" ref="CE15" si="81">SUM(CE13:CE14)</f>
        <v>1500</v>
      </c>
      <c r="CF15" s="91"/>
      <c r="CG15" s="304"/>
      <c r="CH15" s="308" t="s">
        <v>22</v>
      </c>
      <c r="CI15" s="311"/>
      <c r="CJ15" s="206">
        <v>3145</v>
      </c>
      <c r="CK15" s="207">
        <v>322</v>
      </c>
      <c r="CL15" s="207">
        <v>342</v>
      </c>
      <c r="CM15" s="207">
        <v>18</v>
      </c>
      <c r="CN15" s="208">
        <v>505</v>
      </c>
      <c r="CO15" s="209">
        <v>4332</v>
      </c>
      <c r="CP15" s="207">
        <v>25</v>
      </c>
      <c r="CQ15" s="207">
        <v>684</v>
      </c>
      <c r="CR15" s="208">
        <v>0</v>
      </c>
      <c r="CS15" s="243">
        <v>709</v>
      </c>
      <c r="CT15" s="91"/>
      <c r="CU15" s="304"/>
      <c r="CV15" s="308" t="s">
        <v>22</v>
      </c>
      <c r="CW15" s="311"/>
      <c r="CX15" s="262">
        <f t="shared" ref="CX15:DF15" si="82">SUM(CX13:CX14)</f>
        <v>8748</v>
      </c>
      <c r="CY15" s="263">
        <f t="shared" si="82"/>
        <v>431</v>
      </c>
      <c r="CZ15" s="263">
        <f t="shared" si="82"/>
        <v>319</v>
      </c>
      <c r="DA15" s="263">
        <f t="shared" si="82"/>
        <v>275</v>
      </c>
      <c r="DB15" s="264">
        <f t="shared" si="82"/>
        <v>554</v>
      </c>
      <c r="DC15" s="265">
        <f t="shared" si="82"/>
        <v>5645</v>
      </c>
      <c r="DD15" s="266">
        <f t="shared" si="82"/>
        <v>1766</v>
      </c>
      <c r="DE15" s="263">
        <f t="shared" si="82"/>
        <v>11237</v>
      </c>
      <c r="DF15" s="264">
        <f t="shared" si="82"/>
        <v>0</v>
      </c>
      <c r="DG15" s="112">
        <f t="shared" ref="DG15" si="83">SUM(DG13:DG14)</f>
        <v>13003</v>
      </c>
      <c r="DH15" s="91"/>
      <c r="DI15" s="304"/>
      <c r="DJ15" s="308" t="s">
        <v>22</v>
      </c>
      <c r="DK15" s="311"/>
      <c r="DL15" s="262">
        <f t="shared" ref="DL15:DU15" si="84">SUM(DL13:DL14)</f>
        <v>2033</v>
      </c>
      <c r="DM15" s="263">
        <f t="shared" si="84"/>
        <v>60</v>
      </c>
      <c r="DN15" s="263">
        <f t="shared" si="84"/>
        <v>292</v>
      </c>
      <c r="DO15" s="263">
        <f t="shared" si="84"/>
        <v>18</v>
      </c>
      <c r="DP15" s="264">
        <f t="shared" si="84"/>
        <v>406</v>
      </c>
      <c r="DQ15" s="265">
        <f t="shared" si="84"/>
        <v>2809</v>
      </c>
      <c r="DR15" s="266">
        <f t="shared" si="84"/>
        <v>27</v>
      </c>
      <c r="DS15" s="263">
        <f t="shared" si="84"/>
        <v>625</v>
      </c>
      <c r="DT15" s="264">
        <f t="shared" si="84"/>
        <v>0</v>
      </c>
      <c r="DU15" s="290">
        <f t="shared" si="84"/>
        <v>652</v>
      </c>
      <c r="DV15" s="91"/>
      <c r="DW15" s="304"/>
      <c r="DX15" s="308" t="s">
        <v>22</v>
      </c>
      <c r="DY15" s="311"/>
      <c r="DZ15" s="107">
        <f t="shared" ref="DZ15:EI15" si="85">SUM(DZ13:DZ14)</f>
        <v>0</v>
      </c>
      <c r="EA15" s="108">
        <f t="shared" si="85"/>
        <v>0</v>
      </c>
      <c r="EB15" s="108">
        <f t="shared" si="85"/>
        <v>0</v>
      </c>
      <c r="EC15" s="108">
        <f t="shared" si="85"/>
        <v>0</v>
      </c>
      <c r="ED15" s="109">
        <f t="shared" si="85"/>
        <v>0</v>
      </c>
      <c r="EE15" s="110">
        <f t="shared" si="85"/>
        <v>0</v>
      </c>
      <c r="EF15" s="111">
        <f t="shared" si="85"/>
        <v>0</v>
      </c>
      <c r="EG15" s="108">
        <f t="shared" si="85"/>
        <v>0</v>
      </c>
      <c r="EH15" s="109">
        <f t="shared" si="85"/>
        <v>0</v>
      </c>
      <c r="EI15" s="112">
        <f t="shared" si="85"/>
        <v>0</v>
      </c>
      <c r="EJ15" s="91"/>
      <c r="EK15" s="304"/>
      <c r="EL15" s="308" t="s">
        <v>22</v>
      </c>
      <c r="EM15" s="311"/>
      <c r="EN15" s="107">
        <f t="shared" ref="EN15:EW15" si="86">SUM(EN13:EN14)</f>
        <v>0</v>
      </c>
      <c r="EO15" s="108">
        <f t="shared" si="86"/>
        <v>0</v>
      </c>
      <c r="EP15" s="108">
        <f t="shared" si="86"/>
        <v>0</v>
      </c>
      <c r="EQ15" s="108">
        <f t="shared" si="86"/>
        <v>0</v>
      </c>
      <c r="ER15" s="109">
        <f t="shared" si="86"/>
        <v>0</v>
      </c>
      <c r="ES15" s="110">
        <f t="shared" si="86"/>
        <v>0</v>
      </c>
      <c r="ET15" s="111">
        <f t="shared" si="86"/>
        <v>0</v>
      </c>
      <c r="EU15" s="108">
        <f t="shared" si="86"/>
        <v>0</v>
      </c>
      <c r="EV15" s="109">
        <f t="shared" si="86"/>
        <v>0</v>
      </c>
      <c r="EW15" s="112">
        <f t="shared" si="86"/>
        <v>0</v>
      </c>
      <c r="EX15" s="91"/>
      <c r="EY15" s="304"/>
      <c r="EZ15" s="308" t="s">
        <v>22</v>
      </c>
      <c r="FA15" s="311"/>
      <c r="FB15" s="107">
        <f t="shared" ref="FB15:FK15" si="87">SUM(FB13:FB14)</f>
        <v>0</v>
      </c>
      <c r="FC15" s="108">
        <f t="shared" si="87"/>
        <v>0</v>
      </c>
      <c r="FD15" s="108">
        <f t="shared" si="87"/>
        <v>0</v>
      </c>
      <c r="FE15" s="108">
        <f t="shared" si="87"/>
        <v>0</v>
      </c>
      <c r="FF15" s="109">
        <f t="shared" si="87"/>
        <v>0</v>
      </c>
      <c r="FG15" s="110">
        <f t="shared" si="87"/>
        <v>0</v>
      </c>
      <c r="FH15" s="111">
        <f t="shared" si="87"/>
        <v>0</v>
      </c>
      <c r="FI15" s="108">
        <f t="shared" si="87"/>
        <v>0</v>
      </c>
      <c r="FJ15" s="109">
        <f t="shared" si="87"/>
        <v>0</v>
      </c>
      <c r="FK15" s="112">
        <f t="shared" si="87"/>
        <v>0</v>
      </c>
      <c r="FL15" s="147"/>
      <c r="FM15" s="304"/>
      <c r="FN15" s="308" t="s">
        <v>22</v>
      </c>
      <c r="FO15" s="311"/>
      <c r="FP15" s="107">
        <f t="shared" ref="FP15:FY15" si="88">SUM(FP13:FP14)</f>
        <v>43471</v>
      </c>
      <c r="FQ15" s="108">
        <f t="shared" si="88"/>
        <v>2786</v>
      </c>
      <c r="FR15" s="108">
        <f t="shared" si="88"/>
        <v>2640</v>
      </c>
      <c r="FS15" s="108">
        <f t="shared" si="88"/>
        <v>440</v>
      </c>
      <c r="FT15" s="109">
        <f t="shared" si="88"/>
        <v>4241</v>
      </c>
      <c r="FU15" s="113">
        <f t="shared" si="88"/>
        <v>53578</v>
      </c>
      <c r="FV15" s="111">
        <f t="shared" si="88"/>
        <v>1973</v>
      </c>
      <c r="FW15" s="108">
        <f t="shared" si="88"/>
        <v>16906</v>
      </c>
      <c r="FX15" s="109">
        <f t="shared" si="88"/>
        <v>0</v>
      </c>
      <c r="FY15" s="114">
        <f t="shared" si="88"/>
        <v>18879</v>
      </c>
      <c r="FZ15" s="95"/>
      <c r="GA15" s="91"/>
    </row>
    <row r="16" spans="1:183" s="96" customFormat="1" ht="20.100000000000001" customHeight="1" thickTop="1" thickBot="1" x14ac:dyDescent="0.25">
      <c r="A16" s="304"/>
      <c r="B16" s="300" t="s">
        <v>23</v>
      </c>
      <c r="C16" s="82" t="s">
        <v>20</v>
      </c>
      <c r="D16" s="210">
        <v>588</v>
      </c>
      <c r="E16" s="211">
        <v>156</v>
      </c>
      <c r="F16" s="211">
        <v>0</v>
      </c>
      <c r="G16" s="212">
        <v>0</v>
      </c>
      <c r="H16" s="213">
        <v>325</v>
      </c>
      <c r="I16" s="214">
        <v>1069</v>
      </c>
      <c r="J16" s="211">
        <v>0</v>
      </c>
      <c r="K16" s="211">
        <v>94</v>
      </c>
      <c r="L16" s="213">
        <v>0</v>
      </c>
      <c r="M16" s="121">
        <f>SUM(J16:L16)</f>
        <v>94</v>
      </c>
      <c r="N16" s="91"/>
      <c r="O16" s="304"/>
      <c r="P16" s="300" t="s">
        <v>23</v>
      </c>
      <c r="Q16" s="82" t="s">
        <v>20</v>
      </c>
      <c r="R16" s="210">
        <v>635</v>
      </c>
      <c r="S16" s="211">
        <v>105</v>
      </c>
      <c r="T16" s="211">
        <v>0</v>
      </c>
      <c r="U16" s="212">
        <v>0</v>
      </c>
      <c r="V16" s="213">
        <v>350</v>
      </c>
      <c r="W16" s="214">
        <v>1090</v>
      </c>
      <c r="X16" s="211">
        <v>5</v>
      </c>
      <c r="Y16" s="211">
        <v>114</v>
      </c>
      <c r="Z16" s="213">
        <v>0</v>
      </c>
      <c r="AA16" s="121">
        <f>SUM(X16:Z16)</f>
        <v>119</v>
      </c>
      <c r="AB16" s="91"/>
      <c r="AC16" s="304"/>
      <c r="AD16" s="300" t="s">
        <v>23</v>
      </c>
      <c r="AE16" s="82" t="s">
        <v>20</v>
      </c>
      <c r="AF16" s="210">
        <v>978</v>
      </c>
      <c r="AG16" s="211">
        <v>122</v>
      </c>
      <c r="AH16" s="211">
        <v>0</v>
      </c>
      <c r="AI16" s="212">
        <v>0</v>
      </c>
      <c r="AJ16" s="213">
        <v>0</v>
      </c>
      <c r="AK16" s="214">
        <v>1100</v>
      </c>
      <c r="AL16" s="211">
        <v>15</v>
      </c>
      <c r="AM16" s="211">
        <v>0</v>
      </c>
      <c r="AN16" s="213">
        <v>0</v>
      </c>
      <c r="AO16" s="121">
        <f>SUM(AL16:AN16)</f>
        <v>15</v>
      </c>
      <c r="AP16" s="91"/>
      <c r="AQ16" s="304"/>
      <c r="AR16" s="300" t="s">
        <v>23</v>
      </c>
      <c r="AS16" s="82" t="s">
        <v>20</v>
      </c>
      <c r="AT16" s="210">
        <v>487</v>
      </c>
      <c r="AU16" s="211">
        <v>129</v>
      </c>
      <c r="AV16" s="211">
        <v>0</v>
      </c>
      <c r="AW16" s="212">
        <v>0</v>
      </c>
      <c r="AX16" s="213">
        <v>366</v>
      </c>
      <c r="AY16" s="214">
        <v>982</v>
      </c>
      <c r="AZ16" s="211">
        <v>2</v>
      </c>
      <c r="BA16" s="211">
        <v>236</v>
      </c>
      <c r="BB16" s="213">
        <v>0</v>
      </c>
      <c r="BC16" s="244">
        <v>238</v>
      </c>
      <c r="BD16" s="91"/>
      <c r="BE16" s="304"/>
      <c r="BF16" s="300" t="s">
        <v>23</v>
      </c>
      <c r="BG16" s="82" t="s">
        <v>20</v>
      </c>
      <c r="BH16" s="210">
        <v>192</v>
      </c>
      <c r="BI16" s="211">
        <v>71</v>
      </c>
      <c r="BJ16" s="211">
        <v>0</v>
      </c>
      <c r="BK16" s="212">
        <v>0</v>
      </c>
      <c r="BL16" s="213">
        <v>0</v>
      </c>
      <c r="BM16" s="214">
        <v>263</v>
      </c>
      <c r="BN16" s="211">
        <v>5</v>
      </c>
      <c r="BO16" s="211">
        <v>84</v>
      </c>
      <c r="BP16" s="213">
        <v>0</v>
      </c>
      <c r="BQ16" s="121">
        <f>SUM(BN16:BP16)</f>
        <v>89</v>
      </c>
      <c r="BR16" s="91"/>
      <c r="BS16" s="304"/>
      <c r="BT16" s="300" t="s">
        <v>23</v>
      </c>
      <c r="BU16" s="82" t="s">
        <v>20</v>
      </c>
      <c r="BV16" s="210">
        <v>556</v>
      </c>
      <c r="BW16" s="211">
        <v>115</v>
      </c>
      <c r="BX16" s="211">
        <v>0</v>
      </c>
      <c r="BY16" s="212">
        <v>0</v>
      </c>
      <c r="BZ16" s="213">
        <v>396</v>
      </c>
      <c r="CA16" s="214">
        <v>1067</v>
      </c>
      <c r="CB16" s="211"/>
      <c r="CC16" s="211">
        <v>0</v>
      </c>
      <c r="CD16" s="213">
        <v>0</v>
      </c>
      <c r="CE16" s="121">
        <f>SUM(CB16:CD16)</f>
        <v>0</v>
      </c>
      <c r="CF16" s="91"/>
      <c r="CG16" s="304"/>
      <c r="CH16" s="300" t="s">
        <v>23</v>
      </c>
      <c r="CI16" s="82" t="s">
        <v>20</v>
      </c>
      <c r="CJ16" s="210">
        <v>609</v>
      </c>
      <c r="CK16" s="211">
        <v>119</v>
      </c>
      <c r="CL16" s="211">
        <v>0</v>
      </c>
      <c r="CM16" s="212">
        <v>0</v>
      </c>
      <c r="CN16" s="213">
        <v>386</v>
      </c>
      <c r="CO16" s="214">
        <v>1114</v>
      </c>
      <c r="CP16" s="211">
        <v>0</v>
      </c>
      <c r="CQ16" s="211">
        <v>187</v>
      </c>
      <c r="CR16" s="213">
        <v>0</v>
      </c>
      <c r="CS16" s="244">
        <v>187</v>
      </c>
      <c r="CT16" s="91"/>
      <c r="CU16" s="304"/>
      <c r="CV16" s="300" t="s">
        <v>23</v>
      </c>
      <c r="CW16" s="82" t="s">
        <v>20</v>
      </c>
      <c r="CX16" s="247">
        <v>556</v>
      </c>
      <c r="CY16" s="248">
        <v>115</v>
      </c>
      <c r="CZ16" s="248">
        <v>0</v>
      </c>
      <c r="DA16" s="249">
        <v>0</v>
      </c>
      <c r="DB16" s="250">
        <v>396</v>
      </c>
      <c r="DC16" s="283">
        <v>1067</v>
      </c>
      <c r="DD16" s="248">
        <v>337</v>
      </c>
      <c r="DE16" s="248">
        <v>0</v>
      </c>
      <c r="DF16" s="250">
        <v>0</v>
      </c>
      <c r="DG16" s="121">
        <f>SUM(DD16:DF16)</f>
        <v>337</v>
      </c>
      <c r="DH16" s="91"/>
      <c r="DI16" s="304"/>
      <c r="DJ16" s="300" t="s">
        <v>23</v>
      </c>
      <c r="DK16" s="82" t="s">
        <v>20</v>
      </c>
      <c r="DL16" s="267">
        <v>447</v>
      </c>
      <c r="DM16" s="268">
        <v>21</v>
      </c>
      <c r="DN16" s="268">
        <v>0</v>
      </c>
      <c r="DO16" s="269">
        <v>0</v>
      </c>
      <c r="DP16" s="270">
        <v>240</v>
      </c>
      <c r="DQ16" s="271">
        <f t="shared" ref="DQ16:DQ17" si="89">SUM(DL16:DP16)</f>
        <v>708</v>
      </c>
      <c r="DR16" s="272">
        <v>5</v>
      </c>
      <c r="DS16" s="268">
        <v>89</v>
      </c>
      <c r="DT16" s="273">
        <v>0</v>
      </c>
      <c r="DU16" s="291">
        <f t="shared" ref="DU16:DU17" si="90">SUM(DR16:DT16)</f>
        <v>94</v>
      </c>
      <c r="DV16" s="91"/>
      <c r="DW16" s="304"/>
      <c r="DX16" s="300" t="s">
        <v>23</v>
      </c>
      <c r="DY16" s="82" t="s">
        <v>20</v>
      </c>
      <c r="DZ16" s="115">
        <v>0</v>
      </c>
      <c r="EA16" s="116">
        <v>0</v>
      </c>
      <c r="EB16" s="116">
        <v>0</v>
      </c>
      <c r="EC16" s="117">
        <v>0</v>
      </c>
      <c r="ED16" s="118">
        <v>0</v>
      </c>
      <c r="EE16" s="93">
        <f>SUM(DZ16:ED16)</f>
        <v>0</v>
      </c>
      <c r="EF16" s="119">
        <v>0</v>
      </c>
      <c r="EG16" s="116">
        <v>0</v>
      </c>
      <c r="EH16" s="120">
        <v>0</v>
      </c>
      <c r="EI16" s="121">
        <f>SUM(EF16:EH16)</f>
        <v>0</v>
      </c>
      <c r="EJ16" s="91"/>
      <c r="EK16" s="304"/>
      <c r="EL16" s="300" t="s">
        <v>23</v>
      </c>
      <c r="EM16" s="82" t="s">
        <v>20</v>
      </c>
      <c r="EN16" s="115">
        <v>0</v>
      </c>
      <c r="EO16" s="116">
        <v>0</v>
      </c>
      <c r="EP16" s="116">
        <v>0</v>
      </c>
      <c r="EQ16" s="117">
        <v>0</v>
      </c>
      <c r="ER16" s="118">
        <v>0</v>
      </c>
      <c r="ES16" s="93">
        <f>SUM(EN16:ER16)</f>
        <v>0</v>
      </c>
      <c r="ET16" s="119">
        <v>0</v>
      </c>
      <c r="EU16" s="116">
        <v>0</v>
      </c>
      <c r="EV16" s="120">
        <v>0</v>
      </c>
      <c r="EW16" s="121">
        <f>SUM(ET16:EV16)</f>
        <v>0</v>
      </c>
      <c r="EX16" s="91"/>
      <c r="EY16" s="304"/>
      <c r="EZ16" s="300" t="s">
        <v>23</v>
      </c>
      <c r="FA16" s="82" t="s">
        <v>20</v>
      </c>
      <c r="FB16" s="115">
        <v>0</v>
      </c>
      <c r="FC16" s="116">
        <v>0</v>
      </c>
      <c r="FD16" s="116">
        <v>0</v>
      </c>
      <c r="FE16" s="117">
        <v>0</v>
      </c>
      <c r="FF16" s="118">
        <v>0</v>
      </c>
      <c r="FG16" s="93">
        <f>SUM(FB16:FF16)</f>
        <v>0</v>
      </c>
      <c r="FH16" s="119">
        <v>0</v>
      </c>
      <c r="FI16" s="116">
        <v>0</v>
      </c>
      <c r="FJ16" s="120">
        <v>0</v>
      </c>
      <c r="FK16" s="121">
        <f>SUM(FH16:FJ16)</f>
        <v>0</v>
      </c>
      <c r="FL16" s="147"/>
      <c r="FM16" s="304"/>
      <c r="FN16" s="300" t="s">
        <v>23</v>
      </c>
      <c r="FO16" s="82" t="s">
        <v>20</v>
      </c>
      <c r="FP16" s="115">
        <f t="shared" ref="FP16:FP17" si="91">SUM(D16+R16+AF16+AT16+BH16+BV16+CJ16+CX16+DL16+DZ16+EN16+FB16)</f>
        <v>5048</v>
      </c>
      <c r="FQ16" s="115">
        <f t="shared" ref="FQ16:FQ17" si="92">SUM(E16+S16+AG16+AU16+BI16+BW16+CK16+CY16+DM16+EA16+EO16+FC16)</f>
        <v>953</v>
      </c>
      <c r="FR16" s="115">
        <f t="shared" ref="FR16:FR17" si="93">SUM(F16+T16+AH16+AV16+BJ16+BX16+CL16+CZ16+DN16+EB16+EP16+FD16)</f>
        <v>0</v>
      </c>
      <c r="FS16" s="150">
        <f t="shared" ref="FS16:FS17" si="94">SUM(G16+U16+AI16+AW16+BK16+BY16+CM16+DA16+DO16+EC16+EQ16+FE16)</f>
        <v>0</v>
      </c>
      <c r="FT16" s="115">
        <f t="shared" ref="FT16:FT17" si="95">SUM(H16+V16+AJ16+AX16+BL16+BZ16+CN16+DB16+DP16+ED16+ER16+FF16)</f>
        <v>2459</v>
      </c>
      <c r="FU16" s="93">
        <f>SUM(FP16:FT16)</f>
        <v>8460</v>
      </c>
      <c r="FV16" s="119">
        <f t="shared" ref="FV16:FV17" si="96">SUM(J16+X16+AL16+AZ16+BN16+CB16+CP16+DD16+DR16+EF16+ET16+FH16)</f>
        <v>369</v>
      </c>
      <c r="FW16" s="119">
        <f t="shared" ref="FW16:FW17" si="97">SUM(K16+Y16+AM16+BA16+BO16+CC16+CQ16+DE16+DS16+EG16+EU16+FI16)</f>
        <v>804</v>
      </c>
      <c r="FX16" s="119">
        <f t="shared" ref="FX16:FX17" si="98">SUM(L16+Z16+AN16+BB16+BP16+CD16+CR16+DF16+DT16+EH16+EV16+FJ16)</f>
        <v>0</v>
      </c>
      <c r="FY16" s="122">
        <f>SUM(FV16:FX16)</f>
        <v>1173</v>
      </c>
      <c r="FZ16" s="95"/>
      <c r="GA16" s="91"/>
    </row>
    <row r="17" spans="1:183" ht="20.100000000000001" customHeight="1" thickBot="1" x14ac:dyDescent="0.3">
      <c r="A17" s="304"/>
      <c r="B17" s="294"/>
      <c r="C17" s="97" t="s">
        <v>21</v>
      </c>
      <c r="D17" s="202">
        <v>758</v>
      </c>
      <c r="E17" s="203">
        <v>113</v>
      </c>
      <c r="F17" s="203">
        <v>0</v>
      </c>
      <c r="G17" s="203">
        <v>5</v>
      </c>
      <c r="H17" s="204">
        <v>539</v>
      </c>
      <c r="I17" s="205">
        <v>1415</v>
      </c>
      <c r="J17" s="203">
        <v>3</v>
      </c>
      <c r="K17" s="203">
        <v>112</v>
      </c>
      <c r="L17" s="204">
        <v>0</v>
      </c>
      <c r="M17" s="104">
        <f>SUM(J17:L17)</f>
        <v>115</v>
      </c>
      <c r="N17" s="61"/>
      <c r="O17" s="304"/>
      <c r="P17" s="294"/>
      <c r="Q17" s="97" t="s">
        <v>21</v>
      </c>
      <c r="R17" s="202">
        <v>741</v>
      </c>
      <c r="S17" s="203">
        <v>74</v>
      </c>
      <c r="T17" s="203">
        <v>0</v>
      </c>
      <c r="U17" s="203">
        <v>5</v>
      </c>
      <c r="V17" s="204">
        <v>300</v>
      </c>
      <c r="W17" s="205">
        <v>1120</v>
      </c>
      <c r="X17" s="203">
        <v>5</v>
      </c>
      <c r="Y17" s="203">
        <v>82</v>
      </c>
      <c r="Z17" s="204">
        <v>0</v>
      </c>
      <c r="AA17" s="104">
        <f>SUM(X17:Z17)</f>
        <v>87</v>
      </c>
      <c r="AB17" s="61"/>
      <c r="AC17" s="304"/>
      <c r="AD17" s="294"/>
      <c r="AE17" s="97" t="s">
        <v>21</v>
      </c>
      <c r="AF17" s="202">
        <v>1035</v>
      </c>
      <c r="AG17" s="203">
        <v>74</v>
      </c>
      <c r="AH17" s="203">
        <v>0</v>
      </c>
      <c r="AI17" s="203">
        <v>5</v>
      </c>
      <c r="AJ17" s="204">
        <v>0</v>
      </c>
      <c r="AK17" s="205">
        <v>1114</v>
      </c>
      <c r="AL17" s="203">
        <v>10</v>
      </c>
      <c r="AM17" s="203">
        <v>0</v>
      </c>
      <c r="AN17" s="204">
        <v>0</v>
      </c>
      <c r="AO17" s="104">
        <f>SUM(AL17:AN17)</f>
        <v>10</v>
      </c>
      <c r="AP17" s="61"/>
      <c r="AQ17" s="304"/>
      <c r="AR17" s="294"/>
      <c r="AS17" s="97" t="s">
        <v>21</v>
      </c>
      <c r="AT17" s="202">
        <v>713</v>
      </c>
      <c r="AU17" s="203">
        <v>194</v>
      </c>
      <c r="AV17" s="203">
        <v>0</v>
      </c>
      <c r="AW17" s="203">
        <v>12</v>
      </c>
      <c r="AX17" s="204">
        <v>305</v>
      </c>
      <c r="AY17" s="205">
        <v>1224</v>
      </c>
      <c r="AZ17" s="203">
        <v>4</v>
      </c>
      <c r="BA17" s="203">
        <v>186</v>
      </c>
      <c r="BB17" s="204">
        <v>0</v>
      </c>
      <c r="BC17" s="208">
        <v>190</v>
      </c>
      <c r="BD17" s="61"/>
      <c r="BE17" s="304"/>
      <c r="BF17" s="294"/>
      <c r="BG17" s="97" t="s">
        <v>21</v>
      </c>
      <c r="BH17" s="202">
        <v>298</v>
      </c>
      <c r="BI17" s="203">
        <v>39</v>
      </c>
      <c r="BJ17" s="203">
        <v>0</v>
      </c>
      <c r="BK17" s="203">
        <v>4</v>
      </c>
      <c r="BL17" s="204">
        <v>0</v>
      </c>
      <c r="BM17" s="205">
        <v>341</v>
      </c>
      <c r="BN17" s="203">
        <v>0</v>
      </c>
      <c r="BO17" s="203">
        <v>59</v>
      </c>
      <c r="BP17" s="204">
        <v>0</v>
      </c>
      <c r="BQ17" s="104">
        <f>SUM(BN17:BP17)</f>
        <v>59</v>
      </c>
      <c r="BR17" s="61"/>
      <c r="BS17" s="304"/>
      <c r="BT17" s="294"/>
      <c r="BU17" s="97" t="s">
        <v>21</v>
      </c>
      <c r="BV17" s="202">
        <v>547</v>
      </c>
      <c r="BW17" s="203">
        <v>107</v>
      </c>
      <c r="BX17" s="203">
        <v>0</v>
      </c>
      <c r="BY17" s="203">
        <v>10</v>
      </c>
      <c r="BZ17" s="204">
        <v>334</v>
      </c>
      <c r="CA17" s="205">
        <v>998</v>
      </c>
      <c r="CB17" s="203"/>
      <c r="CC17" s="203">
        <v>0</v>
      </c>
      <c r="CD17" s="204">
        <v>0</v>
      </c>
      <c r="CE17" s="104">
        <f>SUM(CB17:CD17)</f>
        <v>0</v>
      </c>
      <c r="CF17" s="61"/>
      <c r="CG17" s="304"/>
      <c r="CH17" s="294"/>
      <c r="CI17" s="97" t="s">
        <v>21</v>
      </c>
      <c r="CJ17" s="202">
        <v>546</v>
      </c>
      <c r="CK17" s="203">
        <v>107</v>
      </c>
      <c r="CL17" s="203">
        <v>0</v>
      </c>
      <c r="CM17" s="203">
        <v>4</v>
      </c>
      <c r="CN17" s="204">
        <v>322</v>
      </c>
      <c r="CO17" s="205">
        <v>979</v>
      </c>
      <c r="CP17" s="203">
        <v>0</v>
      </c>
      <c r="CQ17" s="203">
        <v>142</v>
      </c>
      <c r="CR17" s="204">
        <v>0</v>
      </c>
      <c r="CS17" s="208">
        <v>142</v>
      </c>
      <c r="CT17" s="61"/>
      <c r="CU17" s="304"/>
      <c r="CV17" s="294"/>
      <c r="CW17" s="97" t="s">
        <v>21</v>
      </c>
      <c r="CX17" s="255">
        <v>547</v>
      </c>
      <c r="CY17" s="256">
        <v>107</v>
      </c>
      <c r="CZ17" s="256">
        <v>0</v>
      </c>
      <c r="DA17" s="256">
        <v>10</v>
      </c>
      <c r="DB17" s="257">
        <v>334</v>
      </c>
      <c r="DC17" s="284">
        <v>998</v>
      </c>
      <c r="DD17" s="256">
        <v>259</v>
      </c>
      <c r="DE17" s="256">
        <v>0</v>
      </c>
      <c r="DF17" s="257">
        <v>0</v>
      </c>
      <c r="DG17" s="104">
        <f>SUM(DD17:DF17)</f>
        <v>259</v>
      </c>
      <c r="DH17" s="61"/>
      <c r="DI17" s="304"/>
      <c r="DJ17" s="294"/>
      <c r="DK17" s="97" t="s">
        <v>21</v>
      </c>
      <c r="DL17" s="274">
        <v>366</v>
      </c>
      <c r="DM17" s="260">
        <v>17</v>
      </c>
      <c r="DN17" s="260">
        <v>0</v>
      </c>
      <c r="DO17" s="260">
        <v>4</v>
      </c>
      <c r="DP17" s="275">
        <v>259</v>
      </c>
      <c r="DQ17" s="258">
        <f t="shared" si="89"/>
        <v>646</v>
      </c>
      <c r="DR17" s="259">
        <v>0</v>
      </c>
      <c r="DS17" s="260">
        <v>62</v>
      </c>
      <c r="DT17" s="261">
        <v>0</v>
      </c>
      <c r="DU17" s="289">
        <f t="shared" si="90"/>
        <v>62</v>
      </c>
      <c r="DV17" s="61"/>
      <c r="DW17" s="304"/>
      <c r="DX17" s="294"/>
      <c r="DY17" s="97" t="s">
        <v>21</v>
      </c>
      <c r="DZ17" s="98">
        <v>0</v>
      </c>
      <c r="EA17" s="99">
        <v>0</v>
      </c>
      <c r="EB17" s="99">
        <v>0</v>
      </c>
      <c r="EC17" s="99">
        <v>0</v>
      </c>
      <c r="ED17" s="100">
        <v>0</v>
      </c>
      <c r="EE17" s="101">
        <f>SUM(DZ17:ED17)</f>
        <v>0</v>
      </c>
      <c r="EF17" s="102">
        <v>0</v>
      </c>
      <c r="EG17" s="99">
        <v>0</v>
      </c>
      <c r="EH17" s="103">
        <v>0</v>
      </c>
      <c r="EI17" s="104">
        <f>SUM(EF17:EH17)</f>
        <v>0</v>
      </c>
      <c r="EJ17" s="61"/>
      <c r="EK17" s="304"/>
      <c r="EL17" s="294"/>
      <c r="EM17" s="97" t="s">
        <v>21</v>
      </c>
      <c r="EN17" s="98">
        <v>0</v>
      </c>
      <c r="EO17" s="99">
        <v>0</v>
      </c>
      <c r="EP17" s="99">
        <v>0</v>
      </c>
      <c r="EQ17" s="99">
        <v>0</v>
      </c>
      <c r="ER17" s="100">
        <v>0</v>
      </c>
      <c r="ES17" s="101">
        <f>SUM(EN17:ER17)</f>
        <v>0</v>
      </c>
      <c r="ET17" s="102">
        <v>0</v>
      </c>
      <c r="EU17" s="99">
        <v>0</v>
      </c>
      <c r="EV17" s="103">
        <v>0</v>
      </c>
      <c r="EW17" s="104">
        <f>SUM(ET17:EV17)</f>
        <v>0</v>
      </c>
      <c r="EX17" s="61"/>
      <c r="EY17" s="304"/>
      <c r="EZ17" s="294"/>
      <c r="FA17" s="97" t="s">
        <v>21</v>
      </c>
      <c r="FB17" s="98">
        <v>0</v>
      </c>
      <c r="FC17" s="99">
        <v>0</v>
      </c>
      <c r="FD17" s="99">
        <v>0</v>
      </c>
      <c r="FE17" s="99">
        <v>0</v>
      </c>
      <c r="FF17" s="100">
        <v>0</v>
      </c>
      <c r="FG17" s="101">
        <f>SUM(FB17:FF17)</f>
        <v>0</v>
      </c>
      <c r="FH17" s="102">
        <v>0</v>
      </c>
      <c r="FI17" s="99">
        <v>0</v>
      </c>
      <c r="FJ17" s="103">
        <v>0</v>
      </c>
      <c r="FK17" s="104">
        <f>SUM(FH17:FJ17)</f>
        <v>0</v>
      </c>
      <c r="FM17" s="304"/>
      <c r="FN17" s="294"/>
      <c r="FO17" s="97" t="s">
        <v>21</v>
      </c>
      <c r="FP17" s="115">
        <f t="shared" si="91"/>
        <v>5551</v>
      </c>
      <c r="FQ17" s="115">
        <f t="shared" si="92"/>
        <v>832</v>
      </c>
      <c r="FR17" s="115">
        <f t="shared" si="93"/>
        <v>0</v>
      </c>
      <c r="FS17" s="115">
        <f t="shared" si="94"/>
        <v>59</v>
      </c>
      <c r="FT17" s="115">
        <f t="shared" si="95"/>
        <v>2393</v>
      </c>
      <c r="FU17" s="101">
        <f>SUM(FP17:FT17)</f>
        <v>8835</v>
      </c>
      <c r="FV17" s="119">
        <f t="shared" si="96"/>
        <v>281</v>
      </c>
      <c r="FW17" s="119">
        <f t="shared" si="97"/>
        <v>643</v>
      </c>
      <c r="FX17" s="119">
        <f t="shared" si="98"/>
        <v>0</v>
      </c>
      <c r="FY17" s="106">
        <f>SUM(FV17:FX17)</f>
        <v>924</v>
      </c>
      <c r="GA17" s="61"/>
    </row>
    <row r="18" spans="1:183" ht="20.100000000000001" customHeight="1" thickBot="1" x14ac:dyDescent="0.3">
      <c r="A18" s="305"/>
      <c r="B18" s="301" t="s">
        <v>24</v>
      </c>
      <c r="C18" s="310"/>
      <c r="D18" s="107">
        <f t="shared" ref="D18:M18" si="99">SUM(D16:D17)</f>
        <v>1346</v>
      </c>
      <c r="E18" s="108">
        <f t="shared" si="99"/>
        <v>269</v>
      </c>
      <c r="F18" s="108">
        <f t="shared" si="99"/>
        <v>0</v>
      </c>
      <c r="G18" s="108">
        <f t="shared" si="99"/>
        <v>5</v>
      </c>
      <c r="H18" s="109">
        <f t="shared" si="99"/>
        <v>864</v>
      </c>
      <c r="I18" s="110">
        <f t="shared" si="99"/>
        <v>2484</v>
      </c>
      <c r="J18" s="111">
        <f t="shared" si="99"/>
        <v>3</v>
      </c>
      <c r="K18" s="108">
        <f t="shared" si="99"/>
        <v>206</v>
      </c>
      <c r="L18" s="109">
        <f t="shared" si="99"/>
        <v>0</v>
      </c>
      <c r="M18" s="112">
        <f t="shared" si="99"/>
        <v>209</v>
      </c>
      <c r="N18" s="61"/>
      <c r="O18" s="305"/>
      <c r="P18" s="301" t="s">
        <v>24</v>
      </c>
      <c r="Q18" s="310"/>
      <c r="R18" s="107">
        <f t="shared" ref="R18:AA18" si="100">SUM(R16:R17)</f>
        <v>1376</v>
      </c>
      <c r="S18" s="108">
        <f t="shared" si="100"/>
        <v>179</v>
      </c>
      <c r="T18" s="108">
        <f t="shared" si="100"/>
        <v>0</v>
      </c>
      <c r="U18" s="108">
        <f t="shared" si="100"/>
        <v>5</v>
      </c>
      <c r="V18" s="109">
        <f t="shared" si="100"/>
        <v>650</v>
      </c>
      <c r="W18" s="110">
        <f t="shared" si="100"/>
        <v>2210</v>
      </c>
      <c r="X18" s="111">
        <f t="shared" si="100"/>
        <v>10</v>
      </c>
      <c r="Y18" s="108">
        <f t="shared" si="100"/>
        <v>196</v>
      </c>
      <c r="Z18" s="109">
        <f t="shared" si="100"/>
        <v>0</v>
      </c>
      <c r="AA18" s="112">
        <f t="shared" si="100"/>
        <v>206</v>
      </c>
      <c r="AB18" s="61"/>
      <c r="AC18" s="305"/>
      <c r="AD18" s="301" t="s">
        <v>24</v>
      </c>
      <c r="AE18" s="310"/>
      <c r="AF18" s="206">
        <v>2013</v>
      </c>
      <c r="AG18" s="207">
        <v>196</v>
      </c>
      <c r="AH18" s="207">
        <v>0</v>
      </c>
      <c r="AI18" s="207">
        <v>5</v>
      </c>
      <c r="AJ18" s="208">
        <v>0</v>
      </c>
      <c r="AK18" s="209">
        <v>2214</v>
      </c>
      <c r="AL18" s="207">
        <v>25</v>
      </c>
      <c r="AM18" s="207">
        <v>0</v>
      </c>
      <c r="AN18" s="208">
        <v>0</v>
      </c>
      <c r="AO18" s="112">
        <f t="shared" ref="AO18" si="101">SUM(AO16:AO17)</f>
        <v>25</v>
      </c>
      <c r="AP18" s="61"/>
      <c r="AQ18" s="305"/>
      <c r="AR18" s="301" t="s">
        <v>24</v>
      </c>
      <c r="AS18" s="310"/>
      <c r="AT18" s="206">
        <v>1200</v>
      </c>
      <c r="AU18" s="207">
        <v>323</v>
      </c>
      <c r="AV18" s="207">
        <v>0</v>
      </c>
      <c r="AW18" s="207">
        <v>12</v>
      </c>
      <c r="AX18" s="208">
        <v>671</v>
      </c>
      <c r="AY18" s="209">
        <v>2206</v>
      </c>
      <c r="AZ18" s="207">
        <v>6</v>
      </c>
      <c r="BA18" s="207">
        <v>422</v>
      </c>
      <c r="BB18" s="208">
        <v>0</v>
      </c>
      <c r="BC18" s="243">
        <v>428</v>
      </c>
      <c r="BD18" s="61"/>
      <c r="BE18" s="305"/>
      <c r="BF18" s="301" t="s">
        <v>24</v>
      </c>
      <c r="BG18" s="310"/>
      <c r="BH18" s="107">
        <f t="shared" ref="BH18:BQ18" si="102">SUM(BH16:BH17)</f>
        <v>490</v>
      </c>
      <c r="BI18" s="108">
        <f t="shared" si="102"/>
        <v>110</v>
      </c>
      <c r="BJ18" s="108">
        <f t="shared" si="102"/>
        <v>0</v>
      </c>
      <c r="BK18" s="108">
        <f t="shared" si="102"/>
        <v>4</v>
      </c>
      <c r="BL18" s="109">
        <f t="shared" si="102"/>
        <v>0</v>
      </c>
      <c r="BM18" s="110">
        <f t="shared" si="102"/>
        <v>604</v>
      </c>
      <c r="BN18" s="111">
        <f t="shared" si="102"/>
        <v>5</v>
      </c>
      <c r="BO18" s="108">
        <f t="shared" si="102"/>
        <v>143</v>
      </c>
      <c r="BP18" s="109">
        <f t="shared" si="102"/>
        <v>0</v>
      </c>
      <c r="BQ18" s="112">
        <f t="shared" si="102"/>
        <v>148</v>
      </c>
      <c r="BR18" s="61"/>
      <c r="BS18" s="305"/>
      <c r="BT18" s="301" t="s">
        <v>24</v>
      </c>
      <c r="BU18" s="310"/>
      <c r="BV18" s="206">
        <v>1103</v>
      </c>
      <c r="BW18" s="207">
        <v>222</v>
      </c>
      <c r="BX18" s="207">
        <v>0</v>
      </c>
      <c r="BY18" s="207">
        <v>10</v>
      </c>
      <c r="BZ18" s="208">
        <v>730</v>
      </c>
      <c r="CA18" s="209">
        <v>2065</v>
      </c>
      <c r="CB18" s="207"/>
      <c r="CC18" s="207">
        <v>0</v>
      </c>
      <c r="CD18" s="208">
        <v>0</v>
      </c>
      <c r="CE18" s="112">
        <f t="shared" ref="CE18" si="103">SUM(CE16:CE17)</f>
        <v>0</v>
      </c>
      <c r="CF18" s="61"/>
      <c r="CG18" s="305"/>
      <c r="CH18" s="301" t="s">
        <v>24</v>
      </c>
      <c r="CI18" s="310"/>
      <c r="CJ18" s="206">
        <v>1155</v>
      </c>
      <c r="CK18" s="207">
        <v>226</v>
      </c>
      <c r="CL18" s="207">
        <v>0</v>
      </c>
      <c r="CM18" s="207">
        <v>4</v>
      </c>
      <c r="CN18" s="208">
        <v>708</v>
      </c>
      <c r="CO18" s="209">
        <v>2093</v>
      </c>
      <c r="CP18" s="207">
        <v>0</v>
      </c>
      <c r="CQ18" s="207">
        <v>329</v>
      </c>
      <c r="CR18" s="208">
        <v>0</v>
      </c>
      <c r="CS18" s="243">
        <v>329</v>
      </c>
      <c r="CT18" s="61"/>
      <c r="CU18" s="305"/>
      <c r="CV18" s="301" t="s">
        <v>24</v>
      </c>
      <c r="CW18" s="310"/>
      <c r="CX18" s="262">
        <f t="shared" ref="CX18:DF18" si="104">SUM(CX16:CX17)</f>
        <v>1103</v>
      </c>
      <c r="CY18" s="263">
        <f t="shared" si="104"/>
        <v>222</v>
      </c>
      <c r="CZ18" s="263">
        <f t="shared" si="104"/>
        <v>0</v>
      </c>
      <c r="DA18" s="263">
        <f t="shared" si="104"/>
        <v>10</v>
      </c>
      <c r="DB18" s="264">
        <f t="shared" si="104"/>
        <v>730</v>
      </c>
      <c r="DC18" s="265">
        <f t="shared" si="104"/>
        <v>2065</v>
      </c>
      <c r="DD18" s="266">
        <f t="shared" si="104"/>
        <v>596</v>
      </c>
      <c r="DE18" s="263">
        <f t="shared" si="104"/>
        <v>0</v>
      </c>
      <c r="DF18" s="264">
        <f t="shared" si="104"/>
        <v>0</v>
      </c>
      <c r="DG18" s="112">
        <f t="shared" ref="DG18" si="105">SUM(DG16:DG17)</f>
        <v>596</v>
      </c>
      <c r="DH18" s="61"/>
      <c r="DI18" s="305"/>
      <c r="DJ18" s="301" t="s">
        <v>24</v>
      </c>
      <c r="DK18" s="310"/>
      <c r="DL18" s="262">
        <f t="shared" ref="DL18:DU18" si="106">SUM(DL16:DL17)</f>
        <v>813</v>
      </c>
      <c r="DM18" s="263">
        <f t="shared" si="106"/>
        <v>38</v>
      </c>
      <c r="DN18" s="263">
        <f t="shared" si="106"/>
        <v>0</v>
      </c>
      <c r="DO18" s="263">
        <f t="shared" si="106"/>
        <v>4</v>
      </c>
      <c r="DP18" s="264">
        <f t="shared" si="106"/>
        <v>499</v>
      </c>
      <c r="DQ18" s="265">
        <f t="shared" si="106"/>
        <v>1354</v>
      </c>
      <c r="DR18" s="266">
        <f t="shared" si="106"/>
        <v>5</v>
      </c>
      <c r="DS18" s="263">
        <f t="shared" si="106"/>
        <v>151</v>
      </c>
      <c r="DT18" s="264">
        <f t="shared" si="106"/>
        <v>0</v>
      </c>
      <c r="DU18" s="290">
        <f t="shared" si="106"/>
        <v>156</v>
      </c>
      <c r="DV18" s="61"/>
      <c r="DW18" s="305"/>
      <c r="DX18" s="301" t="s">
        <v>24</v>
      </c>
      <c r="DY18" s="310"/>
      <c r="DZ18" s="107">
        <f t="shared" ref="DZ18:EI18" si="107">SUM(DZ16:DZ17)</f>
        <v>0</v>
      </c>
      <c r="EA18" s="108">
        <f t="shared" si="107"/>
        <v>0</v>
      </c>
      <c r="EB18" s="108">
        <f t="shared" si="107"/>
        <v>0</v>
      </c>
      <c r="EC18" s="108">
        <f t="shared" si="107"/>
        <v>0</v>
      </c>
      <c r="ED18" s="109">
        <f t="shared" si="107"/>
        <v>0</v>
      </c>
      <c r="EE18" s="110">
        <f t="shared" si="107"/>
        <v>0</v>
      </c>
      <c r="EF18" s="111">
        <f t="shared" si="107"/>
        <v>0</v>
      </c>
      <c r="EG18" s="108">
        <f t="shared" si="107"/>
        <v>0</v>
      </c>
      <c r="EH18" s="109">
        <f t="shared" si="107"/>
        <v>0</v>
      </c>
      <c r="EI18" s="112">
        <f t="shared" si="107"/>
        <v>0</v>
      </c>
      <c r="EJ18" s="61"/>
      <c r="EK18" s="305"/>
      <c r="EL18" s="301" t="s">
        <v>24</v>
      </c>
      <c r="EM18" s="310"/>
      <c r="EN18" s="107">
        <f t="shared" ref="EN18:EW18" si="108">SUM(EN16:EN17)</f>
        <v>0</v>
      </c>
      <c r="EO18" s="108">
        <f t="shared" si="108"/>
        <v>0</v>
      </c>
      <c r="EP18" s="108">
        <f t="shared" si="108"/>
        <v>0</v>
      </c>
      <c r="EQ18" s="108">
        <f t="shared" si="108"/>
        <v>0</v>
      </c>
      <c r="ER18" s="109">
        <f t="shared" si="108"/>
        <v>0</v>
      </c>
      <c r="ES18" s="110">
        <f t="shared" si="108"/>
        <v>0</v>
      </c>
      <c r="ET18" s="111">
        <f t="shared" si="108"/>
        <v>0</v>
      </c>
      <c r="EU18" s="108">
        <f t="shared" si="108"/>
        <v>0</v>
      </c>
      <c r="EV18" s="109">
        <f t="shared" si="108"/>
        <v>0</v>
      </c>
      <c r="EW18" s="112">
        <f t="shared" si="108"/>
        <v>0</v>
      </c>
      <c r="EX18" s="61"/>
      <c r="EY18" s="305"/>
      <c r="EZ18" s="301" t="s">
        <v>24</v>
      </c>
      <c r="FA18" s="310"/>
      <c r="FB18" s="107">
        <f t="shared" ref="FB18:FK18" si="109">SUM(FB16:FB17)</f>
        <v>0</v>
      </c>
      <c r="FC18" s="108">
        <f t="shared" si="109"/>
        <v>0</v>
      </c>
      <c r="FD18" s="108">
        <f t="shared" si="109"/>
        <v>0</v>
      </c>
      <c r="FE18" s="108">
        <f t="shared" si="109"/>
        <v>0</v>
      </c>
      <c r="FF18" s="109">
        <f t="shared" si="109"/>
        <v>0</v>
      </c>
      <c r="FG18" s="110">
        <f t="shared" si="109"/>
        <v>0</v>
      </c>
      <c r="FH18" s="111">
        <f t="shared" si="109"/>
        <v>0</v>
      </c>
      <c r="FI18" s="108">
        <f t="shared" si="109"/>
        <v>0</v>
      </c>
      <c r="FJ18" s="109">
        <f t="shared" si="109"/>
        <v>0</v>
      </c>
      <c r="FK18" s="112">
        <f t="shared" si="109"/>
        <v>0</v>
      </c>
      <c r="FM18" s="305"/>
      <c r="FN18" s="301" t="s">
        <v>24</v>
      </c>
      <c r="FO18" s="310"/>
      <c r="FP18" s="107">
        <f t="shared" ref="FP18:FY18" si="110">SUM(FP16:FP17)</f>
        <v>10599</v>
      </c>
      <c r="FQ18" s="108">
        <f t="shared" si="110"/>
        <v>1785</v>
      </c>
      <c r="FR18" s="108">
        <f t="shared" si="110"/>
        <v>0</v>
      </c>
      <c r="FS18" s="108">
        <f t="shared" si="110"/>
        <v>59</v>
      </c>
      <c r="FT18" s="109">
        <f t="shared" si="110"/>
        <v>4852</v>
      </c>
      <c r="FU18" s="113">
        <f t="shared" si="110"/>
        <v>17295</v>
      </c>
      <c r="FV18" s="111">
        <f t="shared" si="110"/>
        <v>650</v>
      </c>
      <c r="FW18" s="108">
        <f t="shared" si="110"/>
        <v>1447</v>
      </c>
      <c r="FX18" s="109">
        <f t="shared" si="110"/>
        <v>0</v>
      </c>
      <c r="FY18" s="114">
        <f t="shared" si="110"/>
        <v>2097</v>
      </c>
      <c r="GA18" s="61"/>
    </row>
    <row r="19" spans="1:183" ht="20.100000000000001" customHeight="1" thickBot="1" x14ac:dyDescent="0.3">
      <c r="A19" s="297" t="s">
        <v>25</v>
      </c>
      <c r="B19" s="298"/>
      <c r="C19" s="299"/>
      <c r="D19" s="123">
        <f>SUM(D18+D15)</f>
        <v>3450</v>
      </c>
      <c r="E19" s="124">
        <f>SUM(E18+E15)</f>
        <v>655</v>
      </c>
      <c r="F19" s="124">
        <f>SUM(F18+F15)</f>
        <v>290</v>
      </c>
      <c r="G19" s="124">
        <f>SUM(G18+G15)</f>
        <v>30</v>
      </c>
      <c r="H19" s="125">
        <f>SUM(H18+H15)</f>
        <v>1368</v>
      </c>
      <c r="I19" s="126">
        <f>SUM(I15+I18)</f>
        <v>5793</v>
      </c>
      <c r="J19" s="127">
        <f>SUM(J18+J15)</f>
        <v>22</v>
      </c>
      <c r="K19" s="128">
        <f>SUM(K18+K15)</f>
        <v>819</v>
      </c>
      <c r="L19" s="129">
        <f>SUM(L18+L15)</f>
        <v>0</v>
      </c>
      <c r="M19" s="130">
        <f>SUM(M18+M15)</f>
        <v>841</v>
      </c>
      <c r="N19" s="61"/>
      <c r="O19" s="297" t="s">
        <v>25</v>
      </c>
      <c r="P19" s="298"/>
      <c r="Q19" s="299"/>
      <c r="R19" s="123">
        <f>SUM(R18+R15)</f>
        <v>6081</v>
      </c>
      <c r="S19" s="124">
        <f>SUM(S18+S15)</f>
        <v>436</v>
      </c>
      <c r="T19" s="124">
        <f>SUM(T18+T15)</f>
        <v>299</v>
      </c>
      <c r="U19" s="124">
        <f>SUM(U18+U15)</f>
        <v>25</v>
      </c>
      <c r="V19" s="125">
        <f>SUM(V18+V15)</f>
        <v>1130</v>
      </c>
      <c r="W19" s="126">
        <f>SUM(W15+W18)</f>
        <v>7971</v>
      </c>
      <c r="X19" s="127">
        <f>SUM(X18+X15)</f>
        <v>30</v>
      </c>
      <c r="Y19" s="128">
        <f>SUM(Y18+Y15)</f>
        <v>858</v>
      </c>
      <c r="Z19" s="129">
        <f>SUM(Z18+Z15)</f>
        <v>0</v>
      </c>
      <c r="AA19" s="130">
        <f>SUM(AA18+AA15)</f>
        <v>888</v>
      </c>
      <c r="AB19" s="61"/>
      <c r="AC19" s="297" t="s">
        <v>25</v>
      </c>
      <c r="AD19" s="298"/>
      <c r="AE19" s="299"/>
      <c r="AF19" s="236">
        <v>7410</v>
      </c>
      <c r="AG19" s="237">
        <v>588</v>
      </c>
      <c r="AH19" s="237">
        <v>208</v>
      </c>
      <c r="AI19" s="237">
        <v>24</v>
      </c>
      <c r="AJ19" s="238">
        <v>456</v>
      </c>
      <c r="AK19" s="239">
        <v>8686</v>
      </c>
      <c r="AL19" s="240">
        <v>76</v>
      </c>
      <c r="AM19" s="240">
        <v>0</v>
      </c>
      <c r="AN19" s="241">
        <v>0</v>
      </c>
      <c r="AO19" s="130">
        <f>SUM(AO18+AO15)</f>
        <v>76</v>
      </c>
      <c r="AP19" s="61"/>
      <c r="AQ19" s="297" t="s">
        <v>25</v>
      </c>
      <c r="AR19" s="298"/>
      <c r="AS19" s="299"/>
      <c r="AT19" s="123">
        <f>SUM(AT18+AT15)</f>
        <v>7100</v>
      </c>
      <c r="AU19" s="124">
        <f>SUM(AU18+AU15)</f>
        <v>641</v>
      </c>
      <c r="AV19" s="124">
        <f>SUM(AV18+AV15)</f>
        <v>398</v>
      </c>
      <c r="AW19" s="124">
        <f>SUM(AW18+AW15)</f>
        <v>34</v>
      </c>
      <c r="AX19" s="125">
        <f>SUM(AX18+AX15)</f>
        <v>1170</v>
      </c>
      <c r="AY19" s="126">
        <f>SUM(AY15+AY18)</f>
        <v>9343</v>
      </c>
      <c r="AZ19" s="127">
        <f>SUM(AZ18+AZ15)</f>
        <v>48</v>
      </c>
      <c r="BA19" s="128">
        <f>SUM(BA18+BA15)</f>
        <v>1423</v>
      </c>
      <c r="BB19" s="129">
        <f>SUM(BB18+BB15)</f>
        <v>0</v>
      </c>
      <c r="BC19" s="130">
        <f>SUM(BC18+BC15)</f>
        <v>1471</v>
      </c>
      <c r="BD19" s="61"/>
      <c r="BE19" s="297" t="s">
        <v>25</v>
      </c>
      <c r="BF19" s="298"/>
      <c r="BG19" s="299"/>
      <c r="BH19" s="123">
        <f>SUM(BH18+BH15)</f>
        <v>3181</v>
      </c>
      <c r="BI19" s="124">
        <f>SUM(BI18+BI15)</f>
        <v>299</v>
      </c>
      <c r="BJ19" s="124">
        <f>SUM(BJ18+BJ15)</f>
        <v>173</v>
      </c>
      <c r="BK19" s="124">
        <f>SUM(BK18+BK15)</f>
        <v>22</v>
      </c>
      <c r="BL19" s="125">
        <f>SUM(BL18+BL15)</f>
        <v>283</v>
      </c>
      <c r="BM19" s="126">
        <f>SUM(BM15+BM18)</f>
        <v>3958</v>
      </c>
      <c r="BN19" s="127">
        <f>SUM(BN18+BN15)</f>
        <v>28</v>
      </c>
      <c r="BO19" s="128">
        <f>SUM(BO18+BO15)</f>
        <v>727</v>
      </c>
      <c r="BP19" s="129">
        <f>SUM(BP18+BP15)</f>
        <v>0</v>
      </c>
      <c r="BQ19" s="130">
        <f>SUM(BQ18+BQ15)</f>
        <v>755</v>
      </c>
      <c r="BR19" s="61"/>
      <c r="BS19" s="297" t="s">
        <v>25</v>
      </c>
      <c r="BT19" s="298"/>
      <c r="BU19" s="299"/>
      <c r="BV19" s="236">
        <v>9851</v>
      </c>
      <c r="BW19" s="237">
        <v>653</v>
      </c>
      <c r="BX19" s="237">
        <v>319</v>
      </c>
      <c r="BY19" s="237">
        <v>285</v>
      </c>
      <c r="BZ19" s="238">
        <v>1284</v>
      </c>
      <c r="CA19" s="239">
        <v>7710</v>
      </c>
      <c r="CB19" s="240"/>
      <c r="CC19" s="240">
        <v>1500</v>
      </c>
      <c r="CD19" s="241">
        <v>0</v>
      </c>
      <c r="CE19" s="130">
        <f>SUM(CE18+CE15)</f>
        <v>1500</v>
      </c>
      <c r="CF19" s="61"/>
      <c r="CG19" s="297" t="s">
        <v>25</v>
      </c>
      <c r="CH19" s="298"/>
      <c r="CI19" s="299"/>
      <c r="CJ19" s="236">
        <v>4300</v>
      </c>
      <c r="CK19" s="237">
        <v>548</v>
      </c>
      <c r="CL19" s="237">
        <v>342</v>
      </c>
      <c r="CM19" s="237">
        <v>22</v>
      </c>
      <c r="CN19" s="238">
        <v>1213</v>
      </c>
      <c r="CO19" s="239">
        <v>6425</v>
      </c>
      <c r="CP19" s="240">
        <v>25</v>
      </c>
      <c r="CQ19" s="240">
        <v>1013</v>
      </c>
      <c r="CR19" s="241">
        <v>0</v>
      </c>
      <c r="CS19" s="241">
        <v>1038</v>
      </c>
      <c r="CT19" s="61"/>
      <c r="CU19" s="297" t="s">
        <v>25</v>
      </c>
      <c r="CV19" s="298"/>
      <c r="CW19" s="299"/>
      <c r="CX19" s="276">
        <f t="shared" ref="CX19:DB19" si="111">SUM(CX18+CX15)</f>
        <v>9851</v>
      </c>
      <c r="CY19" s="277">
        <f t="shared" si="111"/>
        <v>653</v>
      </c>
      <c r="CZ19" s="277">
        <f t="shared" si="111"/>
        <v>319</v>
      </c>
      <c r="DA19" s="277">
        <f t="shared" si="111"/>
        <v>285</v>
      </c>
      <c r="DB19" s="278">
        <f t="shared" si="111"/>
        <v>1284</v>
      </c>
      <c r="DC19" s="279">
        <f>SUM(DC15+DC18)</f>
        <v>7710</v>
      </c>
      <c r="DD19" s="280">
        <f t="shared" ref="DD19:DF19" si="112">SUM(DD18+DD15)</f>
        <v>2362</v>
      </c>
      <c r="DE19" s="281">
        <f t="shared" si="112"/>
        <v>11237</v>
      </c>
      <c r="DF19" s="282">
        <f t="shared" si="112"/>
        <v>0</v>
      </c>
      <c r="DG19" s="130">
        <f>SUM(DG18+DG15)</f>
        <v>13599</v>
      </c>
      <c r="DH19" s="61"/>
      <c r="DI19" s="297" t="s">
        <v>25</v>
      </c>
      <c r="DJ19" s="298"/>
      <c r="DK19" s="299"/>
      <c r="DL19" s="276">
        <f t="shared" ref="DL19:DP19" si="113">SUM(DL18+DL15)</f>
        <v>2846</v>
      </c>
      <c r="DM19" s="277">
        <f t="shared" si="113"/>
        <v>98</v>
      </c>
      <c r="DN19" s="277">
        <f t="shared" si="113"/>
        <v>292</v>
      </c>
      <c r="DO19" s="277">
        <f t="shared" si="113"/>
        <v>22</v>
      </c>
      <c r="DP19" s="278">
        <f t="shared" si="113"/>
        <v>905</v>
      </c>
      <c r="DQ19" s="279">
        <f>SUM(DQ15+DQ18)</f>
        <v>4163</v>
      </c>
      <c r="DR19" s="280">
        <f t="shared" ref="DR19:DU19" si="114">SUM(DR18+DR15)</f>
        <v>32</v>
      </c>
      <c r="DS19" s="281">
        <f t="shared" si="114"/>
        <v>776</v>
      </c>
      <c r="DT19" s="282">
        <f t="shared" si="114"/>
        <v>0</v>
      </c>
      <c r="DU19" s="292">
        <f t="shared" si="114"/>
        <v>808</v>
      </c>
      <c r="DV19" s="61"/>
      <c r="DW19" s="297" t="s">
        <v>25</v>
      </c>
      <c r="DX19" s="298"/>
      <c r="DY19" s="299"/>
      <c r="DZ19" s="123">
        <f>SUM(DZ18+DZ15)</f>
        <v>0</v>
      </c>
      <c r="EA19" s="124">
        <f>SUM(EA18+EA15)</f>
        <v>0</v>
      </c>
      <c r="EB19" s="124">
        <f>SUM(EB18+EB15)</f>
        <v>0</v>
      </c>
      <c r="EC19" s="124">
        <f>SUM(EC18+EC15)</f>
        <v>0</v>
      </c>
      <c r="ED19" s="125">
        <f>SUM(ED18+ED15)</f>
        <v>0</v>
      </c>
      <c r="EE19" s="126">
        <f>SUM(EE15+EE18)</f>
        <v>0</v>
      </c>
      <c r="EF19" s="127">
        <f>SUM(EF18+EF15)</f>
        <v>0</v>
      </c>
      <c r="EG19" s="128">
        <f>SUM(EG18+EG15)</f>
        <v>0</v>
      </c>
      <c r="EH19" s="129">
        <f>SUM(EH18+EH15)</f>
        <v>0</v>
      </c>
      <c r="EI19" s="130">
        <f>SUM(EI18+EI15)</f>
        <v>0</v>
      </c>
      <c r="EJ19" s="61"/>
      <c r="EK19" s="297" t="s">
        <v>25</v>
      </c>
      <c r="EL19" s="298"/>
      <c r="EM19" s="299"/>
      <c r="EN19" s="123">
        <f>SUM(EN18+EN15)</f>
        <v>0</v>
      </c>
      <c r="EO19" s="124">
        <f>SUM(EO18+EO15)</f>
        <v>0</v>
      </c>
      <c r="EP19" s="124">
        <f>SUM(EP18+EP15)</f>
        <v>0</v>
      </c>
      <c r="EQ19" s="124">
        <f>SUM(EQ18+EQ15)</f>
        <v>0</v>
      </c>
      <c r="ER19" s="125">
        <f>SUM(ER18+ER15)</f>
        <v>0</v>
      </c>
      <c r="ES19" s="126">
        <f>SUM(ES15+ES18)</f>
        <v>0</v>
      </c>
      <c r="ET19" s="127">
        <f>SUM(ET18+ET15)</f>
        <v>0</v>
      </c>
      <c r="EU19" s="128">
        <f>SUM(EU18+EU15)</f>
        <v>0</v>
      </c>
      <c r="EV19" s="129">
        <f>SUM(EV18+EV15)</f>
        <v>0</v>
      </c>
      <c r="EW19" s="130">
        <f>SUM(EW18+EW15)</f>
        <v>0</v>
      </c>
      <c r="EX19" s="61"/>
      <c r="EY19" s="297" t="s">
        <v>25</v>
      </c>
      <c r="EZ19" s="298"/>
      <c r="FA19" s="299"/>
      <c r="FB19" s="123">
        <f>SUM(FB18+FB15)</f>
        <v>0</v>
      </c>
      <c r="FC19" s="124">
        <f>SUM(FC18+FC15)</f>
        <v>0</v>
      </c>
      <c r="FD19" s="124">
        <f>SUM(FD18+FD15)</f>
        <v>0</v>
      </c>
      <c r="FE19" s="124">
        <f>SUM(FE18+FE15)</f>
        <v>0</v>
      </c>
      <c r="FF19" s="125">
        <f>SUM(FF18+FF15)</f>
        <v>0</v>
      </c>
      <c r="FG19" s="126">
        <f>SUM(FG15+FG18)</f>
        <v>0</v>
      </c>
      <c r="FH19" s="127">
        <f>SUM(FH18+FH15)</f>
        <v>0</v>
      </c>
      <c r="FI19" s="128">
        <f>SUM(FI18+FI15)</f>
        <v>0</v>
      </c>
      <c r="FJ19" s="129">
        <f>SUM(FJ18+FJ15)</f>
        <v>0</v>
      </c>
      <c r="FK19" s="130">
        <f>SUM(FK18+FK15)</f>
        <v>0</v>
      </c>
      <c r="FM19" s="297" t="s">
        <v>25</v>
      </c>
      <c r="FN19" s="298"/>
      <c r="FO19" s="299"/>
      <c r="FP19" s="123">
        <f>SUM(FP18+FP15)</f>
        <v>54070</v>
      </c>
      <c r="FQ19" s="124">
        <f>SUM(FQ18+FQ15)</f>
        <v>4571</v>
      </c>
      <c r="FR19" s="124">
        <f>SUM(FR18+FR15)</f>
        <v>2640</v>
      </c>
      <c r="FS19" s="124">
        <f>SUM(FS18+FS15)</f>
        <v>499</v>
      </c>
      <c r="FT19" s="125">
        <f>SUM(FT18+FT15)</f>
        <v>9093</v>
      </c>
      <c r="FU19" s="131">
        <f>SUM(FU15+FU18)</f>
        <v>70873</v>
      </c>
      <c r="FV19" s="132">
        <f>SUM(FV18+FV15)</f>
        <v>2623</v>
      </c>
      <c r="FW19" s="124">
        <f>SUM(FW18+FW15)</f>
        <v>18353</v>
      </c>
      <c r="FX19" s="125">
        <f>SUM(FX18+FX15)</f>
        <v>0</v>
      </c>
      <c r="FY19" s="133">
        <f>SUM(FY18+FY15)</f>
        <v>20976</v>
      </c>
      <c r="GA19" s="61"/>
    </row>
    <row r="20" spans="1:183" s="96" customFormat="1" ht="20.100000000000001" customHeight="1" thickTop="1" thickBot="1" x14ac:dyDescent="0.3">
      <c r="A20" s="303" t="s">
        <v>35</v>
      </c>
      <c r="B20" s="306" t="s">
        <v>5</v>
      </c>
      <c r="C20" s="82" t="s">
        <v>20</v>
      </c>
      <c r="D20" s="215">
        <v>1023</v>
      </c>
      <c r="E20" s="216">
        <v>393</v>
      </c>
      <c r="F20" s="216">
        <v>169</v>
      </c>
      <c r="G20" s="217">
        <v>0</v>
      </c>
      <c r="H20" s="216">
        <v>90</v>
      </c>
      <c r="I20" s="218">
        <v>1675</v>
      </c>
      <c r="J20" s="216">
        <v>686</v>
      </c>
      <c r="K20" s="216">
        <v>656</v>
      </c>
      <c r="L20" s="216">
        <v>510</v>
      </c>
      <c r="M20" s="90">
        <f>SUM(J20:L20)</f>
        <v>1852</v>
      </c>
      <c r="N20" s="91"/>
      <c r="O20" s="303" t="s">
        <v>35</v>
      </c>
      <c r="P20" s="306" t="s">
        <v>5</v>
      </c>
      <c r="Q20" s="82" t="s">
        <v>20</v>
      </c>
      <c r="R20" s="215">
        <v>2520</v>
      </c>
      <c r="S20" s="216">
        <v>514</v>
      </c>
      <c r="T20" s="216">
        <v>132</v>
      </c>
      <c r="U20" s="217">
        <v>0</v>
      </c>
      <c r="V20" s="216">
        <v>416</v>
      </c>
      <c r="W20" s="218">
        <v>1062</v>
      </c>
      <c r="X20" s="216">
        <v>601</v>
      </c>
      <c r="Y20" s="216">
        <v>0</v>
      </c>
      <c r="Z20" s="216">
        <v>873</v>
      </c>
      <c r="AA20" s="90">
        <f>SUM(X20:Z20)</f>
        <v>1474</v>
      </c>
      <c r="AB20" s="91"/>
      <c r="AC20" s="303" t="s">
        <v>35</v>
      </c>
      <c r="AD20" s="306" t="s">
        <v>5</v>
      </c>
      <c r="AE20" s="82" t="s">
        <v>20</v>
      </c>
      <c r="AF20" s="210">
        <v>3495</v>
      </c>
      <c r="AG20" s="211">
        <v>0</v>
      </c>
      <c r="AH20" s="211">
        <v>173</v>
      </c>
      <c r="AI20" s="212">
        <v>0</v>
      </c>
      <c r="AJ20" s="213">
        <v>0</v>
      </c>
      <c r="AK20" s="214">
        <v>3668</v>
      </c>
      <c r="AL20" s="211">
        <v>0</v>
      </c>
      <c r="AM20" s="211">
        <v>2438</v>
      </c>
      <c r="AN20" s="213">
        <v>0</v>
      </c>
      <c r="AO20" s="90">
        <f>SUM(AL20:AN20)</f>
        <v>2438</v>
      </c>
      <c r="AP20" s="91"/>
      <c r="AQ20" s="303" t="s">
        <v>35</v>
      </c>
      <c r="AR20" s="306" t="s">
        <v>5</v>
      </c>
      <c r="AS20" s="82" t="s">
        <v>20</v>
      </c>
      <c r="AT20" s="215">
        <v>1258</v>
      </c>
      <c r="AU20" s="216">
        <v>0</v>
      </c>
      <c r="AV20" s="216">
        <v>158</v>
      </c>
      <c r="AW20" s="199">
        <v>0</v>
      </c>
      <c r="AX20" s="200">
        <v>0</v>
      </c>
      <c r="AY20" s="201">
        <v>1416</v>
      </c>
      <c r="AZ20" s="216">
        <v>322</v>
      </c>
      <c r="BA20" s="216">
        <v>0</v>
      </c>
      <c r="BB20" s="216">
        <v>636</v>
      </c>
      <c r="BC20" s="242">
        <v>958</v>
      </c>
      <c r="BD20" s="91"/>
      <c r="BE20" s="303" t="s">
        <v>35</v>
      </c>
      <c r="BF20" s="306" t="s">
        <v>5</v>
      </c>
      <c r="BG20" s="82" t="s">
        <v>20</v>
      </c>
      <c r="BH20" s="197">
        <v>2855</v>
      </c>
      <c r="BI20" s="198">
        <v>472</v>
      </c>
      <c r="BJ20" s="198">
        <v>250</v>
      </c>
      <c r="BK20" s="199">
        <v>0</v>
      </c>
      <c r="BL20" s="200">
        <v>49</v>
      </c>
      <c r="BM20" s="201">
        <v>3626</v>
      </c>
      <c r="BN20" s="198">
        <v>55</v>
      </c>
      <c r="BO20" s="198">
        <v>2071</v>
      </c>
      <c r="BP20" s="200">
        <v>0</v>
      </c>
      <c r="BQ20" s="90">
        <f>SUM(BN20:BP20)</f>
        <v>2126</v>
      </c>
      <c r="BR20" s="91"/>
      <c r="BS20" s="303" t="s">
        <v>35</v>
      </c>
      <c r="BT20" s="306" t="s">
        <v>5</v>
      </c>
      <c r="BU20" s="82" t="s">
        <v>20</v>
      </c>
      <c r="BV20" s="210">
        <v>3422</v>
      </c>
      <c r="BW20" s="211">
        <v>0</v>
      </c>
      <c r="BX20" s="211">
        <v>100</v>
      </c>
      <c r="BY20" s="212">
        <v>0</v>
      </c>
      <c r="BZ20" s="213">
        <v>0</v>
      </c>
      <c r="CA20" s="214">
        <v>3522</v>
      </c>
      <c r="CB20" s="211">
        <v>678</v>
      </c>
      <c r="CC20" s="211">
        <v>1258</v>
      </c>
      <c r="CD20" s="213">
        <v>0</v>
      </c>
      <c r="CE20" s="90">
        <f>SUM(CB20:CD20)</f>
        <v>1936</v>
      </c>
      <c r="CF20" s="91"/>
      <c r="CG20" s="303" t="s">
        <v>35</v>
      </c>
      <c r="CH20" s="306" t="s">
        <v>5</v>
      </c>
      <c r="CI20" s="82" t="s">
        <v>20</v>
      </c>
      <c r="CJ20" s="219">
        <v>1098</v>
      </c>
      <c r="CK20" s="220">
        <v>180</v>
      </c>
      <c r="CL20" s="220">
        <v>99</v>
      </c>
      <c r="CM20" s="225">
        <v>0</v>
      </c>
      <c r="CN20" s="220">
        <v>196</v>
      </c>
      <c r="CO20" s="221">
        <v>475</v>
      </c>
      <c r="CP20" s="220">
        <v>265</v>
      </c>
      <c r="CQ20" s="220">
        <v>2541</v>
      </c>
      <c r="CR20" s="220">
        <v>621</v>
      </c>
      <c r="CS20" s="245">
        <v>3427</v>
      </c>
      <c r="CT20" s="91"/>
      <c r="CU20" s="303" t="s">
        <v>35</v>
      </c>
      <c r="CV20" s="306" t="s">
        <v>5</v>
      </c>
      <c r="CW20" s="82" t="s">
        <v>20</v>
      </c>
      <c r="CX20" s="285">
        <v>3422</v>
      </c>
      <c r="CY20" s="253">
        <v>0</v>
      </c>
      <c r="CZ20" s="253">
        <v>100</v>
      </c>
      <c r="DA20" s="286">
        <v>0</v>
      </c>
      <c r="DB20" s="287">
        <v>0</v>
      </c>
      <c r="DC20" s="251">
        <f t="shared" ref="DC20:DC21" si="115">SUM(CX20:DB20)</f>
        <v>3522</v>
      </c>
      <c r="DD20" s="252">
        <v>678</v>
      </c>
      <c r="DE20" s="253">
        <v>1258</v>
      </c>
      <c r="DF20" s="254">
        <v>0</v>
      </c>
      <c r="DG20" s="90">
        <f>SUM(DD20:DF20)</f>
        <v>1936</v>
      </c>
      <c r="DH20" s="91"/>
      <c r="DI20" s="303" t="s">
        <v>35</v>
      </c>
      <c r="DJ20" s="306" t="s">
        <v>5</v>
      </c>
      <c r="DK20" s="82" t="s">
        <v>20</v>
      </c>
      <c r="DL20" s="285">
        <v>5422</v>
      </c>
      <c r="DM20" s="253">
        <v>255</v>
      </c>
      <c r="DN20" s="253">
        <v>103</v>
      </c>
      <c r="DO20" s="286">
        <v>0</v>
      </c>
      <c r="DP20" s="287">
        <v>250</v>
      </c>
      <c r="DQ20" s="251">
        <f t="shared" ref="DQ20:DQ21" si="116">SUM(DL20:DP20)</f>
        <v>6030</v>
      </c>
      <c r="DR20" s="252">
        <v>50</v>
      </c>
      <c r="DS20" s="253">
        <v>185</v>
      </c>
      <c r="DT20" s="254">
        <v>88</v>
      </c>
      <c r="DU20" s="288">
        <f t="shared" ref="DU20:DU21" si="117">SUM(DR20:DT20)</f>
        <v>323</v>
      </c>
      <c r="DV20" s="91"/>
      <c r="DW20" s="303" t="s">
        <v>35</v>
      </c>
      <c r="DX20" s="306" t="s">
        <v>5</v>
      </c>
      <c r="DY20" s="82" t="s">
        <v>20</v>
      </c>
      <c r="DZ20" s="83">
        <v>1523</v>
      </c>
      <c r="EA20" s="84">
        <v>0</v>
      </c>
      <c r="EB20" s="84">
        <v>99</v>
      </c>
      <c r="EC20" s="85">
        <v>0</v>
      </c>
      <c r="ED20" s="86">
        <v>190</v>
      </c>
      <c r="EE20" s="87">
        <f>SUM(DZ20:ED20)</f>
        <v>1812</v>
      </c>
      <c r="EF20" s="88">
        <v>686</v>
      </c>
      <c r="EG20" s="84">
        <v>656</v>
      </c>
      <c r="EH20" s="89">
        <v>510</v>
      </c>
      <c r="EI20" s="90">
        <f>SUM(EF20:EH20)</f>
        <v>1852</v>
      </c>
      <c r="EJ20" s="91"/>
      <c r="EK20" s="303" t="s">
        <v>35</v>
      </c>
      <c r="EL20" s="306" t="s">
        <v>5</v>
      </c>
      <c r="EM20" s="82" t="s">
        <v>20</v>
      </c>
      <c r="EN20" s="83">
        <v>0</v>
      </c>
      <c r="EO20" s="84">
        <v>0</v>
      </c>
      <c r="EP20" s="84">
        <v>0</v>
      </c>
      <c r="EQ20" s="85">
        <v>0</v>
      </c>
      <c r="ER20" s="86">
        <v>0</v>
      </c>
      <c r="ES20" s="87">
        <f>SUM(EN20:ER20)</f>
        <v>0</v>
      </c>
      <c r="ET20" s="88">
        <v>0</v>
      </c>
      <c r="EU20" s="84">
        <v>0</v>
      </c>
      <c r="EV20" s="89">
        <v>0</v>
      </c>
      <c r="EW20" s="90">
        <f>SUM(ET20:EV20)</f>
        <v>0</v>
      </c>
      <c r="EX20" s="91"/>
      <c r="EY20" s="303" t="s">
        <v>35</v>
      </c>
      <c r="EZ20" s="306" t="s">
        <v>5</v>
      </c>
      <c r="FA20" s="82" t="s">
        <v>20</v>
      </c>
      <c r="FB20" s="83">
        <v>0</v>
      </c>
      <c r="FC20" s="84">
        <v>0</v>
      </c>
      <c r="FD20" s="84">
        <v>0</v>
      </c>
      <c r="FE20" s="85">
        <v>0</v>
      </c>
      <c r="FF20" s="86">
        <v>0</v>
      </c>
      <c r="FG20" s="87">
        <f>SUM(FB20:FF20)</f>
        <v>0</v>
      </c>
      <c r="FH20" s="88">
        <v>0</v>
      </c>
      <c r="FI20" s="84">
        <v>0</v>
      </c>
      <c r="FJ20" s="89">
        <v>0</v>
      </c>
      <c r="FK20" s="90">
        <f>SUM(FH20:FJ20)</f>
        <v>0</v>
      </c>
      <c r="FL20" s="147"/>
      <c r="FM20" s="303" t="str">
        <f>EY20</f>
        <v>السليمانية</v>
      </c>
      <c r="FN20" s="306" t="s">
        <v>5</v>
      </c>
      <c r="FO20" s="82" t="s">
        <v>20</v>
      </c>
      <c r="FP20" s="83">
        <f t="shared" ref="FP20:FP21" si="118">SUM(D20+R20+AF20+AT20+BH20+BV20+CJ20+CX20+DL20+DZ20+EN20+FB20)</f>
        <v>26038</v>
      </c>
      <c r="FQ20" s="83">
        <f t="shared" ref="FQ20:FQ21" si="119">SUM(E20+S20+AG20+AU20+BI20+BW20+CK20+CY20+DM20+EA20+EO20+FC20)</f>
        <v>1814</v>
      </c>
      <c r="FR20" s="83">
        <f t="shared" ref="FR20:FR21" si="120">SUM(F20+T20+AH20+AV20+BJ20+BX20+CL20+CZ20+DN20+EB20+EP20+FD20)</f>
        <v>1383</v>
      </c>
      <c r="FS20" s="149">
        <f t="shared" ref="FS20:FS21" si="121">SUM(G20+U20+AI20+AW20+BK20+BY20+CM20+DA20+DO20+EC20+EQ20+FE20)</f>
        <v>0</v>
      </c>
      <c r="FT20" s="83">
        <f t="shared" ref="FT20:FT21" si="122">SUM(H20+V20+AJ20+AX20+BL20+BZ20+CN20+DB20+DP20+ED20+ER20+FF20)</f>
        <v>1191</v>
      </c>
      <c r="FU20" s="93">
        <f>SUM(FP20:FT20)</f>
        <v>30426</v>
      </c>
      <c r="FV20" s="88">
        <f t="shared" ref="FV20:FV21" si="123">SUM(J20+X20+AL20+AZ20+BN20+CB20+CP20+DD20+DR20+EF20+ET20+FH20)</f>
        <v>4021</v>
      </c>
      <c r="FW20" s="88">
        <f t="shared" ref="FW20:FW21" si="124">SUM(K20+Y20+AM20+BA20+BO20+CC20+CQ20+DE20+DS20+EG20+EU20+FI20)</f>
        <v>11063</v>
      </c>
      <c r="FX20" s="88">
        <f t="shared" ref="FX20:FX21" si="125">SUM(L20+Z20+AN20+BB20+BP20+CD20+CR20+DF20+DT20+EH20+EV20+FJ20)</f>
        <v>3238</v>
      </c>
      <c r="FY20" s="94">
        <f>SUM(FV20:FX20)</f>
        <v>18322</v>
      </c>
      <c r="FZ20" s="95"/>
      <c r="GA20" s="91"/>
    </row>
    <row r="21" spans="1:183" s="96" customFormat="1" ht="20.100000000000001" customHeight="1" thickBot="1" x14ac:dyDescent="0.3">
      <c r="A21" s="304"/>
      <c r="B21" s="307"/>
      <c r="C21" s="97" t="s">
        <v>21</v>
      </c>
      <c r="D21" s="219">
        <v>993</v>
      </c>
      <c r="E21" s="220">
        <v>308</v>
      </c>
      <c r="F21" s="220">
        <v>148</v>
      </c>
      <c r="G21" s="220">
        <v>25</v>
      </c>
      <c r="H21" s="220">
        <v>106</v>
      </c>
      <c r="I21" s="221">
        <v>1580</v>
      </c>
      <c r="J21" s="220">
        <v>532</v>
      </c>
      <c r="K21" s="220">
        <v>924</v>
      </c>
      <c r="L21" s="220">
        <v>445</v>
      </c>
      <c r="M21" s="104">
        <f>SUM(J21:L21)</f>
        <v>1901</v>
      </c>
      <c r="N21" s="91"/>
      <c r="O21" s="304"/>
      <c r="P21" s="307"/>
      <c r="Q21" s="97" t="s">
        <v>21</v>
      </c>
      <c r="R21" s="219">
        <v>2252</v>
      </c>
      <c r="S21" s="220">
        <v>264</v>
      </c>
      <c r="T21" s="220">
        <v>150</v>
      </c>
      <c r="U21" s="220">
        <v>20</v>
      </c>
      <c r="V21" s="220">
        <v>134</v>
      </c>
      <c r="W21" s="221">
        <v>548</v>
      </c>
      <c r="X21" s="220">
        <v>489</v>
      </c>
      <c r="Y21" s="220">
        <v>0</v>
      </c>
      <c r="Z21" s="220">
        <v>238</v>
      </c>
      <c r="AA21" s="104">
        <f>SUM(X21:Z21)</f>
        <v>727</v>
      </c>
      <c r="AB21" s="91"/>
      <c r="AC21" s="304"/>
      <c r="AD21" s="307"/>
      <c r="AE21" s="97" t="s">
        <v>21</v>
      </c>
      <c r="AF21" s="202">
        <v>3175</v>
      </c>
      <c r="AG21" s="203">
        <v>0</v>
      </c>
      <c r="AH21" s="203">
        <v>175</v>
      </c>
      <c r="AI21" s="203">
        <v>20</v>
      </c>
      <c r="AJ21" s="204">
        <v>0</v>
      </c>
      <c r="AK21" s="205">
        <v>3370</v>
      </c>
      <c r="AL21" s="203">
        <v>0</v>
      </c>
      <c r="AM21" s="203">
        <v>6266</v>
      </c>
      <c r="AN21" s="204">
        <v>0</v>
      </c>
      <c r="AO21" s="104">
        <f>SUM(AL21:AN21)</f>
        <v>6266</v>
      </c>
      <c r="AP21" s="91"/>
      <c r="AQ21" s="304"/>
      <c r="AR21" s="307"/>
      <c r="AS21" s="97" t="s">
        <v>21</v>
      </c>
      <c r="AT21" s="219">
        <v>1125</v>
      </c>
      <c r="AU21" s="220">
        <v>0</v>
      </c>
      <c r="AV21" s="220">
        <v>169</v>
      </c>
      <c r="AW21" s="203">
        <v>0</v>
      </c>
      <c r="AX21" s="204">
        <v>0</v>
      </c>
      <c r="AY21" s="205">
        <v>1294</v>
      </c>
      <c r="AZ21" s="220">
        <v>158</v>
      </c>
      <c r="BA21" s="220">
        <v>0</v>
      </c>
      <c r="BB21" s="220">
        <v>450</v>
      </c>
      <c r="BC21" s="208">
        <v>608</v>
      </c>
      <c r="BD21" s="91"/>
      <c r="BE21" s="304"/>
      <c r="BF21" s="307"/>
      <c r="BG21" s="97" t="s">
        <v>21</v>
      </c>
      <c r="BH21" s="202">
        <v>2697</v>
      </c>
      <c r="BI21" s="203">
        <v>392</v>
      </c>
      <c r="BJ21" s="203">
        <v>331</v>
      </c>
      <c r="BK21" s="203">
        <v>0</v>
      </c>
      <c r="BL21" s="204">
        <v>55</v>
      </c>
      <c r="BM21" s="205">
        <v>3475</v>
      </c>
      <c r="BN21" s="203">
        <v>60</v>
      </c>
      <c r="BO21" s="203">
        <v>2233</v>
      </c>
      <c r="BP21" s="204">
        <v>0</v>
      </c>
      <c r="BQ21" s="104">
        <f>SUM(BN21:BP21)</f>
        <v>2293</v>
      </c>
      <c r="BR21" s="91"/>
      <c r="BS21" s="304"/>
      <c r="BT21" s="307"/>
      <c r="BU21" s="97" t="s">
        <v>21</v>
      </c>
      <c r="BV21" s="202">
        <v>3175</v>
      </c>
      <c r="BW21" s="203">
        <v>0</v>
      </c>
      <c r="BX21" s="203">
        <v>175</v>
      </c>
      <c r="BY21" s="203">
        <v>20</v>
      </c>
      <c r="BZ21" s="204">
        <v>0</v>
      </c>
      <c r="CA21" s="205">
        <v>3370</v>
      </c>
      <c r="CB21" s="203">
        <v>505</v>
      </c>
      <c r="CC21" s="203">
        <v>4598</v>
      </c>
      <c r="CD21" s="204">
        <v>0</v>
      </c>
      <c r="CE21" s="104">
        <f>SUM(CB21:CD21)</f>
        <v>5103</v>
      </c>
      <c r="CF21" s="91"/>
      <c r="CG21" s="304"/>
      <c r="CH21" s="307"/>
      <c r="CI21" s="97" t="s">
        <v>21</v>
      </c>
      <c r="CJ21" s="219">
        <v>1002</v>
      </c>
      <c r="CK21" s="220">
        <v>125</v>
      </c>
      <c r="CL21" s="220">
        <v>263</v>
      </c>
      <c r="CM21" s="220">
        <v>34</v>
      </c>
      <c r="CN21" s="220">
        <v>225</v>
      </c>
      <c r="CO21" s="221">
        <v>647</v>
      </c>
      <c r="CP21" s="220">
        <v>245</v>
      </c>
      <c r="CQ21" s="220">
        <v>4064</v>
      </c>
      <c r="CR21" s="220">
        <v>420</v>
      </c>
      <c r="CS21" s="245">
        <v>4729</v>
      </c>
      <c r="CT21" s="91"/>
      <c r="CU21" s="304"/>
      <c r="CV21" s="307"/>
      <c r="CW21" s="97" t="s">
        <v>21</v>
      </c>
      <c r="CX21" s="274">
        <v>3175</v>
      </c>
      <c r="CY21" s="260">
        <v>0</v>
      </c>
      <c r="CZ21" s="260">
        <v>175</v>
      </c>
      <c r="DA21" s="260">
        <v>20</v>
      </c>
      <c r="DB21" s="275">
        <v>0</v>
      </c>
      <c r="DC21" s="258">
        <f t="shared" si="115"/>
        <v>3370</v>
      </c>
      <c r="DD21" s="259">
        <v>505</v>
      </c>
      <c r="DE21" s="260">
        <v>4598</v>
      </c>
      <c r="DF21" s="261">
        <v>0</v>
      </c>
      <c r="DG21" s="104">
        <f>SUM(DD21:DF21)</f>
        <v>5103</v>
      </c>
      <c r="DH21" s="91"/>
      <c r="DI21" s="304"/>
      <c r="DJ21" s="307"/>
      <c r="DK21" s="97" t="s">
        <v>21</v>
      </c>
      <c r="DL21" s="274">
        <v>3441</v>
      </c>
      <c r="DM21" s="260">
        <v>210</v>
      </c>
      <c r="DN21" s="260">
        <v>100</v>
      </c>
      <c r="DO21" s="260">
        <v>31</v>
      </c>
      <c r="DP21" s="275">
        <v>258</v>
      </c>
      <c r="DQ21" s="258">
        <f t="shared" si="116"/>
        <v>4040</v>
      </c>
      <c r="DR21" s="259">
        <v>57</v>
      </c>
      <c r="DS21" s="260">
        <v>145</v>
      </c>
      <c r="DT21" s="261">
        <v>96</v>
      </c>
      <c r="DU21" s="289">
        <f t="shared" si="117"/>
        <v>298</v>
      </c>
      <c r="DV21" s="91"/>
      <c r="DW21" s="304"/>
      <c r="DX21" s="307"/>
      <c r="DY21" s="97" t="s">
        <v>21</v>
      </c>
      <c r="DZ21" s="98">
        <v>1993</v>
      </c>
      <c r="EA21" s="99">
        <v>0</v>
      </c>
      <c r="EB21" s="99">
        <v>141</v>
      </c>
      <c r="EC21" s="99">
        <v>25</v>
      </c>
      <c r="ED21" s="100">
        <v>106</v>
      </c>
      <c r="EE21" s="101">
        <f>SUM(DZ21:ED21)</f>
        <v>2265</v>
      </c>
      <c r="EF21" s="102">
        <v>532</v>
      </c>
      <c r="EG21" s="99">
        <v>924</v>
      </c>
      <c r="EH21" s="103">
        <v>445</v>
      </c>
      <c r="EI21" s="104">
        <f>SUM(EF21:EH21)</f>
        <v>1901</v>
      </c>
      <c r="EJ21" s="91"/>
      <c r="EK21" s="304"/>
      <c r="EL21" s="307"/>
      <c r="EM21" s="97" t="s">
        <v>21</v>
      </c>
      <c r="EN21" s="98">
        <v>0</v>
      </c>
      <c r="EO21" s="99">
        <v>0</v>
      </c>
      <c r="EP21" s="99">
        <v>0</v>
      </c>
      <c r="EQ21" s="99">
        <v>0</v>
      </c>
      <c r="ER21" s="100">
        <v>0</v>
      </c>
      <c r="ES21" s="101">
        <f>SUM(EN21:ER21)</f>
        <v>0</v>
      </c>
      <c r="ET21" s="102">
        <v>0</v>
      </c>
      <c r="EU21" s="99">
        <v>0</v>
      </c>
      <c r="EV21" s="103">
        <v>0</v>
      </c>
      <c r="EW21" s="104">
        <f>SUM(ET21:EV21)</f>
        <v>0</v>
      </c>
      <c r="EX21" s="91"/>
      <c r="EY21" s="304"/>
      <c r="EZ21" s="307"/>
      <c r="FA21" s="97" t="s">
        <v>21</v>
      </c>
      <c r="FB21" s="98">
        <v>0</v>
      </c>
      <c r="FC21" s="99">
        <v>0</v>
      </c>
      <c r="FD21" s="99">
        <v>0</v>
      </c>
      <c r="FE21" s="99">
        <v>0</v>
      </c>
      <c r="FF21" s="100">
        <v>0</v>
      </c>
      <c r="FG21" s="101">
        <f>SUM(FB21:FF21)</f>
        <v>0</v>
      </c>
      <c r="FH21" s="102">
        <v>0</v>
      </c>
      <c r="FI21" s="99">
        <v>0</v>
      </c>
      <c r="FJ21" s="103">
        <v>0</v>
      </c>
      <c r="FK21" s="104">
        <f>SUM(FH21:FJ21)</f>
        <v>0</v>
      </c>
      <c r="FL21" s="147"/>
      <c r="FM21" s="304"/>
      <c r="FN21" s="307"/>
      <c r="FO21" s="97" t="s">
        <v>21</v>
      </c>
      <c r="FP21" s="83">
        <f t="shared" si="118"/>
        <v>23028</v>
      </c>
      <c r="FQ21" s="83">
        <f t="shared" si="119"/>
        <v>1299</v>
      </c>
      <c r="FR21" s="83">
        <f t="shared" si="120"/>
        <v>1827</v>
      </c>
      <c r="FS21" s="83">
        <f t="shared" si="121"/>
        <v>195</v>
      </c>
      <c r="FT21" s="83">
        <f t="shared" si="122"/>
        <v>884</v>
      </c>
      <c r="FU21" s="101">
        <f>SUM(FP21:FT21)</f>
        <v>27233</v>
      </c>
      <c r="FV21" s="88">
        <f t="shared" si="123"/>
        <v>3083</v>
      </c>
      <c r="FW21" s="88">
        <f t="shared" si="124"/>
        <v>23752</v>
      </c>
      <c r="FX21" s="88">
        <f t="shared" si="125"/>
        <v>2094</v>
      </c>
      <c r="FY21" s="106">
        <f>SUM(FV21:FX21)</f>
        <v>28929</v>
      </c>
      <c r="FZ21" s="95"/>
      <c r="GA21" s="91"/>
    </row>
    <row r="22" spans="1:183" s="96" customFormat="1" ht="20.100000000000001" customHeight="1" thickBot="1" x14ac:dyDescent="0.3">
      <c r="A22" s="304"/>
      <c r="B22" s="308" t="s">
        <v>22</v>
      </c>
      <c r="C22" s="311"/>
      <c r="D22" s="222">
        <v>2016</v>
      </c>
      <c r="E22" s="223">
        <v>701</v>
      </c>
      <c r="F22" s="223">
        <v>317</v>
      </c>
      <c r="G22" s="223">
        <v>25</v>
      </c>
      <c r="H22" s="223">
        <v>196</v>
      </c>
      <c r="I22" s="224">
        <v>3255</v>
      </c>
      <c r="J22" s="223">
        <v>1218</v>
      </c>
      <c r="K22" s="223">
        <v>1580</v>
      </c>
      <c r="L22" s="223">
        <v>955</v>
      </c>
      <c r="M22" s="112">
        <f t="shared" ref="M22" si="126">SUM(M20:M21)</f>
        <v>3753</v>
      </c>
      <c r="N22" s="91"/>
      <c r="O22" s="304"/>
      <c r="P22" s="308" t="s">
        <v>22</v>
      </c>
      <c r="Q22" s="311"/>
      <c r="R22" s="222">
        <v>4772</v>
      </c>
      <c r="S22" s="223">
        <v>778</v>
      </c>
      <c r="T22" s="223">
        <v>282</v>
      </c>
      <c r="U22" s="223">
        <v>20</v>
      </c>
      <c r="V22" s="223">
        <v>550</v>
      </c>
      <c r="W22" s="224">
        <v>1610</v>
      </c>
      <c r="X22" s="223">
        <v>1090</v>
      </c>
      <c r="Y22" s="223">
        <v>0</v>
      </c>
      <c r="Z22" s="223">
        <v>1111</v>
      </c>
      <c r="AA22" s="112">
        <f t="shared" ref="AA22" si="127">SUM(AA20:AA21)</f>
        <v>2201</v>
      </c>
      <c r="AB22" s="91"/>
      <c r="AC22" s="304"/>
      <c r="AD22" s="308" t="s">
        <v>22</v>
      </c>
      <c r="AE22" s="311"/>
      <c r="AF22" s="206">
        <v>6670</v>
      </c>
      <c r="AG22" s="207">
        <v>0</v>
      </c>
      <c r="AH22" s="207">
        <v>348</v>
      </c>
      <c r="AI22" s="207">
        <v>20</v>
      </c>
      <c r="AJ22" s="208">
        <v>0</v>
      </c>
      <c r="AK22" s="209">
        <v>7038</v>
      </c>
      <c r="AL22" s="207">
        <v>0</v>
      </c>
      <c r="AM22" s="207">
        <v>8704</v>
      </c>
      <c r="AN22" s="208">
        <v>0</v>
      </c>
      <c r="AO22" s="112">
        <f t="shared" ref="AO22" si="128">SUM(AO20:AO21)</f>
        <v>8704</v>
      </c>
      <c r="AP22" s="91"/>
      <c r="AQ22" s="304"/>
      <c r="AR22" s="308" t="s">
        <v>22</v>
      </c>
      <c r="AS22" s="311"/>
      <c r="AT22" s="206">
        <v>2383</v>
      </c>
      <c r="AU22" s="207">
        <v>0</v>
      </c>
      <c r="AV22" s="208">
        <v>327</v>
      </c>
      <c r="AW22" s="207">
        <v>0</v>
      </c>
      <c r="AX22" s="208">
        <v>0</v>
      </c>
      <c r="AY22" s="209">
        <v>2710</v>
      </c>
      <c r="AZ22" s="207">
        <v>480</v>
      </c>
      <c r="BA22" s="207">
        <v>0</v>
      </c>
      <c r="BB22" s="208">
        <v>1086</v>
      </c>
      <c r="BC22" s="243">
        <v>1566</v>
      </c>
      <c r="BD22" s="91"/>
      <c r="BE22" s="304"/>
      <c r="BF22" s="308" t="s">
        <v>22</v>
      </c>
      <c r="BG22" s="311"/>
      <c r="BH22" s="206">
        <v>5552</v>
      </c>
      <c r="BI22" s="207">
        <v>864</v>
      </c>
      <c r="BJ22" s="207">
        <v>581</v>
      </c>
      <c r="BK22" s="207">
        <v>0</v>
      </c>
      <c r="BL22" s="208">
        <v>104</v>
      </c>
      <c r="BM22" s="209">
        <v>7101</v>
      </c>
      <c r="BN22" s="207">
        <v>115</v>
      </c>
      <c r="BO22" s="207">
        <v>4304</v>
      </c>
      <c r="BP22" s="208">
        <v>0</v>
      </c>
      <c r="BQ22" s="112">
        <f t="shared" ref="BQ22" si="129">SUM(BQ20:BQ21)</f>
        <v>4419</v>
      </c>
      <c r="BR22" s="91"/>
      <c r="BS22" s="304"/>
      <c r="BT22" s="308" t="s">
        <v>22</v>
      </c>
      <c r="BU22" s="311"/>
      <c r="BV22" s="206">
        <v>6597</v>
      </c>
      <c r="BW22" s="207">
        <v>0</v>
      </c>
      <c r="BX22" s="207">
        <v>275</v>
      </c>
      <c r="BY22" s="207">
        <v>20</v>
      </c>
      <c r="BZ22" s="208">
        <v>0</v>
      </c>
      <c r="CA22" s="209">
        <v>6892</v>
      </c>
      <c r="CB22" s="207">
        <v>1183</v>
      </c>
      <c r="CC22" s="207">
        <v>5856</v>
      </c>
      <c r="CD22" s="208">
        <v>0</v>
      </c>
      <c r="CE22" s="112">
        <f t="shared" ref="CE22" si="130">SUM(CE20:CE21)</f>
        <v>7039</v>
      </c>
      <c r="CF22" s="91"/>
      <c r="CG22" s="304"/>
      <c r="CH22" s="308" t="s">
        <v>22</v>
      </c>
      <c r="CI22" s="311"/>
      <c r="CJ22" s="222">
        <v>0</v>
      </c>
      <c r="CK22" s="223">
        <v>305</v>
      </c>
      <c r="CL22" s="223">
        <v>362</v>
      </c>
      <c r="CM22" s="223">
        <v>34</v>
      </c>
      <c r="CN22" s="223">
        <v>421</v>
      </c>
      <c r="CO22" s="224">
        <v>1122</v>
      </c>
      <c r="CP22" s="223">
        <v>510</v>
      </c>
      <c r="CQ22" s="223">
        <v>6605</v>
      </c>
      <c r="CR22" s="223">
        <v>1041</v>
      </c>
      <c r="CS22" s="246">
        <v>8156</v>
      </c>
      <c r="CT22" s="91"/>
      <c r="CU22" s="304"/>
      <c r="CV22" s="308" t="s">
        <v>22</v>
      </c>
      <c r="CW22" s="311"/>
      <c r="CX22" s="262">
        <f t="shared" ref="CX22:DF22" si="131">SUM(CX20:CX21)</f>
        <v>6597</v>
      </c>
      <c r="CY22" s="263">
        <f t="shared" si="131"/>
        <v>0</v>
      </c>
      <c r="CZ22" s="263">
        <f t="shared" si="131"/>
        <v>275</v>
      </c>
      <c r="DA22" s="263">
        <f t="shared" si="131"/>
        <v>20</v>
      </c>
      <c r="DB22" s="264">
        <f t="shared" si="131"/>
        <v>0</v>
      </c>
      <c r="DC22" s="265">
        <f t="shared" si="131"/>
        <v>6892</v>
      </c>
      <c r="DD22" s="266">
        <f t="shared" si="131"/>
        <v>1183</v>
      </c>
      <c r="DE22" s="263">
        <f t="shared" si="131"/>
        <v>5856</v>
      </c>
      <c r="DF22" s="264">
        <f t="shared" si="131"/>
        <v>0</v>
      </c>
      <c r="DG22" s="112">
        <f t="shared" ref="DG22" si="132">SUM(DG20:DG21)</f>
        <v>7039</v>
      </c>
      <c r="DH22" s="91"/>
      <c r="DI22" s="304"/>
      <c r="DJ22" s="308" t="s">
        <v>22</v>
      </c>
      <c r="DK22" s="311"/>
      <c r="DL22" s="262">
        <f t="shared" ref="DL22:DU22" si="133">SUM(DL20:DL21)</f>
        <v>8863</v>
      </c>
      <c r="DM22" s="263">
        <f t="shared" si="133"/>
        <v>465</v>
      </c>
      <c r="DN22" s="263">
        <f t="shared" si="133"/>
        <v>203</v>
      </c>
      <c r="DO22" s="263">
        <f t="shared" si="133"/>
        <v>31</v>
      </c>
      <c r="DP22" s="264">
        <f t="shared" si="133"/>
        <v>508</v>
      </c>
      <c r="DQ22" s="265">
        <f t="shared" si="133"/>
        <v>10070</v>
      </c>
      <c r="DR22" s="266">
        <f t="shared" si="133"/>
        <v>107</v>
      </c>
      <c r="DS22" s="263">
        <f t="shared" si="133"/>
        <v>330</v>
      </c>
      <c r="DT22" s="264">
        <f t="shared" si="133"/>
        <v>184</v>
      </c>
      <c r="DU22" s="290">
        <f t="shared" si="133"/>
        <v>621</v>
      </c>
      <c r="DV22" s="91"/>
      <c r="DW22" s="304"/>
      <c r="DX22" s="308" t="s">
        <v>22</v>
      </c>
      <c r="DY22" s="311"/>
      <c r="DZ22" s="107">
        <f t="shared" ref="DZ22:EI22" si="134">SUM(DZ20:DZ21)</f>
        <v>3516</v>
      </c>
      <c r="EA22" s="108">
        <f t="shared" si="134"/>
        <v>0</v>
      </c>
      <c r="EB22" s="108">
        <f t="shared" si="134"/>
        <v>240</v>
      </c>
      <c r="EC22" s="108">
        <f t="shared" si="134"/>
        <v>25</v>
      </c>
      <c r="ED22" s="109">
        <f t="shared" si="134"/>
        <v>296</v>
      </c>
      <c r="EE22" s="110">
        <f t="shared" si="134"/>
        <v>4077</v>
      </c>
      <c r="EF22" s="111">
        <f t="shared" si="134"/>
        <v>1218</v>
      </c>
      <c r="EG22" s="108">
        <f t="shared" si="134"/>
        <v>1580</v>
      </c>
      <c r="EH22" s="109">
        <f t="shared" si="134"/>
        <v>955</v>
      </c>
      <c r="EI22" s="112">
        <f t="shared" si="134"/>
        <v>3753</v>
      </c>
      <c r="EJ22" s="91"/>
      <c r="EK22" s="304"/>
      <c r="EL22" s="308" t="s">
        <v>22</v>
      </c>
      <c r="EM22" s="311"/>
      <c r="EN22" s="107">
        <f t="shared" ref="EN22:EW22" si="135">SUM(EN20:EN21)</f>
        <v>0</v>
      </c>
      <c r="EO22" s="108">
        <f t="shared" si="135"/>
        <v>0</v>
      </c>
      <c r="EP22" s="108">
        <f t="shared" si="135"/>
        <v>0</v>
      </c>
      <c r="EQ22" s="108">
        <f t="shared" si="135"/>
        <v>0</v>
      </c>
      <c r="ER22" s="109">
        <f t="shared" si="135"/>
        <v>0</v>
      </c>
      <c r="ES22" s="110">
        <f t="shared" si="135"/>
        <v>0</v>
      </c>
      <c r="ET22" s="111">
        <f t="shared" si="135"/>
        <v>0</v>
      </c>
      <c r="EU22" s="108">
        <f t="shared" si="135"/>
        <v>0</v>
      </c>
      <c r="EV22" s="109">
        <f t="shared" si="135"/>
        <v>0</v>
      </c>
      <c r="EW22" s="112">
        <f t="shared" si="135"/>
        <v>0</v>
      </c>
      <c r="EX22" s="91"/>
      <c r="EY22" s="304"/>
      <c r="EZ22" s="308" t="s">
        <v>22</v>
      </c>
      <c r="FA22" s="311"/>
      <c r="FB22" s="107">
        <f t="shared" ref="FB22:FK22" si="136">SUM(FB20:FB21)</f>
        <v>0</v>
      </c>
      <c r="FC22" s="108">
        <f t="shared" si="136"/>
        <v>0</v>
      </c>
      <c r="FD22" s="108">
        <f t="shared" si="136"/>
        <v>0</v>
      </c>
      <c r="FE22" s="108">
        <f t="shared" si="136"/>
        <v>0</v>
      </c>
      <c r="FF22" s="109">
        <f t="shared" si="136"/>
        <v>0</v>
      </c>
      <c r="FG22" s="110">
        <f t="shared" si="136"/>
        <v>0</v>
      </c>
      <c r="FH22" s="111">
        <f t="shared" si="136"/>
        <v>0</v>
      </c>
      <c r="FI22" s="108">
        <f t="shared" si="136"/>
        <v>0</v>
      </c>
      <c r="FJ22" s="109">
        <f t="shared" si="136"/>
        <v>0</v>
      </c>
      <c r="FK22" s="112">
        <f t="shared" si="136"/>
        <v>0</v>
      </c>
      <c r="FL22" s="147"/>
      <c r="FM22" s="304"/>
      <c r="FN22" s="308" t="s">
        <v>22</v>
      </c>
      <c r="FO22" s="311"/>
      <c r="FP22" s="107">
        <f t="shared" ref="FP22:FY22" si="137">SUM(FP20:FP21)</f>
        <v>49066</v>
      </c>
      <c r="FQ22" s="108">
        <f t="shared" si="137"/>
        <v>3113</v>
      </c>
      <c r="FR22" s="108">
        <f t="shared" si="137"/>
        <v>3210</v>
      </c>
      <c r="FS22" s="108">
        <f t="shared" si="137"/>
        <v>195</v>
      </c>
      <c r="FT22" s="109">
        <f t="shared" si="137"/>
        <v>2075</v>
      </c>
      <c r="FU22" s="113">
        <f t="shared" si="137"/>
        <v>57659</v>
      </c>
      <c r="FV22" s="111">
        <f t="shared" si="137"/>
        <v>7104</v>
      </c>
      <c r="FW22" s="108">
        <f t="shared" si="137"/>
        <v>34815</v>
      </c>
      <c r="FX22" s="109">
        <f t="shared" si="137"/>
        <v>5332</v>
      </c>
      <c r="FY22" s="114">
        <f t="shared" si="137"/>
        <v>47251</v>
      </c>
      <c r="FZ22" s="95"/>
      <c r="GA22" s="91"/>
    </row>
    <row r="23" spans="1:183" s="96" customFormat="1" ht="20.100000000000001" customHeight="1" thickBot="1" x14ac:dyDescent="0.3">
      <c r="A23" s="304"/>
      <c r="B23" s="300" t="s">
        <v>23</v>
      </c>
      <c r="C23" s="82" t="s">
        <v>20</v>
      </c>
      <c r="D23" s="219">
        <v>894</v>
      </c>
      <c r="E23" s="220">
        <v>299</v>
      </c>
      <c r="F23" s="220">
        <v>0</v>
      </c>
      <c r="G23" s="225">
        <v>0</v>
      </c>
      <c r="H23" s="220">
        <v>150</v>
      </c>
      <c r="I23" s="221">
        <v>1343</v>
      </c>
      <c r="J23" s="220">
        <v>255</v>
      </c>
      <c r="K23" s="220">
        <v>92</v>
      </c>
      <c r="L23" s="220">
        <v>10</v>
      </c>
      <c r="M23" s="121">
        <f>SUM(J23:L23)</f>
        <v>357</v>
      </c>
      <c r="N23" s="91"/>
      <c r="O23" s="304"/>
      <c r="P23" s="300" t="s">
        <v>23</v>
      </c>
      <c r="Q23" s="82" t="s">
        <v>20</v>
      </c>
      <c r="R23" s="219">
        <v>852</v>
      </c>
      <c r="S23" s="220">
        <v>411</v>
      </c>
      <c r="T23" s="220">
        <v>0</v>
      </c>
      <c r="U23" s="225">
        <v>0</v>
      </c>
      <c r="V23" s="220">
        <v>92</v>
      </c>
      <c r="W23" s="221">
        <v>503</v>
      </c>
      <c r="X23" s="220">
        <v>247</v>
      </c>
      <c r="Y23" s="220">
        <v>0</v>
      </c>
      <c r="Z23" s="220">
        <v>54</v>
      </c>
      <c r="AA23" s="121">
        <f>SUM(X23:Z23)</f>
        <v>301</v>
      </c>
      <c r="AB23" s="91"/>
      <c r="AC23" s="304"/>
      <c r="AD23" s="300" t="s">
        <v>23</v>
      </c>
      <c r="AE23" s="82" t="s">
        <v>20</v>
      </c>
      <c r="AF23" s="210">
        <v>1895</v>
      </c>
      <c r="AG23" s="211">
        <v>0</v>
      </c>
      <c r="AH23" s="211">
        <v>0</v>
      </c>
      <c r="AI23" s="212">
        <v>0</v>
      </c>
      <c r="AJ23" s="213">
        <v>0</v>
      </c>
      <c r="AK23" s="214">
        <v>1895</v>
      </c>
      <c r="AL23" s="211">
        <v>0</v>
      </c>
      <c r="AM23" s="211">
        <v>274</v>
      </c>
      <c r="AN23" s="213">
        <v>0</v>
      </c>
      <c r="AO23" s="121">
        <f>SUM(AL23:AN23)</f>
        <v>274</v>
      </c>
      <c r="AP23" s="91"/>
      <c r="AQ23" s="304"/>
      <c r="AR23" s="300" t="s">
        <v>23</v>
      </c>
      <c r="AS23" s="82" t="s">
        <v>20</v>
      </c>
      <c r="AT23" s="219">
        <v>185</v>
      </c>
      <c r="AU23" s="220">
        <v>0</v>
      </c>
      <c r="AV23" s="220">
        <v>52</v>
      </c>
      <c r="AW23" s="212">
        <v>0</v>
      </c>
      <c r="AX23" s="213">
        <v>0</v>
      </c>
      <c r="AY23" s="214">
        <v>237</v>
      </c>
      <c r="AZ23" s="220">
        <v>152</v>
      </c>
      <c r="BA23" s="220">
        <v>0</v>
      </c>
      <c r="BB23" s="220">
        <v>60</v>
      </c>
      <c r="BC23" s="244">
        <v>212</v>
      </c>
      <c r="BD23" s="91"/>
      <c r="BE23" s="304"/>
      <c r="BF23" s="300" t="s">
        <v>23</v>
      </c>
      <c r="BG23" s="82" t="s">
        <v>20</v>
      </c>
      <c r="BH23" s="210">
        <v>656</v>
      </c>
      <c r="BI23" s="211">
        <v>94</v>
      </c>
      <c r="BJ23" s="211">
        <v>0</v>
      </c>
      <c r="BK23" s="212">
        <v>0</v>
      </c>
      <c r="BL23" s="213">
        <v>0</v>
      </c>
      <c r="BM23" s="214">
        <v>750</v>
      </c>
      <c r="BN23" s="211">
        <v>65</v>
      </c>
      <c r="BO23" s="211">
        <v>637</v>
      </c>
      <c r="BP23" s="213">
        <v>0</v>
      </c>
      <c r="BQ23" s="121">
        <f>SUM(BN23:BP23)</f>
        <v>702</v>
      </c>
      <c r="BR23" s="91"/>
      <c r="BS23" s="304"/>
      <c r="BT23" s="300" t="s">
        <v>23</v>
      </c>
      <c r="BU23" s="82" t="s">
        <v>20</v>
      </c>
      <c r="BV23" s="210">
        <v>1689</v>
      </c>
      <c r="BW23" s="211">
        <v>0</v>
      </c>
      <c r="BX23" s="211">
        <v>0</v>
      </c>
      <c r="BY23" s="212">
        <v>0</v>
      </c>
      <c r="BZ23" s="213">
        <v>0</v>
      </c>
      <c r="CA23" s="214">
        <v>1689</v>
      </c>
      <c r="CB23" s="211">
        <v>279</v>
      </c>
      <c r="CC23" s="211">
        <v>252</v>
      </c>
      <c r="CD23" s="213">
        <v>0</v>
      </c>
      <c r="CE23" s="121">
        <f>SUM(CB23:CD23)</f>
        <v>531</v>
      </c>
      <c r="CF23" s="91"/>
      <c r="CG23" s="304"/>
      <c r="CH23" s="300" t="s">
        <v>23</v>
      </c>
      <c r="CI23" s="82" t="s">
        <v>20</v>
      </c>
      <c r="CJ23" s="219">
        <v>856</v>
      </c>
      <c r="CK23" s="220">
        <v>66</v>
      </c>
      <c r="CL23" s="220">
        <v>0</v>
      </c>
      <c r="CM23" s="225">
        <v>0</v>
      </c>
      <c r="CN23" s="220">
        <v>138</v>
      </c>
      <c r="CO23" s="221">
        <v>204</v>
      </c>
      <c r="CP23" s="220">
        <v>103</v>
      </c>
      <c r="CQ23" s="220">
        <v>247</v>
      </c>
      <c r="CR23" s="220">
        <v>31</v>
      </c>
      <c r="CS23" s="245">
        <v>381</v>
      </c>
      <c r="CT23" s="91"/>
      <c r="CU23" s="304"/>
      <c r="CV23" s="300" t="s">
        <v>23</v>
      </c>
      <c r="CW23" s="82" t="s">
        <v>20</v>
      </c>
      <c r="CX23" s="267">
        <v>1689</v>
      </c>
      <c r="CY23" s="268">
        <v>0</v>
      </c>
      <c r="CZ23" s="268">
        <v>0</v>
      </c>
      <c r="DA23" s="269">
        <v>0</v>
      </c>
      <c r="DB23" s="270">
        <v>0</v>
      </c>
      <c r="DC23" s="271">
        <f t="shared" ref="DC23:DC24" si="138">SUM(CX23:DB23)</f>
        <v>1689</v>
      </c>
      <c r="DD23" s="272">
        <v>279</v>
      </c>
      <c r="DE23" s="268">
        <v>252</v>
      </c>
      <c r="DF23" s="273">
        <v>0</v>
      </c>
      <c r="DG23" s="121">
        <f>SUM(DD23:DF23)</f>
        <v>531</v>
      </c>
      <c r="DH23" s="91"/>
      <c r="DI23" s="304"/>
      <c r="DJ23" s="300" t="s">
        <v>23</v>
      </c>
      <c r="DK23" s="82" t="s">
        <v>20</v>
      </c>
      <c r="DL23" s="267">
        <v>420</v>
      </c>
      <c r="DM23" s="268">
        <v>0</v>
      </c>
      <c r="DN23" s="268">
        <v>0</v>
      </c>
      <c r="DO23" s="269">
        <v>0</v>
      </c>
      <c r="DP23" s="270">
        <v>0</v>
      </c>
      <c r="DQ23" s="271">
        <f t="shared" ref="DQ23:DQ24" si="139">SUM(DL23:DP23)</f>
        <v>420</v>
      </c>
      <c r="DR23" s="272">
        <v>28</v>
      </c>
      <c r="DS23" s="268">
        <v>5</v>
      </c>
      <c r="DT23" s="273">
        <v>25</v>
      </c>
      <c r="DU23" s="291">
        <f t="shared" ref="DU23:DU24" si="140">SUM(DR23:DT23)</f>
        <v>58</v>
      </c>
      <c r="DV23" s="91"/>
      <c r="DW23" s="304"/>
      <c r="DX23" s="300" t="s">
        <v>23</v>
      </c>
      <c r="DY23" s="82" t="s">
        <v>20</v>
      </c>
      <c r="DZ23" s="115">
        <v>894</v>
      </c>
      <c r="EA23" s="116">
        <v>0</v>
      </c>
      <c r="EB23" s="116">
        <v>0</v>
      </c>
      <c r="EC23" s="117">
        <v>0</v>
      </c>
      <c r="ED23" s="118">
        <v>150</v>
      </c>
      <c r="EE23" s="93">
        <f>SUM(DZ23:ED23)</f>
        <v>1044</v>
      </c>
      <c r="EF23" s="119">
        <v>255</v>
      </c>
      <c r="EG23" s="116">
        <v>92</v>
      </c>
      <c r="EH23" s="120">
        <v>10</v>
      </c>
      <c r="EI23" s="121">
        <f>SUM(EF23:EH23)</f>
        <v>357</v>
      </c>
      <c r="EJ23" s="91"/>
      <c r="EK23" s="304"/>
      <c r="EL23" s="300" t="s">
        <v>23</v>
      </c>
      <c r="EM23" s="82" t="s">
        <v>20</v>
      </c>
      <c r="EN23" s="115">
        <v>0</v>
      </c>
      <c r="EO23" s="116">
        <v>0</v>
      </c>
      <c r="EP23" s="116">
        <v>0</v>
      </c>
      <c r="EQ23" s="117">
        <v>0</v>
      </c>
      <c r="ER23" s="118">
        <v>0</v>
      </c>
      <c r="ES23" s="93">
        <f>SUM(EN23:ER23)</f>
        <v>0</v>
      </c>
      <c r="ET23" s="119">
        <v>0</v>
      </c>
      <c r="EU23" s="116">
        <v>0</v>
      </c>
      <c r="EV23" s="120">
        <v>0</v>
      </c>
      <c r="EW23" s="121">
        <f>SUM(ET23:EV23)</f>
        <v>0</v>
      </c>
      <c r="EX23" s="91"/>
      <c r="EY23" s="304"/>
      <c r="EZ23" s="300" t="s">
        <v>23</v>
      </c>
      <c r="FA23" s="82" t="s">
        <v>20</v>
      </c>
      <c r="FB23" s="115">
        <v>0</v>
      </c>
      <c r="FC23" s="116">
        <v>0</v>
      </c>
      <c r="FD23" s="116">
        <v>0</v>
      </c>
      <c r="FE23" s="117">
        <v>0</v>
      </c>
      <c r="FF23" s="118">
        <v>0</v>
      </c>
      <c r="FG23" s="93">
        <f>SUM(FB23:FF23)</f>
        <v>0</v>
      </c>
      <c r="FH23" s="119">
        <v>0</v>
      </c>
      <c r="FI23" s="116">
        <v>0</v>
      </c>
      <c r="FJ23" s="120">
        <v>0</v>
      </c>
      <c r="FK23" s="121">
        <f>SUM(FH23:FJ23)</f>
        <v>0</v>
      </c>
      <c r="FL23" s="147"/>
      <c r="FM23" s="304"/>
      <c r="FN23" s="300" t="s">
        <v>23</v>
      </c>
      <c r="FO23" s="82" t="s">
        <v>20</v>
      </c>
      <c r="FP23" s="115">
        <f t="shared" ref="FP23:FP24" si="141">SUM(D23+R23+AF23+AT23+BH23+BV23+CJ23+CX23+DL23+DZ23+EN23+FB23)</f>
        <v>10030</v>
      </c>
      <c r="FQ23" s="115">
        <f t="shared" ref="FQ23:FQ24" si="142">SUM(E23+S23+AG23+AU23+BI23+BW23+CK23+CY23+DM23+EA23+EO23+FC23)</f>
        <v>870</v>
      </c>
      <c r="FR23" s="115">
        <f t="shared" ref="FR23:FR24" si="143">SUM(F23+T23+AH23+AV23+BJ23+BX23+CL23+CZ23+DN23+EB23+EP23+FD23)</f>
        <v>52</v>
      </c>
      <c r="FS23" s="150">
        <f t="shared" ref="FS23:FS24" si="144">SUM(G23+U23+AI23+AW23+BK23+BY23+CM23+DA23+DO23+EC23+EQ23+FE23)</f>
        <v>0</v>
      </c>
      <c r="FT23" s="115">
        <f t="shared" ref="FT23:FT24" si="145">SUM(H23+V23+AJ23+AX23+BL23+BZ23+CN23+DB23+DP23+ED23+ER23+FF23)</f>
        <v>530</v>
      </c>
      <c r="FU23" s="93">
        <f>SUM(FP23:FT23)</f>
        <v>11482</v>
      </c>
      <c r="FV23" s="119">
        <f t="shared" ref="FV23:FV24" si="146">SUM(J23+X23+AL23+AZ23+BN23+CB23+CP23+DD23+DR23+EF23+ET23+FH23)</f>
        <v>1663</v>
      </c>
      <c r="FW23" s="119">
        <f t="shared" ref="FW23:FW24" si="147">SUM(K23+Y23+AM23+BA23+BO23+CC23+CQ23+DE23+DS23+EG23+EU23+FI23)</f>
        <v>1851</v>
      </c>
      <c r="FX23" s="119">
        <f t="shared" ref="FX23:FX24" si="148">SUM(L23+Z23+AN23+BB23+BP23+CD23+CR23+DF23+DT23+EH23+EV23+FJ23)</f>
        <v>190</v>
      </c>
      <c r="FY23" s="122">
        <f>SUM(FV23:FX23)</f>
        <v>3704</v>
      </c>
      <c r="FZ23" s="95"/>
      <c r="GA23" s="91"/>
    </row>
    <row r="24" spans="1:183" ht="20.100000000000001" customHeight="1" thickBot="1" x14ac:dyDescent="0.3">
      <c r="A24" s="304"/>
      <c r="B24" s="294"/>
      <c r="C24" s="97" t="s">
        <v>21</v>
      </c>
      <c r="D24" s="219">
        <v>627</v>
      </c>
      <c r="E24" s="220">
        <v>56</v>
      </c>
      <c r="F24" s="220">
        <v>0</v>
      </c>
      <c r="G24" s="220">
        <v>0</v>
      </c>
      <c r="H24" s="220">
        <v>202</v>
      </c>
      <c r="I24" s="221">
        <v>885</v>
      </c>
      <c r="J24" s="220">
        <v>163</v>
      </c>
      <c r="K24" s="220">
        <v>123</v>
      </c>
      <c r="L24" s="220">
        <v>9</v>
      </c>
      <c r="M24" s="104">
        <f>SUM(J24:L24)</f>
        <v>295</v>
      </c>
      <c r="N24" s="61"/>
      <c r="O24" s="304"/>
      <c r="P24" s="294"/>
      <c r="Q24" s="97" t="s">
        <v>21</v>
      </c>
      <c r="R24" s="219">
        <v>251</v>
      </c>
      <c r="S24" s="220">
        <v>231</v>
      </c>
      <c r="T24" s="220">
        <v>0</v>
      </c>
      <c r="U24" s="220">
        <v>0</v>
      </c>
      <c r="V24" s="220">
        <v>629</v>
      </c>
      <c r="W24" s="221">
        <v>860</v>
      </c>
      <c r="X24" s="220">
        <v>198</v>
      </c>
      <c r="Y24" s="220">
        <v>0</v>
      </c>
      <c r="Z24" s="220">
        <v>18</v>
      </c>
      <c r="AA24" s="104">
        <f>SUM(X24:Z24)</f>
        <v>216</v>
      </c>
      <c r="AB24" s="61"/>
      <c r="AC24" s="304"/>
      <c r="AD24" s="294"/>
      <c r="AE24" s="97" t="s">
        <v>21</v>
      </c>
      <c r="AF24" s="202">
        <v>1547</v>
      </c>
      <c r="AG24" s="203">
        <v>0</v>
      </c>
      <c r="AH24" s="203">
        <v>0</v>
      </c>
      <c r="AI24" s="203">
        <v>1</v>
      </c>
      <c r="AJ24" s="204">
        <v>0</v>
      </c>
      <c r="AK24" s="205">
        <v>1548</v>
      </c>
      <c r="AL24" s="203">
        <v>0</v>
      </c>
      <c r="AM24" s="203">
        <v>295</v>
      </c>
      <c r="AN24" s="204">
        <v>0</v>
      </c>
      <c r="AO24" s="104">
        <f>SUM(AL24:AN24)</f>
        <v>295</v>
      </c>
      <c r="AP24" s="61"/>
      <c r="AQ24" s="304"/>
      <c r="AR24" s="294"/>
      <c r="AS24" s="97" t="s">
        <v>21</v>
      </c>
      <c r="AT24" s="219">
        <v>100</v>
      </c>
      <c r="AU24" s="220">
        <v>0</v>
      </c>
      <c r="AV24" s="220">
        <v>4</v>
      </c>
      <c r="AW24" s="203">
        <v>0</v>
      </c>
      <c r="AX24" s="204">
        <v>0</v>
      </c>
      <c r="AY24" s="205">
        <v>104</v>
      </c>
      <c r="AZ24" s="220">
        <v>88</v>
      </c>
      <c r="BA24" s="220">
        <v>0</v>
      </c>
      <c r="BB24" s="220">
        <v>4</v>
      </c>
      <c r="BC24" s="208">
        <v>92</v>
      </c>
      <c r="BD24" s="61"/>
      <c r="BE24" s="304"/>
      <c r="BF24" s="294"/>
      <c r="BG24" s="97" t="s">
        <v>21</v>
      </c>
      <c r="BH24" s="202">
        <v>582</v>
      </c>
      <c r="BI24" s="203">
        <v>68</v>
      </c>
      <c r="BJ24" s="203">
        <v>0</v>
      </c>
      <c r="BK24" s="203">
        <v>5</v>
      </c>
      <c r="BL24" s="204">
        <v>2</v>
      </c>
      <c r="BM24" s="205">
        <v>657</v>
      </c>
      <c r="BN24" s="203">
        <v>54</v>
      </c>
      <c r="BO24" s="203">
        <v>484</v>
      </c>
      <c r="BP24" s="204">
        <v>0</v>
      </c>
      <c r="BQ24" s="104">
        <f>SUM(BN24:BP24)</f>
        <v>538</v>
      </c>
      <c r="BR24" s="61"/>
      <c r="BS24" s="304"/>
      <c r="BT24" s="294"/>
      <c r="BU24" s="97" t="s">
        <v>21</v>
      </c>
      <c r="BV24" s="202">
        <v>1258</v>
      </c>
      <c r="BW24" s="203">
        <v>0</v>
      </c>
      <c r="BX24" s="203">
        <v>0</v>
      </c>
      <c r="BY24" s="203">
        <v>0</v>
      </c>
      <c r="BZ24" s="204">
        <v>0</v>
      </c>
      <c r="CA24" s="205">
        <v>1258</v>
      </c>
      <c r="CB24" s="203">
        <v>194</v>
      </c>
      <c r="CC24" s="203">
        <v>202</v>
      </c>
      <c r="CD24" s="204">
        <v>0</v>
      </c>
      <c r="CE24" s="104">
        <f>SUM(CB24:CD24)</f>
        <v>396</v>
      </c>
      <c r="CF24" s="61"/>
      <c r="CG24" s="304"/>
      <c r="CH24" s="294"/>
      <c r="CI24" s="97" t="s">
        <v>21</v>
      </c>
      <c r="CJ24" s="219">
        <v>554</v>
      </c>
      <c r="CK24" s="220">
        <v>52</v>
      </c>
      <c r="CL24" s="220">
        <v>0</v>
      </c>
      <c r="CM24" s="220">
        <v>0</v>
      </c>
      <c r="CN24" s="220">
        <v>162</v>
      </c>
      <c r="CO24" s="221">
        <v>214</v>
      </c>
      <c r="CP24" s="220">
        <v>116</v>
      </c>
      <c r="CQ24" s="220">
        <v>584</v>
      </c>
      <c r="CR24" s="220">
        <v>0</v>
      </c>
      <c r="CS24" s="245">
        <v>700</v>
      </c>
      <c r="CT24" s="61"/>
      <c r="CU24" s="304"/>
      <c r="CV24" s="294"/>
      <c r="CW24" s="97" t="s">
        <v>21</v>
      </c>
      <c r="CX24" s="274">
        <v>1258</v>
      </c>
      <c r="CY24" s="260">
        <v>0</v>
      </c>
      <c r="CZ24" s="260">
        <v>0</v>
      </c>
      <c r="DA24" s="260">
        <v>0</v>
      </c>
      <c r="DB24" s="275">
        <v>0</v>
      </c>
      <c r="DC24" s="258">
        <f t="shared" si="138"/>
        <v>1258</v>
      </c>
      <c r="DD24" s="259">
        <v>194</v>
      </c>
      <c r="DE24" s="260">
        <v>202</v>
      </c>
      <c r="DF24" s="261">
        <v>0</v>
      </c>
      <c r="DG24" s="104">
        <f>SUM(DD24:DF24)</f>
        <v>396</v>
      </c>
      <c r="DH24" s="61"/>
      <c r="DI24" s="304"/>
      <c r="DJ24" s="294"/>
      <c r="DK24" s="97" t="s">
        <v>21</v>
      </c>
      <c r="DL24" s="274">
        <v>357</v>
      </c>
      <c r="DM24" s="260">
        <v>0</v>
      </c>
      <c r="DN24" s="260">
        <v>0</v>
      </c>
      <c r="DO24" s="260">
        <v>8</v>
      </c>
      <c r="DP24" s="275">
        <v>0</v>
      </c>
      <c r="DQ24" s="258">
        <f t="shared" si="139"/>
        <v>365</v>
      </c>
      <c r="DR24" s="259">
        <v>25</v>
      </c>
      <c r="DS24" s="260">
        <v>7</v>
      </c>
      <c r="DT24" s="261">
        <v>18</v>
      </c>
      <c r="DU24" s="289">
        <f t="shared" si="140"/>
        <v>50</v>
      </c>
      <c r="DV24" s="61"/>
      <c r="DW24" s="304"/>
      <c r="DX24" s="294"/>
      <c r="DY24" s="97" t="s">
        <v>21</v>
      </c>
      <c r="DZ24" s="98">
        <v>627</v>
      </c>
      <c r="EA24" s="99">
        <v>0</v>
      </c>
      <c r="EB24" s="99">
        <v>0</v>
      </c>
      <c r="EC24" s="99">
        <v>0</v>
      </c>
      <c r="ED24" s="100">
        <v>202</v>
      </c>
      <c r="EE24" s="101">
        <f>SUM(DZ24:ED24)</f>
        <v>829</v>
      </c>
      <c r="EF24" s="102">
        <v>163</v>
      </c>
      <c r="EG24" s="99">
        <v>123</v>
      </c>
      <c r="EH24" s="103">
        <v>9</v>
      </c>
      <c r="EI24" s="104">
        <f>SUM(EF24:EH24)</f>
        <v>295</v>
      </c>
      <c r="EJ24" s="61"/>
      <c r="EK24" s="304"/>
      <c r="EL24" s="294"/>
      <c r="EM24" s="97" t="s">
        <v>21</v>
      </c>
      <c r="EN24" s="98">
        <v>0</v>
      </c>
      <c r="EO24" s="99">
        <v>0</v>
      </c>
      <c r="EP24" s="99">
        <v>0</v>
      </c>
      <c r="EQ24" s="99">
        <v>0</v>
      </c>
      <c r="ER24" s="100">
        <v>0</v>
      </c>
      <c r="ES24" s="101">
        <f>SUM(EN24:ER24)</f>
        <v>0</v>
      </c>
      <c r="ET24" s="102">
        <v>0</v>
      </c>
      <c r="EU24" s="99">
        <v>0</v>
      </c>
      <c r="EV24" s="103">
        <v>0</v>
      </c>
      <c r="EW24" s="104">
        <f>SUM(ET24:EV24)</f>
        <v>0</v>
      </c>
      <c r="EX24" s="61"/>
      <c r="EY24" s="304"/>
      <c r="EZ24" s="294"/>
      <c r="FA24" s="97" t="s">
        <v>21</v>
      </c>
      <c r="FB24" s="98">
        <v>0</v>
      </c>
      <c r="FC24" s="99">
        <v>0</v>
      </c>
      <c r="FD24" s="99">
        <v>0</v>
      </c>
      <c r="FE24" s="99">
        <v>0</v>
      </c>
      <c r="FF24" s="100">
        <v>0</v>
      </c>
      <c r="FG24" s="101">
        <f>SUM(FB24:FF24)</f>
        <v>0</v>
      </c>
      <c r="FH24" s="102">
        <v>0</v>
      </c>
      <c r="FI24" s="99">
        <v>0</v>
      </c>
      <c r="FJ24" s="103">
        <v>0</v>
      </c>
      <c r="FK24" s="104">
        <f>SUM(FH24:FJ24)</f>
        <v>0</v>
      </c>
      <c r="FM24" s="304"/>
      <c r="FN24" s="294"/>
      <c r="FO24" s="97" t="s">
        <v>21</v>
      </c>
      <c r="FP24" s="115">
        <f t="shared" si="141"/>
        <v>7161</v>
      </c>
      <c r="FQ24" s="115">
        <f t="shared" si="142"/>
        <v>407</v>
      </c>
      <c r="FR24" s="115">
        <f t="shared" si="143"/>
        <v>4</v>
      </c>
      <c r="FS24" s="115">
        <f t="shared" si="144"/>
        <v>14</v>
      </c>
      <c r="FT24" s="115">
        <f t="shared" si="145"/>
        <v>1197</v>
      </c>
      <c r="FU24" s="101">
        <f>SUM(FP24:FT24)</f>
        <v>8783</v>
      </c>
      <c r="FV24" s="119">
        <f t="shared" si="146"/>
        <v>1195</v>
      </c>
      <c r="FW24" s="119">
        <f t="shared" si="147"/>
        <v>2020</v>
      </c>
      <c r="FX24" s="119">
        <f t="shared" si="148"/>
        <v>58</v>
      </c>
      <c r="FY24" s="106">
        <f>SUM(FV24:FX24)</f>
        <v>3273</v>
      </c>
      <c r="GA24" s="61"/>
    </row>
    <row r="25" spans="1:183" ht="20.100000000000001" customHeight="1" thickBot="1" x14ac:dyDescent="0.3">
      <c r="A25" s="305"/>
      <c r="B25" s="301" t="s">
        <v>24</v>
      </c>
      <c r="C25" s="310"/>
      <c r="D25" s="107">
        <f t="shared" ref="D25:M25" si="149">SUM(D23:D24)</f>
        <v>1521</v>
      </c>
      <c r="E25" s="108">
        <f t="shared" si="149"/>
        <v>355</v>
      </c>
      <c r="F25" s="108">
        <f t="shared" si="149"/>
        <v>0</v>
      </c>
      <c r="G25" s="108">
        <f t="shared" si="149"/>
        <v>0</v>
      </c>
      <c r="H25" s="109">
        <f t="shared" si="149"/>
        <v>352</v>
      </c>
      <c r="I25" s="110">
        <f t="shared" si="149"/>
        <v>2228</v>
      </c>
      <c r="J25" s="111">
        <f t="shared" si="149"/>
        <v>418</v>
      </c>
      <c r="K25" s="108">
        <f t="shared" si="149"/>
        <v>215</v>
      </c>
      <c r="L25" s="109">
        <f t="shared" si="149"/>
        <v>19</v>
      </c>
      <c r="M25" s="112">
        <f t="shared" si="149"/>
        <v>652</v>
      </c>
      <c r="N25" s="61"/>
      <c r="O25" s="305"/>
      <c r="P25" s="301" t="s">
        <v>24</v>
      </c>
      <c r="Q25" s="310"/>
      <c r="R25" s="206">
        <v>113</v>
      </c>
      <c r="S25" s="207">
        <v>642</v>
      </c>
      <c r="T25" s="207">
        <v>0</v>
      </c>
      <c r="U25" s="207">
        <v>0</v>
      </c>
      <c r="V25" s="208">
        <v>721</v>
      </c>
      <c r="W25" s="209">
        <v>1363</v>
      </c>
      <c r="X25" s="207">
        <v>445</v>
      </c>
      <c r="Y25" s="207">
        <v>0</v>
      </c>
      <c r="Z25" s="208">
        <v>72</v>
      </c>
      <c r="AA25" s="112">
        <f t="shared" ref="AA25" si="150">SUM(AA23:AA24)</f>
        <v>517</v>
      </c>
      <c r="AB25" s="61"/>
      <c r="AC25" s="305"/>
      <c r="AD25" s="301" t="s">
        <v>24</v>
      </c>
      <c r="AE25" s="310"/>
      <c r="AF25" s="206">
        <v>3442</v>
      </c>
      <c r="AG25" s="207">
        <v>0</v>
      </c>
      <c r="AH25" s="207">
        <v>0</v>
      </c>
      <c r="AI25" s="207">
        <v>1</v>
      </c>
      <c r="AJ25" s="208">
        <v>0</v>
      </c>
      <c r="AK25" s="209">
        <v>3443</v>
      </c>
      <c r="AL25" s="207">
        <v>0</v>
      </c>
      <c r="AM25" s="207">
        <v>569</v>
      </c>
      <c r="AN25" s="208">
        <v>0</v>
      </c>
      <c r="AO25" s="112">
        <f t="shared" ref="AO25" si="151">SUM(AO23:AO24)</f>
        <v>569</v>
      </c>
      <c r="AP25" s="61"/>
      <c r="AQ25" s="305"/>
      <c r="AR25" s="301" t="s">
        <v>24</v>
      </c>
      <c r="AS25" s="310"/>
      <c r="AT25" s="206">
        <v>285</v>
      </c>
      <c r="AU25" s="207">
        <v>0</v>
      </c>
      <c r="AV25" s="207">
        <v>56</v>
      </c>
      <c r="AW25" s="207">
        <v>0</v>
      </c>
      <c r="AX25" s="208">
        <v>0</v>
      </c>
      <c r="AY25" s="209">
        <v>341</v>
      </c>
      <c r="AZ25" s="207">
        <v>240</v>
      </c>
      <c r="BA25" s="207">
        <v>0</v>
      </c>
      <c r="BB25" s="208">
        <v>64</v>
      </c>
      <c r="BC25" s="243">
        <v>304</v>
      </c>
      <c r="BD25" s="61"/>
      <c r="BE25" s="305"/>
      <c r="BF25" s="301" t="s">
        <v>24</v>
      </c>
      <c r="BG25" s="310"/>
      <c r="BH25" s="107">
        <f t="shared" ref="BH25:BQ25" si="152">SUM(BH23:BH24)</f>
        <v>1238</v>
      </c>
      <c r="BI25" s="108">
        <f t="shared" si="152"/>
        <v>162</v>
      </c>
      <c r="BJ25" s="108">
        <f t="shared" si="152"/>
        <v>0</v>
      </c>
      <c r="BK25" s="108">
        <f t="shared" si="152"/>
        <v>5</v>
      </c>
      <c r="BL25" s="109">
        <f t="shared" si="152"/>
        <v>2</v>
      </c>
      <c r="BM25" s="110">
        <f t="shared" si="152"/>
        <v>1407</v>
      </c>
      <c r="BN25" s="111">
        <f t="shared" si="152"/>
        <v>119</v>
      </c>
      <c r="BO25" s="108">
        <f t="shared" si="152"/>
        <v>1121</v>
      </c>
      <c r="BP25" s="109">
        <f t="shared" si="152"/>
        <v>0</v>
      </c>
      <c r="BQ25" s="112">
        <f t="shared" si="152"/>
        <v>1240</v>
      </c>
      <c r="BR25" s="61"/>
      <c r="BS25" s="305"/>
      <c r="BT25" s="301" t="s">
        <v>24</v>
      </c>
      <c r="BU25" s="310"/>
      <c r="BV25" s="206">
        <v>2947</v>
      </c>
      <c r="BW25" s="207">
        <v>0</v>
      </c>
      <c r="BX25" s="207">
        <v>0</v>
      </c>
      <c r="BY25" s="207">
        <v>0</v>
      </c>
      <c r="BZ25" s="208">
        <v>0</v>
      </c>
      <c r="CA25" s="209">
        <v>2947</v>
      </c>
      <c r="CB25" s="207">
        <v>473</v>
      </c>
      <c r="CC25" s="207">
        <v>454</v>
      </c>
      <c r="CD25" s="208">
        <v>0</v>
      </c>
      <c r="CE25" s="112">
        <f t="shared" ref="CE25" si="153">SUM(CE23:CE24)</f>
        <v>927</v>
      </c>
      <c r="CF25" s="61"/>
      <c r="CG25" s="305"/>
      <c r="CH25" s="301" t="s">
        <v>24</v>
      </c>
      <c r="CI25" s="310"/>
      <c r="CJ25" s="206">
        <v>1410</v>
      </c>
      <c r="CK25" s="207">
        <v>118</v>
      </c>
      <c r="CL25" s="207">
        <v>0</v>
      </c>
      <c r="CM25" s="207">
        <v>0</v>
      </c>
      <c r="CN25" s="208">
        <v>300</v>
      </c>
      <c r="CO25" s="209">
        <v>418</v>
      </c>
      <c r="CP25" s="207">
        <v>219</v>
      </c>
      <c r="CQ25" s="207">
        <v>831</v>
      </c>
      <c r="CR25" s="208">
        <v>31</v>
      </c>
      <c r="CS25" s="243">
        <v>1081</v>
      </c>
      <c r="CT25" s="61"/>
      <c r="CU25" s="305"/>
      <c r="CV25" s="301" t="s">
        <v>24</v>
      </c>
      <c r="CW25" s="310"/>
      <c r="CX25" s="262">
        <f t="shared" ref="CX25:DF25" si="154">SUM(CX23:CX24)</f>
        <v>2947</v>
      </c>
      <c r="CY25" s="263">
        <f t="shared" si="154"/>
        <v>0</v>
      </c>
      <c r="CZ25" s="263">
        <f t="shared" si="154"/>
        <v>0</v>
      </c>
      <c r="DA25" s="263">
        <f t="shared" si="154"/>
        <v>0</v>
      </c>
      <c r="DB25" s="264">
        <f t="shared" si="154"/>
        <v>0</v>
      </c>
      <c r="DC25" s="265">
        <f t="shared" si="154"/>
        <v>2947</v>
      </c>
      <c r="DD25" s="266">
        <f t="shared" si="154"/>
        <v>473</v>
      </c>
      <c r="DE25" s="263">
        <f t="shared" si="154"/>
        <v>454</v>
      </c>
      <c r="DF25" s="264">
        <f t="shared" si="154"/>
        <v>0</v>
      </c>
      <c r="DG25" s="112">
        <f t="shared" ref="DG25" si="155">SUM(DG23:DG24)</f>
        <v>927</v>
      </c>
      <c r="DH25" s="61"/>
      <c r="DI25" s="305"/>
      <c r="DJ25" s="301" t="s">
        <v>24</v>
      </c>
      <c r="DK25" s="310"/>
      <c r="DL25" s="262">
        <f t="shared" ref="DL25:DU25" si="156">SUM(DL23:DL24)</f>
        <v>777</v>
      </c>
      <c r="DM25" s="263">
        <f t="shared" si="156"/>
        <v>0</v>
      </c>
      <c r="DN25" s="263">
        <f t="shared" si="156"/>
        <v>0</v>
      </c>
      <c r="DO25" s="263">
        <f t="shared" si="156"/>
        <v>8</v>
      </c>
      <c r="DP25" s="264">
        <f t="shared" si="156"/>
        <v>0</v>
      </c>
      <c r="DQ25" s="265">
        <f t="shared" si="156"/>
        <v>785</v>
      </c>
      <c r="DR25" s="266">
        <f t="shared" si="156"/>
        <v>53</v>
      </c>
      <c r="DS25" s="263">
        <f t="shared" si="156"/>
        <v>12</v>
      </c>
      <c r="DT25" s="264">
        <f t="shared" si="156"/>
        <v>43</v>
      </c>
      <c r="DU25" s="290">
        <f t="shared" si="156"/>
        <v>108</v>
      </c>
      <c r="DV25" s="61"/>
      <c r="DW25" s="305"/>
      <c r="DX25" s="301" t="s">
        <v>24</v>
      </c>
      <c r="DY25" s="310"/>
      <c r="DZ25" s="107">
        <f t="shared" ref="DZ25:EI25" si="157">SUM(DZ23:DZ24)</f>
        <v>1521</v>
      </c>
      <c r="EA25" s="108">
        <f t="shared" si="157"/>
        <v>0</v>
      </c>
      <c r="EB25" s="108">
        <f t="shared" si="157"/>
        <v>0</v>
      </c>
      <c r="EC25" s="108">
        <f t="shared" si="157"/>
        <v>0</v>
      </c>
      <c r="ED25" s="109">
        <f t="shared" si="157"/>
        <v>352</v>
      </c>
      <c r="EE25" s="110">
        <f t="shared" si="157"/>
        <v>1873</v>
      </c>
      <c r="EF25" s="111">
        <f t="shared" si="157"/>
        <v>418</v>
      </c>
      <c r="EG25" s="108">
        <f t="shared" si="157"/>
        <v>215</v>
      </c>
      <c r="EH25" s="109">
        <f t="shared" si="157"/>
        <v>19</v>
      </c>
      <c r="EI25" s="112">
        <f t="shared" si="157"/>
        <v>652</v>
      </c>
      <c r="EJ25" s="61"/>
      <c r="EK25" s="305"/>
      <c r="EL25" s="301" t="s">
        <v>24</v>
      </c>
      <c r="EM25" s="310"/>
      <c r="EN25" s="107">
        <f t="shared" ref="EN25:EW25" si="158">SUM(EN23:EN24)</f>
        <v>0</v>
      </c>
      <c r="EO25" s="108">
        <f t="shared" si="158"/>
        <v>0</v>
      </c>
      <c r="EP25" s="108">
        <f t="shared" si="158"/>
        <v>0</v>
      </c>
      <c r="EQ25" s="108">
        <f t="shared" si="158"/>
        <v>0</v>
      </c>
      <c r="ER25" s="109">
        <f t="shared" si="158"/>
        <v>0</v>
      </c>
      <c r="ES25" s="110">
        <f t="shared" si="158"/>
        <v>0</v>
      </c>
      <c r="ET25" s="111">
        <f t="shared" si="158"/>
        <v>0</v>
      </c>
      <c r="EU25" s="108">
        <f t="shared" si="158"/>
        <v>0</v>
      </c>
      <c r="EV25" s="109">
        <f t="shared" si="158"/>
        <v>0</v>
      </c>
      <c r="EW25" s="112">
        <f t="shared" si="158"/>
        <v>0</v>
      </c>
      <c r="EX25" s="61"/>
      <c r="EY25" s="305"/>
      <c r="EZ25" s="301" t="s">
        <v>24</v>
      </c>
      <c r="FA25" s="310"/>
      <c r="FB25" s="107">
        <f t="shared" ref="FB25:FK25" si="159">SUM(FB23:FB24)</f>
        <v>0</v>
      </c>
      <c r="FC25" s="108">
        <f t="shared" si="159"/>
        <v>0</v>
      </c>
      <c r="FD25" s="108">
        <f t="shared" si="159"/>
        <v>0</v>
      </c>
      <c r="FE25" s="108">
        <f t="shared" si="159"/>
        <v>0</v>
      </c>
      <c r="FF25" s="109">
        <f t="shared" si="159"/>
        <v>0</v>
      </c>
      <c r="FG25" s="110">
        <f t="shared" si="159"/>
        <v>0</v>
      </c>
      <c r="FH25" s="111">
        <f t="shared" si="159"/>
        <v>0</v>
      </c>
      <c r="FI25" s="108">
        <f t="shared" si="159"/>
        <v>0</v>
      </c>
      <c r="FJ25" s="109">
        <f t="shared" si="159"/>
        <v>0</v>
      </c>
      <c r="FK25" s="112">
        <f t="shared" si="159"/>
        <v>0</v>
      </c>
      <c r="FM25" s="305"/>
      <c r="FN25" s="301" t="s">
        <v>24</v>
      </c>
      <c r="FO25" s="310"/>
      <c r="FP25" s="107">
        <f t="shared" ref="FP25:FY25" si="160">SUM(FP23:FP24)</f>
        <v>17191</v>
      </c>
      <c r="FQ25" s="108">
        <f t="shared" si="160"/>
        <v>1277</v>
      </c>
      <c r="FR25" s="108">
        <f t="shared" si="160"/>
        <v>56</v>
      </c>
      <c r="FS25" s="108">
        <f t="shared" si="160"/>
        <v>14</v>
      </c>
      <c r="FT25" s="109">
        <f t="shared" si="160"/>
        <v>1727</v>
      </c>
      <c r="FU25" s="113">
        <f t="shared" si="160"/>
        <v>20265</v>
      </c>
      <c r="FV25" s="111">
        <f t="shared" si="160"/>
        <v>2858</v>
      </c>
      <c r="FW25" s="108">
        <f t="shared" si="160"/>
        <v>3871</v>
      </c>
      <c r="FX25" s="109">
        <f t="shared" si="160"/>
        <v>248</v>
      </c>
      <c r="FY25" s="114">
        <f t="shared" si="160"/>
        <v>6977</v>
      </c>
      <c r="GA25" s="61"/>
    </row>
    <row r="26" spans="1:183" ht="20.100000000000001" customHeight="1" thickBot="1" x14ac:dyDescent="0.3">
      <c r="A26" s="297" t="s">
        <v>25</v>
      </c>
      <c r="B26" s="298"/>
      <c r="C26" s="299"/>
      <c r="D26" s="123">
        <f>SUM(D25+D22)</f>
        <v>3537</v>
      </c>
      <c r="E26" s="124">
        <f>SUM(E25+E22)</f>
        <v>1056</v>
      </c>
      <c r="F26" s="124">
        <f>SUM(F25+F22)</f>
        <v>317</v>
      </c>
      <c r="G26" s="124">
        <f>SUM(G25+G22)</f>
        <v>25</v>
      </c>
      <c r="H26" s="125">
        <f>SUM(H25+H22)</f>
        <v>548</v>
      </c>
      <c r="I26" s="126">
        <f>SUM(I22+I25)</f>
        <v>5483</v>
      </c>
      <c r="J26" s="127">
        <f>SUM(J25+J22)</f>
        <v>1636</v>
      </c>
      <c r="K26" s="128">
        <f>SUM(K25+K22)</f>
        <v>1795</v>
      </c>
      <c r="L26" s="129">
        <f>SUM(L25+L22)</f>
        <v>974</v>
      </c>
      <c r="M26" s="130">
        <f>SUM(M25+M22)</f>
        <v>4405</v>
      </c>
      <c r="N26" s="61"/>
      <c r="O26" s="297" t="s">
        <v>25</v>
      </c>
      <c r="P26" s="298"/>
      <c r="Q26" s="299"/>
      <c r="R26" s="123">
        <f>SUM(R25+R22)</f>
        <v>4885</v>
      </c>
      <c r="S26" s="124">
        <f>SUM(S25+S22)</f>
        <v>1420</v>
      </c>
      <c r="T26" s="124">
        <f>SUM(T25+T22)</f>
        <v>282</v>
      </c>
      <c r="U26" s="124">
        <f>SUM(U25+U22)</f>
        <v>20</v>
      </c>
      <c r="V26" s="125">
        <f>SUM(V25+V22)</f>
        <v>1271</v>
      </c>
      <c r="W26" s="126">
        <f>SUM(W22+W25)</f>
        <v>2973</v>
      </c>
      <c r="X26" s="127">
        <f>SUM(X25+X22)</f>
        <v>1535</v>
      </c>
      <c r="Y26" s="128">
        <f>SUM(Y25+Y22)</f>
        <v>0</v>
      </c>
      <c r="Z26" s="129">
        <f>SUM(Z25+Z22)</f>
        <v>1183</v>
      </c>
      <c r="AA26" s="130">
        <f>SUM(AA25+AA22)</f>
        <v>2718</v>
      </c>
      <c r="AB26" s="61"/>
      <c r="AC26" s="297" t="s">
        <v>25</v>
      </c>
      <c r="AD26" s="298"/>
      <c r="AE26" s="299"/>
      <c r="AF26" s="236">
        <v>10112</v>
      </c>
      <c r="AG26" s="237">
        <v>0</v>
      </c>
      <c r="AH26" s="237">
        <v>348</v>
      </c>
      <c r="AI26" s="237">
        <v>21</v>
      </c>
      <c r="AJ26" s="238">
        <v>0</v>
      </c>
      <c r="AK26" s="239">
        <v>10481</v>
      </c>
      <c r="AL26" s="240">
        <v>0</v>
      </c>
      <c r="AM26" s="240">
        <v>9273</v>
      </c>
      <c r="AN26" s="241">
        <v>0</v>
      </c>
      <c r="AO26" s="130">
        <f>SUM(AO25+AO22)</f>
        <v>9273</v>
      </c>
      <c r="AP26" s="61"/>
      <c r="AQ26" s="297" t="s">
        <v>25</v>
      </c>
      <c r="AR26" s="298"/>
      <c r="AS26" s="299"/>
      <c r="AT26" s="123">
        <f>SUM(AT25+AT22)</f>
        <v>2668</v>
      </c>
      <c r="AU26" s="124">
        <f>SUM(AU25+AU22)</f>
        <v>0</v>
      </c>
      <c r="AV26" s="124">
        <f>SUM(AV25+AV22)</f>
        <v>383</v>
      </c>
      <c r="AW26" s="124">
        <f>SUM(AW25+AW22)</f>
        <v>0</v>
      </c>
      <c r="AX26" s="125">
        <f>SUM(AX25+AX22)</f>
        <v>0</v>
      </c>
      <c r="AY26" s="126">
        <f>SUM(AY22+AY25)</f>
        <v>3051</v>
      </c>
      <c r="AZ26" s="127">
        <f>SUM(AZ25+AZ22)</f>
        <v>720</v>
      </c>
      <c r="BA26" s="128">
        <f>SUM(BA25+BA22)</f>
        <v>0</v>
      </c>
      <c r="BB26" s="129">
        <f>SUM(BB25+BB22)</f>
        <v>1150</v>
      </c>
      <c r="BC26" s="130">
        <f>SUM(BC25+BC22)</f>
        <v>1870</v>
      </c>
      <c r="BD26" s="61"/>
      <c r="BE26" s="297" t="s">
        <v>25</v>
      </c>
      <c r="BF26" s="298"/>
      <c r="BG26" s="299"/>
      <c r="BH26" s="123">
        <f>SUM(BH25+BH22)</f>
        <v>6790</v>
      </c>
      <c r="BI26" s="124">
        <f>SUM(BI25+BI22)</f>
        <v>1026</v>
      </c>
      <c r="BJ26" s="124">
        <f>SUM(BJ25+BJ22)</f>
        <v>581</v>
      </c>
      <c r="BK26" s="124">
        <f>SUM(BK25+BK22)</f>
        <v>5</v>
      </c>
      <c r="BL26" s="125">
        <f>SUM(BL25+BL22)</f>
        <v>106</v>
      </c>
      <c r="BM26" s="126">
        <f>SUM(BM22+BM25)</f>
        <v>8508</v>
      </c>
      <c r="BN26" s="127">
        <f>SUM(BN25+BN22)</f>
        <v>234</v>
      </c>
      <c r="BO26" s="128">
        <f>SUM(BO25+BO22)</f>
        <v>5425</v>
      </c>
      <c r="BP26" s="129">
        <f>SUM(BP25+BP22)</f>
        <v>0</v>
      </c>
      <c r="BQ26" s="130">
        <f>SUM(BQ25+BQ22)</f>
        <v>5659</v>
      </c>
      <c r="BR26" s="61"/>
      <c r="BS26" s="297" t="s">
        <v>25</v>
      </c>
      <c r="BT26" s="298"/>
      <c r="BU26" s="299"/>
      <c r="BV26" s="236">
        <v>9544</v>
      </c>
      <c r="BW26" s="237">
        <v>0</v>
      </c>
      <c r="BX26" s="237">
        <v>275</v>
      </c>
      <c r="BY26" s="237">
        <v>20</v>
      </c>
      <c r="BZ26" s="238">
        <v>0</v>
      </c>
      <c r="CA26" s="239">
        <v>9839</v>
      </c>
      <c r="CB26" s="240">
        <v>1656</v>
      </c>
      <c r="CC26" s="240">
        <v>6310</v>
      </c>
      <c r="CD26" s="241">
        <v>0</v>
      </c>
      <c r="CE26" s="130">
        <f>SUM(CE25+CE22)</f>
        <v>7966</v>
      </c>
      <c r="CF26" s="61"/>
      <c r="CG26" s="297" t="s">
        <v>25</v>
      </c>
      <c r="CH26" s="298"/>
      <c r="CI26" s="299"/>
      <c r="CJ26" s="236">
        <v>1410</v>
      </c>
      <c r="CK26" s="237">
        <v>423</v>
      </c>
      <c r="CL26" s="237">
        <v>362</v>
      </c>
      <c r="CM26" s="237">
        <v>34</v>
      </c>
      <c r="CN26" s="238">
        <v>721</v>
      </c>
      <c r="CO26" s="239">
        <v>1540</v>
      </c>
      <c r="CP26" s="240">
        <v>729</v>
      </c>
      <c r="CQ26" s="240">
        <v>7436</v>
      </c>
      <c r="CR26" s="241">
        <v>1072</v>
      </c>
      <c r="CS26" s="241">
        <v>9237</v>
      </c>
      <c r="CT26" s="61"/>
      <c r="CU26" s="297" t="s">
        <v>25</v>
      </c>
      <c r="CV26" s="298"/>
      <c r="CW26" s="299"/>
      <c r="CX26" s="276">
        <f t="shared" ref="CX26:DB26" si="161">SUM(CX25+CX22)</f>
        <v>9544</v>
      </c>
      <c r="CY26" s="277">
        <f t="shared" si="161"/>
        <v>0</v>
      </c>
      <c r="CZ26" s="277">
        <f t="shared" si="161"/>
        <v>275</v>
      </c>
      <c r="DA26" s="277">
        <f t="shared" si="161"/>
        <v>20</v>
      </c>
      <c r="DB26" s="278">
        <f t="shared" si="161"/>
        <v>0</v>
      </c>
      <c r="DC26" s="279">
        <f>SUM(DC22+DC25)</f>
        <v>9839</v>
      </c>
      <c r="DD26" s="280">
        <f t="shared" ref="DD26:DF26" si="162">SUM(DD25+DD22)</f>
        <v>1656</v>
      </c>
      <c r="DE26" s="281">
        <f t="shared" si="162"/>
        <v>6310</v>
      </c>
      <c r="DF26" s="282">
        <f t="shared" si="162"/>
        <v>0</v>
      </c>
      <c r="DG26" s="130">
        <f>SUM(DG25+DG22)</f>
        <v>7966</v>
      </c>
      <c r="DH26" s="61"/>
      <c r="DI26" s="297" t="s">
        <v>25</v>
      </c>
      <c r="DJ26" s="298"/>
      <c r="DK26" s="299"/>
      <c r="DL26" s="276">
        <f t="shared" ref="DL26:DP26" si="163">SUM(DL25+DL22)</f>
        <v>9640</v>
      </c>
      <c r="DM26" s="277">
        <f t="shared" si="163"/>
        <v>465</v>
      </c>
      <c r="DN26" s="277">
        <f t="shared" si="163"/>
        <v>203</v>
      </c>
      <c r="DO26" s="277">
        <f t="shared" si="163"/>
        <v>39</v>
      </c>
      <c r="DP26" s="278">
        <f t="shared" si="163"/>
        <v>508</v>
      </c>
      <c r="DQ26" s="279">
        <f>SUM(DQ22+DQ25)</f>
        <v>10855</v>
      </c>
      <c r="DR26" s="280">
        <f t="shared" ref="DR26:DU26" si="164">SUM(DR25+DR22)</f>
        <v>160</v>
      </c>
      <c r="DS26" s="281">
        <f t="shared" si="164"/>
        <v>342</v>
      </c>
      <c r="DT26" s="282">
        <f t="shared" si="164"/>
        <v>227</v>
      </c>
      <c r="DU26" s="292">
        <f t="shared" si="164"/>
        <v>729</v>
      </c>
      <c r="DV26" s="61"/>
      <c r="DW26" s="297" t="s">
        <v>25</v>
      </c>
      <c r="DX26" s="298"/>
      <c r="DY26" s="299"/>
      <c r="DZ26" s="123">
        <f>SUM(DZ25+DZ22)</f>
        <v>5037</v>
      </c>
      <c r="EA26" s="124">
        <f>SUM(EA25+EA22)</f>
        <v>0</v>
      </c>
      <c r="EB26" s="124">
        <f>SUM(EB25+EB22)</f>
        <v>240</v>
      </c>
      <c r="EC26" s="124">
        <f>SUM(EC25+EC22)</f>
        <v>25</v>
      </c>
      <c r="ED26" s="125">
        <f>SUM(ED25+ED22)</f>
        <v>648</v>
      </c>
      <c r="EE26" s="126">
        <f>SUM(EE22+EE25)</f>
        <v>5950</v>
      </c>
      <c r="EF26" s="127">
        <f>SUM(EF25+EF22)</f>
        <v>1636</v>
      </c>
      <c r="EG26" s="128">
        <f>SUM(EG25+EG22)</f>
        <v>1795</v>
      </c>
      <c r="EH26" s="129">
        <f>SUM(EH25+EH22)</f>
        <v>974</v>
      </c>
      <c r="EI26" s="130">
        <f>SUM(EI25+EI22)</f>
        <v>4405</v>
      </c>
      <c r="EJ26" s="61"/>
      <c r="EK26" s="297" t="s">
        <v>25</v>
      </c>
      <c r="EL26" s="298"/>
      <c r="EM26" s="299"/>
      <c r="EN26" s="123">
        <f>SUM(EN25+EN22)</f>
        <v>0</v>
      </c>
      <c r="EO26" s="124">
        <f>SUM(EO25+EO22)</f>
        <v>0</v>
      </c>
      <c r="EP26" s="124">
        <f>SUM(EP25+EP22)</f>
        <v>0</v>
      </c>
      <c r="EQ26" s="124">
        <f>SUM(EQ25+EQ22)</f>
        <v>0</v>
      </c>
      <c r="ER26" s="125">
        <f>SUM(ER25+ER22)</f>
        <v>0</v>
      </c>
      <c r="ES26" s="126">
        <f>SUM(ES22+ES25)</f>
        <v>0</v>
      </c>
      <c r="ET26" s="127">
        <f>SUM(ET25+ET22)</f>
        <v>0</v>
      </c>
      <c r="EU26" s="128">
        <f>SUM(EU25+EU22)</f>
        <v>0</v>
      </c>
      <c r="EV26" s="129">
        <f>SUM(EV25+EV22)</f>
        <v>0</v>
      </c>
      <c r="EW26" s="130">
        <f>SUM(EW25+EW22)</f>
        <v>0</v>
      </c>
      <c r="EX26" s="61"/>
      <c r="EY26" s="297" t="s">
        <v>25</v>
      </c>
      <c r="EZ26" s="298"/>
      <c r="FA26" s="299"/>
      <c r="FB26" s="123">
        <f>SUM(FB25+FB22)</f>
        <v>0</v>
      </c>
      <c r="FC26" s="124">
        <f>SUM(FC25+FC22)</f>
        <v>0</v>
      </c>
      <c r="FD26" s="124">
        <f>SUM(FD25+FD22)</f>
        <v>0</v>
      </c>
      <c r="FE26" s="124">
        <f>SUM(FE25+FE22)</f>
        <v>0</v>
      </c>
      <c r="FF26" s="125">
        <f>SUM(FF25+FF22)</f>
        <v>0</v>
      </c>
      <c r="FG26" s="126">
        <f>SUM(FG22+FG25)</f>
        <v>0</v>
      </c>
      <c r="FH26" s="127">
        <f>SUM(FH25+FH22)</f>
        <v>0</v>
      </c>
      <c r="FI26" s="128">
        <f>SUM(FI25+FI22)</f>
        <v>0</v>
      </c>
      <c r="FJ26" s="129">
        <f>SUM(FJ25+FJ22)</f>
        <v>0</v>
      </c>
      <c r="FK26" s="130">
        <f>SUM(FK25+FK22)</f>
        <v>0</v>
      </c>
      <c r="FM26" s="297" t="s">
        <v>25</v>
      </c>
      <c r="FN26" s="298"/>
      <c r="FO26" s="299"/>
      <c r="FP26" s="123">
        <f>SUM(FP25+FP22)</f>
        <v>66257</v>
      </c>
      <c r="FQ26" s="124">
        <f>SUM(FQ25+FQ22)</f>
        <v>4390</v>
      </c>
      <c r="FR26" s="124">
        <f>SUM(FR25+FR22)</f>
        <v>3266</v>
      </c>
      <c r="FS26" s="124">
        <f>SUM(FS25+FS22)</f>
        <v>209</v>
      </c>
      <c r="FT26" s="125">
        <f>SUM(FT25+FT22)</f>
        <v>3802</v>
      </c>
      <c r="FU26" s="131">
        <f>SUM(FU22+FU25)</f>
        <v>77924</v>
      </c>
      <c r="FV26" s="132">
        <f>SUM(FV25+FV22)</f>
        <v>9962</v>
      </c>
      <c r="FW26" s="124">
        <f>SUM(FW25+FW22)</f>
        <v>38686</v>
      </c>
      <c r="FX26" s="125">
        <f>SUM(FX25+FX22)</f>
        <v>5580</v>
      </c>
      <c r="FY26" s="133">
        <f>SUM(FY25+FY22)</f>
        <v>54228</v>
      </c>
      <c r="GA26" s="61"/>
    </row>
    <row r="27" spans="1:183" s="96" customFormat="1" ht="20.100000000000001" customHeight="1" thickTop="1" thickBot="1" x14ac:dyDescent="0.25">
      <c r="A27" s="303" t="s">
        <v>36</v>
      </c>
      <c r="B27" s="306" t="s">
        <v>5</v>
      </c>
      <c r="C27" s="82" t="s">
        <v>20</v>
      </c>
      <c r="D27" s="197">
        <v>1102</v>
      </c>
      <c r="E27" s="198">
        <v>320</v>
      </c>
      <c r="F27" s="198">
        <v>297</v>
      </c>
      <c r="G27" s="199">
        <v>0</v>
      </c>
      <c r="H27" s="200">
        <v>120</v>
      </c>
      <c r="I27" s="201">
        <v>1839</v>
      </c>
      <c r="J27" s="198">
        <v>19</v>
      </c>
      <c r="K27" s="198">
        <v>280</v>
      </c>
      <c r="L27" s="200">
        <v>0</v>
      </c>
      <c r="M27" s="90">
        <f>SUM(J27:L27)</f>
        <v>299</v>
      </c>
      <c r="N27" s="91"/>
      <c r="O27" s="303" t="s">
        <v>36</v>
      </c>
      <c r="P27" s="306" t="s">
        <v>5</v>
      </c>
      <c r="Q27" s="82" t="s">
        <v>20</v>
      </c>
      <c r="R27" s="197">
        <v>1125</v>
      </c>
      <c r="S27" s="198">
        <v>209</v>
      </c>
      <c r="T27" s="198">
        <v>220</v>
      </c>
      <c r="U27" s="199">
        <v>0</v>
      </c>
      <c r="V27" s="200">
        <v>136</v>
      </c>
      <c r="W27" s="201">
        <v>1690</v>
      </c>
      <c r="X27" s="198">
        <v>301</v>
      </c>
      <c r="Y27" s="198">
        <v>776</v>
      </c>
      <c r="Z27" s="200">
        <v>0</v>
      </c>
      <c r="AA27" s="90">
        <f>SUM(X27:Z27)</f>
        <v>1077</v>
      </c>
      <c r="AB27" s="91"/>
      <c r="AC27" s="303" t="s">
        <v>36</v>
      </c>
      <c r="AD27" s="306" t="s">
        <v>5</v>
      </c>
      <c r="AE27" s="82" t="s">
        <v>20</v>
      </c>
      <c r="AF27" s="197">
        <v>2140</v>
      </c>
      <c r="AG27" s="198">
        <v>400</v>
      </c>
      <c r="AH27" s="198">
        <v>186</v>
      </c>
      <c r="AI27" s="199">
        <v>0</v>
      </c>
      <c r="AJ27" s="200">
        <v>205</v>
      </c>
      <c r="AK27" s="201">
        <v>2931</v>
      </c>
      <c r="AL27" s="198">
        <v>125</v>
      </c>
      <c r="AM27" s="198">
        <v>309</v>
      </c>
      <c r="AN27" s="200">
        <v>0</v>
      </c>
      <c r="AO27" s="90">
        <f>SUM(AL27:AN27)</f>
        <v>434</v>
      </c>
      <c r="AP27" s="91"/>
      <c r="AQ27" s="303" t="s">
        <v>36</v>
      </c>
      <c r="AR27" s="306" t="s">
        <v>5</v>
      </c>
      <c r="AS27" s="82" t="s">
        <v>20</v>
      </c>
      <c r="AT27" s="83">
        <v>0</v>
      </c>
      <c r="AU27" s="84">
        <v>0</v>
      </c>
      <c r="AV27" s="84">
        <v>0</v>
      </c>
      <c r="AW27" s="85">
        <v>0</v>
      </c>
      <c r="AX27" s="86">
        <v>0</v>
      </c>
      <c r="AY27" s="87">
        <f>SUM(AT27:AX27)</f>
        <v>0</v>
      </c>
      <c r="AZ27" s="88">
        <v>0</v>
      </c>
      <c r="BA27" s="84">
        <v>0</v>
      </c>
      <c r="BB27" s="89">
        <v>0</v>
      </c>
      <c r="BC27" s="90">
        <f>SUM(AZ27:BB27)</f>
        <v>0</v>
      </c>
      <c r="BD27" s="91"/>
      <c r="BE27" s="303" t="s">
        <v>36</v>
      </c>
      <c r="BF27" s="306" t="s">
        <v>5</v>
      </c>
      <c r="BG27" s="82" t="s">
        <v>20</v>
      </c>
      <c r="BH27" s="197">
        <v>3191</v>
      </c>
      <c r="BI27" s="198">
        <v>169</v>
      </c>
      <c r="BJ27" s="198">
        <v>450</v>
      </c>
      <c r="BK27" s="199">
        <v>0</v>
      </c>
      <c r="BL27" s="200">
        <v>190</v>
      </c>
      <c r="BM27" s="201">
        <v>4000</v>
      </c>
      <c r="BN27" s="198">
        <v>208</v>
      </c>
      <c r="BO27" s="198">
        <v>805</v>
      </c>
      <c r="BP27" s="200">
        <v>0</v>
      </c>
      <c r="BQ27" s="90">
        <f>SUM(BN27:BP27)</f>
        <v>1013</v>
      </c>
      <c r="BR27" s="91"/>
      <c r="BS27" s="303" t="s">
        <v>36</v>
      </c>
      <c r="BT27" s="306" t="s">
        <v>5</v>
      </c>
      <c r="BU27" s="82" t="s">
        <v>20</v>
      </c>
      <c r="BV27" s="197">
        <v>987</v>
      </c>
      <c r="BW27" s="198">
        <v>18</v>
      </c>
      <c r="BX27" s="198">
        <v>16</v>
      </c>
      <c r="BY27" s="199">
        <v>0</v>
      </c>
      <c r="BZ27" s="200">
        <v>169</v>
      </c>
      <c r="CA27" s="201">
        <v>1190</v>
      </c>
      <c r="CB27" s="198">
        <v>60</v>
      </c>
      <c r="CC27" s="198">
        <v>477</v>
      </c>
      <c r="CD27" s="200"/>
      <c r="CE27" s="242">
        <v>567</v>
      </c>
      <c r="CF27" s="91"/>
      <c r="CG27" s="303" t="s">
        <v>36</v>
      </c>
      <c r="CH27" s="306" t="s">
        <v>5</v>
      </c>
      <c r="CI27" s="82" t="s">
        <v>20</v>
      </c>
      <c r="CJ27" s="210">
        <v>1125</v>
      </c>
      <c r="CK27" s="211">
        <v>209</v>
      </c>
      <c r="CL27" s="211">
        <v>220</v>
      </c>
      <c r="CM27" s="212">
        <v>0</v>
      </c>
      <c r="CN27" s="213">
        <v>136</v>
      </c>
      <c r="CO27" s="214">
        <v>1690</v>
      </c>
      <c r="CP27" s="211">
        <v>301</v>
      </c>
      <c r="CQ27" s="211">
        <v>776</v>
      </c>
      <c r="CR27" s="213">
        <v>0</v>
      </c>
      <c r="CS27" s="244">
        <v>1077</v>
      </c>
      <c r="CT27" s="91"/>
      <c r="CU27" s="303" t="s">
        <v>36</v>
      </c>
      <c r="CV27" s="306" t="s">
        <v>5</v>
      </c>
      <c r="CW27" s="82" t="s">
        <v>20</v>
      </c>
      <c r="CX27" s="247">
        <v>2917</v>
      </c>
      <c r="CY27" s="248">
        <v>191</v>
      </c>
      <c r="CZ27" s="248">
        <v>400</v>
      </c>
      <c r="DA27" s="249">
        <v>0</v>
      </c>
      <c r="DB27" s="250">
        <v>219</v>
      </c>
      <c r="DC27" s="283">
        <v>3727</v>
      </c>
      <c r="DD27" s="248">
        <v>8</v>
      </c>
      <c r="DE27" s="248">
        <v>211</v>
      </c>
      <c r="DF27" s="250">
        <v>0</v>
      </c>
      <c r="DG27" s="90">
        <f>SUM(DD27:DF27)</f>
        <v>219</v>
      </c>
      <c r="DH27" s="91"/>
      <c r="DI27" s="303" t="s">
        <v>36</v>
      </c>
      <c r="DJ27" s="306" t="s">
        <v>5</v>
      </c>
      <c r="DK27" s="82" t="s">
        <v>20</v>
      </c>
      <c r="DL27" s="285">
        <v>1969</v>
      </c>
      <c r="DM27" s="253">
        <v>16</v>
      </c>
      <c r="DN27" s="253">
        <v>503</v>
      </c>
      <c r="DO27" s="286">
        <v>0</v>
      </c>
      <c r="DP27" s="287">
        <v>798</v>
      </c>
      <c r="DQ27" s="251">
        <f t="shared" ref="DQ27:DQ28" si="165">SUM(DL27:DP27)</f>
        <v>3286</v>
      </c>
      <c r="DR27" s="252">
        <v>117</v>
      </c>
      <c r="DS27" s="253">
        <v>1251</v>
      </c>
      <c r="DT27" s="254">
        <v>0</v>
      </c>
      <c r="DU27" s="288">
        <f t="shared" ref="DU27:DU28" si="166">SUM(DR27:DT27)</f>
        <v>1368</v>
      </c>
      <c r="DV27" s="91"/>
      <c r="DW27" s="303" t="s">
        <v>36</v>
      </c>
      <c r="DX27" s="306" t="s">
        <v>5</v>
      </c>
      <c r="DY27" s="82" t="s">
        <v>20</v>
      </c>
      <c r="DZ27" s="197">
        <v>1102</v>
      </c>
      <c r="EA27" s="198">
        <v>320</v>
      </c>
      <c r="EB27" s="198">
        <v>297</v>
      </c>
      <c r="EC27" s="199">
        <v>0</v>
      </c>
      <c r="ED27" s="200">
        <v>120</v>
      </c>
      <c r="EE27" s="201">
        <v>1839</v>
      </c>
      <c r="EF27" s="198">
        <v>19</v>
      </c>
      <c r="EG27" s="198">
        <v>280</v>
      </c>
      <c r="EH27" s="200">
        <v>0</v>
      </c>
      <c r="EI27" s="242">
        <v>299</v>
      </c>
      <c r="EJ27" s="91"/>
      <c r="EK27" s="303" t="s">
        <v>36</v>
      </c>
      <c r="EL27" s="306" t="s">
        <v>5</v>
      </c>
      <c r="EM27" s="82" t="s">
        <v>20</v>
      </c>
      <c r="EN27" s="83">
        <v>0</v>
      </c>
      <c r="EO27" s="84">
        <v>0</v>
      </c>
      <c r="EP27" s="84">
        <v>0</v>
      </c>
      <c r="EQ27" s="85">
        <v>0</v>
      </c>
      <c r="ER27" s="86">
        <v>0</v>
      </c>
      <c r="ES27" s="87">
        <f>SUM(EN27:ER27)</f>
        <v>0</v>
      </c>
      <c r="ET27" s="88">
        <v>0</v>
      </c>
      <c r="EU27" s="84">
        <v>0</v>
      </c>
      <c r="EV27" s="89">
        <v>0</v>
      </c>
      <c r="EW27" s="90">
        <f>SUM(ET27:EV27)</f>
        <v>0</v>
      </c>
      <c r="EX27" s="91"/>
      <c r="EY27" s="303" t="s">
        <v>36</v>
      </c>
      <c r="EZ27" s="306" t="s">
        <v>5</v>
      </c>
      <c r="FA27" s="82" t="s">
        <v>20</v>
      </c>
      <c r="FB27" s="83">
        <v>0</v>
      </c>
      <c r="FC27" s="84">
        <v>0</v>
      </c>
      <c r="FD27" s="84">
        <v>0</v>
      </c>
      <c r="FE27" s="85">
        <v>0</v>
      </c>
      <c r="FF27" s="86">
        <v>0</v>
      </c>
      <c r="FG27" s="87">
        <f>SUM(FB27:FF27)</f>
        <v>0</v>
      </c>
      <c r="FH27" s="88">
        <v>0</v>
      </c>
      <c r="FI27" s="84">
        <v>0</v>
      </c>
      <c r="FJ27" s="89">
        <v>0</v>
      </c>
      <c r="FK27" s="90">
        <f>SUM(FH27:FJ27)</f>
        <v>0</v>
      </c>
      <c r="FL27" s="147"/>
      <c r="FM27" s="303" t="str">
        <f>EY27</f>
        <v>المطار القديم</v>
      </c>
      <c r="FN27" s="306" t="s">
        <v>5</v>
      </c>
      <c r="FO27" s="82" t="s">
        <v>20</v>
      </c>
      <c r="FP27" s="83">
        <f t="shared" ref="FP27:FP28" si="167">SUM(D27+R27+AF27+AT27+BH27+BV27+CJ27+CX27+DL27+DZ27+EN27+FB27)</f>
        <v>15658</v>
      </c>
      <c r="FQ27" s="83">
        <f t="shared" ref="FQ27:FQ28" si="168">SUM(E27+S27+AG27+AU27+BI27+BW27+CK27+CY27+DM27+EA27+EO27+FC27)</f>
        <v>1852</v>
      </c>
      <c r="FR27" s="83">
        <f t="shared" ref="FR27:FR28" si="169">SUM(F27+T27+AH27+AV27+BJ27+BX27+CL27+CZ27+DN27+EB27+EP27+FD27)</f>
        <v>2589</v>
      </c>
      <c r="FS27" s="149">
        <f t="shared" ref="FS27:FS28" si="170">SUM(G27+U27+AI27+AW27+BK27+BY27+CM27+DA27+DO27+EC27+EQ27+FE27)</f>
        <v>0</v>
      </c>
      <c r="FT27" s="83">
        <f t="shared" ref="FT27:FT28" si="171">SUM(H27+V27+AJ27+AX27+BL27+BZ27+CN27+DB27+DP27+ED27+ER27+FF27)</f>
        <v>2093</v>
      </c>
      <c r="FU27" s="93">
        <f>SUM(FP27:FT27)</f>
        <v>22192</v>
      </c>
      <c r="FV27" s="88">
        <f t="shared" ref="FV27:FV28" si="172">SUM(J27+X27+AL27+AZ27+BN27+CB27+CP27+DD27+DR27+EF27+ET27+FH27)</f>
        <v>1158</v>
      </c>
      <c r="FW27" s="88">
        <f t="shared" ref="FW27:FW28" si="173">SUM(K27+Y27+AM27+BA27+BO27+CC27+CQ27+DE27+DS27+EG27+EU27+FI27)</f>
        <v>5165</v>
      </c>
      <c r="FX27" s="88">
        <f t="shared" ref="FX27:FX28" si="174">SUM(L27+Z27+AN27+BB27+BP27+CD27+CR27+DF27+DT27+EH27+EV27+FJ27)</f>
        <v>0</v>
      </c>
      <c r="FY27" s="94">
        <f>SUM(FV27:FX27)</f>
        <v>6323</v>
      </c>
      <c r="FZ27" s="95"/>
      <c r="GA27" s="91"/>
    </row>
    <row r="28" spans="1:183" s="96" customFormat="1" ht="20.100000000000001" customHeight="1" thickBot="1" x14ac:dyDescent="0.25">
      <c r="A28" s="304"/>
      <c r="B28" s="307"/>
      <c r="C28" s="97" t="s">
        <v>21</v>
      </c>
      <c r="D28" s="202">
        <v>805</v>
      </c>
      <c r="E28" s="203">
        <v>155</v>
      </c>
      <c r="F28" s="203">
        <v>114</v>
      </c>
      <c r="G28" s="203">
        <v>5</v>
      </c>
      <c r="H28" s="204">
        <v>199</v>
      </c>
      <c r="I28" s="205">
        <v>1278</v>
      </c>
      <c r="J28" s="203">
        <v>9</v>
      </c>
      <c r="K28" s="203">
        <v>163</v>
      </c>
      <c r="L28" s="204">
        <v>0</v>
      </c>
      <c r="M28" s="104">
        <f>SUM(J28:L28)</f>
        <v>172</v>
      </c>
      <c r="N28" s="91"/>
      <c r="O28" s="304"/>
      <c r="P28" s="307"/>
      <c r="Q28" s="97" t="s">
        <v>21</v>
      </c>
      <c r="R28" s="202">
        <v>952</v>
      </c>
      <c r="S28" s="203">
        <v>191</v>
      </c>
      <c r="T28" s="203">
        <v>184</v>
      </c>
      <c r="U28" s="203">
        <v>5</v>
      </c>
      <c r="V28" s="204">
        <v>200</v>
      </c>
      <c r="W28" s="205">
        <v>1532</v>
      </c>
      <c r="X28" s="203">
        <v>212</v>
      </c>
      <c r="Y28" s="203">
        <v>833</v>
      </c>
      <c r="Z28" s="204">
        <v>0</v>
      </c>
      <c r="AA28" s="104">
        <f>SUM(X28:Z28)</f>
        <v>1045</v>
      </c>
      <c r="AB28" s="91"/>
      <c r="AC28" s="304"/>
      <c r="AD28" s="307"/>
      <c r="AE28" s="97" t="s">
        <v>21</v>
      </c>
      <c r="AF28" s="202">
        <v>3110</v>
      </c>
      <c r="AG28" s="203">
        <v>315</v>
      </c>
      <c r="AH28" s="203">
        <v>230</v>
      </c>
      <c r="AI28" s="203">
        <v>2</v>
      </c>
      <c r="AJ28" s="204">
        <v>119</v>
      </c>
      <c r="AK28" s="205">
        <v>3776</v>
      </c>
      <c r="AL28" s="203">
        <v>50</v>
      </c>
      <c r="AM28" s="203">
        <v>210</v>
      </c>
      <c r="AN28" s="204">
        <v>0</v>
      </c>
      <c r="AO28" s="104">
        <f>SUM(AL28:AN28)</f>
        <v>260</v>
      </c>
      <c r="AP28" s="91"/>
      <c r="AQ28" s="304"/>
      <c r="AR28" s="307"/>
      <c r="AS28" s="97" t="s">
        <v>21</v>
      </c>
      <c r="AT28" s="98">
        <v>0</v>
      </c>
      <c r="AU28" s="99">
        <v>0</v>
      </c>
      <c r="AV28" s="99">
        <v>0</v>
      </c>
      <c r="AW28" s="99">
        <v>0</v>
      </c>
      <c r="AX28" s="100">
        <v>0</v>
      </c>
      <c r="AY28" s="101">
        <f>SUM(AT28:AX28)</f>
        <v>0</v>
      </c>
      <c r="AZ28" s="102">
        <v>0</v>
      </c>
      <c r="BA28" s="99">
        <v>0</v>
      </c>
      <c r="BB28" s="103">
        <v>0</v>
      </c>
      <c r="BC28" s="104">
        <f>SUM(AZ28:BB28)</f>
        <v>0</v>
      </c>
      <c r="BD28" s="91"/>
      <c r="BE28" s="304"/>
      <c r="BF28" s="307"/>
      <c r="BG28" s="97" t="s">
        <v>21</v>
      </c>
      <c r="BH28" s="202">
        <v>419</v>
      </c>
      <c r="BI28" s="203">
        <v>290</v>
      </c>
      <c r="BJ28" s="203">
        <v>419</v>
      </c>
      <c r="BK28" s="203">
        <v>6</v>
      </c>
      <c r="BL28" s="204">
        <v>201</v>
      </c>
      <c r="BM28" s="205">
        <v>1335</v>
      </c>
      <c r="BN28" s="203">
        <v>88</v>
      </c>
      <c r="BO28" s="203">
        <v>1000</v>
      </c>
      <c r="BP28" s="204">
        <v>0</v>
      </c>
      <c r="BQ28" s="104">
        <f>SUM(BN28:BP28)</f>
        <v>1088</v>
      </c>
      <c r="BR28" s="91"/>
      <c r="BS28" s="304"/>
      <c r="BT28" s="307"/>
      <c r="BU28" s="97" t="s">
        <v>21</v>
      </c>
      <c r="BV28" s="202">
        <v>1002</v>
      </c>
      <c r="BW28" s="203">
        <v>22</v>
      </c>
      <c r="BX28" s="203">
        <v>27</v>
      </c>
      <c r="BY28" s="203">
        <v>5</v>
      </c>
      <c r="BZ28" s="204">
        <v>150</v>
      </c>
      <c r="CA28" s="205">
        <v>1206</v>
      </c>
      <c r="CB28" s="203">
        <v>56</v>
      </c>
      <c r="CC28" s="203">
        <v>839</v>
      </c>
      <c r="CD28" s="204"/>
      <c r="CE28" s="208">
        <v>910</v>
      </c>
      <c r="CF28" s="91"/>
      <c r="CG28" s="304"/>
      <c r="CH28" s="307"/>
      <c r="CI28" s="97" t="s">
        <v>21</v>
      </c>
      <c r="CJ28" s="202">
        <v>952</v>
      </c>
      <c r="CK28" s="203">
        <v>191</v>
      </c>
      <c r="CL28" s="203">
        <v>184</v>
      </c>
      <c r="CM28" s="203">
        <v>5</v>
      </c>
      <c r="CN28" s="204">
        <v>200</v>
      </c>
      <c r="CO28" s="205">
        <v>1532</v>
      </c>
      <c r="CP28" s="203">
        <v>212</v>
      </c>
      <c r="CQ28" s="203">
        <v>833</v>
      </c>
      <c r="CR28" s="204">
        <v>0</v>
      </c>
      <c r="CS28" s="208">
        <v>1045</v>
      </c>
      <c r="CT28" s="91"/>
      <c r="CU28" s="304"/>
      <c r="CV28" s="307"/>
      <c r="CW28" s="97" t="s">
        <v>21</v>
      </c>
      <c r="CX28" s="255">
        <v>619</v>
      </c>
      <c r="CY28" s="256">
        <v>80</v>
      </c>
      <c r="CZ28" s="256">
        <v>219</v>
      </c>
      <c r="DA28" s="256">
        <v>10</v>
      </c>
      <c r="DB28" s="257">
        <v>118</v>
      </c>
      <c r="DC28" s="284">
        <v>1046</v>
      </c>
      <c r="DD28" s="256">
        <v>18</v>
      </c>
      <c r="DE28" s="256">
        <v>101</v>
      </c>
      <c r="DF28" s="257">
        <v>0</v>
      </c>
      <c r="DG28" s="104">
        <f>SUM(DD28:DF28)</f>
        <v>119</v>
      </c>
      <c r="DH28" s="91"/>
      <c r="DI28" s="304"/>
      <c r="DJ28" s="307"/>
      <c r="DK28" s="97" t="s">
        <v>21</v>
      </c>
      <c r="DL28" s="274">
        <v>2287</v>
      </c>
      <c r="DM28" s="260">
        <v>9</v>
      </c>
      <c r="DN28" s="260">
        <v>563</v>
      </c>
      <c r="DO28" s="260">
        <v>58</v>
      </c>
      <c r="DP28" s="275">
        <v>574</v>
      </c>
      <c r="DQ28" s="258">
        <f t="shared" si="165"/>
        <v>3491</v>
      </c>
      <c r="DR28" s="259">
        <v>27</v>
      </c>
      <c r="DS28" s="260">
        <v>1914</v>
      </c>
      <c r="DT28" s="261">
        <v>0</v>
      </c>
      <c r="DU28" s="289">
        <f t="shared" si="166"/>
        <v>1941</v>
      </c>
      <c r="DV28" s="91"/>
      <c r="DW28" s="304"/>
      <c r="DX28" s="307"/>
      <c r="DY28" s="97" t="s">
        <v>21</v>
      </c>
      <c r="DZ28" s="202">
        <v>805</v>
      </c>
      <c r="EA28" s="203">
        <v>155</v>
      </c>
      <c r="EB28" s="203">
        <v>114</v>
      </c>
      <c r="EC28" s="203">
        <v>5</v>
      </c>
      <c r="ED28" s="204">
        <v>199</v>
      </c>
      <c r="EE28" s="205">
        <v>1278</v>
      </c>
      <c r="EF28" s="203">
        <v>9</v>
      </c>
      <c r="EG28" s="203">
        <v>163</v>
      </c>
      <c r="EH28" s="204">
        <v>0</v>
      </c>
      <c r="EI28" s="208">
        <v>172</v>
      </c>
      <c r="EJ28" s="91"/>
      <c r="EK28" s="304"/>
      <c r="EL28" s="307"/>
      <c r="EM28" s="97" t="s">
        <v>21</v>
      </c>
      <c r="EN28" s="98">
        <v>0</v>
      </c>
      <c r="EO28" s="99">
        <v>0</v>
      </c>
      <c r="EP28" s="99">
        <v>0</v>
      </c>
      <c r="EQ28" s="99">
        <v>0</v>
      </c>
      <c r="ER28" s="100">
        <v>0</v>
      </c>
      <c r="ES28" s="101">
        <f>SUM(EN28:ER28)</f>
        <v>0</v>
      </c>
      <c r="ET28" s="102">
        <v>0</v>
      </c>
      <c r="EU28" s="99">
        <v>0</v>
      </c>
      <c r="EV28" s="103">
        <v>0</v>
      </c>
      <c r="EW28" s="104">
        <f>SUM(ET28:EV28)</f>
        <v>0</v>
      </c>
      <c r="EX28" s="91"/>
      <c r="EY28" s="304"/>
      <c r="EZ28" s="307"/>
      <c r="FA28" s="97" t="s">
        <v>21</v>
      </c>
      <c r="FB28" s="98">
        <v>0</v>
      </c>
      <c r="FC28" s="99">
        <v>0</v>
      </c>
      <c r="FD28" s="99">
        <v>0</v>
      </c>
      <c r="FE28" s="99">
        <v>0</v>
      </c>
      <c r="FF28" s="100">
        <v>0</v>
      </c>
      <c r="FG28" s="101">
        <f>SUM(FB28:FF28)</f>
        <v>0</v>
      </c>
      <c r="FH28" s="102">
        <v>0</v>
      </c>
      <c r="FI28" s="99">
        <v>0</v>
      </c>
      <c r="FJ28" s="103">
        <v>0</v>
      </c>
      <c r="FK28" s="104">
        <f>SUM(FH28:FJ28)</f>
        <v>0</v>
      </c>
      <c r="FL28" s="147"/>
      <c r="FM28" s="304"/>
      <c r="FN28" s="307"/>
      <c r="FO28" s="97" t="s">
        <v>21</v>
      </c>
      <c r="FP28" s="83">
        <f t="shared" si="167"/>
        <v>10951</v>
      </c>
      <c r="FQ28" s="83">
        <f t="shared" si="168"/>
        <v>1408</v>
      </c>
      <c r="FR28" s="83">
        <f t="shared" si="169"/>
        <v>2054</v>
      </c>
      <c r="FS28" s="83">
        <f t="shared" si="170"/>
        <v>101</v>
      </c>
      <c r="FT28" s="83">
        <f t="shared" si="171"/>
        <v>1960</v>
      </c>
      <c r="FU28" s="101">
        <f>SUM(FP28:FT28)</f>
        <v>16474</v>
      </c>
      <c r="FV28" s="88">
        <f t="shared" si="172"/>
        <v>681</v>
      </c>
      <c r="FW28" s="88">
        <f t="shared" si="173"/>
        <v>6056</v>
      </c>
      <c r="FX28" s="88">
        <f t="shared" si="174"/>
        <v>0</v>
      </c>
      <c r="FY28" s="106">
        <f>SUM(FV28:FX28)</f>
        <v>6737</v>
      </c>
      <c r="FZ28" s="95"/>
      <c r="GA28" s="91"/>
    </row>
    <row r="29" spans="1:183" s="96" customFormat="1" ht="20.100000000000001" customHeight="1" thickBot="1" x14ac:dyDescent="0.25">
      <c r="A29" s="304"/>
      <c r="B29" s="308" t="s">
        <v>22</v>
      </c>
      <c r="C29" s="311"/>
      <c r="D29" s="206">
        <v>1907</v>
      </c>
      <c r="E29" s="207">
        <v>475</v>
      </c>
      <c r="F29" s="207">
        <v>411</v>
      </c>
      <c r="G29" s="207">
        <v>5</v>
      </c>
      <c r="H29" s="208">
        <v>319</v>
      </c>
      <c r="I29" s="209">
        <v>3117</v>
      </c>
      <c r="J29" s="207">
        <v>28</v>
      </c>
      <c r="K29" s="207">
        <v>443</v>
      </c>
      <c r="L29" s="208">
        <v>0</v>
      </c>
      <c r="M29" s="112">
        <f t="shared" ref="M29" si="175">SUM(M27:M28)</f>
        <v>471</v>
      </c>
      <c r="N29" s="91"/>
      <c r="O29" s="304"/>
      <c r="P29" s="308" t="s">
        <v>22</v>
      </c>
      <c r="Q29" s="311"/>
      <c r="R29" s="206">
        <v>2077</v>
      </c>
      <c r="S29" s="207">
        <v>400</v>
      </c>
      <c r="T29" s="207">
        <v>404</v>
      </c>
      <c r="U29" s="207">
        <v>5</v>
      </c>
      <c r="V29" s="208">
        <v>336</v>
      </c>
      <c r="W29" s="209">
        <v>3222</v>
      </c>
      <c r="X29" s="207">
        <v>513</v>
      </c>
      <c r="Y29" s="207">
        <v>1609</v>
      </c>
      <c r="Z29" s="208">
        <v>0</v>
      </c>
      <c r="AA29" s="112">
        <f t="shared" ref="AA29" si="176">SUM(AA27:AA28)</f>
        <v>2122</v>
      </c>
      <c r="AB29" s="91"/>
      <c r="AC29" s="304"/>
      <c r="AD29" s="308" t="s">
        <v>22</v>
      </c>
      <c r="AE29" s="311"/>
      <c r="AF29" s="206">
        <v>5250</v>
      </c>
      <c r="AG29" s="207">
        <v>715</v>
      </c>
      <c r="AH29" s="207">
        <v>416</v>
      </c>
      <c r="AI29" s="207">
        <v>2</v>
      </c>
      <c r="AJ29" s="208">
        <v>324</v>
      </c>
      <c r="AK29" s="209">
        <v>6707</v>
      </c>
      <c r="AL29" s="207">
        <v>175</v>
      </c>
      <c r="AM29" s="207">
        <v>519</v>
      </c>
      <c r="AN29" s="208">
        <v>0</v>
      </c>
      <c r="AO29" s="112">
        <f t="shared" ref="AO29" si="177">SUM(AO27:AO28)</f>
        <v>694</v>
      </c>
      <c r="AP29" s="91"/>
      <c r="AQ29" s="304"/>
      <c r="AR29" s="308" t="s">
        <v>22</v>
      </c>
      <c r="AS29" s="311"/>
      <c r="AT29" s="107">
        <f t="shared" ref="AT29:BC29" si="178">SUM(AT27:AT28)</f>
        <v>0</v>
      </c>
      <c r="AU29" s="108">
        <f t="shared" si="178"/>
        <v>0</v>
      </c>
      <c r="AV29" s="108">
        <f t="shared" si="178"/>
        <v>0</v>
      </c>
      <c r="AW29" s="108">
        <f t="shared" si="178"/>
        <v>0</v>
      </c>
      <c r="AX29" s="109">
        <f t="shared" si="178"/>
        <v>0</v>
      </c>
      <c r="AY29" s="110">
        <f t="shared" si="178"/>
        <v>0</v>
      </c>
      <c r="AZ29" s="111">
        <f t="shared" si="178"/>
        <v>0</v>
      </c>
      <c r="BA29" s="108">
        <f t="shared" si="178"/>
        <v>0</v>
      </c>
      <c r="BB29" s="109">
        <f t="shared" si="178"/>
        <v>0</v>
      </c>
      <c r="BC29" s="112">
        <f t="shared" si="178"/>
        <v>0</v>
      </c>
      <c r="BD29" s="91"/>
      <c r="BE29" s="304"/>
      <c r="BF29" s="308" t="s">
        <v>22</v>
      </c>
      <c r="BG29" s="311"/>
      <c r="BH29" s="206">
        <v>3610</v>
      </c>
      <c r="BI29" s="207">
        <v>459</v>
      </c>
      <c r="BJ29" s="207">
        <v>869</v>
      </c>
      <c r="BK29" s="207">
        <v>6</v>
      </c>
      <c r="BL29" s="208">
        <v>391</v>
      </c>
      <c r="BM29" s="209">
        <v>5335</v>
      </c>
      <c r="BN29" s="207">
        <v>296</v>
      </c>
      <c r="BO29" s="207">
        <v>1805</v>
      </c>
      <c r="BP29" s="208">
        <v>0</v>
      </c>
      <c r="BQ29" s="112">
        <f t="shared" ref="BQ29" si="179">SUM(BQ27:BQ28)</f>
        <v>2101</v>
      </c>
      <c r="BR29" s="91"/>
      <c r="BS29" s="304"/>
      <c r="BT29" s="308" t="s">
        <v>22</v>
      </c>
      <c r="BU29" s="311"/>
      <c r="BV29" s="206">
        <v>1989</v>
      </c>
      <c r="BW29" s="207">
        <v>40</v>
      </c>
      <c r="BX29" s="207">
        <v>43</v>
      </c>
      <c r="BY29" s="207">
        <v>5</v>
      </c>
      <c r="BZ29" s="208">
        <v>319</v>
      </c>
      <c r="CA29" s="209">
        <v>2396</v>
      </c>
      <c r="CB29" s="207">
        <v>116</v>
      </c>
      <c r="CC29" s="207">
        <v>1316</v>
      </c>
      <c r="CD29" s="208"/>
      <c r="CE29" s="243">
        <v>1477</v>
      </c>
      <c r="CF29" s="91"/>
      <c r="CG29" s="304"/>
      <c r="CH29" s="308" t="s">
        <v>22</v>
      </c>
      <c r="CI29" s="311"/>
      <c r="CJ29" s="206">
        <v>2077</v>
      </c>
      <c r="CK29" s="207">
        <v>400</v>
      </c>
      <c r="CL29" s="207">
        <v>404</v>
      </c>
      <c r="CM29" s="207">
        <v>5</v>
      </c>
      <c r="CN29" s="208">
        <v>336</v>
      </c>
      <c r="CO29" s="209">
        <v>3222</v>
      </c>
      <c r="CP29" s="207">
        <v>513</v>
      </c>
      <c r="CQ29" s="207">
        <v>1609</v>
      </c>
      <c r="CR29" s="208">
        <v>0</v>
      </c>
      <c r="CS29" s="243">
        <v>2122</v>
      </c>
      <c r="CT29" s="91"/>
      <c r="CU29" s="304"/>
      <c r="CV29" s="308" t="s">
        <v>22</v>
      </c>
      <c r="CW29" s="311"/>
      <c r="CX29" s="262">
        <f t="shared" ref="CX29:DF29" si="180">SUM(CX27:CX28)</f>
        <v>3536</v>
      </c>
      <c r="CY29" s="263">
        <f t="shared" si="180"/>
        <v>271</v>
      </c>
      <c r="CZ29" s="263">
        <f t="shared" si="180"/>
        <v>619</v>
      </c>
      <c r="DA29" s="263">
        <f t="shared" si="180"/>
        <v>10</v>
      </c>
      <c r="DB29" s="264">
        <f t="shared" si="180"/>
        <v>337</v>
      </c>
      <c r="DC29" s="265">
        <f t="shared" si="180"/>
        <v>4773</v>
      </c>
      <c r="DD29" s="266">
        <f t="shared" si="180"/>
        <v>26</v>
      </c>
      <c r="DE29" s="263">
        <f t="shared" si="180"/>
        <v>312</v>
      </c>
      <c r="DF29" s="264">
        <f t="shared" si="180"/>
        <v>0</v>
      </c>
      <c r="DG29" s="112">
        <f t="shared" ref="DG29" si="181">SUM(DG27:DG28)</f>
        <v>338</v>
      </c>
      <c r="DH29" s="91"/>
      <c r="DI29" s="304"/>
      <c r="DJ29" s="308" t="s">
        <v>22</v>
      </c>
      <c r="DK29" s="311"/>
      <c r="DL29" s="262">
        <f t="shared" ref="DL29:DU29" si="182">SUM(DL27:DL28)</f>
        <v>4256</v>
      </c>
      <c r="DM29" s="263">
        <f t="shared" si="182"/>
        <v>25</v>
      </c>
      <c r="DN29" s="263">
        <f t="shared" si="182"/>
        <v>1066</v>
      </c>
      <c r="DO29" s="263">
        <f t="shared" si="182"/>
        <v>58</v>
      </c>
      <c r="DP29" s="264">
        <f t="shared" si="182"/>
        <v>1372</v>
      </c>
      <c r="DQ29" s="265">
        <f t="shared" si="182"/>
        <v>6777</v>
      </c>
      <c r="DR29" s="266">
        <f t="shared" si="182"/>
        <v>144</v>
      </c>
      <c r="DS29" s="263">
        <f t="shared" si="182"/>
        <v>3165</v>
      </c>
      <c r="DT29" s="264">
        <f t="shared" si="182"/>
        <v>0</v>
      </c>
      <c r="DU29" s="290">
        <f t="shared" si="182"/>
        <v>3309</v>
      </c>
      <c r="DV29" s="91"/>
      <c r="DW29" s="304"/>
      <c r="DX29" s="308" t="s">
        <v>22</v>
      </c>
      <c r="DY29" s="311"/>
      <c r="DZ29" s="206">
        <v>1907</v>
      </c>
      <c r="EA29" s="207">
        <v>475</v>
      </c>
      <c r="EB29" s="207">
        <v>411</v>
      </c>
      <c r="EC29" s="207">
        <v>5</v>
      </c>
      <c r="ED29" s="208">
        <v>319</v>
      </c>
      <c r="EE29" s="209">
        <v>3117</v>
      </c>
      <c r="EF29" s="207">
        <v>28</v>
      </c>
      <c r="EG29" s="207">
        <v>443</v>
      </c>
      <c r="EH29" s="208">
        <v>0</v>
      </c>
      <c r="EI29" s="243">
        <v>471</v>
      </c>
      <c r="EJ29" s="91"/>
      <c r="EK29" s="304"/>
      <c r="EL29" s="308" t="s">
        <v>22</v>
      </c>
      <c r="EM29" s="311"/>
      <c r="EN29" s="107">
        <f t="shared" ref="EN29:EW29" si="183">SUM(EN27:EN28)</f>
        <v>0</v>
      </c>
      <c r="EO29" s="108">
        <f t="shared" si="183"/>
        <v>0</v>
      </c>
      <c r="EP29" s="108">
        <f t="shared" si="183"/>
        <v>0</v>
      </c>
      <c r="EQ29" s="108">
        <f t="shared" si="183"/>
        <v>0</v>
      </c>
      <c r="ER29" s="109">
        <f t="shared" si="183"/>
        <v>0</v>
      </c>
      <c r="ES29" s="110">
        <f t="shared" si="183"/>
        <v>0</v>
      </c>
      <c r="ET29" s="111">
        <f t="shared" si="183"/>
        <v>0</v>
      </c>
      <c r="EU29" s="108">
        <f t="shared" si="183"/>
        <v>0</v>
      </c>
      <c r="EV29" s="109">
        <f t="shared" si="183"/>
        <v>0</v>
      </c>
      <c r="EW29" s="112">
        <f t="shared" si="183"/>
        <v>0</v>
      </c>
      <c r="EX29" s="91"/>
      <c r="EY29" s="304"/>
      <c r="EZ29" s="308" t="s">
        <v>22</v>
      </c>
      <c r="FA29" s="311"/>
      <c r="FB29" s="107">
        <f t="shared" ref="FB29:FK29" si="184">SUM(FB27:FB28)</f>
        <v>0</v>
      </c>
      <c r="FC29" s="108">
        <f t="shared" si="184"/>
        <v>0</v>
      </c>
      <c r="FD29" s="108">
        <f t="shared" si="184"/>
        <v>0</v>
      </c>
      <c r="FE29" s="108">
        <f t="shared" si="184"/>
        <v>0</v>
      </c>
      <c r="FF29" s="109">
        <f t="shared" si="184"/>
        <v>0</v>
      </c>
      <c r="FG29" s="110">
        <f t="shared" si="184"/>
        <v>0</v>
      </c>
      <c r="FH29" s="111">
        <f t="shared" si="184"/>
        <v>0</v>
      </c>
      <c r="FI29" s="108">
        <f t="shared" si="184"/>
        <v>0</v>
      </c>
      <c r="FJ29" s="109">
        <f t="shared" si="184"/>
        <v>0</v>
      </c>
      <c r="FK29" s="112">
        <f t="shared" si="184"/>
        <v>0</v>
      </c>
      <c r="FL29" s="147"/>
      <c r="FM29" s="304"/>
      <c r="FN29" s="308" t="s">
        <v>22</v>
      </c>
      <c r="FO29" s="311"/>
      <c r="FP29" s="107">
        <f t="shared" ref="FP29:FY29" si="185">SUM(FP27:FP28)</f>
        <v>26609</v>
      </c>
      <c r="FQ29" s="108">
        <f t="shared" si="185"/>
        <v>3260</v>
      </c>
      <c r="FR29" s="108">
        <f t="shared" si="185"/>
        <v>4643</v>
      </c>
      <c r="FS29" s="108">
        <f t="shared" si="185"/>
        <v>101</v>
      </c>
      <c r="FT29" s="109">
        <f t="shared" si="185"/>
        <v>4053</v>
      </c>
      <c r="FU29" s="113">
        <f t="shared" si="185"/>
        <v>38666</v>
      </c>
      <c r="FV29" s="111">
        <f t="shared" si="185"/>
        <v>1839</v>
      </c>
      <c r="FW29" s="108">
        <f t="shared" si="185"/>
        <v>11221</v>
      </c>
      <c r="FX29" s="109">
        <f t="shared" si="185"/>
        <v>0</v>
      </c>
      <c r="FY29" s="114">
        <f t="shared" si="185"/>
        <v>13060</v>
      </c>
      <c r="FZ29" s="95"/>
      <c r="GA29" s="91"/>
    </row>
    <row r="30" spans="1:183" s="96" customFormat="1" ht="20.100000000000001" customHeight="1" thickTop="1" thickBot="1" x14ac:dyDescent="0.25">
      <c r="A30" s="304"/>
      <c r="B30" s="300" t="s">
        <v>23</v>
      </c>
      <c r="C30" s="82" t="s">
        <v>20</v>
      </c>
      <c r="D30" s="210">
        <v>220</v>
      </c>
      <c r="E30" s="211">
        <v>90</v>
      </c>
      <c r="F30" s="211">
        <v>0</v>
      </c>
      <c r="G30" s="212">
        <v>0</v>
      </c>
      <c r="H30" s="213">
        <v>52</v>
      </c>
      <c r="I30" s="214">
        <v>362</v>
      </c>
      <c r="J30" s="211">
        <v>4</v>
      </c>
      <c r="K30" s="211">
        <v>100</v>
      </c>
      <c r="L30" s="213">
        <v>0</v>
      </c>
      <c r="M30" s="121">
        <f>SUM(J30:L30)</f>
        <v>104</v>
      </c>
      <c r="N30" s="91"/>
      <c r="O30" s="304"/>
      <c r="P30" s="300" t="s">
        <v>23</v>
      </c>
      <c r="Q30" s="82" t="s">
        <v>20</v>
      </c>
      <c r="R30" s="210">
        <v>195</v>
      </c>
      <c r="S30" s="211">
        <v>77</v>
      </c>
      <c r="T30" s="211">
        <v>0</v>
      </c>
      <c r="U30" s="212">
        <v>0</v>
      </c>
      <c r="V30" s="213">
        <v>36</v>
      </c>
      <c r="W30" s="214">
        <v>308</v>
      </c>
      <c r="X30" s="211">
        <v>27</v>
      </c>
      <c r="Y30" s="211">
        <v>154</v>
      </c>
      <c r="Z30" s="213">
        <v>0</v>
      </c>
      <c r="AA30" s="121">
        <f>SUM(X30:Z30)</f>
        <v>181</v>
      </c>
      <c r="AB30" s="91"/>
      <c r="AC30" s="304"/>
      <c r="AD30" s="300" t="s">
        <v>23</v>
      </c>
      <c r="AE30" s="82" t="s">
        <v>20</v>
      </c>
      <c r="AF30" s="210">
        <v>602</v>
      </c>
      <c r="AG30" s="211">
        <v>50</v>
      </c>
      <c r="AH30" s="211">
        <v>0</v>
      </c>
      <c r="AI30" s="212">
        <v>0</v>
      </c>
      <c r="AJ30" s="213">
        <v>60</v>
      </c>
      <c r="AK30" s="214">
        <v>712</v>
      </c>
      <c r="AL30" s="211">
        <v>7</v>
      </c>
      <c r="AM30" s="211">
        <v>120</v>
      </c>
      <c r="AN30" s="213">
        <v>0</v>
      </c>
      <c r="AO30" s="121">
        <f>SUM(AL30:AN30)</f>
        <v>127</v>
      </c>
      <c r="AP30" s="91"/>
      <c r="AQ30" s="304"/>
      <c r="AR30" s="300" t="s">
        <v>23</v>
      </c>
      <c r="AS30" s="82" t="s">
        <v>20</v>
      </c>
      <c r="AT30" s="115">
        <v>0</v>
      </c>
      <c r="AU30" s="116">
        <v>0</v>
      </c>
      <c r="AV30" s="116">
        <v>0</v>
      </c>
      <c r="AW30" s="117">
        <v>0</v>
      </c>
      <c r="AX30" s="118">
        <v>0</v>
      </c>
      <c r="AY30" s="93">
        <f>SUM(AT30:AX30)</f>
        <v>0</v>
      </c>
      <c r="AZ30" s="119">
        <v>0</v>
      </c>
      <c r="BA30" s="116">
        <v>0</v>
      </c>
      <c r="BB30" s="120">
        <v>0</v>
      </c>
      <c r="BC30" s="121">
        <f>SUM(AZ30:BB30)</f>
        <v>0</v>
      </c>
      <c r="BD30" s="91"/>
      <c r="BE30" s="304"/>
      <c r="BF30" s="300" t="s">
        <v>23</v>
      </c>
      <c r="BG30" s="82" t="s">
        <v>20</v>
      </c>
      <c r="BH30" s="210">
        <v>610</v>
      </c>
      <c r="BI30" s="211">
        <v>19</v>
      </c>
      <c r="BJ30" s="211">
        <v>0</v>
      </c>
      <c r="BK30" s="212">
        <v>0</v>
      </c>
      <c r="BL30" s="213">
        <v>119</v>
      </c>
      <c r="BM30" s="214">
        <v>748</v>
      </c>
      <c r="BN30" s="211">
        <v>100</v>
      </c>
      <c r="BO30" s="211">
        <v>416</v>
      </c>
      <c r="BP30" s="213">
        <v>0</v>
      </c>
      <c r="BQ30" s="121">
        <f>SUM(BN30:BP30)</f>
        <v>516</v>
      </c>
      <c r="BR30" s="91"/>
      <c r="BS30" s="304"/>
      <c r="BT30" s="300" t="s">
        <v>23</v>
      </c>
      <c r="BU30" s="82" t="s">
        <v>20</v>
      </c>
      <c r="BV30" s="210">
        <v>320</v>
      </c>
      <c r="BW30" s="211">
        <v>2</v>
      </c>
      <c r="BX30" s="211">
        <v>0</v>
      </c>
      <c r="BY30" s="212">
        <v>0</v>
      </c>
      <c r="BZ30" s="213">
        <v>78</v>
      </c>
      <c r="CA30" s="214">
        <v>400</v>
      </c>
      <c r="CB30" s="211">
        <v>10</v>
      </c>
      <c r="CC30" s="211">
        <v>28</v>
      </c>
      <c r="CD30" s="213"/>
      <c r="CE30" s="244">
        <v>39</v>
      </c>
      <c r="CF30" s="91"/>
      <c r="CG30" s="304"/>
      <c r="CH30" s="300" t="s">
        <v>23</v>
      </c>
      <c r="CI30" s="82" t="s">
        <v>20</v>
      </c>
      <c r="CJ30" s="210">
        <v>195</v>
      </c>
      <c r="CK30" s="211">
        <v>77</v>
      </c>
      <c r="CL30" s="211">
        <v>0</v>
      </c>
      <c r="CM30" s="212">
        <v>0</v>
      </c>
      <c r="CN30" s="213">
        <v>36</v>
      </c>
      <c r="CO30" s="214">
        <v>308</v>
      </c>
      <c r="CP30" s="211">
        <v>27</v>
      </c>
      <c r="CQ30" s="211">
        <v>154</v>
      </c>
      <c r="CR30" s="213">
        <v>0</v>
      </c>
      <c r="CS30" s="244">
        <v>181</v>
      </c>
      <c r="CT30" s="91"/>
      <c r="CU30" s="304"/>
      <c r="CV30" s="300" t="s">
        <v>23</v>
      </c>
      <c r="CW30" s="82" t="s">
        <v>20</v>
      </c>
      <c r="CX30" s="247">
        <v>290</v>
      </c>
      <c r="CY30" s="248">
        <v>80</v>
      </c>
      <c r="CZ30" s="248">
        <v>0</v>
      </c>
      <c r="DA30" s="249">
        <v>0</v>
      </c>
      <c r="DB30" s="250">
        <v>100</v>
      </c>
      <c r="DC30" s="283">
        <v>470</v>
      </c>
      <c r="DD30" s="248">
        <v>2</v>
      </c>
      <c r="DE30" s="248">
        <v>34</v>
      </c>
      <c r="DF30" s="250">
        <v>0</v>
      </c>
      <c r="DG30" s="121">
        <f>SUM(DD30:DF30)</f>
        <v>36</v>
      </c>
      <c r="DH30" s="91"/>
      <c r="DI30" s="304"/>
      <c r="DJ30" s="300" t="s">
        <v>23</v>
      </c>
      <c r="DK30" s="82" t="s">
        <v>20</v>
      </c>
      <c r="DL30" s="267">
        <v>480</v>
      </c>
      <c r="DM30" s="268">
        <v>10</v>
      </c>
      <c r="DN30" s="268">
        <v>17</v>
      </c>
      <c r="DO30" s="269">
        <v>0</v>
      </c>
      <c r="DP30" s="270">
        <v>23</v>
      </c>
      <c r="DQ30" s="271">
        <f t="shared" ref="DQ30:DQ31" si="186">SUM(DL30:DP30)</f>
        <v>530</v>
      </c>
      <c r="DR30" s="272">
        <v>44</v>
      </c>
      <c r="DS30" s="268">
        <v>203</v>
      </c>
      <c r="DT30" s="273">
        <v>0</v>
      </c>
      <c r="DU30" s="291">
        <f t="shared" ref="DU30:DU31" si="187">SUM(DR30:DT30)</f>
        <v>247</v>
      </c>
      <c r="DV30" s="91"/>
      <c r="DW30" s="304"/>
      <c r="DX30" s="300" t="s">
        <v>23</v>
      </c>
      <c r="DY30" s="82" t="s">
        <v>20</v>
      </c>
      <c r="DZ30" s="210">
        <v>220</v>
      </c>
      <c r="EA30" s="211">
        <v>90</v>
      </c>
      <c r="EB30" s="211">
        <v>0</v>
      </c>
      <c r="EC30" s="212">
        <v>0</v>
      </c>
      <c r="ED30" s="213">
        <v>52</v>
      </c>
      <c r="EE30" s="214">
        <v>362</v>
      </c>
      <c r="EF30" s="211">
        <v>4</v>
      </c>
      <c r="EG30" s="211">
        <v>100</v>
      </c>
      <c r="EH30" s="213">
        <v>0</v>
      </c>
      <c r="EI30" s="244">
        <v>104</v>
      </c>
      <c r="EJ30" s="91"/>
      <c r="EK30" s="304"/>
      <c r="EL30" s="300" t="s">
        <v>23</v>
      </c>
      <c r="EM30" s="82" t="s">
        <v>20</v>
      </c>
      <c r="EN30" s="115">
        <v>0</v>
      </c>
      <c r="EO30" s="116">
        <v>0</v>
      </c>
      <c r="EP30" s="116">
        <v>0</v>
      </c>
      <c r="EQ30" s="117">
        <v>0</v>
      </c>
      <c r="ER30" s="118">
        <v>0</v>
      </c>
      <c r="ES30" s="93">
        <f>SUM(EN30:ER30)</f>
        <v>0</v>
      </c>
      <c r="ET30" s="119">
        <v>0</v>
      </c>
      <c r="EU30" s="116">
        <v>0</v>
      </c>
      <c r="EV30" s="120">
        <v>0</v>
      </c>
      <c r="EW30" s="121">
        <f>SUM(ET30:EV30)</f>
        <v>0</v>
      </c>
      <c r="EX30" s="91"/>
      <c r="EY30" s="304"/>
      <c r="EZ30" s="300" t="s">
        <v>23</v>
      </c>
      <c r="FA30" s="82" t="s">
        <v>20</v>
      </c>
      <c r="FB30" s="115">
        <v>0</v>
      </c>
      <c r="FC30" s="116">
        <v>0</v>
      </c>
      <c r="FD30" s="116">
        <v>0</v>
      </c>
      <c r="FE30" s="117">
        <v>0</v>
      </c>
      <c r="FF30" s="118">
        <v>0</v>
      </c>
      <c r="FG30" s="93">
        <f>SUM(FB30:FF30)</f>
        <v>0</v>
      </c>
      <c r="FH30" s="119">
        <v>0</v>
      </c>
      <c r="FI30" s="116">
        <v>0</v>
      </c>
      <c r="FJ30" s="120">
        <v>0</v>
      </c>
      <c r="FK30" s="121">
        <f>SUM(FH30:FJ30)</f>
        <v>0</v>
      </c>
      <c r="FL30" s="147"/>
      <c r="FM30" s="304"/>
      <c r="FN30" s="300" t="s">
        <v>23</v>
      </c>
      <c r="FO30" s="82" t="s">
        <v>20</v>
      </c>
      <c r="FP30" s="115">
        <f t="shared" ref="FP30:FP31" si="188">SUM(D30+R30+AF30+AT30+BH30+BV30+CJ30+CX30+DL30+DZ30+EN30+FB30)</f>
        <v>3132</v>
      </c>
      <c r="FQ30" s="115">
        <f t="shared" ref="FQ30:FQ31" si="189">SUM(E30+S30+AG30+AU30+BI30+BW30+CK30+CY30+DM30+EA30+EO30+FC30)</f>
        <v>495</v>
      </c>
      <c r="FR30" s="115">
        <f t="shared" ref="FR30:FR31" si="190">SUM(F30+T30+AH30+AV30+BJ30+BX30+CL30+CZ30+DN30+EB30+EP30+FD30)</f>
        <v>17</v>
      </c>
      <c r="FS30" s="150">
        <f t="shared" ref="FS30:FS31" si="191">SUM(G30+U30+AI30+AW30+BK30+BY30+CM30+DA30+DO30+EC30+EQ30+FE30)</f>
        <v>0</v>
      </c>
      <c r="FT30" s="115">
        <f t="shared" ref="FT30:FT31" si="192">SUM(H30+V30+AJ30+AX30+BL30+BZ30+CN30+DB30+DP30+ED30+ER30+FF30)</f>
        <v>556</v>
      </c>
      <c r="FU30" s="93">
        <f>SUM(FP30:FT30)</f>
        <v>4200</v>
      </c>
      <c r="FV30" s="119">
        <f t="shared" ref="FV30:FV31" si="193">SUM(J30+X30+AL30+AZ30+BN30+CB30+CP30+DD30+DR30+EF30+ET30+FH30)</f>
        <v>225</v>
      </c>
      <c r="FW30" s="119">
        <f t="shared" ref="FW30:FW31" si="194">SUM(K30+Y30+AM30+BA30+BO30+CC30+CQ30+DE30+DS30+EG30+EU30+FI30)</f>
        <v>1309</v>
      </c>
      <c r="FX30" s="119">
        <f t="shared" ref="FX30:FX31" si="195">SUM(L30+Z30+AN30+BB30+BP30+CD30+CR30+DF30+DT30+EH30+EV30+FJ30)</f>
        <v>0</v>
      </c>
      <c r="FY30" s="122">
        <f>SUM(FV30:FX30)</f>
        <v>1534</v>
      </c>
      <c r="FZ30" s="95"/>
      <c r="GA30" s="91"/>
    </row>
    <row r="31" spans="1:183" ht="20.100000000000001" customHeight="1" thickBot="1" x14ac:dyDescent="0.3">
      <c r="A31" s="304"/>
      <c r="B31" s="294"/>
      <c r="C31" s="97" t="s">
        <v>21</v>
      </c>
      <c r="D31" s="202">
        <v>152</v>
      </c>
      <c r="E31" s="203">
        <v>32</v>
      </c>
      <c r="F31" s="203">
        <v>0</v>
      </c>
      <c r="G31" s="203">
        <v>0</v>
      </c>
      <c r="H31" s="204">
        <v>40</v>
      </c>
      <c r="I31" s="205">
        <v>224</v>
      </c>
      <c r="J31" s="203">
        <v>1</v>
      </c>
      <c r="K31" s="203">
        <v>70</v>
      </c>
      <c r="L31" s="204">
        <v>0</v>
      </c>
      <c r="M31" s="104">
        <f>SUM(J31:L31)</f>
        <v>71</v>
      </c>
      <c r="N31" s="61"/>
      <c r="O31" s="304"/>
      <c r="P31" s="294"/>
      <c r="Q31" s="97" t="s">
        <v>21</v>
      </c>
      <c r="R31" s="202">
        <v>164</v>
      </c>
      <c r="S31" s="203">
        <v>54</v>
      </c>
      <c r="T31" s="203">
        <v>0</v>
      </c>
      <c r="U31" s="203">
        <v>0</v>
      </c>
      <c r="V31" s="204">
        <v>40</v>
      </c>
      <c r="W31" s="205">
        <v>258</v>
      </c>
      <c r="X31" s="203">
        <v>27</v>
      </c>
      <c r="Y31" s="203">
        <v>179</v>
      </c>
      <c r="Z31" s="204">
        <v>0</v>
      </c>
      <c r="AA31" s="104">
        <f>SUM(X31:Z31)</f>
        <v>206</v>
      </c>
      <c r="AB31" s="61"/>
      <c r="AC31" s="304"/>
      <c r="AD31" s="294"/>
      <c r="AE31" s="97" t="s">
        <v>21</v>
      </c>
      <c r="AF31" s="202">
        <v>452</v>
      </c>
      <c r="AG31" s="203">
        <v>93</v>
      </c>
      <c r="AH31" s="203">
        <v>0</v>
      </c>
      <c r="AI31" s="203">
        <v>0</v>
      </c>
      <c r="AJ31" s="204">
        <v>43</v>
      </c>
      <c r="AK31" s="205">
        <v>588</v>
      </c>
      <c r="AL31" s="203">
        <v>4</v>
      </c>
      <c r="AM31" s="203">
        <v>149</v>
      </c>
      <c r="AN31" s="204">
        <v>0</v>
      </c>
      <c r="AO31" s="104">
        <f>SUM(AL31:AN31)</f>
        <v>153</v>
      </c>
      <c r="AP31" s="61"/>
      <c r="AQ31" s="304"/>
      <c r="AR31" s="294"/>
      <c r="AS31" s="97" t="s">
        <v>21</v>
      </c>
      <c r="AT31" s="98">
        <v>0</v>
      </c>
      <c r="AU31" s="99">
        <v>0</v>
      </c>
      <c r="AV31" s="99">
        <v>0</v>
      </c>
      <c r="AW31" s="99">
        <v>0</v>
      </c>
      <c r="AX31" s="100">
        <v>0</v>
      </c>
      <c r="AY31" s="101">
        <f>SUM(AT31:AX31)</f>
        <v>0</v>
      </c>
      <c r="AZ31" s="102">
        <v>0</v>
      </c>
      <c r="BA31" s="99">
        <v>0</v>
      </c>
      <c r="BB31" s="103">
        <v>0</v>
      </c>
      <c r="BC31" s="104">
        <f>SUM(AZ31:BB31)</f>
        <v>0</v>
      </c>
      <c r="BD31" s="61"/>
      <c r="BE31" s="304"/>
      <c r="BF31" s="294"/>
      <c r="BG31" s="97" t="s">
        <v>21</v>
      </c>
      <c r="BH31" s="202">
        <v>397</v>
      </c>
      <c r="BI31" s="203">
        <v>9</v>
      </c>
      <c r="BJ31" s="203">
        <v>0</v>
      </c>
      <c r="BK31" s="203">
        <v>0</v>
      </c>
      <c r="BL31" s="204">
        <v>110</v>
      </c>
      <c r="BM31" s="205">
        <v>516</v>
      </c>
      <c r="BN31" s="203">
        <v>59</v>
      </c>
      <c r="BO31" s="203">
        <v>300</v>
      </c>
      <c r="BP31" s="204">
        <v>0</v>
      </c>
      <c r="BQ31" s="104">
        <f>SUM(BN31:BP31)</f>
        <v>359</v>
      </c>
      <c r="BR31" s="61"/>
      <c r="BS31" s="304"/>
      <c r="BT31" s="294"/>
      <c r="BU31" s="97" t="s">
        <v>21</v>
      </c>
      <c r="BV31" s="202">
        <v>201</v>
      </c>
      <c r="BW31" s="203">
        <v>3</v>
      </c>
      <c r="BX31" s="203">
        <v>0</v>
      </c>
      <c r="BY31" s="203">
        <v>0</v>
      </c>
      <c r="BZ31" s="204">
        <v>67</v>
      </c>
      <c r="CA31" s="205">
        <v>271</v>
      </c>
      <c r="CB31" s="203">
        <v>0</v>
      </c>
      <c r="CC31" s="203">
        <v>17</v>
      </c>
      <c r="CD31" s="204"/>
      <c r="CE31" s="208">
        <v>17</v>
      </c>
      <c r="CF31" s="61"/>
      <c r="CG31" s="304"/>
      <c r="CH31" s="294"/>
      <c r="CI31" s="97" t="s">
        <v>21</v>
      </c>
      <c r="CJ31" s="202">
        <v>164</v>
      </c>
      <c r="CK31" s="203">
        <v>54</v>
      </c>
      <c r="CL31" s="203">
        <v>0</v>
      </c>
      <c r="CM31" s="203">
        <v>0</v>
      </c>
      <c r="CN31" s="204">
        <v>40</v>
      </c>
      <c r="CO31" s="205">
        <v>258</v>
      </c>
      <c r="CP31" s="203">
        <v>27</v>
      </c>
      <c r="CQ31" s="203">
        <v>179</v>
      </c>
      <c r="CR31" s="204">
        <v>0</v>
      </c>
      <c r="CS31" s="208">
        <v>206</v>
      </c>
      <c r="CT31" s="61"/>
      <c r="CU31" s="304"/>
      <c r="CV31" s="294"/>
      <c r="CW31" s="97" t="s">
        <v>21</v>
      </c>
      <c r="CX31" s="255">
        <v>188</v>
      </c>
      <c r="CY31" s="256">
        <v>66</v>
      </c>
      <c r="CZ31" s="256">
        <v>0</v>
      </c>
      <c r="DA31" s="256">
        <v>0</v>
      </c>
      <c r="DB31" s="257">
        <v>219</v>
      </c>
      <c r="DC31" s="284">
        <v>473</v>
      </c>
      <c r="DD31" s="256">
        <v>0</v>
      </c>
      <c r="DE31" s="256">
        <v>8</v>
      </c>
      <c r="DF31" s="257">
        <v>0</v>
      </c>
      <c r="DG31" s="104">
        <f>SUM(DD31:DF31)</f>
        <v>8</v>
      </c>
      <c r="DH31" s="61"/>
      <c r="DI31" s="304"/>
      <c r="DJ31" s="294"/>
      <c r="DK31" s="97" t="s">
        <v>21</v>
      </c>
      <c r="DL31" s="274">
        <v>417</v>
      </c>
      <c r="DM31" s="260">
        <v>5</v>
      </c>
      <c r="DN31" s="260">
        <v>12</v>
      </c>
      <c r="DO31" s="260">
        <v>21</v>
      </c>
      <c r="DP31" s="275">
        <v>18</v>
      </c>
      <c r="DQ31" s="258">
        <f t="shared" si="186"/>
        <v>473</v>
      </c>
      <c r="DR31" s="259">
        <v>14</v>
      </c>
      <c r="DS31" s="260">
        <v>370</v>
      </c>
      <c r="DT31" s="261">
        <v>0</v>
      </c>
      <c r="DU31" s="289">
        <f t="shared" si="187"/>
        <v>384</v>
      </c>
      <c r="DV31" s="61"/>
      <c r="DW31" s="304"/>
      <c r="DX31" s="294"/>
      <c r="DY31" s="97" t="s">
        <v>21</v>
      </c>
      <c r="DZ31" s="202">
        <v>152</v>
      </c>
      <c r="EA31" s="203">
        <v>32</v>
      </c>
      <c r="EB31" s="203">
        <v>0</v>
      </c>
      <c r="EC31" s="203">
        <v>0</v>
      </c>
      <c r="ED31" s="204">
        <v>40</v>
      </c>
      <c r="EE31" s="205">
        <v>224</v>
      </c>
      <c r="EF31" s="203">
        <v>1</v>
      </c>
      <c r="EG31" s="203">
        <v>70</v>
      </c>
      <c r="EH31" s="204">
        <v>0</v>
      </c>
      <c r="EI31" s="208">
        <v>71</v>
      </c>
      <c r="EJ31" s="61"/>
      <c r="EK31" s="304"/>
      <c r="EL31" s="294"/>
      <c r="EM31" s="97" t="s">
        <v>21</v>
      </c>
      <c r="EN31" s="98">
        <v>0</v>
      </c>
      <c r="EO31" s="99">
        <v>0</v>
      </c>
      <c r="EP31" s="99">
        <v>0</v>
      </c>
      <c r="EQ31" s="99">
        <v>0</v>
      </c>
      <c r="ER31" s="100">
        <v>0</v>
      </c>
      <c r="ES31" s="101">
        <f>SUM(EN31:ER31)</f>
        <v>0</v>
      </c>
      <c r="ET31" s="102">
        <v>0</v>
      </c>
      <c r="EU31" s="99">
        <v>0</v>
      </c>
      <c r="EV31" s="103">
        <v>0</v>
      </c>
      <c r="EW31" s="104">
        <f>SUM(ET31:EV31)</f>
        <v>0</v>
      </c>
      <c r="EX31" s="61"/>
      <c r="EY31" s="304"/>
      <c r="EZ31" s="294"/>
      <c r="FA31" s="97" t="s">
        <v>21</v>
      </c>
      <c r="FB31" s="98">
        <v>0</v>
      </c>
      <c r="FC31" s="99">
        <v>0</v>
      </c>
      <c r="FD31" s="99">
        <v>0</v>
      </c>
      <c r="FE31" s="99">
        <v>0</v>
      </c>
      <c r="FF31" s="100">
        <v>0</v>
      </c>
      <c r="FG31" s="101">
        <f>SUM(FB31:FF31)</f>
        <v>0</v>
      </c>
      <c r="FH31" s="102">
        <v>0</v>
      </c>
      <c r="FI31" s="99">
        <v>0</v>
      </c>
      <c r="FJ31" s="103">
        <v>0</v>
      </c>
      <c r="FK31" s="104">
        <f>SUM(FH31:FJ31)</f>
        <v>0</v>
      </c>
      <c r="FM31" s="304"/>
      <c r="FN31" s="294"/>
      <c r="FO31" s="97" t="s">
        <v>21</v>
      </c>
      <c r="FP31" s="115">
        <f t="shared" si="188"/>
        <v>2287</v>
      </c>
      <c r="FQ31" s="115">
        <f t="shared" si="189"/>
        <v>348</v>
      </c>
      <c r="FR31" s="115">
        <f t="shared" si="190"/>
        <v>12</v>
      </c>
      <c r="FS31" s="115">
        <f t="shared" si="191"/>
        <v>21</v>
      </c>
      <c r="FT31" s="115">
        <f t="shared" si="192"/>
        <v>617</v>
      </c>
      <c r="FU31" s="101">
        <f>SUM(FP31:FT31)</f>
        <v>3285</v>
      </c>
      <c r="FV31" s="119">
        <f t="shared" si="193"/>
        <v>133</v>
      </c>
      <c r="FW31" s="119">
        <f t="shared" si="194"/>
        <v>1342</v>
      </c>
      <c r="FX31" s="119">
        <f t="shared" si="195"/>
        <v>0</v>
      </c>
      <c r="FY31" s="106">
        <f>SUM(FV31:FX31)</f>
        <v>1475</v>
      </c>
      <c r="GA31" s="61"/>
    </row>
    <row r="32" spans="1:183" ht="20.100000000000001" customHeight="1" thickBot="1" x14ac:dyDescent="0.3">
      <c r="A32" s="305"/>
      <c r="B32" s="301" t="s">
        <v>24</v>
      </c>
      <c r="C32" s="310"/>
      <c r="D32" s="107">
        <f t="shared" ref="D32:M32" si="196">SUM(D30:D31)</f>
        <v>372</v>
      </c>
      <c r="E32" s="108">
        <f t="shared" si="196"/>
        <v>122</v>
      </c>
      <c r="F32" s="108">
        <f t="shared" si="196"/>
        <v>0</v>
      </c>
      <c r="G32" s="108">
        <f t="shared" si="196"/>
        <v>0</v>
      </c>
      <c r="H32" s="109">
        <f t="shared" si="196"/>
        <v>92</v>
      </c>
      <c r="I32" s="110">
        <f t="shared" si="196"/>
        <v>586</v>
      </c>
      <c r="J32" s="111">
        <f t="shared" si="196"/>
        <v>5</v>
      </c>
      <c r="K32" s="108">
        <f t="shared" si="196"/>
        <v>170</v>
      </c>
      <c r="L32" s="109">
        <f t="shared" si="196"/>
        <v>0</v>
      </c>
      <c r="M32" s="112">
        <f t="shared" si="196"/>
        <v>175</v>
      </c>
      <c r="N32" s="61"/>
      <c r="O32" s="305"/>
      <c r="P32" s="301" t="s">
        <v>24</v>
      </c>
      <c r="Q32" s="310"/>
      <c r="R32" s="107">
        <f t="shared" ref="R32:AA32" si="197">SUM(R30:R31)</f>
        <v>359</v>
      </c>
      <c r="S32" s="108">
        <f t="shared" si="197"/>
        <v>131</v>
      </c>
      <c r="T32" s="108">
        <f t="shared" si="197"/>
        <v>0</v>
      </c>
      <c r="U32" s="108">
        <f t="shared" si="197"/>
        <v>0</v>
      </c>
      <c r="V32" s="109">
        <f t="shared" si="197"/>
        <v>76</v>
      </c>
      <c r="W32" s="110">
        <f t="shared" si="197"/>
        <v>566</v>
      </c>
      <c r="X32" s="111">
        <f t="shared" si="197"/>
        <v>54</v>
      </c>
      <c r="Y32" s="108">
        <f t="shared" si="197"/>
        <v>333</v>
      </c>
      <c r="Z32" s="109">
        <f t="shared" si="197"/>
        <v>0</v>
      </c>
      <c r="AA32" s="112">
        <f t="shared" si="197"/>
        <v>387</v>
      </c>
      <c r="AB32" s="61"/>
      <c r="AC32" s="305"/>
      <c r="AD32" s="301" t="s">
        <v>24</v>
      </c>
      <c r="AE32" s="310"/>
      <c r="AF32" s="206">
        <v>1054</v>
      </c>
      <c r="AG32" s="207">
        <v>143</v>
      </c>
      <c r="AH32" s="207">
        <v>0</v>
      </c>
      <c r="AI32" s="207">
        <v>0</v>
      </c>
      <c r="AJ32" s="208">
        <v>103</v>
      </c>
      <c r="AK32" s="209">
        <v>1300</v>
      </c>
      <c r="AL32" s="207">
        <v>11</v>
      </c>
      <c r="AM32" s="207">
        <v>269</v>
      </c>
      <c r="AN32" s="208">
        <v>0</v>
      </c>
      <c r="AO32" s="112">
        <f t="shared" ref="AO32" si="198">SUM(AO30:AO31)</f>
        <v>280</v>
      </c>
      <c r="AP32" s="61"/>
      <c r="AQ32" s="305"/>
      <c r="AR32" s="301" t="s">
        <v>24</v>
      </c>
      <c r="AS32" s="310"/>
      <c r="AT32" s="107">
        <f t="shared" ref="AT32:BC32" si="199">SUM(AT30:AT31)</f>
        <v>0</v>
      </c>
      <c r="AU32" s="108">
        <f t="shared" si="199"/>
        <v>0</v>
      </c>
      <c r="AV32" s="108">
        <f t="shared" si="199"/>
        <v>0</v>
      </c>
      <c r="AW32" s="108">
        <f t="shared" si="199"/>
        <v>0</v>
      </c>
      <c r="AX32" s="109">
        <f t="shared" si="199"/>
        <v>0</v>
      </c>
      <c r="AY32" s="110">
        <f t="shared" si="199"/>
        <v>0</v>
      </c>
      <c r="AZ32" s="111">
        <f t="shared" si="199"/>
        <v>0</v>
      </c>
      <c r="BA32" s="108">
        <f t="shared" si="199"/>
        <v>0</v>
      </c>
      <c r="BB32" s="109">
        <f t="shared" si="199"/>
        <v>0</v>
      </c>
      <c r="BC32" s="112">
        <f t="shared" si="199"/>
        <v>0</v>
      </c>
      <c r="BD32" s="61"/>
      <c r="BE32" s="305"/>
      <c r="BF32" s="301" t="s">
        <v>24</v>
      </c>
      <c r="BG32" s="310"/>
      <c r="BH32" s="107">
        <f t="shared" ref="BH32:BQ32" si="200">SUM(BH30:BH31)</f>
        <v>1007</v>
      </c>
      <c r="BI32" s="108">
        <f t="shared" si="200"/>
        <v>28</v>
      </c>
      <c r="BJ32" s="108">
        <f t="shared" si="200"/>
        <v>0</v>
      </c>
      <c r="BK32" s="108">
        <f t="shared" si="200"/>
        <v>0</v>
      </c>
      <c r="BL32" s="109">
        <f t="shared" si="200"/>
        <v>229</v>
      </c>
      <c r="BM32" s="110">
        <f t="shared" si="200"/>
        <v>1264</v>
      </c>
      <c r="BN32" s="111">
        <f t="shared" si="200"/>
        <v>159</v>
      </c>
      <c r="BO32" s="108">
        <f t="shared" si="200"/>
        <v>716</v>
      </c>
      <c r="BP32" s="109">
        <f t="shared" si="200"/>
        <v>0</v>
      </c>
      <c r="BQ32" s="112">
        <f t="shared" si="200"/>
        <v>875</v>
      </c>
      <c r="BR32" s="61"/>
      <c r="BS32" s="305"/>
      <c r="BT32" s="301" t="s">
        <v>24</v>
      </c>
      <c r="BU32" s="310"/>
      <c r="BV32" s="206">
        <v>521</v>
      </c>
      <c r="BW32" s="207">
        <v>5</v>
      </c>
      <c r="BX32" s="207">
        <v>0</v>
      </c>
      <c r="BY32" s="207">
        <v>0</v>
      </c>
      <c r="BZ32" s="208">
        <v>145</v>
      </c>
      <c r="CA32" s="209">
        <v>671</v>
      </c>
      <c r="CB32" s="207">
        <v>10</v>
      </c>
      <c r="CC32" s="207">
        <v>45</v>
      </c>
      <c r="CD32" s="208"/>
      <c r="CE32" s="243">
        <v>56</v>
      </c>
      <c r="CF32" s="61"/>
      <c r="CG32" s="305"/>
      <c r="CH32" s="301" t="s">
        <v>24</v>
      </c>
      <c r="CI32" s="310"/>
      <c r="CJ32" s="206">
        <v>359</v>
      </c>
      <c r="CK32" s="207">
        <v>131</v>
      </c>
      <c r="CL32" s="207">
        <v>0</v>
      </c>
      <c r="CM32" s="207">
        <v>0</v>
      </c>
      <c r="CN32" s="208">
        <v>76</v>
      </c>
      <c r="CO32" s="209">
        <v>566</v>
      </c>
      <c r="CP32" s="207">
        <v>54</v>
      </c>
      <c r="CQ32" s="207">
        <v>333</v>
      </c>
      <c r="CR32" s="208">
        <v>0</v>
      </c>
      <c r="CS32" s="243">
        <v>387</v>
      </c>
      <c r="CT32" s="61"/>
      <c r="CU32" s="305"/>
      <c r="CV32" s="301" t="s">
        <v>24</v>
      </c>
      <c r="CW32" s="310"/>
      <c r="CX32" s="262">
        <f t="shared" ref="CX32:DF32" si="201">SUM(CX30:CX31)</f>
        <v>478</v>
      </c>
      <c r="CY32" s="263">
        <f t="shared" si="201"/>
        <v>146</v>
      </c>
      <c r="CZ32" s="263">
        <f t="shared" si="201"/>
        <v>0</v>
      </c>
      <c r="DA32" s="263">
        <f t="shared" si="201"/>
        <v>0</v>
      </c>
      <c r="DB32" s="264">
        <f t="shared" si="201"/>
        <v>319</v>
      </c>
      <c r="DC32" s="265">
        <f t="shared" si="201"/>
        <v>943</v>
      </c>
      <c r="DD32" s="266">
        <f t="shared" si="201"/>
        <v>2</v>
      </c>
      <c r="DE32" s="263">
        <f t="shared" si="201"/>
        <v>42</v>
      </c>
      <c r="DF32" s="264">
        <f t="shared" si="201"/>
        <v>0</v>
      </c>
      <c r="DG32" s="112">
        <f t="shared" ref="DG32" si="202">SUM(DG30:DG31)</f>
        <v>44</v>
      </c>
      <c r="DH32" s="61"/>
      <c r="DI32" s="305"/>
      <c r="DJ32" s="301" t="s">
        <v>24</v>
      </c>
      <c r="DK32" s="310"/>
      <c r="DL32" s="262">
        <f t="shared" ref="DL32:DU32" si="203">SUM(DL30:DL31)</f>
        <v>897</v>
      </c>
      <c r="DM32" s="263">
        <f t="shared" si="203"/>
        <v>15</v>
      </c>
      <c r="DN32" s="263">
        <f t="shared" si="203"/>
        <v>29</v>
      </c>
      <c r="DO32" s="263">
        <f t="shared" si="203"/>
        <v>21</v>
      </c>
      <c r="DP32" s="264">
        <f t="shared" si="203"/>
        <v>41</v>
      </c>
      <c r="DQ32" s="265">
        <f t="shared" si="203"/>
        <v>1003</v>
      </c>
      <c r="DR32" s="266">
        <f t="shared" si="203"/>
        <v>58</v>
      </c>
      <c r="DS32" s="263">
        <f t="shared" si="203"/>
        <v>573</v>
      </c>
      <c r="DT32" s="264">
        <f t="shared" si="203"/>
        <v>0</v>
      </c>
      <c r="DU32" s="290">
        <f t="shared" si="203"/>
        <v>631</v>
      </c>
      <c r="DV32" s="61"/>
      <c r="DW32" s="305"/>
      <c r="DX32" s="301" t="s">
        <v>24</v>
      </c>
      <c r="DY32" s="310"/>
      <c r="DZ32" s="206">
        <v>372</v>
      </c>
      <c r="EA32" s="207">
        <v>122</v>
      </c>
      <c r="EB32" s="207">
        <v>0</v>
      </c>
      <c r="EC32" s="207">
        <v>0</v>
      </c>
      <c r="ED32" s="208">
        <v>92</v>
      </c>
      <c r="EE32" s="209">
        <v>586</v>
      </c>
      <c r="EF32" s="207">
        <v>5</v>
      </c>
      <c r="EG32" s="207">
        <v>170</v>
      </c>
      <c r="EH32" s="208">
        <v>0</v>
      </c>
      <c r="EI32" s="243">
        <v>175</v>
      </c>
      <c r="EJ32" s="61"/>
      <c r="EK32" s="305"/>
      <c r="EL32" s="301" t="s">
        <v>24</v>
      </c>
      <c r="EM32" s="310"/>
      <c r="EN32" s="107">
        <f t="shared" ref="EN32:EW32" si="204">SUM(EN30:EN31)</f>
        <v>0</v>
      </c>
      <c r="EO32" s="108">
        <f t="shared" si="204"/>
        <v>0</v>
      </c>
      <c r="EP32" s="108">
        <f t="shared" si="204"/>
        <v>0</v>
      </c>
      <c r="EQ32" s="108">
        <f t="shared" si="204"/>
        <v>0</v>
      </c>
      <c r="ER32" s="109">
        <f t="shared" si="204"/>
        <v>0</v>
      </c>
      <c r="ES32" s="110">
        <f t="shared" si="204"/>
        <v>0</v>
      </c>
      <c r="ET32" s="111">
        <f t="shared" si="204"/>
        <v>0</v>
      </c>
      <c r="EU32" s="108">
        <f t="shared" si="204"/>
        <v>0</v>
      </c>
      <c r="EV32" s="109">
        <f t="shared" si="204"/>
        <v>0</v>
      </c>
      <c r="EW32" s="112">
        <f t="shared" si="204"/>
        <v>0</v>
      </c>
      <c r="EX32" s="61"/>
      <c r="EY32" s="305"/>
      <c r="EZ32" s="301" t="s">
        <v>24</v>
      </c>
      <c r="FA32" s="310"/>
      <c r="FB32" s="107">
        <f t="shared" ref="FB32:FK32" si="205">SUM(FB30:FB31)</f>
        <v>0</v>
      </c>
      <c r="FC32" s="108">
        <f t="shared" si="205"/>
        <v>0</v>
      </c>
      <c r="FD32" s="108">
        <f t="shared" si="205"/>
        <v>0</v>
      </c>
      <c r="FE32" s="108">
        <f t="shared" si="205"/>
        <v>0</v>
      </c>
      <c r="FF32" s="109">
        <f t="shared" si="205"/>
        <v>0</v>
      </c>
      <c r="FG32" s="110">
        <f t="shared" si="205"/>
        <v>0</v>
      </c>
      <c r="FH32" s="111">
        <f t="shared" si="205"/>
        <v>0</v>
      </c>
      <c r="FI32" s="108">
        <f t="shared" si="205"/>
        <v>0</v>
      </c>
      <c r="FJ32" s="109">
        <f t="shared" si="205"/>
        <v>0</v>
      </c>
      <c r="FK32" s="112">
        <f t="shared" si="205"/>
        <v>0</v>
      </c>
      <c r="FM32" s="305"/>
      <c r="FN32" s="301" t="s">
        <v>24</v>
      </c>
      <c r="FO32" s="310"/>
      <c r="FP32" s="107">
        <f t="shared" ref="FP32:FY32" si="206">SUM(FP30:FP31)</f>
        <v>5419</v>
      </c>
      <c r="FQ32" s="108">
        <f t="shared" si="206"/>
        <v>843</v>
      </c>
      <c r="FR32" s="108">
        <f t="shared" si="206"/>
        <v>29</v>
      </c>
      <c r="FS32" s="108">
        <f t="shared" si="206"/>
        <v>21</v>
      </c>
      <c r="FT32" s="109">
        <f t="shared" si="206"/>
        <v>1173</v>
      </c>
      <c r="FU32" s="113">
        <f t="shared" si="206"/>
        <v>7485</v>
      </c>
      <c r="FV32" s="111">
        <f t="shared" si="206"/>
        <v>358</v>
      </c>
      <c r="FW32" s="108">
        <f t="shared" si="206"/>
        <v>2651</v>
      </c>
      <c r="FX32" s="109">
        <f t="shared" si="206"/>
        <v>0</v>
      </c>
      <c r="FY32" s="114">
        <f t="shared" si="206"/>
        <v>3009</v>
      </c>
      <c r="GA32" s="61"/>
    </row>
    <row r="33" spans="1:183" ht="20.100000000000001" customHeight="1" thickBot="1" x14ac:dyDescent="0.3">
      <c r="A33" s="297" t="s">
        <v>25</v>
      </c>
      <c r="B33" s="298"/>
      <c r="C33" s="299"/>
      <c r="D33" s="123">
        <f>SUM(D32+D29)</f>
        <v>2279</v>
      </c>
      <c r="E33" s="124">
        <f>SUM(E32+E29)</f>
        <v>597</v>
      </c>
      <c r="F33" s="124">
        <f>SUM(F32+F29)</f>
        <v>411</v>
      </c>
      <c r="G33" s="124">
        <f>SUM(G32+G29)</f>
        <v>5</v>
      </c>
      <c r="H33" s="125">
        <f>SUM(H32+H29)</f>
        <v>411</v>
      </c>
      <c r="I33" s="126">
        <f>SUM(I29+I32)</f>
        <v>3703</v>
      </c>
      <c r="J33" s="127">
        <f>SUM(J32+J29)</f>
        <v>33</v>
      </c>
      <c r="K33" s="128">
        <f>SUM(K32+K29)</f>
        <v>613</v>
      </c>
      <c r="L33" s="129">
        <f>SUM(L32+L29)</f>
        <v>0</v>
      </c>
      <c r="M33" s="130">
        <f>SUM(M32+M29)</f>
        <v>646</v>
      </c>
      <c r="N33" s="61"/>
      <c r="O33" s="297" t="s">
        <v>25</v>
      </c>
      <c r="P33" s="298"/>
      <c r="Q33" s="299"/>
      <c r="R33" s="123">
        <f>SUM(R32+R29)</f>
        <v>2436</v>
      </c>
      <c r="S33" s="124">
        <f>SUM(S32+S29)</f>
        <v>531</v>
      </c>
      <c r="T33" s="124">
        <f>SUM(T32+T29)</f>
        <v>404</v>
      </c>
      <c r="U33" s="124">
        <f>SUM(U32+U29)</f>
        <v>5</v>
      </c>
      <c r="V33" s="125">
        <f>SUM(V32+V29)</f>
        <v>412</v>
      </c>
      <c r="W33" s="126">
        <f>SUM(W29+W32)</f>
        <v>3788</v>
      </c>
      <c r="X33" s="127">
        <f>SUM(X32+X29)</f>
        <v>567</v>
      </c>
      <c r="Y33" s="128">
        <f>SUM(Y32+Y29)</f>
        <v>1942</v>
      </c>
      <c r="Z33" s="129">
        <f>SUM(Z32+Z29)</f>
        <v>0</v>
      </c>
      <c r="AA33" s="130">
        <f>SUM(AA32+AA29)</f>
        <v>2509</v>
      </c>
      <c r="AB33" s="61"/>
      <c r="AC33" s="297" t="s">
        <v>25</v>
      </c>
      <c r="AD33" s="298"/>
      <c r="AE33" s="299"/>
      <c r="AF33" s="236">
        <v>6304</v>
      </c>
      <c r="AG33" s="237">
        <v>858</v>
      </c>
      <c r="AH33" s="237">
        <v>416</v>
      </c>
      <c r="AI33" s="237">
        <v>2</v>
      </c>
      <c r="AJ33" s="238">
        <v>427</v>
      </c>
      <c r="AK33" s="239">
        <v>8007</v>
      </c>
      <c r="AL33" s="240">
        <v>186</v>
      </c>
      <c r="AM33" s="240">
        <v>788</v>
      </c>
      <c r="AN33" s="241">
        <v>0</v>
      </c>
      <c r="AO33" s="130">
        <f>SUM(AO32+AO29)</f>
        <v>974</v>
      </c>
      <c r="AP33" s="61"/>
      <c r="AQ33" s="297" t="s">
        <v>25</v>
      </c>
      <c r="AR33" s="298"/>
      <c r="AS33" s="299"/>
      <c r="AT33" s="123">
        <f>SUM(AT32+AT29)</f>
        <v>0</v>
      </c>
      <c r="AU33" s="124">
        <f>SUM(AU32+AU29)</f>
        <v>0</v>
      </c>
      <c r="AV33" s="124">
        <f>SUM(AV32+AV29)</f>
        <v>0</v>
      </c>
      <c r="AW33" s="124">
        <f>SUM(AW32+AW29)</f>
        <v>0</v>
      </c>
      <c r="AX33" s="125">
        <f>SUM(AX32+AX29)</f>
        <v>0</v>
      </c>
      <c r="AY33" s="126">
        <f>SUM(AY29+AY32)</f>
        <v>0</v>
      </c>
      <c r="AZ33" s="127">
        <f>SUM(AZ32+AZ29)</f>
        <v>0</v>
      </c>
      <c r="BA33" s="128">
        <f>SUM(BA32+BA29)</f>
        <v>0</v>
      </c>
      <c r="BB33" s="129">
        <f>SUM(BB32+BB29)</f>
        <v>0</v>
      </c>
      <c r="BC33" s="130">
        <f>SUM(BC32+BC29)</f>
        <v>0</v>
      </c>
      <c r="BD33" s="61"/>
      <c r="BE33" s="297" t="s">
        <v>25</v>
      </c>
      <c r="BF33" s="298"/>
      <c r="BG33" s="299"/>
      <c r="BH33" s="123">
        <f>SUM(BH32+BH29)</f>
        <v>4617</v>
      </c>
      <c r="BI33" s="124">
        <f>SUM(BI32+BI29)</f>
        <v>487</v>
      </c>
      <c r="BJ33" s="124">
        <f>SUM(BJ32+BJ29)</f>
        <v>869</v>
      </c>
      <c r="BK33" s="124">
        <f>SUM(BK32+BK29)</f>
        <v>6</v>
      </c>
      <c r="BL33" s="125">
        <f>SUM(BL32+BL29)</f>
        <v>620</v>
      </c>
      <c r="BM33" s="126">
        <f>SUM(BM29+BM32)</f>
        <v>6599</v>
      </c>
      <c r="BN33" s="127">
        <f>SUM(BN32+BN29)</f>
        <v>455</v>
      </c>
      <c r="BO33" s="128">
        <f>SUM(BO32+BO29)</f>
        <v>2521</v>
      </c>
      <c r="BP33" s="129">
        <f>SUM(BP32+BP29)</f>
        <v>0</v>
      </c>
      <c r="BQ33" s="130">
        <f>SUM(BQ32+BQ29)</f>
        <v>2976</v>
      </c>
      <c r="BR33" s="61"/>
      <c r="BS33" s="297" t="s">
        <v>25</v>
      </c>
      <c r="BT33" s="298"/>
      <c r="BU33" s="299"/>
      <c r="BV33" s="123">
        <f>SUM(BV32+BV29)</f>
        <v>2510</v>
      </c>
      <c r="BW33" s="124">
        <f>SUM(BW32+BW29)</f>
        <v>45</v>
      </c>
      <c r="BX33" s="124">
        <f>SUM(BX32+BX29)</f>
        <v>43</v>
      </c>
      <c r="BY33" s="124">
        <f>SUM(BY32+BY29)</f>
        <v>5</v>
      </c>
      <c r="BZ33" s="125">
        <f>SUM(BZ32+BZ29)</f>
        <v>464</v>
      </c>
      <c r="CA33" s="126">
        <f>SUM(CA29+CA32)</f>
        <v>3067</v>
      </c>
      <c r="CB33" s="127">
        <f>SUM(CB32+CB29)</f>
        <v>126</v>
      </c>
      <c r="CC33" s="128">
        <f>SUM(CC32+CC29)</f>
        <v>1361</v>
      </c>
      <c r="CD33" s="129">
        <f>SUM(CD32+CD29)</f>
        <v>0</v>
      </c>
      <c r="CE33" s="130">
        <f>SUM(CE32+CE29)</f>
        <v>1533</v>
      </c>
      <c r="CF33" s="61"/>
      <c r="CG33" s="297" t="s">
        <v>25</v>
      </c>
      <c r="CH33" s="298"/>
      <c r="CI33" s="299"/>
      <c r="CJ33" s="236">
        <v>2436</v>
      </c>
      <c r="CK33" s="237">
        <v>531</v>
      </c>
      <c r="CL33" s="237">
        <v>404</v>
      </c>
      <c r="CM33" s="237">
        <v>5</v>
      </c>
      <c r="CN33" s="238">
        <v>412</v>
      </c>
      <c r="CO33" s="239">
        <v>3788</v>
      </c>
      <c r="CP33" s="240">
        <v>567</v>
      </c>
      <c r="CQ33" s="240">
        <v>1942</v>
      </c>
      <c r="CR33" s="241">
        <v>0</v>
      </c>
      <c r="CS33" s="241">
        <v>2509</v>
      </c>
      <c r="CT33" s="61"/>
      <c r="CU33" s="297" t="s">
        <v>25</v>
      </c>
      <c r="CV33" s="298"/>
      <c r="CW33" s="299"/>
      <c r="CX33" s="276">
        <f t="shared" ref="CX33:DB33" si="207">SUM(CX32+CX29)</f>
        <v>4014</v>
      </c>
      <c r="CY33" s="277">
        <f t="shared" si="207"/>
        <v>417</v>
      </c>
      <c r="CZ33" s="277">
        <f t="shared" si="207"/>
        <v>619</v>
      </c>
      <c r="DA33" s="277">
        <f t="shared" si="207"/>
        <v>10</v>
      </c>
      <c r="DB33" s="278">
        <f t="shared" si="207"/>
        <v>656</v>
      </c>
      <c r="DC33" s="279">
        <f>SUM(DC29+DC32)</f>
        <v>5716</v>
      </c>
      <c r="DD33" s="280">
        <f t="shared" ref="DD33:DF33" si="208">SUM(DD32+DD29)</f>
        <v>28</v>
      </c>
      <c r="DE33" s="281">
        <f t="shared" si="208"/>
        <v>354</v>
      </c>
      <c r="DF33" s="282">
        <f t="shared" si="208"/>
        <v>0</v>
      </c>
      <c r="DG33" s="130">
        <f>SUM(DG32+DG29)</f>
        <v>382</v>
      </c>
      <c r="DH33" s="61"/>
      <c r="DI33" s="297" t="s">
        <v>25</v>
      </c>
      <c r="DJ33" s="298"/>
      <c r="DK33" s="299"/>
      <c r="DL33" s="276">
        <f t="shared" ref="DL33:DP33" si="209">SUM(DL32+DL29)</f>
        <v>5153</v>
      </c>
      <c r="DM33" s="277">
        <f t="shared" si="209"/>
        <v>40</v>
      </c>
      <c r="DN33" s="277">
        <f t="shared" si="209"/>
        <v>1095</v>
      </c>
      <c r="DO33" s="277">
        <f t="shared" si="209"/>
        <v>79</v>
      </c>
      <c r="DP33" s="278">
        <f t="shared" si="209"/>
        <v>1413</v>
      </c>
      <c r="DQ33" s="279">
        <f>SUM(DQ29+DQ32)</f>
        <v>7780</v>
      </c>
      <c r="DR33" s="280">
        <f t="shared" ref="DR33:DU33" si="210">SUM(DR32+DR29)</f>
        <v>202</v>
      </c>
      <c r="DS33" s="281">
        <f t="shared" si="210"/>
        <v>3738</v>
      </c>
      <c r="DT33" s="282">
        <f t="shared" si="210"/>
        <v>0</v>
      </c>
      <c r="DU33" s="292">
        <f t="shared" si="210"/>
        <v>3940</v>
      </c>
      <c r="DV33" s="61"/>
      <c r="DW33" s="297" t="s">
        <v>25</v>
      </c>
      <c r="DX33" s="298"/>
      <c r="DY33" s="299"/>
      <c r="DZ33" s="236">
        <v>2279</v>
      </c>
      <c r="EA33" s="237">
        <v>597</v>
      </c>
      <c r="EB33" s="237">
        <v>411</v>
      </c>
      <c r="EC33" s="237">
        <v>5</v>
      </c>
      <c r="ED33" s="238">
        <v>411</v>
      </c>
      <c r="EE33" s="239">
        <v>3703</v>
      </c>
      <c r="EF33" s="240">
        <v>33</v>
      </c>
      <c r="EG33" s="240">
        <v>613</v>
      </c>
      <c r="EH33" s="241">
        <v>0</v>
      </c>
      <c r="EI33" s="241">
        <v>646</v>
      </c>
      <c r="EJ33" s="61"/>
      <c r="EK33" s="297" t="s">
        <v>25</v>
      </c>
      <c r="EL33" s="298"/>
      <c r="EM33" s="299"/>
      <c r="EN33" s="123">
        <f>SUM(EN32+EN29)</f>
        <v>0</v>
      </c>
      <c r="EO33" s="124">
        <f>SUM(EO32+EO29)</f>
        <v>0</v>
      </c>
      <c r="EP33" s="124">
        <f>SUM(EP32+EP29)</f>
        <v>0</v>
      </c>
      <c r="EQ33" s="124">
        <f>SUM(EQ32+EQ29)</f>
        <v>0</v>
      </c>
      <c r="ER33" s="125">
        <f>SUM(ER32+ER29)</f>
        <v>0</v>
      </c>
      <c r="ES33" s="126">
        <f>SUM(ES29+ES32)</f>
        <v>0</v>
      </c>
      <c r="ET33" s="127">
        <f>SUM(ET32+ET29)</f>
        <v>0</v>
      </c>
      <c r="EU33" s="128">
        <f>SUM(EU32+EU29)</f>
        <v>0</v>
      </c>
      <c r="EV33" s="129">
        <f>SUM(EV32+EV29)</f>
        <v>0</v>
      </c>
      <c r="EW33" s="130">
        <f>SUM(EW32+EW29)</f>
        <v>0</v>
      </c>
      <c r="EX33" s="61"/>
      <c r="EY33" s="297" t="s">
        <v>25</v>
      </c>
      <c r="EZ33" s="298"/>
      <c r="FA33" s="299"/>
      <c r="FB33" s="123">
        <f>SUM(FB32+FB29)</f>
        <v>0</v>
      </c>
      <c r="FC33" s="124">
        <f>SUM(FC32+FC29)</f>
        <v>0</v>
      </c>
      <c r="FD33" s="124">
        <f>SUM(FD32+FD29)</f>
        <v>0</v>
      </c>
      <c r="FE33" s="124">
        <f>SUM(FE32+FE29)</f>
        <v>0</v>
      </c>
      <c r="FF33" s="125">
        <f>SUM(FF32+FF29)</f>
        <v>0</v>
      </c>
      <c r="FG33" s="126">
        <f>SUM(FG29+FG32)</f>
        <v>0</v>
      </c>
      <c r="FH33" s="127">
        <f>SUM(FH32+FH29)</f>
        <v>0</v>
      </c>
      <c r="FI33" s="128">
        <f>SUM(FI32+FI29)</f>
        <v>0</v>
      </c>
      <c r="FJ33" s="129">
        <f>SUM(FJ32+FJ29)</f>
        <v>0</v>
      </c>
      <c r="FK33" s="130">
        <f>SUM(FK32+FK29)</f>
        <v>0</v>
      </c>
      <c r="FM33" s="297" t="s">
        <v>25</v>
      </c>
      <c r="FN33" s="298"/>
      <c r="FO33" s="299"/>
      <c r="FP33" s="123">
        <f>SUM(FP32+FP29)</f>
        <v>32028</v>
      </c>
      <c r="FQ33" s="124">
        <f>SUM(FQ32+FQ29)</f>
        <v>4103</v>
      </c>
      <c r="FR33" s="124">
        <f>SUM(FR32+FR29)</f>
        <v>4672</v>
      </c>
      <c r="FS33" s="124">
        <f>SUM(FS32+FS29)</f>
        <v>122</v>
      </c>
      <c r="FT33" s="125">
        <f>SUM(FT32+FT29)</f>
        <v>5226</v>
      </c>
      <c r="FU33" s="131">
        <f>SUM(FU29+FU32)</f>
        <v>46151</v>
      </c>
      <c r="FV33" s="132">
        <f>SUM(FV32+FV29)</f>
        <v>2197</v>
      </c>
      <c r="FW33" s="124">
        <f>SUM(FW32+FW29)</f>
        <v>13872</v>
      </c>
      <c r="FX33" s="125">
        <f>SUM(FX32+FX29)</f>
        <v>0</v>
      </c>
      <c r="FY33" s="133">
        <f>SUM(FY32+FY29)</f>
        <v>16069</v>
      </c>
      <c r="GA33" s="61"/>
    </row>
    <row r="34" spans="1:183" s="96" customFormat="1" ht="20.100000000000001" customHeight="1" thickBot="1" x14ac:dyDescent="0.25">
      <c r="A34" s="303" t="s">
        <v>37</v>
      </c>
      <c r="B34" s="306" t="s">
        <v>5</v>
      </c>
      <c r="C34" s="82" t="s">
        <v>20</v>
      </c>
      <c r="D34" s="83">
        <v>0</v>
      </c>
      <c r="E34" s="84">
        <v>0</v>
      </c>
      <c r="F34" s="84">
        <v>0</v>
      </c>
      <c r="G34" s="85">
        <v>0</v>
      </c>
      <c r="H34" s="86">
        <v>0</v>
      </c>
      <c r="I34" s="87">
        <f>SUM(D34:H34)</f>
        <v>0</v>
      </c>
      <c r="J34" s="88">
        <v>0</v>
      </c>
      <c r="K34" s="84">
        <v>0</v>
      </c>
      <c r="L34" s="89">
        <v>0</v>
      </c>
      <c r="M34" s="90">
        <f>SUM(J34:L34)</f>
        <v>0</v>
      </c>
      <c r="N34" s="91"/>
      <c r="O34" s="303" t="s">
        <v>37</v>
      </c>
      <c r="P34" s="306" t="s">
        <v>5</v>
      </c>
      <c r="Q34" s="82" t="s">
        <v>20</v>
      </c>
      <c r="R34" s="83">
        <v>0</v>
      </c>
      <c r="S34" s="84">
        <v>0</v>
      </c>
      <c r="T34" s="84">
        <v>0</v>
      </c>
      <c r="U34" s="85">
        <v>0</v>
      </c>
      <c r="V34" s="86">
        <v>0</v>
      </c>
      <c r="W34" s="87">
        <f>SUM(R34:V34)</f>
        <v>0</v>
      </c>
      <c r="X34" s="88">
        <v>0</v>
      </c>
      <c r="Y34" s="84">
        <v>0</v>
      </c>
      <c r="Z34" s="89">
        <v>0</v>
      </c>
      <c r="AA34" s="90">
        <f>SUM(X34:Z34)</f>
        <v>0</v>
      </c>
      <c r="AB34" s="91"/>
      <c r="AC34" s="303" t="s">
        <v>37</v>
      </c>
      <c r="AD34" s="306" t="s">
        <v>5</v>
      </c>
      <c r="AE34" s="82" t="s">
        <v>20</v>
      </c>
      <c r="AF34" s="210">
        <v>0</v>
      </c>
      <c r="AG34" s="211">
        <v>0</v>
      </c>
      <c r="AH34" s="211">
        <v>0</v>
      </c>
      <c r="AI34" s="212">
        <v>0</v>
      </c>
      <c r="AJ34" s="213">
        <v>0</v>
      </c>
      <c r="AK34" s="214">
        <v>0</v>
      </c>
      <c r="AL34" s="211">
        <v>0</v>
      </c>
      <c r="AM34" s="211">
        <v>0</v>
      </c>
      <c r="AN34" s="213">
        <v>0</v>
      </c>
      <c r="AO34" s="90">
        <f>SUM(AL34:AN34)</f>
        <v>0</v>
      </c>
      <c r="AP34" s="91"/>
      <c r="AQ34" s="303" t="s">
        <v>37</v>
      </c>
      <c r="AR34" s="306" t="s">
        <v>5</v>
      </c>
      <c r="AS34" s="82" t="s">
        <v>20</v>
      </c>
      <c r="AT34" s="83">
        <v>0</v>
      </c>
      <c r="AU34" s="84">
        <v>0</v>
      </c>
      <c r="AV34" s="84">
        <v>0</v>
      </c>
      <c r="AW34" s="85">
        <v>0</v>
      </c>
      <c r="AX34" s="86">
        <v>0</v>
      </c>
      <c r="AY34" s="87">
        <f>SUM(AT34:AX34)</f>
        <v>0</v>
      </c>
      <c r="AZ34" s="88">
        <v>0</v>
      </c>
      <c r="BA34" s="84">
        <v>0</v>
      </c>
      <c r="BB34" s="89">
        <v>0</v>
      </c>
      <c r="BC34" s="90">
        <f>SUM(AZ34:BB34)</f>
        <v>0</v>
      </c>
      <c r="BD34" s="91"/>
      <c r="BE34" s="303" t="s">
        <v>37</v>
      </c>
      <c r="BF34" s="306" t="s">
        <v>5</v>
      </c>
      <c r="BG34" s="82" t="s">
        <v>20</v>
      </c>
      <c r="BH34" s="83">
        <v>0</v>
      </c>
      <c r="BI34" s="84">
        <v>0</v>
      </c>
      <c r="BJ34" s="84">
        <v>0</v>
      </c>
      <c r="BK34" s="85">
        <v>0</v>
      </c>
      <c r="BL34" s="86">
        <v>0</v>
      </c>
      <c r="BM34" s="87">
        <f>SUM(BH34:BL34)</f>
        <v>0</v>
      </c>
      <c r="BN34" s="88">
        <v>0</v>
      </c>
      <c r="BO34" s="84">
        <v>0</v>
      </c>
      <c r="BP34" s="89">
        <v>0</v>
      </c>
      <c r="BQ34" s="90">
        <f>SUM(BN34:BP34)</f>
        <v>0</v>
      </c>
      <c r="BR34" s="91"/>
      <c r="BS34" s="303" t="s">
        <v>37</v>
      </c>
      <c r="BT34" s="306" t="s">
        <v>5</v>
      </c>
      <c r="BU34" s="82" t="s">
        <v>20</v>
      </c>
      <c r="BV34" s="83">
        <v>0</v>
      </c>
      <c r="BW34" s="84">
        <v>0</v>
      </c>
      <c r="BX34" s="84">
        <v>0</v>
      </c>
      <c r="BY34" s="85">
        <v>0</v>
      </c>
      <c r="BZ34" s="86">
        <v>0</v>
      </c>
      <c r="CA34" s="87">
        <f>SUM(BV34:BZ34)</f>
        <v>0</v>
      </c>
      <c r="CB34" s="88">
        <v>0</v>
      </c>
      <c r="CC34" s="84">
        <v>0</v>
      </c>
      <c r="CD34" s="89">
        <v>0</v>
      </c>
      <c r="CE34" s="90">
        <f>SUM(CB34:CD34)</f>
        <v>0</v>
      </c>
      <c r="CF34" s="91"/>
      <c r="CG34" s="303" t="s">
        <v>37</v>
      </c>
      <c r="CH34" s="306" t="s">
        <v>5</v>
      </c>
      <c r="CI34" s="82" t="s">
        <v>20</v>
      </c>
      <c r="CJ34" s="210">
        <v>0</v>
      </c>
      <c r="CK34" s="211">
        <v>0</v>
      </c>
      <c r="CL34" s="211">
        <v>0</v>
      </c>
      <c r="CM34" s="212">
        <v>0</v>
      </c>
      <c r="CN34" s="213">
        <v>0</v>
      </c>
      <c r="CO34" s="214">
        <v>0</v>
      </c>
      <c r="CP34" s="211">
        <v>0</v>
      </c>
      <c r="CQ34" s="211">
        <v>0</v>
      </c>
      <c r="CR34" s="213">
        <v>0</v>
      </c>
      <c r="CS34" s="244">
        <v>0</v>
      </c>
      <c r="CT34" s="91"/>
      <c r="CU34" s="303" t="s">
        <v>37</v>
      </c>
      <c r="CV34" s="306" t="s">
        <v>5</v>
      </c>
      <c r="CW34" s="82" t="s">
        <v>20</v>
      </c>
      <c r="CX34" s="285">
        <v>0</v>
      </c>
      <c r="CY34" s="253">
        <v>0</v>
      </c>
      <c r="CZ34" s="253">
        <v>0</v>
      </c>
      <c r="DA34" s="286">
        <v>0</v>
      </c>
      <c r="DB34" s="287">
        <v>0</v>
      </c>
      <c r="DC34" s="251">
        <f t="shared" ref="DC34:DC35" si="211">SUM(CX34:DB34)</f>
        <v>0</v>
      </c>
      <c r="DD34" s="252">
        <v>0</v>
      </c>
      <c r="DE34" s="253">
        <v>0</v>
      </c>
      <c r="DF34" s="254">
        <v>0</v>
      </c>
      <c r="DG34" s="90">
        <f>SUM(DD34:DF34)</f>
        <v>0</v>
      </c>
      <c r="DH34" s="91"/>
      <c r="DI34" s="303" t="s">
        <v>37</v>
      </c>
      <c r="DJ34" s="306" t="s">
        <v>5</v>
      </c>
      <c r="DK34" s="82" t="s">
        <v>20</v>
      </c>
      <c r="DL34" s="83">
        <v>0</v>
      </c>
      <c r="DM34" s="84">
        <v>0</v>
      </c>
      <c r="DN34" s="84">
        <v>0</v>
      </c>
      <c r="DO34" s="85">
        <v>0</v>
      </c>
      <c r="DP34" s="86">
        <v>0</v>
      </c>
      <c r="DQ34" s="87">
        <f>SUM(DL34:DP34)</f>
        <v>0</v>
      </c>
      <c r="DR34" s="88">
        <v>0</v>
      </c>
      <c r="DS34" s="84">
        <v>0</v>
      </c>
      <c r="DT34" s="89">
        <v>0</v>
      </c>
      <c r="DU34" s="90">
        <f>SUM(DR34:DT34)</f>
        <v>0</v>
      </c>
      <c r="DV34" s="91"/>
      <c r="DW34" s="303" t="s">
        <v>37</v>
      </c>
      <c r="DX34" s="306" t="s">
        <v>5</v>
      </c>
      <c r="DY34" s="82" t="s">
        <v>20</v>
      </c>
      <c r="DZ34" s="83">
        <v>814</v>
      </c>
      <c r="EA34" s="84">
        <v>62</v>
      </c>
      <c r="EB34" s="84">
        <v>82</v>
      </c>
      <c r="EC34" s="85">
        <v>0</v>
      </c>
      <c r="ED34" s="86">
        <v>102</v>
      </c>
      <c r="EE34" s="87">
        <f>SUM(DZ34:ED34)</f>
        <v>1060</v>
      </c>
      <c r="EF34" s="88">
        <v>13</v>
      </c>
      <c r="EG34" s="84">
        <v>560</v>
      </c>
      <c r="EH34" s="89">
        <v>0</v>
      </c>
      <c r="EI34" s="90">
        <f>SUM(EF34:EH34)</f>
        <v>573</v>
      </c>
      <c r="EJ34" s="91"/>
      <c r="EK34" s="303" t="s">
        <v>37</v>
      </c>
      <c r="EL34" s="306" t="s">
        <v>5</v>
      </c>
      <c r="EM34" s="82" t="s">
        <v>20</v>
      </c>
      <c r="EN34" s="83">
        <v>0</v>
      </c>
      <c r="EO34" s="84">
        <v>0</v>
      </c>
      <c r="EP34" s="84">
        <v>0</v>
      </c>
      <c r="EQ34" s="85">
        <v>0</v>
      </c>
      <c r="ER34" s="86">
        <v>0</v>
      </c>
      <c r="ES34" s="87">
        <f>SUM(EN34:ER34)</f>
        <v>0</v>
      </c>
      <c r="ET34" s="88">
        <v>0</v>
      </c>
      <c r="EU34" s="84">
        <v>0</v>
      </c>
      <c r="EV34" s="89">
        <v>0</v>
      </c>
      <c r="EW34" s="90">
        <f>SUM(ET34:EV34)</f>
        <v>0</v>
      </c>
      <c r="EX34" s="91"/>
      <c r="EY34" s="303" t="s">
        <v>37</v>
      </c>
      <c r="EZ34" s="306" t="s">
        <v>5</v>
      </c>
      <c r="FA34" s="82" t="s">
        <v>20</v>
      </c>
      <c r="FB34" s="83">
        <v>0</v>
      </c>
      <c r="FC34" s="84">
        <v>0</v>
      </c>
      <c r="FD34" s="84">
        <v>0</v>
      </c>
      <c r="FE34" s="85">
        <v>0</v>
      </c>
      <c r="FF34" s="86">
        <v>0</v>
      </c>
      <c r="FG34" s="87">
        <f>SUM(FB34:FF34)</f>
        <v>0</v>
      </c>
      <c r="FH34" s="88">
        <v>0</v>
      </c>
      <c r="FI34" s="84">
        <v>0</v>
      </c>
      <c r="FJ34" s="89">
        <v>0</v>
      </c>
      <c r="FK34" s="90">
        <f>SUM(FH34:FJ34)</f>
        <v>0</v>
      </c>
      <c r="FL34" s="147"/>
      <c r="FM34" s="303" t="str">
        <f>EY34</f>
        <v>الروابي</v>
      </c>
      <c r="FN34" s="306" t="s">
        <v>5</v>
      </c>
      <c r="FO34" s="82" t="s">
        <v>20</v>
      </c>
      <c r="FP34" s="83">
        <f t="shared" ref="FP34:FP35" si="212">SUM(D34+R34+AF34+AT34+BH34+BV34+CJ34+CX34+DL34+DZ34+EN34+FB34)</f>
        <v>814</v>
      </c>
      <c r="FQ34" s="83">
        <f t="shared" ref="FQ34:FQ35" si="213">SUM(E34+S34+AG34+AU34+BI34+BW34+CK34+CY34+DM34+EA34+EO34+FC34)</f>
        <v>62</v>
      </c>
      <c r="FR34" s="83">
        <f t="shared" ref="FR34:FR35" si="214">SUM(F34+T34+AH34+AV34+BJ34+BX34+CL34+CZ34+DN34+EB34+EP34+FD34)</f>
        <v>82</v>
      </c>
      <c r="FS34" s="149">
        <f t="shared" ref="FS34:FS35" si="215">SUM(G34+U34+AI34+AW34+BK34+BY34+CM34+DA34+DO34+EC34+EQ34+FE34)</f>
        <v>0</v>
      </c>
      <c r="FT34" s="83">
        <f t="shared" ref="FT34:FT35" si="216">SUM(H34+V34+AJ34+AX34+BL34+BZ34+CN34+DB34+DP34+ED34+ER34+FF34)</f>
        <v>102</v>
      </c>
      <c r="FU34" s="93">
        <f>SUM(FP34:FT34)</f>
        <v>1060</v>
      </c>
      <c r="FV34" s="88">
        <f t="shared" ref="FV34:FV35" si="217">SUM(J34+X34+AL34+AZ34+BN34+CB34+CP34+DD34+DR34+EF34+ET34+FH34)</f>
        <v>13</v>
      </c>
      <c r="FW34" s="88">
        <f t="shared" ref="FW34:FW35" si="218">SUM(K34+Y34+AM34+BA34+BO34+CC34+CQ34+DE34+DS34+EG34+EU34+FI34)</f>
        <v>560</v>
      </c>
      <c r="FX34" s="88">
        <f t="shared" ref="FX34:FX35" si="219">SUM(L34+Z34+AN34+BB34+BP34+CD34+CR34+DF34+DT34+EH34+EV34+FJ34)</f>
        <v>0</v>
      </c>
      <c r="FY34" s="94">
        <f>SUM(FV34:FX34)</f>
        <v>573</v>
      </c>
      <c r="FZ34" s="95"/>
      <c r="GA34" s="91"/>
    </row>
    <row r="35" spans="1:183" s="96" customFormat="1" ht="20.100000000000001" customHeight="1" thickBot="1" x14ac:dyDescent="0.25">
      <c r="A35" s="304"/>
      <c r="B35" s="307"/>
      <c r="C35" s="97" t="s">
        <v>21</v>
      </c>
      <c r="D35" s="98">
        <v>0</v>
      </c>
      <c r="E35" s="99">
        <v>0</v>
      </c>
      <c r="F35" s="99">
        <v>0</v>
      </c>
      <c r="G35" s="99">
        <v>0</v>
      </c>
      <c r="H35" s="100">
        <v>0</v>
      </c>
      <c r="I35" s="101">
        <f>SUM(D35:H35)</f>
        <v>0</v>
      </c>
      <c r="J35" s="102">
        <v>0</v>
      </c>
      <c r="K35" s="99">
        <v>0</v>
      </c>
      <c r="L35" s="103">
        <v>0</v>
      </c>
      <c r="M35" s="104">
        <f>SUM(J35:L35)</f>
        <v>0</v>
      </c>
      <c r="N35" s="91"/>
      <c r="O35" s="304"/>
      <c r="P35" s="307"/>
      <c r="Q35" s="97" t="s">
        <v>21</v>
      </c>
      <c r="R35" s="98">
        <v>0</v>
      </c>
      <c r="S35" s="99">
        <v>0</v>
      </c>
      <c r="T35" s="99">
        <v>0</v>
      </c>
      <c r="U35" s="99">
        <v>0</v>
      </c>
      <c r="V35" s="100">
        <v>0</v>
      </c>
      <c r="W35" s="101">
        <f>SUM(R35:V35)</f>
        <v>0</v>
      </c>
      <c r="X35" s="102">
        <v>0</v>
      </c>
      <c r="Y35" s="99">
        <v>0</v>
      </c>
      <c r="Z35" s="103">
        <v>0</v>
      </c>
      <c r="AA35" s="104">
        <f>SUM(X35:Z35)</f>
        <v>0</v>
      </c>
      <c r="AB35" s="91"/>
      <c r="AC35" s="304"/>
      <c r="AD35" s="307"/>
      <c r="AE35" s="97" t="s">
        <v>21</v>
      </c>
      <c r="AF35" s="202">
        <v>0</v>
      </c>
      <c r="AG35" s="203">
        <v>0</v>
      </c>
      <c r="AH35" s="203">
        <v>0</v>
      </c>
      <c r="AI35" s="203">
        <v>0</v>
      </c>
      <c r="AJ35" s="204">
        <v>0</v>
      </c>
      <c r="AK35" s="205">
        <v>0</v>
      </c>
      <c r="AL35" s="203">
        <v>0</v>
      </c>
      <c r="AM35" s="203">
        <v>0</v>
      </c>
      <c r="AN35" s="204">
        <v>0</v>
      </c>
      <c r="AO35" s="104">
        <f>SUM(AL35:AN35)</f>
        <v>0</v>
      </c>
      <c r="AP35" s="91"/>
      <c r="AQ35" s="304"/>
      <c r="AR35" s="307"/>
      <c r="AS35" s="97" t="s">
        <v>21</v>
      </c>
      <c r="AT35" s="98">
        <v>0</v>
      </c>
      <c r="AU35" s="99">
        <v>0</v>
      </c>
      <c r="AV35" s="99">
        <v>0</v>
      </c>
      <c r="AW35" s="99">
        <v>0</v>
      </c>
      <c r="AX35" s="100">
        <v>0</v>
      </c>
      <c r="AY35" s="101">
        <f>SUM(AT35:AX35)</f>
        <v>0</v>
      </c>
      <c r="AZ35" s="102">
        <v>0</v>
      </c>
      <c r="BA35" s="99">
        <v>0</v>
      </c>
      <c r="BB35" s="103">
        <v>0</v>
      </c>
      <c r="BC35" s="104">
        <f>SUM(AZ35:BB35)</f>
        <v>0</v>
      </c>
      <c r="BD35" s="91"/>
      <c r="BE35" s="304"/>
      <c r="BF35" s="307"/>
      <c r="BG35" s="97" t="s">
        <v>21</v>
      </c>
      <c r="BH35" s="98">
        <v>0</v>
      </c>
      <c r="BI35" s="99">
        <v>0</v>
      </c>
      <c r="BJ35" s="99">
        <v>0</v>
      </c>
      <c r="BK35" s="99">
        <v>0</v>
      </c>
      <c r="BL35" s="100">
        <v>0</v>
      </c>
      <c r="BM35" s="101">
        <f>SUM(BH35:BL35)</f>
        <v>0</v>
      </c>
      <c r="BN35" s="102">
        <v>0</v>
      </c>
      <c r="BO35" s="99">
        <v>0</v>
      </c>
      <c r="BP35" s="103">
        <v>0</v>
      </c>
      <c r="BQ35" s="104">
        <f>SUM(BN35:BP35)</f>
        <v>0</v>
      </c>
      <c r="BR35" s="91"/>
      <c r="BS35" s="304"/>
      <c r="BT35" s="307"/>
      <c r="BU35" s="97" t="s">
        <v>21</v>
      </c>
      <c r="BV35" s="98">
        <v>0</v>
      </c>
      <c r="BW35" s="99">
        <v>0</v>
      </c>
      <c r="BX35" s="99">
        <v>0</v>
      </c>
      <c r="BY35" s="99">
        <v>0</v>
      </c>
      <c r="BZ35" s="100">
        <v>0</v>
      </c>
      <c r="CA35" s="101">
        <f>SUM(BV35:BZ35)</f>
        <v>0</v>
      </c>
      <c r="CB35" s="102">
        <v>0</v>
      </c>
      <c r="CC35" s="99">
        <v>0</v>
      </c>
      <c r="CD35" s="103">
        <v>0</v>
      </c>
      <c r="CE35" s="104">
        <f>SUM(CB35:CD35)</f>
        <v>0</v>
      </c>
      <c r="CF35" s="91"/>
      <c r="CG35" s="304"/>
      <c r="CH35" s="307"/>
      <c r="CI35" s="97" t="s">
        <v>21</v>
      </c>
      <c r="CJ35" s="202">
        <v>0</v>
      </c>
      <c r="CK35" s="203">
        <v>0</v>
      </c>
      <c r="CL35" s="203">
        <v>0</v>
      </c>
      <c r="CM35" s="203">
        <v>0</v>
      </c>
      <c r="CN35" s="204">
        <v>0</v>
      </c>
      <c r="CO35" s="205">
        <v>0</v>
      </c>
      <c r="CP35" s="203">
        <v>0</v>
      </c>
      <c r="CQ35" s="203">
        <v>0</v>
      </c>
      <c r="CR35" s="204">
        <v>0</v>
      </c>
      <c r="CS35" s="208">
        <v>0</v>
      </c>
      <c r="CT35" s="91"/>
      <c r="CU35" s="304"/>
      <c r="CV35" s="307"/>
      <c r="CW35" s="97" t="s">
        <v>21</v>
      </c>
      <c r="CX35" s="274">
        <v>0</v>
      </c>
      <c r="CY35" s="260">
        <v>0</v>
      </c>
      <c r="CZ35" s="260">
        <v>0</v>
      </c>
      <c r="DA35" s="260">
        <v>0</v>
      </c>
      <c r="DB35" s="275">
        <v>0</v>
      </c>
      <c r="DC35" s="258">
        <f t="shared" si="211"/>
        <v>0</v>
      </c>
      <c r="DD35" s="259">
        <v>0</v>
      </c>
      <c r="DE35" s="260">
        <v>0</v>
      </c>
      <c r="DF35" s="261">
        <v>0</v>
      </c>
      <c r="DG35" s="104">
        <f>SUM(DD35:DF35)</f>
        <v>0</v>
      </c>
      <c r="DH35" s="91"/>
      <c r="DI35" s="304"/>
      <c r="DJ35" s="307"/>
      <c r="DK35" s="97" t="s">
        <v>21</v>
      </c>
      <c r="DL35" s="98">
        <v>0</v>
      </c>
      <c r="DM35" s="99">
        <v>0</v>
      </c>
      <c r="DN35" s="99">
        <v>0</v>
      </c>
      <c r="DO35" s="99">
        <v>0</v>
      </c>
      <c r="DP35" s="100">
        <v>0</v>
      </c>
      <c r="DQ35" s="101">
        <f>SUM(DL35:DP35)</f>
        <v>0</v>
      </c>
      <c r="DR35" s="102">
        <v>0</v>
      </c>
      <c r="DS35" s="99">
        <v>0</v>
      </c>
      <c r="DT35" s="103">
        <v>0</v>
      </c>
      <c r="DU35" s="104">
        <f>SUM(DR35:DT35)</f>
        <v>0</v>
      </c>
      <c r="DV35" s="91"/>
      <c r="DW35" s="304"/>
      <c r="DX35" s="307"/>
      <c r="DY35" s="97" t="s">
        <v>21</v>
      </c>
      <c r="DZ35" s="98">
        <v>720</v>
      </c>
      <c r="EA35" s="99">
        <v>16</v>
      </c>
      <c r="EB35" s="99">
        <v>83</v>
      </c>
      <c r="EC35" s="99">
        <v>5</v>
      </c>
      <c r="ED35" s="100">
        <v>81</v>
      </c>
      <c r="EE35" s="101">
        <f>SUM(DZ35:ED35)</f>
        <v>905</v>
      </c>
      <c r="EF35" s="102">
        <v>9</v>
      </c>
      <c r="EG35" s="99">
        <v>353</v>
      </c>
      <c r="EH35" s="103">
        <v>0</v>
      </c>
      <c r="EI35" s="104">
        <f>SUM(EF35:EH35)</f>
        <v>362</v>
      </c>
      <c r="EJ35" s="91"/>
      <c r="EK35" s="304"/>
      <c r="EL35" s="307"/>
      <c r="EM35" s="97" t="s">
        <v>21</v>
      </c>
      <c r="EN35" s="98">
        <v>0</v>
      </c>
      <c r="EO35" s="99">
        <v>0</v>
      </c>
      <c r="EP35" s="99">
        <v>0</v>
      </c>
      <c r="EQ35" s="99">
        <v>0</v>
      </c>
      <c r="ER35" s="100">
        <v>0</v>
      </c>
      <c r="ES35" s="101">
        <f>SUM(EN35:ER35)</f>
        <v>0</v>
      </c>
      <c r="ET35" s="102">
        <v>0</v>
      </c>
      <c r="EU35" s="99">
        <v>0</v>
      </c>
      <c r="EV35" s="103">
        <v>0</v>
      </c>
      <c r="EW35" s="104">
        <f>SUM(ET35:EV35)</f>
        <v>0</v>
      </c>
      <c r="EX35" s="91"/>
      <c r="EY35" s="304"/>
      <c r="EZ35" s="307"/>
      <c r="FA35" s="97" t="s">
        <v>21</v>
      </c>
      <c r="FB35" s="98">
        <v>0</v>
      </c>
      <c r="FC35" s="99">
        <v>0</v>
      </c>
      <c r="FD35" s="99">
        <v>0</v>
      </c>
      <c r="FE35" s="99">
        <v>0</v>
      </c>
      <c r="FF35" s="100">
        <v>0</v>
      </c>
      <c r="FG35" s="101">
        <f>SUM(FB35:FF35)</f>
        <v>0</v>
      </c>
      <c r="FH35" s="102">
        <v>0</v>
      </c>
      <c r="FI35" s="99">
        <v>0</v>
      </c>
      <c r="FJ35" s="103">
        <v>0</v>
      </c>
      <c r="FK35" s="104">
        <f>SUM(FH35:FJ35)</f>
        <v>0</v>
      </c>
      <c r="FL35" s="147"/>
      <c r="FM35" s="304"/>
      <c r="FN35" s="307"/>
      <c r="FO35" s="97" t="s">
        <v>21</v>
      </c>
      <c r="FP35" s="83">
        <f t="shared" si="212"/>
        <v>720</v>
      </c>
      <c r="FQ35" s="83">
        <f t="shared" si="213"/>
        <v>16</v>
      </c>
      <c r="FR35" s="83">
        <f t="shared" si="214"/>
        <v>83</v>
      </c>
      <c r="FS35" s="83">
        <f t="shared" si="215"/>
        <v>5</v>
      </c>
      <c r="FT35" s="83">
        <f t="shared" si="216"/>
        <v>81</v>
      </c>
      <c r="FU35" s="101">
        <f>SUM(FP35:FT35)</f>
        <v>905</v>
      </c>
      <c r="FV35" s="88">
        <f t="shared" si="217"/>
        <v>9</v>
      </c>
      <c r="FW35" s="88">
        <f t="shared" si="218"/>
        <v>353</v>
      </c>
      <c r="FX35" s="88">
        <f t="shared" si="219"/>
        <v>0</v>
      </c>
      <c r="FY35" s="106">
        <f>SUM(FV35:FX35)</f>
        <v>362</v>
      </c>
      <c r="FZ35" s="95"/>
      <c r="GA35" s="91"/>
    </row>
    <row r="36" spans="1:183" s="96" customFormat="1" ht="20.100000000000001" customHeight="1" thickBot="1" x14ac:dyDescent="0.25">
      <c r="A36" s="304"/>
      <c r="B36" s="308" t="s">
        <v>22</v>
      </c>
      <c r="C36" s="311"/>
      <c r="D36" s="107">
        <f t="shared" ref="D36:L36" si="220">SUM(D34:D35)</f>
        <v>0</v>
      </c>
      <c r="E36" s="108">
        <f t="shared" si="220"/>
        <v>0</v>
      </c>
      <c r="F36" s="108">
        <f t="shared" si="220"/>
        <v>0</v>
      </c>
      <c r="G36" s="108">
        <f t="shared" si="220"/>
        <v>0</v>
      </c>
      <c r="H36" s="109">
        <f t="shared" si="220"/>
        <v>0</v>
      </c>
      <c r="I36" s="110">
        <f t="shared" si="220"/>
        <v>0</v>
      </c>
      <c r="J36" s="111">
        <f t="shared" si="220"/>
        <v>0</v>
      </c>
      <c r="K36" s="108">
        <f t="shared" si="220"/>
        <v>0</v>
      </c>
      <c r="L36" s="109">
        <f t="shared" si="220"/>
        <v>0</v>
      </c>
      <c r="M36" s="112">
        <f t="shared" ref="M36" si="221">SUM(M34:M35)</f>
        <v>0</v>
      </c>
      <c r="N36" s="91"/>
      <c r="O36" s="304"/>
      <c r="P36" s="308" t="s">
        <v>22</v>
      </c>
      <c r="Q36" s="311"/>
      <c r="R36" s="107">
        <f t="shared" ref="R36:AA36" si="222">SUM(R34:R35)</f>
        <v>0</v>
      </c>
      <c r="S36" s="108">
        <f t="shared" si="222"/>
        <v>0</v>
      </c>
      <c r="T36" s="108">
        <f t="shared" si="222"/>
        <v>0</v>
      </c>
      <c r="U36" s="108">
        <f t="shared" si="222"/>
        <v>0</v>
      </c>
      <c r="V36" s="109">
        <f t="shared" si="222"/>
        <v>0</v>
      </c>
      <c r="W36" s="110">
        <f t="shared" si="222"/>
        <v>0</v>
      </c>
      <c r="X36" s="111">
        <f t="shared" si="222"/>
        <v>0</v>
      </c>
      <c r="Y36" s="108">
        <f t="shared" si="222"/>
        <v>0</v>
      </c>
      <c r="Z36" s="109">
        <f t="shared" si="222"/>
        <v>0</v>
      </c>
      <c r="AA36" s="112">
        <f t="shared" si="222"/>
        <v>0</v>
      </c>
      <c r="AB36" s="91"/>
      <c r="AC36" s="304"/>
      <c r="AD36" s="308" t="s">
        <v>22</v>
      </c>
      <c r="AE36" s="311"/>
      <c r="AF36" s="206">
        <v>0</v>
      </c>
      <c r="AG36" s="207">
        <v>0</v>
      </c>
      <c r="AH36" s="207">
        <v>0</v>
      </c>
      <c r="AI36" s="207">
        <v>0</v>
      </c>
      <c r="AJ36" s="208">
        <v>0</v>
      </c>
      <c r="AK36" s="209">
        <v>0</v>
      </c>
      <c r="AL36" s="207">
        <v>0</v>
      </c>
      <c r="AM36" s="207">
        <v>0</v>
      </c>
      <c r="AN36" s="208">
        <v>0</v>
      </c>
      <c r="AO36" s="112">
        <f t="shared" ref="AO36" si="223">SUM(AO34:AO35)</f>
        <v>0</v>
      </c>
      <c r="AP36" s="91"/>
      <c r="AQ36" s="304"/>
      <c r="AR36" s="308" t="s">
        <v>22</v>
      </c>
      <c r="AS36" s="311"/>
      <c r="AT36" s="107">
        <f t="shared" ref="AT36:BC36" si="224">SUM(AT34:AT35)</f>
        <v>0</v>
      </c>
      <c r="AU36" s="108">
        <f t="shared" si="224"/>
        <v>0</v>
      </c>
      <c r="AV36" s="108">
        <f t="shared" si="224"/>
        <v>0</v>
      </c>
      <c r="AW36" s="108">
        <f t="shared" si="224"/>
        <v>0</v>
      </c>
      <c r="AX36" s="109">
        <f t="shared" si="224"/>
        <v>0</v>
      </c>
      <c r="AY36" s="110">
        <f t="shared" si="224"/>
        <v>0</v>
      </c>
      <c r="AZ36" s="111">
        <f t="shared" si="224"/>
        <v>0</v>
      </c>
      <c r="BA36" s="108">
        <f t="shared" si="224"/>
        <v>0</v>
      </c>
      <c r="BB36" s="109">
        <f t="shared" si="224"/>
        <v>0</v>
      </c>
      <c r="BC36" s="112">
        <f t="shared" si="224"/>
        <v>0</v>
      </c>
      <c r="BD36" s="91"/>
      <c r="BE36" s="304"/>
      <c r="BF36" s="308" t="s">
        <v>22</v>
      </c>
      <c r="BG36" s="311"/>
      <c r="BH36" s="107">
        <f t="shared" ref="BH36:BQ36" si="225">SUM(BH34:BH35)</f>
        <v>0</v>
      </c>
      <c r="BI36" s="108">
        <f t="shared" si="225"/>
        <v>0</v>
      </c>
      <c r="BJ36" s="108">
        <f t="shared" si="225"/>
        <v>0</v>
      </c>
      <c r="BK36" s="108">
        <f t="shared" si="225"/>
        <v>0</v>
      </c>
      <c r="BL36" s="109">
        <f t="shared" si="225"/>
        <v>0</v>
      </c>
      <c r="BM36" s="110">
        <f t="shared" si="225"/>
        <v>0</v>
      </c>
      <c r="BN36" s="111">
        <f t="shared" si="225"/>
        <v>0</v>
      </c>
      <c r="BO36" s="108">
        <f t="shared" si="225"/>
        <v>0</v>
      </c>
      <c r="BP36" s="109">
        <f t="shared" si="225"/>
        <v>0</v>
      </c>
      <c r="BQ36" s="112">
        <f t="shared" si="225"/>
        <v>0</v>
      </c>
      <c r="BR36" s="91"/>
      <c r="BS36" s="304"/>
      <c r="BT36" s="308" t="s">
        <v>22</v>
      </c>
      <c r="BU36" s="311"/>
      <c r="BV36" s="107">
        <f t="shared" ref="BV36:CE36" si="226">SUM(BV34:BV35)</f>
        <v>0</v>
      </c>
      <c r="BW36" s="108">
        <f t="shared" si="226"/>
        <v>0</v>
      </c>
      <c r="BX36" s="108">
        <f t="shared" si="226"/>
        <v>0</v>
      </c>
      <c r="BY36" s="108">
        <f t="shared" si="226"/>
        <v>0</v>
      </c>
      <c r="BZ36" s="109">
        <f t="shared" si="226"/>
        <v>0</v>
      </c>
      <c r="CA36" s="110">
        <f t="shared" si="226"/>
        <v>0</v>
      </c>
      <c r="CB36" s="111">
        <f t="shared" si="226"/>
        <v>0</v>
      </c>
      <c r="CC36" s="108">
        <f t="shared" si="226"/>
        <v>0</v>
      </c>
      <c r="CD36" s="109">
        <f t="shared" si="226"/>
        <v>0</v>
      </c>
      <c r="CE36" s="112">
        <f t="shared" si="226"/>
        <v>0</v>
      </c>
      <c r="CF36" s="91"/>
      <c r="CG36" s="304"/>
      <c r="CH36" s="308" t="s">
        <v>22</v>
      </c>
      <c r="CI36" s="311"/>
      <c r="CJ36" s="206">
        <v>0</v>
      </c>
      <c r="CK36" s="207">
        <v>0</v>
      </c>
      <c r="CL36" s="207">
        <v>0</v>
      </c>
      <c r="CM36" s="207">
        <v>0</v>
      </c>
      <c r="CN36" s="208">
        <v>0</v>
      </c>
      <c r="CO36" s="209">
        <v>0</v>
      </c>
      <c r="CP36" s="207">
        <v>0</v>
      </c>
      <c r="CQ36" s="207">
        <v>0</v>
      </c>
      <c r="CR36" s="208">
        <v>0</v>
      </c>
      <c r="CS36" s="243">
        <v>0</v>
      </c>
      <c r="CT36" s="91"/>
      <c r="CU36" s="304"/>
      <c r="CV36" s="308" t="s">
        <v>22</v>
      </c>
      <c r="CW36" s="311"/>
      <c r="CX36" s="262">
        <f t="shared" ref="CX36:DF36" si="227">SUM(CX34:CX35)</f>
        <v>0</v>
      </c>
      <c r="CY36" s="263">
        <f t="shared" si="227"/>
        <v>0</v>
      </c>
      <c r="CZ36" s="263">
        <f t="shared" si="227"/>
        <v>0</v>
      </c>
      <c r="DA36" s="263">
        <f t="shared" si="227"/>
        <v>0</v>
      </c>
      <c r="DB36" s="264">
        <f t="shared" si="227"/>
        <v>0</v>
      </c>
      <c r="DC36" s="265">
        <f t="shared" si="227"/>
        <v>0</v>
      </c>
      <c r="DD36" s="266">
        <f t="shared" si="227"/>
        <v>0</v>
      </c>
      <c r="DE36" s="263">
        <f t="shared" si="227"/>
        <v>0</v>
      </c>
      <c r="DF36" s="264">
        <f t="shared" si="227"/>
        <v>0</v>
      </c>
      <c r="DG36" s="112">
        <f t="shared" ref="DG36" si="228">SUM(DG34:DG35)</f>
        <v>0</v>
      </c>
      <c r="DH36" s="91"/>
      <c r="DI36" s="304"/>
      <c r="DJ36" s="308" t="s">
        <v>22</v>
      </c>
      <c r="DK36" s="311"/>
      <c r="DL36" s="107">
        <f t="shared" ref="DL36:DU36" si="229">SUM(DL34:DL35)</f>
        <v>0</v>
      </c>
      <c r="DM36" s="108">
        <f t="shared" si="229"/>
        <v>0</v>
      </c>
      <c r="DN36" s="108">
        <f t="shared" si="229"/>
        <v>0</v>
      </c>
      <c r="DO36" s="108">
        <f t="shared" si="229"/>
        <v>0</v>
      </c>
      <c r="DP36" s="109">
        <f t="shared" si="229"/>
        <v>0</v>
      </c>
      <c r="DQ36" s="110">
        <f t="shared" si="229"/>
        <v>0</v>
      </c>
      <c r="DR36" s="111">
        <f t="shared" si="229"/>
        <v>0</v>
      </c>
      <c r="DS36" s="108">
        <f t="shared" si="229"/>
        <v>0</v>
      </c>
      <c r="DT36" s="109">
        <f t="shared" si="229"/>
        <v>0</v>
      </c>
      <c r="DU36" s="112">
        <f t="shared" si="229"/>
        <v>0</v>
      </c>
      <c r="DV36" s="91"/>
      <c r="DW36" s="304"/>
      <c r="DX36" s="308" t="s">
        <v>22</v>
      </c>
      <c r="DY36" s="311"/>
      <c r="DZ36" s="107">
        <f t="shared" ref="DZ36:EI36" si="230">SUM(DZ34:DZ35)</f>
        <v>1534</v>
      </c>
      <c r="EA36" s="108">
        <f t="shared" si="230"/>
        <v>78</v>
      </c>
      <c r="EB36" s="108">
        <f t="shared" si="230"/>
        <v>165</v>
      </c>
      <c r="EC36" s="108">
        <f t="shared" si="230"/>
        <v>5</v>
      </c>
      <c r="ED36" s="109">
        <f t="shared" si="230"/>
        <v>183</v>
      </c>
      <c r="EE36" s="110">
        <f t="shared" si="230"/>
        <v>1965</v>
      </c>
      <c r="EF36" s="111">
        <f t="shared" si="230"/>
        <v>22</v>
      </c>
      <c r="EG36" s="108">
        <f t="shared" si="230"/>
        <v>913</v>
      </c>
      <c r="EH36" s="109">
        <f t="shared" si="230"/>
        <v>0</v>
      </c>
      <c r="EI36" s="112">
        <f t="shared" si="230"/>
        <v>935</v>
      </c>
      <c r="EJ36" s="91"/>
      <c r="EK36" s="304"/>
      <c r="EL36" s="308" t="s">
        <v>22</v>
      </c>
      <c r="EM36" s="311"/>
      <c r="EN36" s="107">
        <f t="shared" ref="EN36:EW36" si="231">SUM(EN34:EN35)</f>
        <v>0</v>
      </c>
      <c r="EO36" s="108">
        <f t="shared" si="231"/>
        <v>0</v>
      </c>
      <c r="EP36" s="108">
        <f t="shared" si="231"/>
        <v>0</v>
      </c>
      <c r="EQ36" s="108">
        <f t="shared" si="231"/>
        <v>0</v>
      </c>
      <c r="ER36" s="109">
        <f t="shared" si="231"/>
        <v>0</v>
      </c>
      <c r="ES36" s="110">
        <f t="shared" si="231"/>
        <v>0</v>
      </c>
      <c r="ET36" s="111">
        <f t="shared" si="231"/>
        <v>0</v>
      </c>
      <c r="EU36" s="108">
        <f t="shared" si="231"/>
        <v>0</v>
      </c>
      <c r="EV36" s="109">
        <f t="shared" si="231"/>
        <v>0</v>
      </c>
      <c r="EW36" s="112">
        <f t="shared" si="231"/>
        <v>0</v>
      </c>
      <c r="EX36" s="91"/>
      <c r="EY36" s="304"/>
      <c r="EZ36" s="308" t="s">
        <v>22</v>
      </c>
      <c r="FA36" s="311"/>
      <c r="FB36" s="107">
        <f t="shared" ref="FB36:FK36" si="232">SUM(FB34:FB35)</f>
        <v>0</v>
      </c>
      <c r="FC36" s="108">
        <f t="shared" si="232"/>
        <v>0</v>
      </c>
      <c r="FD36" s="108">
        <f t="shared" si="232"/>
        <v>0</v>
      </c>
      <c r="FE36" s="108">
        <f t="shared" si="232"/>
        <v>0</v>
      </c>
      <c r="FF36" s="109">
        <f t="shared" si="232"/>
        <v>0</v>
      </c>
      <c r="FG36" s="110">
        <f t="shared" si="232"/>
        <v>0</v>
      </c>
      <c r="FH36" s="111">
        <f t="shared" si="232"/>
        <v>0</v>
      </c>
      <c r="FI36" s="108">
        <f t="shared" si="232"/>
        <v>0</v>
      </c>
      <c r="FJ36" s="109">
        <f t="shared" si="232"/>
        <v>0</v>
      </c>
      <c r="FK36" s="112">
        <f t="shared" si="232"/>
        <v>0</v>
      </c>
      <c r="FL36" s="147"/>
      <c r="FM36" s="304"/>
      <c r="FN36" s="308" t="s">
        <v>22</v>
      </c>
      <c r="FO36" s="311"/>
      <c r="FP36" s="107">
        <f t="shared" ref="FP36:FY36" si="233">SUM(FP34:FP35)</f>
        <v>1534</v>
      </c>
      <c r="FQ36" s="108">
        <f t="shared" si="233"/>
        <v>78</v>
      </c>
      <c r="FR36" s="108">
        <f t="shared" si="233"/>
        <v>165</v>
      </c>
      <c r="FS36" s="108">
        <f t="shared" si="233"/>
        <v>5</v>
      </c>
      <c r="FT36" s="109">
        <f t="shared" si="233"/>
        <v>183</v>
      </c>
      <c r="FU36" s="113">
        <f t="shared" si="233"/>
        <v>1965</v>
      </c>
      <c r="FV36" s="111">
        <f t="shared" si="233"/>
        <v>22</v>
      </c>
      <c r="FW36" s="108">
        <f t="shared" si="233"/>
        <v>913</v>
      </c>
      <c r="FX36" s="109">
        <f t="shared" si="233"/>
        <v>0</v>
      </c>
      <c r="FY36" s="114">
        <f t="shared" si="233"/>
        <v>935</v>
      </c>
      <c r="FZ36" s="95"/>
      <c r="GA36" s="91"/>
    </row>
    <row r="37" spans="1:183" s="96" customFormat="1" ht="20.100000000000001" customHeight="1" thickBot="1" x14ac:dyDescent="0.25">
      <c r="A37" s="304"/>
      <c r="B37" s="300" t="s">
        <v>23</v>
      </c>
      <c r="C37" s="82" t="s">
        <v>20</v>
      </c>
      <c r="D37" s="115">
        <v>0</v>
      </c>
      <c r="E37" s="116">
        <v>0</v>
      </c>
      <c r="F37" s="116">
        <v>0</v>
      </c>
      <c r="G37" s="117">
        <v>0</v>
      </c>
      <c r="H37" s="118">
        <v>0</v>
      </c>
      <c r="I37" s="93">
        <f>SUM(D37:H37)</f>
        <v>0</v>
      </c>
      <c r="J37" s="119">
        <v>0</v>
      </c>
      <c r="K37" s="116">
        <v>0</v>
      </c>
      <c r="L37" s="120">
        <v>0</v>
      </c>
      <c r="M37" s="121">
        <f>SUM(J37:L37)</f>
        <v>0</v>
      </c>
      <c r="N37" s="91"/>
      <c r="O37" s="304"/>
      <c r="P37" s="300" t="s">
        <v>23</v>
      </c>
      <c r="Q37" s="82" t="s">
        <v>20</v>
      </c>
      <c r="R37" s="115">
        <v>0</v>
      </c>
      <c r="S37" s="116">
        <v>0</v>
      </c>
      <c r="T37" s="116">
        <v>0</v>
      </c>
      <c r="U37" s="117">
        <v>0</v>
      </c>
      <c r="V37" s="118">
        <v>0</v>
      </c>
      <c r="W37" s="93">
        <f>SUM(R37:V37)</f>
        <v>0</v>
      </c>
      <c r="X37" s="119">
        <v>0</v>
      </c>
      <c r="Y37" s="116">
        <v>0</v>
      </c>
      <c r="Z37" s="120">
        <v>0</v>
      </c>
      <c r="AA37" s="121">
        <f>SUM(X37:Z37)</f>
        <v>0</v>
      </c>
      <c r="AB37" s="91"/>
      <c r="AC37" s="304"/>
      <c r="AD37" s="300" t="s">
        <v>23</v>
      </c>
      <c r="AE37" s="82" t="s">
        <v>20</v>
      </c>
      <c r="AF37" s="210">
        <v>0</v>
      </c>
      <c r="AG37" s="211">
        <v>0</v>
      </c>
      <c r="AH37" s="211">
        <v>0</v>
      </c>
      <c r="AI37" s="212">
        <v>0</v>
      </c>
      <c r="AJ37" s="213">
        <v>0</v>
      </c>
      <c r="AK37" s="214">
        <v>0</v>
      </c>
      <c r="AL37" s="211">
        <v>0</v>
      </c>
      <c r="AM37" s="211">
        <v>0</v>
      </c>
      <c r="AN37" s="213">
        <v>0</v>
      </c>
      <c r="AO37" s="121">
        <f>SUM(AL37:AN37)</f>
        <v>0</v>
      </c>
      <c r="AP37" s="91"/>
      <c r="AQ37" s="304"/>
      <c r="AR37" s="300" t="s">
        <v>23</v>
      </c>
      <c r="AS37" s="82" t="s">
        <v>20</v>
      </c>
      <c r="AT37" s="115">
        <v>0</v>
      </c>
      <c r="AU37" s="116">
        <v>0</v>
      </c>
      <c r="AV37" s="116">
        <v>0</v>
      </c>
      <c r="AW37" s="117">
        <v>0</v>
      </c>
      <c r="AX37" s="118">
        <v>0</v>
      </c>
      <c r="AY37" s="93">
        <f>SUM(AT37:AX37)</f>
        <v>0</v>
      </c>
      <c r="AZ37" s="119">
        <v>0</v>
      </c>
      <c r="BA37" s="116">
        <v>0</v>
      </c>
      <c r="BB37" s="120">
        <v>0</v>
      </c>
      <c r="BC37" s="121">
        <f>SUM(AZ37:BB37)</f>
        <v>0</v>
      </c>
      <c r="BD37" s="91"/>
      <c r="BE37" s="304"/>
      <c r="BF37" s="300" t="s">
        <v>23</v>
      </c>
      <c r="BG37" s="82" t="s">
        <v>20</v>
      </c>
      <c r="BH37" s="115">
        <v>0</v>
      </c>
      <c r="BI37" s="116">
        <v>0</v>
      </c>
      <c r="BJ37" s="116">
        <v>0</v>
      </c>
      <c r="BK37" s="117">
        <v>0</v>
      </c>
      <c r="BL37" s="118">
        <v>0</v>
      </c>
      <c r="BM37" s="93">
        <f>SUM(BH37:BL37)</f>
        <v>0</v>
      </c>
      <c r="BN37" s="119">
        <v>0</v>
      </c>
      <c r="BO37" s="116">
        <v>0</v>
      </c>
      <c r="BP37" s="120">
        <v>0</v>
      </c>
      <c r="BQ37" s="121">
        <f>SUM(BN37:BP37)</f>
        <v>0</v>
      </c>
      <c r="BR37" s="91"/>
      <c r="BS37" s="304"/>
      <c r="BT37" s="300" t="s">
        <v>23</v>
      </c>
      <c r="BU37" s="82" t="s">
        <v>20</v>
      </c>
      <c r="BV37" s="115">
        <v>0</v>
      </c>
      <c r="BW37" s="116">
        <v>0</v>
      </c>
      <c r="BX37" s="116">
        <v>0</v>
      </c>
      <c r="BY37" s="117">
        <v>0</v>
      </c>
      <c r="BZ37" s="118">
        <v>0</v>
      </c>
      <c r="CA37" s="93">
        <f>SUM(BV37:BZ37)</f>
        <v>0</v>
      </c>
      <c r="CB37" s="119">
        <v>0</v>
      </c>
      <c r="CC37" s="116">
        <v>0</v>
      </c>
      <c r="CD37" s="120">
        <v>0</v>
      </c>
      <c r="CE37" s="121">
        <f>SUM(CB37:CD37)</f>
        <v>0</v>
      </c>
      <c r="CF37" s="91"/>
      <c r="CG37" s="304"/>
      <c r="CH37" s="300" t="s">
        <v>23</v>
      </c>
      <c r="CI37" s="82" t="s">
        <v>20</v>
      </c>
      <c r="CJ37" s="210">
        <v>0</v>
      </c>
      <c r="CK37" s="211">
        <v>0</v>
      </c>
      <c r="CL37" s="211">
        <v>0</v>
      </c>
      <c r="CM37" s="212">
        <v>0</v>
      </c>
      <c r="CN37" s="213">
        <v>0</v>
      </c>
      <c r="CO37" s="214">
        <v>0</v>
      </c>
      <c r="CP37" s="211">
        <v>0</v>
      </c>
      <c r="CQ37" s="211">
        <v>0</v>
      </c>
      <c r="CR37" s="213">
        <v>0</v>
      </c>
      <c r="CS37" s="244">
        <v>0</v>
      </c>
      <c r="CT37" s="91"/>
      <c r="CU37" s="304"/>
      <c r="CV37" s="300" t="s">
        <v>23</v>
      </c>
      <c r="CW37" s="82" t="s">
        <v>20</v>
      </c>
      <c r="CX37" s="267">
        <v>0</v>
      </c>
      <c r="CY37" s="268">
        <v>0</v>
      </c>
      <c r="CZ37" s="268">
        <v>0</v>
      </c>
      <c r="DA37" s="269">
        <v>0</v>
      </c>
      <c r="DB37" s="270">
        <v>0</v>
      </c>
      <c r="DC37" s="271">
        <f t="shared" ref="DC37:DC38" si="234">SUM(CX37:DB37)</f>
        <v>0</v>
      </c>
      <c r="DD37" s="272">
        <v>0</v>
      </c>
      <c r="DE37" s="268">
        <v>0</v>
      </c>
      <c r="DF37" s="273">
        <v>0</v>
      </c>
      <c r="DG37" s="121">
        <f>SUM(DD37:DF37)</f>
        <v>0</v>
      </c>
      <c r="DH37" s="91"/>
      <c r="DI37" s="304"/>
      <c r="DJ37" s="300" t="s">
        <v>23</v>
      </c>
      <c r="DK37" s="82" t="s">
        <v>20</v>
      </c>
      <c r="DL37" s="115">
        <v>0</v>
      </c>
      <c r="DM37" s="116">
        <v>0</v>
      </c>
      <c r="DN37" s="116">
        <v>0</v>
      </c>
      <c r="DO37" s="117">
        <v>0</v>
      </c>
      <c r="DP37" s="118">
        <v>0</v>
      </c>
      <c r="DQ37" s="93">
        <f>SUM(DL37:DP37)</f>
        <v>0</v>
      </c>
      <c r="DR37" s="119">
        <v>0</v>
      </c>
      <c r="DS37" s="116">
        <v>0</v>
      </c>
      <c r="DT37" s="120">
        <v>0</v>
      </c>
      <c r="DU37" s="121">
        <f>SUM(DR37:DT37)</f>
        <v>0</v>
      </c>
      <c r="DV37" s="91"/>
      <c r="DW37" s="304"/>
      <c r="DX37" s="300" t="s">
        <v>23</v>
      </c>
      <c r="DY37" s="82" t="s">
        <v>20</v>
      </c>
      <c r="DZ37" s="115">
        <v>210</v>
      </c>
      <c r="EA37" s="116">
        <v>4</v>
      </c>
      <c r="EB37" s="116">
        <v>0</v>
      </c>
      <c r="EC37" s="117">
        <v>0</v>
      </c>
      <c r="ED37" s="118">
        <v>242</v>
      </c>
      <c r="EE37" s="93">
        <f>SUM(DZ37:ED37)</f>
        <v>456</v>
      </c>
      <c r="EF37" s="119">
        <v>5</v>
      </c>
      <c r="EG37" s="116">
        <v>22</v>
      </c>
      <c r="EH37" s="120">
        <v>0</v>
      </c>
      <c r="EI37" s="121">
        <f>SUM(EF37:EH37)</f>
        <v>27</v>
      </c>
      <c r="EJ37" s="91"/>
      <c r="EK37" s="304"/>
      <c r="EL37" s="300" t="s">
        <v>23</v>
      </c>
      <c r="EM37" s="82" t="s">
        <v>20</v>
      </c>
      <c r="EN37" s="115">
        <v>0</v>
      </c>
      <c r="EO37" s="116">
        <v>0</v>
      </c>
      <c r="EP37" s="116">
        <v>0</v>
      </c>
      <c r="EQ37" s="117">
        <v>0</v>
      </c>
      <c r="ER37" s="118">
        <v>0</v>
      </c>
      <c r="ES37" s="93">
        <f>SUM(EN37:ER37)</f>
        <v>0</v>
      </c>
      <c r="ET37" s="119">
        <v>0</v>
      </c>
      <c r="EU37" s="116">
        <v>0</v>
      </c>
      <c r="EV37" s="120">
        <v>0</v>
      </c>
      <c r="EW37" s="121">
        <f>SUM(ET37:EV37)</f>
        <v>0</v>
      </c>
      <c r="EX37" s="91"/>
      <c r="EY37" s="304"/>
      <c r="EZ37" s="300" t="s">
        <v>23</v>
      </c>
      <c r="FA37" s="82" t="s">
        <v>20</v>
      </c>
      <c r="FB37" s="115">
        <v>0</v>
      </c>
      <c r="FC37" s="116">
        <v>0</v>
      </c>
      <c r="FD37" s="116">
        <v>0</v>
      </c>
      <c r="FE37" s="117">
        <v>0</v>
      </c>
      <c r="FF37" s="118">
        <v>0</v>
      </c>
      <c r="FG37" s="93">
        <f>SUM(FB37:FF37)</f>
        <v>0</v>
      </c>
      <c r="FH37" s="119">
        <v>0</v>
      </c>
      <c r="FI37" s="116">
        <v>0</v>
      </c>
      <c r="FJ37" s="120">
        <v>0</v>
      </c>
      <c r="FK37" s="121">
        <f>SUM(FH37:FJ37)</f>
        <v>0</v>
      </c>
      <c r="FL37" s="147"/>
      <c r="FM37" s="304"/>
      <c r="FN37" s="300" t="s">
        <v>23</v>
      </c>
      <c r="FO37" s="82" t="s">
        <v>20</v>
      </c>
      <c r="FP37" s="115">
        <f t="shared" ref="FP37:FP38" si="235">SUM(D37+R37+AF37+AT37+BH37+BV37+CJ37+CX37+DL37+DZ37+EN37+FB37)</f>
        <v>210</v>
      </c>
      <c r="FQ37" s="115">
        <f t="shared" ref="FQ37:FQ38" si="236">SUM(E37+S37+AG37+AU37+BI37+BW37+CK37+CY37+DM37+EA37+EO37+FC37)</f>
        <v>4</v>
      </c>
      <c r="FR37" s="115">
        <f t="shared" ref="FR37:FR38" si="237">SUM(F37+T37+AH37+AV37+BJ37+BX37+CL37+CZ37+DN37+EB37+EP37+FD37)</f>
        <v>0</v>
      </c>
      <c r="FS37" s="150">
        <f t="shared" ref="FS37:FS38" si="238">SUM(G37+U37+AI37+AW37+BK37+BY37+CM37+DA37+DO37+EC37+EQ37+FE37)</f>
        <v>0</v>
      </c>
      <c r="FT37" s="115">
        <f t="shared" ref="FT37:FT38" si="239">SUM(H37+V37+AJ37+AX37+BL37+BZ37+CN37+DB37+DP37+ED37+ER37+FF37)</f>
        <v>242</v>
      </c>
      <c r="FU37" s="93">
        <f>SUM(FP37:FT37)</f>
        <v>456</v>
      </c>
      <c r="FV37" s="119">
        <f t="shared" ref="FV37:FV38" si="240">SUM(J37+X37+AL37+AZ37+BN37+CB37+CP37+DD37+DR37+EF37+ET37+FH37)</f>
        <v>5</v>
      </c>
      <c r="FW37" s="119">
        <f t="shared" ref="FW37:FW38" si="241">SUM(K37+Y37+AM37+BA37+BO37+CC37+CQ37+DE37+DS37+EG37+EU37+FI37)</f>
        <v>22</v>
      </c>
      <c r="FX37" s="119">
        <f t="shared" ref="FX37:FX38" si="242">SUM(L37+Z37+AN37+BB37+BP37+CD37+CR37+DF37+DT37+EH37+EV37+FJ37)</f>
        <v>0</v>
      </c>
      <c r="FY37" s="122">
        <f>SUM(FV37:FX37)</f>
        <v>27</v>
      </c>
      <c r="FZ37" s="95"/>
      <c r="GA37" s="91"/>
    </row>
    <row r="38" spans="1:183" ht="20.100000000000001" customHeight="1" thickBot="1" x14ac:dyDescent="0.3">
      <c r="A38" s="304"/>
      <c r="B38" s="294"/>
      <c r="C38" s="97" t="s">
        <v>21</v>
      </c>
      <c r="D38" s="98">
        <v>0</v>
      </c>
      <c r="E38" s="99">
        <v>0</v>
      </c>
      <c r="F38" s="99">
        <v>0</v>
      </c>
      <c r="G38" s="99">
        <v>0</v>
      </c>
      <c r="H38" s="100">
        <v>0</v>
      </c>
      <c r="I38" s="101">
        <f>SUM(D38:H38)</f>
        <v>0</v>
      </c>
      <c r="J38" s="102">
        <v>0</v>
      </c>
      <c r="K38" s="99">
        <v>0</v>
      </c>
      <c r="L38" s="103">
        <v>0</v>
      </c>
      <c r="M38" s="104">
        <f>SUM(J38:L38)</f>
        <v>0</v>
      </c>
      <c r="N38" s="61"/>
      <c r="O38" s="304"/>
      <c r="P38" s="294"/>
      <c r="Q38" s="97" t="s">
        <v>21</v>
      </c>
      <c r="R38" s="98">
        <v>0</v>
      </c>
      <c r="S38" s="99">
        <v>0</v>
      </c>
      <c r="T38" s="99">
        <v>0</v>
      </c>
      <c r="U38" s="99">
        <v>0</v>
      </c>
      <c r="V38" s="100">
        <v>0</v>
      </c>
      <c r="W38" s="101">
        <f>SUM(R38:V38)</f>
        <v>0</v>
      </c>
      <c r="X38" s="102">
        <v>0</v>
      </c>
      <c r="Y38" s="99">
        <v>0</v>
      </c>
      <c r="Z38" s="103">
        <v>0</v>
      </c>
      <c r="AA38" s="104">
        <f>SUM(X38:Z38)</f>
        <v>0</v>
      </c>
      <c r="AB38" s="61"/>
      <c r="AC38" s="304"/>
      <c r="AD38" s="294"/>
      <c r="AE38" s="97" t="s">
        <v>21</v>
      </c>
      <c r="AF38" s="202">
        <v>0</v>
      </c>
      <c r="AG38" s="203">
        <v>0</v>
      </c>
      <c r="AH38" s="203">
        <v>0</v>
      </c>
      <c r="AI38" s="203">
        <v>0</v>
      </c>
      <c r="AJ38" s="204">
        <v>0</v>
      </c>
      <c r="AK38" s="205">
        <v>0</v>
      </c>
      <c r="AL38" s="203">
        <v>0</v>
      </c>
      <c r="AM38" s="203">
        <v>0</v>
      </c>
      <c r="AN38" s="204">
        <v>0</v>
      </c>
      <c r="AO38" s="104">
        <f>SUM(AL38:AN38)</f>
        <v>0</v>
      </c>
      <c r="AP38" s="61"/>
      <c r="AQ38" s="304"/>
      <c r="AR38" s="294"/>
      <c r="AS38" s="97" t="s">
        <v>21</v>
      </c>
      <c r="AT38" s="98">
        <v>0</v>
      </c>
      <c r="AU38" s="99">
        <v>0</v>
      </c>
      <c r="AV38" s="99">
        <v>0</v>
      </c>
      <c r="AW38" s="99">
        <v>0</v>
      </c>
      <c r="AX38" s="100">
        <v>0</v>
      </c>
      <c r="AY38" s="101">
        <f>SUM(AT38:AX38)</f>
        <v>0</v>
      </c>
      <c r="AZ38" s="102">
        <v>0</v>
      </c>
      <c r="BA38" s="99">
        <v>0</v>
      </c>
      <c r="BB38" s="103">
        <v>0</v>
      </c>
      <c r="BC38" s="104">
        <f>SUM(AZ38:BB38)</f>
        <v>0</v>
      </c>
      <c r="BD38" s="61"/>
      <c r="BE38" s="304"/>
      <c r="BF38" s="294"/>
      <c r="BG38" s="97" t="s">
        <v>21</v>
      </c>
      <c r="BH38" s="98">
        <v>0</v>
      </c>
      <c r="BI38" s="99">
        <v>0</v>
      </c>
      <c r="BJ38" s="99">
        <v>0</v>
      </c>
      <c r="BK38" s="99">
        <v>0</v>
      </c>
      <c r="BL38" s="100">
        <v>0</v>
      </c>
      <c r="BM38" s="101">
        <f>SUM(BH38:BL38)</f>
        <v>0</v>
      </c>
      <c r="BN38" s="102">
        <v>0</v>
      </c>
      <c r="BO38" s="99">
        <v>0</v>
      </c>
      <c r="BP38" s="103">
        <v>0</v>
      </c>
      <c r="BQ38" s="104">
        <f>SUM(BN38:BP38)</f>
        <v>0</v>
      </c>
      <c r="BR38" s="61"/>
      <c r="BS38" s="304"/>
      <c r="BT38" s="294"/>
      <c r="BU38" s="97" t="s">
        <v>21</v>
      </c>
      <c r="BV38" s="98">
        <v>0</v>
      </c>
      <c r="BW38" s="99">
        <v>0</v>
      </c>
      <c r="BX38" s="99">
        <v>0</v>
      </c>
      <c r="BY38" s="99">
        <v>0</v>
      </c>
      <c r="BZ38" s="100">
        <v>0</v>
      </c>
      <c r="CA38" s="101">
        <f>SUM(BV38:BZ38)</f>
        <v>0</v>
      </c>
      <c r="CB38" s="102">
        <v>0</v>
      </c>
      <c r="CC38" s="99">
        <v>0</v>
      </c>
      <c r="CD38" s="103">
        <v>0</v>
      </c>
      <c r="CE38" s="104">
        <f>SUM(CB38:CD38)</f>
        <v>0</v>
      </c>
      <c r="CF38" s="61"/>
      <c r="CG38" s="304"/>
      <c r="CH38" s="294"/>
      <c r="CI38" s="97" t="s">
        <v>21</v>
      </c>
      <c r="CJ38" s="202">
        <v>0</v>
      </c>
      <c r="CK38" s="203">
        <v>0</v>
      </c>
      <c r="CL38" s="203">
        <v>0</v>
      </c>
      <c r="CM38" s="203">
        <v>0</v>
      </c>
      <c r="CN38" s="204">
        <v>0</v>
      </c>
      <c r="CO38" s="205">
        <v>0</v>
      </c>
      <c r="CP38" s="203">
        <v>0</v>
      </c>
      <c r="CQ38" s="203">
        <v>0</v>
      </c>
      <c r="CR38" s="204">
        <v>0</v>
      </c>
      <c r="CS38" s="208">
        <v>0</v>
      </c>
      <c r="CT38" s="61"/>
      <c r="CU38" s="304"/>
      <c r="CV38" s="294"/>
      <c r="CW38" s="97" t="s">
        <v>21</v>
      </c>
      <c r="CX38" s="274">
        <v>0</v>
      </c>
      <c r="CY38" s="260">
        <v>0</v>
      </c>
      <c r="CZ38" s="260">
        <v>0</v>
      </c>
      <c r="DA38" s="260">
        <v>0</v>
      </c>
      <c r="DB38" s="275">
        <v>0</v>
      </c>
      <c r="DC38" s="258">
        <f t="shared" si="234"/>
        <v>0</v>
      </c>
      <c r="DD38" s="259">
        <v>0</v>
      </c>
      <c r="DE38" s="260">
        <v>0</v>
      </c>
      <c r="DF38" s="261">
        <v>0</v>
      </c>
      <c r="DG38" s="104">
        <f>SUM(DD38:DF38)</f>
        <v>0</v>
      </c>
      <c r="DH38" s="61"/>
      <c r="DI38" s="304"/>
      <c r="DJ38" s="294"/>
      <c r="DK38" s="97" t="s">
        <v>21</v>
      </c>
      <c r="DL38" s="98">
        <v>0</v>
      </c>
      <c r="DM38" s="99">
        <v>0</v>
      </c>
      <c r="DN38" s="99">
        <v>0</v>
      </c>
      <c r="DO38" s="99">
        <v>0</v>
      </c>
      <c r="DP38" s="100">
        <v>0</v>
      </c>
      <c r="DQ38" s="101">
        <f>SUM(DL38:DP38)</f>
        <v>0</v>
      </c>
      <c r="DR38" s="102">
        <v>0</v>
      </c>
      <c r="DS38" s="99">
        <v>0</v>
      </c>
      <c r="DT38" s="103">
        <v>0</v>
      </c>
      <c r="DU38" s="104">
        <f>SUM(DR38:DT38)</f>
        <v>0</v>
      </c>
      <c r="DV38" s="61"/>
      <c r="DW38" s="304"/>
      <c r="DX38" s="294"/>
      <c r="DY38" s="97" t="s">
        <v>21</v>
      </c>
      <c r="DZ38" s="98">
        <v>222</v>
      </c>
      <c r="EA38" s="99">
        <v>2</v>
      </c>
      <c r="EB38" s="99">
        <v>0</v>
      </c>
      <c r="EC38" s="99">
        <v>0</v>
      </c>
      <c r="ED38" s="100">
        <v>380</v>
      </c>
      <c r="EE38" s="101">
        <f>SUM(DZ38:ED38)</f>
        <v>604</v>
      </c>
      <c r="EF38" s="102">
        <v>2</v>
      </c>
      <c r="EG38" s="99">
        <v>12</v>
      </c>
      <c r="EH38" s="103">
        <v>0</v>
      </c>
      <c r="EI38" s="104">
        <f>SUM(EF38:EH38)</f>
        <v>14</v>
      </c>
      <c r="EJ38" s="61"/>
      <c r="EK38" s="304"/>
      <c r="EL38" s="294"/>
      <c r="EM38" s="97" t="s">
        <v>21</v>
      </c>
      <c r="EN38" s="98">
        <v>0</v>
      </c>
      <c r="EO38" s="99">
        <v>0</v>
      </c>
      <c r="EP38" s="99">
        <v>0</v>
      </c>
      <c r="EQ38" s="99">
        <v>0</v>
      </c>
      <c r="ER38" s="100">
        <v>0</v>
      </c>
      <c r="ES38" s="101">
        <f>SUM(EN38:ER38)</f>
        <v>0</v>
      </c>
      <c r="ET38" s="102">
        <v>0</v>
      </c>
      <c r="EU38" s="99">
        <v>0</v>
      </c>
      <c r="EV38" s="103">
        <v>0</v>
      </c>
      <c r="EW38" s="104">
        <f>SUM(ET38:EV38)</f>
        <v>0</v>
      </c>
      <c r="EX38" s="61"/>
      <c r="EY38" s="304"/>
      <c r="EZ38" s="294"/>
      <c r="FA38" s="97" t="s">
        <v>21</v>
      </c>
      <c r="FB38" s="98">
        <v>0</v>
      </c>
      <c r="FC38" s="99">
        <v>0</v>
      </c>
      <c r="FD38" s="99">
        <v>0</v>
      </c>
      <c r="FE38" s="99">
        <v>0</v>
      </c>
      <c r="FF38" s="100">
        <v>0</v>
      </c>
      <c r="FG38" s="101">
        <f>SUM(FB38:FF38)</f>
        <v>0</v>
      </c>
      <c r="FH38" s="102">
        <v>0</v>
      </c>
      <c r="FI38" s="99">
        <v>0</v>
      </c>
      <c r="FJ38" s="103">
        <v>0</v>
      </c>
      <c r="FK38" s="104">
        <f>SUM(FH38:FJ38)</f>
        <v>0</v>
      </c>
      <c r="FM38" s="304"/>
      <c r="FN38" s="294"/>
      <c r="FO38" s="97" t="s">
        <v>21</v>
      </c>
      <c r="FP38" s="115">
        <f t="shared" si="235"/>
        <v>222</v>
      </c>
      <c r="FQ38" s="115">
        <f t="shared" si="236"/>
        <v>2</v>
      </c>
      <c r="FR38" s="115">
        <f t="shared" si="237"/>
        <v>0</v>
      </c>
      <c r="FS38" s="115">
        <f t="shared" si="238"/>
        <v>0</v>
      </c>
      <c r="FT38" s="115">
        <f t="shared" si="239"/>
        <v>380</v>
      </c>
      <c r="FU38" s="101">
        <f>SUM(FP38:FT38)</f>
        <v>604</v>
      </c>
      <c r="FV38" s="119">
        <f t="shared" si="240"/>
        <v>2</v>
      </c>
      <c r="FW38" s="119">
        <f t="shared" si="241"/>
        <v>12</v>
      </c>
      <c r="FX38" s="119">
        <f t="shared" si="242"/>
        <v>0</v>
      </c>
      <c r="FY38" s="106">
        <f>SUM(FV38:FX38)</f>
        <v>14</v>
      </c>
      <c r="GA38" s="61"/>
    </row>
    <row r="39" spans="1:183" ht="20.100000000000001" customHeight="1" thickBot="1" x14ac:dyDescent="0.3">
      <c r="A39" s="305"/>
      <c r="B39" s="301" t="s">
        <v>24</v>
      </c>
      <c r="C39" s="310"/>
      <c r="D39" s="107">
        <f t="shared" ref="D39:M39" si="243">SUM(D37:D38)</f>
        <v>0</v>
      </c>
      <c r="E39" s="108">
        <f t="shared" si="243"/>
        <v>0</v>
      </c>
      <c r="F39" s="108">
        <f t="shared" si="243"/>
        <v>0</v>
      </c>
      <c r="G39" s="108">
        <f t="shared" si="243"/>
        <v>0</v>
      </c>
      <c r="H39" s="109">
        <f t="shared" si="243"/>
        <v>0</v>
      </c>
      <c r="I39" s="110">
        <f t="shared" si="243"/>
        <v>0</v>
      </c>
      <c r="J39" s="111">
        <f t="shared" si="243"/>
        <v>0</v>
      </c>
      <c r="K39" s="108">
        <f t="shared" si="243"/>
        <v>0</v>
      </c>
      <c r="L39" s="109">
        <f t="shared" si="243"/>
        <v>0</v>
      </c>
      <c r="M39" s="112">
        <f t="shared" si="243"/>
        <v>0</v>
      </c>
      <c r="N39" s="61"/>
      <c r="O39" s="305"/>
      <c r="P39" s="301" t="s">
        <v>24</v>
      </c>
      <c r="Q39" s="310"/>
      <c r="R39" s="107">
        <f t="shared" ref="R39:AA39" si="244">SUM(R37:R38)</f>
        <v>0</v>
      </c>
      <c r="S39" s="108">
        <f t="shared" si="244"/>
        <v>0</v>
      </c>
      <c r="T39" s="108">
        <f t="shared" si="244"/>
        <v>0</v>
      </c>
      <c r="U39" s="108">
        <f t="shared" si="244"/>
        <v>0</v>
      </c>
      <c r="V39" s="109">
        <f t="shared" si="244"/>
        <v>0</v>
      </c>
      <c r="W39" s="110">
        <f t="shared" si="244"/>
        <v>0</v>
      </c>
      <c r="X39" s="111">
        <f t="shared" si="244"/>
        <v>0</v>
      </c>
      <c r="Y39" s="108">
        <f t="shared" si="244"/>
        <v>0</v>
      </c>
      <c r="Z39" s="109">
        <f t="shared" si="244"/>
        <v>0</v>
      </c>
      <c r="AA39" s="112">
        <f t="shared" si="244"/>
        <v>0</v>
      </c>
      <c r="AB39" s="61"/>
      <c r="AC39" s="305"/>
      <c r="AD39" s="301" t="s">
        <v>24</v>
      </c>
      <c r="AE39" s="310"/>
      <c r="AF39" s="206">
        <v>0</v>
      </c>
      <c r="AG39" s="207">
        <v>0</v>
      </c>
      <c r="AH39" s="207">
        <v>0</v>
      </c>
      <c r="AI39" s="207">
        <v>0</v>
      </c>
      <c r="AJ39" s="208">
        <v>0</v>
      </c>
      <c r="AK39" s="209">
        <v>0</v>
      </c>
      <c r="AL39" s="207">
        <v>0</v>
      </c>
      <c r="AM39" s="207">
        <v>0</v>
      </c>
      <c r="AN39" s="208">
        <v>0</v>
      </c>
      <c r="AO39" s="112">
        <f t="shared" ref="AO39" si="245">SUM(AO37:AO38)</f>
        <v>0</v>
      </c>
      <c r="AP39" s="61"/>
      <c r="AQ39" s="305"/>
      <c r="AR39" s="301" t="s">
        <v>24</v>
      </c>
      <c r="AS39" s="310"/>
      <c r="AT39" s="107">
        <f t="shared" ref="AT39:BC39" si="246">SUM(AT37:AT38)</f>
        <v>0</v>
      </c>
      <c r="AU39" s="108">
        <f t="shared" si="246"/>
        <v>0</v>
      </c>
      <c r="AV39" s="108">
        <f t="shared" si="246"/>
        <v>0</v>
      </c>
      <c r="AW39" s="108">
        <f t="shared" si="246"/>
        <v>0</v>
      </c>
      <c r="AX39" s="109">
        <f t="shared" si="246"/>
        <v>0</v>
      </c>
      <c r="AY39" s="110">
        <f t="shared" si="246"/>
        <v>0</v>
      </c>
      <c r="AZ39" s="111">
        <f t="shared" si="246"/>
        <v>0</v>
      </c>
      <c r="BA39" s="108">
        <f t="shared" si="246"/>
        <v>0</v>
      </c>
      <c r="BB39" s="109">
        <f t="shared" si="246"/>
        <v>0</v>
      </c>
      <c r="BC39" s="112">
        <f t="shared" si="246"/>
        <v>0</v>
      </c>
      <c r="BD39" s="61"/>
      <c r="BE39" s="305"/>
      <c r="BF39" s="301" t="s">
        <v>24</v>
      </c>
      <c r="BG39" s="310"/>
      <c r="BH39" s="107">
        <f t="shared" ref="BH39:BQ39" si="247">SUM(BH37:BH38)</f>
        <v>0</v>
      </c>
      <c r="BI39" s="108">
        <f t="shared" si="247"/>
        <v>0</v>
      </c>
      <c r="BJ39" s="108">
        <f t="shared" si="247"/>
        <v>0</v>
      </c>
      <c r="BK39" s="108">
        <f t="shared" si="247"/>
        <v>0</v>
      </c>
      <c r="BL39" s="109">
        <f t="shared" si="247"/>
        <v>0</v>
      </c>
      <c r="BM39" s="110">
        <f t="shared" si="247"/>
        <v>0</v>
      </c>
      <c r="BN39" s="111">
        <f t="shared" si="247"/>
        <v>0</v>
      </c>
      <c r="BO39" s="108">
        <f t="shared" si="247"/>
        <v>0</v>
      </c>
      <c r="BP39" s="109">
        <f t="shared" si="247"/>
        <v>0</v>
      </c>
      <c r="BQ39" s="112">
        <f t="shared" si="247"/>
        <v>0</v>
      </c>
      <c r="BR39" s="61"/>
      <c r="BS39" s="305"/>
      <c r="BT39" s="301" t="s">
        <v>24</v>
      </c>
      <c r="BU39" s="310"/>
      <c r="BV39" s="107">
        <f t="shared" ref="BV39:CE39" si="248">SUM(BV37:BV38)</f>
        <v>0</v>
      </c>
      <c r="BW39" s="108">
        <f t="shared" si="248"/>
        <v>0</v>
      </c>
      <c r="BX39" s="108">
        <f t="shared" si="248"/>
        <v>0</v>
      </c>
      <c r="BY39" s="108">
        <f t="shared" si="248"/>
        <v>0</v>
      </c>
      <c r="BZ39" s="109">
        <f t="shared" si="248"/>
        <v>0</v>
      </c>
      <c r="CA39" s="110">
        <f t="shared" si="248"/>
        <v>0</v>
      </c>
      <c r="CB39" s="111">
        <f t="shared" si="248"/>
        <v>0</v>
      </c>
      <c r="CC39" s="108">
        <f t="shared" si="248"/>
        <v>0</v>
      </c>
      <c r="CD39" s="109">
        <f t="shared" si="248"/>
        <v>0</v>
      </c>
      <c r="CE39" s="112">
        <f t="shared" si="248"/>
        <v>0</v>
      </c>
      <c r="CF39" s="61"/>
      <c r="CG39" s="305"/>
      <c r="CH39" s="301" t="s">
        <v>24</v>
      </c>
      <c r="CI39" s="310"/>
      <c r="CJ39" s="206">
        <v>0</v>
      </c>
      <c r="CK39" s="207">
        <v>0</v>
      </c>
      <c r="CL39" s="207">
        <v>0</v>
      </c>
      <c r="CM39" s="207">
        <v>0</v>
      </c>
      <c r="CN39" s="208">
        <v>0</v>
      </c>
      <c r="CO39" s="209">
        <v>0</v>
      </c>
      <c r="CP39" s="207">
        <v>0</v>
      </c>
      <c r="CQ39" s="207">
        <v>0</v>
      </c>
      <c r="CR39" s="208">
        <v>0</v>
      </c>
      <c r="CS39" s="243">
        <v>0</v>
      </c>
      <c r="CT39" s="61"/>
      <c r="CU39" s="305"/>
      <c r="CV39" s="301" t="s">
        <v>24</v>
      </c>
      <c r="CW39" s="310"/>
      <c r="CX39" s="262">
        <f t="shared" ref="CX39:DF39" si="249">SUM(CX37:CX38)</f>
        <v>0</v>
      </c>
      <c r="CY39" s="263">
        <f t="shared" si="249"/>
        <v>0</v>
      </c>
      <c r="CZ39" s="263">
        <f t="shared" si="249"/>
        <v>0</v>
      </c>
      <c r="DA39" s="263">
        <f t="shared" si="249"/>
        <v>0</v>
      </c>
      <c r="DB39" s="264">
        <f t="shared" si="249"/>
        <v>0</v>
      </c>
      <c r="DC39" s="265">
        <f t="shared" si="249"/>
        <v>0</v>
      </c>
      <c r="DD39" s="266">
        <f t="shared" si="249"/>
        <v>0</v>
      </c>
      <c r="DE39" s="263">
        <f t="shared" si="249"/>
        <v>0</v>
      </c>
      <c r="DF39" s="264">
        <f t="shared" si="249"/>
        <v>0</v>
      </c>
      <c r="DG39" s="112">
        <f t="shared" ref="DG39" si="250">SUM(DG37:DG38)</f>
        <v>0</v>
      </c>
      <c r="DH39" s="61"/>
      <c r="DI39" s="305"/>
      <c r="DJ39" s="301" t="s">
        <v>24</v>
      </c>
      <c r="DK39" s="310"/>
      <c r="DL39" s="107">
        <f t="shared" ref="DL39:DU39" si="251">SUM(DL37:DL38)</f>
        <v>0</v>
      </c>
      <c r="DM39" s="108">
        <f t="shared" si="251"/>
        <v>0</v>
      </c>
      <c r="DN39" s="108">
        <f t="shared" si="251"/>
        <v>0</v>
      </c>
      <c r="DO39" s="108">
        <f t="shared" si="251"/>
        <v>0</v>
      </c>
      <c r="DP39" s="109">
        <f t="shared" si="251"/>
        <v>0</v>
      </c>
      <c r="DQ39" s="110">
        <f t="shared" si="251"/>
        <v>0</v>
      </c>
      <c r="DR39" s="111">
        <f t="shared" si="251"/>
        <v>0</v>
      </c>
      <c r="DS39" s="108">
        <f t="shared" si="251"/>
        <v>0</v>
      </c>
      <c r="DT39" s="109">
        <f t="shared" si="251"/>
        <v>0</v>
      </c>
      <c r="DU39" s="112">
        <f t="shared" si="251"/>
        <v>0</v>
      </c>
      <c r="DV39" s="61"/>
      <c r="DW39" s="305"/>
      <c r="DX39" s="301" t="s">
        <v>24</v>
      </c>
      <c r="DY39" s="310"/>
      <c r="DZ39" s="107">
        <f t="shared" ref="DZ39:EI39" si="252">SUM(DZ37:DZ38)</f>
        <v>432</v>
      </c>
      <c r="EA39" s="108">
        <f t="shared" si="252"/>
        <v>6</v>
      </c>
      <c r="EB39" s="108">
        <f t="shared" si="252"/>
        <v>0</v>
      </c>
      <c r="EC39" s="108">
        <f t="shared" si="252"/>
        <v>0</v>
      </c>
      <c r="ED39" s="109">
        <f t="shared" si="252"/>
        <v>622</v>
      </c>
      <c r="EE39" s="110">
        <f t="shared" si="252"/>
        <v>1060</v>
      </c>
      <c r="EF39" s="111">
        <f t="shared" si="252"/>
        <v>7</v>
      </c>
      <c r="EG39" s="108">
        <f t="shared" si="252"/>
        <v>34</v>
      </c>
      <c r="EH39" s="109">
        <f t="shared" si="252"/>
        <v>0</v>
      </c>
      <c r="EI39" s="112">
        <f t="shared" si="252"/>
        <v>41</v>
      </c>
      <c r="EJ39" s="61"/>
      <c r="EK39" s="305"/>
      <c r="EL39" s="301" t="s">
        <v>24</v>
      </c>
      <c r="EM39" s="310"/>
      <c r="EN39" s="107">
        <f t="shared" ref="EN39:EW39" si="253">SUM(EN37:EN38)</f>
        <v>0</v>
      </c>
      <c r="EO39" s="108">
        <f t="shared" si="253"/>
        <v>0</v>
      </c>
      <c r="EP39" s="108">
        <f t="shared" si="253"/>
        <v>0</v>
      </c>
      <c r="EQ39" s="108">
        <f t="shared" si="253"/>
        <v>0</v>
      </c>
      <c r="ER39" s="109">
        <f t="shared" si="253"/>
        <v>0</v>
      </c>
      <c r="ES39" s="110">
        <f t="shared" si="253"/>
        <v>0</v>
      </c>
      <c r="ET39" s="111">
        <f t="shared" si="253"/>
        <v>0</v>
      </c>
      <c r="EU39" s="108">
        <f t="shared" si="253"/>
        <v>0</v>
      </c>
      <c r="EV39" s="109">
        <f t="shared" si="253"/>
        <v>0</v>
      </c>
      <c r="EW39" s="112">
        <f t="shared" si="253"/>
        <v>0</v>
      </c>
      <c r="EX39" s="61"/>
      <c r="EY39" s="305"/>
      <c r="EZ39" s="301" t="s">
        <v>24</v>
      </c>
      <c r="FA39" s="310"/>
      <c r="FB39" s="107">
        <f t="shared" ref="FB39:FK39" si="254">SUM(FB37:FB38)</f>
        <v>0</v>
      </c>
      <c r="FC39" s="108">
        <f t="shared" si="254"/>
        <v>0</v>
      </c>
      <c r="FD39" s="108">
        <f t="shared" si="254"/>
        <v>0</v>
      </c>
      <c r="FE39" s="108">
        <f t="shared" si="254"/>
        <v>0</v>
      </c>
      <c r="FF39" s="109">
        <f t="shared" si="254"/>
        <v>0</v>
      </c>
      <c r="FG39" s="110">
        <f t="shared" si="254"/>
        <v>0</v>
      </c>
      <c r="FH39" s="111">
        <f t="shared" si="254"/>
        <v>0</v>
      </c>
      <c r="FI39" s="108">
        <f t="shared" si="254"/>
        <v>0</v>
      </c>
      <c r="FJ39" s="109">
        <f t="shared" si="254"/>
        <v>0</v>
      </c>
      <c r="FK39" s="112">
        <f t="shared" si="254"/>
        <v>0</v>
      </c>
      <c r="FM39" s="305"/>
      <c r="FN39" s="301" t="s">
        <v>24</v>
      </c>
      <c r="FO39" s="310"/>
      <c r="FP39" s="107">
        <f t="shared" ref="FP39:FY39" si="255">SUM(FP37:FP38)</f>
        <v>432</v>
      </c>
      <c r="FQ39" s="108">
        <f t="shared" si="255"/>
        <v>6</v>
      </c>
      <c r="FR39" s="108">
        <f t="shared" si="255"/>
        <v>0</v>
      </c>
      <c r="FS39" s="108">
        <f t="shared" si="255"/>
        <v>0</v>
      </c>
      <c r="FT39" s="109">
        <f t="shared" si="255"/>
        <v>622</v>
      </c>
      <c r="FU39" s="113">
        <f t="shared" si="255"/>
        <v>1060</v>
      </c>
      <c r="FV39" s="111">
        <f t="shared" si="255"/>
        <v>7</v>
      </c>
      <c r="FW39" s="108">
        <f t="shared" si="255"/>
        <v>34</v>
      </c>
      <c r="FX39" s="109">
        <f t="shared" si="255"/>
        <v>0</v>
      </c>
      <c r="FY39" s="114">
        <f t="shared" si="255"/>
        <v>41</v>
      </c>
      <c r="GA39" s="61"/>
    </row>
    <row r="40" spans="1:183" ht="20.100000000000001" customHeight="1" thickBot="1" x14ac:dyDescent="0.3">
      <c r="A40" s="297" t="s">
        <v>25</v>
      </c>
      <c r="B40" s="298"/>
      <c r="C40" s="299"/>
      <c r="D40" s="123">
        <f>SUM(D39+D36)</f>
        <v>0</v>
      </c>
      <c r="E40" s="124">
        <f>SUM(E39+E36)</f>
        <v>0</v>
      </c>
      <c r="F40" s="124">
        <f>SUM(F39+F36)</f>
        <v>0</v>
      </c>
      <c r="G40" s="124">
        <f>SUM(G39+G36)</f>
        <v>0</v>
      </c>
      <c r="H40" s="125">
        <f>SUM(H39+H36)</f>
        <v>0</v>
      </c>
      <c r="I40" s="126">
        <f>SUM(I36+I39)</f>
        <v>0</v>
      </c>
      <c r="J40" s="127">
        <f>SUM(J39+J36)</f>
        <v>0</v>
      </c>
      <c r="K40" s="128">
        <f>SUM(K39+K36)</f>
        <v>0</v>
      </c>
      <c r="L40" s="129">
        <f>SUM(L39+L36)</f>
        <v>0</v>
      </c>
      <c r="M40" s="130">
        <f>SUM(M39+M36)</f>
        <v>0</v>
      </c>
      <c r="N40" s="61"/>
      <c r="O40" s="297" t="s">
        <v>25</v>
      </c>
      <c r="P40" s="298"/>
      <c r="Q40" s="299"/>
      <c r="R40" s="123">
        <f>SUM(R39+R36)</f>
        <v>0</v>
      </c>
      <c r="S40" s="124">
        <f>SUM(S39+S36)</f>
        <v>0</v>
      </c>
      <c r="T40" s="124">
        <f>SUM(T39+T36)</f>
        <v>0</v>
      </c>
      <c r="U40" s="124">
        <f>SUM(U39+U36)</f>
        <v>0</v>
      </c>
      <c r="V40" s="125">
        <f>SUM(V39+V36)</f>
        <v>0</v>
      </c>
      <c r="W40" s="126">
        <f>SUM(W36+W39)</f>
        <v>0</v>
      </c>
      <c r="X40" s="127">
        <f>SUM(X39+X36)</f>
        <v>0</v>
      </c>
      <c r="Y40" s="128">
        <f>SUM(Y39+Y36)</f>
        <v>0</v>
      </c>
      <c r="Z40" s="129">
        <f>SUM(Z39+Z36)</f>
        <v>0</v>
      </c>
      <c r="AA40" s="130">
        <f>SUM(AA39+AA36)</f>
        <v>0</v>
      </c>
      <c r="AB40" s="61"/>
      <c r="AC40" s="297" t="s">
        <v>25</v>
      </c>
      <c r="AD40" s="298"/>
      <c r="AE40" s="299"/>
      <c r="AF40" s="236">
        <v>0</v>
      </c>
      <c r="AG40" s="237">
        <v>0</v>
      </c>
      <c r="AH40" s="237">
        <v>0</v>
      </c>
      <c r="AI40" s="237">
        <v>0</v>
      </c>
      <c r="AJ40" s="238">
        <v>0</v>
      </c>
      <c r="AK40" s="239">
        <v>0</v>
      </c>
      <c r="AL40" s="240">
        <v>0</v>
      </c>
      <c r="AM40" s="240">
        <v>0</v>
      </c>
      <c r="AN40" s="241">
        <v>0</v>
      </c>
      <c r="AO40" s="130">
        <f>SUM(AO39+AO36)</f>
        <v>0</v>
      </c>
      <c r="AP40" s="61"/>
      <c r="AQ40" s="297" t="s">
        <v>25</v>
      </c>
      <c r="AR40" s="298"/>
      <c r="AS40" s="299"/>
      <c r="AT40" s="123">
        <f>SUM(AT39+AT36)</f>
        <v>0</v>
      </c>
      <c r="AU40" s="124">
        <f>SUM(AU39+AU36)</f>
        <v>0</v>
      </c>
      <c r="AV40" s="124">
        <f>SUM(AV39+AV36)</f>
        <v>0</v>
      </c>
      <c r="AW40" s="124">
        <f>SUM(AW39+AW36)</f>
        <v>0</v>
      </c>
      <c r="AX40" s="125">
        <f>SUM(AX39+AX36)</f>
        <v>0</v>
      </c>
      <c r="AY40" s="126">
        <f>SUM(AY36+AY39)</f>
        <v>0</v>
      </c>
      <c r="AZ40" s="127">
        <f>SUM(AZ39+AZ36)</f>
        <v>0</v>
      </c>
      <c r="BA40" s="128">
        <f>SUM(BA39+BA36)</f>
        <v>0</v>
      </c>
      <c r="BB40" s="129">
        <f>SUM(BB39+BB36)</f>
        <v>0</v>
      </c>
      <c r="BC40" s="130">
        <f>SUM(BC39+BC36)</f>
        <v>0</v>
      </c>
      <c r="BD40" s="61"/>
      <c r="BE40" s="297" t="s">
        <v>25</v>
      </c>
      <c r="BF40" s="298"/>
      <c r="BG40" s="299"/>
      <c r="BH40" s="123">
        <f>SUM(BH39+BH36)</f>
        <v>0</v>
      </c>
      <c r="BI40" s="124">
        <f>SUM(BI39+BI36)</f>
        <v>0</v>
      </c>
      <c r="BJ40" s="124">
        <f>SUM(BJ39+BJ36)</f>
        <v>0</v>
      </c>
      <c r="BK40" s="124">
        <f>SUM(BK39+BK36)</f>
        <v>0</v>
      </c>
      <c r="BL40" s="125">
        <f>SUM(BL39+BL36)</f>
        <v>0</v>
      </c>
      <c r="BM40" s="126">
        <f>SUM(BM36+BM39)</f>
        <v>0</v>
      </c>
      <c r="BN40" s="127">
        <f>SUM(BN39+BN36)</f>
        <v>0</v>
      </c>
      <c r="BO40" s="128">
        <f>SUM(BO39+BO36)</f>
        <v>0</v>
      </c>
      <c r="BP40" s="129">
        <f>SUM(BP39+BP36)</f>
        <v>0</v>
      </c>
      <c r="BQ40" s="130">
        <f>SUM(BQ39+BQ36)</f>
        <v>0</v>
      </c>
      <c r="BR40" s="61"/>
      <c r="BS40" s="297" t="s">
        <v>25</v>
      </c>
      <c r="BT40" s="298"/>
      <c r="BU40" s="299"/>
      <c r="BV40" s="123">
        <f>SUM(BV39+BV36)</f>
        <v>0</v>
      </c>
      <c r="BW40" s="124">
        <f>SUM(BW39+BW36)</f>
        <v>0</v>
      </c>
      <c r="BX40" s="124">
        <f>SUM(BX39+BX36)</f>
        <v>0</v>
      </c>
      <c r="BY40" s="124">
        <f>SUM(BY39+BY36)</f>
        <v>0</v>
      </c>
      <c r="BZ40" s="125">
        <f>SUM(BZ39+BZ36)</f>
        <v>0</v>
      </c>
      <c r="CA40" s="126">
        <f>SUM(CA36+CA39)</f>
        <v>0</v>
      </c>
      <c r="CB40" s="127">
        <f>SUM(CB39+CB36)</f>
        <v>0</v>
      </c>
      <c r="CC40" s="128">
        <f>SUM(CC39+CC36)</f>
        <v>0</v>
      </c>
      <c r="CD40" s="129">
        <f>SUM(CD39+CD36)</f>
        <v>0</v>
      </c>
      <c r="CE40" s="130">
        <f>SUM(CE39+CE36)</f>
        <v>0</v>
      </c>
      <c r="CF40" s="61"/>
      <c r="CG40" s="297" t="s">
        <v>25</v>
      </c>
      <c r="CH40" s="298"/>
      <c r="CI40" s="299"/>
      <c r="CJ40" s="236">
        <v>0</v>
      </c>
      <c r="CK40" s="237">
        <v>0</v>
      </c>
      <c r="CL40" s="237">
        <v>0</v>
      </c>
      <c r="CM40" s="237">
        <v>0</v>
      </c>
      <c r="CN40" s="238">
        <v>0</v>
      </c>
      <c r="CO40" s="239">
        <v>0</v>
      </c>
      <c r="CP40" s="240">
        <v>0</v>
      </c>
      <c r="CQ40" s="240">
        <v>0</v>
      </c>
      <c r="CR40" s="241">
        <v>0</v>
      </c>
      <c r="CS40" s="241">
        <v>0</v>
      </c>
      <c r="CT40" s="61"/>
      <c r="CU40" s="297" t="s">
        <v>25</v>
      </c>
      <c r="CV40" s="298"/>
      <c r="CW40" s="299"/>
      <c r="CX40" s="276">
        <f t="shared" ref="CX40:DB40" si="256">SUM(CX39+CX36)</f>
        <v>0</v>
      </c>
      <c r="CY40" s="277">
        <f t="shared" si="256"/>
        <v>0</v>
      </c>
      <c r="CZ40" s="277">
        <f t="shared" si="256"/>
        <v>0</v>
      </c>
      <c r="DA40" s="277">
        <f t="shared" si="256"/>
        <v>0</v>
      </c>
      <c r="DB40" s="278">
        <f t="shared" si="256"/>
        <v>0</v>
      </c>
      <c r="DC40" s="279">
        <f>SUM(DC36+DC39)</f>
        <v>0</v>
      </c>
      <c r="DD40" s="280">
        <f t="shared" ref="DD40:DF40" si="257">SUM(DD39+DD36)</f>
        <v>0</v>
      </c>
      <c r="DE40" s="281">
        <f t="shared" si="257"/>
        <v>0</v>
      </c>
      <c r="DF40" s="282">
        <f t="shared" si="257"/>
        <v>0</v>
      </c>
      <c r="DG40" s="130">
        <f>SUM(DG39+DG36)</f>
        <v>0</v>
      </c>
      <c r="DH40" s="61"/>
      <c r="DI40" s="297" t="s">
        <v>25</v>
      </c>
      <c r="DJ40" s="298"/>
      <c r="DK40" s="299"/>
      <c r="DL40" s="123">
        <f>SUM(DL39+DL36)</f>
        <v>0</v>
      </c>
      <c r="DM40" s="124">
        <f>SUM(DM39+DM36)</f>
        <v>0</v>
      </c>
      <c r="DN40" s="124">
        <f>SUM(DN39+DN36)</f>
        <v>0</v>
      </c>
      <c r="DO40" s="124">
        <f>SUM(DO39+DO36)</f>
        <v>0</v>
      </c>
      <c r="DP40" s="125">
        <f>SUM(DP39+DP36)</f>
        <v>0</v>
      </c>
      <c r="DQ40" s="126">
        <f>SUM(DQ36+DQ39)</f>
        <v>0</v>
      </c>
      <c r="DR40" s="127">
        <f>SUM(DR39+DR36)</f>
        <v>0</v>
      </c>
      <c r="DS40" s="128">
        <f>SUM(DS39+DS36)</f>
        <v>0</v>
      </c>
      <c r="DT40" s="129">
        <f>SUM(DT39+DT36)</f>
        <v>0</v>
      </c>
      <c r="DU40" s="130">
        <f>SUM(DU39+DU36)</f>
        <v>0</v>
      </c>
      <c r="DV40" s="61"/>
      <c r="DW40" s="297" t="s">
        <v>25</v>
      </c>
      <c r="DX40" s="298"/>
      <c r="DY40" s="299"/>
      <c r="DZ40" s="123">
        <f>SUM(DZ39+DZ36)</f>
        <v>1966</v>
      </c>
      <c r="EA40" s="124">
        <f>SUM(EA39+EA36)</f>
        <v>84</v>
      </c>
      <c r="EB40" s="124">
        <f>SUM(EB39+EB36)</f>
        <v>165</v>
      </c>
      <c r="EC40" s="124">
        <f>SUM(EC39+EC36)</f>
        <v>5</v>
      </c>
      <c r="ED40" s="125">
        <f>SUM(ED39+ED36)</f>
        <v>805</v>
      </c>
      <c r="EE40" s="126">
        <f>SUM(EE36+EE39)</f>
        <v>3025</v>
      </c>
      <c r="EF40" s="127">
        <f>SUM(EF39+EF36)</f>
        <v>29</v>
      </c>
      <c r="EG40" s="128">
        <f>SUM(EG39+EG36)</f>
        <v>947</v>
      </c>
      <c r="EH40" s="129">
        <f>SUM(EH39+EH36)</f>
        <v>0</v>
      </c>
      <c r="EI40" s="130">
        <f>SUM(EI39+EI36)</f>
        <v>976</v>
      </c>
      <c r="EJ40" s="61"/>
      <c r="EK40" s="297" t="s">
        <v>25</v>
      </c>
      <c r="EL40" s="298"/>
      <c r="EM40" s="299"/>
      <c r="EN40" s="123">
        <f>SUM(EN39+EN36)</f>
        <v>0</v>
      </c>
      <c r="EO40" s="124">
        <f>SUM(EO39+EO36)</f>
        <v>0</v>
      </c>
      <c r="EP40" s="124">
        <f>SUM(EP39+EP36)</f>
        <v>0</v>
      </c>
      <c r="EQ40" s="124">
        <f>SUM(EQ39+EQ36)</f>
        <v>0</v>
      </c>
      <c r="ER40" s="125">
        <f>SUM(ER39+ER36)</f>
        <v>0</v>
      </c>
      <c r="ES40" s="126">
        <f>SUM(ES36+ES39)</f>
        <v>0</v>
      </c>
      <c r="ET40" s="127">
        <f>SUM(ET39+ET36)</f>
        <v>0</v>
      </c>
      <c r="EU40" s="128">
        <f>SUM(EU39+EU36)</f>
        <v>0</v>
      </c>
      <c r="EV40" s="129">
        <f>SUM(EV39+EV36)</f>
        <v>0</v>
      </c>
      <c r="EW40" s="130">
        <f>SUM(EW39+EW36)</f>
        <v>0</v>
      </c>
      <c r="EX40" s="61"/>
      <c r="EY40" s="297" t="s">
        <v>25</v>
      </c>
      <c r="EZ40" s="298"/>
      <c r="FA40" s="299"/>
      <c r="FB40" s="123">
        <f>SUM(FB39+FB36)</f>
        <v>0</v>
      </c>
      <c r="FC40" s="124">
        <f>SUM(FC39+FC36)</f>
        <v>0</v>
      </c>
      <c r="FD40" s="124">
        <f>SUM(FD39+FD36)</f>
        <v>0</v>
      </c>
      <c r="FE40" s="124">
        <f>SUM(FE39+FE36)</f>
        <v>0</v>
      </c>
      <c r="FF40" s="125">
        <f>SUM(FF39+FF36)</f>
        <v>0</v>
      </c>
      <c r="FG40" s="126">
        <f>SUM(FG36+FG39)</f>
        <v>0</v>
      </c>
      <c r="FH40" s="127">
        <f>SUM(FH39+FH36)</f>
        <v>0</v>
      </c>
      <c r="FI40" s="128">
        <f>SUM(FI39+FI36)</f>
        <v>0</v>
      </c>
      <c r="FJ40" s="129">
        <f>SUM(FJ39+FJ36)</f>
        <v>0</v>
      </c>
      <c r="FK40" s="130">
        <f>SUM(FK39+FK36)</f>
        <v>0</v>
      </c>
      <c r="FM40" s="297" t="s">
        <v>25</v>
      </c>
      <c r="FN40" s="298"/>
      <c r="FO40" s="299"/>
      <c r="FP40" s="123">
        <f>SUM(FP39+FP36)</f>
        <v>1966</v>
      </c>
      <c r="FQ40" s="124">
        <f>SUM(FQ39+FQ36)</f>
        <v>84</v>
      </c>
      <c r="FR40" s="124">
        <f>SUM(FR39+FR36)</f>
        <v>165</v>
      </c>
      <c r="FS40" s="124">
        <f>SUM(FS39+FS36)</f>
        <v>5</v>
      </c>
      <c r="FT40" s="125">
        <f>SUM(FT39+FT36)</f>
        <v>805</v>
      </c>
      <c r="FU40" s="131">
        <f>SUM(FU36+FU39)</f>
        <v>3025</v>
      </c>
      <c r="FV40" s="132">
        <f>SUM(FV39+FV36)</f>
        <v>29</v>
      </c>
      <c r="FW40" s="124">
        <f>SUM(FW39+FW36)</f>
        <v>947</v>
      </c>
      <c r="FX40" s="125">
        <f>SUM(FX39+FX36)</f>
        <v>0</v>
      </c>
      <c r="FY40" s="133">
        <f>SUM(FY39+FY36)</f>
        <v>976</v>
      </c>
      <c r="GA40" s="61"/>
    </row>
    <row r="41" spans="1:183" s="96" customFormat="1" ht="20.100000000000001" customHeight="1" thickTop="1" thickBot="1" x14ac:dyDescent="0.25">
      <c r="A41" s="303" t="s">
        <v>38</v>
      </c>
      <c r="B41" s="306" t="s">
        <v>5</v>
      </c>
      <c r="C41" s="82" t="s">
        <v>20</v>
      </c>
      <c r="D41" s="197">
        <v>2998</v>
      </c>
      <c r="E41" s="198">
        <v>252</v>
      </c>
      <c r="F41" s="198">
        <v>397</v>
      </c>
      <c r="G41" s="199">
        <v>0</v>
      </c>
      <c r="H41" s="200">
        <v>458</v>
      </c>
      <c r="I41" s="201">
        <v>4105</v>
      </c>
      <c r="J41" s="198">
        <v>36</v>
      </c>
      <c r="K41" s="198">
        <v>264</v>
      </c>
      <c r="L41" s="200">
        <v>22</v>
      </c>
      <c r="M41" s="90">
        <f>SUM(J41:L41)</f>
        <v>322</v>
      </c>
      <c r="N41" s="91"/>
      <c r="O41" s="303" t="s">
        <v>38</v>
      </c>
      <c r="P41" s="306" t="s">
        <v>5</v>
      </c>
      <c r="Q41" s="82" t="s">
        <v>20</v>
      </c>
      <c r="R41" s="197">
        <v>3698</v>
      </c>
      <c r="S41" s="198">
        <v>261</v>
      </c>
      <c r="T41" s="198">
        <v>359</v>
      </c>
      <c r="U41" s="199">
        <v>0</v>
      </c>
      <c r="V41" s="200">
        <v>498</v>
      </c>
      <c r="W41" s="201">
        <v>4816</v>
      </c>
      <c r="X41" s="198">
        <v>91</v>
      </c>
      <c r="Y41" s="198">
        <v>279</v>
      </c>
      <c r="Z41" s="200">
        <v>19</v>
      </c>
      <c r="AA41" s="90">
        <f>SUM(X41:Z41)</f>
        <v>389</v>
      </c>
      <c r="AB41" s="91"/>
      <c r="AC41" s="303" t="s">
        <v>38</v>
      </c>
      <c r="AD41" s="306" t="s">
        <v>5</v>
      </c>
      <c r="AE41" s="82" t="s">
        <v>20</v>
      </c>
      <c r="AF41" s="210">
        <v>3198</v>
      </c>
      <c r="AG41" s="211">
        <v>239</v>
      </c>
      <c r="AH41" s="211">
        <v>240</v>
      </c>
      <c r="AI41" s="212">
        <v>0</v>
      </c>
      <c r="AJ41" s="213">
        <v>601</v>
      </c>
      <c r="AK41" s="214">
        <v>4278</v>
      </c>
      <c r="AL41" s="211">
        <v>160</v>
      </c>
      <c r="AM41" s="211">
        <v>301</v>
      </c>
      <c r="AN41" s="213">
        <v>14</v>
      </c>
      <c r="AO41" s="90">
        <f>SUM(AL41:AN41)</f>
        <v>475</v>
      </c>
      <c r="AP41" s="91"/>
      <c r="AQ41" s="303" t="s">
        <v>38</v>
      </c>
      <c r="AR41" s="306" t="s">
        <v>5</v>
      </c>
      <c r="AS41" s="82" t="s">
        <v>20</v>
      </c>
      <c r="AT41" s="197">
        <v>3099</v>
      </c>
      <c r="AU41" s="198">
        <v>227</v>
      </c>
      <c r="AV41" s="198">
        <v>409</v>
      </c>
      <c r="AW41" s="199">
        <v>0</v>
      </c>
      <c r="AX41" s="200">
        <v>541</v>
      </c>
      <c r="AY41" s="201">
        <v>4276</v>
      </c>
      <c r="AZ41" s="198">
        <v>150</v>
      </c>
      <c r="BA41" s="198">
        <v>289</v>
      </c>
      <c r="BB41" s="200">
        <v>24</v>
      </c>
      <c r="BC41" s="242">
        <v>463</v>
      </c>
      <c r="BD41" s="91"/>
      <c r="BE41" s="303" t="s">
        <v>38</v>
      </c>
      <c r="BF41" s="306" t="s">
        <v>5</v>
      </c>
      <c r="BG41" s="82" t="s">
        <v>20</v>
      </c>
      <c r="BH41" s="197">
        <v>2301</v>
      </c>
      <c r="BI41" s="198">
        <v>53</v>
      </c>
      <c r="BJ41" s="198">
        <v>229</v>
      </c>
      <c r="BK41" s="199">
        <v>0</v>
      </c>
      <c r="BL41" s="200">
        <v>810</v>
      </c>
      <c r="BM41" s="201">
        <v>3393</v>
      </c>
      <c r="BN41" s="198">
        <v>110</v>
      </c>
      <c r="BO41" s="198">
        <v>221</v>
      </c>
      <c r="BP41" s="200">
        <v>34</v>
      </c>
      <c r="BQ41" s="90">
        <f>SUM(BN41:BP41)</f>
        <v>365</v>
      </c>
      <c r="BR41" s="91"/>
      <c r="BS41" s="303" t="s">
        <v>38</v>
      </c>
      <c r="BT41" s="306" t="s">
        <v>5</v>
      </c>
      <c r="BU41" s="82" t="s">
        <v>20</v>
      </c>
      <c r="BV41" s="197">
        <v>2150</v>
      </c>
      <c r="BW41" s="198">
        <v>196</v>
      </c>
      <c r="BX41" s="198">
        <v>170</v>
      </c>
      <c r="BY41" s="199">
        <v>0</v>
      </c>
      <c r="BZ41" s="200">
        <v>402</v>
      </c>
      <c r="CA41" s="201">
        <v>2918</v>
      </c>
      <c r="CB41" s="198">
        <v>86</v>
      </c>
      <c r="CC41" s="198">
        <v>193</v>
      </c>
      <c r="CD41" s="200">
        <v>9</v>
      </c>
      <c r="CE41" s="90">
        <f>SUM(CB41:CD41)</f>
        <v>288</v>
      </c>
      <c r="CF41" s="91"/>
      <c r="CG41" s="303" t="s">
        <v>38</v>
      </c>
      <c r="CH41" s="306" t="s">
        <v>5</v>
      </c>
      <c r="CI41" s="82" t="s">
        <v>20</v>
      </c>
      <c r="CJ41" s="210">
        <v>3161</v>
      </c>
      <c r="CK41" s="211">
        <v>261</v>
      </c>
      <c r="CL41" s="211">
        <v>401</v>
      </c>
      <c r="CM41" s="212">
        <v>0</v>
      </c>
      <c r="CN41" s="213">
        <v>461</v>
      </c>
      <c r="CO41" s="214">
        <v>4284</v>
      </c>
      <c r="CP41" s="211">
        <v>40</v>
      </c>
      <c r="CQ41" s="211">
        <v>269</v>
      </c>
      <c r="CR41" s="213">
        <v>0</v>
      </c>
      <c r="CS41" s="244">
        <v>309</v>
      </c>
      <c r="CT41" s="91"/>
      <c r="CU41" s="303" t="s">
        <v>38</v>
      </c>
      <c r="CV41" s="306" t="s">
        <v>5</v>
      </c>
      <c r="CW41" s="82" t="s">
        <v>20</v>
      </c>
      <c r="CX41" s="247">
        <v>2150</v>
      </c>
      <c r="CY41" s="248">
        <v>196</v>
      </c>
      <c r="CZ41" s="248">
        <v>170</v>
      </c>
      <c r="DA41" s="249">
        <v>0</v>
      </c>
      <c r="DB41" s="250">
        <v>402</v>
      </c>
      <c r="DC41" s="283">
        <v>2918</v>
      </c>
      <c r="DD41" s="248">
        <v>86</v>
      </c>
      <c r="DE41" s="248">
        <v>193</v>
      </c>
      <c r="DF41" s="250">
        <v>9</v>
      </c>
      <c r="DG41" s="90">
        <f>SUM(DD41:DF41)</f>
        <v>288</v>
      </c>
      <c r="DH41" s="91"/>
      <c r="DI41" s="303" t="s">
        <v>38</v>
      </c>
      <c r="DJ41" s="306" t="s">
        <v>5</v>
      </c>
      <c r="DK41" s="82" t="s">
        <v>20</v>
      </c>
      <c r="DL41" s="285">
        <v>2401</v>
      </c>
      <c r="DM41" s="253">
        <v>200</v>
      </c>
      <c r="DN41" s="253">
        <v>133</v>
      </c>
      <c r="DO41" s="286">
        <v>0</v>
      </c>
      <c r="DP41" s="287">
        <v>122</v>
      </c>
      <c r="DQ41" s="251">
        <v>2856</v>
      </c>
      <c r="DR41" s="252">
        <v>67</v>
      </c>
      <c r="DS41" s="253">
        <v>225</v>
      </c>
      <c r="DT41" s="254">
        <v>2</v>
      </c>
      <c r="DU41" s="288">
        <v>294</v>
      </c>
      <c r="DV41" s="91"/>
      <c r="DW41" s="303" t="s">
        <v>38</v>
      </c>
      <c r="DX41" s="306" t="s">
        <v>5</v>
      </c>
      <c r="DY41" s="82" t="s">
        <v>20</v>
      </c>
      <c r="DZ41" s="197">
        <v>2816</v>
      </c>
      <c r="EA41" s="198">
        <v>55</v>
      </c>
      <c r="EB41" s="198">
        <v>359</v>
      </c>
      <c r="EC41" s="199">
        <v>0</v>
      </c>
      <c r="ED41" s="200">
        <v>712</v>
      </c>
      <c r="EE41" s="201">
        <v>3942</v>
      </c>
      <c r="EF41" s="198">
        <v>88</v>
      </c>
      <c r="EG41" s="198">
        <v>259</v>
      </c>
      <c r="EH41" s="200">
        <v>18</v>
      </c>
      <c r="EI41" s="242">
        <v>365</v>
      </c>
      <c r="EJ41" s="91"/>
      <c r="EK41" s="303" t="s">
        <v>38</v>
      </c>
      <c r="EL41" s="306" t="s">
        <v>5</v>
      </c>
      <c r="EM41" s="82" t="s">
        <v>20</v>
      </c>
      <c r="EN41" s="83">
        <v>0</v>
      </c>
      <c r="EO41" s="84">
        <v>0</v>
      </c>
      <c r="EP41" s="84">
        <v>0</v>
      </c>
      <c r="EQ41" s="85">
        <v>0</v>
      </c>
      <c r="ER41" s="86">
        <v>0</v>
      </c>
      <c r="ES41" s="87">
        <f>SUM(EN41:ER41)</f>
        <v>0</v>
      </c>
      <c r="ET41" s="88">
        <v>0</v>
      </c>
      <c r="EU41" s="84">
        <v>0</v>
      </c>
      <c r="EV41" s="89">
        <v>0</v>
      </c>
      <c r="EW41" s="90">
        <f>SUM(ET41:EV41)</f>
        <v>0</v>
      </c>
      <c r="EX41" s="91"/>
      <c r="EY41" s="303" t="s">
        <v>38</v>
      </c>
      <c r="EZ41" s="306" t="s">
        <v>5</v>
      </c>
      <c r="FA41" s="82" t="s">
        <v>20</v>
      </c>
      <c r="FB41" s="83">
        <v>0</v>
      </c>
      <c r="FC41" s="84">
        <v>0</v>
      </c>
      <c r="FD41" s="84">
        <v>0</v>
      </c>
      <c r="FE41" s="85">
        <v>0</v>
      </c>
      <c r="FF41" s="86">
        <v>0</v>
      </c>
      <c r="FG41" s="87">
        <f>SUM(FB41:FF41)</f>
        <v>0</v>
      </c>
      <c r="FH41" s="88">
        <v>0</v>
      </c>
      <c r="FI41" s="84">
        <v>0</v>
      </c>
      <c r="FJ41" s="89">
        <v>0</v>
      </c>
      <c r="FK41" s="90">
        <f>SUM(FH41:FJ41)</f>
        <v>0</v>
      </c>
      <c r="FL41" s="147"/>
      <c r="FM41" s="303" t="str">
        <f>EY41</f>
        <v>قويزة</v>
      </c>
      <c r="FN41" s="306" t="s">
        <v>5</v>
      </c>
      <c r="FO41" s="82" t="s">
        <v>20</v>
      </c>
      <c r="FP41" s="83">
        <f t="shared" ref="FP41:FP42" si="258">SUM(D41+R41+AF41+AT41+BH41+BV41+CJ41+CX41+DL41+DZ41+EN41+FB41)</f>
        <v>27972</v>
      </c>
      <c r="FQ41" s="83">
        <f t="shared" ref="FQ41:FQ42" si="259">SUM(E41+S41+AG41+AU41+BI41+BW41+CK41+CY41+DM41+EA41+EO41+FC41)</f>
        <v>1940</v>
      </c>
      <c r="FR41" s="83">
        <f t="shared" ref="FR41:FR42" si="260">SUM(F41+T41+AH41+AV41+BJ41+BX41+CL41+CZ41+DN41+EB41+EP41+FD41)</f>
        <v>2867</v>
      </c>
      <c r="FS41" s="149">
        <f t="shared" ref="FS41:FS42" si="261">SUM(G41+U41+AI41+AW41+BK41+BY41+CM41+DA41+DO41+EC41+EQ41+FE41)</f>
        <v>0</v>
      </c>
      <c r="FT41" s="83">
        <f t="shared" ref="FT41:FT42" si="262">SUM(H41+V41+AJ41+AX41+BL41+BZ41+CN41+DB41+DP41+ED41+ER41+FF41)</f>
        <v>5007</v>
      </c>
      <c r="FU41" s="93">
        <f>SUM(FP41:FT41)</f>
        <v>37786</v>
      </c>
      <c r="FV41" s="88">
        <f t="shared" ref="FV41:FV42" si="263">SUM(J41+X41+AL41+AZ41+BN41+CB41+CP41+DD41+DR41+EF41+ET41+FH41)</f>
        <v>914</v>
      </c>
      <c r="FW41" s="88">
        <f t="shared" ref="FW41:FW42" si="264">SUM(K41+Y41+AM41+BA41+BO41+CC41+CQ41+DE41+DS41+EG41+EU41+FI41)</f>
        <v>2493</v>
      </c>
      <c r="FX41" s="88">
        <f t="shared" ref="FX41:FX42" si="265">SUM(L41+Z41+AN41+BB41+BP41+CD41+CR41+DF41+DT41+EH41+EV41+FJ41)</f>
        <v>151</v>
      </c>
      <c r="FY41" s="94">
        <f>SUM(FV41:FX41)</f>
        <v>3558</v>
      </c>
      <c r="FZ41" s="95"/>
      <c r="GA41" s="91"/>
    </row>
    <row r="42" spans="1:183" s="96" customFormat="1" ht="20.100000000000001" customHeight="1" thickBot="1" x14ac:dyDescent="0.25">
      <c r="A42" s="304"/>
      <c r="B42" s="307"/>
      <c r="C42" s="97" t="s">
        <v>21</v>
      </c>
      <c r="D42" s="202">
        <v>2925</v>
      </c>
      <c r="E42" s="203">
        <v>107</v>
      </c>
      <c r="F42" s="203">
        <v>414</v>
      </c>
      <c r="G42" s="203">
        <v>3</v>
      </c>
      <c r="H42" s="204">
        <v>454</v>
      </c>
      <c r="I42" s="205">
        <v>3903</v>
      </c>
      <c r="J42" s="203">
        <v>32</v>
      </c>
      <c r="K42" s="203">
        <v>371</v>
      </c>
      <c r="L42" s="204">
        <v>13</v>
      </c>
      <c r="M42" s="104">
        <f>SUM(J42:L42)</f>
        <v>416</v>
      </c>
      <c r="N42" s="91"/>
      <c r="O42" s="304"/>
      <c r="P42" s="307"/>
      <c r="Q42" s="97" t="s">
        <v>21</v>
      </c>
      <c r="R42" s="202">
        <v>3643</v>
      </c>
      <c r="S42" s="203">
        <v>240</v>
      </c>
      <c r="T42" s="203">
        <v>499</v>
      </c>
      <c r="U42" s="203">
        <v>19</v>
      </c>
      <c r="V42" s="204">
        <v>310</v>
      </c>
      <c r="W42" s="205">
        <v>4711</v>
      </c>
      <c r="X42" s="203">
        <v>83</v>
      </c>
      <c r="Y42" s="203">
        <v>383</v>
      </c>
      <c r="Z42" s="204">
        <v>16</v>
      </c>
      <c r="AA42" s="104">
        <f>SUM(X42:Z42)</f>
        <v>482</v>
      </c>
      <c r="AB42" s="91"/>
      <c r="AC42" s="304"/>
      <c r="AD42" s="307"/>
      <c r="AE42" s="97" t="s">
        <v>21</v>
      </c>
      <c r="AF42" s="202">
        <v>3426</v>
      </c>
      <c r="AG42" s="203">
        <v>225</v>
      </c>
      <c r="AH42" s="203">
        <v>338</v>
      </c>
      <c r="AI42" s="203">
        <v>19</v>
      </c>
      <c r="AJ42" s="204">
        <v>520</v>
      </c>
      <c r="AK42" s="205">
        <v>4528</v>
      </c>
      <c r="AL42" s="203">
        <v>154</v>
      </c>
      <c r="AM42" s="203">
        <v>365</v>
      </c>
      <c r="AN42" s="204">
        <v>16</v>
      </c>
      <c r="AO42" s="104">
        <f>SUM(AL42:AN42)</f>
        <v>535</v>
      </c>
      <c r="AP42" s="91"/>
      <c r="AQ42" s="304"/>
      <c r="AR42" s="307"/>
      <c r="AS42" s="97" t="s">
        <v>21</v>
      </c>
      <c r="AT42" s="202">
        <v>3312</v>
      </c>
      <c r="AU42" s="203">
        <v>220</v>
      </c>
      <c r="AV42" s="203">
        <v>497</v>
      </c>
      <c r="AW42" s="203">
        <v>30</v>
      </c>
      <c r="AX42" s="204">
        <v>448</v>
      </c>
      <c r="AY42" s="205">
        <v>4507</v>
      </c>
      <c r="AZ42" s="203">
        <v>158</v>
      </c>
      <c r="BA42" s="203">
        <v>366</v>
      </c>
      <c r="BB42" s="204">
        <v>24</v>
      </c>
      <c r="BC42" s="208">
        <v>548</v>
      </c>
      <c r="BD42" s="91"/>
      <c r="BE42" s="304"/>
      <c r="BF42" s="307"/>
      <c r="BG42" s="97" t="s">
        <v>21</v>
      </c>
      <c r="BH42" s="202">
        <v>2219</v>
      </c>
      <c r="BI42" s="203">
        <v>56</v>
      </c>
      <c r="BJ42" s="203">
        <v>227</v>
      </c>
      <c r="BK42" s="203">
        <v>18</v>
      </c>
      <c r="BL42" s="204">
        <v>871</v>
      </c>
      <c r="BM42" s="205">
        <v>3391</v>
      </c>
      <c r="BN42" s="203">
        <v>89</v>
      </c>
      <c r="BO42" s="203">
        <v>400</v>
      </c>
      <c r="BP42" s="204">
        <v>28</v>
      </c>
      <c r="BQ42" s="104">
        <f>SUM(BN42:BP42)</f>
        <v>517</v>
      </c>
      <c r="BR42" s="91"/>
      <c r="BS42" s="304"/>
      <c r="BT42" s="307"/>
      <c r="BU42" s="97" t="s">
        <v>21</v>
      </c>
      <c r="BV42" s="202">
        <v>2001</v>
      </c>
      <c r="BW42" s="203">
        <v>176</v>
      </c>
      <c r="BX42" s="203">
        <v>187</v>
      </c>
      <c r="BY42" s="203">
        <v>15</v>
      </c>
      <c r="BZ42" s="204">
        <v>405</v>
      </c>
      <c r="CA42" s="205">
        <v>2784</v>
      </c>
      <c r="CB42" s="203">
        <v>75</v>
      </c>
      <c r="CC42" s="203">
        <v>191</v>
      </c>
      <c r="CD42" s="204">
        <v>11</v>
      </c>
      <c r="CE42" s="104">
        <f>SUM(CB42:CD42)</f>
        <v>277</v>
      </c>
      <c r="CF42" s="91"/>
      <c r="CG42" s="304"/>
      <c r="CH42" s="307"/>
      <c r="CI42" s="97" t="s">
        <v>21</v>
      </c>
      <c r="CJ42" s="202">
        <v>3001</v>
      </c>
      <c r="CK42" s="203">
        <v>233</v>
      </c>
      <c r="CL42" s="203">
        <v>425</v>
      </c>
      <c r="CM42" s="203">
        <v>13</v>
      </c>
      <c r="CN42" s="204">
        <v>155</v>
      </c>
      <c r="CO42" s="205">
        <v>3827</v>
      </c>
      <c r="CP42" s="203">
        <v>43</v>
      </c>
      <c r="CQ42" s="203">
        <v>376</v>
      </c>
      <c r="CR42" s="204">
        <v>0</v>
      </c>
      <c r="CS42" s="208">
        <v>419</v>
      </c>
      <c r="CT42" s="91"/>
      <c r="CU42" s="304"/>
      <c r="CV42" s="307"/>
      <c r="CW42" s="97" t="s">
        <v>21</v>
      </c>
      <c r="CX42" s="255">
        <v>2001</v>
      </c>
      <c r="CY42" s="256">
        <v>176</v>
      </c>
      <c r="CZ42" s="256">
        <v>187</v>
      </c>
      <c r="DA42" s="256">
        <v>15</v>
      </c>
      <c r="DB42" s="257">
        <v>405</v>
      </c>
      <c r="DC42" s="284">
        <v>2784</v>
      </c>
      <c r="DD42" s="256">
        <v>75</v>
      </c>
      <c r="DE42" s="256">
        <v>191</v>
      </c>
      <c r="DF42" s="257">
        <v>11</v>
      </c>
      <c r="DG42" s="104">
        <f>SUM(DD42:DF42)</f>
        <v>277</v>
      </c>
      <c r="DH42" s="91"/>
      <c r="DI42" s="304"/>
      <c r="DJ42" s="307"/>
      <c r="DK42" s="97" t="s">
        <v>21</v>
      </c>
      <c r="DL42" s="274">
        <v>2498</v>
      </c>
      <c r="DM42" s="260">
        <v>178</v>
      </c>
      <c r="DN42" s="260">
        <v>129</v>
      </c>
      <c r="DO42" s="260">
        <v>23</v>
      </c>
      <c r="DP42" s="275">
        <v>83</v>
      </c>
      <c r="DQ42" s="258">
        <v>2911</v>
      </c>
      <c r="DR42" s="259">
        <v>55</v>
      </c>
      <c r="DS42" s="260">
        <v>254</v>
      </c>
      <c r="DT42" s="261">
        <v>1</v>
      </c>
      <c r="DU42" s="289">
        <v>310</v>
      </c>
      <c r="DV42" s="91"/>
      <c r="DW42" s="304"/>
      <c r="DX42" s="307"/>
      <c r="DY42" s="97" t="s">
        <v>21</v>
      </c>
      <c r="DZ42" s="202">
        <v>2781</v>
      </c>
      <c r="EA42" s="203">
        <v>51</v>
      </c>
      <c r="EB42" s="203">
        <v>386</v>
      </c>
      <c r="EC42" s="203">
        <v>16</v>
      </c>
      <c r="ED42" s="204">
        <v>758</v>
      </c>
      <c r="EE42" s="205">
        <v>3992</v>
      </c>
      <c r="EF42" s="203">
        <v>82</v>
      </c>
      <c r="EG42" s="203">
        <v>365</v>
      </c>
      <c r="EH42" s="204">
        <v>16</v>
      </c>
      <c r="EI42" s="208">
        <v>463</v>
      </c>
      <c r="EJ42" s="91"/>
      <c r="EK42" s="304"/>
      <c r="EL42" s="307"/>
      <c r="EM42" s="97" t="s">
        <v>21</v>
      </c>
      <c r="EN42" s="98">
        <v>0</v>
      </c>
      <c r="EO42" s="99">
        <v>0</v>
      </c>
      <c r="EP42" s="99">
        <v>0</v>
      </c>
      <c r="EQ42" s="99">
        <v>0</v>
      </c>
      <c r="ER42" s="100">
        <v>0</v>
      </c>
      <c r="ES42" s="101">
        <f>SUM(EN42:ER42)</f>
        <v>0</v>
      </c>
      <c r="ET42" s="102">
        <v>0</v>
      </c>
      <c r="EU42" s="99">
        <v>0</v>
      </c>
      <c r="EV42" s="103">
        <v>0</v>
      </c>
      <c r="EW42" s="104">
        <f>SUM(ET42:EV42)</f>
        <v>0</v>
      </c>
      <c r="EX42" s="91"/>
      <c r="EY42" s="304"/>
      <c r="EZ42" s="307"/>
      <c r="FA42" s="97" t="s">
        <v>21</v>
      </c>
      <c r="FB42" s="98">
        <v>0</v>
      </c>
      <c r="FC42" s="99">
        <v>0</v>
      </c>
      <c r="FD42" s="99">
        <v>0</v>
      </c>
      <c r="FE42" s="99">
        <v>0</v>
      </c>
      <c r="FF42" s="100">
        <v>0</v>
      </c>
      <c r="FG42" s="101">
        <f>SUM(FB42:FF42)</f>
        <v>0</v>
      </c>
      <c r="FH42" s="102">
        <v>0</v>
      </c>
      <c r="FI42" s="99">
        <v>0</v>
      </c>
      <c r="FJ42" s="103">
        <v>0</v>
      </c>
      <c r="FK42" s="104">
        <f>SUM(FH42:FJ42)</f>
        <v>0</v>
      </c>
      <c r="FL42" s="147"/>
      <c r="FM42" s="304"/>
      <c r="FN42" s="307"/>
      <c r="FO42" s="97" t="s">
        <v>21</v>
      </c>
      <c r="FP42" s="83">
        <f t="shared" si="258"/>
        <v>27807</v>
      </c>
      <c r="FQ42" s="83">
        <f t="shared" si="259"/>
        <v>1662</v>
      </c>
      <c r="FR42" s="83">
        <f t="shared" si="260"/>
        <v>3289</v>
      </c>
      <c r="FS42" s="83">
        <f t="shared" si="261"/>
        <v>171</v>
      </c>
      <c r="FT42" s="83">
        <f t="shared" si="262"/>
        <v>4409</v>
      </c>
      <c r="FU42" s="101">
        <f>SUM(FP42:FT42)</f>
        <v>37338</v>
      </c>
      <c r="FV42" s="88">
        <f t="shared" si="263"/>
        <v>846</v>
      </c>
      <c r="FW42" s="88">
        <f t="shared" si="264"/>
        <v>3262</v>
      </c>
      <c r="FX42" s="88">
        <f t="shared" si="265"/>
        <v>136</v>
      </c>
      <c r="FY42" s="106">
        <f>SUM(FV42:FX42)</f>
        <v>4244</v>
      </c>
      <c r="FZ42" s="95"/>
      <c r="GA42" s="91"/>
    </row>
    <row r="43" spans="1:183" s="96" customFormat="1" ht="20.100000000000001" customHeight="1" thickBot="1" x14ac:dyDescent="0.25">
      <c r="A43" s="304"/>
      <c r="B43" s="308" t="s">
        <v>22</v>
      </c>
      <c r="C43" s="311"/>
      <c r="D43" s="206">
        <v>5923</v>
      </c>
      <c r="E43" s="207">
        <v>359</v>
      </c>
      <c r="F43" s="207">
        <v>811</v>
      </c>
      <c r="G43" s="207">
        <v>3</v>
      </c>
      <c r="H43" s="208">
        <v>912</v>
      </c>
      <c r="I43" s="209">
        <v>8008</v>
      </c>
      <c r="J43" s="207">
        <v>68</v>
      </c>
      <c r="K43" s="207">
        <v>635</v>
      </c>
      <c r="L43" s="208">
        <v>35</v>
      </c>
      <c r="M43" s="112">
        <f t="shared" ref="M43" si="266">SUM(M41:M42)</f>
        <v>738</v>
      </c>
      <c r="N43" s="91"/>
      <c r="O43" s="304"/>
      <c r="P43" s="308" t="s">
        <v>22</v>
      </c>
      <c r="Q43" s="311"/>
      <c r="R43" s="206">
        <v>7341</v>
      </c>
      <c r="S43" s="207">
        <v>501</v>
      </c>
      <c r="T43" s="207">
        <v>858</v>
      </c>
      <c r="U43" s="207">
        <v>19</v>
      </c>
      <c r="V43" s="208">
        <v>808</v>
      </c>
      <c r="W43" s="209">
        <v>9527</v>
      </c>
      <c r="X43" s="207">
        <v>174</v>
      </c>
      <c r="Y43" s="207">
        <v>662</v>
      </c>
      <c r="Z43" s="208">
        <v>35</v>
      </c>
      <c r="AA43" s="112">
        <f t="shared" ref="AA43" si="267">SUM(AA41:AA42)</f>
        <v>871</v>
      </c>
      <c r="AB43" s="91"/>
      <c r="AC43" s="304"/>
      <c r="AD43" s="308" t="s">
        <v>22</v>
      </c>
      <c r="AE43" s="311"/>
      <c r="AF43" s="206">
        <v>6624</v>
      </c>
      <c r="AG43" s="207">
        <v>464</v>
      </c>
      <c r="AH43" s="207">
        <v>578</v>
      </c>
      <c r="AI43" s="207">
        <v>19</v>
      </c>
      <c r="AJ43" s="208">
        <v>1121</v>
      </c>
      <c r="AK43" s="209">
        <v>8806</v>
      </c>
      <c r="AL43" s="207">
        <v>314</v>
      </c>
      <c r="AM43" s="207">
        <v>666</v>
      </c>
      <c r="AN43" s="208">
        <v>30</v>
      </c>
      <c r="AO43" s="112">
        <f t="shared" ref="AO43" si="268">SUM(AO41:AO42)</f>
        <v>1010</v>
      </c>
      <c r="AP43" s="91"/>
      <c r="AQ43" s="304"/>
      <c r="AR43" s="308" t="s">
        <v>22</v>
      </c>
      <c r="AS43" s="311"/>
      <c r="AT43" s="206">
        <v>6411</v>
      </c>
      <c r="AU43" s="207">
        <v>447</v>
      </c>
      <c r="AV43" s="207">
        <v>906</v>
      </c>
      <c r="AW43" s="207">
        <v>30</v>
      </c>
      <c r="AX43" s="208">
        <v>989</v>
      </c>
      <c r="AY43" s="209">
        <v>8783</v>
      </c>
      <c r="AZ43" s="207">
        <v>308</v>
      </c>
      <c r="BA43" s="207">
        <v>655</v>
      </c>
      <c r="BB43" s="208">
        <v>48</v>
      </c>
      <c r="BC43" s="243">
        <v>1011</v>
      </c>
      <c r="BD43" s="91"/>
      <c r="BE43" s="304"/>
      <c r="BF43" s="308" t="s">
        <v>22</v>
      </c>
      <c r="BG43" s="311"/>
      <c r="BH43" s="206">
        <v>4520</v>
      </c>
      <c r="BI43" s="207">
        <v>109</v>
      </c>
      <c r="BJ43" s="207">
        <v>456</v>
      </c>
      <c r="BK43" s="207">
        <v>18</v>
      </c>
      <c r="BL43" s="208">
        <v>1681</v>
      </c>
      <c r="BM43" s="209">
        <v>6784</v>
      </c>
      <c r="BN43" s="207">
        <v>199</v>
      </c>
      <c r="BO43" s="207">
        <v>621</v>
      </c>
      <c r="BP43" s="208">
        <v>62</v>
      </c>
      <c r="BQ43" s="112">
        <f t="shared" ref="BQ43" si="269">SUM(BQ41:BQ42)</f>
        <v>882</v>
      </c>
      <c r="BR43" s="91"/>
      <c r="BS43" s="304"/>
      <c r="BT43" s="308" t="s">
        <v>22</v>
      </c>
      <c r="BU43" s="311"/>
      <c r="BV43" s="206">
        <v>4151</v>
      </c>
      <c r="BW43" s="207">
        <v>372</v>
      </c>
      <c r="BX43" s="207">
        <v>357</v>
      </c>
      <c r="BY43" s="207">
        <v>15</v>
      </c>
      <c r="BZ43" s="208">
        <v>807</v>
      </c>
      <c r="CA43" s="209">
        <v>5702</v>
      </c>
      <c r="CB43" s="207">
        <v>161</v>
      </c>
      <c r="CC43" s="207">
        <v>384</v>
      </c>
      <c r="CD43" s="208">
        <v>20</v>
      </c>
      <c r="CE43" s="112">
        <f t="shared" ref="CE43" si="270">SUM(CE41:CE42)</f>
        <v>565</v>
      </c>
      <c r="CF43" s="91"/>
      <c r="CG43" s="304"/>
      <c r="CH43" s="308" t="s">
        <v>22</v>
      </c>
      <c r="CI43" s="311"/>
      <c r="CJ43" s="206">
        <v>6162</v>
      </c>
      <c r="CK43" s="207">
        <v>494</v>
      </c>
      <c r="CL43" s="207">
        <v>826</v>
      </c>
      <c r="CM43" s="207">
        <v>13</v>
      </c>
      <c r="CN43" s="208">
        <v>616</v>
      </c>
      <c r="CO43" s="209">
        <v>8111</v>
      </c>
      <c r="CP43" s="207">
        <v>83</v>
      </c>
      <c r="CQ43" s="207">
        <v>645</v>
      </c>
      <c r="CR43" s="208">
        <v>0</v>
      </c>
      <c r="CS43" s="243">
        <v>728</v>
      </c>
      <c r="CT43" s="91"/>
      <c r="CU43" s="304"/>
      <c r="CV43" s="308" t="s">
        <v>22</v>
      </c>
      <c r="CW43" s="311"/>
      <c r="CX43" s="262">
        <f t="shared" ref="CX43:DF43" si="271">SUM(CX41:CX42)</f>
        <v>4151</v>
      </c>
      <c r="CY43" s="263">
        <f t="shared" si="271"/>
        <v>372</v>
      </c>
      <c r="CZ43" s="263">
        <f t="shared" si="271"/>
        <v>357</v>
      </c>
      <c r="DA43" s="263">
        <f t="shared" si="271"/>
        <v>15</v>
      </c>
      <c r="DB43" s="264">
        <f t="shared" si="271"/>
        <v>807</v>
      </c>
      <c r="DC43" s="265">
        <f t="shared" si="271"/>
        <v>5702</v>
      </c>
      <c r="DD43" s="266">
        <f t="shared" si="271"/>
        <v>161</v>
      </c>
      <c r="DE43" s="263">
        <f t="shared" si="271"/>
        <v>384</v>
      </c>
      <c r="DF43" s="264">
        <f t="shared" si="271"/>
        <v>20</v>
      </c>
      <c r="DG43" s="112">
        <f t="shared" ref="DG43" si="272">SUM(DG41:DG42)</f>
        <v>565</v>
      </c>
      <c r="DH43" s="91"/>
      <c r="DI43" s="304"/>
      <c r="DJ43" s="308" t="s">
        <v>22</v>
      </c>
      <c r="DK43" s="311"/>
      <c r="DL43" s="262">
        <v>4899</v>
      </c>
      <c r="DM43" s="263">
        <v>378</v>
      </c>
      <c r="DN43" s="263">
        <v>262</v>
      </c>
      <c r="DO43" s="263">
        <v>23</v>
      </c>
      <c r="DP43" s="264">
        <v>205</v>
      </c>
      <c r="DQ43" s="265">
        <v>5767</v>
      </c>
      <c r="DR43" s="266">
        <v>122</v>
      </c>
      <c r="DS43" s="263">
        <v>479</v>
      </c>
      <c r="DT43" s="264">
        <v>3</v>
      </c>
      <c r="DU43" s="290">
        <v>604</v>
      </c>
      <c r="DV43" s="91"/>
      <c r="DW43" s="304"/>
      <c r="DX43" s="308" t="s">
        <v>22</v>
      </c>
      <c r="DY43" s="311"/>
      <c r="DZ43" s="206">
        <v>5597</v>
      </c>
      <c r="EA43" s="207">
        <v>106</v>
      </c>
      <c r="EB43" s="207">
        <v>745</v>
      </c>
      <c r="EC43" s="207">
        <v>16</v>
      </c>
      <c r="ED43" s="208">
        <v>1470</v>
      </c>
      <c r="EE43" s="209">
        <v>7934</v>
      </c>
      <c r="EF43" s="207">
        <v>170</v>
      </c>
      <c r="EG43" s="207">
        <v>624</v>
      </c>
      <c r="EH43" s="208">
        <v>34</v>
      </c>
      <c r="EI43" s="243">
        <v>828</v>
      </c>
      <c r="EJ43" s="91"/>
      <c r="EK43" s="304"/>
      <c r="EL43" s="308" t="s">
        <v>22</v>
      </c>
      <c r="EM43" s="311"/>
      <c r="EN43" s="107">
        <f t="shared" ref="EN43:EW43" si="273">SUM(EN41:EN42)</f>
        <v>0</v>
      </c>
      <c r="EO43" s="108">
        <f t="shared" si="273"/>
        <v>0</v>
      </c>
      <c r="EP43" s="108">
        <f t="shared" si="273"/>
        <v>0</v>
      </c>
      <c r="EQ43" s="108">
        <f t="shared" si="273"/>
        <v>0</v>
      </c>
      <c r="ER43" s="109">
        <f t="shared" si="273"/>
        <v>0</v>
      </c>
      <c r="ES43" s="110">
        <f t="shared" si="273"/>
        <v>0</v>
      </c>
      <c r="ET43" s="111">
        <f t="shared" si="273"/>
        <v>0</v>
      </c>
      <c r="EU43" s="108">
        <f t="shared" si="273"/>
        <v>0</v>
      </c>
      <c r="EV43" s="109">
        <f t="shared" si="273"/>
        <v>0</v>
      </c>
      <c r="EW43" s="112">
        <f t="shared" si="273"/>
        <v>0</v>
      </c>
      <c r="EX43" s="91"/>
      <c r="EY43" s="304"/>
      <c r="EZ43" s="308" t="s">
        <v>22</v>
      </c>
      <c r="FA43" s="311"/>
      <c r="FB43" s="107">
        <f t="shared" ref="FB43:FK43" si="274">SUM(FB41:FB42)</f>
        <v>0</v>
      </c>
      <c r="FC43" s="108">
        <f t="shared" si="274"/>
        <v>0</v>
      </c>
      <c r="FD43" s="108">
        <f t="shared" si="274"/>
        <v>0</v>
      </c>
      <c r="FE43" s="108">
        <f t="shared" si="274"/>
        <v>0</v>
      </c>
      <c r="FF43" s="109">
        <f t="shared" si="274"/>
        <v>0</v>
      </c>
      <c r="FG43" s="110">
        <f t="shared" si="274"/>
        <v>0</v>
      </c>
      <c r="FH43" s="111">
        <f t="shared" si="274"/>
        <v>0</v>
      </c>
      <c r="FI43" s="108">
        <f t="shared" si="274"/>
        <v>0</v>
      </c>
      <c r="FJ43" s="109">
        <f t="shared" si="274"/>
        <v>0</v>
      </c>
      <c r="FK43" s="112">
        <f t="shared" si="274"/>
        <v>0</v>
      </c>
      <c r="FL43" s="147"/>
      <c r="FM43" s="304"/>
      <c r="FN43" s="308" t="s">
        <v>22</v>
      </c>
      <c r="FO43" s="311"/>
      <c r="FP43" s="107">
        <f t="shared" ref="FP43:FY43" si="275">SUM(FP41:FP42)</f>
        <v>55779</v>
      </c>
      <c r="FQ43" s="108">
        <f t="shared" si="275"/>
        <v>3602</v>
      </c>
      <c r="FR43" s="108">
        <f t="shared" si="275"/>
        <v>6156</v>
      </c>
      <c r="FS43" s="108">
        <f t="shared" si="275"/>
        <v>171</v>
      </c>
      <c r="FT43" s="109">
        <f t="shared" si="275"/>
        <v>9416</v>
      </c>
      <c r="FU43" s="113">
        <f t="shared" si="275"/>
        <v>75124</v>
      </c>
      <c r="FV43" s="111">
        <f t="shared" si="275"/>
        <v>1760</v>
      </c>
      <c r="FW43" s="108">
        <f t="shared" si="275"/>
        <v>5755</v>
      </c>
      <c r="FX43" s="109">
        <f t="shared" si="275"/>
        <v>287</v>
      </c>
      <c r="FY43" s="114">
        <f t="shared" si="275"/>
        <v>7802</v>
      </c>
      <c r="FZ43" s="95"/>
      <c r="GA43" s="91"/>
    </row>
    <row r="44" spans="1:183" s="96" customFormat="1" ht="20.100000000000001" customHeight="1" thickTop="1" thickBot="1" x14ac:dyDescent="0.25">
      <c r="A44" s="304"/>
      <c r="B44" s="300" t="s">
        <v>23</v>
      </c>
      <c r="C44" s="82" t="s">
        <v>20</v>
      </c>
      <c r="D44" s="210">
        <v>94</v>
      </c>
      <c r="E44" s="211">
        <v>0</v>
      </c>
      <c r="F44" s="211">
        <v>0</v>
      </c>
      <c r="G44" s="212">
        <v>0</v>
      </c>
      <c r="H44" s="213">
        <v>19</v>
      </c>
      <c r="I44" s="214">
        <v>113</v>
      </c>
      <c r="J44" s="211">
        <v>9</v>
      </c>
      <c r="K44" s="211">
        <v>0</v>
      </c>
      <c r="L44" s="213">
        <v>0</v>
      </c>
      <c r="M44" s="121">
        <f>SUM(J44:L44)</f>
        <v>9</v>
      </c>
      <c r="N44" s="91"/>
      <c r="O44" s="304"/>
      <c r="P44" s="300" t="s">
        <v>23</v>
      </c>
      <c r="Q44" s="82" t="s">
        <v>20</v>
      </c>
      <c r="R44" s="210">
        <v>120</v>
      </c>
      <c r="S44" s="211">
        <v>0</v>
      </c>
      <c r="T44" s="211">
        <v>0</v>
      </c>
      <c r="U44" s="212">
        <v>0</v>
      </c>
      <c r="V44" s="213">
        <v>14</v>
      </c>
      <c r="W44" s="214">
        <v>134</v>
      </c>
      <c r="X44" s="211">
        <v>2</v>
      </c>
      <c r="Y44" s="211">
        <v>0</v>
      </c>
      <c r="Z44" s="213">
        <v>0</v>
      </c>
      <c r="AA44" s="121">
        <f>SUM(X44:Z44)</f>
        <v>2</v>
      </c>
      <c r="AB44" s="91"/>
      <c r="AC44" s="304"/>
      <c r="AD44" s="300" t="s">
        <v>23</v>
      </c>
      <c r="AE44" s="82" t="s">
        <v>20</v>
      </c>
      <c r="AF44" s="210">
        <v>152</v>
      </c>
      <c r="AG44" s="211">
        <v>0</v>
      </c>
      <c r="AH44" s="211">
        <v>0</v>
      </c>
      <c r="AI44" s="212">
        <v>0</v>
      </c>
      <c r="AJ44" s="213">
        <v>0</v>
      </c>
      <c r="AK44" s="214">
        <v>152</v>
      </c>
      <c r="AL44" s="211">
        <v>0</v>
      </c>
      <c r="AM44" s="211">
        <v>0</v>
      </c>
      <c r="AN44" s="213">
        <v>0</v>
      </c>
      <c r="AO44" s="121">
        <f>SUM(AL44:AN44)</f>
        <v>0</v>
      </c>
      <c r="AP44" s="91"/>
      <c r="AQ44" s="304"/>
      <c r="AR44" s="300" t="s">
        <v>23</v>
      </c>
      <c r="AS44" s="82" t="s">
        <v>20</v>
      </c>
      <c r="AT44" s="210">
        <v>69</v>
      </c>
      <c r="AU44" s="211">
        <v>0</v>
      </c>
      <c r="AV44" s="211">
        <v>0</v>
      </c>
      <c r="AW44" s="212">
        <v>0</v>
      </c>
      <c r="AX44" s="213">
        <v>0</v>
      </c>
      <c r="AY44" s="214">
        <v>69</v>
      </c>
      <c r="AZ44" s="211">
        <v>0</v>
      </c>
      <c r="BA44" s="211">
        <v>0</v>
      </c>
      <c r="BB44" s="213">
        <v>0</v>
      </c>
      <c r="BC44" s="244">
        <v>0</v>
      </c>
      <c r="BD44" s="91"/>
      <c r="BE44" s="304"/>
      <c r="BF44" s="300" t="s">
        <v>23</v>
      </c>
      <c r="BG44" s="82" t="s">
        <v>20</v>
      </c>
      <c r="BH44" s="210">
        <v>58</v>
      </c>
      <c r="BI44" s="211">
        <v>0</v>
      </c>
      <c r="BJ44" s="211">
        <v>0</v>
      </c>
      <c r="BK44" s="212">
        <v>0</v>
      </c>
      <c r="BL44" s="213">
        <v>47</v>
      </c>
      <c r="BM44" s="214">
        <v>105</v>
      </c>
      <c r="BN44" s="211">
        <v>5</v>
      </c>
      <c r="BO44" s="211">
        <v>8</v>
      </c>
      <c r="BP44" s="213">
        <v>0</v>
      </c>
      <c r="BQ44" s="121">
        <f>SUM(BN44:BP44)</f>
        <v>13</v>
      </c>
      <c r="BR44" s="91"/>
      <c r="BS44" s="304"/>
      <c r="BT44" s="300" t="s">
        <v>23</v>
      </c>
      <c r="BU44" s="82" t="s">
        <v>20</v>
      </c>
      <c r="BV44" s="210">
        <v>30</v>
      </c>
      <c r="BW44" s="211">
        <v>0</v>
      </c>
      <c r="BX44" s="211">
        <v>0</v>
      </c>
      <c r="BY44" s="212">
        <v>0</v>
      </c>
      <c r="BZ44" s="213">
        <v>16</v>
      </c>
      <c r="CA44" s="214">
        <v>46</v>
      </c>
      <c r="CB44" s="211">
        <v>0</v>
      </c>
      <c r="CC44" s="211">
        <v>0</v>
      </c>
      <c r="CD44" s="213">
        <v>0</v>
      </c>
      <c r="CE44" s="121">
        <f>SUM(CB44:CD44)</f>
        <v>0</v>
      </c>
      <c r="CF44" s="91"/>
      <c r="CG44" s="304"/>
      <c r="CH44" s="300" t="s">
        <v>23</v>
      </c>
      <c r="CI44" s="82" t="s">
        <v>20</v>
      </c>
      <c r="CJ44" s="210">
        <v>97</v>
      </c>
      <c r="CK44" s="211">
        <v>0</v>
      </c>
      <c r="CL44" s="211">
        <v>0</v>
      </c>
      <c r="CM44" s="212">
        <v>0</v>
      </c>
      <c r="CN44" s="213">
        <v>11</v>
      </c>
      <c r="CO44" s="214">
        <v>108</v>
      </c>
      <c r="CP44" s="211">
        <v>4</v>
      </c>
      <c r="CQ44" s="211">
        <v>0</v>
      </c>
      <c r="CR44" s="213">
        <v>0</v>
      </c>
      <c r="CS44" s="244">
        <v>4</v>
      </c>
      <c r="CT44" s="91"/>
      <c r="CU44" s="304"/>
      <c r="CV44" s="300" t="s">
        <v>23</v>
      </c>
      <c r="CW44" s="82" t="s">
        <v>20</v>
      </c>
      <c r="CX44" s="247">
        <v>30</v>
      </c>
      <c r="CY44" s="248">
        <v>0</v>
      </c>
      <c r="CZ44" s="248">
        <v>0</v>
      </c>
      <c r="DA44" s="249">
        <v>0</v>
      </c>
      <c r="DB44" s="250">
        <v>16</v>
      </c>
      <c r="DC44" s="283">
        <v>46</v>
      </c>
      <c r="DD44" s="248">
        <v>0</v>
      </c>
      <c r="DE44" s="248">
        <v>0</v>
      </c>
      <c r="DF44" s="250">
        <v>0</v>
      </c>
      <c r="DG44" s="121">
        <f>SUM(DD44:DF44)</f>
        <v>0</v>
      </c>
      <c r="DH44" s="91"/>
      <c r="DI44" s="304"/>
      <c r="DJ44" s="300" t="s">
        <v>23</v>
      </c>
      <c r="DK44" s="82" t="s">
        <v>20</v>
      </c>
      <c r="DL44" s="267">
        <v>14</v>
      </c>
      <c r="DM44" s="268">
        <v>0</v>
      </c>
      <c r="DN44" s="268">
        <v>0</v>
      </c>
      <c r="DO44" s="269">
        <v>0</v>
      </c>
      <c r="DP44" s="270">
        <v>30</v>
      </c>
      <c r="DQ44" s="271">
        <v>44</v>
      </c>
      <c r="DR44" s="272">
        <v>1</v>
      </c>
      <c r="DS44" s="268">
        <v>1</v>
      </c>
      <c r="DT44" s="273">
        <v>0</v>
      </c>
      <c r="DU44" s="291">
        <v>2</v>
      </c>
      <c r="DV44" s="91"/>
      <c r="DW44" s="304"/>
      <c r="DX44" s="300" t="s">
        <v>23</v>
      </c>
      <c r="DY44" s="82" t="s">
        <v>20</v>
      </c>
      <c r="DZ44" s="210">
        <v>31</v>
      </c>
      <c r="EA44" s="211">
        <v>0</v>
      </c>
      <c r="EB44" s="211">
        <v>0</v>
      </c>
      <c r="EC44" s="212">
        <v>0</v>
      </c>
      <c r="ED44" s="213">
        <v>26</v>
      </c>
      <c r="EE44" s="214">
        <v>57</v>
      </c>
      <c r="EF44" s="211">
        <v>0</v>
      </c>
      <c r="EG44" s="211">
        <v>0</v>
      </c>
      <c r="EH44" s="213">
        <v>0</v>
      </c>
      <c r="EI44" s="244">
        <v>0</v>
      </c>
      <c r="EJ44" s="91"/>
      <c r="EK44" s="304"/>
      <c r="EL44" s="300" t="s">
        <v>23</v>
      </c>
      <c r="EM44" s="82" t="s">
        <v>20</v>
      </c>
      <c r="EN44" s="115">
        <v>0</v>
      </c>
      <c r="EO44" s="116">
        <v>0</v>
      </c>
      <c r="EP44" s="116">
        <v>0</v>
      </c>
      <c r="EQ44" s="117">
        <v>0</v>
      </c>
      <c r="ER44" s="118">
        <v>0</v>
      </c>
      <c r="ES44" s="93">
        <f>SUM(EN44:ER44)</f>
        <v>0</v>
      </c>
      <c r="ET44" s="119">
        <v>0</v>
      </c>
      <c r="EU44" s="116">
        <v>0</v>
      </c>
      <c r="EV44" s="120">
        <v>0</v>
      </c>
      <c r="EW44" s="121">
        <f>SUM(ET44:EV44)</f>
        <v>0</v>
      </c>
      <c r="EX44" s="91"/>
      <c r="EY44" s="304"/>
      <c r="EZ44" s="300" t="s">
        <v>23</v>
      </c>
      <c r="FA44" s="82" t="s">
        <v>20</v>
      </c>
      <c r="FB44" s="115">
        <v>0</v>
      </c>
      <c r="FC44" s="116">
        <v>0</v>
      </c>
      <c r="FD44" s="116">
        <v>0</v>
      </c>
      <c r="FE44" s="117">
        <v>0</v>
      </c>
      <c r="FF44" s="118">
        <v>0</v>
      </c>
      <c r="FG44" s="93">
        <f>SUM(FB44:FF44)</f>
        <v>0</v>
      </c>
      <c r="FH44" s="119">
        <v>0</v>
      </c>
      <c r="FI44" s="116">
        <v>0</v>
      </c>
      <c r="FJ44" s="120">
        <v>0</v>
      </c>
      <c r="FK44" s="121">
        <f>SUM(FH44:FJ44)</f>
        <v>0</v>
      </c>
      <c r="FL44" s="147"/>
      <c r="FM44" s="304"/>
      <c r="FN44" s="300" t="s">
        <v>23</v>
      </c>
      <c r="FO44" s="82" t="s">
        <v>20</v>
      </c>
      <c r="FP44" s="115">
        <f t="shared" ref="FP44:FP45" si="276">SUM(D44+R44+AF44+AT44+BH44+BV44+CJ44+CX44+DL44+DZ44+EN44+FB44)</f>
        <v>695</v>
      </c>
      <c r="FQ44" s="115">
        <f t="shared" ref="FQ44:FQ45" si="277">SUM(E44+S44+AG44+AU44+BI44+BW44+CK44+CY44+DM44+EA44+EO44+FC44)</f>
        <v>0</v>
      </c>
      <c r="FR44" s="115">
        <f t="shared" ref="FR44:FR45" si="278">SUM(F44+T44+AH44+AV44+BJ44+BX44+CL44+CZ44+DN44+EB44+EP44+FD44)</f>
        <v>0</v>
      </c>
      <c r="FS44" s="150">
        <f t="shared" ref="FS44:FS45" si="279">SUM(G44+U44+AI44+AW44+BK44+BY44+CM44+DA44+DO44+EC44+EQ44+FE44)</f>
        <v>0</v>
      </c>
      <c r="FT44" s="115">
        <f t="shared" ref="FT44:FT45" si="280">SUM(H44+V44+AJ44+AX44+BL44+BZ44+CN44+DB44+DP44+ED44+ER44+FF44)</f>
        <v>179</v>
      </c>
      <c r="FU44" s="93">
        <f>SUM(FP44:FT44)</f>
        <v>874</v>
      </c>
      <c r="FV44" s="119">
        <f t="shared" ref="FV44:FV45" si="281">SUM(J44+X44+AL44+AZ44+BN44+CB44+CP44+DD44+DR44+EF44+ET44+FH44)</f>
        <v>21</v>
      </c>
      <c r="FW44" s="119">
        <f t="shared" ref="FW44:FW45" si="282">SUM(K44+Y44+AM44+BA44+BO44+CC44+CQ44+DE44+DS44+EG44+EU44+FI44)</f>
        <v>9</v>
      </c>
      <c r="FX44" s="119">
        <f t="shared" ref="FX44:FX45" si="283">SUM(L44+Z44+AN44+BB44+BP44+CD44+CR44+DF44+DT44+EH44+EV44+FJ44)</f>
        <v>0</v>
      </c>
      <c r="FY44" s="122">
        <f>SUM(FV44:FX44)</f>
        <v>30</v>
      </c>
      <c r="FZ44" s="95"/>
      <c r="GA44" s="91"/>
    </row>
    <row r="45" spans="1:183" ht="20.100000000000001" customHeight="1" thickBot="1" x14ac:dyDescent="0.3">
      <c r="A45" s="304"/>
      <c r="B45" s="294"/>
      <c r="C45" s="97" t="s">
        <v>21</v>
      </c>
      <c r="D45" s="202">
        <v>80</v>
      </c>
      <c r="E45" s="203">
        <v>0</v>
      </c>
      <c r="F45" s="203">
        <v>0</v>
      </c>
      <c r="G45" s="203">
        <v>0</v>
      </c>
      <c r="H45" s="204">
        <v>25</v>
      </c>
      <c r="I45" s="205">
        <v>105</v>
      </c>
      <c r="J45" s="203">
        <v>4</v>
      </c>
      <c r="K45" s="203">
        <v>0</v>
      </c>
      <c r="L45" s="204">
        <v>0</v>
      </c>
      <c r="M45" s="104">
        <f>SUM(J45:L45)</f>
        <v>4</v>
      </c>
      <c r="N45" s="61"/>
      <c r="O45" s="304"/>
      <c r="P45" s="294"/>
      <c r="Q45" s="97" t="s">
        <v>21</v>
      </c>
      <c r="R45" s="202">
        <v>114</v>
      </c>
      <c r="S45" s="203">
        <v>0</v>
      </c>
      <c r="T45" s="203">
        <v>0</v>
      </c>
      <c r="U45" s="203">
        <v>0</v>
      </c>
      <c r="V45" s="204">
        <v>17</v>
      </c>
      <c r="W45" s="205">
        <v>131</v>
      </c>
      <c r="X45" s="203">
        <v>1</v>
      </c>
      <c r="Y45" s="203">
        <v>0</v>
      </c>
      <c r="Z45" s="204">
        <v>0</v>
      </c>
      <c r="AA45" s="104">
        <f>SUM(X45:Z45)</f>
        <v>1</v>
      </c>
      <c r="AB45" s="61"/>
      <c r="AC45" s="304"/>
      <c r="AD45" s="294"/>
      <c r="AE45" s="97" t="s">
        <v>21</v>
      </c>
      <c r="AF45" s="202">
        <v>141</v>
      </c>
      <c r="AG45" s="203">
        <v>0</v>
      </c>
      <c r="AH45" s="203">
        <v>0</v>
      </c>
      <c r="AI45" s="203">
        <v>0</v>
      </c>
      <c r="AJ45" s="204">
        <v>0</v>
      </c>
      <c r="AK45" s="205">
        <v>141</v>
      </c>
      <c r="AL45" s="203">
        <v>0</v>
      </c>
      <c r="AM45" s="203">
        <v>0</v>
      </c>
      <c r="AN45" s="204">
        <v>0</v>
      </c>
      <c r="AO45" s="104">
        <f>SUM(AL45:AN45)</f>
        <v>0</v>
      </c>
      <c r="AP45" s="61"/>
      <c r="AQ45" s="304"/>
      <c r="AR45" s="294"/>
      <c r="AS45" s="97" t="s">
        <v>21</v>
      </c>
      <c r="AT45" s="202">
        <v>65</v>
      </c>
      <c r="AU45" s="203">
        <v>0</v>
      </c>
      <c r="AV45" s="203">
        <v>0</v>
      </c>
      <c r="AW45" s="203">
        <v>0</v>
      </c>
      <c r="AX45" s="204">
        <v>0</v>
      </c>
      <c r="AY45" s="205">
        <v>65</v>
      </c>
      <c r="AZ45" s="203">
        <v>0</v>
      </c>
      <c r="BA45" s="203">
        <v>0</v>
      </c>
      <c r="BB45" s="204">
        <v>0</v>
      </c>
      <c r="BC45" s="208">
        <v>0</v>
      </c>
      <c r="BD45" s="61"/>
      <c r="BE45" s="304"/>
      <c r="BF45" s="294"/>
      <c r="BG45" s="97" t="s">
        <v>21</v>
      </c>
      <c r="BH45" s="202">
        <v>49</v>
      </c>
      <c r="BI45" s="203">
        <v>0</v>
      </c>
      <c r="BJ45" s="203">
        <v>0</v>
      </c>
      <c r="BK45" s="203">
        <v>0</v>
      </c>
      <c r="BL45" s="204">
        <v>56</v>
      </c>
      <c r="BM45" s="205">
        <v>105</v>
      </c>
      <c r="BN45" s="203">
        <v>5</v>
      </c>
      <c r="BO45" s="203">
        <v>5</v>
      </c>
      <c r="BP45" s="204">
        <v>0</v>
      </c>
      <c r="BQ45" s="104">
        <f>SUM(BN45:BP45)</f>
        <v>10</v>
      </c>
      <c r="BR45" s="61"/>
      <c r="BS45" s="304"/>
      <c r="BT45" s="294"/>
      <c r="BU45" s="97" t="s">
        <v>21</v>
      </c>
      <c r="BV45" s="202">
        <v>34</v>
      </c>
      <c r="BW45" s="203">
        <v>0</v>
      </c>
      <c r="BX45" s="203">
        <v>0</v>
      </c>
      <c r="BY45" s="203">
        <v>0</v>
      </c>
      <c r="BZ45" s="204">
        <v>14</v>
      </c>
      <c r="CA45" s="205">
        <v>48</v>
      </c>
      <c r="CB45" s="203">
        <v>0</v>
      </c>
      <c r="CC45" s="203">
        <v>0</v>
      </c>
      <c r="CD45" s="204">
        <v>0</v>
      </c>
      <c r="CE45" s="104">
        <f>SUM(CB45:CD45)</f>
        <v>0</v>
      </c>
      <c r="CF45" s="61"/>
      <c r="CG45" s="304"/>
      <c r="CH45" s="294"/>
      <c r="CI45" s="97" t="s">
        <v>21</v>
      </c>
      <c r="CJ45" s="202">
        <v>88</v>
      </c>
      <c r="CK45" s="203">
        <v>0</v>
      </c>
      <c r="CL45" s="203">
        <v>0</v>
      </c>
      <c r="CM45" s="203">
        <v>0</v>
      </c>
      <c r="CN45" s="204">
        <v>14</v>
      </c>
      <c r="CO45" s="205">
        <v>102</v>
      </c>
      <c r="CP45" s="203">
        <v>1</v>
      </c>
      <c r="CQ45" s="203">
        <v>0</v>
      </c>
      <c r="CR45" s="204">
        <v>0</v>
      </c>
      <c r="CS45" s="208">
        <v>1</v>
      </c>
      <c r="CT45" s="61"/>
      <c r="CU45" s="304"/>
      <c r="CV45" s="294"/>
      <c r="CW45" s="97" t="s">
        <v>21</v>
      </c>
      <c r="CX45" s="255">
        <v>34</v>
      </c>
      <c r="CY45" s="256">
        <v>0</v>
      </c>
      <c r="CZ45" s="256">
        <v>0</v>
      </c>
      <c r="DA45" s="256">
        <v>0</v>
      </c>
      <c r="DB45" s="257">
        <v>14</v>
      </c>
      <c r="DC45" s="284">
        <v>48</v>
      </c>
      <c r="DD45" s="256">
        <v>0</v>
      </c>
      <c r="DE45" s="256">
        <v>0</v>
      </c>
      <c r="DF45" s="257">
        <v>0</v>
      </c>
      <c r="DG45" s="104">
        <f>SUM(DD45:DF45)</f>
        <v>0</v>
      </c>
      <c r="DH45" s="61"/>
      <c r="DI45" s="304"/>
      <c r="DJ45" s="294"/>
      <c r="DK45" s="97" t="s">
        <v>21</v>
      </c>
      <c r="DL45" s="274">
        <v>13</v>
      </c>
      <c r="DM45" s="260">
        <v>0</v>
      </c>
      <c r="DN45" s="260">
        <v>0</v>
      </c>
      <c r="DO45" s="260">
        <v>0</v>
      </c>
      <c r="DP45" s="275">
        <v>21</v>
      </c>
      <c r="DQ45" s="258">
        <v>34</v>
      </c>
      <c r="DR45" s="259">
        <v>1</v>
      </c>
      <c r="DS45" s="260">
        <v>0</v>
      </c>
      <c r="DT45" s="261">
        <v>0</v>
      </c>
      <c r="DU45" s="289">
        <v>1</v>
      </c>
      <c r="DV45" s="61"/>
      <c r="DW45" s="304"/>
      <c r="DX45" s="294"/>
      <c r="DY45" s="97" t="s">
        <v>21</v>
      </c>
      <c r="DZ45" s="202">
        <v>33</v>
      </c>
      <c r="EA45" s="203">
        <v>0</v>
      </c>
      <c r="EB45" s="203">
        <v>0</v>
      </c>
      <c r="EC45" s="203">
        <v>0</v>
      </c>
      <c r="ED45" s="204">
        <v>31</v>
      </c>
      <c r="EE45" s="205">
        <v>64</v>
      </c>
      <c r="EF45" s="203">
        <v>0</v>
      </c>
      <c r="EG45" s="203">
        <v>0</v>
      </c>
      <c r="EH45" s="204">
        <v>0</v>
      </c>
      <c r="EI45" s="208">
        <v>0</v>
      </c>
      <c r="EJ45" s="61"/>
      <c r="EK45" s="304"/>
      <c r="EL45" s="294"/>
      <c r="EM45" s="97" t="s">
        <v>21</v>
      </c>
      <c r="EN45" s="98">
        <v>0</v>
      </c>
      <c r="EO45" s="99">
        <v>0</v>
      </c>
      <c r="EP45" s="99">
        <v>0</v>
      </c>
      <c r="EQ45" s="99">
        <v>0</v>
      </c>
      <c r="ER45" s="100">
        <v>0</v>
      </c>
      <c r="ES45" s="101">
        <f>SUM(EN45:ER45)</f>
        <v>0</v>
      </c>
      <c r="ET45" s="102">
        <v>0</v>
      </c>
      <c r="EU45" s="99">
        <v>0</v>
      </c>
      <c r="EV45" s="103">
        <v>0</v>
      </c>
      <c r="EW45" s="104">
        <f>SUM(ET45:EV45)</f>
        <v>0</v>
      </c>
      <c r="EX45" s="61"/>
      <c r="EY45" s="304"/>
      <c r="EZ45" s="294"/>
      <c r="FA45" s="97" t="s">
        <v>21</v>
      </c>
      <c r="FB45" s="98">
        <v>0</v>
      </c>
      <c r="FC45" s="99">
        <v>0</v>
      </c>
      <c r="FD45" s="99">
        <v>0</v>
      </c>
      <c r="FE45" s="99">
        <v>0</v>
      </c>
      <c r="FF45" s="100">
        <v>0</v>
      </c>
      <c r="FG45" s="101">
        <f>SUM(FB45:FF45)</f>
        <v>0</v>
      </c>
      <c r="FH45" s="102">
        <v>0</v>
      </c>
      <c r="FI45" s="99">
        <v>0</v>
      </c>
      <c r="FJ45" s="103">
        <v>0</v>
      </c>
      <c r="FK45" s="104">
        <f>SUM(FH45:FJ45)</f>
        <v>0</v>
      </c>
      <c r="FM45" s="304"/>
      <c r="FN45" s="294"/>
      <c r="FO45" s="97" t="s">
        <v>21</v>
      </c>
      <c r="FP45" s="115">
        <f t="shared" si="276"/>
        <v>651</v>
      </c>
      <c r="FQ45" s="115">
        <f t="shared" si="277"/>
        <v>0</v>
      </c>
      <c r="FR45" s="115">
        <f t="shared" si="278"/>
        <v>0</v>
      </c>
      <c r="FS45" s="115">
        <f t="shared" si="279"/>
        <v>0</v>
      </c>
      <c r="FT45" s="115">
        <f t="shared" si="280"/>
        <v>192</v>
      </c>
      <c r="FU45" s="101">
        <f>SUM(FP45:FT45)</f>
        <v>843</v>
      </c>
      <c r="FV45" s="119">
        <f t="shared" si="281"/>
        <v>12</v>
      </c>
      <c r="FW45" s="119">
        <f t="shared" si="282"/>
        <v>5</v>
      </c>
      <c r="FX45" s="119">
        <f t="shared" si="283"/>
        <v>0</v>
      </c>
      <c r="FY45" s="106">
        <f>SUM(FV45:FX45)</f>
        <v>17</v>
      </c>
      <c r="GA45" s="61"/>
    </row>
    <row r="46" spans="1:183" ht="20.100000000000001" customHeight="1" thickBot="1" x14ac:dyDescent="0.3">
      <c r="A46" s="305"/>
      <c r="B46" s="301" t="s">
        <v>24</v>
      </c>
      <c r="C46" s="310"/>
      <c r="D46" s="107">
        <f t="shared" ref="D46:M46" si="284">SUM(D44:D45)</f>
        <v>174</v>
      </c>
      <c r="E46" s="108">
        <f t="shared" si="284"/>
        <v>0</v>
      </c>
      <c r="F46" s="108">
        <f t="shared" si="284"/>
        <v>0</v>
      </c>
      <c r="G46" s="108">
        <f t="shared" si="284"/>
        <v>0</v>
      </c>
      <c r="H46" s="109">
        <f t="shared" si="284"/>
        <v>44</v>
      </c>
      <c r="I46" s="110">
        <f t="shared" si="284"/>
        <v>218</v>
      </c>
      <c r="J46" s="111">
        <f t="shared" si="284"/>
        <v>13</v>
      </c>
      <c r="K46" s="108">
        <f t="shared" si="284"/>
        <v>0</v>
      </c>
      <c r="L46" s="109">
        <f t="shared" si="284"/>
        <v>0</v>
      </c>
      <c r="M46" s="112">
        <f t="shared" si="284"/>
        <v>13</v>
      </c>
      <c r="N46" s="61"/>
      <c r="O46" s="305"/>
      <c r="P46" s="301" t="s">
        <v>24</v>
      </c>
      <c r="Q46" s="310"/>
      <c r="R46" s="107">
        <f t="shared" ref="R46:AA46" si="285">SUM(R44:R45)</f>
        <v>234</v>
      </c>
      <c r="S46" s="108">
        <f t="shared" si="285"/>
        <v>0</v>
      </c>
      <c r="T46" s="108">
        <f t="shared" si="285"/>
        <v>0</v>
      </c>
      <c r="U46" s="108">
        <f t="shared" si="285"/>
        <v>0</v>
      </c>
      <c r="V46" s="109">
        <f t="shared" si="285"/>
        <v>31</v>
      </c>
      <c r="W46" s="110">
        <f t="shared" si="285"/>
        <v>265</v>
      </c>
      <c r="X46" s="111">
        <f t="shared" si="285"/>
        <v>3</v>
      </c>
      <c r="Y46" s="108">
        <f t="shared" si="285"/>
        <v>0</v>
      </c>
      <c r="Z46" s="109">
        <f t="shared" si="285"/>
        <v>0</v>
      </c>
      <c r="AA46" s="112">
        <f t="shared" si="285"/>
        <v>3</v>
      </c>
      <c r="AB46" s="61"/>
      <c r="AC46" s="305"/>
      <c r="AD46" s="301" t="s">
        <v>24</v>
      </c>
      <c r="AE46" s="310"/>
      <c r="AF46" s="206">
        <v>293</v>
      </c>
      <c r="AG46" s="207">
        <v>0</v>
      </c>
      <c r="AH46" s="207">
        <v>0</v>
      </c>
      <c r="AI46" s="207">
        <v>0</v>
      </c>
      <c r="AJ46" s="208">
        <v>0</v>
      </c>
      <c r="AK46" s="209">
        <v>293</v>
      </c>
      <c r="AL46" s="207">
        <v>0</v>
      </c>
      <c r="AM46" s="207">
        <v>0</v>
      </c>
      <c r="AN46" s="208">
        <v>0</v>
      </c>
      <c r="AO46" s="112">
        <f t="shared" ref="AO46" si="286">SUM(AO44:AO45)</f>
        <v>0</v>
      </c>
      <c r="AP46" s="61"/>
      <c r="AQ46" s="305"/>
      <c r="AR46" s="301" t="s">
        <v>24</v>
      </c>
      <c r="AS46" s="310"/>
      <c r="AT46" s="206">
        <v>134</v>
      </c>
      <c r="AU46" s="207">
        <v>0</v>
      </c>
      <c r="AV46" s="207">
        <v>0</v>
      </c>
      <c r="AW46" s="207">
        <v>0</v>
      </c>
      <c r="AX46" s="208">
        <v>0</v>
      </c>
      <c r="AY46" s="209">
        <v>134</v>
      </c>
      <c r="AZ46" s="207">
        <v>0</v>
      </c>
      <c r="BA46" s="207">
        <v>0</v>
      </c>
      <c r="BB46" s="208">
        <v>0</v>
      </c>
      <c r="BC46" s="243">
        <v>0</v>
      </c>
      <c r="BD46" s="61"/>
      <c r="BE46" s="305"/>
      <c r="BF46" s="301" t="s">
        <v>24</v>
      </c>
      <c r="BG46" s="310"/>
      <c r="BH46" s="107">
        <f t="shared" ref="BH46:BQ46" si="287">SUM(BH44:BH45)</f>
        <v>107</v>
      </c>
      <c r="BI46" s="108">
        <f t="shared" si="287"/>
        <v>0</v>
      </c>
      <c r="BJ46" s="108">
        <f t="shared" si="287"/>
        <v>0</v>
      </c>
      <c r="BK46" s="108">
        <f t="shared" si="287"/>
        <v>0</v>
      </c>
      <c r="BL46" s="109">
        <f t="shared" si="287"/>
        <v>103</v>
      </c>
      <c r="BM46" s="110">
        <f t="shared" si="287"/>
        <v>210</v>
      </c>
      <c r="BN46" s="111">
        <f t="shared" si="287"/>
        <v>10</v>
      </c>
      <c r="BO46" s="108">
        <f t="shared" si="287"/>
        <v>13</v>
      </c>
      <c r="BP46" s="109">
        <f t="shared" si="287"/>
        <v>0</v>
      </c>
      <c r="BQ46" s="112">
        <f t="shared" si="287"/>
        <v>23</v>
      </c>
      <c r="BR46" s="61"/>
      <c r="BS46" s="305"/>
      <c r="BT46" s="301" t="s">
        <v>24</v>
      </c>
      <c r="BU46" s="310"/>
      <c r="BV46" s="206">
        <v>64</v>
      </c>
      <c r="BW46" s="207">
        <v>0</v>
      </c>
      <c r="BX46" s="207">
        <v>0</v>
      </c>
      <c r="BY46" s="207">
        <v>0</v>
      </c>
      <c r="BZ46" s="208">
        <v>30</v>
      </c>
      <c r="CA46" s="209">
        <v>94</v>
      </c>
      <c r="CB46" s="207">
        <v>0</v>
      </c>
      <c r="CC46" s="207">
        <v>0</v>
      </c>
      <c r="CD46" s="208">
        <v>0</v>
      </c>
      <c r="CE46" s="112">
        <f t="shared" ref="CE46" si="288">SUM(CE44:CE45)</f>
        <v>0</v>
      </c>
      <c r="CF46" s="61"/>
      <c r="CG46" s="305"/>
      <c r="CH46" s="301" t="s">
        <v>24</v>
      </c>
      <c r="CI46" s="310"/>
      <c r="CJ46" s="206">
        <v>185</v>
      </c>
      <c r="CK46" s="207">
        <v>0</v>
      </c>
      <c r="CL46" s="207">
        <v>0</v>
      </c>
      <c r="CM46" s="207">
        <v>0</v>
      </c>
      <c r="CN46" s="208">
        <v>25</v>
      </c>
      <c r="CO46" s="209">
        <v>210</v>
      </c>
      <c r="CP46" s="207">
        <v>5</v>
      </c>
      <c r="CQ46" s="207">
        <v>0</v>
      </c>
      <c r="CR46" s="208">
        <v>0</v>
      </c>
      <c r="CS46" s="243">
        <v>5</v>
      </c>
      <c r="CT46" s="61"/>
      <c r="CU46" s="305"/>
      <c r="CV46" s="301" t="s">
        <v>24</v>
      </c>
      <c r="CW46" s="310"/>
      <c r="CX46" s="262">
        <f t="shared" ref="CX46:DF46" si="289">SUM(CX44:CX45)</f>
        <v>64</v>
      </c>
      <c r="CY46" s="263">
        <f t="shared" si="289"/>
        <v>0</v>
      </c>
      <c r="CZ46" s="263">
        <f t="shared" si="289"/>
        <v>0</v>
      </c>
      <c r="DA46" s="263">
        <f t="shared" si="289"/>
        <v>0</v>
      </c>
      <c r="DB46" s="264">
        <f t="shared" si="289"/>
        <v>30</v>
      </c>
      <c r="DC46" s="265">
        <f t="shared" si="289"/>
        <v>94</v>
      </c>
      <c r="DD46" s="266">
        <f t="shared" si="289"/>
        <v>0</v>
      </c>
      <c r="DE46" s="263">
        <f t="shared" si="289"/>
        <v>0</v>
      </c>
      <c r="DF46" s="264">
        <f t="shared" si="289"/>
        <v>0</v>
      </c>
      <c r="DG46" s="112">
        <f t="shared" ref="DG46" si="290">SUM(DG44:DG45)</f>
        <v>0</v>
      </c>
      <c r="DH46" s="61"/>
      <c r="DI46" s="305"/>
      <c r="DJ46" s="301" t="s">
        <v>24</v>
      </c>
      <c r="DK46" s="310"/>
      <c r="DL46" s="262">
        <v>27</v>
      </c>
      <c r="DM46" s="263">
        <v>0</v>
      </c>
      <c r="DN46" s="263">
        <v>0</v>
      </c>
      <c r="DO46" s="263">
        <v>0</v>
      </c>
      <c r="DP46" s="264">
        <v>51</v>
      </c>
      <c r="DQ46" s="265">
        <v>78</v>
      </c>
      <c r="DR46" s="266">
        <v>2</v>
      </c>
      <c r="DS46" s="263">
        <v>1</v>
      </c>
      <c r="DT46" s="264">
        <v>0</v>
      </c>
      <c r="DU46" s="290">
        <v>3</v>
      </c>
      <c r="DV46" s="61"/>
      <c r="DW46" s="305"/>
      <c r="DX46" s="301" t="s">
        <v>24</v>
      </c>
      <c r="DY46" s="310"/>
      <c r="DZ46" s="206">
        <v>64</v>
      </c>
      <c r="EA46" s="207">
        <v>0</v>
      </c>
      <c r="EB46" s="207">
        <v>0</v>
      </c>
      <c r="EC46" s="207">
        <v>0</v>
      </c>
      <c r="ED46" s="208">
        <v>57</v>
      </c>
      <c r="EE46" s="209">
        <v>121</v>
      </c>
      <c r="EF46" s="207">
        <v>0</v>
      </c>
      <c r="EG46" s="207">
        <v>0</v>
      </c>
      <c r="EH46" s="208">
        <v>0</v>
      </c>
      <c r="EI46" s="243">
        <v>0</v>
      </c>
      <c r="EJ46" s="61"/>
      <c r="EK46" s="305"/>
      <c r="EL46" s="301" t="s">
        <v>24</v>
      </c>
      <c r="EM46" s="310"/>
      <c r="EN46" s="107">
        <f t="shared" ref="EN46:EW46" si="291">SUM(EN44:EN45)</f>
        <v>0</v>
      </c>
      <c r="EO46" s="108">
        <f t="shared" si="291"/>
        <v>0</v>
      </c>
      <c r="EP46" s="108">
        <f t="shared" si="291"/>
        <v>0</v>
      </c>
      <c r="EQ46" s="108">
        <f t="shared" si="291"/>
        <v>0</v>
      </c>
      <c r="ER46" s="109">
        <f t="shared" si="291"/>
        <v>0</v>
      </c>
      <c r="ES46" s="110">
        <f t="shared" si="291"/>
        <v>0</v>
      </c>
      <c r="ET46" s="111">
        <f t="shared" si="291"/>
        <v>0</v>
      </c>
      <c r="EU46" s="108">
        <f t="shared" si="291"/>
        <v>0</v>
      </c>
      <c r="EV46" s="109">
        <f t="shared" si="291"/>
        <v>0</v>
      </c>
      <c r="EW46" s="112">
        <f t="shared" si="291"/>
        <v>0</v>
      </c>
      <c r="EX46" s="61"/>
      <c r="EY46" s="305"/>
      <c r="EZ46" s="301" t="s">
        <v>24</v>
      </c>
      <c r="FA46" s="310"/>
      <c r="FB46" s="107">
        <f t="shared" ref="FB46:FK46" si="292">SUM(FB44:FB45)</f>
        <v>0</v>
      </c>
      <c r="FC46" s="108">
        <f t="shared" si="292"/>
        <v>0</v>
      </c>
      <c r="FD46" s="108">
        <f t="shared" si="292"/>
        <v>0</v>
      </c>
      <c r="FE46" s="108">
        <f t="shared" si="292"/>
        <v>0</v>
      </c>
      <c r="FF46" s="109">
        <f t="shared" si="292"/>
        <v>0</v>
      </c>
      <c r="FG46" s="110">
        <f t="shared" si="292"/>
        <v>0</v>
      </c>
      <c r="FH46" s="111">
        <f t="shared" si="292"/>
        <v>0</v>
      </c>
      <c r="FI46" s="108">
        <f t="shared" si="292"/>
        <v>0</v>
      </c>
      <c r="FJ46" s="109">
        <f t="shared" si="292"/>
        <v>0</v>
      </c>
      <c r="FK46" s="112">
        <f t="shared" si="292"/>
        <v>0</v>
      </c>
      <c r="FM46" s="305"/>
      <c r="FN46" s="301" t="s">
        <v>24</v>
      </c>
      <c r="FO46" s="310"/>
      <c r="FP46" s="107">
        <f t="shared" ref="FP46:FY46" si="293">SUM(FP44:FP45)</f>
        <v>1346</v>
      </c>
      <c r="FQ46" s="108">
        <f t="shared" si="293"/>
        <v>0</v>
      </c>
      <c r="FR46" s="108">
        <f t="shared" si="293"/>
        <v>0</v>
      </c>
      <c r="FS46" s="108">
        <f t="shared" si="293"/>
        <v>0</v>
      </c>
      <c r="FT46" s="109">
        <f t="shared" si="293"/>
        <v>371</v>
      </c>
      <c r="FU46" s="113">
        <f t="shared" si="293"/>
        <v>1717</v>
      </c>
      <c r="FV46" s="111">
        <f t="shared" si="293"/>
        <v>33</v>
      </c>
      <c r="FW46" s="108">
        <f t="shared" si="293"/>
        <v>14</v>
      </c>
      <c r="FX46" s="109">
        <f t="shared" si="293"/>
        <v>0</v>
      </c>
      <c r="FY46" s="114">
        <f t="shared" si="293"/>
        <v>47</v>
      </c>
      <c r="GA46" s="61"/>
    </row>
    <row r="47" spans="1:183" ht="20.100000000000001" customHeight="1" thickBot="1" x14ac:dyDescent="0.3">
      <c r="A47" s="297" t="s">
        <v>25</v>
      </c>
      <c r="B47" s="298"/>
      <c r="C47" s="299"/>
      <c r="D47" s="123">
        <f>SUM(D46+D43)</f>
        <v>6097</v>
      </c>
      <c r="E47" s="124">
        <f>SUM(E46+E43)</f>
        <v>359</v>
      </c>
      <c r="F47" s="124">
        <f>SUM(F46+F43)</f>
        <v>811</v>
      </c>
      <c r="G47" s="124">
        <f>SUM(G46+G43)</f>
        <v>3</v>
      </c>
      <c r="H47" s="125">
        <f>SUM(H46+H43)</f>
        <v>956</v>
      </c>
      <c r="I47" s="126">
        <f>SUM(I43+I46)</f>
        <v>8226</v>
      </c>
      <c r="J47" s="127">
        <f>SUM(J46+J43)</f>
        <v>81</v>
      </c>
      <c r="K47" s="128">
        <f>SUM(K46+K43)</f>
        <v>635</v>
      </c>
      <c r="L47" s="129">
        <f>SUM(L46+L43)</f>
        <v>35</v>
      </c>
      <c r="M47" s="130">
        <f>SUM(M46+M43)</f>
        <v>751</v>
      </c>
      <c r="N47" s="61"/>
      <c r="O47" s="297" t="s">
        <v>25</v>
      </c>
      <c r="P47" s="298"/>
      <c r="Q47" s="299"/>
      <c r="R47" s="123">
        <f>SUM(R46+R43)</f>
        <v>7575</v>
      </c>
      <c r="S47" s="124">
        <f>SUM(S46+S43)</f>
        <v>501</v>
      </c>
      <c r="T47" s="124">
        <f>SUM(T46+T43)</f>
        <v>858</v>
      </c>
      <c r="U47" s="124">
        <f>SUM(U46+U43)</f>
        <v>19</v>
      </c>
      <c r="V47" s="125">
        <f>SUM(V46+V43)</f>
        <v>839</v>
      </c>
      <c r="W47" s="126">
        <f>SUM(W43+W46)</f>
        <v>9792</v>
      </c>
      <c r="X47" s="127">
        <f>SUM(X46+X43)</f>
        <v>177</v>
      </c>
      <c r="Y47" s="128">
        <f>SUM(Y46+Y43)</f>
        <v>662</v>
      </c>
      <c r="Z47" s="129">
        <f>SUM(Z46+Z43)</f>
        <v>35</v>
      </c>
      <c r="AA47" s="130">
        <f>SUM(AA46+AA43)</f>
        <v>874</v>
      </c>
      <c r="AB47" s="61"/>
      <c r="AC47" s="297" t="s">
        <v>25</v>
      </c>
      <c r="AD47" s="298"/>
      <c r="AE47" s="299"/>
      <c r="AF47" s="236">
        <v>6917</v>
      </c>
      <c r="AG47" s="237">
        <v>464</v>
      </c>
      <c r="AH47" s="237">
        <v>578</v>
      </c>
      <c r="AI47" s="237">
        <v>19</v>
      </c>
      <c r="AJ47" s="238">
        <v>1121</v>
      </c>
      <c r="AK47" s="239">
        <v>9099</v>
      </c>
      <c r="AL47" s="240">
        <v>314</v>
      </c>
      <c r="AM47" s="240">
        <v>666</v>
      </c>
      <c r="AN47" s="241">
        <v>30</v>
      </c>
      <c r="AO47" s="130">
        <f>SUM(AO46+AO43)</f>
        <v>1010</v>
      </c>
      <c r="AP47" s="61"/>
      <c r="AQ47" s="297" t="s">
        <v>25</v>
      </c>
      <c r="AR47" s="298"/>
      <c r="AS47" s="299"/>
      <c r="AT47" s="123">
        <f>SUM(AT46+AT43)</f>
        <v>6545</v>
      </c>
      <c r="AU47" s="124">
        <f>SUM(AU46+AU43)</f>
        <v>447</v>
      </c>
      <c r="AV47" s="124">
        <f>SUM(AV46+AV43)</f>
        <v>906</v>
      </c>
      <c r="AW47" s="124">
        <f>SUM(AW46+AW43)</f>
        <v>30</v>
      </c>
      <c r="AX47" s="125">
        <f>SUM(AX46+AX43)</f>
        <v>989</v>
      </c>
      <c r="AY47" s="126">
        <f>SUM(AY43+AY46)</f>
        <v>8917</v>
      </c>
      <c r="AZ47" s="127">
        <f>SUM(AZ46+AZ43)</f>
        <v>308</v>
      </c>
      <c r="BA47" s="128">
        <f>SUM(BA46+BA43)</f>
        <v>655</v>
      </c>
      <c r="BB47" s="129">
        <f>SUM(BB46+BB43)</f>
        <v>48</v>
      </c>
      <c r="BC47" s="130">
        <f>SUM(BC46+BC43)</f>
        <v>1011</v>
      </c>
      <c r="BD47" s="61"/>
      <c r="BE47" s="297" t="s">
        <v>25</v>
      </c>
      <c r="BF47" s="298"/>
      <c r="BG47" s="299"/>
      <c r="BH47" s="123">
        <f>SUM(BH46+BH43)</f>
        <v>4627</v>
      </c>
      <c r="BI47" s="124">
        <f>SUM(BI46+BI43)</f>
        <v>109</v>
      </c>
      <c r="BJ47" s="124">
        <f>SUM(BJ46+BJ43)</f>
        <v>456</v>
      </c>
      <c r="BK47" s="124">
        <f>SUM(BK46+BK43)</f>
        <v>18</v>
      </c>
      <c r="BL47" s="125">
        <f>SUM(BL46+BL43)</f>
        <v>1784</v>
      </c>
      <c r="BM47" s="126">
        <f>SUM(BM43+BM46)</f>
        <v>6994</v>
      </c>
      <c r="BN47" s="127">
        <f>SUM(BN46+BN43)</f>
        <v>209</v>
      </c>
      <c r="BO47" s="128">
        <f>SUM(BO46+BO43)</f>
        <v>634</v>
      </c>
      <c r="BP47" s="129">
        <f>SUM(BP46+BP43)</f>
        <v>62</v>
      </c>
      <c r="BQ47" s="130">
        <f>SUM(BQ46+BQ43)</f>
        <v>905</v>
      </c>
      <c r="BR47" s="61"/>
      <c r="BS47" s="297" t="s">
        <v>25</v>
      </c>
      <c r="BT47" s="298"/>
      <c r="BU47" s="299"/>
      <c r="BV47" s="236">
        <v>4215</v>
      </c>
      <c r="BW47" s="237">
        <v>372</v>
      </c>
      <c r="BX47" s="237">
        <v>357</v>
      </c>
      <c r="BY47" s="237">
        <v>15</v>
      </c>
      <c r="BZ47" s="238">
        <v>837</v>
      </c>
      <c r="CA47" s="239">
        <v>5796</v>
      </c>
      <c r="CB47" s="240">
        <v>161</v>
      </c>
      <c r="CC47" s="240">
        <v>384</v>
      </c>
      <c r="CD47" s="241">
        <v>20</v>
      </c>
      <c r="CE47" s="130">
        <f>SUM(CE46+CE43)</f>
        <v>565</v>
      </c>
      <c r="CF47" s="61"/>
      <c r="CG47" s="297" t="s">
        <v>25</v>
      </c>
      <c r="CH47" s="298"/>
      <c r="CI47" s="299"/>
      <c r="CJ47" s="236">
        <v>6347</v>
      </c>
      <c r="CK47" s="237">
        <v>494</v>
      </c>
      <c r="CL47" s="237">
        <v>826</v>
      </c>
      <c r="CM47" s="237">
        <v>13</v>
      </c>
      <c r="CN47" s="238">
        <v>641</v>
      </c>
      <c r="CO47" s="239">
        <v>8321</v>
      </c>
      <c r="CP47" s="240">
        <v>88</v>
      </c>
      <c r="CQ47" s="240">
        <v>645</v>
      </c>
      <c r="CR47" s="241">
        <v>0</v>
      </c>
      <c r="CS47" s="241">
        <v>733</v>
      </c>
      <c r="CT47" s="61"/>
      <c r="CU47" s="297" t="s">
        <v>25</v>
      </c>
      <c r="CV47" s="298"/>
      <c r="CW47" s="299"/>
      <c r="CX47" s="276">
        <f t="shared" ref="CX47:DB47" si="294">SUM(CX46+CX43)</f>
        <v>4215</v>
      </c>
      <c r="CY47" s="277">
        <f t="shared" si="294"/>
        <v>372</v>
      </c>
      <c r="CZ47" s="277">
        <f t="shared" si="294"/>
        <v>357</v>
      </c>
      <c r="DA47" s="277">
        <f t="shared" si="294"/>
        <v>15</v>
      </c>
      <c r="DB47" s="278">
        <f t="shared" si="294"/>
        <v>837</v>
      </c>
      <c r="DC47" s="279">
        <f>SUM(DC43+DC46)</f>
        <v>5796</v>
      </c>
      <c r="DD47" s="280">
        <f t="shared" ref="DD47:DF47" si="295">SUM(DD46+DD43)</f>
        <v>161</v>
      </c>
      <c r="DE47" s="281">
        <f t="shared" si="295"/>
        <v>384</v>
      </c>
      <c r="DF47" s="282">
        <f t="shared" si="295"/>
        <v>20</v>
      </c>
      <c r="DG47" s="130">
        <f>SUM(DG46+DG43)</f>
        <v>565</v>
      </c>
      <c r="DH47" s="61"/>
      <c r="DI47" s="297" t="s">
        <v>25</v>
      </c>
      <c r="DJ47" s="298"/>
      <c r="DK47" s="299"/>
      <c r="DL47" s="276">
        <v>4926</v>
      </c>
      <c r="DM47" s="277">
        <v>378</v>
      </c>
      <c r="DN47" s="277">
        <v>262</v>
      </c>
      <c r="DO47" s="277">
        <v>23</v>
      </c>
      <c r="DP47" s="278">
        <v>256</v>
      </c>
      <c r="DQ47" s="279">
        <v>5845</v>
      </c>
      <c r="DR47" s="280">
        <v>124</v>
      </c>
      <c r="DS47" s="281">
        <v>480</v>
      </c>
      <c r="DT47" s="282">
        <v>3</v>
      </c>
      <c r="DU47" s="292">
        <v>607</v>
      </c>
      <c r="DV47" s="61"/>
      <c r="DW47" s="297" t="s">
        <v>25</v>
      </c>
      <c r="DX47" s="298"/>
      <c r="DY47" s="299"/>
      <c r="DZ47" s="236">
        <v>5661</v>
      </c>
      <c r="EA47" s="237">
        <v>106</v>
      </c>
      <c r="EB47" s="237">
        <v>745</v>
      </c>
      <c r="EC47" s="237">
        <v>16</v>
      </c>
      <c r="ED47" s="238">
        <v>1527</v>
      </c>
      <c r="EE47" s="239">
        <v>8055</v>
      </c>
      <c r="EF47" s="240">
        <v>170</v>
      </c>
      <c r="EG47" s="240">
        <v>624</v>
      </c>
      <c r="EH47" s="241">
        <v>34</v>
      </c>
      <c r="EI47" s="241">
        <v>828</v>
      </c>
      <c r="EJ47" s="61"/>
      <c r="EK47" s="297" t="s">
        <v>25</v>
      </c>
      <c r="EL47" s="298"/>
      <c r="EM47" s="299"/>
      <c r="EN47" s="123">
        <f>SUM(EN46+EN43)</f>
        <v>0</v>
      </c>
      <c r="EO47" s="124">
        <f>SUM(EO46+EO43)</f>
        <v>0</v>
      </c>
      <c r="EP47" s="124">
        <f>SUM(EP46+EP43)</f>
        <v>0</v>
      </c>
      <c r="EQ47" s="124">
        <f>SUM(EQ46+EQ43)</f>
        <v>0</v>
      </c>
      <c r="ER47" s="125">
        <f>SUM(ER46+ER43)</f>
        <v>0</v>
      </c>
      <c r="ES47" s="126">
        <f>SUM(ES43+ES46)</f>
        <v>0</v>
      </c>
      <c r="ET47" s="127">
        <f>SUM(ET46+ET43)</f>
        <v>0</v>
      </c>
      <c r="EU47" s="128">
        <f>SUM(EU46+EU43)</f>
        <v>0</v>
      </c>
      <c r="EV47" s="129">
        <f>SUM(EV46+EV43)</f>
        <v>0</v>
      </c>
      <c r="EW47" s="130">
        <f>SUM(EW46+EW43)</f>
        <v>0</v>
      </c>
      <c r="EX47" s="61"/>
      <c r="EY47" s="297" t="s">
        <v>25</v>
      </c>
      <c r="EZ47" s="298"/>
      <c r="FA47" s="299"/>
      <c r="FB47" s="123">
        <f>SUM(FB46+FB43)</f>
        <v>0</v>
      </c>
      <c r="FC47" s="124">
        <f>SUM(FC46+FC43)</f>
        <v>0</v>
      </c>
      <c r="FD47" s="124">
        <f>SUM(FD46+FD43)</f>
        <v>0</v>
      </c>
      <c r="FE47" s="124">
        <f>SUM(FE46+FE43)</f>
        <v>0</v>
      </c>
      <c r="FF47" s="125">
        <f>SUM(FF46+FF43)</f>
        <v>0</v>
      </c>
      <c r="FG47" s="126">
        <f>SUM(FG43+FG46)</f>
        <v>0</v>
      </c>
      <c r="FH47" s="127">
        <f>SUM(FH46+FH43)</f>
        <v>0</v>
      </c>
      <c r="FI47" s="128">
        <f>SUM(FI46+FI43)</f>
        <v>0</v>
      </c>
      <c r="FJ47" s="129">
        <f>SUM(FJ46+FJ43)</f>
        <v>0</v>
      </c>
      <c r="FK47" s="130">
        <f>SUM(FK46+FK43)</f>
        <v>0</v>
      </c>
      <c r="FM47" s="297" t="s">
        <v>25</v>
      </c>
      <c r="FN47" s="298"/>
      <c r="FO47" s="299"/>
      <c r="FP47" s="123">
        <f>SUM(FP46+FP43)</f>
        <v>57125</v>
      </c>
      <c r="FQ47" s="124">
        <f>SUM(FQ46+FQ43)</f>
        <v>3602</v>
      </c>
      <c r="FR47" s="124">
        <f>SUM(FR46+FR43)</f>
        <v>6156</v>
      </c>
      <c r="FS47" s="124">
        <f>SUM(FS46+FS43)</f>
        <v>171</v>
      </c>
      <c r="FT47" s="125">
        <f>SUM(FT46+FT43)</f>
        <v>9787</v>
      </c>
      <c r="FU47" s="131">
        <f>SUM(FU43+FU46)</f>
        <v>76841</v>
      </c>
      <c r="FV47" s="132">
        <f>SUM(FV46+FV43)</f>
        <v>1793</v>
      </c>
      <c r="FW47" s="124">
        <f>SUM(FW46+FW43)</f>
        <v>5769</v>
      </c>
      <c r="FX47" s="125">
        <f>SUM(FX46+FX43)</f>
        <v>287</v>
      </c>
      <c r="FY47" s="133">
        <f>SUM(FY46+FY43)</f>
        <v>7849</v>
      </c>
      <c r="GA47" s="61"/>
    </row>
    <row r="48" spans="1:183" s="96" customFormat="1" ht="20.100000000000001" customHeight="1" thickTop="1" thickBot="1" x14ac:dyDescent="0.3">
      <c r="A48" s="303" t="s">
        <v>40</v>
      </c>
      <c r="B48" s="306" t="s">
        <v>5</v>
      </c>
      <c r="C48" s="82" t="s">
        <v>20</v>
      </c>
      <c r="D48" s="197">
        <v>2863</v>
      </c>
      <c r="E48" s="198">
        <v>470</v>
      </c>
      <c r="F48" s="198">
        <v>185</v>
      </c>
      <c r="G48" s="199">
        <v>0</v>
      </c>
      <c r="H48" s="200">
        <v>795</v>
      </c>
      <c r="I48" s="201">
        <v>4313</v>
      </c>
      <c r="J48" s="200">
        <v>612</v>
      </c>
      <c r="K48" s="226">
        <v>1104</v>
      </c>
      <c r="L48" s="200">
        <v>0</v>
      </c>
      <c r="M48" s="90">
        <f>SUM(J48:L48)</f>
        <v>1716</v>
      </c>
      <c r="N48" s="91"/>
      <c r="O48" s="303" t="s">
        <v>40</v>
      </c>
      <c r="P48" s="306" t="s">
        <v>5</v>
      </c>
      <c r="Q48" s="82" t="s">
        <v>20</v>
      </c>
      <c r="R48" s="197">
        <v>2816</v>
      </c>
      <c r="S48" s="198">
        <v>123</v>
      </c>
      <c r="T48" s="198">
        <v>211</v>
      </c>
      <c r="U48" s="199">
        <v>0</v>
      </c>
      <c r="V48" s="200">
        <v>101</v>
      </c>
      <c r="W48" s="201">
        <v>3251</v>
      </c>
      <c r="X48" s="198">
        <v>944</v>
      </c>
      <c r="Y48" s="198">
        <v>1256</v>
      </c>
      <c r="Z48" s="200">
        <v>0</v>
      </c>
      <c r="AA48" s="90">
        <f>SUM(X48:Z48)</f>
        <v>2200</v>
      </c>
      <c r="AB48" s="91"/>
      <c r="AC48" s="303" t="s">
        <v>40</v>
      </c>
      <c r="AD48" s="306" t="s">
        <v>5</v>
      </c>
      <c r="AE48" s="82" t="s">
        <v>20</v>
      </c>
      <c r="AF48" s="210">
        <v>2224</v>
      </c>
      <c r="AG48" s="211">
        <v>325</v>
      </c>
      <c r="AH48" s="211">
        <v>219</v>
      </c>
      <c r="AI48" s="212">
        <v>0</v>
      </c>
      <c r="AJ48" s="213">
        <v>678</v>
      </c>
      <c r="AK48" s="214">
        <v>3446</v>
      </c>
      <c r="AL48" s="211">
        <v>601</v>
      </c>
      <c r="AM48" s="211">
        <v>1256</v>
      </c>
      <c r="AN48" s="213">
        <v>0</v>
      </c>
      <c r="AO48" s="90">
        <f>SUM(AL48:AN48)</f>
        <v>1857</v>
      </c>
      <c r="AP48" s="91"/>
      <c r="AQ48" s="303" t="s">
        <v>40</v>
      </c>
      <c r="AR48" s="306" t="s">
        <v>5</v>
      </c>
      <c r="AS48" s="82" t="s">
        <v>20</v>
      </c>
      <c r="AT48" s="197">
        <v>2857</v>
      </c>
      <c r="AU48" s="198">
        <v>340</v>
      </c>
      <c r="AV48" s="198">
        <v>416</v>
      </c>
      <c r="AW48" s="199">
        <v>0</v>
      </c>
      <c r="AX48" s="200">
        <v>428</v>
      </c>
      <c r="AY48" s="201">
        <v>4041</v>
      </c>
      <c r="AZ48" s="198">
        <v>366</v>
      </c>
      <c r="BA48" s="198">
        <v>749</v>
      </c>
      <c r="BB48" s="200">
        <v>0</v>
      </c>
      <c r="BC48" s="242">
        <v>1115</v>
      </c>
      <c r="BD48" s="91"/>
      <c r="BE48" s="303" t="s">
        <v>40</v>
      </c>
      <c r="BF48" s="306" t="s">
        <v>5</v>
      </c>
      <c r="BG48" s="82" t="s">
        <v>20</v>
      </c>
      <c r="BH48" s="197">
        <v>2757</v>
      </c>
      <c r="BI48" s="198">
        <v>202</v>
      </c>
      <c r="BJ48" s="198">
        <v>238</v>
      </c>
      <c r="BK48" s="199">
        <v>0</v>
      </c>
      <c r="BL48" s="200">
        <v>896</v>
      </c>
      <c r="BM48" s="201">
        <v>4093</v>
      </c>
      <c r="BN48" s="198">
        <v>608</v>
      </c>
      <c r="BO48" s="198">
        <v>950</v>
      </c>
      <c r="BP48" s="200">
        <v>0</v>
      </c>
      <c r="BQ48" s="90">
        <f>SUM(BN48:BP48)</f>
        <v>1558</v>
      </c>
      <c r="BR48" s="91"/>
      <c r="BS48" s="303" t="s">
        <v>40</v>
      </c>
      <c r="BT48" s="306" t="s">
        <v>5</v>
      </c>
      <c r="BU48" s="82" t="s">
        <v>20</v>
      </c>
      <c r="BV48" s="210">
        <v>1585</v>
      </c>
      <c r="BW48" s="211">
        <v>156</v>
      </c>
      <c r="BX48" s="211">
        <v>129</v>
      </c>
      <c r="BY48" s="212">
        <v>0</v>
      </c>
      <c r="BZ48" s="213">
        <v>296</v>
      </c>
      <c r="CA48" s="214">
        <v>2166</v>
      </c>
      <c r="CB48" s="211">
        <v>164</v>
      </c>
      <c r="CC48" s="211">
        <v>666</v>
      </c>
      <c r="CD48" s="213">
        <v>0</v>
      </c>
      <c r="CE48" s="90">
        <f>SUM(CB48:CD48)</f>
        <v>830</v>
      </c>
      <c r="CF48" s="91"/>
      <c r="CG48" s="303" t="s">
        <v>40</v>
      </c>
      <c r="CH48" s="306" t="s">
        <v>5</v>
      </c>
      <c r="CI48" s="82" t="s">
        <v>20</v>
      </c>
      <c r="CJ48" s="210">
        <v>2646</v>
      </c>
      <c r="CK48" s="211">
        <v>359</v>
      </c>
      <c r="CL48" s="211">
        <v>215</v>
      </c>
      <c r="CM48" s="212">
        <v>0</v>
      </c>
      <c r="CN48" s="213">
        <v>785</v>
      </c>
      <c r="CO48" s="214">
        <v>4005</v>
      </c>
      <c r="CP48" s="211">
        <v>613</v>
      </c>
      <c r="CQ48" s="211">
        <v>1389</v>
      </c>
      <c r="CR48" s="213">
        <v>0</v>
      </c>
      <c r="CS48" s="244">
        <v>2002</v>
      </c>
      <c r="CT48" s="91"/>
      <c r="CU48" s="303" t="s">
        <v>40</v>
      </c>
      <c r="CV48" s="306" t="s">
        <v>5</v>
      </c>
      <c r="CW48" s="82" t="s">
        <v>20</v>
      </c>
      <c r="CX48" s="285">
        <v>1585</v>
      </c>
      <c r="CY48" s="253">
        <v>156</v>
      </c>
      <c r="CZ48" s="253">
        <v>129</v>
      </c>
      <c r="DA48" s="286">
        <v>0</v>
      </c>
      <c r="DB48" s="287">
        <v>296</v>
      </c>
      <c r="DC48" s="251">
        <f t="shared" ref="DC48:DC49" si="296">SUM(CX48:DB48)</f>
        <v>2166</v>
      </c>
      <c r="DD48" s="252">
        <v>164</v>
      </c>
      <c r="DE48" s="253">
        <v>666</v>
      </c>
      <c r="DF48" s="254">
        <v>0</v>
      </c>
      <c r="DG48" s="90">
        <f>SUM(DD48:DF48)</f>
        <v>830</v>
      </c>
      <c r="DH48" s="91"/>
      <c r="DI48" s="303" t="s">
        <v>40</v>
      </c>
      <c r="DJ48" s="306" t="s">
        <v>5</v>
      </c>
      <c r="DK48" s="82" t="s">
        <v>20</v>
      </c>
      <c r="DL48" s="285">
        <v>2757</v>
      </c>
      <c r="DM48" s="253">
        <v>87</v>
      </c>
      <c r="DN48" s="253">
        <v>127</v>
      </c>
      <c r="DO48" s="286">
        <v>0</v>
      </c>
      <c r="DP48" s="287">
        <v>798</v>
      </c>
      <c r="DQ48" s="251">
        <f t="shared" ref="DQ48:DQ49" si="297">SUM(DL48:DP48)</f>
        <v>3769</v>
      </c>
      <c r="DR48" s="252">
        <v>555</v>
      </c>
      <c r="DS48" s="253">
        <v>545</v>
      </c>
      <c r="DT48" s="254">
        <v>0</v>
      </c>
      <c r="DU48" s="288">
        <f t="shared" ref="DU48:DU49" si="298">SUM(DR48:DT48)</f>
        <v>1100</v>
      </c>
      <c r="DV48" s="91"/>
      <c r="DW48" s="303" t="s">
        <v>40</v>
      </c>
      <c r="DX48" s="306" t="s">
        <v>5</v>
      </c>
      <c r="DY48" s="82" t="s">
        <v>20</v>
      </c>
      <c r="DZ48" s="197">
        <v>3467</v>
      </c>
      <c r="EA48" s="198">
        <v>439</v>
      </c>
      <c r="EB48" s="198">
        <v>313</v>
      </c>
      <c r="EC48" s="199">
        <v>0</v>
      </c>
      <c r="ED48" s="200">
        <v>485</v>
      </c>
      <c r="EE48" s="201">
        <v>4704</v>
      </c>
      <c r="EF48" s="198">
        <v>600</v>
      </c>
      <c r="EG48" s="198">
        <v>1040</v>
      </c>
      <c r="EH48" s="200">
        <v>0</v>
      </c>
      <c r="EI48" s="242">
        <v>1640</v>
      </c>
      <c r="EJ48" s="91"/>
      <c r="EK48" s="303" t="s">
        <v>40</v>
      </c>
      <c r="EL48" s="306" t="s">
        <v>5</v>
      </c>
      <c r="EM48" s="82" t="s">
        <v>20</v>
      </c>
      <c r="EN48" s="83">
        <v>0</v>
      </c>
      <c r="EO48" s="84">
        <v>0</v>
      </c>
      <c r="EP48" s="84">
        <v>0</v>
      </c>
      <c r="EQ48" s="85">
        <v>0</v>
      </c>
      <c r="ER48" s="86">
        <v>0</v>
      </c>
      <c r="ES48" s="87">
        <f>SUM(EN48:ER48)</f>
        <v>0</v>
      </c>
      <c r="ET48" s="88">
        <v>0</v>
      </c>
      <c r="EU48" s="84">
        <v>0</v>
      </c>
      <c r="EV48" s="89">
        <v>0</v>
      </c>
      <c r="EW48" s="90">
        <f>SUM(ET48:EV48)</f>
        <v>0</v>
      </c>
      <c r="EX48" s="91"/>
      <c r="EY48" s="303" t="s">
        <v>40</v>
      </c>
      <c r="EZ48" s="306" t="s">
        <v>5</v>
      </c>
      <c r="FA48" s="82" t="s">
        <v>20</v>
      </c>
      <c r="FB48" s="83">
        <v>0</v>
      </c>
      <c r="FC48" s="84">
        <v>0</v>
      </c>
      <c r="FD48" s="84">
        <v>0</v>
      </c>
      <c r="FE48" s="85">
        <v>0</v>
      </c>
      <c r="FF48" s="86">
        <v>0</v>
      </c>
      <c r="FG48" s="87">
        <f>SUM(FB48:FF48)</f>
        <v>0</v>
      </c>
      <c r="FH48" s="88">
        <v>0</v>
      </c>
      <c r="FI48" s="84">
        <v>0</v>
      </c>
      <c r="FJ48" s="89">
        <v>0</v>
      </c>
      <c r="FK48" s="90">
        <f>SUM(FH48:FJ48)</f>
        <v>0</v>
      </c>
      <c r="FL48" s="147"/>
      <c r="FM48" s="303" t="str">
        <f>EY48</f>
        <v>الرغامة</v>
      </c>
      <c r="FN48" s="306" t="s">
        <v>5</v>
      </c>
      <c r="FO48" s="82" t="s">
        <v>20</v>
      </c>
      <c r="FP48" s="83">
        <f t="shared" ref="FP48:FP49" si="299">SUM(D48+R48+AF48+AT48+BH48+BV48+CJ48+CX48+DL48+DZ48+EN48+FB48)</f>
        <v>25557</v>
      </c>
      <c r="FQ48" s="83">
        <f t="shared" ref="FQ48:FQ49" si="300">SUM(E48+S48+AG48+AU48+BI48+BW48+CK48+CY48+DM48+EA48+EO48+FC48)</f>
        <v>2657</v>
      </c>
      <c r="FR48" s="83">
        <f t="shared" ref="FR48:FR49" si="301">SUM(F48+T48+AH48+AV48+BJ48+BX48+CL48+CZ48+DN48+EB48+EP48+FD48)</f>
        <v>2182</v>
      </c>
      <c r="FS48" s="149">
        <f t="shared" ref="FS48:FS49" si="302">SUM(G48+U48+AI48+AW48+BK48+BY48+CM48+DA48+DO48+EC48+EQ48+FE48)</f>
        <v>0</v>
      </c>
      <c r="FT48" s="83">
        <f t="shared" ref="FT48:FT49" si="303">SUM(H48+V48+AJ48+AX48+BL48+BZ48+CN48+DB48+DP48+ED48+ER48+FF48)</f>
        <v>5558</v>
      </c>
      <c r="FU48" s="93">
        <f>SUM(FP48:FT48)</f>
        <v>35954</v>
      </c>
      <c r="FV48" s="88">
        <f t="shared" ref="FV48:FV49" si="304">SUM(J48+X48+AL48+AZ48+BN48+CB48+CP48+DD48+DR48+EF48+ET48+FH48)</f>
        <v>5227</v>
      </c>
      <c r="FW48" s="88">
        <f t="shared" ref="FW48:FW49" si="305">SUM(K48+Y48+AM48+BA48+BO48+CC48+CQ48+DE48+DS48+EG48+EU48+FI48)</f>
        <v>9621</v>
      </c>
      <c r="FX48" s="88">
        <f t="shared" ref="FX48:FX49" si="306">SUM(L48+Z48+AN48+BB48+BP48+CD48+CR48+DF48+DT48+EH48+EV48+FJ48)</f>
        <v>0</v>
      </c>
      <c r="FY48" s="94">
        <f>SUM(FV48:FX48)</f>
        <v>14848</v>
      </c>
      <c r="FZ48" s="95"/>
      <c r="GA48" s="91"/>
    </row>
    <row r="49" spans="1:183" s="96" customFormat="1" ht="20.100000000000001" customHeight="1" thickBot="1" x14ac:dyDescent="0.3">
      <c r="A49" s="304"/>
      <c r="B49" s="307"/>
      <c r="C49" s="97" t="s">
        <v>21</v>
      </c>
      <c r="D49" s="202">
        <v>2851</v>
      </c>
      <c r="E49" s="203">
        <v>446</v>
      </c>
      <c r="F49" s="203">
        <v>196</v>
      </c>
      <c r="G49" s="203">
        <v>15</v>
      </c>
      <c r="H49" s="204">
        <v>693</v>
      </c>
      <c r="I49" s="205">
        <v>4201</v>
      </c>
      <c r="J49" s="204">
        <v>648</v>
      </c>
      <c r="K49" s="227">
        <v>1177</v>
      </c>
      <c r="L49" s="204">
        <v>0</v>
      </c>
      <c r="M49" s="104">
        <f>SUM(J49:L49)</f>
        <v>1825</v>
      </c>
      <c r="N49" s="91"/>
      <c r="O49" s="304"/>
      <c r="P49" s="307"/>
      <c r="Q49" s="97" t="s">
        <v>21</v>
      </c>
      <c r="R49" s="202">
        <v>2781</v>
      </c>
      <c r="S49" s="203">
        <v>112</v>
      </c>
      <c r="T49" s="203">
        <v>316</v>
      </c>
      <c r="U49" s="203">
        <v>63</v>
      </c>
      <c r="V49" s="204">
        <v>85</v>
      </c>
      <c r="W49" s="205">
        <v>3357</v>
      </c>
      <c r="X49" s="203">
        <v>1019</v>
      </c>
      <c r="Y49" s="203">
        <v>1389</v>
      </c>
      <c r="Z49" s="204">
        <v>0</v>
      </c>
      <c r="AA49" s="104">
        <f>SUM(X49:Z49)</f>
        <v>2408</v>
      </c>
      <c r="AB49" s="91"/>
      <c r="AC49" s="304"/>
      <c r="AD49" s="307"/>
      <c r="AE49" s="97" t="s">
        <v>21</v>
      </c>
      <c r="AF49" s="202">
        <v>3187</v>
      </c>
      <c r="AG49" s="203">
        <v>345</v>
      </c>
      <c r="AH49" s="203">
        <v>298</v>
      </c>
      <c r="AI49" s="203">
        <v>11</v>
      </c>
      <c r="AJ49" s="204">
        <v>876</v>
      </c>
      <c r="AK49" s="205">
        <v>4717</v>
      </c>
      <c r="AL49" s="203">
        <v>512</v>
      </c>
      <c r="AM49" s="203">
        <v>1889</v>
      </c>
      <c r="AN49" s="204">
        <v>0</v>
      </c>
      <c r="AO49" s="104">
        <f>SUM(AL49:AN49)</f>
        <v>2401</v>
      </c>
      <c r="AP49" s="91"/>
      <c r="AQ49" s="304"/>
      <c r="AR49" s="307"/>
      <c r="AS49" s="97" t="s">
        <v>21</v>
      </c>
      <c r="AT49" s="202">
        <v>3349</v>
      </c>
      <c r="AU49" s="203">
        <v>327</v>
      </c>
      <c r="AV49" s="203">
        <v>275</v>
      </c>
      <c r="AW49" s="203">
        <v>50</v>
      </c>
      <c r="AX49" s="204">
        <v>586</v>
      </c>
      <c r="AY49" s="205">
        <v>4587</v>
      </c>
      <c r="AZ49" s="203">
        <v>410</v>
      </c>
      <c r="BA49" s="203">
        <v>924</v>
      </c>
      <c r="BB49" s="204">
        <v>0</v>
      </c>
      <c r="BC49" s="208">
        <v>1334</v>
      </c>
      <c r="BD49" s="91"/>
      <c r="BE49" s="304"/>
      <c r="BF49" s="307"/>
      <c r="BG49" s="97" t="s">
        <v>21</v>
      </c>
      <c r="BH49" s="202">
        <v>3250</v>
      </c>
      <c r="BI49" s="203">
        <v>199</v>
      </c>
      <c r="BJ49" s="203">
        <v>234</v>
      </c>
      <c r="BK49" s="203">
        <v>7</v>
      </c>
      <c r="BL49" s="204">
        <v>765</v>
      </c>
      <c r="BM49" s="205">
        <v>4455</v>
      </c>
      <c r="BN49" s="203">
        <v>655</v>
      </c>
      <c r="BO49" s="203">
        <v>1030</v>
      </c>
      <c r="BP49" s="204">
        <v>0</v>
      </c>
      <c r="BQ49" s="104">
        <f>SUM(BN49:BP49)</f>
        <v>1685</v>
      </c>
      <c r="BR49" s="91"/>
      <c r="BS49" s="304"/>
      <c r="BT49" s="307"/>
      <c r="BU49" s="97" t="s">
        <v>21</v>
      </c>
      <c r="BV49" s="202">
        <v>1433</v>
      </c>
      <c r="BW49" s="203">
        <v>182</v>
      </c>
      <c r="BX49" s="203">
        <v>176</v>
      </c>
      <c r="BY49" s="203">
        <v>22</v>
      </c>
      <c r="BZ49" s="204">
        <v>235</v>
      </c>
      <c r="CA49" s="205">
        <v>2048</v>
      </c>
      <c r="CB49" s="203">
        <v>185</v>
      </c>
      <c r="CC49" s="203">
        <v>696</v>
      </c>
      <c r="CD49" s="204">
        <v>0</v>
      </c>
      <c r="CE49" s="104">
        <f>SUM(CB49:CD49)</f>
        <v>881</v>
      </c>
      <c r="CF49" s="91"/>
      <c r="CG49" s="304"/>
      <c r="CH49" s="307"/>
      <c r="CI49" s="97" t="s">
        <v>21</v>
      </c>
      <c r="CJ49" s="202">
        <v>2732</v>
      </c>
      <c r="CK49" s="203">
        <v>436</v>
      </c>
      <c r="CL49" s="203">
        <v>219</v>
      </c>
      <c r="CM49" s="203">
        <v>38</v>
      </c>
      <c r="CN49" s="204">
        <v>647</v>
      </c>
      <c r="CO49" s="205">
        <v>4072</v>
      </c>
      <c r="CP49" s="203">
        <v>600</v>
      </c>
      <c r="CQ49" s="203">
        <v>1256</v>
      </c>
      <c r="CR49" s="204">
        <v>0</v>
      </c>
      <c r="CS49" s="208">
        <v>1856</v>
      </c>
      <c r="CT49" s="91"/>
      <c r="CU49" s="304"/>
      <c r="CV49" s="307"/>
      <c r="CW49" s="97" t="s">
        <v>21</v>
      </c>
      <c r="CX49" s="274">
        <v>1433</v>
      </c>
      <c r="CY49" s="260">
        <v>182</v>
      </c>
      <c r="CZ49" s="260">
        <v>176</v>
      </c>
      <c r="DA49" s="260">
        <v>22</v>
      </c>
      <c r="DB49" s="275">
        <v>235</v>
      </c>
      <c r="DC49" s="258">
        <f t="shared" si="296"/>
        <v>2048</v>
      </c>
      <c r="DD49" s="259">
        <v>185</v>
      </c>
      <c r="DE49" s="260">
        <v>696</v>
      </c>
      <c r="DF49" s="261">
        <v>0</v>
      </c>
      <c r="DG49" s="104">
        <f>SUM(DD49:DF49)</f>
        <v>881</v>
      </c>
      <c r="DH49" s="91"/>
      <c r="DI49" s="304"/>
      <c r="DJ49" s="307"/>
      <c r="DK49" s="97" t="s">
        <v>21</v>
      </c>
      <c r="DL49" s="274">
        <v>3250</v>
      </c>
      <c r="DM49" s="260">
        <v>121</v>
      </c>
      <c r="DN49" s="260">
        <v>202</v>
      </c>
      <c r="DO49" s="260">
        <v>9</v>
      </c>
      <c r="DP49" s="275">
        <v>574</v>
      </c>
      <c r="DQ49" s="258">
        <f t="shared" si="297"/>
        <v>4156</v>
      </c>
      <c r="DR49" s="259">
        <v>533</v>
      </c>
      <c r="DS49" s="260">
        <v>770</v>
      </c>
      <c r="DT49" s="261">
        <v>0</v>
      </c>
      <c r="DU49" s="289">
        <f t="shared" si="298"/>
        <v>1303</v>
      </c>
      <c r="DV49" s="91"/>
      <c r="DW49" s="304"/>
      <c r="DX49" s="307"/>
      <c r="DY49" s="97" t="s">
        <v>21</v>
      </c>
      <c r="DZ49" s="202">
        <v>3627</v>
      </c>
      <c r="EA49" s="203">
        <v>378</v>
      </c>
      <c r="EB49" s="203">
        <v>143</v>
      </c>
      <c r="EC49" s="203">
        <v>9</v>
      </c>
      <c r="ED49" s="204">
        <v>658</v>
      </c>
      <c r="EE49" s="205">
        <v>4815</v>
      </c>
      <c r="EF49" s="203">
        <v>632</v>
      </c>
      <c r="EG49" s="203">
        <v>1127</v>
      </c>
      <c r="EH49" s="204">
        <v>0</v>
      </c>
      <c r="EI49" s="208">
        <v>1759</v>
      </c>
      <c r="EJ49" s="91"/>
      <c r="EK49" s="304"/>
      <c r="EL49" s="307"/>
      <c r="EM49" s="97" t="s">
        <v>21</v>
      </c>
      <c r="EN49" s="98">
        <v>0</v>
      </c>
      <c r="EO49" s="99">
        <v>0</v>
      </c>
      <c r="EP49" s="99">
        <v>0</v>
      </c>
      <c r="EQ49" s="99">
        <v>0</v>
      </c>
      <c r="ER49" s="100">
        <v>0</v>
      </c>
      <c r="ES49" s="101">
        <f>SUM(EN49:ER49)</f>
        <v>0</v>
      </c>
      <c r="ET49" s="102">
        <v>0</v>
      </c>
      <c r="EU49" s="99">
        <v>0</v>
      </c>
      <c r="EV49" s="103">
        <v>0</v>
      </c>
      <c r="EW49" s="104">
        <f>SUM(ET49:EV49)</f>
        <v>0</v>
      </c>
      <c r="EX49" s="91"/>
      <c r="EY49" s="304"/>
      <c r="EZ49" s="307"/>
      <c r="FA49" s="97" t="s">
        <v>21</v>
      </c>
      <c r="FB49" s="98">
        <v>0</v>
      </c>
      <c r="FC49" s="99">
        <v>0</v>
      </c>
      <c r="FD49" s="99">
        <v>0</v>
      </c>
      <c r="FE49" s="99">
        <v>0</v>
      </c>
      <c r="FF49" s="100">
        <v>0</v>
      </c>
      <c r="FG49" s="101">
        <f>SUM(FB49:FF49)</f>
        <v>0</v>
      </c>
      <c r="FH49" s="102">
        <v>0</v>
      </c>
      <c r="FI49" s="99">
        <v>0</v>
      </c>
      <c r="FJ49" s="103">
        <v>0</v>
      </c>
      <c r="FK49" s="104">
        <f>SUM(FH49:FJ49)</f>
        <v>0</v>
      </c>
      <c r="FL49" s="147"/>
      <c r="FM49" s="304"/>
      <c r="FN49" s="307"/>
      <c r="FO49" s="97" t="s">
        <v>21</v>
      </c>
      <c r="FP49" s="83">
        <f t="shared" si="299"/>
        <v>27893</v>
      </c>
      <c r="FQ49" s="83">
        <f t="shared" si="300"/>
        <v>2728</v>
      </c>
      <c r="FR49" s="83">
        <f t="shared" si="301"/>
        <v>2235</v>
      </c>
      <c r="FS49" s="83">
        <f t="shared" si="302"/>
        <v>246</v>
      </c>
      <c r="FT49" s="83">
        <f t="shared" si="303"/>
        <v>5354</v>
      </c>
      <c r="FU49" s="101">
        <f>SUM(FP49:FT49)</f>
        <v>38456</v>
      </c>
      <c r="FV49" s="88">
        <f t="shared" si="304"/>
        <v>5379</v>
      </c>
      <c r="FW49" s="88">
        <f t="shared" si="305"/>
        <v>10954</v>
      </c>
      <c r="FX49" s="88">
        <f t="shared" si="306"/>
        <v>0</v>
      </c>
      <c r="FY49" s="106">
        <f>SUM(FV49:FX49)</f>
        <v>16333</v>
      </c>
      <c r="FZ49" s="95"/>
      <c r="GA49" s="91"/>
    </row>
    <row r="50" spans="1:183" s="96" customFormat="1" ht="20.100000000000001" customHeight="1" thickBot="1" x14ac:dyDescent="0.3">
      <c r="A50" s="304"/>
      <c r="B50" s="308" t="s">
        <v>22</v>
      </c>
      <c r="C50" s="311"/>
      <c r="D50" s="206">
        <v>5714</v>
      </c>
      <c r="E50" s="207">
        <v>916</v>
      </c>
      <c r="F50" s="207">
        <v>381</v>
      </c>
      <c r="G50" s="207">
        <v>15</v>
      </c>
      <c r="H50" s="208">
        <v>1488</v>
      </c>
      <c r="I50" s="209">
        <v>8514</v>
      </c>
      <c r="J50" s="208">
        <v>1260</v>
      </c>
      <c r="K50" s="228">
        <v>2281</v>
      </c>
      <c r="L50" s="208">
        <v>0</v>
      </c>
      <c r="M50" s="112">
        <f t="shared" ref="M50" si="307">SUM(M48:M49)</f>
        <v>3541</v>
      </c>
      <c r="N50" s="91"/>
      <c r="O50" s="304"/>
      <c r="P50" s="308" t="s">
        <v>22</v>
      </c>
      <c r="Q50" s="311"/>
      <c r="R50" s="206">
        <v>5597</v>
      </c>
      <c r="S50" s="207">
        <v>235</v>
      </c>
      <c r="T50" s="207">
        <v>527</v>
      </c>
      <c r="U50" s="207">
        <v>63</v>
      </c>
      <c r="V50" s="208">
        <v>186</v>
      </c>
      <c r="W50" s="209">
        <v>6608</v>
      </c>
      <c r="X50" s="207">
        <v>1963</v>
      </c>
      <c r="Y50" s="207">
        <v>2645</v>
      </c>
      <c r="Z50" s="208">
        <v>0</v>
      </c>
      <c r="AA50" s="112">
        <f t="shared" ref="AA50" si="308">SUM(AA48:AA49)</f>
        <v>4608</v>
      </c>
      <c r="AB50" s="91"/>
      <c r="AC50" s="304"/>
      <c r="AD50" s="308" t="s">
        <v>22</v>
      </c>
      <c r="AE50" s="311"/>
      <c r="AF50" s="206">
        <v>5411</v>
      </c>
      <c r="AG50" s="207">
        <v>670</v>
      </c>
      <c r="AH50" s="207">
        <v>517</v>
      </c>
      <c r="AI50" s="207">
        <v>11</v>
      </c>
      <c r="AJ50" s="208">
        <v>1554</v>
      </c>
      <c r="AK50" s="209">
        <v>8163</v>
      </c>
      <c r="AL50" s="207">
        <v>1113</v>
      </c>
      <c r="AM50" s="207">
        <v>3145</v>
      </c>
      <c r="AN50" s="208">
        <v>0</v>
      </c>
      <c r="AO50" s="112">
        <f t="shared" ref="AO50" si="309">SUM(AO48:AO49)</f>
        <v>4258</v>
      </c>
      <c r="AP50" s="91"/>
      <c r="AQ50" s="304"/>
      <c r="AR50" s="308" t="s">
        <v>22</v>
      </c>
      <c r="AS50" s="311"/>
      <c r="AT50" s="206">
        <v>6206</v>
      </c>
      <c r="AU50" s="207">
        <v>667</v>
      </c>
      <c r="AV50" s="207">
        <v>691</v>
      </c>
      <c r="AW50" s="207">
        <v>50</v>
      </c>
      <c r="AX50" s="208">
        <v>1014</v>
      </c>
      <c r="AY50" s="209">
        <v>8628</v>
      </c>
      <c r="AZ50" s="207">
        <v>776</v>
      </c>
      <c r="BA50" s="207">
        <v>1673</v>
      </c>
      <c r="BB50" s="208">
        <v>0</v>
      </c>
      <c r="BC50" s="243">
        <v>2449</v>
      </c>
      <c r="BD50" s="91"/>
      <c r="BE50" s="304"/>
      <c r="BF50" s="308" t="s">
        <v>22</v>
      </c>
      <c r="BG50" s="311"/>
      <c r="BH50" s="206">
        <v>6007</v>
      </c>
      <c r="BI50" s="207">
        <v>401</v>
      </c>
      <c r="BJ50" s="207">
        <v>472</v>
      </c>
      <c r="BK50" s="207">
        <v>7</v>
      </c>
      <c r="BL50" s="208">
        <v>1661</v>
      </c>
      <c r="BM50" s="209">
        <v>8548</v>
      </c>
      <c r="BN50" s="207">
        <v>1263</v>
      </c>
      <c r="BO50" s="207">
        <v>1980</v>
      </c>
      <c r="BP50" s="208">
        <v>0</v>
      </c>
      <c r="BQ50" s="112">
        <f t="shared" ref="BQ50" si="310">SUM(BQ48:BQ49)</f>
        <v>3243</v>
      </c>
      <c r="BR50" s="91"/>
      <c r="BS50" s="304"/>
      <c r="BT50" s="308" t="s">
        <v>22</v>
      </c>
      <c r="BU50" s="311"/>
      <c r="BV50" s="206">
        <v>3018</v>
      </c>
      <c r="BW50" s="207">
        <v>338</v>
      </c>
      <c r="BX50" s="207">
        <v>305</v>
      </c>
      <c r="BY50" s="207">
        <v>22</v>
      </c>
      <c r="BZ50" s="208">
        <v>531</v>
      </c>
      <c r="CA50" s="209">
        <v>4214</v>
      </c>
      <c r="CB50" s="207">
        <v>349</v>
      </c>
      <c r="CC50" s="207">
        <v>1362</v>
      </c>
      <c r="CD50" s="208">
        <v>0</v>
      </c>
      <c r="CE50" s="112">
        <f t="shared" ref="CE50" si="311">SUM(CE48:CE49)</f>
        <v>1711</v>
      </c>
      <c r="CF50" s="91"/>
      <c r="CG50" s="304"/>
      <c r="CH50" s="308" t="s">
        <v>22</v>
      </c>
      <c r="CI50" s="311"/>
      <c r="CJ50" s="206">
        <v>5378</v>
      </c>
      <c r="CK50" s="207">
        <v>795</v>
      </c>
      <c r="CL50" s="207">
        <v>434</v>
      </c>
      <c r="CM50" s="207">
        <v>38</v>
      </c>
      <c r="CN50" s="208">
        <v>1432</v>
      </c>
      <c r="CO50" s="209">
        <v>8077</v>
      </c>
      <c r="CP50" s="207">
        <v>1213</v>
      </c>
      <c r="CQ50" s="207">
        <v>2645</v>
      </c>
      <c r="CR50" s="208">
        <v>0</v>
      </c>
      <c r="CS50" s="243">
        <v>3858</v>
      </c>
      <c r="CT50" s="91"/>
      <c r="CU50" s="304"/>
      <c r="CV50" s="308" t="s">
        <v>22</v>
      </c>
      <c r="CW50" s="311"/>
      <c r="CX50" s="262">
        <f t="shared" ref="CX50:DF50" si="312">SUM(CX48:CX49)</f>
        <v>3018</v>
      </c>
      <c r="CY50" s="263">
        <f t="shared" si="312"/>
        <v>338</v>
      </c>
      <c r="CZ50" s="263">
        <f t="shared" si="312"/>
        <v>305</v>
      </c>
      <c r="DA50" s="263">
        <f t="shared" si="312"/>
        <v>22</v>
      </c>
      <c r="DB50" s="264">
        <f t="shared" si="312"/>
        <v>531</v>
      </c>
      <c r="DC50" s="265">
        <f t="shared" si="312"/>
        <v>4214</v>
      </c>
      <c r="DD50" s="266">
        <f t="shared" si="312"/>
        <v>349</v>
      </c>
      <c r="DE50" s="263">
        <v>1362</v>
      </c>
      <c r="DF50" s="264">
        <f t="shared" si="312"/>
        <v>0</v>
      </c>
      <c r="DG50" s="112">
        <f t="shared" ref="DG50" si="313">SUM(DG48:DG49)</f>
        <v>1711</v>
      </c>
      <c r="DH50" s="91"/>
      <c r="DI50" s="304"/>
      <c r="DJ50" s="308" t="s">
        <v>22</v>
      </c>
      <c r="DK50" s="311"/>
      <c r="DL50" s="262">
        <f t="shared" ref="DL50:DU50" si="314">SUM(DL48:DL49)</f>
        <v>6007</v>
      </c>
      <c r="DM50" s="263">
        <f t="shared" si="314"/>
        <v>208</v>
      </c>
      <c r="DN50" s="263">
        <f t="shared" si="314"/>
        <v>329</v>
      </c>
      <c r="DO50" s="263">
        <f t="shared" si="314"/>
        <v>9</v>
      </c>
      <c r="DP50" s="264">
        <f t="shared" si="314"/>
        <v>1372</v>
      </c>
      <c r="DQ50" s="265">
        <f t="shared" si="314"/>
        <v>7925</v>
      </c>
      <c r="DR50" s="266">
        <f t="shared" si="314"/>
        <v>1088</v>
      </c>
      <c r="DS50" s="263">
        <f t="shared" si="314"/>
        <v>1315</v>
      </c>
      <c r="DT50" s="264">
        <f t="shared" si="314"/>
        <v>0</v>
      </c>
      <c r="DU50" s="290">
        <f t="shared" si="314"/>
        <v>2403</v>
      </c>
      <c r="DV50" s="91"/>
      <c r="DW50" s="304"/>
      <c r="DX50" s="308" t="s">
        <v>22</v>
      </c>
      <c r="DY50" s="311"/>
      <c r="DZ50" s="206">
        <v>7094</v>
      </c>
      <c r="EA50" s="207">
        <v>817</v>
      </c>
      <c r="EB50" s="207">
        <v>456</v>
      </c>
      <c r="EC50" s="207">
        <v>9</v>
      </c>
      <c r="ED50" s="208">
        <v>1143</v>
      </c>
      <c r="EE50" s="209">
        <v>9519</v>
      </c>
      <c r="EF50" s="207">
        <v>1232</v>
      </c>
      <c r="EG50" s="207">
        <v>2167</v>
      </c>
      <c r="EH50" s="208">
        <v>0</v>
      </c>
      <c r="EI50" s="243">
        <v>3399</v>
      </c>
      <c r="EJ50" s="91"/>
      <c r="EK50" s="304"/>
      <c r="EL50" s="308" t="s">
        <v>22</v>
      </c>
      <c r="EM50" s="311"/>
      <c r="EN50" s="107">
        <f t="shared" ref="EN50:EW50" si="315">SUM(EN48:EN49)</f>
        <v>0</v>
      </c>
      <c r="EO50" s="108">
        <f t="shared" si="315"/>
        <v>0</v>
      </c>
      <c r="EP50" s="108">
        <f t="shared" si="315"/>
        <v>0</v>
      </c>
      <c r="EQ50" s="108">
        <f t="shared" si="315"/>
        <v>0</v>
      </c>
      <c r="ER50" s="109">
        <f t="shared" si="315"/>
        <v>0</v>
      </c>
      <c r="ES50" s="110">
        <f t="shared" si="315"/>
        <v>0</v>
      </c>
      <c r="ET50" s="111">
        <f t="shared" si="315"/>
        <v>0</v>
      </c>
      <c r="EU50" s="108">
        <f t="shared" si="315"/>
        <v>0</v>
      </c>
      <c r="EV50" s="109">
        <f t="shared" si="315"/>
        <v>0</v>
      </c>
      <c r="EW50" s="112">
        <f t="shared" si="315"/>
        <v>0</v>
      </c>
      <c r="EX50" s="91"/>
      <c r="EY50" s="304"/>
      <c r="EZ50" s="308" t="s">
        <v>22</v>
      </c>
      <c r="FA50" s="311"/>
      <c r="FB50" s="107">
        <f t="shared" ref="FB50:FK50" si="316">SUM(FB48:FB49)</f>
        <v>0</v>
      </c>
      <c r="FC50" s="108">
        <f t="shared" si="316"/>
        <v>0</v>
      </c>
      <c r="FD50" s="108">
        <f t="shared" si="316"/>
        <v>0</v>
      </c>
      <c r="FE50" s="108">
        <f t="shared" si="316"/>
        <v>0</v>
      </c>
      <c r="FF50" s="109">
        <f t="shared" si="316"/>
        <v>0</v>
      </c>
      <c r="FG50" s="110">
        <f t="shared" si="316"/>
        <v>0</v>
      </c>
      <c r="FH50" s="111">
        <f t="shared" si="316"/>
        <v>0</v>
      </c>
      <c r="FI50" s="108">
        <f t="shared" si="316"/>
        <v>0</v>
      </c>
      <c r="FJ50" s="109">
        <f t="shared" si="316"/>
        <v>0</v>
      </c>
      <c r="FK50" s="112">
        <f t="shared" si="316"/>
        <v>0</v>
      </c>
      <c r="FL50" s="147"/>
      <c r="FM50" s="304"/>
      <c r="FN50" s="308" t="s">
        <v>22</v>
      </c>
      <c r="FO50" s="311"/>
      <c r="FP50" s="107">
        <f t="shared" ref="FP50:FY50" si="317">SUM(FP48:FP49)</f>
        <v>53450</v>
      </c>
      <c r="FQ50" s="108">
        <f t="shared" si="317"/>
        <v>5385</v>
      </c>
      <c r="FR50" s="108">
        <f t="shared" si="317"/>
        <v>4417</v>
      </c>
      <c r="FS50" s="108">
        <f t="shared" si="317"/>
        <v>246</v>
      </c>
      <c r="FT50" s="109">
        <f t="shared" si="317"/>
        <v>10912</v>
      </c>
      <c r="FU50" s="113">
        <f t="shared" si="317"/>
        <v>74410</v>
      </c>
      <c r="FV50" s="111">
        <f t="shared" si="317"/>
        <v>10606</v>
      </c>
      <c r="FW50" s="108">
        <f t="shared" si="317"/>
        <v>20575</v>
      </c>
      <c r="FX50" s="109">
        <f t="shared" si="317"/>
        <v>0</v>
      </c>
      <c r="FY50" s="114">
        <f t="shared" si="317"/>
        <v>31181</v>
      </c>
      <c r="FZ50" s="95"/>
      <c r="GA50" s="91"/>
    </row>
    <row r="51" spans="1:183" s="96" customFormat="1" ht="20.100000000000001" customHeight="1" thickBot="1" x14ac:dyDescent="0.3">
      <c r="A51" s="304"/>
      <c r="B51" s="300" t="s">
        <v>23</v>
      </c>
      <c r="C51" s="82" t="s">
        <v>20</v>
      </c>
      <c r="D51" s="210">
        <v>767</v>
      </c>
      <c r="E51" s="211">
        <v>41</v>
      </c>
      <c r="F51" s="211">
        <v>0</v>
      </c>
      <c r="G51" s="212">
        <v>0</v>
      </c>
      <c r="H51" s="213">
        <v>142</v>
      </c>
      <c r="I51" s="214">
        <v>950</v>
      </c>
      <c r="J51" s="213">
        <v>80</v>
      </c>
      <c r="K51" s="227">
        <v>48</v>
      </c>
      <c r="L51" s="213">
        <v>0</v>
      </c>
      <c r="M51" s="121">
        <f>SUM(J51:L51)</f>
        <v>128</v>
      </c>
      <c r="N51" s="91"/>
      <c r="O51" s="304"/>
      <c r="P51" s="300" t="s">
        <v>23</v>
      </c>
      <c r="Q51" s="82" t="s">
        <v>20</v>
      </c>
      <c r="R51" s="210">
        <v>31</v>
      </c>
      <c r="S51" s="211">
        <v>37</v>
      </c>
      <c r="T51" s="211">
        <v>0</v>
      </c>
      <c r="U51" s="212">
        <v>0</v>
      </c>
      <c r="V51" s="213">
        <v>63</v>
      </c>
      <c r="W51" s="214">
        <v>131</v>
      </c>
      <c r="X51" s="211">
        <v>221</v>
      </c>
      <c r="Y51" s="211">
        <v>53</v>
      </c>
      <c r="Z51" s="213">
        <v>0</v>
      </c>
      <c r="AA51" s="121">
        <f>SUM(X51:Z51)</f>
        <v>274</v>
      </c>
      <c r="AB51" s="91"/>
      <c r="AC51" s="304"/>
      <c r="AD51" s="300" t="s">
        <v>23</v>
      </c>
      <c r="AE51" s="82" t="s">
        <v>20</v>
      </c>
      <c r="AF51" s="210">
        <v>1872</v>
      </c>
      <c r="AG51" s="211">
        <v>33</v>
      </c>
      <c r="AH51" s="211">
        <v>0</v>
      </c>
      <c r="AI51" s="212">
        <v>0</v>
      </c>
      <c r="AJ51" s="213">
        <v>99</v>
      </c>
      <c r="AK51" s="214">
        <v>2004</v>
      </c>
      <c r="AL51" s="211">
        <v>20</v>
      </c>
      <c r="AM51" s="211">
        <v>53</v>
      </c>
      <c r="AN51" s="213">
        <v>0</v>
      </c>
      <c r="AO51" s="121">
        <f>SUM(AL51:AN51)</f>
        <v>73</v>
      </c>
      <c r="AP51" s="91"/>
      <c r="AQ51" s="304"/>
      <c r="AR51" s="300" t="s">
        <v>23</v>
      </c>
      <c r="AS51" s="82" t="s">
        <v>20</v>
      </c>
      <c r="AT51" s="210">
        <v>635</v>
      </c>
      <c r="AU51" s="211">
        <v>45</v>
      </c>
      <c r="AV51" s="211">
        <v>0</v>
      </c>
      <c r="AW51" s="212">
        <v>0</v>
      </c>
      <c r="AX51" s="213">
        <v>96</v>
      </c>
      <c r="AY51" s="214">
        <v>776</v>
      </c>
      <c r="AZ51" s="211">
        <v>65</v>
      </c>
      <c r="BA51" s="211">
        <v>108</v>
      </c>
      <c r="BB51" s="213">
        <v>0</v>
      </c>
      <c r="BC51" s="244">
        <v>173</v>
      </c>
      <c r="BD51" s="91"/>
      <c r="BE51" s="304"/>
      <c r="BF51" s="300" t="s">
        <v>23</v>
      </c>
      <c r="BG51" s="82" t="s">
        <v>20</v>
      </c>
      <c r="BH51" s="210">
        <v>598</v>
      </c>
      <c r="BI51" s="211">
        <v>4</v>
      </c>
      <c r="BJ51" s="211">
        <v>0</v>
      </c>
      <c r="BK51" s="212">
        <v>0</v>
      </c>
      <c r="BL51" s="213">
        <v>45</v>
      </c>
      <c r="BM51" s="214">
        <v>647</v>
      </c>
      <c r="BN51" s="211">
        <v>64</v>
      </c>
      <c r="BO51" s="211">
        <v>55</v>
      </c>
      <c r="BP51" s="213">
        <v>0</v>
      </c>
      <c r="BQ51" s="121">
        <f>SUM(BN51:BP51)</f>
        <v>119</v>
      </c>
      <c r="BR51" s="91"/>
      <c r="BS51" s="304"/>
      <c r="BT51" s="300" t="s">
        <v>23</v>
      </c>
      <c r="BU51" s="82" t="s">
        <v>20</v>
      </c>
      <c r="BV51" s="210">
        <v>413</v>
      </c>
      <c r="BW51" s="211">
        <v>33</v>
      </c>
      <c r="BX51" s="211">
        <v>0</v>
      </c>
      <c r="BY51" s="212">
        <v>0</v>
      </c>
      <c r="BZ51" s="213">
        <v>23</v>
      </c>
      <c r="CA51" s="214">
        <v>469</v>
      </c>
      <c r="CB51" s="211">
        <v>49</v>
      </c>
      <c r="CC51" s="211">
        <v>61</v>
      </c>
      <c r="CD51" s="213">
        <v>0</v>
      </c>
      <c r="CE51" s="121">
        <f>SUM(CB51:CD51)</f>
        <v>110</v>
      </c>
      <c r="CF51" s="91"/>
      <c r="CG51" s="304"/>
      <c r="CH51" s="300" t="s">
        <v>23</v>
      </c>
      <c r="CI51" s="82" t="s">
        <v>20</v>
      </c>
      <c r="CJ51" s="210">
        <v>589</v>
      </c>
      <c r="CK51" s="211">
        <v>33</v>
      </c>
      <c r="CL51" s="211">
        <v>0</v>
      </c>
      <c r="CM51" s="212">
        <v>0</v>
      </c>
      <c r="CN51" s="213">
        <v>35</v>
      </c>
      <c r="CO51" s="214">
        <v>657</v>
      </c>
      <c r="CP51" s="211">
        <v>46</v>
      </c>
      <c r="CQ51" s="211">
        <v>53</v>
      </c>
      <c r="CR51" s="213">
        <v>0</v>
      </c>
      <c r="CS51" s="244">
        <v>99</v>
      </c>
      <c r="CT51" s="91"/>
      <c r="CU51" s="304"/>
      <c r="CV51" s="300" t="s">
        <v>23</v>
      </c>
      <c r="CW51" s="82" t="s">
        <v>20</v>
      </c>
      <c r="CX51" s="267">
        <v>413</v>
      </c>
      <c r="CY51" s="268">
        <v>33</v>
      </c>
      <c r="CZ51" s="268">
        <v>0</v>
      </c>
      <c r="DA51" s="269">
        <v>0</v>
      </c>
      <c r="DB51" s="270">
        <v>23</v>
      </c>
      <c r="DC51" s="271">
        <f t="shared" ref="DC51:DC52" si="318">SUM(CX51:DB51)</f>
        <v>469</v>
      </c>
      <c r="DD51" s="272">
        <v>49</v>
      </c>
      <c r="DE51" s="268">
        <v>61</v>
      </c>
      <c r="DF51" s="273">
        <v>0</v>
      </c>
      <c r="DG51" s="121">
        <f>SUM(DD51:DF51)</f>
        <v>110</v>
      </c>
      <c r="DH51" s="91"/>
      <c r="DI51" s="304"/>
      <c r="DJ51" s="300" t="s">
        <v>23</v>
      </c>
      <c r="DK51" s="82" t="s">
        <v>20</v>
      </c>
      <c r="DL51" s="267">
        <v>598</v>
      </c>
      <c r="DM51" s="268">
        <v>11</v>
      </c>
      <c r="DN51" s="268">
        <v>0</v>
      </c>
      <c r="DO51" s="269">
        <v>0</v>
      </c>
      <c r="DP51" s="270">
        <v>23</v>
      </c>
      <c r="DQ51" s="271">
        <f t="shared" ref="DQ51:DQ52" si="319">SUM(DL51:DP51)</f>
        <v>632</v>
      </c>
      <c r="DR51" s="272">
        <v>210</v>
      </c>
      <c r="DS51" s="268">
        <v>114</v>
      </c>
      <c r="DT51" s="273">
        <v>0</v>
      </c>
      <c r="DU51" s="291">
        <f t="shared" ref="DU51:DU52" si="320">SUM(DR51:DT51)</f>
        <v>324</v>
      </c>
      <c r="DV51" s="91"/>
      <c r="DW51" s="304"/>
      <c r="DX51" s="300" t="s">
        <v>23</v>
      </c>
      <c r="DY51" s="82" t="s">
        <v>20</v>
      </c>
      <c r="DZ51" s="210">
        <v>30</v>
      </c>
      <c r="EA51" s="211">
        <v>39</v>
      </c>
      <c r="EB51" s="211">
        <v>0</v>
      </c>
      <c r="EC51" s="212">
        <v>0</v>
      </c>
      <c r="ED51" s="213">
        <v>96</v>
      </c>
      <c r="EE51" s="214">
        <v>165</v>
      </c>
      <c r="EF51" s="211">
        <v>68</v>
      </c>
      <c r="EG51" s="211">
        <v>59</v>
      </c>
      <c r="EH51" s="213">
        <v>0</v>
      </c>
      <c r="EI51" s="244">
        <v>127</v>
      </c>
      <c r="EJ51" s="91"/>
      <c r="EK51" s="304"/>
      <c r="EL51" s="300" t="s">
        <v>23</v>
      </c>
      <c r="EM51" s="82" t="s">
        <v>20</v>
      </c>
      <c r="EN51" s="115">
        <v>0</v>
      </c>
      <c r="EO51" s="116">
        <v>0</v>
      </c>
      <c r="EP51" s="116">
        <v>0</v>
      </c>
      <c r="EQ51" s="117">
        <v>0</v>
      </c>
      <c r="ER51" s="118">
        <v>0</v>
      </c>
      <c r="ES51" s="93">
        <f>SUM(EN51:ER51)</f>
        <v>0</v>
      </c>
      <c r="ET51" s="119">
        <v>0</v>
      </c>
      <c r="EU51" s="116">
        <v>0</v>
      </c>
      <c r="EV51" s="120">
        <v>0</v>
      </c>
      <c r="EW51" s="121">
        <f>SUM(ET51:EV51)</f>
        <v>0</v>
      </c>
      <c r="EX51" s="91"/>
      <c r="EY51" s="304"/>
      <c r="EZ51" s="300" t="s">
        <v>23</v>
      </c>
      <c r="FA51" s="82" t="s">
        <v>20</v>
      </c>
      <c r="FB51" s="115">
        <v>0</v>
      </c>
      <c r="FC51" s="116">
        <v>0</v>
      </c>
      <c r="FD51" s="116">
        <v>0</v>
      </c>
      <c r="FE51" s="117">
        <v>0</v>
      </c>
      <c r="FF51" s="118">
        <v>0</v>
      </c>
      <c r="FG51" s="93">
        <f>SUM(FB51:FF51)</f>
        <v>0</v>
      </c>
      <c r="FH51" s="119">
        <v>0</v>
      </c>
      <c r="FI51" s="116">
        <v>0</v>
      </c>
      <c r="FJ51" s="120">
        <v>0</v>
      </c>
      <c r="FK51" s="121">
        <f>SUM(FH51:FJ51)</f>
        <v>0</v>
      </c>
      <c r="FL51" s="147"/>
      <c r="FM51" s="304"/>
      <c r="FN51" s="300" t="s">
        <v>23</v>
      </c>
      <c r="FO51" s="82" t="s">
        <v>20</v>
      </c>
      <c r="FP51" s="115">
        <f t="shared" ref="FP51:FP52" si="321">SUM(D51+R51+AF51+AT51+BH51+BV51+CJ51+CX51+DL51+DZ51+EN51+FB51)</f>
        <v>5946</v>
      </c>
      <c r="FQ51" s="115">
        <f t="shared" ref="FQ51:FQ52" si="322">SUM(E51+S51+AG51+AU51+BI51+BW51+CK51+CY51+DM51+EA51+EO51+FC51)</f>
        <v>309</v>
      </c>
      <c r="FR51" s="115">
        <f t="shared" ref="FR51:FR52" si="323">SUM(F51+T51+AH51+AV51+BJ51+BX51+CL51+CZ51+DN51+EB51+EP51+FD51)</f>
        <v>0</v>
      </c>
      <c r="FS51" s="150">
        <f t="shared" ref="FS51:FS52" si="324">SUM(G51+U51+AI51+AW51+BK51+BY51+CM51+DA51+DO51+EC51+EQ51+FE51)</f>
        <v>0</v>
      </c>
      <c r="FT51" s="115">
        <f t="shared" ref="FT51:FT52" si="325">SUM(H51+V51+AJ51+AX51+BL51+BZ51+CN51+DB51+DP51+ED51+ER51+FF51)</f>
        <v>645</v>
      </c>
      <c r="FU51" s="93">
        <f>SUM(FP51:FT51)</f>
        <v>6900</v>
      </c>
      <c r="FV51" s="119">
        <f t="shared" ref="FV51:FV52" si="326">SUM(J51+X51+AL51+AZ51+BN51+CB51+CP51+DD51+DR51+EF51+ET51+FH51)</f>
        <v>872</v>
      </c>
      <c r="FW51" s="119">
        <f t="shared" ref="FW51:FW52" si="327">SUM(K51+Y51+AM51+BA51+BO51+CC51+CQ51+DE51+DS51+EG51+EU51+FI51)</f>
        <v>665</v>
      </c>
      <c r="FX51" s="119">
        <f t="shared" ref="FX51:FX52" si="328">SUM(L51+Z51+AN51+BB51+BP51+CD51+CR51+DF51+DT51+EH51+EV51+FJ51)</f>
        <v>0</v>
      </c>
      <c r="FY51" s="122">
        <f>SUM(FV51:FX51)</f>
        <v>1537</v>
      </c>
      <c r="FZ51" s="95"/>
      <c r="GA51" s="91"/>
    </row>
    <row r="52" spans="1:183" ht="20.100000000000001" customHeight="1" thickBot="1" x14ac:dyDescent="0.3">
      <c r="A52" s="304"/>
      <c r="B52" s="294"/>
      <c r="C52" s="97" t="s">
        <v>21</v>
      </c>
      <c r="D52" s="202">
        <v>745</v>
      </c>
      <c r="E52" s="203">
        <v>10</v>
      </c>
      <c r="F52" s="203">
        <v>0</v>
      </c>
      <c r="G52" s="203">
        <v>0</v>
      </c>
      <c r="H52" s="204">
        <v>156</v>
      </c>
      <c r="I52" s="205">
        <v>911</v>
      </c>
      <c r="J52" s="204">
        <v>99</v>
      </c>
      <c r="K52" s="227">
        <v>78</v>
      </c>
      <c r="L52" s="204">
        <v>0</v>
      </c>
      <c r="M52" s="104">
        <f>SUM(J52:L52)</f>
        <v>177</v>
      </c>
      <c r="N52" s="61"/>
      <c r="O52" s="304"/>
      <c r="P52" s="294"/>
      <c r="Q52" s="97" t="s">
        <v>21</v>
      </c>
      <c r="R52" s="202">
        <v>33</v>
      </c>
      <c r="S52" s="203">
        <v>4</v>
      </c>
      <c r="T52" s="203">
        <v>0</v>
      </c>
      <c r="U52" s="203">
        <v>0</v>
      </c>
      <c r="V52" s="204">
        <v>49</v>
      </c>
      <c r="W52" s="205">
        <v>86</v>
      </c>
      <c r="X52" s="203">
        <v>263</v>
      </c>
      <c r="Y52" s="203">
        <v>77</v>
      </c>
      <c r="Z52" s="204">
        <v>0</v>
      </c>
      <c r="AA52" s="104">
        <f>SUM(X52:Z52)</f>
        <v>340</v>
      </c>
      <c r="AB52" s="61"/>
      <c r="AC52" s="304"/>
      <c r="AD52" s="294"/>
      <c r="AE52" s="97" t="s">
        <v>21</v>
      </c>
      <c r="AF52" s="202">
        <v>752</v>
      </c>
      <c r="AG52" s="203">
        <v>74</v>
      </c>
      <c r="AH52" s="203">
        <v>0</v>
      </c>
      <c r="AI52" s="203">
        <v>0</v>
      </c>
      <c r="AJ52" s="204">
        <v>105</v>
      </c>
      <c r="AK52" s="205">
        <v>931</v>
      </c>
      <c r="AL52" s="203">
        <v>34</v>
      </c>
      <c r="AM52" s="203">
        <v>77</v>
      </c>
      <c r="AN52" s="204">
        <v>0</v>
      </c>
      <c r="AO52" s="104">
        <f>SUM(AL52:AN52)</f>
        <v>111</v>
      </c>
      <c r="AP52" s="61"/>
      <c r="AQ52" s="304"/>
      <c r="AR52" s="294"/>
      <c r="AS52" s="97" t="s">
        <v>21</v>
      </c>
      <c r="AT52" s="202">
        <v>695</v>
      </c>
      <c r="AU52" s="203">
        <v>10</v>
      </c>
      <c r="AV52" s="203">
        <v>0</v>
      </c>
      <c r="AW52" s="203">
        <v>0</v>
      </c>
      <c r="AX52" s="204">
        <v>102</v>
      </c>
      <c r="AY52" s="205">
        <v>807</v>
      </c>
      <c r="AZ52" s="203">
        <v>69</v>
      </c>
      <c r="BA52" s="203">
        <v>171</v>
      </c>
      <c r="BB52" s="204">
        <v>0</v>
      </c>
      <c r="BC52" s="208">
        <v>240</v>
      </c>
      <c r="BD52" s="61"/>
      <c r="BE52" s="304"/>
      <c r="BF52" s="294"/>
      <c r="BG52" s="97" t="s">
        <v>21</v>
      </c>
      <c r="BH52" s="202">
        <v>650</v>
      </c>
      <c r="BI52" s="203">
        <v>1</v>
      </c>
      <c r="BJ52" s="203">
        <v>0</v>
      </c>
      <c r="BK52" s="203">
        <v>0</v>
      </c>
      <c r="BL52" s="204">
        <v>67</v>
      </c>
      <c r="BM52" s="205">
        <v>718</v>
      </c>
      <c r="BN52" s="203">
        <v>80</v>
      </c>
      <c r="BO52" s="203">
        <v>65</v>
      </c>
      <c r="BP52" s="204">
        <v>0</v>
      </c>
      <c r="BQ52" s="104">
        <f>SUM(BN52:BP52)</f>
        <v>145</v>
      </c>
      <c r="BR52" s="61"/>
      <c r="BS52" s="304"/>
      <c r="BT52" s="294"/>
      <c r="BU52" s="97" t="s">
        <v>21</v>
      </c>
      <c r="BV52" s="202">
        <v>446</v>
      </c>
      <c r="BW52" s="203">
        <v>18</v>
      </c>
      <c r="BX52" s="203">
        <v>0</v>
      </c>
      <c r="BY52" s="203">
        <v>0</v>
      </c>
      <c r="BZ52" s="204">
        <v>33</v>
      </c>
      <c r="CA52" s="205">
        <v>497</v>
      </c>
      <c r="CB52" s="203">
        <v>62</v>
      </c>
      <c r="CC52" s="203">
        <v>80</v>
      </c>
      <c r="CD52" s="204">
        <v>0</v>
      </c>
      <c r="CE52" s="104">
        <f>SUM(CB52:CD52)</f>
        <v>142</v>
      </c>
      <c r="CF52" s="61"/>
      <c r="CG52" s="304"/>
      <c r="CH52" s="294"/>
      <c r="CI52" s="97" t="s">
        <v>21</v>
      </c>
      <c r="CJ52" s="202">
        <v>606</v>
      </c>
      <c r="CK52" s="203">
        <v>6</v>
      </c>
      <c r="CL52" s="203">
        <v>0</v>
      </c>
      <c r="CM52" s="203">
        <v>0</v>
      </c>
      <c r="CN52" s="204">
        <v>39</v>
      </c>
      <c r="CO52" s="205">
        <v>651</v>
      </c>
      <c r="CP52" s="203">
        <v>36</v>
      </c>
      <c r="CQ52" s="203">
        <v>77</v>
      </c>
      <c r="CR52" s="204">
        <v>0</v>
      </c>
      <c r="CS52" s="208">
        <v>113</v>
      </c>
      <c r="CT52" s="61"/>
      <c r="CU52" s="304"/>
      <c r="CV52" s="294"/>
      <c r="CW52" s="97" t="s">
        <v>21</v>
      </c>
      <c r="CX52" s="274">
        <v>446</v>
      </c>
      <c r="CY52" s="260">
        <v>18</v>
      </c>
      <c r="CZ52" s="260">
        <v>0</v>
      </c>
      <c r="DA52" s="260">
        <v>0</v>
      </c>
      <c r="DB52" s="275">
        <v>33</v>
      </c>
      <c r="DC52" s="258">
        <f t="shared" si="318"/>
        <v>497</v>
      </c>
      <c r="DD52" s="259">
        <v>62</v>
      </c>
      <c r="DE52" s="260">
        <v>80</v>
      </c>
      <c r="DF52" s="261">
        <v>0</v>
      </c>
      <c r="DG52" s="104">
        <f>SUM(DD52:DF52)</f>
        <v>142</v>
      </c>
      <c r="DH52" s="61"/>
      <c r="DI52" s="304"/>
      <c r="DJ52" s="294"/>
      <c r="DK52" s="97" t="s">
        <v>21</v>
      </c>
      <c r="DL52" s="274">
        <v>650</v>
      </c>
      <c r="DM52" s="260">
        <v>11</v>
      </c>
      <c r="DN52" s="260">
        <v>0</v>
      </c>
      <c r="DO52" s="260">
        <v>1</v>
      </c>
      <c r="DP52" s="275">
        <v>18</v>
      </c>
      <c r="DQ52" s="258">
        <f t="shared" si="319"/>
        <v>680</v>
      </c>
      <c r="DR52" s="259">
        <v>268</v>
      </c>
      <c r="DS52" s="260">
        <v>186</v>
      </c>
      <c r="DT52" s="261">
        <v>0</v>
      </c>
      <c r="DU52" s="289">
        <f t="shared" si="320"/>
        <v>454</v>
      </c>
      <c r="DV52" s="61"/>
      <c r="DW52" s="304"/>
      <c r="DX52" s="294"/>
      <c r="DY52" s="97" t="s">
        <v>21</v>
      </c>
      <c r="DZ52" s="202">
        <v>32</v>
      </c>
      <c r="EA52" s="203">
        <v>0</v>
      </c>
      <c r="EB52" s="203">
        <v>0</v>
      </c>
      <c r="EC52" s="334"/>
      <c r="ED52" s="204">
        <v>108</v>
      </c>
      <c r="EE52" s="205">
        <v>140</v>
      </c>
      <c r="EF52" s="203">
        <v>64</v>
      </c>
      <c r="EG52" s="203">
        <v>78</v>
      </c>
      <c r="EH52" s="204">
        <v>0</v>
      </c>
      <c r="EI52" s="208">
        <v>142</v>
      </c>
      <c r="EJ52" s="61"/>
      <c r="EK52" s="304"/>
      <c r="EL52" s="294"/>
      <c r="EM52" s="97" t="s">
        <v>21</v>
      </c>
      <c r="EN52" s="98">
        <v>0</v>
      </c>
      <c r="EO52" s="99">
        <v>0</v>
      </c>
      <c r="EP52" s="99">
        <v>0</v>
      </c>
      <c r="EQ52" s="99">
        <v>0</v>
      </c>
      <c r="ER52" s="100">
        <v>0</v>
      </c>
      <c r="ES52" s="101">
        <f>SUM(EN52:ER52)</f>
        <v>0</v>
      </c>
      <c r="ET52" s="102">
        <v>0</v>
      </c>
      <c r="EU52" s="99">
        <v>0</v>
      </c>
      <c r="EV52" s="103">
        <v>0</v>
      </c>
      <c r="EW52" s="104">
        <f>SUM(ET52:EV52)</f>
        <v>0</v>
      </c>
      <c r="EX52" s="61"/>
      <c r="EY52" s="304"/>
      <c r="EZ52" s="294"/>
      <c r="FA52" s="97" t="s">
        <v>21</v>
      </c>
      <c r="FB52" s="98">
        <v>0</v>
      </c>
      <c r="FC52" s="99">
        <v>0</v>
      </c>
      <c r="FD52" s="99">
        <v>0</v>
      </c>
      <c r="FE52" s="99">
        <v>0</v>
      </c>
      <c r="FF52" s="100">
        <v>0</v>
      </c>
      <c r="FG52" s="101">
        <f>SUM(FB52:FF52)</f>
        <v>0</v>
      </c>
      <c r="FH52" s="102">
        <v>0</v>
      </c>
      <c r="FI52" s="99">
        <v>0</v>
      </c>
      <c r="FJ52" s="103">
        <v>0</v>
      </c>
      <c r="FK52" s="104">
        <f>SUM(FH52:FJ52)</f>
        <v>0</v>
      </c>
      <c r="FM52" s="304"/>
      <c r="FN52" s="294"/>
      <c r="FO52" s="97" t="s">
        <v>21</v>
      </c>
      <c r="FP52" s="115">
        <f t="shared" si="321"/>
        <v>5055</v>
      </c>
      <c r="FQ52" s="115">
        <f t="shared" si="322"/>
        <v>152</v>
      </c>
      <c r="FR52" s="115">
        <f t="shared" si="323"/>
        <v>0</v>
      </c>
      <c r="FS52" s="115">
        <f t="shared" si="324"/>
        <v>1</v>
      </c>
      <c r="FT52" s="115">
        <f t="shared" si="325"/>
        <v>710</v>
      </c>
      <c r="FU52" s="101">
        <f>SUM(FP52:FT52)</f>
        <v>5918</v>
      </c>
      <c r="FV52" s="119">
        <f t="shared" si="326"/>
        <v>1037</v>
      </c>
      <c r="FW52" s="119">
        <f t="shared" si="327"/>
        <v>969</v>
      </c>
      <c r="FX52" s="119">
        <f t="shared" si="328"/>
        <v>0</v>
      </c>
      <c r="FY52" s="106">
        <f>SUM(FV52:FX52)</f>
        <v>2006</v>
      </c>
      <c r="GA52" s="61"/>
    </row>
    <row r="53" spans="1:183" ht="20.100000000000001" customHeight="1" thickBot="1" x14ac:dyDescent="0.3">
      <c r="A53" s="305"/>
      <c r="B53" s="301" t="s">
        <v>24</v>
      </c>
      <c r="C53" s="310"/>
      <c r="D53" s="107">
        <f t="shared" ref="D53:M53" si="329">SUM(D51:D52)</f>
        <v>1512</v>
      </c>
      <c r="E53" s="108">
        <f t="shared" si="329"/>
        <v>51</v>
      </c>
      <c r="F53" s="108">
        <f t="shared" si="329"/>
        <v>0</v>
      </c>
      <c r="G53" s="108">
        <f t="shared" si="329"/>
        <v>0</v>
      </c>
      <c r="H53" s="109">
        <f t="shared" si="329"/>
        <v>298</v>
      </c>
      <c r="I53" s="110">
        <f t="shared" si="329"/>
        <v>1861</v>
      </c>
      <c r="J53" s="111">
        <f t="shared" si="329"/>
        <v>179</v>
      </c>
      <c r="K53" s="108">
        <f t="shared" si="329"/>
        <v>126</v>
      </c>
      <c r="L53" s="109">
        <f t="shared" si="329"/>
        <v>0</v>
      </c>
      <c r="M53" s="112">
        <f t="shared" si="329"/>
        <v>305</v>
      </c>
      <c r="N53" s="61"/>
      <c r="O53" s="305"/>
      <c r="P53" s="301" t="s">
        <v>24</v>
      </c>
      <c r="Q53" s="310"/>
      <c r="R53" s="107">
        <f t="shared" ref="R53:AA53" si="330">SUM(R51:R52)</f>
        <v>64</v>
      </c>
      <c r="S53" s="108">
        <f t="shared" si="330"/>
        <v>41</v>
      </c>
      <c r="T53" s="108">
        <f t="shared" si="330"/>
        <v>0</v>
      </c>
      <c r="U53" s="108">
        <v>0</v>
      </c>
      <c r="V53" s="109">
        <f t="shared" si="330"/>
        <v>112</v>
      </c>
      <c r="W53" s="110">
        <f t="shared" si="330"/>
        <v>217</v>
      </c>
      <c r="X53" s="111">
        <f t="shared" si="330"/>
        <v>484</v>
      </c>
      <c r="Y53" s="108">
        <f t="shared" si="330"/>
        <v>130</v>
      </c>
      <c r="Z53" s="109">
        <f t="shared" si="330"/>
        <v>0</v>
      </c>
      <c r="AA53" s="112">
        <f t="shared" si="330"/>
        <v>614</v>
      </c>
      <c r="AB53" s="61"/>
      <c r="AC53" s="305"/>
      <c r="AD53" s="301" t="s">
        <v>24</v>
      </c>
      <c r="AE53" s="310"/>
      <c r="AF53" s="206">
        <v>2624</v>
      </c>
      <c r="AG53" s="207">
        <v>107</v>
      </c>
      <c r="AH53" s="207">
        <v>0</v>
      </c>
      <c r="AI53" s="207">
        <v>0</v>
      </c>
      <c r="AJ53" s="208">
        <v>204</v>
      </c>
      <c r="AK53" s="209">
        <v>2935</v>
      </c>
      <c r="AL53" s="207">
        <v>54</v>
      </c>
      <c r="AM53" s="207">
        <v>130</v>
      </c>
      <c r="AN53" s="208">
        <v>0</v>
      </c>
      <c r="AO53" s="112">
        <f t="shared" ref="AO53" si="331">SUM(AO51:AO52)</f>
        <v>184</v>
      </c>
      <c r="AP53" s="61"/>
      <c r="AQ53" s="305"/>
      <c r="AR53" s="301" t="s">
        <v>24</v>
      </c>
      <c r="AS53" s="310"/>
      <c r="AT53" s="206">
        <v>1330</v>
      </c>
      <c r="AU53" s="207">
        <v>55</v>
      </c>
      <c r="AV53" s="207">
        <v>0</v>
      </c>
      <c r="AW53" s="207">
        <v>0</v>
      </c>
      <c r="AX53" s="208">
        <v>198</v>
      </c>
      <c r="AY53" s="209">
        <v>1583</v>
      </c>
      <c r="AZ53" s="207">
        <v>134</v>
      </c>
      <c r="BA53" s="207">
        <v>279</v>
      </c>
      <c r="BB53" s="208">
        <v>0</v>
      </c>
      <c r="BC53" s="243">
        <v>413</v>
      </c>
      <c r="BD53" s="61"/>
      <c r="BE53" s="305"/>
      <c r="BF53" s="301" t="s">
        <v>24</v>
      </c>
      <c r="BG53" s="310"/>
      <c r="BH53" s="107">
        <f t="shared" ref="BH53:BQ53" si="332">SUM(BH51:BH52)</f>
        <v>1248</v>
      </c>
      <c r="BI53" s="108">
        <f t="shared" si="332"/>
        <v>5</v>
      </c>
      <c r="BJ53" s="108">
        <f t="shared" si="332"/>
        <v>0</v>
      </c>
      <c r="BK53" s="108">
        <f t="shared" si="332"/>
        <v>0</v>
      </c>
      <c r="BL53" s="109">
        <f t="shared" si="332"/>
        <v>112</v>
      </c>
      <c r="BM53" s="110">
        <f t="shared" si="332"/>
        <v>1365</v>
      </c>
      <c r="BN53" s="111">
        <f t="shared" si="332"/>
        <v>144</v>
      </c>
      <c r="BO53" s="108">
        <f t="shared" si="332"/>
        <v>120</v>
      </c>
      <c r="BP53" s="109">
        <f t="shared" si="332"/>
        <v>0</v>
      </c>
      <c r="BQ53" s="112">
        <f t="shared" si="332"/>
        <v>264</v>
      </c>
      <c r="BR53" s="61"/>
      <c r="BS53" s="305"/>
      <c r="BT53" s="301" t="s">
        <v>24</v>
      </c>
      <c r="BU53" s="310"/>
      <c r="BV53" s="206">
        <v>859</v>
      </c>
      <c r="BW53" s="207">
        <v>51</v>
      </c>
      <c r="BX53" s="207">
        <v>0</v>
      </c>
      <c r="BY53" s="207">
        <v>0</v>
      </c>
      <c r="BZ53" s="208">
        <v>56</v>
      </c>
      <c r="CA53" s="209">
        <v>966</v>
      </c>
      <c r="CB53" s="207">
        <v>111</v>
      </c>
      <c r="CC53" s="207">
        <v>141</v>
      </c>
      <c r="CD53" s="208">
        <v>0</v>
      </c>
      <c r="CE53" s="112">
        <f t="shared" ref="CE53" si="333">SUM(CE51:CE52)</f>
        <v>252</v>
      </c>
      <c r="CF53" s="61"/>
      <c r="CG53" s="305"/>
      <c r="CH53" s="301" t="s">
        <v>24</v>
      </c>
      <c r="CI53" s="310"/>
      <c r="CJ53" s="206">
        <v>1195</v>
      </c>
      <c r="CK53" s="207">
        <v>39</v>
      </c>
      <c r="CL53" s="207">
        <v>0</v>
      </c>
      <c r="CM53" s="207">
        <v>0</v>
      </c>
      <c r="CN53" s="208">
        <v>74</v>
      </c>
      <c r="CO53" s="209">
        <v>1308</v>
      </c>
      <c r="CP53" s="207">
        <v>82</v>
      </c>
      <c r="CQ53" s="207">
        <v>130</v>
      </c>
      <c r="CR53" s="208">
        <v>0</v>
      </c>
      <c r="CS53" s="243">
        <v>212</v>
      </c>
      <c r="CT53" s="61"/>
      <c r="CU53" s="305"/>
      <c r="CV53" s="301" t="s">
        <v>24</v>
      </c>
      <c r="CW53" s="310"/>
      <c r="CX53" s="262">
        <f t="shared" ref="CX53:DF53" si="334">SUM(CX51:CX52)</f>
        <v>859</v>
      </c>
      <c r="CY53" s="263">
        <f t="shared" si="334"/>
        <v>51</v>
      </c>
      <c r="CZ53" s="263">
        <f t="shared" si="334"/>
        <v>0</v>
      </c>
      <c r="DA53" s="263">
        <f t="shared" si="334"/>
        <v>0</v>
      </c>
      <c r="DB53" s="264">
        <f t="shared" si="334"/>
        <v>56</v>
      </c>
      <c r="DC53" s="265">
        <f t="shared" si="334"/>
        <v>966</v>
      </c>
      <c r="DD53" s="266">
        <f t="shared" si="334"/>
        <v>111</v>
      </c>
      <c r="DE53" s="263">
        <f t="shared" si="334"/>
        <v>141</v>
      </c>
      <c r="DF53" s="264">
        <f t="shared" si="334"/>
        <v>0</v>
      </c>
      <c r="DG53" s="112">
        <f t="shared" ref="DG53" si="335">SUM(DG51:DG52)</f>
        <v>252</v>
      </c>
      <c r="DH53" s="61"/>
      <c r="DI53" s="305"/>
      <c r="DJ53" s="301" t="s">
        <v>24</v>
      </c>
      <c r="DK53" s="310"/>
      <c r="DL53" s="262">
        <f t="shared" ref="DL53:DU53" si="336">SUM(DL51:DL52)</f>
        <v>1248</v>
      </c>
      <c r="DM53" s="263">
        <f t="shared" si="336"/>
        <v>22</v>
      </c>
      <c r="DN53" s="263">
        <f t="shared" si="336"/>
        <v>0</v>
      </c>
      <c r="DO53" s="263">
        <f t="shared" si="336"/>
        <v>1</v>
      </c>
      <c r="DP53" s="264">
        <f t="shared" si="336"/>
        <v>41</v>
      </c>
      <c r="DQ53" s="265">
        <f t="shared" si="336"/>
        <v>1312</v>
      </c>
      <c r="DR53" s="266">
        <f t="shared" si="336"/>
        <v>478</v>
      </c>
      <c r="DS53" s="263">
        <f t="shared" si="336"/>
        <v>300</v>
      </c>
      <c r="DT53" s="264">
        <f t="shared" si="336"/>
        <v>0</v>
      </c>
      <c r="DU53" s="290">
        <f t="shared" si="336"/>
        <v>778</v>
      </c>
      <c r="DV53" s="61"/>
      <c r="DW53" s="305"/>
      <c r="DX53" s="301" t="s">
        <v>24</v>
      </c>
      <c r="DY53" s="310"/>
      <c r="DZ53" s="206">
        <v>62</v>
      </c>
      <c r="EA53" s="207">
        <v>39</v>
      </c>
      <c r="EB53" s="207">
        <v>0</v>
      </c>
      <c r="EC53" s="207">
        <v>0</v>
      </c>
      <c r="ED53" s="208">
        <v>204</v>
      </c>
      <c r="EE53" s="209">
        <v>305</v>
      </c>
      <c r="EF53" s="207">
        <v>132</v>
      </c>
      <c r="EG53" s="207">
        <v>137</v>
      </c>
      <c r="EH53" s="208">
        <v>0</v>
      </c>
      <c r="EI53" s="243">
        <v>269</v>
      </c>
      <c r="EJ53" s="61"/>
      <c r="EK53" s="305"/>
      <c r="EL53" s="301" t="s">
        <v>24</v>
      </c>
      <c r="EM53" s="310"/>
      <c r="EN53" s="107">
        <f t="shared" ref="EN53:EW53" si="337">SUM(EN51:EN52)</f>
        <v>0</v>
      </c>
      <c r="EO53" s="108">
        <f t="shared" si="337"/>
        <v>0</v>
      </c>
      <c r="EP53" s="108">
        <f t="shared" si="337"/>
        <v>0</v>
      </c>
      <c r="EQ53" s="108">
        <f t="shared" si="337"/>
        <v>0</v>
      </c>
      <c r="ER53" s="109">
        <f t="shared" si="337"/>
        <v>0</v>
      </c>
      <c r="ES53" s="110">
        <f t="shared" si="337"/>
        <v>0</v>
      </c>
      <c r="ET53" s="111">
        <f t="shared" si="337"/>
        <v>0</v>
      </c>
      <c r="EU53" s="108">
        <f t="shared" si="337"/>
        <v>0</v>
      </c>
      <c r="EV53" s="109">
        <f t="shared" si="337"/>
        <v>0</v>
      </c>
      <c r="EW53" s="112">
        <f t="shared" si="337"/>
        <v>0</v>
      </c>
      <c r="EX53" s="61"/>
      <c r="EY53" s="305"/>
      <c r="EZ53" s="301" t="s">
        <v>24</v>
      </c>
      <c r="FA53" s="310"/>
      <c r="FB53" s="107">
        <f t="shared" ref="FB53:FK53" si="338">SUM(FB51:FB52)</f>
        <v>0</v>
      </c>
      <c r="FC53" s="108">
        <f t="shared" si="338"/>
        <v>0</v>
      </c>
      <c r="FD53" s="108">
        <f t="shared" si="338"/>
        <v>0</v>
      </c>
      <c r="FE53" s="108">
        <f t="shared" si="338"/>
        <v>0</v>
      </c>
      <c r="FF53" s="109">
        <f t="shared" si="338"/>
        <v>0</v>
      </c>
      <c r="FG53" s="110">
        <f t="shared" si="338"/>
        <v>0</v>
      </c>
      <c r="FH53" s="111">
        <f t="shared" si="338"/>
        <v>0</v>
      </c>
      <c r="FI53" s="108">
        <f t="shared" si="338"/>
        <v>0</v>
      </c>
      <c r="FJ53" s="109">
        <f t="shared" si="338"/>
        <v>0</v>
      </c>
      <c r="FK53" s="112">
        <f t="shared" si="338"/>
        <v>0</v>
      </c>
      <c r="FM53" s="305"/>
      <c r="FN53" s="301" t="s">
        <v>24</v>
      </c>
      <c r="FO53" s="310"/>
      <c r="FP53" s="107">
        <f t="shared" ref="FP53:FY53" si="339">SUM(FP51:FP52)</f>
        <v>11001</v>
      </c>
      <c r="FQ53" s="108">
        <f t="shared" si="339"/>
        <v>461</v>
      </c>
      <c r="FR53" s="108">
        <f t="shared" si="339"/>
        <v>0</v>
      </c>
      <c r="FS53" s="108">
        <f t="shared" si="339"/>
        <v>1</v>
      </c>
      <c r="FT53" s="109">
        <f t="shared" si="339"/>
        <v>1355</v>
      </c>
      <c r="FU53" s="113">
        <f t="shared" si="339"/>
        <v>12818</v>
      </c>
      <c r="FV53" s="111">
        <f t="shared" si="339"/>
        <v>1909</v>
      </c>
      <c r="FW53" s="108">
        <f t="shared" si="339"/>
        <v>1634</v>
      </c>
      <c r="FX53" s="109">
        <f t="shared" si="339"/>
        <v>0</v>
      </c>
      <c r="FY53" s="114">
        <f t="shared" si="339"/>
        <v>3543</v>
      </c>
      <c r="GA53" s="61"/>
    </row>
    <row r="54" spans="1:183" ht="20.100000000000001" customHeight="1" thickBot="1" x14ac:dyDescent="0.3">
      <c r="A54" s="297" t="s">
        <v>25</v>
      </c>
      <c r="B54" s="298"/>
      <c r="C54" s="299"/>
      <c r="D54" s="123">
        <f>SUM(D53+D50)</f>
        <v>7226</v>
      </c>
      <c r="E54" s="124">
        <f>SUM(E53+E50)</f>
        <v>967</v>
      </c>
      <c r="F54" s="124">
        <f>SUM(F53+F50)</f>
        <v>381</v>
      </c>
      <c r="G54" s="124">
        <f>SUM(G53+G50)</f>
        <v>15</v>
      </c>
      <c r="H54" s="125">
        <f>SUM(H53+H50)</f>
        <v>1786</v>
      </c>
      <c r="I54" s="126">
        <f>SUM(I50+I53)</f>
        <v>10375</v>
      </c>
      <c r="J54" s="127">
        <f>SUM(J53+J50)</f>
        <v>1439</v>
      </c>
      <c r="K54" s="128">
        <f>SUM(K53+K50)</f>
        <v>2407</v>
      </c>
      <c r="L54" s="129">
        <f>SUM(L53+L50)</f>
        <v>0</v>
      </c>
      <c r="M54" s="130">
        <f>SUM(M53+M50)</f>
        <v>3846</v>
      </c>
      <c r="N54" s="61"/>
      <c r="O54" s="297" t="s">
        <v>25</v>
      </c>
      <c r="P54" s="298"/>
      <c r="Q54" s="299"/>
      <c r="R54" s="123">
        <f>SUM(R53+R50)</f>
        <v>5661</v>
      </c>
      <c r="S54" s="124">
        <f>SUM(S53+S50)</f>
        <v>276</v>
      </c>
      <c r="T54" s="124">
        <f>SUM(T53+T50)</f>
        <v>527</v>
      </c>
      <c r="U54" s="124">
        <f>SUM(U53+U50)</f>
        <v>63</v>
      </c>
      <c r="V54" s="125">
        <f>SUM(V53+V50)</f>
        <v>298</v>
      </c>
      <c r="W54" s="126">
        <f>SUM(W50+W53)</f>
        <v>6825</v>
      </c>
      <c r="X54" s="127">
        <f>SUM(X53+X50)</f>
        <v>2447</v>
      </c>
      <c r="Y54" s="128">
        <f>SUM(Y53+Y50)</f>
        <v>2775</v>
      </c>
      <c r="Z54" s="129">
        <f>SUM(Z53+Z50)</f>
        <v>0</v>
      </c>
      <c r="AA54" s="130">
        <f>SUM(AA53+AA50)</f>
        <v>5222</v>
      </c>
      <c r="AB54" s="61"/>
      <c r="AC54" s="297" t="s">
        <v>25</v>
      </c>
      <c r="AD54" s="298"/>
      <c r="AE54" s="299"/>
      <c r="AF54" s="236">
        <v>8035</v>
      </c>
      <c r="AG54" s="237">
        <v>777</v>
      </c>
      <c r="AH54" s="237">
        <v>517</v>
      </c>
      <c r="AI54" s="237">
        <v>11</v>
      </c>
      <c r="AJ54" s="238">
        <v>1758</v>
      </c>
      <c r="AK54" s="239">
        <v>11098</v>
      </c>
      <c r="AL54" s="240">
        <v>1167</v>
      </c>
      <c r="AM54" s="240">
        <v>3275</v>
      </c>
      <c r="AN54" s="241">
        <v>0</v>
      </c>
      <c r="AO54" s="130">
        <f>SUM(AO53+AO50)</f>
        <v>4442</v>
      </c>
      <c r="AP54" s="61"/>
      <c r="AQ54" s="297" t="s">
        <v>25</v>
      </c>
      <c r="AR54" s="298"/>
      <c r="AS54" s="299"/>
      <c r="AT54" s="123">
        <f>SUM(AT53+AT50)</f>
        <v>7536</v>
      </c>
      <c r="AU54" s="124">
        <f>SUM(AU53+AU50)</f>
        <v>722</v>
      </c>
      <c r="AV54" s="124">
        <f>SUM(AV53+AV50)</f>
        <v>691</v>
      </c>
      <c r="AW54" s="124">
        <f>SUM(AW53+AW50)</f>
        <v>50</v>
      </c>
      <c r="AX54" s="125">
        <f>SUM(AX53+AX50)</f>
        <v>1212</v>
      </c>
      <c r="AY54" s="126">
        <f>SUM(AY50+AY53)</f>
        <v>10211</v>
      </c>
      <c r="AZ54" s="127">
        <f>SUM(AZ53+AZ50)</f>
        <v>910</v>
      </c>
      <c r="BA54" s="128">
        <f>SUM(BA53+BA50)</f>
        <v>1952</v>
      </c>
      <c r="BB54" s="129">
        <f>SUM(BB53+BB50)</f>
        <v>0</v>
      </c>
      <c r="BC54" s="130">
        <f>SUM(BC53+BC50)</f>
        <v>2862</v>
      </c>
      <c r="BD54" s="61"/>
      <c r="BE54" s="297" t="s">
        <v>25</v>
      </c>
      <c r="BF54" s="298"/>
      <c r="BG54" s="299"/>
      <c r="BH54" s="123">
        <f>SUM(BH53+BH50)</f>
        <v>7255</v>
      </c>
      <c r="BI54" s="124">
        <f>SUM(BI53+BI50)</f>
        <v>406</v>
      </c>
      <c r="BJ54" s="124">
        <f>SUM(BJ53+BJ50)</f>
        <v>472</v>
      </c>
      <c r="BK54" s="124">
        <f>SUM(BK53+BK50)</f>
        <v>7</v>
      </c>
      <c r="BL54" s="125">
        <f>SUM(BL53+BL50)</f>
        <v>1773</v>
      </c>
      <c r="BM54" s="126">
        <f>SUM(BM50+BM53)</f>
        <v>9913</v>
      </c>
      <c r="BN54" s="127">
        <f>SUM(BN53+BN50)</f>
        <v>1407</v>
      </c>
      <c r="BO54" s="128">
        <f>SUM(BO53+BO50)</f>
        <v>2100</v>
      </c>
      <c r="BP54" s="129">
        <f>SUM(BP53+BP50)</f>
        <v>0</v>
      </c>
      <c r="BQ54" s="130">
        <f>SUM(BQ53+BQ50)</f>
        <v>3507</v>
      </c>
      <c r="BR54" s="61"/>
      <c r="BS54" s="297" t="s">
        <v>25</v>
      </c>
      <c r="BT54" s="298"/>
      <c r="BU54" s="299"/>
      <c r="BV54" s="236">
        <v>3877</v>
      </c>
      <c r="BW54" s="237">
        <v>389</v>
      </c>
      <c r="BX54" s="237">
        <v>305</v>
      </c>
      <c r="BY54" s="237">
        <v>22</v>
      </c>
      <c r="BZ54" s="238">
        <v>587</v>
      </c>
      <c r="CA54" s="239">
        <v>5180</v>
      </c>
      <c r="CB54" s="240">
        <v>460</v>
      </c>
      <c r="CC54" s="240">
        <v>1503</v>
      </c>
      <c r="CD54" s="241">
        <v>0</v>
      </c>
      <c r="CE54" s="130">
        <f>SUM(CE53+CE50)</f>
        <v>1963</v>
      </c>
      <c r="CF54" s="61"/>
      <c r="CG54" s="297" t="s">
        <v>25</v>
      </c>
      <c r="CH54" s="298"/>
      <c r="CI54" s="299"/>
      <c r="CJ54" s="236">
        <v>6573</v>
      </c>
      <c r="CK54" s="237">
        <v>834</v>
      </c>
      <c r="CL54" s="237">
        <v>434</v>
      </c>
      <c r="CM54" s="237">
        <v>38</v>
      </c>
      <c r="CN54" s="238">
        <v>1506</v>
      </c>
      <c r="CO54" s="239">
        <v>9385</v>
      </c>
      <c r="CP54" s="240">
        <v>1295</v>
      </c>
      <c r="CQ54" s="240">
        <v>2775</v>
      </c>
      <c r="CR54" s="241">
        <v>0</v>
      </c>
      <c r="CS54" s="241">
        <v>4070</v>
      </c>
      <c r="CT54" s="61"/>
      <c r="CU54" s="297" t="s">
        <v>25</v>
      </c>
      <c r="CV54" s="298"/>
      <c r="CW54" s="299"/>
      <c r="CX54" s="276">
        <f t="shared" ref="CX54:DB54" si="340">SUM(CX53+CX50)</f>
        <v>3877</v>
      </c>
      <c r="CY54" s="277">
        <f t="shared" si="340"/>
        <v>389</v>
      </c>
      <c r="CZ54" s="277">
        <f t="shared" si="340"/>
        <v>305</v>
      </c>
      <c r="DA54" s="277">
        <f t="shared" si="340"/>
        <v>22</v>
      </c>
      <c r="DB54" s="278">
        <f t="shared" si="340"/>
        <v>587</v>
      </c>
      <c r="DC54" s="279">
        <f>SUM(DC50+DC53)</f>
        <v>5180</v>
      </c>
      <c r="DD54" s="280">
        <f t="shared" ref="DD54:DF54" si="341">SUM(DD53+DD50)</f>
        <v>460</v>
      </c>
      <c r="DE54" s="281">
        <f t="shared" si="341"/>
        <v>1503</v>
      </c>
      <c r="DF54" s="282">
        <f t="shared" si="341"/>
        <v>0</v>
      </c>
      <c r="DG54" s="130">
        <f>SUM(DG53+DG50)</f>
        <v>1963</v>
      </c>
      <c r="DH54" s="61"/>
      <c r="DI54" s="297" t="s">
        <v>25</v>
      </c>
      <c r="DJ54" s="298"/>
      <c r="DK54" s="299"/>
      <c r="DL54" s="276">
        <f t="shared" ref="DL54:DP54" si="342">SUM(DL53+DL50)</f>
        <v>7255</v>
      </c>
      <c r="DM54" s="277">
        <f t="shared" si="342"/>
        <v>230</v>
      </c>
      <c r="DN54" s="277">
        <f t="shared" si="342"/>
        <v>329</v>
      </c>
      <c r="DO54" s="277">
        <f t="shared" si="342"/>
        <v>10</v>
      </c>
      <c r="DP54" s="278">
        <f t="shared" si="342"/>
        <v>1413</v>
      </c>
      <c r="DQ54" s="279">
        <f>SUM(DQ50+DQ53)</f>
        <v>9237</v>
      </c>
      <c r="DR54" s="280">
        <f t="shared" ref="DR54:DU54" si="343">SUM(DR53+DR50)</f>
        <v>1566</v>
      </c>
      <c r="DS54" s="281">
        <f t="shared" si="343"/>
        <v>1615</v>
      </c>
      <c r="DT54" s="282">
        <f t="shared" si="343"/>
        <v>0</v>
      </c>
      <c r="DU54" s="292">
        <f t="shared" si="343"/>
        <v>3181</v>
      </c>
      <c r="DV54" s="61"/>
      <c r="DW54" s="297" t="s">
        <v>25</v>
      </c>
      <c r="DX54" s="298"/>
      <c r="DY54" s="299"/>
      <c r="DZ54" s="236">
        <v>7156</v>
      </c>
      <c r="EA54" s="237">
        <v>856</v>
      </c>
      <c r="EB54" s="237">
        <v>456</v>
      </c>
      <c r="EC54" s="237">
        <v>9</v>
      </c>
      <c r="ED54" s="238">
        <v>1347</v>
      </c>
      <c r="EE54" s="239">
        <v>9824</v>
      </c>
      <c r="EF54" s="240">
        <v>1364</v>
      </c>
      <c r="EG54" s="335"/>
      <c r="EH54" s="241">
        <v>0</v>
      </c>
      <c r="EI54" s="241">
        <v>3668</v>
      </c>
      <c r="EJ54" s="61"/>
      <c r="EK54" s="297" t="s">
        <v>25</v>
      </c>
      <c r="EL54" s="298"/>
      <c r="EM54" s="299"/>
      <c r="EN54" s="123">
        <f>SUM(EN53+EN50)</f>
        <v>0</v>
      </c>
      <c r="EO54" s="124">
        <f>SUM(EO53+EO50)</f>
        <v>0</v>
      </c>
      <c r="EP54" s="124">
        <f>SUM(EP53+EP50)</f>
        <v>0</v>
      </c>
      <c r="EQ54" s="124">
        <f>SUM(EQ53+EQ50)</f>
        <v>0</v>
      </c>
      <c r="ER54" s="125">
        <f>SUM(ER53+ER50)</f>
        <v>0</v>
      </c>
      <c r="ES54" s="126">
        <f>SUM(ES50+ES53)</f>
        <v>0</v>
      </c>
      <c r="ET54" s="127">
        <f>SUM(ET53+ET50)</f>
        <v>0</v>
      </c>
      <c r="EU54" s="128">
        <f>SUM(EU53+EU50)</f>
        <v>0</v>
      </c>
      <c r="EV54" s="129">
        <f>SUM(EV53+EV50)</f>
        <v>0</v>
      </c>
      <c r="EW54" s="130">
        <f>SUM(EW53+EW50)</f>
        <v>0</v>
      </c>
      <c r="EX54" s="61"/>
      <c r="EY54" s="297" t="s">
        <v>25</v>
      </c>
      <c r="EZ54" s="298"/>
      <c r="FA54" s="299"/>
      <c r="FB54" s="123">
        <f>SUM(FB53+FB50)</f>
        <v>0</v>
      </c>
      <c r="FC54" s="124">
        <f>SUM(FC53+FC50)</f>
        <v>0</v>
      </c>
      <c r="FD54" s="124">
        <f>SUM(FD53+FD50)</f>
        <v>0</v>
      </c>
      <c r="FE54" s="124">
        <f>SUM(FE53+FE50)</f>
        <v>0</v>
      </c>
      <c r="FF54" s="125">
        <f>SUM(FF53+FF50)</f>
        <v>0</v>
      </c>
      <c r="FG54" s="126">
        <f>SUM(FG50+FG53)</f>
        <v>0</v>
      </c>
      <c r="FH54" s="127">
        <f>SUM(FH53+FH50)</f>
        <v>0</v>
      </c>
      <c r="FI54" s="128">
        <f>SUM(FI53+FI50)</f>
        <v>0</v>
      </c>
      <c r="FJ54" s="129">
        <f>SUM(FJ53+FJ50)</f>
        <v>0</v>
      </c>
      <c r="FK54" s="130">
        <f>SUM(FK53+FK50)</f>
        <v>0</v>
      </c>
      <c r="FM54" s="297" t="s">
        <v>25</v>
      </c>
      <c r="FN54" s="298"/>
      <c r="FO54" s="299"/>
      <c r="FP54" s="123">
        <f>SUM(FP53+FP50)</f>
        <v>64451</v>
      </c>
      <c r="FQ54" s="124">
        <f>SUM(FQ53+FQ50)</f>
        <v>5846</v>
      </c>
      <c r="FR54" s="124">
        <f>SUM(FR53+FR50)</f>
        <v>4417</v>
      </c>
      <c r="FS54" s="124">
        <f>SUM(FS53+FS50)</f>
        <v>247</v>
      </c>
      <c r="FT54" s="125">
        <f>SUM(FT53+FT50)</f>
        <v>12267</v>
      </c>
      <c r="FU54" s="131">
        <f>SUM(FU50+FU53)</f>
        <v>87228</v>
      </c>
      <c r="FV54" s="132">
        <f>SUM(FV53+FV50)</f>
        <v>12515</v>
      </c>
      <c r="FW54" s="124">
        <f>SUM(FW53+FW50)</f>
        <v>22209</v>
      </c>
      <c r="FX54" s="125">
        <f>SUM(FX53+FX50)</f>
        <v>0</v>
      </c>
      <c r="FY54" s="133">
        <f>SUM(FY53+FY50)</f>
        <v>34724</v>
      </c>
      <c r="GA54" s="61"/>
    </row>
    <row r="55" spans="1:183" s="96" customFormat="1" ht="20.100000000000001" customHeight="1" thickTop="1" thickBot="1" x14ac:dyDescent="0.3">
      <c r="A55" s="303" t="s">
        <v>45</v>
      </c>
      <c r="B55" s="306" t="s">
        <v>5</v>
      </c>
      <c r="C55" s="82" t="s">
        <v>20</v>
      </c>
      <c r="D55" s="229">
        <v>3684</v>
      </c>
      <c r="E55" s="230">
        <v>1538</v>
      </c>
      <c r="F55" s="216">
        <v>0</v>
      </c>
      <c r="G55" s="217">
        <v>0</v>
      </c>
      <c r="H55" s="231">
        <v>180</v>
      </c>
      <c r="I55" s="201">
        <v>5402</v>
      </c>
      <c r="J55" s="216">
        <v>429</v>
      </c>
      <c r="K55" s="198">
        <v>600</v>
      </c>
      <c r="L55" s="200">
        <v>0</v>
      </c>
      <c r="M55" s="90">
        <f>SUM(J55:L55)</f>
        <v>1029</v>
      </c>
      <c r="N55" s="91"/>
      <c r="O55" s="303" t="s">
        <v>45</v>
      </c>
      <c r="P55" s="306" t="s">
        <v>5</v>
      </c>
      <c r="Q55" s="82" t="s">
        <v>20</v>
      </c>
      <c r="R55" s="197">
        <v>3654</v>
      </c>
      <c r="S55" s="198">
        <v>93</v>
      </c>
      <c r="T55" s="198">
        <v>191</v>
      </c>
      <c r="U55" s="199">
        <v>0</v>
      </c>
      <c r="V55" s="200">
        <v>185</v>
      </c>
      <c r="W55" s="201">
        <v>4123</v>
      </c>
      <c r="X55" s="198">
        <v>250</v>
      </c>
      <c r="Y55" s="198">
        <v>2163</v>
      </c>
      <c r="Z55" s="200">
        <v>0</v>
      </c>
      <c r="AA55" s="90">
        <f>SUM(X55:Z55)</f>
        <v>2413</v>
      </c>
      <c r="AB55" s="91"/>
      <c r="AC55" s="303" t="s">
        <v>45</v>
      </c>
      <c r="AD55" s="306" t="s">
        <v>5</v>
      </c>
      <c r="AE55" s="82" t="s">
        <v>20</v>
      </c>
      <c r="AF55" s="210">
        <v>5920</v>
      </c>
      <c r="AG55" s="211">
        <v>131</v>
      </c>
      <c r="AH55" s="211">
        <v>241</v>
      </c>
      <c r="AI55" s="212">
        <v>0</v>
      </c>
      <c r="AJ55" s="213">
        <v>350</v>
      </c>
      <c r="AK55" s="214">
        <v>6642</v>
      </c>
      <c r="AL55" s="211">
        <v>652</v>
      </c>
      <c r="AM55" s="211">
        <v>765</v>
      </c>
      <c r="AN55" s="213">
        <v>0</v>
      </c>
      <c r="AO55" s="90">
        <f>SUM(AL55:AN55)</f>
        <v>1417</v>
      </c>
      <c r="AP55" s="91"/>
      <c r="AQ55" s="303" t="s">
        <v>45</v>
      </c>
      <c r="AR55" s="306" t="s">
        <v>5</v>
      </c>
      <c r="AS55" s="82" t="s">
        <v>20</v>
      </c>
      <c r="AT55" s="197">
        <v>3980</v>
      </c>
      <c r="AU55" s="198">
        <v>360</v>
      </c>
      <c r="AV55" s="198">
        <v>112</v>
      </c>
      <c r="AW55" s="199">
        <v>0</v>
      </c>
      <c r="AX55" s="200">
        <v>302</v>
      </c>
      <c r="AY55" s="201">
        <v>4754</v>
      </c>
      <c r="AZ55" s="198">
        <v>467</v>
      </c>
      <c r="BA55" s="198">
        <v>2163</v>
      </c>
      <c r="BB55" s="200">
        <v>0</v>
      </c>
      <c r="BC55" s="242">
        <v>2630</v>
      </c>
      <c r="BD55" s="91"/>
      <c r="BE55" s="303" t="s">
        <v>45</v>
      </c>
      <c r="BF55" s="306" t="s">
        <v>5</v>
      </c>
      <c r="BG55" s="82" t="s">
        <v>20</v>
      </c>
      <c r="BH55" s="197">
        <v>3277</v>
      </c>
      <c r="BI55" s="198">
        <v>134</v>
      </c>
      <c r="BJ55" s="198">
        <v>301</v>
      </c>
      <c r="BK55" s="199">
        <v>0</v>
      </c>
      <c r="BL55" s="200">
        <v>261</v>
      </c>
      <c r="BM55" s="201">
        <v>3672</v>
      </c>
      <c r="BN55" s="198">
        <v>492</v>
      </c>
      <c r="BO55" s="198">
        <v>1153</v>
      </c>
      <c r="BP55" s="200">
        <v>0</v>
      </c>
      <c r="BQ55" s="90">
        <f>SUM(BN55:BP55)</f>
        <v>1645</v>
      </c>
      <c r="BR55" s="91"/>
      <c r="BS55" s="303" t="s">
        <v>45</v>
      </c>
      <c r="BT55" s="306" t="s">
        <v>5</v>
      </c>
      <c r="BU55" s="82" t="s">
        <v>20</v>
      </c>
      <c r="BV55" s="210">
        <v>4129</v>
      </c>
      <c r="BW55" s="211">
        <v>222</v>
      </c>
      <c r="BX55" s="211">
        <v>167</v>
      </c>
      <c r="BY55" s="212">
        <v>0</v>
      </c>
      <c r="BZ55" s="213">
        <v>298</v>
      </c>
      <c r="CA55" s="214">
        <v>4816</v>
      </c>
      <c r="CB55" s="211">
        <v>242</v>
      </c>
      <c r="CC55" s="211">
        <v>804</v>
      </c>
      <c r="CD55" s="213">
        <v>0</v>
      </c>
      <c r="CE55" s="90">
        <f>SUM(CB55:CD55)</f>
        <v>1046</v>
      </c>
      <c r="CF55" s="91"/>
      <c r="CG55" s="303" t="s">
        <v>45</v>
      </c>
      <c r="CH55" s="306" t="s">
        <v>5</v>
      </c>
      <c r="CI55" s="82" t="s">
        <v>20</v>
      </c>
      <c r="CJ55" s="210">
        <v>3544</v>
      </c>
      <c r="CK55" s="211">
        <v>1688</v>
      </c>
      <c r="CL55" s="211">
        <v>67</v>
      </c>
      <c r="CM55" s="212">
        <v>0</v>
      </c>
      <c r="CN55" s="213">
        <v>518</v>
      </c>
      <c r="CO55" s="214">
        <v>5817</v>
      </c>
      <c r="CP55" s="211">
        <v>468</v>
      </c>
      <c r="CQ55" s="211">
        <v>251</v>
      </c>
      <c r="CR55" s="213">
        <v>0</v>
      </c>
      <c r="CS55" s="244">
        <v>719</v>
      </c>
      <c r="CT55" s="91"/>
      <c r="CU55" s="303" t="s">
        <v>45</v>
      </c>
      <c r="CV55" s="306" t="s">
        <v>5</v>
      </c>
      <c r="CW55" s="82" t="s">
        <v>20</v>
      </c>
      <c r="CX55" s="247">
        <v>4129</v>
      </c>
      <c r="CY55" s="248">
        <v>222</v>
      </c>
      <c r="CZ55" s="248">
        <v>167</v>
      </c>
      <c r="DA55" s="249">
        <v>0</v>
      </c>
      <c r="DB55" s="250">
        <v>298</v>
      </c>
      <c r="DC55" s="283">
        <v>4816</v>
      </c>
      <c r="DD55" s="248">
        <v>242</v>
      </c>
      <c r="DE55" s="248">
        <v>804</v>
      </c>
      <c r="DF55" s="250">
        <v>0</v>
      </c>
      <c r="DG55" s="90">
        <f>SUM(DD55:DF55)</f>
        <v>1046</v>
      </c>
      <c r="DH55" s="91"/>
      <c r="DI55" s="303" t="s">
        <v>45</v>
      </c>
      <c r="DJ55" s="306" t="s">
        <v>5</v>
      </c>
      <c r="DK55" s="82" t="s">
        <v>20</v>
      </c>
      <c r="DL55" s="285">
        <v>1240</v>
      </c>
      <c r="DM55" s="253">
        <v>145</v>
      </c>
      <c r="DN55" s="253">
        <v>0</v>
      </c>
      <c r="DO55" s="286">
        <v>0</v>
      </c>
      <c r="DP55" s="287">
        <v>127</v>
      </c>
      <c r="DQ55" s="251">
        <f t="shared" ref="DQ55:DQ56" si="344">SUM(DL55:DP55)</f>
        <v>1512</v>
      </c>
      <c r="DR55" s="252">
        <v>208</v>
      </c>
      <c r="DS55" s="253">
        <v>889</v>
      </c>
      <c r="DT55" s="254">
        <v>0</v>
      </c>
      <c r="DU55" s="288">
        <f t="shared" ref="DU55:DU56" si="345">SUM(DR55:DT55)</f>
        <v>1097</v>
      </c>
      <c r="DV55" s="91"/>
      <c r="DW55" s="303" t="s">
        <v>45</v>
      </c>
      <c r="DX55" s="306" t="s">
        <v>5</v>
      </c>
      <c r="DY55" s="82" t="s">
        <v>20</v>
      </c>
      <c r="DZ55" s="83">
        <v>2656</v>
      </c>
      <c r="EA55" s="84">
        <v>81</v>
      </c>
      <c r="EB55" s="84">
        <v>189</v>
      </c>
      <c r="EC55" s="85">
        <v>0</v>
      </c>
      <c r="ED55" s="86">
        <v>155</v>
      </c>
      <c r="EE55" s="87">
        <f>SUM(DZ55:ED55)</f>
        <v>3081</v>
      </c>
      <c r="EF55" s="88">
        <v>40</v>
      </c>
      <c r="EG55" s="84">
        <v>2163</v>
      </c>
      <c r="EH55" s="89">
        <v>0</v>
      </c>
      <c r="EI55" s="90">
        <f>SUM(EF55:EH55)</f>
        <v>2203</v>
      </c>
      <c r="EJ55" s="91"/>
      <c r="EK55" s="303" t="s">
        <v>45</v>
      </c>
      <c r="EL55" s="306" t="s">
        <v>5</v>
      </c>
      <c r="EM55" s="82" t="s">
        <v>20</v>
      </c>
      <c r="EN55" s="83">
        <v>0</v>
      </c>
      <c r="EO55" s="84">
        <v>0</v>
      </c>
      <c r="EP55" s="84">
        <v>0</v>
      </c>
      <c r="EQ55" s="85">
        <v>0</v>
      </c>
      <c r="ER55" s="86">
        <v>0</v>
      </c>
      <c r="ES55" s="87">
        <f>SUM(EN55:ER55)</f>
        <v>0</v>
      </c>
      <c r="ET55" s="88">
        <v>0</v>
      </c>
      <c r="EU55" s="84">
        <v>0</v>
      </c>
      <c r="EV55" s="89">
        <v>0</v>
      </c>
      <c r="EW55" s="90">
        <f>SUM(ET55:EV55)</f>
        <v>0</v>
      </c>
      <c r="EX55" s="91"/>
      <c r="EY55" s="303" t="s">
        <v>45</v>
      </c>
      <c r="EZ55" s="306" t="s">
        <v>5</v>
      </c>
      <c r="FA55" s="82" t="s">
        <v>20</v>
      </c>
      <c r="FB55" s="83">
        <v>0</v>
      </c>
      <c r="FC55" s="84">
        <v>0</v>
      </c>
      <c r="FD55" s="84">
        <v>0</v>
      </c>
      <c r="FE55" s="85">
        <v>0</v>
      </c>
      <c r="FF55" s="86">
        <v>0</v>
      </c>
      <c r="FG55" s="87">
        <f>SUM(FB55:FF55)</f>
        <v>0</v>
      </c>
      <c r="FH55" s="88">
        <v>0</v>
      </c>
      <c r="FI55" s="84">
        <v>0</v>
      </c>
      <c r="FJ55" s="89">
        <v>0</v>
      </c>
      <c r="FK55" s="90">
        <f>SUM(FH55:FJ55)</f>
        <v>0</v>
      </c>
      <c r="FL55" s="147"/>
      <c r="FM55" s="303" t="str">
        <f>EY55</f>
        <v>الواحة</v>
      </c>
      <c r="FN55" s="306" t="s">
        <v>5</v>
      </c>
      <c r="FO55" s="82" t="s">
        <v>20</v>
      </c>
      <c r="FP55" s="83">
        <f t="shared" ref="FP55:FP56" si="346">SUM(D55+R55+AF55+AT55+BH55+BV55+CJ55+CX55+DL55+DZ55+EN55+FB55)</f>
        <v>36213</v>
      </c>
      <c r="FQ55" s="83">
        <f t="shared" ref="FQ55:FQ56" si="347">SUM(E55+S55+AG55+AU55+BI55+BW55+CK55+CY55+DM55+EA55+EO55+FC55)</f>
        <v>4614</v>
      </c>
      <c r="FR55" s="83">
        <f t="shared" ref="FR55:FR56" si="348">SUM(F55+T55+AH55+AV55+BJ55+BX55+CL55+CZ55+DN55+EB55+EP55+FD55)</f>
        <v>1435</v>
      </c>
      <c r="FS55" s="149">
        <f t="shared" ref="FS55:FS56" si="349">SUM(G55+U55+AI55+AW55+BK55+BY55+CM55+DA55+DO55+EC55+EQ55+FE55)</f>
        <v>0</v>
      </c>
      <c r="FT55" s="83">
        <f t="shared" ref="FT55:FT56" si="350">SUM(H55+V55+AJ55+AX55+BL55+BZ55+CN55+DB55+DP55+ED55+ER55+FF55)</f>
        <v>2674</v>
      </c>
      <c r="FU55" s="93">
        <f>SUM(FP55:FT55)</f>
        <v>44936</v>
      </c>
      <c r="FV55" s="88">
        <f t="shared" ref="FV55:FV56" si="351">SUM(J55+X55+AL55+AZ55+BN55+CB55+CP55+DD55+DR55+EF55+ET55+FH55)</f>
        <v>3490</v>
      </c>
      <c r="FW55" s="88">
        <f t="shared" ref="FW55:FW56" si="352">SUM(K55+Y55+AM55+BA55+BO55+CC55+CQ55+DE55+DS55+EG55+EU55+FI55)</f>
        <v>11755</v>
      </c>
      <c r="FX55" s="88">
        <f t="shared" ref="FX55:FX56" si="353">SUM(L55+Z55+AN55+BB55+BP55+CD55+CR55+DF55+DT55+EH55+EV55+FJ55)</f>
        <v>0</v>
      </c>
      <c r="FY55" s="94">
        <f>SUM(FV55:FX55)</f>
        <v>15245</v>
      </c>
      <c r="FZ55" s="95"/>
      <c r="GA55" s="91"/>
    </row>
    <row r="56" spans="1:183" s="96" customFormat="1" ht="20.100000000000001" customHeight="1" thickBot="1" x14ac:dyDescent="0.3">
      <c r="A56" s="304"/>
      <c r="B56" s="307"/>
      <c r="C56" s="97" t="s">
        <v>21</v>
      </c>
      <c r="D56" s="232">
        <v>3324</v>
      </c>
      <c r="E56" s="220">
        <v>1430</v>
      </c>
      <c r="F56" s="203">
        <v>0</v>
      </c>
      <c r="G56" s="203">
        <v>25</v>
      </c>
      <c r="H56" s="204">
        <v>162</v>
      </c>
      <c r="I56" s="205">
        <v>4941</v>
      </c>
      <c r="J56" s="233">
        <v>419</v>
      </c>
      <c r="K56" s="203">
        <v>920</v>
      </c>
      <c r="L56" s="204">
        <v>0</v>
      </c>
      <c r="M56" s="104">
        <f>SUM(J56:L56)</f>
        <v>1339</v>
      </c>
      <c r="N56" s="91"/>
      <c r="O56" s="304"/>
      <c r="P56" s="307"/>
      <c r="Q56" s="97" t="s">
        <v>21</v>
      </c>
      <c r="R56" s="202">
        <v>3106</v>
      </c>
      <c r="S56" s="203">
        <v>111</v>
      </c>
      <c r="T56" s="203">
        <v>280</v>
      </c>
      <c r="U56" s="203">
        <v>54</v>
      </c>
      <c r="V56" s="204">
        <v>186</v>
      </c>
      <c r="W56" s="205">
        <v>3737</v>
      </c>
      <c r="X56" s="203">
        <v>245</v>
      </c>
      <c r="Y56" s="203">
        <v>3443</v>
      </c>
      <c r="Z56" s="204">
        <v>0</v>
      </c>
      <c r="AA56" s="104">
        <f>SUM(X56:Z56)</f>
        <v>3688</v>
      </c>
      <c r="AB56" s="91"/>
      <c r="AC56" s="304"/>
      <c r="AD56" s="307"/>
      <c r="AE56" s="97" t="s">
        <v>21</v>
      </c>
      <c r="AF56" s="202">
        <v>4940</v>
      </c>
      <c r="AG56" s="203">
        <v>128</v>
      </c>
      <c r="AH56" s="203">
        <v>167</v>
      </c>
      <c r="AI56" s="203">
        <v>40</v>
      </c>
      <c r="AJ56" s="204">
        <v>315</v>
      </c>
      <c r="AK56" s="205">
        <v>5590</v>
      </c>
      <c r="AL56" s="203">
        <v>589</v>
      </c>
      <c r="AM56" s="203">
        <v>1591</v>
      </c>
      <c r="AN56" s="204">
        <v>0</v>
      </c>
      <c r="AO56" s="104">
        <f>SUM(AL56:AN56)</f>
        <v>2180</v>
      </c>
      <c r="AP56" s="91"/>
      <c r="AQ56" s="304"/>
      <c r="AR56" s="307"/>
      <c r="AS56" s="97" t="s">
        <v>21</v>
      </c>
      <c r="AT56" s="202">
        <v>4261</v>
      </c>
      <c r="AU56" s="203">
        <v>340</v>
      </c>
      <c r="AV56" s="203">
        <v>199</v>
      </c>
      <c r="AW56" s="203">
        <v>77</v>
      </c>
      <c r="AX56" s="204">
        <v>273</v>
      </c>
      <c r="AY56" s="205">
        <v>5150</v>
      </c>
      <c r="AZ56" s="203">
        <v>455</v>
      </c>
      <c r="BA56" s="203">
        <v>3144</v>
      </c>
      <c r="BB56" s="204">
        <v>0</v>
      </c>
      <c r="BC56" s="208">
        <v>3599</v>
      </c>
      <c r="BD56" s="91"/>
      <c r="BE56" s="304"/>
      <c r="BF56" s="307"/>
      <c r="BG56" s="97" t="s">
        <v>21</v>
      </c>
      <c r="BH56" s="202">
        <v>4532</v>
      </c>
      <c r="BI56" s="203">
        <v>125</v>
      </c>
      <c r="BJ56" s="203">
        <v>106</v>
      </c>
      <c r="BK56" s="203">
        <v>91</v>
      </c>
      <c r="BL56" s="204">
        <v>264</v>
      </c>
      <c r="BM56" s="205">
        <v>5012</v>
      </c>
      <c r="BN56" s="203">
        <v>561</v>
      </c>
      <c r="BO56" s="203">
        <v>1717</v>
      </c>
      <c r="BP56" s="204">
        <v>0</v>
      </c>
      <c r="BQ56" s="104">
        <f>SUM(BN56:BP56)</f>
        <v>2278</v>
      </c>
      <c r="BR56" s="91"/>
      <c r="BS56" s="304"/>
      <c r="BT56" s="307"/>
      <c r="BU56" s="97" t="s">
        <v>21</v>
      </c>
      <c r="BV56" s="202">
        <v>4102</v>
      </c>
      <c r="BW56" s="203">
        <v>318</v>
      </c>
      <c r="BX56" s="203">
        <v>241</v>
      </c>
      <c r="BY56" s="203">
        <v>25</v>
      </c>
      <c r="BZ56" s="204">
        <v>277</v>
      </c>
      <c r="CA56" s="205">
        <v>4963</v>
      </c>
      <c r="CB56" s="203">
        <v>213</v>
      </c>
      <c r="CC56" s="203">
        <v>1081</v>
      </c>
      <c r="CD56" s="204">
        <v>0</v>
      </c>
      <c r="CE56" s="104">
        <f>SUM(CB56:CD56)</f>
        <v>1294</v>
      </c>
      <c r="CF56" s="91"/>
      <c r="CG56" s="304"/>
      <c r="CH56" s="307"/>
      <c r="CI56" s="97" t="s">
        <v>21</v>
      </c>
      <c r="CJ56" s="202">
        <v>3005</v>
      </c>
      <c r="CK56" s="203">
        <v>1540</v>
      </c>
      <c r="CL56" s="203">
        <v>172</v>
      </c>
      <c r="CM56" s="203">
        <v>55</v>
      </c>
      <c r="CN56" s="204">
        <v>497</v>
      </c>
      <c r="CO56" s="205">
        <v>5269</v>
      </c>
      <c r="CP56" s="203">
        <v>350</v>
      </c>
      <c r="CQ56" s="203">
        <v>467</v>
      </c>
      <c r="CR56" s="204">
        <v>0</v>
      </c>
      <c r="CS56" s="208">
        <v>817</v>
      </c>
      <c r="CT56" s="91"/>
      <c r="CU56" s="304"/>
      <c r="CV56" s="307"/>
      <c r="CW56" s="97" t="s">
        <v>21</v>
      </c>
      <c r="CX56" s="255">
        <v>4102</v>
      </c>
      <c r="CY56" s="256">
        <v>318</v>
      </c>
      <c r="CZ56" s="256">
        <v>241</v>
      </c>
      <c r="DA56" s="256">
        <v>25</v>
      </c>
      <c r="DB56" s="257">
        <v>277</v>
      </c>
      <c r="DC56" s="284">
        <v>4963</v>
      </c>
      <c r="DD56" s="256">
        <v>213</v>
      </c>
      <c r="DE56" s="256">
        <v>1081</v>
      </c>
      <c r="DF56" s="257">
        <v>0</v>
      </c>
      <c r="DG56" s="104">
        <f>SUM(DD56:DF56)</f>
        <v>1294</v>
      </c>
      <c r="DH56" s="91"/>
      <c r="DI56" s="304"/>
      <c r="DJ56" s="307"/>
      <c r="DK56" s="97" t="s">
        <v>21</v>
      </c>
      <c r="DL56" s="274">
        <v>1573</v>
      </c>
      <c r="DM56" s="260">
        <v>137</v>
      </c>
      <c r="DN56" s="260">
        <v>0</v>
      </c>
      <c r="DO56" s="260">
        <v>3</v>
      </c>
      <c r="DP56" s="275">
        <v>107</v>
      </c>
      <c r="DQ56" s="258">
        <f t="shared" si="344"/>
        <v>1820</v>
      </c>
      <c r="DR56" s="259">
        <v>172</v>
      </c>
      <c r="DS56" s="260">
        <v>1416</v>
      </c>
      <c r="DT56" s="261">
        <v>0</v>
      </c>
      <c r="DU56" s="289">
        <f t="shared" si="345"/>
        <v>1588</v>
      </c>
      <c r="DV56" s="91"/>
      <c r="DW56" s="304"/>
      <c r="DX56" s="307"/>
      <c r="DY56" s="97" t="s">
        <v>21</v>
      </c>
      <c r="DZ56" s="98">
        <v>3011</v>
      </c>
      <c r="EA56" s="99">
        <v>60</v>
      </c>
      <c r="EB56" s="99">
        <v>266</v>
      </c>
      <c r="EC56" s="99">
        <v>13</v>
      </c>
      <c r="ED56" s="100">
        <v>181</v>
      </c>
      <c r="EE56" s="101">
        <f>SUM(DZ56:ED56)</f>
        <v>3531</v>
      </c>
      <c r="EF56" s="102">
        <v>15</v>
      </c>
      <c r="EG56" s="99">
        <v>3144</v>
      </c>
      <c r="EH56" s="103">
        <v>0</v>
      </c>
      <c r="EI56" s="104">
        <f>SUM(EF56:EH56)</f>
        <v>3159</v>
      </c>
      <c r="EJ56" s="91"/>
      <c r="EK56" s="304"/>
      <c r="EL56" s="307"/>
      <c r="EM56" s="97" t="s">
        <v>21</v>
      </c>
      <c r="EN56" s="98">
        <v>0</v>
      </c>
      <c r="EO56" s="99">
        <v>0</v>
      </c>
      <c r="EP56" s="99">
        <v>0</v>
      </c>
      <c r="EQ56" s="99">
        <v>0</v>
      </c>
      <c r="ER56" s="100">
        <v>0</v>
      </c>
      <c r="ES56" s="101">
        <f>SUM(EN56:ER56)</f>
        <v>0</v>
      </c>
      <c r="ET56" s="102">
        <v>0</v>
      </c>
      <c r="EU56" s="99">
        <v>0</v>
      </c>
      <c r="EV56" s="103">
        <v>0</v>
      </c>
      <c r="EW56" s="104">
        <f>SUM(ET56:EV56)</f>
        <v>0</v>
      </c>
      <c r="EX56" s="91"/>
      <c r="EY56" s="304"/>
      <c r="EZ56" s="307"/>
      <c r="FA56" s="97" t="s">
        <v>21</v>
      </c>
      <c r="FB56" s="98">
        <v>0</v>
      </c>
      <c r="FC56" s="99">
        <v>0</v>
      </c>
      <c r="FD56" s="99">
        <v>0</v>
      </c>
      <c r="FE56" s="99">
        <v>0</v>
      </c>
      <c r="FF56" s="100">
        <v>0</v>
      </c>
      <c r="FG56" s="101">
        <f>SUM(FB56:FF56)</f>
        <v>0</v>
      </c>
      <c r="FH56" s="102">
        <v>0</v>
      </c>
      <c r="FI56" s="99">
        <v>0</v>
      </c>
      <c r="FJ56" s="103">
        <v>0</v>
      </c>
      <c r="FK56" s="104">
        <f>SUM(FH56:FJ56)</f>
        <v>0</v>
      </c>
      <c r="FL56" s="147"/>
      <c r="FM56" s="304"/>
      <c r="FN56" s="307"/>
      <c r="FO56" s="97" t="s">
        <v>21</v>
      </c>
      <c r="FP56" s="83">
        <f t="shared" si="346"/>
        <v>35956</v>
      </c>
      <c r="FQ56" s="83">
        <f t="shared" si="347"/>
        <v>4507</v>
      </c>
      <c r="FR56" s="83">
        <f t="shared" si="348"/>
        <v>1672</v>
      </c>
      <c r="FS56" s="83">
        <f t="shared" si="349"/>
        <v>408</v>
      </c>
      <c r="FT56" s="83">
        <f t="shared" si="350"/>
        <v>2539</v>
      </c>
      <c r="FU56" s="101">
        <f>SUM(FP56:FT56)</f>
        <v>45082</v>
      </c>
      <c r="FV56" s="88">
        <f t="shared" si="351"/>
        <v>3232</v>
      </c>
      <c r="FW56" s="88">
        <f t="shared" si="352"/>
        <v>18004</v>
      </c>
      <c r="FX56" s="88">
        <f t="shared" si="353"/>
        <v>0</v>
      </c>
      <c r="FY56" s="106">
        <f>SUM(FV56:FX56)</f>
        <v>21236</v>
      </c>
      <c r="FZ56" s="95"/>
      <c r="GA56" s="91"/>
    </row>
    <row r="57" spans="1:183" s="96" customFormat="1" ht="20.100000000000001" customHeight="1" thickBot="1" x14ac:dyDescent="0.25">
      <c r="A57" s="304"/>
      <c r="B57" s="308" t="s">
        <v>22</v>
      </c>
      <c r="C57" s="311"/>
      <c r="D57" s="206">
        <v>7008</v>
      </c>
      <c r="E57" s="207">
        <v>2968</v>
      </c>
      <c r="F57" s="207">
        <v>0</v>
      </c>
      <c r="G57" s="207">
        <v>25</v>
      </c>
      <c r="H57" s="208">
        <v>342</v>
      </c>
      <c r="I57" s="209">
        <v>10343</v>
      </c>
      <c r="J57" s="207">
        <v>848</v>
      </c>
      <c r="K57" s="207">
        <v>1520</v>
      </c>
      <c r="L57" s="208">
        <v>0</v>
      </c>
      <c r="M57" s="112">
        <f t="shared" ref="M57" si="354">SUM(M55:M56)</f>
        <v>2368</v>
      </c>
      <c r="N57" s="91"/>
      <c r="O57" s="304"/>
      <c r="P57" s="308" t="s">
        <v>22</v>
      </c>
      <c r="Q57" s="311"/>
      <c r="R57" s="206">
        <v>6760</v>
      </c>
      <c r="S57" s="207">
        <v>204</v>
      </c>
      <c r="T57" s="207">
        <v>471</v>
      </c>
      <c r="U57" s="207">
        <v>54</v>
      </c>
      <c r="V57" s="208">
        <v>371</v>
      </c>
      <c r="W57" s="209">
        <v>7860</v>
      </c>
      <c r="X57" s="207">
        <v>495</v>
      </c>
      <c r="Y57" s="207">
        <v>5606</v>
      </c>
      <c r="Z57" s="208">
        <v>0</v>
      </c>
      <c r="AA57" s="112">
        <f t="shared" ref="AA57" si="355">SUM(AA55:AA56)</f>
        <v>6101</v>
      </c>
      <c r="AB57" s="91"/>
      <c r="AC57" s="304"/>
      <c r="AD57" s="308" t="s">
        <v>22</v>
      </c>
      <c r="AE57" s="311"/>
      <c r="AF57" s="206">
        <v>10860</v>
      </c>
      <c r="AG57" s="207">
        <v>259</v>
      </c>
      <c r="AH57" s="207">
        <v>408</v>
      </c>
      <c r="AI57" s="207">
        <v>40</v>
      </c>
      <c r="AJ57" s="208">
        <v>665</v>
      </c>
      <c r="AK57" s="209">
        <v>12232</v>
      </c>
      <c r="AL57" s="207">
        <v>1241</v>
      </c>
      <c r="AM57" s="207">
        <v>2356</v>
      </c>
      <c r="AN57" s="208">
        <v>0</v>
      </c>
      <c r="AO57" s="112">
        <f t="shared" ref="AO57" si="356">SUM(AO55:AO56)</f>
        <v>3597</v>
      </c>
      <c r="AP57" s="91"/>
      <c r="AQ57" s="304"/>
      <c r="AR57" s="308" t="s">
        <v>22</v>
      </c>
      <c r="AS57" s="311"/>
      <c r="AT57" s="206">
        <v>8241</v>
      </c>
      <c r="AU57" s="207">
        <v>700</v>
      </c>
      <c r="AV57" s="207">
        <v>311</v>
      </c>
      <c r="AW57" s="207">
        <v>77</v>
      </c>
      <c r="AX57" s="208">
        <v>575</v>
      </c>
      <c r="AY57" s="209">
        <v>9904</v>
      </c>
      <c r="AZ57" s="207">
        <v>922</v>
      </c>
      <c r="BA57" s="207">
        <v>5307</v>
      </c>
      <c r="BB57" s="208">
        <v>0</v>
      </c>
      <c r="BC57" s="243">
        <v>6229</v>
      </c>
      <c r="BD57" s="91"/>
      <c r="BE57" s="304"/>
      <c r="BF57" s="308" t="s">
        <v>22</v>
      </c>
      <c r="BG57" s="311"/>
      <c r="BH57" s="206">
        <v>7809</v>
      </c>
      <c r="BI57" s="207">
        <v>259</v>
      </c>
      <c r="BJ57" s="207">
        <v>0</v>
      </c>
      <c r="BK57" s="207">
        <v>91</v>
      </c>
      <c r="BL57" s="208">
        <v>525</v>
      </c>
      <c r="BM57" s="209">
        <v>8684</v>
      </c>
      <c r="BN57" s="207">
        <v>1053</v>
      </c>
      <c r="BO57" s="207">
        <v>2870</v>
      </c>
      <c r="BP57" s="208">
        <v>0</v>
      </c>
      <c r="BQ57" s="112">
        <f t="shared" ref="BQ57" si="357">SUM(BQ55:BQ56)</f>
        <v>3923</v>
      </c>
      <c r="BR57" s="91"/>
      <c r="BS57" s="304"/>
      <c r="BT57" s="308" t="s">
        <v>22</v>
      </c>
      <c r="BU57" s="311"/>
      <c r="BV57" s="206">
        <v>8231</v>
      </c>
      <c r="BW57" s="207">
        <v>540</v>
      </c>
      <c r="BX57" s="207">
        <v>408</v>
      </c>
      <c r="BY57" s="207">
        <v>25</v>
      </c>
      <c r="BZ57" s="208">
        <v>575</v>
      </c>
      <c r="CA57" s="209">
        <v>9779</v>
      </c>
      <c r="CB57" s="207">
        <v>455</v>
      </c>
      <c r="CC57" s="207">
        <v>1885</v>
      </c>
      <c r="CD57" s="208">
        <v>0</v>
      </c>
      <c r="CE57" s="112">
        <f t="shared" ref="CE57" si="358">SUM(CE55:CE56)</f>
        <v>2340</v>
      </c>
      <c r="CF57" s="91"/>
      <c r="CG57" s="304"/>
      <c r="CH57" s="308" t="s">
        <v>22</v>
      </c>
      <c r="CI57" s="311"/>
      <c r="CJ57" s="206">
        <v>6549</v>
      </c>
      <c r="CK57" s="207">
        <v>3228</v>
      </c>
      <c r="CL57" s="207">
        <v>239</v>
      </c>
      <c r="CM57" s="207">
        <v>55</v>
      </c>
      <c r="CN57" s="208">
        <v>1015</v>
      </c>
      <c r="CO57" s="209">
        <v>11086</v>
      </c>
      <c r="CP57" s="207">
        <v>818</v>
      </c>
      <c r="CQ57" s="207">
        <v>718</v>
      </c>
      <c r="CR57" s="208">
        <v>0</v>
      </c>
      <c r="CS57" s="243">
        <v>1536</v>
      </c>
      <c r="CT57" s="91"/>
      <c r="CU57" s="304"/>
      <c r="CV57" s="308" t="s">
        <v>22</v>
      </c>
      <c r="CW57" s="311"/>
      <c r="CX57" s="262">
        <f t="shared" ref="CX57:DF57" si="359">SUM(CX55:CX56)</f>
        <v>8231</v>
      </c>
      <c r="CY57" s="263">
        <f t="shared" si="359"/>
        <v>540</v>
      </c>
      <c r="CZ57" s="263">
        <f t="shared" si="359"/>
        <v>408</v>
      </c>
      <c r="DA57" s="263">
        <f t="shared" si="359"/>
        <v>25</v>
      </c>
      <c r="DB57" s="264">
        <f t="shared" si="359"/>
        <v>575</v>
      </c>
      <c r="DC57" s="265">
        <f t="shared" si="359"/>
        <v>9779</v>
      </c>
      <c r="DD57" s="266">
        <f t="shared" si="359"/>
        <v>455</v>
      </c>
      <c r="DE57" s="263">
        <f t="shared" si="359"/>
        <v>1885</v>
      </c>
      <c r="DF57" s="264">
        <f t="shared" si="359"/>
        <v>0</v>
      </c>
      <c r="DG57" s="112">
        <f t="shared" ref="DG57" si="360">SUM(DG55:DG56)</f>
        <v>2340</v>
      </c>
      <c r="DH57" s="91"/>
      <c r="DI57" s="304"/>
      <c r="DJ57" s="308" t="s">
        <v>22</v>
      </c>
      <c r="DK57" s="311"/>
      <c r="DL57" s="262">
        <f t="shared" ref="DL57:DU57" si="361">SUM(DL55:DL56)</f>
        <v>2813</v>
      </c>
      <c r="DM57" s="263">
        <f t="shared" si="361"/>
        <v>282</v>
      </c>
      <c r="DN57" s="263">
        <f t="shared" si="361"/>
        <v>0</v>
      </c>
      <c r="DO57" s="263">
        <f t="shared" si="361"/>
        <v>3</v>
      </c>
      <c r="DP57" s="264">
        <f t="shared" si="361"/>
        <v>234</v>
      </c>
      <c r="DQ57" s="265">
        <f t="shared" si="361"/>
        <v>3332</v>
      </c>
      <c r="DR57" s="266">
        <f t="shared" si="361"/>
        <v>380</v>
      </c>
      <c r="DS57" s="263">
        <f t="shared" si="361"/>
        <v>2305</v>
      </c>
      <c r="DT57" s="264">
        <f t="shared" si="361"/>
        <v>0</v>
      </c>
      <c r="DU57" s="290">
        <f t="shared" si="361"/>
        <v>2685</v>
      </c>
      <c r="DV57" s="91"/>
      <c r="DW57" s="304"/>
      <c r="DX57" s="308" t="s">
        <v>22</v>
      </c>
      <c r="DY57" s="311"/>
      <c r="DZ57" s="107">
        <f t="shared" ref="DZ57:EI57" si="362">SUM(DZ55:DZ56)</f>
        <v>5667</v>
      </c>
      <c r="EA57" s="108">
        <f t="shared" si="362"/>
        <v>141</v>
      </c>
      <c r="EB57" s="108">
        <f t="shared" si="362"/>
        <v>455</v>
      </c>
      <c r="EC57" s="108">
        <f t="shared" si="362"/>
        <v>13</v>
      </c>
      <c r="ED57" s="109">
        <f t="shared" si="362"/>
        <v>336</v>
      </c>
      <c r="EE57" s="110">
        <f t="shared" si="362"/>
        <v>6612</v>
      </c>
      <c r="EF57" s="111">
        <f t="shared" si="362"/>
        <v>55</v>
      </c>
      <c r="EG57" s="108">
        <f t="shared" si="362"/>
        <v>5307</v>
      </c>
      <c r="EH57" s="109">
        <f t="shared" si="362"/>
        <v>0</v>
      </c>
      <c r="EI57" s="112">
        <f t="shared" si="362"/>
        <v>5362</v>
      </c>
      <c r="EJ57" s="91"/>
      <c r="EK57" s="304"/>
      <c r="EL57" s="308" t="s">
        <v>22</v>
      </c>
      <c r="EM57" s="311"/>
      <c r="EN57" s="107">
        <f t="shared" ref="EN57:EW57" si="363">SUM(EN55:EN56)</f>
        <v>0</v>
      </c>
      <c r="EO57" s="108">
        <f t="shared" si="363"/>
        <v>0</v>
      </c>
      <c r="EP57" s="108">
        <f t="shared" si="363"/>
        <v>0</v>
      </c>
      <c r="EQ57" s="108">
        <f t="shared" si="363"/>
        <v>0</v>
      </c>
      <c r="ER57" s="109">
        <f t="shared" si="363"/>
        <v>0</v>
      </c>
      <c r="ES57" s="110">
        <f t="shared" si="363"/>
        <v>0</v>
      </c>
      <c r="ET57" s="111">
        <f t="shared" si="363"/>
        <v>0</v>
      </c>
      <c r="EU57" s="108">
        <f t="shared" si="363"/>
        <v>0</v>
      </c>
      <c r="EV57" s="109">
        <f t="shared" si="363"/>
        <v>0</v>
      </c>
      <c r="EW57" s="112">
        <f t="shared" si="363"/>
        <v>0</v>
      </c>
      <c r="EX57" s="91"/>
      <c r="EY57" s="304"/>
      <c r="EZ57" s="308" t="s">
        <v>22</v>
      </c>
      <c r="FA57" s="311"/>
      <c r="FB57" s="107">
        <f t="shared" ref="FB57:FK57" si="364">SUM(FB55:FB56)</f>
        <v>0</v>
      </c>
      <c r="FC57" s="108">
        <f t="shared" si="364"/>
        <v>0</v>
      </c>
      <c r="FD57" s="108">
        <f t="shared" si="364"/>
        <v>0</v>
      </c>
      <c r="FE57" s="108">
        <f t="shared" si="364"/>
        <v>0</v>
      </c>
      <c r="FF57" s="109">
        <f t="shared" si="364"/>
        <v>0</v>
      </c>
      <c r="FG57" s="110">
        <f t="shared" si="364"/>
        <v>0</v>
      </c>
      <c r="FH57" s="111">
        <f t="shared" si="364"/>
        <v>0</v>
      </c>
      <c r="FI57" s="108">
        <f t="shared" si="364"/>
        <v>0</v>
      </c>
      <c r="FJ57" s="109">
        <f t="shared" si="364"/>
        <v>0</v>
      </c>
      <c r="FK57" s="112">
        <f t="shared" si="364"/>
        <v>0</v>
      </c>
      <c r="FL57" s="147"/>
      <c r="FM57" s="304"/>
      <c r="FN57" s="308" t="s">
        <v>22</v>
      </c>
      <c r="FO57" s="311"/>
      <c r="FP57" s="107">
        <f t="shared" ref="FP57:FY57" si="365">SUM(FP55:FP56)</f>
        <v>72169</v>
      </c>
      <c r="FQ57" s="108">
        <f t="shared" si="365"/>
        <v>9121</v>
      </c>
      <c r="FR57" s="108">
        <f t="shared" si="365"/>
        <v>3107</v>
      </c>
      <c r="FS57" s="108">
        <f t="shared" si="365"/>
        <v>408</v>
      </c>
      <c r="FT57" s="109">
        <f t="shared" si="365"/>
        <v>5213</v>
      </c>
      <c r="FU57" s="113">
        <f t="shared" si="365"/>
        <v>90018</v>
      </c>
      <c r="FV57" s="111">
        <f t="shared" si="365"/>
        <v>6722</v>
      </c>
      <c r="FW57" s="108">
        <f t="shared" si="365"/>
        <v>29759</v>
      </c>
      <c r="FX57" s="109">
        <f t="shared" si="365"/>
        <v>0</v>
      </c>
      <c r="FY57" s="114">
        <f t="shared" si="365"/>
        <v>36481</v>
      </c>
      <c r="FZ57" s="95"/>
      <c r="GA57" s="91"/>
    </row>
    <row r="58" spans="1:183" s="96" customFormat="1" ht="20.100000000000001" customHeight="1" thickTop="1" thickBot="1" x14ac:dyDescent="0.3">
      <c r="A58" s="304"/>
      <c r="B58" s="300" t="s">
        <v>23</v>
      </c>
      <c r="C58" s="82" t="s">
        <v>20</v>
      </c>
      <c r="D58" s="219">
        <v>532</v>
      </c>
      <c r="E58" s="211">
        <v>167</v>
      </c>
      <c r="F58" s="211">
        <v>0</v>
      </c>
      <c r="G58" s="212">
        <v>0</v>
      </c>
      <c r="H58" s="213">
        <v>102</v>
      </c>
      <c r="I58" s="214">
        <v>801</v>
      </c>
      <c r="J58" s="220">
        <v>52</v>
      </c>
      <c r="K58" s="211">
        <v>105</v>
      </c>
      <c r="L58" s="213">
        <v>0</v>
      </c>
      <c r="M58" s="121">
        <f>SUM(J58:L58)</f>
        <v>157</v>
      </c>
      <c r="N58" s="91"/>
      <c r="O58" s="304"/>
      <c r="P58" s="300" t="s">
        <v>23</v>
      </c>
      <c r="Q58" s="82" t="s">
        <v>20</v>
      </c>
      <c r="R58" s="210">
        <v>845</v>
      </c>
      <c r="S58" s="211">
        <v>33</v>
      </c>
      <c r="T58" s="211">
        <v>0</v>
      </c>
      <c r="U58" s="212">
        <v>0</v>
      </c>
      <c r="V58" s="213">
        <v>65</v>
      </c>
      <c r="W58" s="214">
        <v>943</v>
      </c>
      <c r="X58" s="211">
        <v>45</v>
      </c>
      <c r="Y58" s="211">
        <v>179</v>
      </c>
      <c r="Z58" s="213">
        <v>0</v>
      </c>
      <c r="AA58" s="121">
        <f>SUM(X58:Z58)</f>
        <v>224</v>
      </c>
      <c r="AB58" s="91"/>
      <c r="AC58" s="304"/>
      <c r="AD58" s="300" t="s">
        <v>23</v>
      </c>
      <c r="AE58" s="82" t="s">
        <v>20</v>
      </c>
      <c r="AF58" s="210">
        <v>219</v>
      </c>
      <c r="AG58" s="211">
        <v>13</v>
      </c>
      <c r="AH58" s="211">
        <v>0</v>
      </c>
      <c r="AI58" s="212">
        <v>0</v>
      </c>
      <c r="AJ58" s="213">
        <v>179</v>
      </c>
      <c r="AK58" s="214">
        <v>411</v>
      </c>
      <c r="AL58" s="211">
        <v>78</v>
      </c>
      <c r="AM58" s="211">
        <v>72</v>
      </c>
      <c r="AN58" s="213">
        <v>0</v>
      </c>
      <c r="AO58" s="121">
        <f>SUM(AL58:AN58)</f>
        <v>150</v>
      </c>
      <c r="AP58" s="91"/>
      <c r="AQ58" s="304"/>
      <c r="AR58" s="300" t="s">
        <v>23</v>
      </c>
      <c r="AS58" s="82" t="s">
        <v>20</v>
      </c>
      <c r="AT58" s="210">
        <v>533</v>
      </c>
      <c r="AU58" s="211">
        <v>39</v>
      </c>
      <c r="AV58" s="211">
        <v>0</v>
      </c>
      <c r="AW58" s="212">
        <v>0</v>
      </c>
      <c r="AX58" s="213">
        <v>177</v>
      </c>
      <c r="AY58" s="214">
        <v>749</v>
      </c>
      <c r="AZ58" s="211">
        <v>120</v>
      </c>
      <c r="BA58" s="211">
        <v>245</v>
      </c>
      <c r="BB58" s="213">
        <v>0</v>
      </c>
      <c r="BC58" s="244">
        <v>365</v>
      </c>
      <c r="BD58" s="91"/>
      <c r="BE58" s="304"/>
      <c r="BF58" s="300" t="s">
        <v>23</v>
      </c>
      <c r="BG58" s="82" t="s">
        <v>20</v>
      </c>
      <c r="BH58" s="210">
        <v>542</v>
      </c>
      <c r="BI58" s="211">
        <v>17</v>
      </c>
      <c r="BJ58" s="211">
        <v>0</v>
      </c>
      <c r="BK58" s="212">
        <v>0</v>
      </c>
      <c r="BL58" s="213">
        <v>122</v>
      </c>
      <c r="BM58" s="214">
        <v>681</v>
      </c>
      <c r="BN58" s="211">
        <v>145</v>
      </c>
      <c r="BO58" s="211">
        <v>123</v>
      </c>
      <c r="BP58" s="213">
        <v>0</v>
      </c>
      <c r="BQ58" s="121">
        <f>SUM(BN58:BP58)</f>
        <v>268</v>
      </c>
      <c r="BR58" s="91"/>
      <c r="BS58" s="304"/>
      <c r="BT58" s="300" t="s">
        <v>23</v>
      </c>
      <c r="BU58" s="82" t="s">
        <v>20</v>
      </c>
      <c r="BV58" s="210">
        <v>365</v>
      </c>
      <c r="BW58" s="211">
        <v>16</v>
      </c>
      <c r="BX58" s="211">
        <v>0</v>
      </c>
      <c r="BY58" s="212">
        <v>0</v>
      </c>
      <c r="BZ58" s="213">
        <v>132</v>
      </c>
      <c r="CA58" s="214">
        <v>513</v>
      </c>
      <c r="CB58" s="211">
        <v>45</v>
      </c>
      <c r="CC58" s="211">
        <v>123</v>
      </c>
      <c r="CD58" s="213">
        <v>0</v>
      </c>
      <c r="CE58" s="121">
        <f>SUM(CB58:CD58)</f>
        <v>168</v>
      </c>
      <c r="CF58" s="91"/>
      <c r="CG58" s="304"/>
      <c r="CH58" s="300" t="s">
        <v>23</v>
      </c>
      <c r="CI58" s="82" t="s">
        <v>20</v>
      </c>
      <c r="CJ58" s="210">
        <v>999</v>
      </c>
      <c r="CK58" s="211">
        <v>200</v>
      </c>
      <c r="CL58" s="211">
        <v>0</v>
      </c>
      <c r="CM58" s="212">
        <v>0</v>
      </c>
      <c r="CN58" s="213">
        <v>272</v>
      </c>
      <c r="CO58" s="214">
        <v>1471</v>
      </c>
      <c r="CP58" s="211">
        <v>150</v>
      </c>
      <c r="CQ58" s="211">
        <v>37</v>
      </c>
      <c r="CR58" s="213">
        <v>0</v>
      </c>
      <c r="CS58" s="244">
        <v>187</v>
      </c>
      <c r="CT58" s="91"/>
      <c r="CU58" s="304"/>
      <c r="CV58" s="300" t="s">
        <v>23</v>
      </c>
      <c r="CW58" s="82" t="s">
        <v>20</v>
      </c>
      <c r="CX58" s="247">
        <v>365</v>
      </c>
      <c r="CY58" s="248">
        <v>16</v>
      </c>
      <c r="CZ58" s="248">
        <v>0</v>
      </c>
      <c r="DA58" s="249">
        <v>0</v>
      </c>
      <c r="DB58" s="250">
        <v>132</v>
      </c>
      <c r="DC58" s="283">
        <v>513</v>
      </c>
      <c r="DD58" s="248">
        <v>45</v>
      </c>
      <c r="DE58" s="248">
        <v>123</v>
      </c>
      <c r="DF58" s="250">
        <v>0</v>
      </c>
      <c r="DG58" s="121">
        <f>SUM(DD58:DF58)</f>
        <v>168</v>
      </c>
      <c r="DH58" s="91"/>
      <c r="DI58" s="304"/>
      <c r="DJ58" s="300" t="s">
        <v>23</v>
      </c>
      <c r="DK58" s="82" t="s">
        <v>20</v>
      </c>
      <c r="DL58" s="267">
        <v>356</v>
      </c>
      <c r="DM58" s="268">
        <v>6</v>
      </c>
      <c r="DN58" s="268">
        <v>0</v>
      </c>
      <c r="DO58" s="269">
        <v>0</v>
      </c>
      <c r="DP58" s="270">
        <v>38</v>
      </c>
      <c r="DQ58" s="271">
        <f t="shared" ref="DQ58:DQ59" si="366">SUM(DL58:DP58)</f>
        <v>400</v>
      </c>
      <c r="DR58" s="272">
        <v>45</v>
      </c>
      <c r="DS58" s="268">
        <v>460</v>
      </c>
      <c r="DT58" s="273">
        <v>0</v>
      </c>
      <c r="DU58" s="291">
        <f t="shared" ref="DU58:DU59" si="367">SUM(DR58:DT58)</f>
        <v>505</v>
      </c>
      <c r="DV58" s="91"/>
      <c r="DW58" s="304"/>
      <c r="DX58" s="300" t="s">
        <v>23</v>
      </c>
      <c r="DY58" s="82" t="s">
        <v>20</v>
      </c>
      <c r="DZ58" s="115">
        <v>368</v>
      </c>
      <c r="EA58" s="116">
        <v>16</v>
      </c>
      <c r="EB58" s="116">
        <v>0</v>
      </c>
      <c r="EC58" s="117">
        <v>0</v>
      </c>
      <c r="ED58" s="118">
        <v>68</v>
      </c>
      <c r="EE58" s="93">
        <f>SUM(DZ58:ED58)</f>
        <v>452</v>
      </c>
      <c r="EF58" s="119">
        <v>8</v>
      </c>
      <c r="EG58" s="116">
        <v>245</v>
      </c>
      <c r="EH58" s="120">
        <v>0</v>
      </c>
      <c r="EI58" s="121">
        <f>SUM(EF58:EH58)</f>
        <v>253</v>
      </c>
      <c r="EJ58" s="91"/>
      <c r="EK58" s="304"/>
      <c r="EL58" s="300" t="s">
        <v>23</v>
      </c>
      <c r="EM58" s="82" t="s">
        <v>20</v>
      </c>
      <c r="EN58" s="115">
        <v>0</v>
      </c>
      <c r="EO58" s="116">
        <v>0</v>
      </c>
      <c r="EP58" s="116">
        <v>0</v>
      </c>
      <c r="EQ58" s="117">
        <v>0</v>
      </c>
      <c r="ER58" s="118">
        <v>0</v>
      </c>
      <c r="ES58" s="93">
        <f>SUM(EN58:ER58)</f>
        <v>0</v>
      </c>
      <c r="ET58" s="119">
        <v>0</v>
      </c>
      <c r="EU58" s="116">
        <v>0</v>
      </c>
      <c r="EV58" s="120">
        <v>0</v>
      </c>
      <c r="EW58" s="121">
        <f>SUM(ET58:EV58)</f>
        <v>0</v>
      </c>
      <c r="EX58" s="91"/>
      <c r="EY58" s="304"/>
      <c r="EZ58" s="300" t="s">
        <v>23</v>
      </c>
      <c r="FA58" s="82" t="s">
        <v>20</v>
      </c>
      <c r="FB58" s="115">
        <v>0</v>
      </c>
      <c r="FC58" s="116">
        <v>0</v>
      </c>
      <c r="FD58" s="116">
        <v>0</v>
      </c>
      <c r="FE58" s="117">
        <v>0</v>
      </c>
      <c r="FF58" s="118">
        <v>0</v>
      </c>
      <c r="FG58" s="93">
        <f>SUM(FB58:FF58)</f>
        <v>0</v>
      </c>
      <c r="FH58" s="119">
        <v>0</v>
      </c>
      <c r="FI58" s="116">
        <v>0</v>
      </c>
      <c r="FJ58" s="120">
        <v>0</v>
      </c>
      <c r="FK58" s="121">
        <f>SUM(FH58:FJ58)</f>
        <v>0</v>
      </c>
      <c r="FL58" s="147"/>
      <c r="FM58" s="304"/>
      <c r="FN58" s="300" t="s">
        <v>23</v>
      </c>
      <c r="FO58" s="82" t="s">
        <v>20</v>
      </c>
      <c r="FP58" s="115">
        <f t="shared" ref="FP58:FP59" si="368">SUM(D58+R58+AF58+AT58+BH58+BV58+CJ58+CX58+DL58+DZ58+EN58+FB58)</f>
        <v>5124</v>
      </c>
      <c r="FQ58" s="115">
        <f t="shared" ref="FQ58:FQ59" si="369">SUM(E58+S58+AG58+AU58+BI58+BW58+CK58+CY58+DM58+EA58+EO58+FC58)</f>
        <v>523</v>
      </c>
      <c r="FR58" s="115">
        <f t="shared" ref="FR58:FR59" si="370">SUM(F58+T58+AH58+AV58+BJ58+BX58+CL58+CZ58+DN58+EB58+EP58+FD58)</f>
        <v>0</v>
      </c>
      <c r="FS58" s="150">
        <f t="shared" ref="FS58:FS59" si="371">SUM(G58+U58+AI58+AW58+BK58+BY58+CM58+DA58+DO58+EC58+EQ58+FE58)</f>
        <v>0</v>
      </c>
      <c r="FT58" s="115">
        <f t="shared" ref="FT58:FT59" si="372">SUM(H58+V58+AJ58+AX58+BL58+BZ58+CN58+DB58+DP58+ED58+ER58+FF58)</f>
        <v>1287</v>
      </c>
      <c r="FU58" s="93">
        <f>SUM(FP58:FT58)</f>
        <v>6934</v>
      </c>
      <c r="FV58" s="119">
        <f t="shared" ref="FV58:FV59" si="373">SUM(J58+X58+AL58+AZ58+BN58+CB58+CP58+DD58+DR58+EF58+ET58+FH58)</f>
        <v>733</v>
      </c>
      <c r="FW58" s="119">
        <f t="shared" ref="FW58:FW59" si="374">SUM(K58+Y58+AM58+BA58+BO58+CC58+CQ58+DE58+DS58+EG58+EU58+FI58)</f>
        <v>1712</v>
      </c>
      <c r="FX58" s="119">
        <f t="shared" ref="FX58:FX59" si="375">SUM(L58+Z58+AN58+BB58+BP58+CD58+CR58+DF58+DT58+EH58+EV58+FJ58)</f>
        <v>0</v>
      </c>
      <c r="FY58" s="122">
        <f>SUM(FV58:FX58)</f>
        <v>2445</v>
      </c>
      <c r="FZ58" s="95"/>
      <c r="GA58" s="91"/>
    </row>
    <row r="59" spans="1:183" ht="20.100000000000001" customHeight="1" thickBot="1" x14ac:dyDescent="0.3">
      <c r="A59" s="304"/>
      <c r="B59" s="294"/>
      <c r="C59" s="97" t="s">
        <v>21</v>
      </c>
      <c r="D59" s="234">
        <v>495</v>
      </c>
      <c r="E59" s="203">
        <v>139</v>
      </c>
      <c r="F59" s="203">
        <v>0</v>
      </c>
      <c r="G59" s="203">
        <v>10</v>
      </c>
      <c r="H59" s="204">
        <v>88</v>
      </c>
      <c r="I59" s="205">
        <v>732</v>
      </c>
      <c r="J59" s="233">
        <v>53</v>
      </c>
      <c r="K59" s="203">
        <v>303</v>
      </c>
      <c r="L59" s="204">
        <v>0</v>
      </c>
      <c r="M59" s="104">
        <f>SUM(J59:L59)</f>
        <v>356</v>
      </c>
      <c r="N59" s="61"/>
      <c r="O59" s="304"/>
      <c r="P59" s="294"/>
      <c r="Q59" s="97" t="s">
        <v>21</v>
      </c>
      <c r="R59" s="202">
        <v>612</v>
      </c>
      <c r="S59" s="203">
        <v>8</v>
      </c>
      <c r="T59" s="203">
        <v>0</v>
      </c>
      <c r="U59" s="203">
        <v>3</v>
      </c>
      <c r="V59" s="204">
        <v>57</v>
      </c>
      <c r="W59" s="205">
        <v>680</v>
      </c>
      <c r="X59" s="203">
        <v>41</v>
      </c>
      <c r="Y59" s="203">
        <v>376</v>
      </c>
      <c r="Z59" s="204">
        <v>0</v>
      </c>
      <c r="AA59" s="104">
        <f>SUM(X59:Z59)</f>
        <v>417</v>
      </c>
      <c r="AB59" s="61"/>
      <c r="AC59" s="304"/>
      <c r="AD59" s="294"/>
      <c r="AE59" s="97" t="s">
        <v>21</v>
      </c>
      <c r="AF59" s="202">
        <v>210</v>
      </c>
      <c r="AG59" s="203">
        <v>9</v>
      </c>
      <c r="AH59" s="203">
        <v>0</v>
      </c>
      <c r="AI59" s="203">
        <v>0</v>
      </c>
      <c r="AJ59" s="204">
        <v>196</v>
      </c>
      <c r="AK59" s="205">
        <v>415</v>
      </c>
      <c r="AL59" s="203">
        <v>86</v>
      </c>
      <c r="AM59" s="203">
        <v>149</v>
      </c>
      <c r="AN59" s="204">
        <v>0</v>
      </c>
      <c r="AO59" s="104">
        <f>SUM(AL59:AN59)</f>
        <v>235</v>
      </c>
      <c r="AP59" s="61"/>
      <c r="AQ59" s="304"/>
      <c r="AR59" s="294"/>
      <c r="AS59" s="97" t="s">
        <v>21</v>
      </c>
      <c r="AT59" s="202">
        <v>377</v>
      </c>
      <c r="AU59" s="203">
        <v>37</v>
      </c>
      <c r="AV59" s="203">
        <v>0</v>
      </c>
      <c r="AW59" s="203">
        <v>9</v>
      </c>
      <c r="AX59" s="204">
        <v>154</v>
      </c>
      <c r="AY59" s="205">
        <v>577</v>
      </c>
      <c r="AZ59" s="203">
        <v>123</v>
      </c>
      <c r="BA59" s="203">
        <v>377</v>
      </c>
      <c r="BB59" s="204">
        <v>0</v>
      </c>
      <c r="BC59" s="208">
        <v>500</v>
      </c>
      <c r="BD59" s="61"/>
      <c r="BE59" s="304"/>
      <c r="BF59" s="294"/>
      <c r="BG59" s="97" t="s">
        <v>21</v>
      </c>
      <c r="BH59" s="202">
        <v>356</v>
      </c>
      <c r="BI59" s="203">
        <v>12</v>
      </c>
      <c r="BJ59" s="203">
        <v>0</v>
      </c>
      <c r="BK59" s="203">
        <v>9</v>
      </c>
      <c r="BL59" s="204">
        <v>109</v>
      </c>
      <c r="BM59" s="205">
        <v>486</v>
      </c>
      <c r="BN59" s="203">
        <v>124</v>
      </c>
      <c r="BO59" s="203">
        <v>135</v>
      </c>
      <c r="BP59" s="204">
        <v>0</v>
      </c>
      <c r="BQ59" s="104">
        <f>SUM(BN59:BP59)</f>
        <v>259</v>
      </c>
      <c r="BR59" s="61"/>
      <c r="BS59" s="304"/>
      <c r="BT59" s="294"/>
      <c r="BU59" s="97" t="s">
        <v>21</v>
      </c>
      <c r="BV59" s="202">
        <v>371</v>
      </c>
      <c r="BW59" s="203">
        <v>13</v>
      </c>
      <c r="BX59" s="203">
        <v>0</v>
      </c>
      <c r="BY59" s="203">
        <v>1</v>
      </c>
      <c r="BZ59" s="204">
        <v>130</v>
      </c>
      <c r="CA59" s="205">
        <v>515</v>
      </c>
      <c r="CB59" s="203">
        <v>42</v>
      </c>
      <c r="CC59" s="203">
        <v>185</v>
      </c>
      <c r="CD59" s="204">
        <v>0</v>
      </c>
      <c r="CE59" s="104">
        <f>SUM(CB59:CD59)</f>
        <v>227</v>
      </c>
      <c r="CF59" s="61"/>
      <c r="CG59" s="304"/>
      <c r="CH59" s="294"/>
      <c r="CI59" s="97" t="s">
        <v>21</v>
      </c>
      <c r="CJ59" s="202">
        <v>725</v>
      </c>
      <c r="CK59" s="203">
        <v>273</v>
      </c>
      <c r="CL59" s="203">
        <v>0</v>
      </c>
      <c r="CM59" s="203">
        <v>30</v>
      </c>
      <c r="CN59" s="204">
        <v>209</v>
      </c>
      <c r="CO59" s="205">
        <v>1237</v>
      </c>
      <c r="CP59" s="203">
        <v>85</v>
      </c>
      <c r="CQ59" s="203">
        <v>80</v>
      </c>
      <c r="CR59" s="204">
        <v>0</v>
      </c>
      <c r="CS59" s="208">
        <v>165</v>
      </c>
      <c r="CT59" s="61"/>
      <c r="CU59" s="304"/>
      <c r="CV59" s="294"/>
      <c r="CW59" s="97" t="s">
        <v>21</v>
      </c>
      <c r="CX59" s="255">
        <v>371</v>
      </c>
      <c r="CY59" s="256">
        <v>13</v>
      </c>
      <c r="CZ59" s="256">
        <v>0</v>
      </c>
      <c r="DA59" s="256">
        <v>1</v>
      </c>
      <c r="DB59" s="257">
        <v>130</v>
      </c>
      <c r="DC59" s="284">
        <v>515</v>
      </c>
      <c r="DD59" s="256">
        <v>42</v>
      </c>
      <c r="DE59" s="256">
        <v>185</v>
      </c>
      <c r="DF59" s="257">
        <v>0</v>
      </c>
      <c r="DG59" s="104">
        <f>SUM(DD59:DF59)</f>
        <v>227</v>
      </c>
      <c r="DH59" s="61"/>
      <c r="DI59" s="304"/>
      <c r="DJ59" s="294"/>
      <c r="DK59" s="97" t="s">
        <v>21</v>
      </c>
      <c r="DL59" s="274">
        <v>438</v>
      </c>
      <c r="DM59" s="260">
        <v>8</v>
      </c>
      <c r="DN59" s="260">
        <v>0</v>
      </c>
      <c r="DO59" s="260">
        <v>0</v>
      </c>
      <c r="DP59" s="275">
        <v>18</v>
      </c>
      <c r="DQ59" s="258">
        <f t="shared" si="366"/>
        <v>464</v>
      </c>
      <c r="DR59" s="259">
        <v>37</v>
      </c>
      <c r="DS59" s="260">
        <v>830</v>
      </c>
      <c r="DT59" s="261">
        <v>0</v>
      </c>
      <c r="DU59" s="289">
        <f t="shared" si="367"/>
        <v>867</v>
      </c>
      <c r="DV59" s="61"/>
      <c r="DW59" s="304"/>
      <c r="DX59" s="294"/>
      <c r="DY59" s="97" t="s">
        <v>21</v>
      </c>
      <c r="DZ59" s="98">
        <v>396</v>
      </c>
      <c r="EA59" s="99">
        <v>7</v>
      </c>
      <c r="EB59" s="99">
        <v>0</v>
      </c>
      <c r="EC59" s="99">
        <v>6</v>
      </c>
      <c r="ED59" s="100">
        <v>55</v>
      </c>
      <c r="EE59" s="101">
        <f>SUM(DZ59:ED59)</f>
        <v>464</v>
      </c>
      <c r="EF59" s="102">
        <v>9</v>
      </c>
      <c r="EG59" s="99">
        <v>377</v>
      </c>
      <c r="EH59" s="103">
        <v>0</v>
      </c>
      <c r="EI59" s="104">
        <f>SUM(EF59:EH59)</f>
        <v>386</v>
      </c>
      <c r="EJ59" s="61"/>
      <c r="EK59" s="304"/>
      <c r="EL59" s="294"/>
      <c r="EM59" s="97" t="s">
        <v>21</v>
      </c>
      <c r="EN59" s="98">
        <v>0</v>
      </c>
      <c r="EO59" s="99">
        <v>0</v>
      </c>
      <c r="EP59" s="99">
        <v>0</v>
      </c>
      <c r="EQ59" s="99">
        <v>0</v>
      </c>
      <c r="ER59" s="100">
        <v>0</v>
      </c>
      <c r="ES59" s="101">
        <f>SUM(EN59:ER59)</f>
        <v>0</v>
      </c>
      <c r="ET59" s="102">
        <v>0</v>
      </c>
      <c r="EU59" s="99">
        <v>0</v>
      </c>
      <c r="EV59" s="103">
        <v>0</v>
      </c>
      <c r="EW59" s="104">
        <f>SUM(ET59:EV59)</f>
        <v>0</v>
      </c>
      <c r="EX59" s="61"/>
      <c r="EY59" s="304"/>
      <c r="EZ59" s="294"/>
      <c r="FA59" s="97" t="s">
        <v>21</v>
      </c>
      <c r="FB59" s="98">
        <v>0</v>
      </c>
      <c r="FC59" s="99">
        <v>0</v>
      </c>
      <c r="FD59" s="99">
        <v>0</v>
      </c>
      <c r="FE59" s="99">
        <v>0</v>
      </c>
      <c r="FF59" s="100">
        <v>0</v>
      </c>
      <c r="FG59" s="101">
        <f>SUM(FB59:FF59)</f>
        <v>0</v>
      </c>
      <c r="FH59" s="102">
        <v>0</v>
      </c>
      <c r="FI59" s="99">
        <v>0</v>
      </c>
      <c r="FJ59" s="103">
        <v>0</v>
      </c>
      <c r="FK59" s="104">
        <f>SUM(FH59:FJ59)</f>
        <v>0</v>
      </c>
      <c r="FM59" s="304"/>
      <c r="FN59" s="294"/>
      <c r="FO59" s="97" t="s">
        <v>21</v>
      </c>
      <c r="FP59" s="115">
        <f t="shared" si="368"/>
        <v>4351</v>
      </c>
      <c r="FQ59" s="115">
        <f t="shared" si="369"/>
        <v>519</v>
      </c>
      <c r="FR59" s="115">
        <f t="shared" si="370"/>
        <v>0</v>
      </c>
      <c r="FS59" s="115">
        <f t="shared" si="371"/>
        <v>69</v>
      </c>
      <c r="FT59" s="115">
        <f t="shared" si="372"/>
        <v>1146</v>
      </c>
      <c r="FU59" s="101">
        <f>SUM(FP59:FT59)</f>
        <v>6085</v>
      </c>
      <c r="FV59" s="119">
        <f t="shared" si="373"/>
        <v>642</v>
      </c>
      <c r="FW59" s="119">
        <f t="shared" si="374"/>
        <v>2997</v>
      </c>
      <c r="FX59" s="119">
        <f t="shared" si="375"/>
        <v>0</v>
      </c>
      <c r="FY59" s="106">
        <f>SUM(FV59:FX59)</f>
        <v>3639</v>
      </c>
      <c r="GA59" s="61"/>
    </row>
    <row r="60" spans="1:183" ht="20.100000000000001" customHeight="1" thickBot="1" x14ac:dyDescent="0.3">
      <c r="A60" s="305"/>
      <c r="B60" s="301" t="s">
        <v>24</v>
      </c>
      <c r="C60" s="310"/>
      <c r="D60" s="107">
        <f t="shared" ref="D60:M60" si="376">SUM(D58:D59)</f>
        <v>1027</v>
      </c>
      <c r="E60" s="108">
        <f t="shared" si="376"/>
        <v>306</v>
      </c>
      <c r="F60" s="108">
        <f t="shared" si="376"/>
        <v>0</v>
      </c>
      <c r="G60" s="108">
        <f t="shared" si="376"/>
        <v>10</v>
      </c>
      <c r="H60" s="109">
        <f t="shared" si="376"/>
        <v>190</v>
      </c>
      <c r="I60" s="110">
        <f t="shared" si="376"/>
        <v>1533</v>
      </c>
      <c r="J60" s="111">
        <f t="shared" si="376"/>
        <v>105</v>
      </c>
      <c r="K60" s="108">
        <f t="shared" si="376"/>
        <v>408</v>
      </c>
      <c r="L60" s="109">
        <f t="shared" si="376"/>
        <v>0</v>
      </c>
      <c r="M60" s="112">
        <f t="shared" si="376"/>
        <v>513</v>
      </c>
      <c r="N60" s="61"/>
      <c r="O60" s="305"/>
      <c r="P60" s="301" t="s">
        <v>24</v>
      </c>
      <c r="Q60" s="310"/>
      <c r="R60" s="107">
        <f t="shared" ref="R60:AA60" si="377">SUM(R58:R59)</f>
        <v>1457</v>
      </c>
      <c r="S60" s="108">
        <f t="shared" si="377"/>
        <v>41</v>
      </c>
      <c r="T60" s="108">
        <f t="shared" si="377"/>
        <v>0</v>
      </c>
      <c r="U60" s="108">
        <f t="shared" si="377"/>
        <v>3</v>
      </c>
      <c r="V60" s="109">
        <f t="shared" si="377"/>
        <v>122</v>
      </c>
      <c r="W60" s="110">
        <f t="shared" si="377"/>
        <v>1623</v>
      </c>
      <c r="X60" s="111">
        <f t="shared" si="377"/>
        <v>86</v>
      </c>
      <c r="Y60" s="108">
        <f t="shared" si="377"/>
        <v>555</v>
      </c>
      <c r="Z60" s="109">
        <f t="shared" si="377"/>
        <v>0</v>
      </c>
      <c r="AA60" s="112">
        <f t="shared" si="377"/>
        <v>641</v>
      </c>
      <c r="AB60" s="61"/>
      <c r="AC60" s="305"/>
      <c r="AD60" s="301" t="s">
        <v>24</v>
      </c>
      <c r="AE60" s="310"/>
      <c r="AF60" s="206">
        <v>429</v>
      </c>
      <c r="AG60" s="207">
        <v>22</v>
      </c>
      <c r="AH60" s="207">
        <v>0</v>
      </c>
      <c r="AI60" s="207">
        <v>0</v>
      </c>
      <c r="AJ60" s="208">
        <v>375</v>
      </c>
      <c r="AK60" s="209">
        <v>826</v>
      </c>
      <c r="AL60" s="207">
        <v>164</v>
      </c>
      <c r="AM60" s="207">
        <v>221</v>
      </c>
      <c r="AN60" s="208">
        <v>0</v>
      </c>
      <c r="AO60" s="112">
        <f t="shared" ref="AO60" si="378">SUM(AO58:AO59)</f>
        <v>385</v>
      </c>
      <c r="AP60" s="61"/>
      <c r="AQ60" s="305"/>
      <c r="AR60" s="301" t="s">
        <v>24</v>
      </c>
      <c r="AS60" s="310"/>
      <c r="AT60" s="107">
        <f t="shared" ref="AT60:BC60" si="379">SUM(AT58:AT59)</f>
        <v>910</v>
      </c>
      <c r="AU60" s="108">
        <f t="shared" si="379"/>
        <v>76</v>
      </c>
      <c r="AV60" s="108">
        <f t="shared" si="379"/>
        <v>0</v>
      </c>
      <c r="AW60" s="108">
        <f t="shared" si="379"/>
        <v>9</v>
      </c>
      <c r="AX60" s="109">
        <f t="shared" si="379"/>
        <v>331</v>
      </c>
      <c r="AY60" s="110">
        <f t="shared" si="379"/>
        <v>1326</v>
      </c>
      <c r="AZ60" s="111">
        <f t="shared" si="379"/>
        <v>243</v>
      </c>
      <c r="BA60" s="108">
        <f t="shared" si="379"/>
        <v>622</v>
      </c>
      <c r="BB60" s="109">
        <f t="shared" si="379"/>
        <v>0</v>
      </c>
      <c r="BC60" s="112">
        <f t="shared" si="379"/>
        <v>865</v>
      </c>
      <c r="BD60" s="61"/>
      <c r="BE60" s="305"/>
      <c r="BF60" s="301" t="s">
        <v>24</v>
      </c>
      <c r="BG60" s="310"/>
      <c r="BH60" s="107">
        <f t="shared" ref="BH60:BQ60" si="380">SUM(BH58:BH59)</f>
        <v>898</v>
      </c>
      <c r="BI60" s="108">
        <f t="shared" si="380"/>
        <v>29</v>
      </c>
      <c r="BJ60" s="108">
        <f>SUM(BJ55:BJ57)</f>
        <v>407</v>
      </c>
      <c r="BK60" s="108">
        <f t="shared" si="380"/>
        <v>9</v>
      </c>
      <c r="BL60" s="109">
        <f t="shared" si="380"/>
        <v>231</v>
      </c>
      <c r="BM60" s="110">
        <f t="shared" si="380"/>
        <v>1167</v>
      </c>
      <c r="BN60" s="111">
        <f t="shared" si="380"/>
        <v>269</v>
      </c>
      <c r="BO60" s="108">
        <f t="shared" si="380"/>
        <v>258</v>
      </c>
      <c r="BP60" s="109">
        <f t="shared" si="380"/>
        <v>0</v>
      </c>
      <c r="BQ60" s="112">
        <f t="shared" si="380"/>
        <v>527</v>
      </c>
      <c r="BR60" s="61"/>
      <c r="BS60" s="305"/>
      <c r="BT60" s="301" t="s">
        <v>24</v>
      </c>
      <c r="BU60" s="310"/>
      <c r="BV60" s="206">
        <v>736</v>
      </c>
      <c r="BW60" s="207">
        <v>29</v>
      </c>
      <c r="BX60" s="207">
        <v>0</v>
      </c>
      <c r="BY60" s="207">
        <v>1</v>
      </c>
      <c r="BZ60" s="208">
        <v>262</v>
      </c>
      <c r="CA60" s="209">
        <v>1028</v>
      </c>
      <c r="CB60" s="207">
        <v>87</v>
      </c>
      <c r="CC60" s="207">
        <v>308</v>
      </c>
      <c r="CD60" s="208">
        <v>0</v>
      </c>
      <c r="CE60" s="112">
        <f t="shared" ref="CE60" si="381">SUM(CE58:CE59)</f>
        <v>395</v>
      </c>
      <c r="CF60" s="61"/>
      <c r="CG60" s="305"/>
      <c r="CH60" s="301" t="s">
        <v>24</v>
      </c>
      <c r="CI60" s="310"/>
      <c r="CJ60" s="206">
        <v>1724</v>
      </c>
      <c r="CK60" s="207">
        <v>473</v>
      </c>
      <c r="CL60" s="207">
        <v>0</v>
      </c>
      <c r="CM60" s="207">
        <v>30</v>
      </c>
      <c r="CN60" s="208">
        <v>481</v>
      </c>
      <c r="CO60" s="209">
        <v>2708</v>
      </c>
      <c r="CP60" s="207">
        <v>235</v>
      </c>
      <c r="CQ60" s="207">
        <v>117</v>
      </c>
      <c r="CR60" s="208">
        <v>0</v>
      </c>
      <c r="CS60" s="243">
        <v>352</v>
      </c>
      <c r="CT60" s="61"/>
      <c r="CU60" s="305"/>
      <c r="CV60" s="301" t="s">
        <v>24</v>
      </c>
      <c r="CW60" s="310"/>
      <c r="CX60" s="262">
        <f t="shared" ref="CX60:DF60" si="382">SUM(CX58:CX59)</f>
        <v>736</v>
      </c>
      <c r="CY60" s="263">
        <f t="shared" si="382"/>
        <v>29</v>
      </c>
      <c r="CZ60" s="263">
        <f t="shared" si="382"/>
        <v>0</v>
      </c>
      <c r="DA60" s="263">
        <f t="shared" si="382"/>
        <v>1</v>
      </c>
      <c r="DB60" s="264">
        <f t="shared" si="382"/>
        <v>262</v>
      </c>
      <c r="DC60" s="265">
        <f t="shared" si="382"/>
        <v>1028</v>
      </c>
      <c r="DD60" s="266">
        <f t="shared" si="382"/>
        <v>87</v>
      </c>
      <c r="DE60" s="263">
        <f t="shared" si="382"/>
        <v>308</v>
      </c>
      <c r="DF60" s="264">
        <f t="shared" si="382"/>
        <v>0</v>
      </c>
      <c r="DG60" s="112">
        <f t="shared" ref="DG60" si="383">SUM(DG58:DG59)</f>
        <v>395</v>
      </c>
      <c r="DH60" s="61"/>
      <c r="DI60" s="305"/>
      <c r="DJ60" s="301" t="s">
        <v>24</v>
      </c>
      <c r="DK60" s="310"/>
      <c r="DL60" s="262">
        <f t="shared" ref="DL60:DU60" si="384">SUM(DL58:DL59)</f>
        <v>794</v>
      </c>
      <c r="DM60" s="263">
        <f t="shared" si="384"/>
        <v>14</v>
      </c>
      <c r="DN60" s="263">
        <f t="shared" si="384"/>
        <v>0</v>
      </c>
      <c r="DO60" s="263">
        <f t="shared" si="384"/>
        <v>0</v>
      </c>
      <c r="DP60" s="264">
        <f t="shared" si="384"/>
        <v>56</v>
      </c>
      <c r="DQ60" s="265">
        <f t="shared" si="384"/>
        <v>864</v>
      </c>
      <c r="DR60" s="266">
        <f t="shared" si="384"/>
        <v>82</v>
      </c>
      <c r="DS60" s="263">
        <f t="shared" si="384"/>
        <v>1290</v>
      </c>
      <c r="DT60" s="264">
        <f t="shared" si="384"/>
        <v>0</v>
      </c>
      <c r="DU60" s="290">
        <f t="shared" si="384"/>
        <v>1372</v>
      </c>
      <c r="DV60" s="61"/>
      <c r="DW60" s="305"/>
      <c r="DX60" s="301" t="s">
        <v>24</v>
      </c>
      <c r="DY60" s="310"/>
      <c r="DZ60" s="107">
        <f t="shared" ref="DZ60:EI60" si="385">SUM(DZ58:DZ59)</f>
        <v>764</v>
      </c>
      <c r="EA60" s="108">
        <f t="shared" si="385"/>
        <v>23</v>
      </c>
      <c r="EB60" s="108">
        <f t="shared" si="385"/>
        <v>0</v>
      </c>
      <c r="EC60" s="108">
        <f t="shared" si="385"/>
        <v>6</v>
      </c>
      <c r="ED60" s="109">
        <f t="shared" si="385"/>
        <v>123</v>
      </c>
      <c r="EE60" s="110">
        <f t="shared" si="385"/>
        <v>916</v>
      </c>
      <c r="EF60" s="111">
        <f t="shared" si="385"/>
        <v>17</v>
      </c>
      <c r="EG60" s="108">
        <f t="shared" si="385"/>
        <v>622</v>
      </c>
      <c r="EH60" s="109">
        <f t="shared" si="385"/>
        <v>0</v>
      </c>
      <c r="EI60" s="112">
        <f t="shared" si="385"/>
        <v>639</v>
      </c>
      <c r="EJ60" s="61"/>
      <c r="EK60" s="305"/>
      <c r="EL60" s="301" t="s">
        <v>24</v>
      </c>
      <c r="EM60" s="310"/>
      <c r="EN60" s="107">
        <f t="shared" ref="EN60:EW60" si="386">SUM(EN58:EN59)</f>
        <v>0</v>
      </c>
      <c r="EO60" s="108">
        <f t="shared" si="386"/>
        <v>0</v>
      </c>
      <c r="EP60" s="108">
        <f t="shared" si="386"/>
        <v>0</v>
      </c>
      <c r="EQ60" s="108">
        <f t="shared" si="386"/>
        <v>0</v>
      </c>
      <c r="ER60" s="109">
        <f t="shared" si="386"/>
        <v>0</v>
      </c>
      <c r="ES60" s="110">
        <f t="shared" si="386"/>
        <v>0</v>
      </c>
      <c r="ET60" s="111">
        <f t="shared" si="386"/>
        <v>0</v>
      </c>
      <c r="EU60" s="108">
        <f t="shared" si="386"/>
        <v>0</v>
      </c>
      <c r="EV60" s="109">
        <f t="shared" si="386"/>
        <v>0</v>
      </c>
      <c r="EW60" s="112">
        <f t="shared" si="386"/>
        <v>0</v>
      </c>
      <c r="EX60" s="61"/>
      <c r="EY60" s="305"/>
      <c r="EZ60" s="301" t="s">
        <v>24</v>
      </c>
      <c r="FA60" s="310"/>
      <c r="FB60" s="107">
        <f t="shared" ref="FB60:FK60" si="387">SUM(FB58:FB59)</f>
        <v>0</v>
      </c>
      <c r="FC60" s="108">
        <f t="shared" si="387"/>
        <v>0</v>
      </c>
      <c r="FD60" s="108">
        <f t="shared" si="387"/>
        <v>0</v>
      </c>
      <c r="FE60" s="108">
        <f t="shared" si="387"/>
        <v>0</v>
      </c>
      <c r="FF60" s="109">
        <f t="shared" si="387"/>
        <v>0</v>
      </c>
      <c r="FG60" s="110">
        <f t="shared" si="387"/>
        <v>0</v>
      </c>
      <c r="FH60" s="111">
        <f t="shared" si="387"/>
        <v>0</v>
      </c>
      <c r="FI60" s="108">
        <f t="shared" si="387"/>
        <v>0</v>
      </c>
      <c r="FJ60" s="109">
        <f t="shared" si="387"/>
        <v>0</v>
      </c>
      <c r="FK60" s="112">
        <f t="shared" si="387"/>
        <v>0</v>
      </c>
      <c r="FM60" s="305"/>
      <c r="FN60" s="301" t="s">
        <v>24</v>
      </c>
      <c r="FO60" s="310"/>
      <c r="FP60" s="107">
        <f t="shared" ref="FP60:FY60" si="388">SUM(FP58:FP59)</f>
        <v>9475</v>
      </c>
      <c r="FQ60" s="108">
        <f t="shared" si="388"/>
        <v>1042</v>
      </c>
      <c r="FR60" s="108">
        <f t="shared" si="388"/>
        <v>0</v>
      </c>
      <c r="FS60" s="108">
        <f t="shared" si="388"/>
        <v>69</v>
      </c>
      <c r="FT60" s="109">
        <f t="shared" si="388"/>
        <v>2433</v>
      </c>
      <c r="FU60" s="113">
        <f t="shared" si="388"/>
        <v>13019</v>
      </c>
      <c r="FV60" s="111">
        <f t="shared" si="388"/>
        <v>1375</v>
      </c>
      <c r="FW60" s="108">
        <f t="shared" si="388"/>
        <v>4709</v>
      </c>
      <c r="FX60" s="109">
        <f t="shared" si="388"/>
        <v>0</v>
      </c>
      <c r="FY60" s="114">
        <f t="shared" si="388"/>
        <v>6084</v>
      </c>
      <c r="GA60" s="61"/>
    </row>
    <row r="61" spans="1:183" ht="20.100000000000001" customHeight="1" thickBot="1" x14ac:dyDescent="0.3">
      <c r="A61" s="297" t="s">
        <v>25</v>
      </c>
      <c r="B61" s="298"/>
      <c r="C61" s="299"/>
      <c r="D61" s="123">
        <f>SUM(D60+D57)</f>
        <v>8035</v>
      </c>
      <c r="E61" s="124">
        <f>SUM(E60+E57)</f>
        <v>3274</v>
      </c>
      <c r="F61" s="124">
        <f>SUM(F60+F57)</f>
        <v>0</v>
      </c>
      <c r="G61" s="124">
        <f>SUM(G60+G57)</f>
        <v>35</v>
      </c>
      <c r="H61" s="125">
        <f>SUM(H60+H57)</f>
        <v>532</v>
      </c>
      <c r="I61" s="126">
        <f>SUM(I57+I60)</f>
        <v>11876</v>
      </c>
      <c r="J61" s="127">
        <f>SUM(J60+J57)</f>
        <v>953</v>
      </c>
      <c r="K61" s="128">
        <f>SUM(K60+K57)</f>
        <v>1928</v>
      </c>
      <c r="L61" s="129">
        <f>SUM(L60+L57)</f>
        <v>0</v>
      </c>
      <c r="M61" s="130">
        <f>SUM(M60+M57)</f>
        <v>2881</v>
      </c>
      <c r="N61" s="61"/>
      <c r="O61" s="297" t="s">
        <v>25</v>
      </c>
      <c r="P61" s="298"/>
      <c r="Q61" s="299"/>
      <c r="R61" s="123">
        <f>SUM(R60+R57)</f>
        <v>8217</v>
      </c>
      <c r="S61" s="124">
        <f>SUM(S60+S57)</f>
        <v>245</v>
      </c>
      <c r="T61" s="124">
        <f>SUM(T60+T57)</f>
        <v>471</v>
      </c>
      <c r="U61" s="124">
        <f>SUM(U60+U57)</f>
        <v>57</v>
      </c>
      <c r="V61" s="125">
        <f>SUM(V60+V57)</f>
        <v>493</v>
      </c>
      <c r="W61" s="126">
        <f>SUM(W57+W60)</f>
        <v>9483</v>
      </c>
      <c r="X61" s="127">
        <f>SUM(X60+X57)</f>
        <v>581</v>
      </c>
      <c r="Y61" s="128">
        <f>SUM(Y60+Y57)</f>
        <v>6161</v>
      </c>
      <c r="Z61" s="129">
        <f>SUM(Z60+Z57)</f>
        <v>0</v>
      </c>
      <c r="AA61" s="130">
        <f>SUM(AA60+AA57)</f>
        <v>6742</v>
      </c>
      <c r="AB61" s="61"/>
      <c r="AC61" s="297" t="s">
        <v>25</v>
      </c>
      <c r="AD61" s="298"/>
      <c r="AE61" s="299"/>
      <c r="AF61" s="123">
        <f>SUM(AF60+AF57)</f>
        <v>11289</v>
      </c>
      <c r="AG61" s="124">
        <f>SUM(AG60+AG57)</f>
        <v>281</v>
      </c>
      <c r="AH61" s="124">
        <f>SUM(AH60+AH57)</f>
        <v>408</v>
      </c>
      <c r="AI61" s="124">
        <f>SUM(AI60+AI57)</f>
        <v>40</v>
      </c>
      <c r="AJ61" s="125">
        <f>SUM(AJ60+AJ57)</f>
        <v>1040</v>
      </c>
      <c r="AK61" s="126">
        <f>SUM(AK57+AK60)</f>
        <v>13058</v>
      </c>
      <c r="AL61" s="127">
        <f>SUM(AL60+AL57)</f>
        <v>1405</v>
      </c>
      <c r="AM61" s="128">
        <f>SUM(AM60+AM57)</f>
        <v>2577</v>
      </c>
      <c r="AN61" s="129">
        <f>SUM(AN60+AN57)</f>
        <v>0</v>
      </c>
      <c r="AO61" s="130">
        <f>SUM(AO60+AO57)</f>
        <v>3982</v>
      </c>
      <c r="AP61" s="61"/>
      <c r="AQ61" s="297" t="s">
        <v>25</v>
      </c>
      <c r="AR61" s="298"/>
      <c r="AS61" s="299"/>
      <c r="AT61" s="123">
        <f>SUM(AT60+AT57)</f>
        <v>9151</v>
      </c>
      <c r="AU61" s="124">
        <f>SUM(AU60+AU57)</f>
        <v>776</v>
      </c>
      <c r="AV61" s="124">
        <f>SUM(AV60+AV57)</f>
        <v>311</v>
      </c>
      <c r="AW61" s="124">
        <f>SUM(AW60+AW57)</f>
        <v>86</v>
      </c>
      <c r="AX61" s="125">
        <f>SUM(AX60+AX57)</f>
        <v>906</v>
      </c>
      <c r="AY61" s="126">
        <f>SUM(AY57+AY60)</f>
        <v>11230</v>
      </c>
      <c r="AZ61" s="127">
        <f>SUM(AZ60+AZ57)</f>
        <v>1165</v>
      </c>
      <c r="BA61" s="128">
        <f>SUM(BA60+BA57)</f>
        <v>5929</v>
      </c>
      <c r="BB61" s="129">
        <f>SUM(BB60+BB57)</f>
        <v>0</v>
      </c>
      <c r="BC61" s="130">
        <f>SUM(BC60+BC57)</f>
        <v>7094</v>
      </c>
      <c r="BD61" s="61"/>
      <c r="BE61" s="297" t="s">
        <v>25</v>
      </c>
      <c r="BF61" s="298"/>
      <c r="BG61" s="299"/>
      <c r="BH61" s="123">
        <f>SUM(BH60+BH57)</f>
        <v>8707</v>
      </c>
      <c r="BI61" s="124">
        <f>SUM(BI60+BI57)</f>
        <v>288</v>
      </c>
      <c r="BJ61" s="124">
        <f>SUM(BJ60+BJ57)</f>
        <v>407</v>
      </c>
      <c r="BK61" s="124">
        <f>SUM(BK60+BK57)</f>
        <v>100</v>
      </c>
      <c r="BL61" s="125">
        <f>SUM(BL60+BL57)</f>
        <v>756</v>
      </c>
      <c r="BM61" s="126">
        <f>SUM(BM57+BM60)</f>
        <v>9851</v>
      </c>
      <c r="BN61" s="127">
        <f>SUM(BN60+BN57)</f>
        <v>1322</v>
      </c>
      <c r="BO61" s="128">
        <f>SUM(BO60+BO57)</f>
        <v>3128</v>
      </c>
      <c r="BP61" s="129">
        <f>SUM(BP60+BP57)</f>
        <v>0</v>
      </c>
      <c r="BQ61" s="130">
        <f>SUM(BQ60+BQ57)</f>
        <v>4450</v>
      </c>
      <c r="BR61" s="61"/>
      <c r="BS61" s="297" t="s">
        <v>25</v>
      </c>
      <c r="BT61" s="298"/>
      <c r="BU61" s="299"/>
      <c r="BV61" s="236">
        <v>8967</v>
      </c>
      <c r="BW61" s="237">
        <v>569</v>
      </c>
      <c r="BX61" s="237">
        <v>408</v>
      </c>
      <c r="BY61" s="237">
        <v>26</v>
      </c>
      <c r="BZ61" s="238">
        <v>837</v>
      </c>
      <c r="CA61" s="239">
        <v>10807</v>
      </c>
      <c r="CB61" s="240">
        <v>542</v>
      </c>
      <c r="CC61" s="240">
        <v>2193</v>
      </c>
      <c r="CD61" s="241">
        <v>0</v>
      </c>
      <c r="CE61" s="130">
        <f>SUM(CE60+CE57)</f>
        <v>2735</v>
      </c>
      <c r="CF61" s="61"/>
      <c r="CG61" s="297" t="s">
        <v>25</v>
      </c>
      <c r="CH61" s="298"/>
      <c r="CI61" s="299"/>
      <c r="CJ61" s="236">
        <v>8273</v>
      </c>
      <c r="CK61" s="237">
        <v>3701</v>
      </c>
      <c r="CL61" s="237">
        <v>239</v>
      </c>
      <c r="CM61" s="237">
        <v>85</v>
      </c>
      <c r="CN61" s="238">
        <v>1496</v>
      </c>
      <c r="CO61" s="239">
        <v>13794</v>
      </c>
      <c r="CP61" s="240">
        <v>1053</v>
      </c>
      <c r="CQ61" s="240">
        <v>835</v>
      </c>
      <c r="CR61" s="241">
        <v>0</v>
      </c>
      <c r="CS61" s="241">
        <v>1888</v>
      </c>
      <c r="CT61" s="61"/>
      <c r="CU61" s="297" t="s">
        <v>25</v>
      </c>
      <c r="CV61" s="298"/>
      <c r="CW61" s="299"/>
      <c r="CX61" s="276">
        <f t="shared" ref="CX61:DB61" si="389">SUM(CX60+CX57)</f>
        <v>8967</v>
      </c>
      <c r="CY61" s="277">
        <f t="shared" si="389"/>
        <v>569</v>
      </c>
      <c r="CZ61" s="277">
        <f t="shared" si="389"/>
        <v>408</v>
      </c>
      <c r="DA61" s="277">
        <f t="shared" si="389"/>
        <v>26</v>
      </c>
      <c r="DB61" s="278">
        <f t="shared" si="389"/>
        <v>837</v>
      </c>
      <c r="DC61" s="279">
        <f>SUM(DC57+DC60)</f>
        <v>10807</v>
      </c>
      <c r="DD61" s="280">
        <f t="shared" ref="DD61:DF61" si="390">SUM(DD60+DD57)</f>
        <v>542</v>
      </c>
      <c r="DE61" s="281">
        <f t="shared" si="390"/>
        <v>2193</v>
      </c>
      <c r="DF61" s="282">
        <f t="shared" si="390"/>
        <v>0</v>
      </c>
      <c r="DG61" s="130">
        <f>SUM(DG60+DG57)</f>
        <v>2735</v>
      </c>
      <c r="DH61" s="61"/>
      <c r="DI61" s="297" t="s">
        <v>25</v>
      </c>
      <c r="DJ61" s="298"/>
      <c r="DK61" s="299"/>
      <c r="DL61" s="276">
        <f t="shared" ref="DL61:DP61" si="391">SUM(DL60+DL57)</f>
        <v>3607</v>
      </c>
      <c r="DM61" s="277">
        <f t="shared" si="391"/>
        <v>296</v>
      </c>
      <c r="DN61" s="277">
        <f t="shared" si="391"/>
        <v>0</v>
      </c>
      <c r="DO61" s="277">
        <f t="shared" si="391"/>
        <v>3</v>
      </c>
      <c r="DP61" s="278">
        <f t="shared" si="391"/>
        <v>290</v>
      </c>
      <c r="DQ61" s="279">
        <f>SUM(DQ57+DQ60)</f>
        <v>4196</v>
      </c>
      <c r="DR61" s="280">
        <f t="shared" ref="DR61:DU61" si="392">SUM(DR60+DR57)</f>
        <v>462</v>
      </c>
      <c r="DS61" s="281">
        <f t="shared" si="392"/>
        <v>3595</v>
      </c>
      <c r="DT61" s="282">
        <f t="shared" si="392"/>
        <v>0</v>
      </c>
      <c r="DU61" s="292">
        <f t="shared" si="392"/>
        <v>4057</v>
      </c>
      <c r="DV61" s="61"/>
      <c r="DW61" s="297" t="s">
        <v>25</v>
      </c>
      <c r="DX61" s="298"/>
      <c r="DY61" s="299"/>
      <c r="DZ61" s="123">
        <f>SUM(DZ60+DZ57)</f>
        <v>6431</v>
      </c>
      <c r="EA61" s="124">
        <f>SUM(EA60+EA57)</f>
        <v>164</v>
      </c>
      <c r="EB61" s="124">
        <f>SUM(EB60+EB57)</f>
        <v>455</v>
      </c>
      <c r="EC61" s="124">
        <f>SUM(EC60+EC57)</f>
        <v>19</v>
      </c>
      <c r="ED61" s="125">
        <f>SUM(ED60+ED57)</f>
        <v>459</v>
      </c>
      <c r="EE61" s="126">
        <f>SUM(EE57+EE60)</f>
        <v>7528</v>
      </c>
      <c r="EF61" s="127">
        <f>SUM(EF60+EF57)</f>
        <v>72</v>
      </c>
      <c r="EG61" s="128">
        <f>SUM(EG60+EG57)</f>
        <v>5929</v>
      </c>
      <c r="EH61" s="129">
        <f>SUM(EH60+EH57)</f>
        <v>0</v>
      </c>
      <c r="EI61" s="130">
        <f>SUM(EI60+EI57)</f>
        <v>6001</v>
      </c>
      <c r="EJ61" s="61"/>
      <c r="EK61" s="297" t="s">
        <v>25</v>
      </c>
      <c r="EL61" s="298"/>
      <c r="EM61" s="299"/>
      <c r="EN61" s="123">
        <f>SUM(EN60+EN57)</f>
        <v>0</v>
      </c>
      <c r="EO61" s="124">
        <f>SUM(EO60+EO57)</f>
        <v>0</v>
      </c>
      <c r="EP61" s="124">
        <f>SUM(EP60+EP57)</f>
        <v>0</v>
      </c>
      <c r="EQ61" s="124">
        <f>SUM(EQ60+EQ57)</f>
        <v>0</v>
      </c>
      <c r="ER61" s="125">
        <f>SUM(ER60+ER57)</f>
        <v>0</v>
      </c>
      <c r="ES61" s="126">
        <f>SUM(ES57+ES60)</f>
        <v>0</v>
      </c>
      <c r="ET61" s="127">
        <f>SUM(ET60+ET57)</f>
        <v>0</v>
      </c>
      <c r="EU61" s="128">
        <f>SUM(EU60+EU57)</f>
        <v>0</v>
      </c>
      <c r="EV61" s="129">
        <f>SUM(EV60+EV57)</f>
        <v>0</v>
      </c>
      <c r="EW61" s="130">
        <f>SUM(EW60+EW57)</f>
        <v>0</v>
      </c>
      <c r="EX61" s="61"/>
      <c r="EY61" s="297" t="s">
        <v>25</v>
      </c>
      <c r="EZ61" s="298"/>
      <c r="FA61" s="299"/>
      <c r="FB61" s="123">
        <f>SUM(FB60+FB57)</f>
        <v>0</v>
      </c>
      <c r="FC61" s="124">
        <f>SUM(FC60+FC57)</f>
        <v>0</v>
      </c>
      <c r="FD61" s="124">
        <f>SUM(FD60+FD57)</f>
        <v>0</v>
      </c>
      <c r="FE61" s="124">
        <f>SUM(FE60+FE57)</f>
        <v>0</v>
      </c>
      <c r="FF61" s="125">
        <f>SUM(FF60+FF57)</f>
        <v>0</v>
      </c>
      <c r="FG61" s="126">
        <f>SUM(FG57+FG60)</f>
        <v>0</v>
      </c>
      <c r="FH61" s="127">
        <f>SUM(FH60+FH57)</f>
        <v>0</v>
      </c>
      <c r="FI61" s="128">
        <f>SUM(FI60+FI57)</f>
        <v>0</v>
      </c>
      <c r="FJ61" s="129">
        <f>SUM(FJ60+FJ57)</f>
        <v>0</v>
      </c>
      <c r="FK61" s="130">
        <f>SUM(FK60+FK57)</f>
        <v>0</v>
      </c>
      <c r="FM61" s="297" t="s">
        <v>25</v>
      </c>
      <c r="FN61" s="298"/>
      <c r="FO61" s="299"/>
      <c r="FP61" s="123">
        <f>SUM(FP60+FP57)</f>
        <v>81644</v>
      </c>
      <c r="FQ61" s="124">
        <f>SUM(FQ60+FQ57)</f>
        <v>10163</v>
      </c>
      <c r="FR61" s="124">
        <f>SUM(FR60+FR57)</f>
        <v>3107</v>
      </c>
      <c r="FS61" s="124">
        <f>SUM(FS60+FS57)</f>
        <v>477</v>
      </c>
      <c r="FT61" s="125">
        <f>SUM(FT60+FT57)</f>
        <v>7646</v>
      </c>
      <c r="FU61" s="131">
        <f>SUM(FU57+FU60)</f>
        <v>103037</v>
      </c>
      <c r="FV61" s="132">
        <f>SUM(FV60+FV57)</f>
        <v>8097</v>
      </c>
      <c r="FW61" s="124">
        <f>SUM(FW60+FW57)</f>
        <v>34468</v>
      </c>
      <c r="FX61" s="125">
        <f>SUM(FX60+FX57)</f>
        <v>0</v>
      </c>
      <c r="FY61" s="133">
        <f>SUM(FY60+FY57)</f>
        <v>42565</v>
      </c>
      <c r="GA61" s="61"/>
    </row>
    <row r="62" spans="1:183" s="96" customFormat="1" ht="20.100000000000001" customHeight="1" thickBot="1" x14ac:dyDescent="0.25">
      <c r="A62" s="303">
        <v>0</v>
      </c>
      <c r="B62" s="306" t="s">
        <v>5</v>
      </c>
      <c r="C62" s="82" t="s">
        <v>20</v>
      </c>
      <c r="D62" s="83">
        <v>0</v>
      </c>
      <c r="E62" s="84">
        <v>0</v>
      </c>
      <c r="F62" s="84">
        <v>0</v>
      </c>
      <c r="G62" s="85">
        <v>0</v>
      </c>
      <c r="H62" s="86">
        <v>0</v>
      </c>
      <c r="I62" s="87">
        <f>SUM(D62:H62)</f>
        <v>0</v>
      </c>
      <c r="J62" s="88">
        <v>0</v>
      </c>
      <c r="K62" s="84">
        <v>0</v>
      </c>
      <c r="L62" s="89">
        <v>0</v>
      </c>
      <c r="M62" s="90">
        <f>SUM(J62:L62)</f>
        <v>0</v>
      </c>
      <c r="N62" s="91"/>
      <c r="O62" s="303">
        <v>0</v>
      </c>
      <c r="P62" s="306" t="s">
        <v>5</v>
      </c>
      <c r="Q62" s="82" t="s">
        <v>20</v>
      </c>
      <c r="R62" s="83">
        <v>0</v>
      </c>
      <c r="S62" s="84">
        <v>0</v>
      </c>
      <c r="T62" s="84">
        <v>0</v>
      </c>
      <c r="U62" s="85">
        <v>0</v>
      </c>
      <c r="V62" s="86">
        <v>0</v>
      </c>
      <c r="W62" s="87">
        <f>SUM(R62:V62)</f>
        <v>0</v>
      </c>
      <c r="X62" s="88">
        <v>0</v>
      </c>
      <c r="Y62" s="84">
        <v>0</v>
      </c>
      <c r="Z62" s="89">
        <v>0</v>
      </c>
      <c r="AA62" s="90">
        <f>SUM(X62:Z62)</f>
        <v>0</v>
      </c>
      <c r="AB62" s="91"/>
      <c r="AC62" s="303">
        <v>0</v>
      </c>
      <c r="AD62" s="306" t="s">
        <v>5</v>
      </c>
      <c r="AE62" s="82" t="s">
        <v>20</v>
      </c>
      <c r="AF62" s="83">
        <v>0</v>
      </c>
      <c r="AG62" s="84">
        <v>0</v>
      </c>
      <c r="AH62" s="84">
        <v>0</v>
      </c>
      <c r="AI62" s="85">
        <v>0</v>
      </c>
      <c r="AJ62" s="86">
        <v>0</v>
      </c>
      <c r="AK62" s="87">
        <f>SUM(AF62:AJ62)</f>
        <v>0</v>
      </c>
      <c r="AL62" s="88">
        <v>0</v>
      </c>
      <c r="AM62" s="84">
        <v>0</v>
      </c>
      <c r="AN62" s="89">
        <v>0</v>
      </c>
      <c r="AO62" s="90">
        <f>SUM(AL62:AN62)</f>
        <v>0</v>
      </c>
      <c r="AP62" s="91"/>
      <c r="AQ62" s="303">
        <v>0</v>
      </c>
      <c r="AR62" s="306" t="s">
        <v>5</v>
      </c>
      <c r="AS62" s="82" t="s">
        <v>20</v>
      </c>
      <c r="AT62" s="83">
        <v>0</v>
      </c>
      <c r="AU62" s="84">
        <v>0</v>
      </c>
      <c r="AV62" s="84">
        <v>0</v>
      </c>
      <c r="AW62" s="85">
        <v>0</v>
      </c>
      <c r="AX62" s="86">
        <v>0</v>
      </c>
      <c r="AY62" s="87">
        <f>SUM(AT62:AX62)</f>
        <v>0</v>
      </c>
      <c r="AZ62" s="88">
        <v>0</v>
      </c>
      <c r="BA62" s="84">
        <v>0</v>
      </c>
      <c r="BB62" s="89">
        <v>0</v>
      </c>
      <c r="BC62" s="90">
        <f>SUM(AZ62:BB62)</f>
        <v>0</v>
      </c>
      <c r="BD62" s="91"/>
      <c r="BE62" s="303">
        <v>0</v>
      </c>
      <c r="BF62" s="306" t="s">
        <v>5</v>
      </c>
      <c r="BG62" s="82" t="s">
        <v>20</v>
      </c>
      <c r="BH62" s="83">
        <v>0</v>
      </c>
      <c r="BI62" s="84">
        <v>0</v>
      </c>
      <c r="BJ62" s="84">
        <v>0</v>
      </c>
      <c r="BK62" s="85">
        <v>0</v>
      </c>
      <c r="BL62" s="86">
        <v>0</v>
      </c>
      <c r="BM62" s="87">
        <f>SUM(BH62:BL62)</f>
        <v>0</v>
      </c>
      <c r="BN62" s="88">
        <v>0</v>
      </c>
      <c r="BO62" s="84">
        <v>0</v>
      </c>
      <c r="BP62" s="89">
        <v>0</v>
      </c>
      <c r="BQ62" s="90">
        <f>SUM(BN62:BP62)</f>
        <v>0</v>
      </c>
      <c r="BR62" s="91"/>
      <c r="BS62" s="303">
        <v>0</v>
      </c>
      <c r="BT62" s="306" t="s">
        <v>5</v>
      </c>
      <c r="BU62" s="82" t="s">
        <v>20</v>
      </c>
      <c r="BV62" s="83">
        <v>0</v>
      </c>
      <c r="BW62" s="84">
        <v>0</v>
      </c>
      <c r="BX62" s="84">
        <v>0</v>
      </c>
      <c r="BY62" s="85">
        <v>0</v>
      </c>
      <c r="BZ62" s="86">
        <v>0</v>
      </c>
      <c r="CA62" s="87">
        <f>SUM(BV62:BZ62)</f>
        <v>0</v>
      </c>
      <c r="CB62" s="88">
        <v>0</v>
      </c>
      <c r="CC62" s="84">
        <v>0</v>
      </c>
      <c r="CD62" s="89">
        <v>0</v>
      </c>
      <c r="CE62" s="90">
        <f>SUM(CB62:CD62)</f>
        <v>0</v>
      </c>
      <c r="CF62" s="91"/>
      <c r="CG62" s="303">
        <v>0</v>
      </c>
      <c r="CH62" s="306" t="s">
        <v>5</v>
      </c>
      <c r="CI62" s="82" t="s">
        <v>20</v>
      </c>
      <c r="CJ62" s="83">
        <v>0</v>
      </c>
      <c r="CK62" s="84">
        <v>0</v>
      </c>
      <c r="CL62" s="84">
        <v>0</v>
      </c>
      <c r="CM62" s="85">
        <v>0</v>
      </c>
      <c r="CN62" s="86">
        <v>0</v>
      </c>
      <c r="CO62" s="87">
        <f>SUM(CJ62:CN62)</f>
        <v>0</v>
      </c>
      <c r="CP62" s="88">
        <v>0</v>
      </c>
      <c r="CQ62" s="84">
        <v>0</v>
      </c>
      <c r="CR62" s="89">
        <v>0</v>
      </c>
      <c r="CS62" s="90">
        <f>SUM(CP62:CR62)</f>
        <v>0</v>
      </c>
      <c r="CT62" s="91"/>
      <c r="CU62" s="303">
        <v>0</v>
      </c>
      <c r="CV62" s="306" t="s">
        <v>5</v>
      </c>
      <c r="CW62" s="82" t="s">
        <v>20</v>
      </c>
      <c r="CX62" s="285">
        <v>0</v>
      </c>
      <c r="CY62" s="253">
        <v>0</v>
      </c>
      <c r="CZ62" s="253">
        <v>0</v>
      </c>
      <c r="DA62" s="286">
        <v>0</v>
      </c>
      <c r="DB62" s="287">
        <v>0</v>
      </c>
      <c r="DC62" s="251">
        <f t="shared" ref="DC62:DC63" si="393">SUM(CX62:DB62)</f>
        <v>0</v>
      </c>
      <c r="DD62" s="252">
        <v>0</v>
      </c>
      <c r="DE62" s="253">
        <v>0</v>
      </c>
      <c r="DF62" s="254">
        <v>0</v>
      </c>
      <c r="DG62" s="90">
        <f>SUM(DD62:DF62)</f>
        <v>0</v>
      </c>
      <c r="DH62" s="91"/>
      <c r="DI62" s="303">
        <v>0</v>
      </c>
      <c r="DJ62" s="306" t="s">
        <v>5</v>
      </c>
      <c r="DK62" s="82" t="s">
        <v>20</v>
      </c>
      <c r="DL62" s="83">
        <v>0</v>
      </c>
      <c r="DM62" s="84">
        <v>0</v>
      </c>
      <c r="DN62" s="84">
        <v>0</v>
      </c>
      <c r="DO62" s="85">
        <v>0</v>
      </c>
      <c r="DP62" s="86">
        <v>0</v>
      </c>
      <c r="DQ62" s="87">
        <f>SUM(DL62:DP62)</f>
        <v>0</v>
      </c>
      <c r="DR62" s="88">
        <v>0</v>
      </c>
      <c r="DS62" s="84">
        <v>0</v>
      </c>
      <c r="DT62" s="89">
        <v>0</v>
      </c>
      <c r="DU62" s="90">
        <f>SUM(DR62:DT62)</f>
        <v>0</v>
      </c>
      <c r="DV62" s="91"/>
      <c r="DW62" s="303">
        <v>0</v>
      </c>
      <c r="DX62" s="306" t="s">
        <v>5</v>
      </c>
      <c r="DY62" s="82" t="s">
        <v>20</v>
      </c>
      <c r="DZ62" s="83">
        <v>0</v>
      </c>
      <c r="EA62" s="84">
        <v>0</v>
      </c>
      <c r="EB62" s="84">
        <v>0</v>
      </c>
      <c r="EC62" s="85">
        <v>0</v>
      </c>
      <c r="ED62" s="86">
        <v>0</v>
      </c>
      <c r="EE62" s="87">
        <f>SUM(DZ62:ED62)</f>
        <v>0</v>
      </c>
      <c r="EF62" s="88">
        <v>0</v>
      </c>
      <c r="EG62" s="84">
        <v>0</v>
      </c>
      <c r="EH62" s="89">
        <v>0</v>
      </c>
      <c r="EI62" s="90">
        <f>SUM(EF62:EH62)</f>
        <v>0</v>
      </c>
      <c r="EJ62" s="91"/>
      <c r="EK62" s="303">
        <v>0</v>
      </c>
      <c r="EL62" s="306" t="s">
        <v>5</v>
      </c>
      <c r="EM62" s="82" t="s">
        <v>20</v>
      </c>
      <c r="EN62" s="83">
        <v>0</v>
      </c>
      <c r="EO62" s="84">
        <v>0</v>
      </c>
      <c r="EP62" s="84">
        <v>0</v>
      </c>
      <c r="EQ62" s="85">
        <v>0</v>
      </c>
      <c r="ER62" s="86">
        <v>0</v>
      </c>
      <c r="ES62" s="87">
        <f>SUM(EN62:ER62)</f>
        <v>0</v>
      </c>
      <c r="ET62" s="88">
        <v>0</v>
      </c>
      <c r="EU62" s="84">
        <v>0</v>
      </c>
      <c r="EV62" s="89">
        <v>0</v>
      </c>
      <c r="EW62" s="90">
        <f>SUM(ET62:EV62)</f>
        <v>0</v>
      </c>
      <c r="EX62" s="91"/>
      <c r="EY62" s="303">
        <v>0</v>
      </c>
      <c r="EZ62" s="306" t="s">
        <v>5</v>
      </c>
      <c r="FA62" s="82" t="s">
        <v>20</v>
      </c>
      <c r="FB62" s="83">
        <v>0</v>
      </c>
      <c r="FC62" s="84">
        <v>0</v>
      </c>
      <c r="FD62" s="84">
        <v>0</v>
      </c>
      <c r="FE62" s="85">
        <v>0</v>
      </c>
      <c r="FF62" s="86">
        <v>0</v>
      </c>
      <c r="FG62" s="87">
        <f>SUM(FB62:FF62)</f>
        <v>0</v>
      </c>
      <c r="FH62" s="88">
        <v>0</v>
      </c>
      <c r="FI62" s="84">
        <v>0</v>
      </c>
      <c r="FJ62" s="89">
        <v>0</v>
      </c>
      <c r="FK62" s="90">
        <f>SUM(FH62:FJ62)</f>
        <v>0</v>
      </c>
      <c r="FL62" s="147"/>
      <c r="FM62" s="303">
        <f>EY62</f>
        <v>0</v>
      </c>
      <c r="FN62" s="306" t="s">
        <v>5</v>
      </c>
      <c r="FO62" s="82" t="s">
        <v>20</v>
      </c>
      <c r="FP62" s="83">
        <f t="shared" ref="FP62:FP63" si="394">SUM(D62+R62+AF62+AT62+BH62+BV62+CJ62+CX62+DL62+DZ62+EN62+FB62)</f>
        <v>0</v>
      </c>
      <c r="FQ62" s="83">
        <f t="shared" ref="FQ62:FQ63" si="395">SUM(E62+S62+AG62+AU62+BI62+BW62+CK62+CY62+DM62+EA62+EO62+FC62)</f>
        <v>0</v>
      </c>
      <c r="FR62" s="83">
        <f t="shared" ref="FR62:FR63" si="396">SUM(F62+T62+AH62+AV62+BJ62+BX62+CL62+CZ62+DN62+EB62+EP62+FD62)</f>
        <v>0</v>
      </c>
      <c r="FS62" s="149">
        <f t="shared" ref="FS62:FS63" si="397">SUM(G62+U62+AI62+AW62+BK62+BY62+CM62+DA62+DO62+EC62+EQ62+FE62)</f>
        <v>0</v>
      </c>
      <c r="FT62" s="83">
        <f t="shared" ref="FT62:FT63" si="398">SUM(H62+V62+AJ62+AX62+BL62+BZ62+CN62+DB62+DP62+ED62+ER62+FF62)</f>
        <v>0</v>
      </c>
      <c r="FU62" s="93">
        <f>SUM(FP62:FT62)</f>
        <v>0</v>
      </c>
      <c r="FV62" s="88">
        <f t="shared" ref="FV62:FV63" si="399">SUM(J62+X62+AL62+AZ62+BN62+CB62+CP62+DD62+DR62+EF62+ET62+FH62)</f>
        <v>0</v>
      </c>
      <c r="FW62" s="88">
        <f t="shared" ref="FW62:FW63" si="400">SUM(K62+Y62+AM62+BA62+BO62+CC62+CQ62+DE62+DS62+EG62+EU62+FI62)</f>
        <v>0</v>
      </c>
      <c r="FX62" s="88">
        <f t="shared" ref="FX62:FX63" si="401">SUM(L62+Z62+AN62+BB62+BP62+CD62+CR62+DF62+DT62+EH62+EV62+FJ62)</f>
        <v>0</v>
      </c>
      <c r="FY62" s="94">
        <f>SUM(FV62:FX62)</f>
        <v>0</v>
      </c>
      <c r="FZ62" s="95"/>
      <c r="GA62" s="91"/>
    </row>
    <row r="63" spans="1:183" s="96" customFormat="1" ht="20.100000000000001" customHeight="1" thickBot="1" x14ac:dyDescent="0.25">
      <c r="A63" s="304"/>
      <c r="B63" s="307"/>
      <c r="C63" s="97" t="s">
        <v>21</v>
      </c>
      <c r="D63" s="98">
        <v>0</v>
      </c>
      <c r="E63" s="99">
        <v>0</v>
      </c>
      <c r="F63" s="99">
        <v>0</v>
      </c>
      <c r="G63" s="99">
        <v>0</v>
      </c>
      <c r="H63" s="100">
        <v>0</v>
      </c>
      <c r="I63" s="101">
        <f>SUM(D63:H63)</f>
        <v>0</v>
      </c>
      <c r="J63" s="102">
        <v>0</v>
      </c>
      <c r="K63" s="99">
        <v>0</v>
      </c>
      <c r="L63" s="103">
        <v>0</v>
      </c>
      <c r="M63" s="104">
        <f>SUM(J63:L63)</f>
        <v>0</v>
      </c>
      <c r="N63" s="91"/>
      <c r="O63" s="304"/>
      <c r="P63" s="307"/>
      <c r="Q63" s="97" t="s">
        <v>21</v>
      </c>
      <c r="R63" s="98">
        <v>0</v>
      </c>
      <c r="S63" s="99">
        <v>0</v>
      </c>
      <c r="T63" s="99">
        <v>0</v>
      </c>
      <c r="U63" s="99">
        <v>0</v>
      </c>
      <c r="V63" s="100">
        <v>0</v>
      </c>
      <c r="W63" s="101">
        <f>SUM(R63:V63)</f>
        <v>0</v>
      </c>
      <c r="X63" s="102">
        <v>0</v>
      </c>
      <c r="Y63" s="99">
        <v>0</v>
      </c>
      <c r="Z63" s="103">
        <v>0</v>
      </c>
      <c r="AA63" s="104">
        <f>SUM(X63:Z63)</f>
        <v>0</v>
      </c>
      <c r="AB63" s="91"/>
      <c r="AC63" s="304"/>
      <c r="AD63" s="307"/>
      <c r="AE63" s="97" t="s">
        <v>21</v>
      </c>
      <c r="AF63" s="98">
        <v>0</v>
      </c>
      <c r="AG63" s="99">
        <v>0</v>
      </c>
      <c r="AH63" s="99">
        <v>0</v>
      </c>
      <c r="AI63" s="99">
        <v>0</v>
      </c>
      <c r="AJ63" s="100">
        <v>0</v>
      </c>
      <c r="AK63" s="101">
        <f>SUM(AF63:AJ63)</f>
        <v>0</v>
      </c>
      <c r="AL63" s="102">
        <v>0</v>
      </c>
      <c r="AM63" s="99">
        <v>0</v>
      </c>
      <c r="AN63" s="103">
        <v>0</v>
      </c>
      <c r="AO63" s="104">
        <f>SUM(AL63:AN63)</f>
        <v>0</v>
      </c>
      <c r="AP63" s="91"/>
      <c r="AQ63" s="304"/>
      <c r="AR63" s="307"/>
      <c r="AS63" s="97" t="s">
        <v>21</v>
      </c>
      <c r="AT63" s="98">
        <v>0</v>
      </c>
      <c r="AU63" s="99">
        <v>0</v>
      </c>
      <c r="AV63" s="99">
        <v>0</v>
      </c>
      <c r="AW63" s="99">
        <v>0</v>
      </c>
      <c r="AX63" s="100">
        <v>0</v>
      </c>
      <c r="AY63" s="101">
        <f>SUM(AT63:AX63)</f>
        <v>0</v>
      </c>
      <c r="AZ63" s="102">
        <v>0</v>
      </c>
      <c r="BA63" s="99">
        <v>0</v>
      </c>
      <c r="BB63" s="103">
        <v>0</v>
      </c>
      <c r="BC63" s="104">
        <f>SUM(AZ63:BB63)</f>
        <v>0</v>
      </c>
      <c r="BD63" s="91"/>
      <c r="BE63" s="304"/>
      <c r="BF63" s="307"/>
      <c r="BG63" s="97" t="s">
        <v>21</v>
      </c>
      <c r="BH63" s="98">
        <v>0</v>
      </c>
      <c r="BI63" s="99">
        <v>0</v>
      </c>
      <c r="BJ63" s="99">
        <v>0</v>
      </c>
      <c r="BK63" s="99">
        <v>0</v>
      </c>
      <c r="BL63" s="100">
        <v>0</v>
      </c>
      <c r="BM63" s="101">
        <f>SUM(BH63:BL63)</f>
        <v>0</v>
      </c>
      <c r="BN63" s="102">
        <v>0</v>
      </c>
      <c r="BO63" s="99">
        <v>0</v>
      </c>
      <c r="BP63" s="103">
        <v>0</v>
      </c>
      <c r="BQ63" s="104">
        <f>SUM(BN63:BP63)</f>
        <v>0</v>
      </c>
      <c r="BR63" s="91"/>
      <c r="BS63" s="304"/>
      <c r="BT63" s="307"/>
      <c r="BU63" s="97" t="s">
        <v>21</v>
      </c>
      <c r="BV63" s="98">
        <v>0</v>
      </c>
      <c r="BW63" s="99">
        <v>0</v>
      </c>
      <c r="BX63" s="99">
        <v>0</v>
      </c>
      <c r="BY63" s="99">
        <v>0</v>
      </c>
      <c r="BZ63" s="100">
        <v>0</v>
      </c>
      <c r="CA63" s="101">
        <f>SUM(BV63:BZ63)</f>
        <v>0</v>
      </c>
      <c r="CB63" s="102">
        <v>0</v>
      </c>
      <c r="CC63" s="99">
        <v>0</v>
      </c>
      <c r="CD63" s="103">
        <v>0</v>
      </c>
      <c r="CE63" s="104">
        <f>SUM(CB63:CD63)</f>
        <v>0</v>
      </c>
      <c r="CF63" s="91"/>
      <c r="CG63" s="304"/>
      <c r="CH63" s="307"/>
      <c r="CI63" s="97" t="s">
        <v>21</v>
      </c>
      <c r="CJ63" s="98">
        <v>0</v>
      </c>
      <c r="CK63" s="99">
        <v>0</v>
      </c>
      <c r="CL63" s="99">
        <v>0</v>
      </c>
      <c r="CM63" s="99">
        <v>0</v>
      </c>
      <c r="CN63" s="100">
        <v>0</v>
      </c>
      <c r="CO63" s="101">
        <f>SUM(CJ63:CN63)</f>
        <v>0</v>
      </c>
      <c r="CP63" s="102">
        <v>0</v>
      </c>
      <c r="CQ63" s="99">
        <v>0</v>
      </c>
      <c r="CR63" s="103">
        <v>0</v>
      </c>
      <c r="CS63" s="104">
        <f>SUM(CP63:CR63)</f>
        <v>0</v>
      </c>
      <c r="CT63" s="91"/>
      <c r="CU63" s="304"/>
      <c r="CV63" s="307"/>
      <c r="CW63" s="97" t="s">
        <v>21</v>
      </c>
      <c r="CX63" s="274">
        <v>0</v>
      </c>
      <c r="CY63" s="260">
        <v>0</v>
      </c>
      <c r="CZ63" s="260">
        <v>0</v>
      </c>
      <c r="DA63" s="260">
        <v>0</v>
      </c>
      <c r="DB63" s="275">
        <v>0</v>
      </c>
      <c r="DC63" s="258">
        <f t="shared" si="393"/>
        <v>0</v>
      </c>
      <c r="DD63" s="259">
        <v>0</v>
      </c>
      <c r="DE63" s="260">
        <v>0</v>
      </c>
      <c r="DF63" s="261">
        <v>0</v>
      </c>
      <c r="DG63" s="104">
        <f>SUM(DD63:DF63)</f>
        <v>0</v>
      </c>
      <c r="DH63" s="91"/>
      <c r="DI63" s="304"/>
      <c r="DJ63" s="307"/>
      <c r="DK63" s="97" t="s">
        <v>21</v>
      </c>
      <c r="DL63" s="98">
        <v>0</v>
      </c>
      <c r="DM63" s="99">
        <v>0</v>
      </c>
      <c r="DN63" s="99">
        <v>0</v>
      </c>
      <c r="DO63" s="99">
        <v>0</v>
      </c>
      <c r="DP63" s="100">
        <v>0</v>
      </c>
      <c r="DQ63" s="101">
        <f>SUM(DL63:DP63)</f>
        <v>0</v>
      </c>
      <c r="DR63" s="102">
        <v>0</v>
      </c>
      <c r="DS63" s="99">
        <v>0</v>
      </c>
      <c r="DT63" s="103">
        <v>0</v>
      </c>
      <c r="DU63" s="104">
        <f>SUM(DR63:DT63)</f>
        <v>0</v>
      </c>
      <c r="DV63" s="91"/>
      <c r="DW63" s="304"/>
      <c r="DX63" s="307"/>
      <c r="DY63" s="97" t="s">
        <v>21</v>
      </c>
      <c r="DZ63" s="98">
        <v>0</v>
      </c>
      <c r="EA63" s="99">
        <v>0</v>
      </c>
      <c r="EB63" s="99">
        <v>0</v>
      </c>
      <c r="EC63" s="99">
        <v>0</v>
      </c>
      <c r="ED63" s="100">
        <v>0</v>
      </c>
      <c r="EE63" s="101">
        <f>SUM(DZ63:ED63)</f>
        <v>0</v>
      </c>
      <c r="EF63" s="102">
        <v>0</v>
      </c>
      <c r="EG63" s="99">
        <v>0</v>
      </c>
      <c r="EH63" s="103">
        <v>0</v>
      </c>
      <c r="EI63" s="104">
        <f>SUM(EF63:EH63)</f>
        <v>0</v>
      </c>
      <c r="EJ63" s="91"/>
      <c r="EK63" s="304"/>
      <c r="EL63" s="307"/>
      <c r="EM63" s="97" t="s">
        <v>21</v>
      </c>
      <c r="EN63" s="98">
        <v>0</v>
      </c>
      <c r="EO63" s="99">
        <v>0</v>
      </c>
      <c r="EP63" s="99">
        <v>0</v>
      </c>
      <c r="EQ63" s="99">
        <v>0</v>
      </c>
      <c r="ER63" s="100">
        <v>0</v>
      </c>
      <c r="ES63" s="101">
        <f>SUM(EN63:ER63)</f>
        <v>0</v>
      </c>
      <c r="ET63" s="102">
        <v>0</v>
      </c>
      <c r="EU63" s="99">
        <v>0</v>
      </c>
      <c r="EV63" s="103">
        <v>0</v>
      </c>
      <c r="EW63" s="104">
        <f>SUM(ET63:EV63)</f>
        <v>0</v>
      </c>
      <c r="EX63" s="91"/>
      <c r="EY63" s="304"/>
      <c r="EZ63" s="307"/>
      <c r="FA63" s="97" t="s">
        <v>21</v>
      </c>
      <c r="FB63" s="98">
        <v>0</v>
      </c>
      <c r="FC63" s="99">
        <v>0</v>
      </c>
      <c r="FD63" s="99">
        <v>0</v>
      </c>
      <c r="FE63" s="99">
        <v>0</v>
      </c>
      <c r="FF63" s="100">
        <v>0</v>
      </c>
      <c r="FG63" s="101">
        <f>SUM(FB63:FF63)</f>
        <v>0</v>
      </c>
      <c r="FH63" s="102">
        <v>0</v>
      </c>
      <c r="FI63" s="99">
        <v>0</v>
      </c>
      <c r="FJ63" s="103">
        <v>0</v>
      </c>
      <c r="FK63" s="104">
        <f>SUM(FH63:FJ63)</f>
        <v>0</v>
      </c>
      <c r="FL63" s="147"/>
      <c r="FM63" s="304"/>
      <c r="FN63" s="307"/>
      <c r="FO63" s="97" t="s">
        <v>21</v>
      </c>
      <c r="FP63" s="83">
        <f t="shared" si="394"/>
        <v>0</v>
      </c>
      <c r="FQ63" s="83">
        <f t="shared" si="395"/>
        <v>0</v>
      </c>
      <c r="FR63" s="83">
        <f t="shared" si="396"/>
        <v>0</v>
      </c>
      <c r="FS63" s="83">
        <f t="shared" si="397"/>
        <v>0</v>
      </c>
      <c r="FT63" s="83">
        <f t="shared" si="398"/>
        <v>0</v>
      </c>
      <c r="FU63" s="101">
        <f>SUM(FP63:FT63)</f>
        <v>0</v>
      </c>
      <c r="FV63" s="88">
        <f t="shared" si="399"/>
        <v>0</v>
      </c>
      <c r="FW63" s="88">
        <f t="shared" si="400"/>
        <v>0</v>
      </c>
      <c r="FX63" s="88">
        <f t="shared" si="401"/>
        <v>0</v>
      </c>
      <c r="FY63" s="106">
        <f>SUM(FV63:FX63)</f>
        <v>0</v>
      </c>
      <c r="FZ63" s="95"/>
      <c r="GA63" s="91"/>
    </row>
    <row r="64" spans="1:183" s="96" customFormat="1" ht="20.100000000000001" customHeight="1" thickBot="1" x14ac:dyDescent="0.25">
      <c r="A64" s="304"/>
      <c r="B64" s="308" t="s">
        <v>22</v>
      </c>
      <c r="C64" s="311"/>
      <c r="D64" s="107">
        <f t="shared" ref="D64:L64" si="402">SUM(D62:D63)</f>
        <v>0</v>
      </c>
      <c r="E64" s="108">
        <f t="shared" si="402"/>
        <v>0</v>
      </c>
      <c r="F64" s="108">
        <f t="shared" si="402"/>
        <v>0</v>
      </c>
      <c r="G64" s="108">
        <f t="shared" si="402"/>
        <v>0</v>
      </c>
      <c r="H64" s="109">
        <f t="shared" si="402"/>
        <v>0</v>
      </c>
      <c r="I64" s="110">
        <f t="shared" si="402"/>
        <v>0</v>
      </c>
      <c r="J64" s="111">
        <f t="shared" si="402"/>
        <v>0</v>
      </c>
      <c r="K64" s="108">
        <f t="shared" si="402"/>
        <v>0</v>
      </c>
      <c r="L64" s="109">
        <f t="shared" si="402"/>
        <v>0</v>
      </c>
      <c r="M64" s="112">
        <f t="shared" ref="M64" si="403">SUM(M62:M63)</f>
        <v>0</v>
      </c>
      <c r="N64" s="91"/>
      <c r="O64" s="304"/>
      <c r="P64" s="308" t="s">
        <v>22</v>
      </c>
      <c r="Q64" s="311"/>
      <c r="R64" s="107">
        <f t="shared" ref="R64:AA64" si="404">SUM(R62:R63)</f>
        <v>0</v>
      </c>
      <c r="S64" s="108">
        <f t="shared" si="404"/>
        <v>0</v>
      </c>
      <c r="T64" s="108">
        <f t="shared" si="404"/>
        <v>0</v>
      </c>
      <c r="U64" s="108">
        <f t="shared" si="404"/>
        <v>0</v>
      </c>
      <c r="V64" s="109">
        <f t="shared" si="404"/>
        <v>0</v>
      </c>
      <c r="W64" s="110">
        <f t="shared" si="404"/>
        <v>0</v>
      </c>
      <c r="X64" s="111">
        <f t="shared" si="404"/>
        <v>0</v>
      </c>
      <c r="Y64" s="108">
        <f t="shared" si="404"/>
        <v>0</v>
      </c>
      <c r="Z64" s="109">
        <f t="shared" si="404"/>
        <v>0</v>
      </c>
      <c r="AA64" s="112">
        <f t="shared" si="404"/>
        <v>0</v>
      </c>
      <c r="AB64" s="91"/>
      <c r="AC64" s="304"/>
      <c r="AD64" s="308" t="s">
        <v>22</v>
      </c>
      <c r="AE64" s="311"/>
      <c r="AF64" s="107">
        <f t="shared" ref="AF64:AO64" si="405">SUM(AF62:AF63)</f>
        <v>0</v>
      </c>
      <c r="AG64" s="108">
        <f t="shared" si="405"/>
        <v>0</v>
      </c>
      <c r="AH64" s="108">
        <f t="shared" si="405"/>
        <v>0</v>
      </c>
      <c r="AI64" s="108">
        <f t="shared" si="405"/>
        <v>0</v>
      </c>
      <c r="AJ64" s="109">
        <f t="shared" si="405"/>
        <v>0</v>
      </c>
      <c r="AK64" s="110">
        <f t="shared" si="405"/>
        <v>0</v>
      </c>
      <c r="AL64" s="111">
        <f t="shared" si="405"/>
        <v>0</v>
      </c>
      <c r="AM64" s="108">
        <f t="shared" si="405"/>
        <v>0</v>
      </c>
      <c r="AN64" s="109">
        <f t="shared" si="405"/>
        <v>0</v>
      </c>
      <c r="AO64" s="112">
        <f t="shared" si="405"/>
        <v>0</v>
      </c>
      <c r="AP64" s="91"/>
      <c r="AQ64" s="304"/>
      <c r="AR64" s="308" t="s">
        <v>22</v>
      </c>
      <c r="AS64" s="311"/>
      <c r="AT64" s="107">
        <f t="shared" ref="AT64:BC64" si="406">SUM(AT62:AT63)</f>
        <v>0</v>
      </c>
      <c r="AU64" s="108">
        <f t="shared" si="406"/>
        <v>0</v>
      </c>
      <c r="AV64" s="108">
        <f t="shared" si="406"/>
        <v>0</v>
      </c>
      <c r="AW64" s="108">
        <f t="shared" si="406"/>
        <v>0</v>
      </c>
      <c r="AX64" s="109">
        <f t="shared" si="406"/>
        <v>0</v>
      </c>
      <c r="AY64" s="110">
        <f t="shared" si="406"/>
        <v>0</v>
      </c>
      <c r="AZ64" s="111">
        <f t="shared" si="406"/>
        <v>0</v>
      </c>
      <c r="BA64" s="108">
        <f t="shared" si="406"/>
        <v>0</v>
      </c>
      <c r="BB64" s="109">
        <f t="shared" si="406"/>
        <v>0</v>
      </c>
      <c r="BC64" s="112">
        <f t="shared" si="406"/>
        <v>0</v>
      </c>
      <c r="BD64" s="91"/>
      <c r="BE64" s="304"/>
      <c r="BF64" s="308" t="s">
        <v>22</v>
      </c>
      <c r="BG64" s="311"/>
      <c r="BH64" s="107">
        <f t="shared" ref="BH64:BQ64" si="407">SUM(BH62:BH63)</f>
        <v>0</v>
      </c>
      <c r="BI64" s="108">
        <f t="shared" si="407"/>
        <v>0</v>
      </c>
      <c r="BJ64" s="108">
        <f t="shared" si="407"/>
        <v>0</v>
      </c>
      <c r="BK64" s="108">
        <f t="shared" si="407"/>
        <v>0</v>
      </c>
      <c r="BL64" s="109">
        <f t="shared" si="407"/>
        <v>0</v>
      </c>
      <c r="BM64" s="110">
        <f t="shared" si="407"/>
        <v>0</v>
      </c>
      <c r="BN64" s="111">
        <f t="shared" si="407"/>
        <v>0</v>
      </c>
      <c r="BO64" s="108">
        <f t="shared" si="407"/>
        <v>0</v>
      </c>
      <c r="BP64" s="109">
        <f t="shared" si="407"/>
        <v>0</v>
      </c>
      <c r="BQ64" s="112">
        <f t="shared" si="407"/>
        <v>0</v>
      </c>
      <c r="BR64" s="91"/>
      <c r="BS64" s="304"/>
      <c r="BT64" s="308" t="s">
        <v>22</v>
      </c>
      <c r="BU64" s="311"/>
      <c r="BV64" s="107">
        <f t="shared" ref="BV64:CE64" si="408">SUM(BV62:BV63)</f>
        <v>0</v>
      </c>
      <c r="BW64" s="108">
        <f t="shared" si="408"/>
        <v>0</v>
      </c>
      <c r="BX64" s="108">
        <f t="shared" si="408"/>
        <v>0</v>
      </c>
      <c r="BY64" s="108">
        <f t="shared" si="408"/>
        <v>0</v>
      </c>
      <c r="BZ64" s="109">
        <f t="shared" si="408"/>
        <v>0</v>
      </c>
      <c r="CA64" s="110">
        <f t="shared" si="408"/>
        <v>0</v>
      </c>
      <c r="CB64" s="111">
        <f t="shared" si="408"/>
        <v>0</v>
      </c>
      <c r="CC64" s="108">
        <f t="shared" si="408"/>
        <v>0</v>
      </c>
      <c r="CD64" s="109">
        <f t="shared" si="408"/>
        <v>0</v>
      </c>
      <c r="CE64" s="112">
        <f t="shared" si="408"/>
        <v>0</v>
      </c>
      <c r="CF64" s="91"/>
      <c r="CG64" s="304"/>
      <c r="CH64" s="308" t="s">
        <v>22</v>
      </c>
      <c r="CI64" s="311"/>
      <c r="CJ64" s="107">
        <f t="shared" ref="CJ64:CS64" si="409">SUM(CJ62:CJ63)</f>
        <v>0</v>
      </c>
      <c r="CK64" s="108">
        <f t="shared" si="409"/>
        <v>0</v>
      </c>
      <c r="CL64" s="108">
        <f t="shared" si="409"/>
        <v>0</v>
      </c>
      <c r="CM64" s="108">
        <f t="shared" si="409"/>
        <v>0</v>
      </c>
      <c r="CN64" s="109">
        <f t="shared" si="409"/>
        <v>0</v>
      </c>
      <c r="CO64" s="110">
        <f t="shared" si="409"/>
        <v>0</v>
      </c>
      <c r="CP64" s="111">
        <f t="shared" si="409"/>
        <v>0</v>
      </c>
      <c r="CQ64" s="108">
        <f t="shared" si="409"/>
        <v>0</v>
      </c>
      <c r="CR64" s="109">
        <f t="shared" si="409"/>
        <v>0</v>
      </c>
      <c r="CS64" s="112">
        <f t="shared" si="409"/>
        <v>0</v>
      </c>
      <c r="CT64" s="91"/>
      <c r="CU64" s="304"/>
      <c r="CV64" s="308" t="s">
        <v>22</v>
      </c>
      <c r="CW64" s="311"/>
      <c r="CX64" s="262">
        <f t="shared" ref="CX64:DF64" si="410">SUM(CX62:CX63)</f>
        <v>0</v>
      </c>
      <c r="CY64" s="263">
        <f t="shared" si="410"/>
        <v>0</v>
      </c>
      <c r="CZ64" s="263">
        <f t="shared" si="410"/>
        <v>0</v>
      </c>
      <c r="DA64" s="263">
        <f t="shared" si="410"/>
        <v>0</v>
      </c>
      <c r="DB64" s="264">
        <f t="shared" si="410"/>
        <v>0</v>
      </c>
      <c r="DC64" s="265">
        <f t="shared" si="410"/>
        <v>0</v>
      </c>
      <c r="DD64" s="266">
        <f t="shared" si="410"/>
        <v>0</v>
      </c>
      <c r="DE64" s="263">
        <f t="shared" si="410"/>
        <v>0</v>
      </c>
      <c r="DF64" s="264">
        <f t="shared" si="410"/>
        <v>0</v>
      </c>
      <c r="DG64" s="112">
        <f t="shared" ref="DG64" si="411">SUM(DG62:DG63)</f>
        <v>0</v>
      </c>
      <c r="DH64" s="91"/>
      <c r="DI64" s="304"/>
      <c r="DJ64" s="308" t="s">
        <v>22</v>
      </c>
      <c r="DK64" s="311"/>
      <c r="DL64" s="107">
        <f t="shared" ref="DL64:DU64" si="412">SUM(DL62:DL63)</f>
        <v>0</v>
      </c>
      <c r="DM64" s="108">
        <f t="shared" si="412"/>
        <v>0</v>
      </c>
      <c r="DN64" s="108">
        <f t="shared" si="412"/>
        <v>0</v>
      </c>
      <c r="DO64" s="108">
        <f t="shared" si="412"/>
        <v>0</v>
      </c>
      <c r="DP64" s="109">
        <f t="shared" si="412"/>
        <v>0</v>
      </c>
      <c r="DQ64" s="110">
        <f t="shared" si="412"/>
        <v>0</v>
      </c>
      <c r="DR64" s="111">
        <f t="shared" si="412"/>
        <v>0</v>
      </c>
      <c r="DS64" s="108">
        <f t="shared" si="412"/>
        <v>0</v>
      </c>
      <c r="DT64" s="109">
        <f t="shared" si="412"/>
        <v>0</v>
      </c>
      <c r="DU64" s="112">
        <f t="shared" si="412"/>
        <v>0</v>
      </c>
      <c r="DV64" s="91"/>
      <c r="DW64" s="304"/>
      <c r="DX64" s="308" t="s">
        <v>22</v>
      </c>
      <c r="DY64" s="311"/>
      <c r="DZ64" s="107">
        <f t="shared" ref="DZ64:EI64" si="413">SUM(DZ62:DZ63)</f>
        <v>0</v>
      </c>
      <c r="EA64" s="108">
        <f t="shared" si="413"/>
        <v>0</v>
      </c>
      <c r="EB64" s="108">
        <f t="shared" si="413"/>
        <v>0</v>
      </c>
      <c r="EC64" s="108">
        <f t="shared" si="413"/>
        <v>0</v>
      </c>
      <c r="ED64" s="109">
        <f t="shared" si="413"/>
        <v>0</v>
      </c>
      <c r="EE64" s="110">
        <f t="shared" si="413"/>
        <v>0</v>
      </c>
      <c r="EF64" s="111">
        <f t="shared" si="413"/>
        <v>0</v>
      </c>
      <c r="EG64" s="108">
        <f t="shared" si="413"/>
        <v>0</v>
      </c>
      <c r="EH64" s="109">
        <f t="shared" si="413"/>
        <v>0</v>
      </c>
      <c r="EI64" s="112">
        <f t="shared" si="413"/>
        <v>0</v>
      </c>
      <c r="EJ64" s="91"/>
      <c r="EK64" s="304"/>
      <c r="EL64" s="308" t="s">
        <v>22</v>
      </c>
      <c r="EM64" s="311"/>
      <c r="EN64" s="107">
        <f t="shared" ref="EN64:EW64" si="414">SUM(EN62:EN63)</f>
        <v>0</v>
      </c>
      <c r="EO64" s="108">
        <f t="shared" si="414"/>
        <v>0</v>
      </c>
      <c r="EP64" s="108">
        <f t="shared" si="414"/>
        <v>0</v>
      </c>
      <c r="EQ64" s="108">
        <f t="shared" si="414"/>
        <v>0</v>
      </c>
      <c r="ER64" s="109">
        <f t="shared" si="414"/>
        <v>0</v>
      </c>
      <c r="ES64" s="110">
        <f t="shared" si="414"/>
        <v>0</v>
      </c>
      <c r="ET64" s="111">
        <f t="shared" si="414"/>
        <v>0</v>
      </c>
      <c r="EU64" s="108">
        <f t="shared" si="414"/>
        <v>0</v>
      </c>
      <c r="EV64" s="109">
        <f t="shared" si="414"/>
        <v>0</v>
      </c>
      <c r="EW64" s="112">
        <f t="shared" si="414"/>
        <v>0</v>
      </c>
      <c r="EX64" s="91"/>
      <c r="EY64" s="304"/>
      <c r="EZ64" s="308" t="s">
        <v>22</v>
      </c>
      <c r="FA64" s="311"/>
      <c r="FB64" s="107">
        <f t="shared" ref="FB64:FK64" si="415">SUM(FB62:FB63)</f>
        <v>0</v>
      </c>
      <c r="FC64" s="108">
        <f t="shared" si="415"/>
        <v>0</v>
      </c>
      <c r="FD64" s="108">
        <f t="shared" si="415"/>
        <v>0</v>
      </c>
      <c r="FE64" s="108">
        <f t="shared" si="415"/>
        <v>0</v>
      </c>
      <c r="FF64" s="109">
        <f t="shared" si="415"/>
        <v>0</v>
      </c>
      <c r="FG64" s="110">
        <f t="shared" si="415"/>
        <v>0</v>
      </c>
      <c r="FH64" s="111">
        <f t="shared" si="415"/>
        <v>0</v>
      </c>
      <c r="FI64" s="108">
        <f t="shared" si="415"/>
        <v>0</v>
      </c>
      <c r="FJ64" s="109">
        <f t="shared" si="415"/>
        <v>0</v>
      </c>
      <c r="FK64" s="112">
        <f t="shared" si="415"/>
        <v>0</v>
      </c>
      <c r="FL64" s="147"/>
      <c r="FM64" s="304"/>
      <c r="FN64" s="308" t="s">
        <v>22</v>
      </c>
      <c r="FO64" s="311"/>
      <c r="FP64" s="107">
        <f t="shared" ref="FP64:FY64" si="416">SUM(FP62:FP63)</f>
        <v>0</v>
      </c>
      <c r="FQ64" s="108">
        <f t="shared" si="416"/>
        <v>0</v>
      </c>
      <c r="FR64" s="108">
        <f t="shared" si="416"/>
        <v>0</v>
      </c>
      <c r="FS64" s="108">
        <f t="shared" si="416"/>
        <v>0</v>
      </c>
      <c r="FT64" s="109">
        <f t="shared" si="416"/>
        <v>0</v>
      </c>
      <c r="FU64" s="113">
        <f t="shared" si="416"/>
        <v>0</v>
      </c>
      <c r="FV64" s="111">
        <f t="shared" si="416"/>
        <v>0</v>
      </c>
      <c r="FW64" s="108">
        <f t="shared" si="416"/>
        <v>0</v>
      </c>
      <c r="FX64" s="109">
        <f t="shared" si="416"/>
        <v>0</v>
      </c>
      <c r="FY64" s="114">
        <f t="shared" si="416"/>
        <v>0</v>
      </c>
      <c r="FZ64" s="95"/>
      <c r="GA64" s="91"/>
    </row>
    <row r="65" spans="1:183" s="96" customFormat="1" ht="20.100000000000001" customHeight="1" x14ac:dyDescent="0.2">
      <c r="A65" s="304"/>
      <c r="B65" s="300" t="s">
        <v>23</v>
      </c>
      <c r="C65" s="82" t="s">
        <v>20</v>
      </c>
      <c r="D65" s="115">
        <v>0</v>
      </c>
      <c r="E65" s="116">
        <v>0</v>
      </c>
      <c r="F65" s="116">
        <v>0</v>
      </c>
      <c r="G65" s="117">
        <v>0</v>
      </c>
      <c r="H65" s="118">
        <v>0</v>
      </c>
      <c r="I65" s="93">
        <f>SUM(D65:H65)</f>
        <v>0</v>
      </c>
      <c r="J65" s="119">
        <v>0</v>
      </c>
      <c r="K65" s="116">
        <v>0</v>
      </c>
      <c r="L65" s="120">
        <v>0</v>
      </c>
      <c r="M65" s="121">
        <f>SUM(J65:L65)</f>
        <v>0</v>
      </c>
      <c r="N65" s="91"/>
      <c r="O65" s="304"/>
      <c r="P65" s="300" t="s">
        <v>23</v>
      </c>
      <c r="Q65" s="82" t="s">
        <v>20</v>
      </c>
      <c r="R65" s="115">
        <v>0</v>
      </c>
      <c r="S65" s="116">
        <v>0</v>
      </c>
      <c r="T65" s="116">
        <v>0</v>
      </c>
      <c r="U65" s="117">
        <v>0</v>
      </c>
      <c r="V65" s="118">
        <v>0</v>
      </c>
      <c r="W65" s="93">
        <f>SUM(R65:V65)</f>
        <v>0</v>
      </c>
      <c r="X65" s="119">
        <v>0</v>
      </c>
      <c r="Y65" s="116">
        <v>0</v>
      </c>
      <c r="Z65" s="120">
        <v>0</v>
      </c>
      <c r="AA65" s="121">
        <f>SUM(X65:Z65)</f>
        <v>0</v>
      </c>
      <c r="AB65" s="91"/>
      <c r="AC65" s="304"/>
      <c r="AD65" s="300" t="s">
        <v>23</v>
      </c>
      <c r="AE65" s="82" t="s">
        <v>20</v>
      </c>
      <c r="AF65" s="115">
        <v>0</v>
      </c>
      <c r="AG65" s="116">
        <v>0</v>
      </c>
      <c r="AH65" s="116">
        <v>0</v>
      </c>
      <c r="AI65" s="117">
        <v>0</v>
      </c>
      <c r="AJ65" s="118">
        <v>0</v>
      </c>
      <c r="AK65" s="93">
        <f>SUM(AF65:AJ65)</f>
        <v>0</v>
      </c>
      <c r="AL65" s="119">
        <v>0</v>
      </c>
      <c r="AM65" s="116">
        <v>0</v>
      </c>
      <c r="AN65" s="120">
        <v>0</v>
      </c>
      <c r="AO65" s="121">
        <f>SUM(AL65:AN65)</f>
        <v>0</v>
      </c>
      <c r="AP65" s="91"/>
      <c r="AQ65" s="304"/>
      <c r="AR65" s="300" t="s">
        <v>23</v>
      </c>
      <c r="AS65" s="82" t="s">
        <v>20</v>
      </c>
      <c r="AT65" s="115">
        <v>0</v>
      </c>
      <c r="AU65" s="116">
        <v>0</v>
      </c>
      <c r="AV65" s="116">
        <v>0</v>
      </c>
      <c r="AW65" s="117">
        <v>0</v>
      </c>
      <c r="AX65" s="118">
        <v>0</v>
      </c>
      <c r="AY65" s="93">
        <f>SUM(AT65:AX65)</f>
        <v>0</v>
      </c>
      <c r="AZ65" s="119">
        <v>0</v>
      </c>
      <c r="BA65" s="116">
        <v>0</v>
      </c>
      <c r="BB65" s="120">
        <v>0</v>
      </c>
      <c r="BC65" s="121">
        <f>SUM(AZ65:BB65)</f>
        <v>0</v>
      </c>
      <c r="BD65" s="91"/>
      <c r="BE65" s="304"/>
      <c r="BF65" s="300" t="s">
        <v>23</v>
      </c>
      <c r="BG65" s="82" t="s">
        <v>20</v>
      </c>
      <c r="BH65" s="115">
        <v>0</v>
      </c>
      <c r="BI65" s="116">
        <v>0</v>
      </c>
      <c r="BJ65" s="116">
        <v>0</v>
      </c>
      <c r="BK65" s="117">
        <v>0</v>
      </c>
      <c r="BL65" s="118">
        <v>0</v>
      </c>
      <c r="BM65" s="93">
        <f>SUM(BH65:BL65)</f>
        <v>0</v>
      </c>
      <c r="BN65" s="119">
        <v>0</v>
      </c>
      <c r="BO65" s="116">
        <v>0</v>
      </c>
      <c r="BP65" s="120">
        <v>0</v>
      </c>
      <c r="BQ65" s="121">
        <f>SUM(BN65:BP65)</f>
        <v>0</v>
      </c>
      <c r="BR65" s="91"/>
      <c r="BS65" s="304"/>
      <c r="BT65" s="300" t="s">
        <v>23</v>
      </c>
      <c r="BU65" s="82" t="s">
        <v>20</v>
      </c>
      <c r="BV65" s="115">
        <v>0</v>
      </c>
      <c r="BW65" s="116">
        <v>0</v>
      </c>
      <c r="BX65" s="116">
        <v>0</v>
      </c>
      <c r="BY65" s="117">
        <v>0</v>
      </c>
      <c r="BZ65" s="118">
        <v>0</v>
      </c>
      <c r="CA65" s="93">
        <f>SUM(BV65:BZ65)</f>
        <v>0</v>
      </c>
      <c r="CB65" s="119">
        <v>0</v>
      </c>
      <c r="CC65" s="116">
        <v>0</v>
      </c>
      <c r="CD65" s="120">
        <v>0</v>
      </c>
      <c r="CE65" s="121">
        <f>SUM(CB65:CD65)</f>
        <v>0</v>
      </c>
      <c r="CF65" s="91"/>
      <c r="CG65" s="304"/>
      <c r="CH65" s="300" t="s">
        <v>23</v>
      </c>
      <c r="CI65" s="82" t="s">
        <v>20</v>
      </c>
      <c r="CJ65" s="115">
        <v>0</v>
      </c>
      <c r="CK65" s="116">
        <v>0</v>
      </c>
      <c r="CL65" s="116">
        <v>0</v>
      </c>
      <c r="CM65" s="117">
        <v>0</v>
      </c>
      <c r="CN65" s="118">
        <v>0</v>
      </c>
      <c r="CO65" s="93">
        <f>SUM(CJ65:CN65)</f>
        <v>0</v>
      </c>
      <c r="CP65" s="119">
        <v>0</v>
      </c>
      <c r="CQ65" s="116">
        <v>0</v>
      </c>
      <c r="CR65" s="120">
        <v>0</v>
      </c>
      <c r="CS65" s="121">
        <f>SUM(CP65:CR65)</f>
        <v>0</v>
      </c>
      <c r="CT65" s="91"/>
      <c r="CU65" s="304"/>
      <c r="CV65" s="300" t="s">
        <v>23</v>
      </c>
      <c r="CW65" s="82" t="s">
        <v>20</v>
      </c>
      <c r="CX65" s="267">
        <v>0</v>
      </c>
      <c r="CY65" s="268">
        <v>0</v>
      </c>
      <c r="CZ65" s="268">
        <v>0</v>
      </c>
      <c r="DA65" s="269">
        <v>0</v>
      </c>
      <c r="DB65" s="270">
        <v>0</v>
      </c>
      <c r="DC65" s="271">
        <f t="shared" ref="DC65:DC66" si="417">SUM(CX65:DB65)</f>
        <v>0</v>
      </c>
      <c r="DD65" s="272">
        <v>0</v>
      </c>
      <c r="DE65" s="268">
        <v>0</v>
      </c>
      <c r="DF65" s="273">
        <v>0</v>
      </c>
      <c r="DG65" s="121">
        <f>SUM(DD65:DF65)</f>
        <v>0</v>
      </c>
      <c r="DH65" s="91"/>
      <c r="DI65" s="304"/>
      <c r="DJ65" s="300" t="s">
        <v>23</v>
      </c>
      <c r="DK65" s="82" t="s">
        <v>20</v>
      </c>
      <c r="DL65" s="115">
        <v>0</v>
      </c>
      <c r="DM65" s="116">
        <v>0</v>
      </c>
      <c r="DN65" s="116">
        <v>0</v>
      </c>
      <c r="DO65" s="117">
        <v>0</v>
      </c>
      <c r="DP65" s="118">
        <v>0</v>
      </c>
      <c r="DQ65" s="93">
        <f>SUM(DL65:DP65)</f>
        <v>0</v>
      </c>
      <c r="DR65" s="119">
        <v>0</v>
      </c>
      <c r="DS65" s="116">
        <v>0</v>
      </c>
      <c r="DT65" s="120">
        <v>0</v>
      </c>
      <c r="DU65" s="121">
        <f>SUM(DR65:DT65)</f>
        <v>0</v>
      </c>
      <c r="DV65" s="91"/>
      <c r="DW65" s="304"/>
      <c r="DX65" s="300" t="s">
        <v>23</v>
      </c>
      <c r="DY65" s="82" t="s">
        <v>20</v>
      </c>
      <c r="DZ65" s="115">
        <v>0</v>
      </c>
      <c r="EA65" s="116">
        <v>0</v>
      </c>
      <c r="EB65" s="116">
        <v>0</v>
      </c>
      <c r="EC65" s="117">
        <v>0</v>
      </c>
      <c r="ED65" s="118">
        <v>0</v>
      </c>
      <c r="EE65" s="93">
        <f>SUM(DZ65:ED65)</f>
        <v>0</v>
      </c>
      <c r="EF65" s="119">
        <v>0</v>
      </c>
      <c r="EG65" s="116">
        <v>0</v>
      </c>
      <c r="EH65" s="120">
        <v>0</v>
      </c>
      <c r="EI65" s="121">
        <f>SUM(EF65:EH65)</f>
        <v>0</v>
      </c>
      <c r="EJ65" s="91"/>
      <c r="EK65" s="304"/>
      <c r="EL65" s="300" t="s">
        <v>23</v>
      </c>
      <c r="EM65" s="82" t="s">
        <v>20</v>
      </c>
      <c r="EN65" s="115">
        <v>0</v>
      </c>
      <c r="EO65" s="116">
        <v>0</v>
      </c>
      <c r="EP65" s="116">
        <v>0</v>
      </c>
      <c r="EQ65" s="117">
        <v>0</v>
      </c>
      <c r="ER65" s="118">
        <v>0</v>
      </c>
      <c r="ES65" s="93">
        <f>SUM(EN65:ER65)</f>
        <v>0</v>
      </c>
      <c r="ET65" s="119">
        <v>0</v>
      </c>
      <c r="EU65" s="116">
        <v>0</v>
      </c>
      <c r="EV65" s="120">
        <v>0</v>
      </c>
      <c r="EW65" s="121">
        <f>SUM(ET65:EV65)</f>
        <v>0</v>
      </c>
      <c r="EX65" s="91"/>
      <c r="EY65" s="304"/>
      <c r="EZ65" s="300" t="s">
        <v>23</v>
      </c>
      <c r="FA65" s="82" t="s">
        <v>20</v>
      </c>
      <c r="FB65" s="115">
        <v>0</v>
      </c>
      <c r="FC65" s="116">
        <v>0</v>
      </c>
      <c r="FD65" s="116">
        <v>0</v>
      </c>
      <c r="FE65" s="117">
        <v>0</v>
      </c>
      <c r="FF65" s="118">
        <v>0</v>
      </c>
      <c r="FG65" s="93">
        <f>SUM(FB65:FF65)</f>
        <v>0</v>
      </c>
      <c r="FH65" s="119">
        <v>0</v>
      </c>
      <c r="FI65" s="116">
        <v>0</v>
      </c>
      <c r="FJ65" s="120">
        <v>0</v>
      </c>
      <c r="FK65" s="121">
        <f>SUM(FH65:FJ65)</f>
        <v>0</v>
      </c>
      <c r="FL65" s="147"/>
      <c r="FM65" s="304"/>
      <c r="FN65" s="300" t="s">
        <v>23</v>
      </c>
      <c r="FO65" s="82" t="s">
        <v>20</v>
      </c>
      <c r="FP65" s="115">
        <f t="shared" ref="FP65:FP66" si="418">SUM(D65+R65+AF65+AT65+BH65+BV65+CJ65+CX65+DL65+DZ65+EN65+FB65)</f>
        <v>0</v>
      </c>
      <c r="FQ65" s="115">
        <f t="shared" ref="FQ65:FQ66" si="419">SUM(E65+S65+AG65+AU65+BI65+BW65+CK65+CY65+DM65+EA65+EO65+FC65)</f>
        <v>0</v>
      </c>
      <c r="FR65" s="115">
        <f t="shared" ref="FR65:FR66" si="420">SUM(F65+T65+AH65+AV65+BJ65+BX65+CL65+CZ65+DN65+EB65+EP65+FD65)</f>
        <v>0</v>
      </c>
      <c r="FS65" s="150">
        <f t="shared" ref="FS65:FS66" si="421">SUM(G65+U65+AI65+AW65+BK65+BY65+CM65+DA65+DO65+EC65+EQ65+FE65)</f>
        <v>0</v>
      </c>
      <c r="FT65" s="115">
        <f t="shared" ref="FT65:FT66" si="422">SUM(H65+V65+AJ65+AX65+BL65+BZ65+CN65+DB65+DP65+ED65+ER65+FF65)</f>
        <v>0</v>
      </c>
      <c r="FU65" s="93">
        <f>SUM(FP65:FT65)</f>
        <v>0</v>
      </c>
      <c r="FV65" s="119">
        <f t="shared" ref="FV65:FV66" si="423">SUM(J65+X65+AL65+AZ65+BN65+CB65+CP65+DD65+DR65+EF65+ET65+FH65)</f>
        <v>0</v>
      </c>
      <c r="FW65" s="119">
        <f t="shared" ref="FW65:FW66" si="424">SUM(K65+Y65+AM65+BA65+BO65+CC65+CQ65+DE65+DS65+EG65+EU65+FI65)</f>
        <v>0</v>
      </c>
      <c r="FX65" s="119">
        <f t="shared" ref="FX65:FX66" si="425">SUM(L65+Z65+AN65+BB65+BP65+CD65+CR65+DF65+DT65+EH65+EV65+FJ65)</f>
        <v>0</v>
      </c>
      <c r="FY65" s="122">
        <f>SUM(FV65:FX65)</f>
        <v>0</v>
      </c>
      <c r="FZ65" s="95"/>
      <c r="GA65" s="91"/>
    </row>
    <row r="66" spans="1:183" ht="20.100000000000001" customHeight="1" thickBot="1" x14ac:dyDescent="0.3">
      <c r="A66" s="304"/>
      <c r="B66" s="294"/>
      <c r="C66" s="97" t="s">
        <v>21</v>
      </c>
      <c r="D66" s="98">
        <v>0</v>
      </c>
      <c r="E66" s="99">
        <v>0</v>
      </c>
      <c r="F66" s="99">
        <v>0</v>
      </c>
      <c r="G66" s="99">
        <v>0</v>
      </c>
      <c r="H66" s="100">
        <v>0</v>
      </c>
      <c r="I66" s="101">
        <f>SUM(D66:H66)</f>
        <v>0</v>
      </c>
      <c r="J66" s="102">
        <v>0</v>
      </c>
      <c r="K66" s="99">
        <v>0</v>
      </c>
      <c r="L66" s="103">
        <v>0</v>
      </c>
      <c r="M66" s="104">
        <f>SUM(J66:L66)</f>
        <v>0</v>
      </c>
      <c r="N66" s="61"/>
      <c r="O66" s="304"/>
      <c r="P66" s="294"/>
      <c r="Q66" s="97" t="s">
        <v>21</v>
      </c>
      <c r="R66" s="98">
        <v>0</v>
      </c>
      <c r="S66" s="99">
        <v>0</v>
      </c>
      <c r="T66" s="99">
        <v>0</v>
      </c>
      <c r="U66" s="99">
        <v>0</v>
      </c>
      <c r="V66" s="100">
        <v>0</v>
      </c>
      <c r="W66" s="101">
        <f>SUM(R66:V66)</f>
        <v>0</v>
      </c>
      <c r="X66" s="102">
        <v>0</v>
      </c>
      <c r="Y66" s="99">
        <v>0</v>
      </c>
      <c r="Z66" s="103">
        <v>0</v>
      </c>
      <c r="AA66" s="104">
        <f>SUM(X66:Z66)</f>
        <v>0</v>
      </c>
      <c r="AB66" s="61"/>
      <c r="AC66" s="304"/>
      <c r="AD66" s="294"/>
      <c r="AE66" s="97" t="s">
        <v>21</v>
      </c>
      <c r="AF66" s="98">
        <v>0</v>
      </c>
      <c r="AG66" s="99">
        <v>0</v>
      </c>
      <c r="AH66" s="99">
        <v>0</v>
      </c>
      <c r="AI66" s="99">
        <v>0</v>
      </c>
      <c r="AJ66" s="100">
        <v>0</v>
      </c>
      <c r="AK66" s="101">
        <f>SUM(AF66:AJ66)</f>
        <v>0</v>
      </c>
      <c r="AL66" s="102">
        <v>0</v>
      </c>
      <c r="AM66" s="99">
        <v>0</v>
      </c>
      <c r="AN66" s="103">
        <v>0</v>
      </c>
      <c r="AO66" s="104">
        <f>SUM(AL66:AN66)</f>
        <v>0</v>
      </c>
      <c r="AP66" s="61"/>
      <c r="AQ66" s="304"/>
      <c r="AR66" s="294"/>
      <c r="AS66" s="97" t="s">
        <v>21</v>
      </c>
      <c r="AT66" s="98">
        <v>0</v>
      </c>
      <c r="AU66" s="99">
        <v>0</v>
      </c>
      <c r="AV66" s="99">
        <v>0</v>
      </c>
      <c r="AW66" s="99">
        <v>0</v>
      </c>
      <c r="AX66" s="100">
        <v>0</v>
      </c>
      <c r="AY66" s="101">
        <f>SUM(AT66:AX66)</f>
        <v>0</v>
      </c>
      <c r="AZ66" s="102">
        <v>0</v>
      </c>
      <c r="BA66" s="99">
        <v>0</v>
      </c>
      <c r="BB66" s="103">
        <v>0</v>
      </c>
      <c r="BC66" s="104">
        <f>SUM(AZ66:BB66)</f>
        <v>0</v>
      </c>
      <c r="BD66" s="61"/>
      <c r="BE66" s="304"/>
      <c r="BF66" s="294"/>
      <c r="BG66" s="97" t="s">
        <v>21</v>
      </c>
      <c r="BH66" s="98">
        <v>0</v>
      </c>
      <c r="BI66" s="99">
        <v>0</v>
      </c>
      <c r="BJ66" s="99">
        <v>0</v>
      </c>
      <c r="BK66" s="99">
        <v>0</v>
      </c>
      <c r="BL66" s="100">
        <v>0</v>
      </c>
      <c r="BM66" s="101">
        <f>SUM(BH66:BL66)</f>
        <v>0</v>
      </c>
      <c r="BN66" s="102">
        <v>0</v>
      </c>
      <c r="BO66" s="99">
        <v>0</v>
      </c>
      <c r="BP66" s="103">
        <v>0</v>
      </c>
      <c r="BQ66" s="104">
        <f>SUM(BN66:BP66)</f>
        <v>0</v>
      </c>
      <c r="BR66" s="61"/>
      <c r="BS66" s="304"/>
      <c r="BT66" s="294"/>
      <c r="BU66" s="97" t="s">
        <v>21</v>
      </c>
      <c r="BV66" s="98">
        <v>0</v>
      </c>
      <c r="BW66" s="99">
        <v>0</v>
      </c>
      <c r="BX66" s="99">
        <v>0</v>
      </c>
      <c r="BY66" s="99">
        <v>0</v>
      </c>
      <c r="BZ66" s="100">
        <v>0</v>
      </c>
      <c r="CA66" s="101">
        <f>SUM(BV66:BZ66)</f>
        <v>0</v>
      </c>
      <c r="CB66" s="102">
        <v>0</v>
      </c>
      <c r="CC66" s="99">
        <v>0</v>
      </c>
      <c r="CD66" s="103">
        <v>0</v>
      </c>
      <c r="CE66" s="104">
        <f>SUM(CB66:CD66)</f>
        <v>0</v>
      </c>
      <c r="CF66" s="61"/>
      <c r="CG66" s="304"/>
      <c r="CH66" s="294"/>
      <c r="CI66" s="97" t="s">
        <v>21</v>
      </c>
      <c r="CJ66" s="98">
        <v>0</v>
      </c>
      <c r="CK66" s="99">
        <v>0</v>
      </c>
      <c r="CL66" s="99">
        <v>0</v>
      </c>
      <c r="CM66" s="99">
        <v>0</v>
      </c>
      <c r="CN66" s="100">
        <v>0</v>
      </c>
      <c r="CO66" s="101">
        <f>SUM(CJ66:CN66)</f>
        <v>0</v>
      </c>
      <c r="CP66" s="102">
        <v>0</v>
      </c>
      <c r="CQ66" s="99">
        <v>0</v>
      </c>
      <c r="CR66" s="103">
        <v>0</v>
      </c>
      <c r="CS66" s="104">
        <f>SUM(CP66:CR66)</f>
        <v>0</v>
      </c>
      <c r="CT66" s="61"/>
      <c r="CU66" s="304"/>
      <c r="CV66" s="294"/>
      <c r="CW66" s="97" t="s">
        <v>21</v>
      </c>
      <c r="CX66" s="274">
        <v>0</v>
      </c>
      <c r="CY66" s="260">
        <v>0</v>
      </c>
      <c r="CZ66" s="260">
        <v>0</v>
      </c>
      <c r="DA66" s="260">
        <v>0</v>
      </c>
      <c r="DB66" s="275">
        <v>0</v>
      </c>
      <c r="DC66" s="258">
        <f t="shared" si="417"/>
        <v>0</v>
      </c>
      <c r="DD66" s="259">
        <v>0</v>
      </c>
      <c r="DE66" s="260">
        <v>0</v>
      </c>
      <c r="DF66" s="261">
        <v>0</v>
      </c>
      <c r="DG66" s="104">
        <f>SUM(DD66:DF66)</f>
        <v>0</v>
      </c>
      <c r="DH66" s="61"/>
      <c r="DI66" s="304"/>
      <c r="DJ66" s="294"/>
      <c r="DK66" s="97" t="s">
        <v>21</v>
      </c>
      <c r="DL66" s="98">
        <v>0</v>
      </c>
      <c r="DM66" s="99">
        <v>0</v>
      </c>
      <c r="DN66" s="99">
        <v>0</v>
      </c>
      <c r="DO66" s="99">
        <v>0</v>
      </c>
      <c r="DP66" s="100">
        <v>0</v>
      </c>
      <c r="DQ66" s="101">
        <f>SUM(DL66:DP66)</f>
        <v>0</v>
      </c>
      <c r="DR66" s="102">
        <v>0</v>
      </c>
      <c r="DS66" s="99">
        <v>0</v>
      </c>
      <c r="DT66" s="103">
        <v>0</v>
      </c>
      <c r="DU66" s="104">
        <f>SUM(DR66:DT66)</f>
        <v>0</v>
      </c>
      <c r="DV66" s="61"/>
      <c r="DW66" s="304"/>
      <c r="DX66" s="294"/>
      <c r="DY66" s="97" t="s">
        <v>21</v>
      </c>
      <c r="DZ66" s="98">
        <v>0</v>
      </c>
      <c r="EA66" s="99">
        <v>0</v>
      </c>
      <c r="EB66" s="99">
        <v>0</v>
      </c>
      <c r="EC66" s="99">
        <v>0</v>
      </c>
      <c r="ED66" s="100">
        <v>0</v>
      </c>
      <c r="EE66" s="101">
        <f>SUM(DZ66:ED66)</f>
        <v>0</v>
      </c>
      <c r="EF66" s="102">
        <v>0</v>
      </c>
      <c r="EG66" s="99">
        <v>0</v>
      </c>
      <c r="EH66" s="103">
        <v>0</v>
      </c>
      <c r="EI66" s="104">
        <f>SUM(EF66:EH66)</f>
        <v>0</v>
      </c>
      <c r="EJ66" s="61"/>
      <c r="EK66" s="304"/>
      <c r="EL66" s="294"/>
      <c r="EM66" s="97" t="s">
        <v>21</v>
      </c>
      <c r="EN66" s="98">
        <v>0</v>
      </c>
      <c r="EO66" s="99">
        <v>0</v>
      </c>
      <c r="EP66" s="99">
        <v>0</v>
      </c>
      <c r="EQ66" s="99">
        <v>0</v>
      </c>
      <c r="ER66" s="100">
        <v>0</v>
      </c>
      <c r="ES66" s="101">
        <f>SUM(EN66:ER66)</f>
        <v>0</v>
      </c>
      <c r="ET66" s="102">
        <v>0</v>
      </c>
      <c r="EU66" s="99">
        <v>0</v>
      </c>
      <c r="EV66" s="103">
        <v>0</v>
      </c>
      <c r="EW66" s="104">
        <f>SUM(ET66:EV66)</f>
        <v>0</v>
      </c>
      <c r="EX66" s="61"/>
      <c r="EY66" s="304"/>
      <c r="EZ66" s="294"/>
      <c r="FA66" s="97" t="s">
        <v>21</v>
      </c>
      <c r="FB66" s="98">
        <v>0</v>
      </c>
      <c r="FC66" s="99">
        <v>0</v>
      </c>
      <c r="FD66" s="99">
        <v>0</v>
      </c>
      <c r="FE66" s="99">
        <v>0</v>
      </c>
      <c r="FF66" s="100">
        <v>0</v>
      </c>
      <c r="FG66" s="101">
        <f>SUM(FB66:FF66)</f>
        <v>0</v>
      </c>
      <c r="FH66" s="102">
        <v>0</v>
      </c>
      <c r="FI66" s="99">
        <v>0</v>
      </c>
      <c r="FJ66" s="103">
        <v>0</v>
      </c>
      <c r="FK66" s="104">
        <f>SUM(FH66:FJ66)</f>
        <v>0</v>
      </c>
      <c r="FM66" s="304"/>
      <c r="FN66" s="294"/>
      <c r="FO66" s="97" t="s">
        <v>21</v>
      </c>
      <c r="FP66" s="115">
        <f t="shared" si="418"/>
        <v>0</v>
      </c>
      <c r="FQ66" s="115">
        <f t="shared" si="419"/>
        <v>0</v>
      </c>
      <c r="FR66" s="115">
        <f t="shared" si="420"/>
        <v>0</v>
      </c>
      <c r="FS66" s="115">
        <f t="shared" si="421"/>
        <v>0</v>
      </c>
      <c r="FT66" s="115">
        <f t="shared" si="422"/>
        <v>0</v>
      </c>
      <c r="FU66" s="101">
        <f>SUM(FP66:FT66)</f>
        <v>0</v>
      </c>
      <c r="FV66" s="119">
        <f t="shared" si="423"/>
        <v>0</v>
      </c>
      <c r="FW66" s="119">
        <f t="shared" si="424"/>
        <v>0</v>
      </c>
      <c r="FX66" s="119">
        <f t="shared" si="425"/>
        <v>0</v>
      </c>
      <c r="FY66" s="106">
        <f>SUM(FV66:FX66)</f>
        <v>0</v>
      </c>
      <c r="GA66" s="61"/>
    </row>
    <row r="67" spans="1:183" ht="20.100000000000001" customHeight="1" thickBot="1" x14ac:dyDescent="0.3">
      <c r="A67" s="305"/>
      <c r="B67" s="301" t="s">
        <v>24</v>
      </c>
      <c r="C67" s="310"/>
      <c r="D67" s="107">
        <f t="shared" ref="D67:M67" si="426">SUM(D65:D66)</f>
        <v>0</v>
      </c>
      <c r="E67" s="108">
        <f t="shared" si="426"/>
        <v>0</v>
      </c>
      <c r="F67" s="108">
        <f t="shared" si="426"/>
        <v>0</v>
      </c>
      <c r="G67" s="108">
        <f t="shared" si="426"/>
        <v>0</v>
      </c>
      <c r="H67" s="109">
        <f t="shared" si="426"/>
        <v>0</v>
      </c>
      <c r="I67" s="110">
        <f t="shared" si="426"/>
        <v>0</v>
      </c>
      <c r="J67" s="111">
        <f t="shared" si="426"/>
        <v>0</v>
      </c>
      <c r="K67" s="108">
        <f t="shared" si="426"/>
        <v>0</v>
      </c>
      <c r="L67" s="109">
        <f t="shared" si="426"/>
        <v>0</v>
      </c>
      <c r="M67" s="112">
        <f t="shared" si="426"/>
        <v>0</v>
      </c>
      <c r="N67" s="61"/>
      <c r="O67" s="305"/>
      <c r="P67" s="301" t="s">
        <v>24</v>
      </c>
      <c r="Q67" s="310"/>
      <c r="R67" s="107">
        <f t="shared" ref="R67:AA67" si="427">SUM(R65:R66)</f>
        <v>0</v>
      </c>
      <c r="S67" s="108">
        <f t="shared" si="427"/>
        <v>0</v>
      </c>
      <c r="T67" s="108">
        <f t="shared" si="427"/>
        <v>0</v>
      </c>
      <c r="U67" s="108">
        <f t="shared" si="427"/>
        <v>0</v>
      </c>
      <c r="V67" s="109">
        <f t="shared" si="427"/>
        <v>0</v>
      </c>
      <c r="W67" s="110">
        <f t="shared" si="427"/>
        <v>0</v>
      </c>
      <c r="X67" s="111">
        <f t="shared" si="427"/>
        <v>0</v>
      </c>
      <c r="Y67" s="108">
        <f t="shared" si="427"/>
        <v>0</v>
      </c>
      <c r="Z67" s="109">
        <f t="shared" si="427"/>
        <v>0</v>
      </c>
      <c r="AA67" s="112">
        <f t="shared" si="427"/>
        <v>0</v>
      </c>
      <c r="AB67" s="61"/>
      <c r="AC67" s="305"/>
      <c r="AD67" s="301" t="s">
        <v>24</v>
      </c>
      <c r="AE67" s="310"/>
      <c r="AF67" s="107">
        <f t="shared" ref="AF67:AO67" si="428">SUM(AF65:AF66)</f>
        <v>0</v>
      </c>
      <c r="AG67" s="108">
        <f t="shared" si="428"/>
        <v>0</v>
      </c>
      <c r="AH67" s="108">
        <f t="shared" si="428"/>
        <v>0</v>
      </c>
      <c r="AI67" s="108">
        <f t="shared" si="428"/>
        <v>0</v>
      </c>
      <c r="AJ67" s="109">
        <f t="shared" si="428"/>
        <v>0</v>
      </c>
      <c r="AK67" s="110">
        <f t="shared" si="428"/>
        <v>0</v>
      </c>
      <c r="AL67" s="111">
        <f t="shared" si="428"/>
        <v>0</v>
      </c>
      <c r="AM67" s="108">
        <f t="shared" si="428"/>
        <v>0</v>
      </c>
      <c r="AN67" s="109">
        <f t="shared" si="428"/>
        <v>0</v>
      </c>
      <c r="AO67" s="112">
        <f t="shared" si="428"/>
        <v>0</v>
      </c>
      <c r="AP67" s="61"/>
      <c r="AQ67" s="305"/>
      <c r="AR67" s="301" t="s">
        <v>24</v>
      </c>
      <c r="AS67" s="310"/>
      <c r="AT67" s="107">
        <f t="shared" ref="AT67:BC67" si="429">SUM(AT65:AT66)</f>
        <v>0</v>
      </c>
      <c r="AU67" s="108">
        <f t="shared" si="429"/>
        <v>0</v>
      </c>
      <c r="AV67" s="108">
        <f t="shared" si="429"/>
        <v>0</v>
      </c>
      <c r="AW67" s="108">
        <f t="shared" si="429"/>
        <v>0</v>
      </c>
      <c r="AX67" s="109">
        <f t="shared" si="429"/>
        <v>0</v>
      </c>
      <c r="AY67" s="110">
        <f t="shared" si="429"/>
        <v>0</v>
      </c>
      <c r="AZ67" s="111">
        <f t="shared" si="429"/>
        <v>0</v>
      </c>
      <c r="BA67" s="108">
        <f t="shared" si="429"/>
        <v>0</v>
      </c>
      <c r="BB67" s="109">
        <f t="shared" si="429"/>
        <v>0</v>
      </c>
      <c r="BC67" s="112">
        <f t="shared" si="429"/>
        <v>0</v>
      </c>
      <c r="BD67" s="61"/>
      <c r="BE67" s="305"/>
      <c r="BF67" s="301" t="s">
        <v>24</v>
      </c>
      <c r="BG67" s="310"/>
      <c r="BH67" s="107">
        <f t="shared" ref="BH67:BQ67" si="430">SUM(BH65:BH66)</f>
        <v>0</v>
      </c>
      <c r="BI67" s="108">
        <f t="shared" si="430"/>
        <v>0</v>
      </c>
      <c r="BJ67" s="108">
        <f t="shared" si="430"/>
        <v>0</v>
      </c>
      <c r="BK67" s="108">
        <f t="shared" si="430"/>
        <v>0</v>
      </c>
      <c r="BL67" s="109">
        <f t="shared" si="430"/>
        <v>0</v>
      </c>
      <c r="BM67" s="110">
        <f t="shared" si="430"/>
        <v>0</v>
      </c>
      <c r="BN67" s="111">
        <f t="shared" si="430"/>
        <v>0</v>
      </c>
      <c r="BO67" s="108">
        <f t="shared" si="430"/>
        <v>0</v>
      </c>
      <c r="BP67" s="109">
        <f t="shared" si="430"/>
        <v>0</v>
      </c>
      <c r="BQ67" s="112">
        <f t="shared" si="430"/>
        <v>0</v>
      </c>
      <c r="BR67" s="61"/>
      <c r="BS67" s="305"/>
      <c r="BT67" s="301" t="s">
        <v>24</v>
      </c>
      <c r="BU67" s="310"/>
      <c r="BV67" s="107">
        <f t="shared" ref="BV67:CE67" si="431">SUM(BV65:BV66)</f>
        <v>0</v>
      </c>
      <c r="BW67" s="108">
        <f t="shared" si="431"/>
        <v>0</v>
      </c>
      <c r="BX67" s="108">
        <f t="shared" si="431"/>
        <v>0</v>
      </c>
      <c r="BY67" s="108">
        <f t="shared" si="431"/>
        <v>0</v>
      </c>
      <c r="BZ67" s="109">
        <f t="shared" si="431"/>
        <v>0</v>
      </c>
      <c r="CA67" s="110">
        <f t="shared" si="431"/>
        <v>0</v>
      </c>
      <c r="CB67" s="111">
        <f t="shared" si="431"/>
        <v>0</v>
      </c>
      <c r="CC67" s="108">
        <f t="shared" si="431"/>
        <v>0</v>
      </c>
      <c r="CD67" s="109">
        <f t="shared" si="431"/>
        <v>0</v>
      </c>
      <c r="CE67" s="112">
        <f t="shared" si="431"/>
        <v>0</v>
      </c>
      <c r="CF67" s="61"/>
      <c r="CG67" s="305"/>
      <c r="CH67" s="301" t="s">
        <v>24</v>
      </c>
      <c r="CI67" s="310"/>
      <c r="CJ67" s="107">
        <f t="shared" ref="CJ67:CS67" si="432">SUM(CJ65:CJ66)</f>
        <v>0</v>
      </c>
      <c r="CK67" s="108">
        <f t="shared" si="432"/>
        <v>0</v>
      </c>
      <c r="CL67" s="108">
        <f t="shared" si="432"/>
        <v>0</v>
      </c>
      <c r="CM67" s="108">
        <f t="shared" si="432"/>
        <v>0</v>
      </c>
      <c r="CN67" s="109">
        <f t="shared" si="432"/>
        <v>0</v>
      </c>
      <c r="CO67" s="110">
        <f t="shared" si="432"/>
        <v>0</v>
      </c>
      <c r="CP67" s="111">
        <f t="shared" si="432"/>
        <v>0</v>
      </c>
      <c r="CQ67" s="108">
        <f t="shared" si="432"/>
        <v>0</v>
      </c>
      <c r="CR67" s="109">
        <f t="shared" si="432"/>
        <v>0</v>
      </c>
      <c r="CS67" s="112">
        <f t="shared" si="432"/>
        <v>0</v>
      </c>
      <c r="CT67" s="61"/>
      <c r="CU67" s="305"/>
      <c r="CV67" s="301" t="s">
        <v>24</v>
      </c>
      <c r="CW67" s="310"/>
      <c r="CX67" s="262">
        <f t="shared" ref="CX67:DF67" si="433">SUM(CX65:CX66)</f>
        <v>0</v>
      </c>
      <c r="CY67" s="263">
        <f t="shared" si="433"/>
        <v>0</v>
      </c>
      <c r="CZ67" s="263">
        <f t="shared" si="433"/>
        <v>0</v>
      </c>
      <c r="DA67" s="263">
        <f t="shared" si="433"/>
        <v>0</v>
      </c>
      <c r="DB67" s="264">
        <f t="shared" si="433"/>
        <v>0</v>
      </c>
      <c r="DC67" s="265">
        <f t="shared" si="433"/>
        <v>0</v>
      </c>
      <c r="DD67" s="266">
        <f t="shared" si="433"/>
        <v>0</v>
      </c>
      <c r="DE67" s="263">
        <f t="shared" si="433"/>
        <v>0</v>
      </c>
      <c r="DF67" s="264">
        <f t="shared" si="433"/>
        <v>0</v>
      </c>
      <c r="DG67" s="112">
        <f t="shared" ref="DG67" si="434">SUM(DG65:DG66)</f>
        <v>0</v>
      </c>
      <c r="DH67" s="61"/>
      <c r="DI67" s="305"/>
      <c r="DJ67" s="301" t="s">
        <v>24</v>
      </c>
      <c r="DK67" s="310"/>
      <c r="DL67" s="107">
        <f t="shared" ref="DL67:DU67" si="435">SUM(DL65:DL66)</f>
        <v>0</v>
      </c>
      <c r="DM67" s="108">
        <f t="shared" si="435"/>
        <v>0</v>
      </c>
      <c r="DN67" s="108">
        <f t="shared" si="435"/>
        <v>0</v>
      </c>
      <c r="DO67" s="108">
        <f t="shared" si="435"/>
        <v>0</v>
      </c>
      <c r="DP67" s="109">
        <f t="shared" si="435"/>
        <v>0</v>
      </c>
      <c r="DQ67" s="110">
        <f t="shared" si="435"/>
        <v>0</v>
      </c>
      <c r="DR67" s="111">
        <f t="shared" si="435"/>
        <v>0</v>
      </c>
      <c r="DS67" s="108">
        <f t="shared" si="435"/>
        <v>0</v>
      </c>
      <c r="DT67" s="109">
        <f t="shared" si="435"/>
        <v>0</v>
      </c>
      <c r="DU67" s="112">
        <f t="shared" si="435"/>
        <v>0</v>
      </c>
      <c r="DV67" s="61"/>
      <c r="DW67" s="305"/>
      <c r="DX67" s="301" t="s">
        <v>24</v>
      </c>
      <c r="DY67" s="310"/>
      <c r="DZ67" s="107">
        <f t="shared" ref="DZ67:EI67" si="436">SUM(DZ65:DZ66)</f>
        <v>0</v>
      </c>
      <c r="EA67" s="108">
        <f t="shared" si="436"/>
        <v>0</v>
      </c>
      <c r="EB67" s="108">
        <f t="shared" si="436"/>
        <v>0</v>
      </c>
      <c r="EC67" s="108">
        <f t="shared" si="436"/>
        <v>0</v>
      </c>
      <c r="ED67" s="109">
        <f t="shared" si="436"/>
        <v>0</v>
      </c>
      <c r="EE67" s="110">
        <f t="shared" si="436"/>
        <v>0</v>
      </c>
      <c r="EF67" s="111">
        <f t="shared" si="436"/>
        <v>0</v>
      </c>
      <c r="EG67" s="108">
        <f t="shared" si="436"/>
        <v>0</v>
      </c>
      <c r="EH67" s="109">
        <f t="shared" si="436"/>
        <v>0</v>
      </c>
      <c r="EI67" s="112">
        <f t="shared" si="436"/>
        <v>0</v>
      </c>
      <c r="EJ67" s="61"/>
      <c r="EK67" s="305"/>
      <c r="EL67" s="301" t="s">
        <v>24</v>
      </c>
      <c r="EM67" s="310"/>
      <c r="EN67" s="107">
        <f t="shared" ref="EN67:EW67" si="437">SUM(EN65:EN66)</f>
        <v>0</v>
      </c>
      <c r="EO67" s="108">
        <f t="shared" si="437"/>
        <v>0</v>
      </c>
      <c r="EP67" s="108">
        <f t="shared" si="437"/>
        <v>0</v>
      </c>
      <c r="EQ67" s="108">
        <f t="shared" si="437"/>
        <v>0</v>
      </c>
      <c r="ER67" s="109">
        <f t="shared" si="437"/>
        <v>0</v>
      </c>
      <c r="ES67" s="110">
        <f t="shared" si="437"/>
        <v>0</v>
      </c>
      <c r="ET67" s="111">
        <f t="shared" si="437"/>
        <v>0</v>
      </c>
      <c r="EU67" s="108">
        <f t="shared" si="437"/>
        <v>0</v>
      </c>
      <c r="EV67" s="109">
        <f t="shared" si="437"/>
        <v>0</v>
      </c>
      <c r="EW67" s="112">
        <f t="shared" si="437"/>
        <v>0</v>
      </c>
      <c r="EX67" s="61"/>
      <c r="EY67" s="305"/>
      <c r="EZ67" s="301" t="s">
        <v>24</v>
      </c>
      <c r="FA67" s="310"/>
      <c r="FB67" s="107">
        <f t="shared" ref="FB67:FK67" si="438">SUM(FB65:FB66)</f>
        <v>0</v>
      </c>
      <c r="FC67" s="108">
        <f t="shared" si="438"/>
        <v>0</v>
      </c>
      <c r="FD67" s="108">
        <f t="shared" si="438"/>
        <v>0</v>
      </c>
      <c r="FE67" s="108">
        <f t="shared" si="438"/>
        <v>0</v>
      </c>
      <c r="FF67" s="109">
        <f t="shared" si="438"/>
        <v>0</v>
      </c>
      <c r="FG67" s="110">
        <f t="shared" si="438"/>
        <v>0</v>
      </c>
      <c r="FH67" s="111">
        <f t="shared" si="438"/>
        <v>0</v>
      </c>
      <c r="FI67" s="108">
        <f t="shared" si="438"/>
        <v>0</v>
      </c>
      <c r="FJ67" s="109">
        <f t="shared" si="438"/>
        <v>0</v>
      </c>
      <c r="FK67" s="112">
        <f t="shared" si="438"/>
        <v>0</v>
      </c>
      <c r="FM67" s="305"/>
      <c r="FN67" s="301" t="s">
        <v>24</v>
      </c>
      <c r="FO67" s="310"/>
      <c r="FP67" s="107">
        <f t="shared" ref="FP67:FY67" si="439">SUM(FP65:FP66)</f>
        <v>0</v>
      </c>
      <c r="FQ67" s="108">
        <f t="shared" si="439"/>
        <v>0</v>
      </c>
      <c r="FR67" s="108">
        <f t="shared" si="439"/>
        <v>0</v>
      </c>
      <c r="FS67" s="108">
        <f t="shared" si="439"/>
        <v>0</v>
      </c>
      <c r="FT67" s="109">
        <f t="shared" si="439"/>
        <v>0</v>
      </c>
      <c r="FU67" s="113">
        <f t="shared" si="439"/>
        <v>0</v>
      </c>
      <c r="FV67" s="111">
        <f t="shared" si="439"/>
        <v>0</v>
      </c>
      <c r="FW67" s="108">
        <f t="shared" si="439"/>
        <v>0</v>
      </c>
      <c r="FX67" s="109">
        <f t="shared" si="439"/>
        <v>0</v>
      </c>
      <c r="FY67" s="114">
        <f t="shared" si="439"/>
        <v>0</v>
      </c>
      <c r="GA67" s="61"/>
    </row>
    <row r="68" spans="1:183" ht="20.100000000000001" customHeight="1" thickBot="1" x14ac:dyDescent="0.3">
      <c r="A68" s="297" t="s">
        <v>25</v>
      </c>
      <c r="B68" s="298"/>
      <c r="C68" s="299"/>
      <c r="D68" s="123">
        <f>SUM(D67+D64)</f>
        <v>0</v>
      </c>
      <c r="E68" s="124">
        <f>SUM(E67+E64)</f>
        <v>0</v>
      </c>
      <c r="F68" s="124">
        <f>SUM(F67+F64)</f>
        <v>0</v>
      </c>
      <c r="G68" s="124">
        <f>SUM(G67+G64)</f>
        <v>0</v>
      </c>
      <c r="H68" s="125">
        <f>SUM(H67+H64)</f>
        <v>0</v>
      </c>
      <c r="I68" s="126">
        <f>SUM(I64+I67)</f>
        <v>0</v>
      </c>
      <c r="J68" s="127">
        <f>SUM(J67+J64)</f>
        <v>0</v>
      </c>
      <c r="K68" s="128">
        <f>SUM(K67+K64)</f>
        <v>0</v>
      </c>
      <c r="L68" s="129">
        <f>SUM(L67+L64)</f>
        <v>0</v>
      </c>
      <c r="M68" s="130">
        <f>SUM(M67+M64)</f>
        <v>0</v>
      </c>
      <c r="N68" s="61"/>
      <c r="O68" s="297" t="s">
        <v>25</v>
      </c>
      <c r="P68" s="298"/>
      <c r="Q68" s="299"/>
      <c r="R68" s="123">
        <f>SUM(R67+R64)</f>
        <v>0</v>
      </c>
      <c r="S68" s="124">
        <f>SUM(S67+S64)</f>
        <v>0</v>
      </c>
      <c r="T68" s="124">
        <f>SUM(T67+T64)</f>
        <v>0</v>
      </c>
      <c r="U68" s="124">
        <f>SUM(U67+U64)</f>
        <v>0</v>
      </c>
      <c r="V68" s="125">
        <f>SUM(V67+V64)</f>
        <v>0</v>
      </c>
      <c r="W68" s="126">
        <f>SUM(W64+W67)</f>
        <v>0</v>
      </c>
      <c r="X68" s="127">
        <f>SUM(X67+X64)</f>
        <v>0</v>
      </c>
      <c r="Y68" s="128">
        <f>SUM(Y67+Y64)</f>
        <v>0</v>
      </c>
      <c r="Z68" s="129">
        <f>SUM(Z67+Z64)</f>
        <v>0</v>
      </c>
      <c r="AA68" s="130">
        <f>SUM(AA67+AA64)</f>
        <v>0</v>
      </c>
      <c r="AB68" s="61"/>
      <c r="AC68" s="297" t="s">
        <v>25</v>
      </c>
      <c r="AD68" s="298"/>
      <c r="AE68" s="299"/>
      <c r="AF68" s="123">
        <f>SUM(AF67+AF64)</f>
        <v>0</v>
      </c>
      <c r="AG68" s="124">
        <f>SUM(AG67+AG64)</f>
        <v>0</v>
      </c>
      <c r="AH68" s="124">
        <f>SUM(AH67+AH64)</f>
        <v>0</v>
      </c>
      <c r="AI68" s="124">
        <f>SUM(AI67+AI64)</f>
        <v>0</v>
      </c>
      <c r="AJ68" s="125">
        <f>SUM(AJ67+AJ64)</f>
        <v>0</v>
      </c>
      <c r="AK68" s="126">
        <f>SUM(AK64+AK67)</f>
        <v>0</v>
      </c>
      <c r="AL68" s="127">
        <f>SUM(AL67+AL64)</f>
        <v>0</v>
      </c>
      <c r="AM68" s="128">
        <f>SUM(AM67+AM64)</f>
        <v>0</v>
      </c>
      <c r="AN68" s="129">
        <f>SUM(AN67+AN64)</f>
        <v>0</v>
      </c>
      <c r="AO68" s="130">
        <f>SUM(AO67+AO64)</f>
        <v>0</v>
      </c>
      <c r="AP68" s="61"/>
      <c r="AQ68" s="297" t="s">
        <v>25</v>
      </c>
      <c r="AR68" s="298"/>
      <c r="AS68" s="299"/>
      <c r="AT68" s="123">
        <f>SUM(AT67+AT64)</f>
        <v>0</v>
      </c>
      <c r="AU68" s="124">
        <f>SUM(AU67+AU64)</f>
        <v>0</v>
      </c>
      <c r="AV68" s="124">
        <f>SUM(AV67+AV64)</f>
        <v>0</v>
      </c>
      <c r="AW68" s="124">
        <f>SUM(AW67+AW64)</f>
        <v>0</v>
      </c>
      <c r="AX68" s="125">
        <f>SUM(AX67+AX64)</f>
        <v>0</v>
      </c>
      <c r="AY68" s="126">
        <f>SUM(AY64+AY67)</f>
        <v>0</v>
      </c>
      <c r="AZ68" s="127">
        <f>SUM(AZ67+AZ64)</f>
        <v>0</v>
      </c>
      <c r="BA68" s="128">
        <f>SUM(BA67+BA64)</f>
        <v>0</v>
      </c>
      <c r="BB68" s="129">
        <f>SUM(BB67+BB64)</f>
        <v>0</v>
      </c>
      <c r="BC68" s="130">
        <f>SUM(BC67+BC64)</f>
        <v>0</v>
      </c>
      <c r="BD68" s="61"/>
      <c r="BE68" s="297" t="s">
        <v>25</v>
      </c>
      <c r="BF68" s="298"/>
      <c r="BG68" s="299"/>
      <c r="BH68" s="123">
        <f>SUM(BH67+BH64)</f>
        <v>0</v>
      </c>
      <c r="BI68" s="124">
        <f>SUM(BI67+BI64)</f>
        <v>0</v>
      </c>
      <c r="BJ68" s="124">
        <f>SUM(BJ67+BJ64)</f>
        <v>0</v>
      </c>
      <c r="BK68" s="124">
        <f>SUM(BK67+BK64)</f>
        <v>0</v>
      </c>
      <c r="BL68" s="125">
        <f>SUM(BL67+BL64)</f>
        <v>0</v>
      </c>
      <c r="BM68" s="126">
        <f>SUM(BM64+BM67)</f>
        <v>0</v>
      </c>
      <c r="BN68" s="127">
        <f>SUM(BN67+BN64)</f>
        <v>0</v>
      </c>
      <c r="BO68" s="128">
        <f>SUM(BO67+BO64)</f>
        <v>0</v>
      </c>
      <c r="BP68" s="129">
        <f>SUM(BP67+BP64)</f>
        <v>0</v>
      </c>
      <c r="BQ68" s="130">
        <f>SUM(BQ67+BQ64)</f>
        <v>0</v>
      </c>
      <c r="BR68" s="61"/>
      <c r="BS68" s="297" t="s">
        <v>25</v>
      </c>
      <c r="BT68" s="298"/>
      <c r="BU68" s="299"/>
      <c r="BV68" s="123">
        <f>SUM(BV67+BV64)</f>
        <v>0</v>
      </c>
      <c r="BW68" s="124">
        <f>SUM(BW67+BW64)</f>
        <v>0</v>
      </c>
      <c r="BX68" s="124">
        <f>SUM(BX67+BX64)</f>
        <v>0</v>
      </c>
      <c r="BY68" s="124">
        <f>SUM(BY67+BY64)</f>
        <v>0</v>
      </c>
      <c r="BZ68" s="125">
        <f>SUM(BZ67+BZ64)</f>
        <v>0</v>
      </c>
      <c r="CA68" s="126">
        <f>SUM(CA64+CA67)</f>
        <v>0</v>
      </c>
      <c r="CB68" s="127">
        <f>SUM(CB67+CB64)</f>
        <v>0</v>
      </c>
      <c r="CC68" s="128">
        <f>SUM(CC67+CC64)</f>
        <v>0</v>
      </c>
      <c r="CD68" s="129">
        <f>SUM(CD67+CD64)</f>
        <v>0</v>
      </c>
      <c r="CE68" s="130">
        <f>SUM(CE67+CE64)</f>
        <v>0</v>
      </c>
      <c r="CF68" s="61"/>
      <c r="CG68" s="297" t="s">
        <v>25</v>
      </c>
      <c r="CH68" s="298"/>
      <c r="CI68" s="299"/>
      <c r="CJ68" s="123">
        <f>SUM(CJ67+CJ64)</f>
        <v>0</v>
      </c>
      <c r="CK68" s="124">
        <f>SUM(CK67+CK64)</f>
        <v>0</v>
      </c>
      <c r="CL68" s="124">
        <f>SUM(CL67+CL64)</f>
        <v>0</v>
      </c>
      <c r="CM68" s="124">
        <f>SUM(CM67+CM64)</f>
        <v>0</v>
      </c>
      <c r="CN68" s="125">
        <f>SUM(CN67+CN64)</f>
        <v>0</v>
      </c>
      <c r="CO68" s="126">
        <f>SUM(CO64+CO67)</f>
        <v>0</v>
      </c>
      <c r="CP68" s="127">
        <f>SUM(CP67+CP64)</f>
        <v>0</v>
      </c>
      <c r="CQ68" s="128">
        <f>SUM(CQ67+CQ64)</f>
        <v>0</v>
      </c>
      <c r="CR68" s="129">
        <f>SUM(CR67+CR64)</f>
        <v>0</v>
      </c>
      <c r="CS68" s="130">
        <f>SUM(CS67+CS64)</f>
        <v>0</v>
      </c>
      <c r="CT68" s="61"/>
      <c r="CU68" s="297" t="s">
        <v>25</v>
      </c>
      <c r="CV68" s="298"/>
      <c r="CW68" s="299"/>
      <c r="CX68" s="276">
        <f t="shared" ref="CX68:DB68" si="440">SUM(CX67+CX64)</f>
        <v>0</v>
      </c>
      <c r="CY68" s="277">
        <f t="shared" si="440"/>
        <v>0</v>
      </c>
      <c r="CZ68" s="277">
        <f t="shared" si="440"/>
        <v>0</v>
      </c>
      <c r="DA68" s="277">
        <f t="shared" si="440"/>
        <v>0</v>
      </c>
      <c r="DB68" s="278">
        <f t="shared" si="440"/>
        <v>0</v>
      </c>
      <c r="DC68" s="279">
        <f>SUM(DC64+DC67)</f>
        <v>0</v>
      </c>
      <c r="DD68" s="280">
        <f t="shared" ref="DD68:DF68" si="441">SUM(DD67+DD64)</f>
        <v>0</v>
      </c>
      <c r="DE68" s="281">
        <f t="shared" si="441"/>
        <v>0</v>
      </c>
      <c r="DF68" s="282">
        <f t="shared" si="441"/>
        <v>0</v>
      </c>
      <c r="DG68" s="130">
        <f>SUM(DG67+DG64)</f>
        <v>0</v>
      </c>
      <c r="DH68" s="61"/>
      <c r="DI68" s="297" t="s">
        <v>25</v>
      </c>
      <c r="DJ68" s="298"/>
      <c r="DK68" s="299"/>
      <c r="DL68" s="123">
        <f>SUM(DL67+DL64)</f>
        <v>0</v>
      </c>
      <c r="DM68" s="124">
        <f>SUM(DM67+DM64)</f>
        <v>0</v>
      </c>
      <c r="DN68" s="124">
        <f>SUM(DN67+DN64)</f>
        <v>0</v>
      </c>
      <c r="DO68" s="124">
        <f>SUM(DO67+DO64)</f>
        <v>0</v>
      </c>
      <c r="DP68" s="125">
        <f>SUM(DP67+DP64)</f>
        <v>0</v>
      </c>
      <c r="DQ68" s="126">
        <f>SUM(DQ64+DQ67)</f>
        <v>0</v>
      </c>
      <c r="DR68" s="127">
        <f>SUM(DR67+DR64)</f>
        <v>0</v>
      </c>
      <c r="DS68" s="128">
        <f>SUM(DS67+DS64)</f>
        <v>0</v>
      </c>
      <c r="DT68" s="129">
        <f>SUM(DT67+DT64)</f>
        <v>0</v>
      </c>
      <c r="DU68" s="130">
        <f>SUM(DU67+DU64)</f>
        <v>0</v>
      </c>
      <c r="DV68" s="61"/>
      <c r="DW68" s="297" t="s">
        <v>25</v>
      </c>
      <c r="DX68" s="298"/>
      <c r="DY68" s="299"/>
      <c r="DZ68" s="123">
        <f>SUM(DZ67+DZ64)</f>
        <v>0</v>
      </c>
      <c r="EA68" s="124">
        <f>SUM(EA67+EA64)</f>
        <v>0</v>
      </c>
      <c r="EB68" s="124">
        <f>SUM(EB67+EB64)</f>
        <v>0</v>
      </c>
      <c r="EC68" s="124">
        <f>SUM(EC67+EC64)</f>
        <v>0</v>
      </c>
      <c r="ED68" s="125">
        <f>SUM(ED67+ED64)</f>
        <v>0</v>
      </c>
      <c r="EE68" s="126">
        <f>SUM(EE64+EE67)</f>
        <v>0</v>
      </c>
      <c r="EF68" s="127">
        <f>SUM(EF67+EF64)</f>
        <v>0</v>
      </c>
      <c r="EG68" s="128">
        <f>SUM(EG67+EG64)</f>
        <v>0</v>
      </c>
      <c r="EH68" s="129">
        <f>SUM(EH67+EH64)</f>
        <v>0</v>
      </c>
      <c r="EI68" s="130">
        <f>SUM(EI67+EI64)</f>
        <v>0</v>
      </c>
      <c r="EJ68" s="61"/>
      <c r="EK68" s="297" t="s">
        <v>25</v>
      </c>
      <c r="EL68" s="298"/>
      <c r="EM68" s="299"/>
      <c r="EN68" s="123">
        <f>SUM(EN67+EN64)</f>
        <v>0</v>
      </c>
      <c r="EO68" s="124">
        <f>SUM(EO67+EO64)</f>
        <v>0</v>
      </c>
      <c r="EP68" s="124">
        <f>SUM(EP67+EP64)</f>
        <v>0</v>
      </c>
      <c r="EQ68" s="124">
        <f>SUM(EQ67+EQ64)</f>
        <v>0</v>
      </c>
      <c r="ER68" s="125">
        <f>SUM(ER67+ER64)</f>
        <v>0</v>
      </c>
      <c r="ES68" s="126">
        <f>SUM(ES64+ES67)</f>
        <v>0</v>
      </c>
      <c r="ET68" s="127">
        <f>SUM(ET67+ET64)</f>
        <v>0</v>
      </c>
      <c r="EU68" s="128">
        <f>SUM(EU67+EU64)</f>
        <v>0</v>
      </c>
      <c r="EV68" s="129">
        <f>SUM(EV67+EV64)</f>
        <v>0</v>
      </c>
      <c r="EW68" s="130">
        <f>SUM(EW67+EW64)</f>
        <v>0</v>
      </c>
      <c r="EX68" s="61"/>
      <c r="EY68" s="297" t="s">
        <v>25</v>
      </c>
      <c r="EZ68" s="298"/>
      <c r="FA68" s="299"/>
      <c r="FB68" s="123">
        <f>SUM(FB67+FB64)</f>
        <v>0</v>
      </c>
      <c r="FC68" s="124">
        <f>SUM(FC67+FC64)</f>
        <v>0</v>
      </c>
      <c r="FD68" s="124">
        <f>SUM(FD67+FD64)</f>
        <v>0</v>
      </c>
      <c r="FE68" s="124">
        <f>SUM(FE67+FE64)</f>
        <v>0</v>
      </c>
      <c r="FF68" s="125">
        <f>SUM(FF67+FF64)</f>
        <v>0</v>
      </c>
      <c r="FG68" s="126">
        <f>SUM(FG64+FG67)</f>
        <v>0</v>
      </c>
      <c r="FH68" s="127">
        <f>SUM(FH67+FH64)</f>
        <v>0</v>
      </c>
      <c r="FI68" s="128">
        <f>SUM(FI67+FI64)</f>
        <v>0</v>
      </c>
      <c r="FJ68" s="129">
        <f>SUM(FJ67+FJ64)</f>
        <v>0</v>
      </c>
      <c r="FK68" s="130">
        <f>SUM(FK67+FK64)</f>
        <v>0</v>
      </c>
      <c r="FM68" s="297" t="s">
        <v>25</v>
      </c>
      <c r="FN68" s="298"/>
      <c r="FO68" s="299"/>
      <c r="FP68" s="123">
        <f>SUM(FP67+FP64)</f>
        <v>0</v>
      </c>
      <c r="FQ68" s="124">
        <f>SUM(FQ67+FQ64)</f>
        <v>0</v>
      </c>
      <c r="FR68" s="124">
        <f>SUM(FR67+FR64)</f>
        <v>0</v>
      </c>
      <c r="FS68" s="124">
        <f>SUM(FS67+FS64)</f>
        <v>0</v>
      </c>
      <c r="FT68" s="125">
        <f>SUM(FT67+FT64)</f>
        <v>0</v>
      </c>
      <c r="FU68" s="131">
        <f>SUM(FU64+FU67)</f>
        <v>0</v>
      </c>
      <c r="FV68" s="132">
        <f>SUM(FV67+FV64)</f>
        <v>0</v>
      </c>
      <c r="FW68" s="124">
        <f>SUM(FW67+FW64)</f>
        <v>0</v>
      </c>
      <c r="FX68" s="125">
        <f>SUM(FX67+FX64)</f>
        <v>0</v>
      </c>
      <c r="FY68" s="133">
        <f>SUM(FY67+FY64)</f>
        <v>0</v>
      </c>
      <c r="GA68" s="61"/>
    </row>
    <row r="69" spans="1:183" s="96" customFormat="1" ht="20.100000000000001" customHeight="1" thickBot="1" x14ac:dyDescent="0.25">
      <c r="A69" s="303">
        <v>0</v>
      </c>
      <c r="B69" s="306" t="s">
        <v>5</v>
      </c>
      <c r="C69" s="82" t="s">
        <v>20</v>
      </c>
      <c r="D69" s="83">
        <v>0</v>
      </c>
      <c r="E69" s="84">
        <v>0</v>
      </c>
      <c r="F69" s="84">
        <v>0</v>
      </c>
      <c r="G69" s="85">
        <v>0</v>
      </c>
      <c r="H69" s="86">
        <v>0</v>
      </c>
      <c r="I69" s="87">
        <f>SUM(D69:H69)</f>
        <v>0</v>
      </c>
      <c r="J69" s="88">
        <v>0</v>
      </c>
      <c r="K69" s="84">
        <v>0</v>
      </c>
      <c r="L69" s="89">
        <v>0</v>
      </c>
      <c r="M69" s="90">
        <f>SUM(J69:L69)</f>
        <v>0</v>
      </c>
      <c r="N69" s="91"/>
      <c r="O69" s="303">
        <v>0</v>
      </c>
      <c r="P69" s="306" t="s">
        <v>5</v>
      </c>
      <c r="Q69" s="82" t="s">
        <v>20</v>
      </c>
      <c r="R69" s="83">
        <v>0</v>
      </c>
      <c r="S69" s="84">
        <v>0</v>
      </c>
      <c r="T69" s="84">
        <v>0</v>
      </c>
      <c r="U69" s="85">
        <v>0</v>
      </c>
      <c r="V69" s="86">
        <v>0</v>
      </c>
      <c r="W69" s="87">
        <f>SUM(R69:V69)</f>
        <v>0</v>
      </c>
      <c r="X69" s="88">
        <v>0</v>
      </c>
      <c r="Y69" s="84">
        <v>0</v>
      </c>
      <c r="Z69" s="89">
        <v>0</v>
      </c>
      <c r="AA69" s="90">
        <f>SUM(X69:Z69)</f>
        <v>0</v>
      </c>
      <c r="AB69" s="91"/>
      <c r="AC69" s="303">
        <v>0</v>
      </c>
      <c r="AD69" s="306" t="s">
        <v>5</v>
      </c>
      <c r="AE69" s="82" t="s">
        <v>20</v>
      </c>
      <c r="AF69" s="83">
        <v>0</v>
      </c>
      <c r="AG69" s="84">
        <v>0</v>
      </c>
      <c r="AH69" s="84">
        <v>0</v>
      </c>
      <c r="AI69" s="85">
        <v>0</v>
      </c>
      <c r="AJ69" s="86">
        <v>0</v>
      </c>
      <c r="AK69" s="87">
        <f>SUM(AF69:AJ69)</f>
        <v>0</v>
      </c>
      <c r="AL69" s="88">
        <v>0</v>
      </c>
      <c r="AM69" s="84">
        <v>0</v>
      </c>
      <c r="AN69" s="89">
        <v>0</v>
      </c>
      <c r="AO69" s="90">
        <f>SUM(AL69:AN69)</f>
        <v>0</v>
      </c>
      <c r="AP69" s="91"/>
      <c r="AQ69" s="303">
        <v>0</v>
      </c>
      <c r="AR69" s="306" t="s">
        <v>5</v>
      </c>
      <c r="AS69" s="82" t="s">
        <v>20</v>
      </c>
      <c r="AT69" s="83">
        <v>0</v>
      </c>
      <c r="AU69" s="84">
        <v>0</v>
      </c>
      <c r="AV69" s="84">
        <v>0</v>
      </c>
      <c r="AW69" s="85">
        <v>0</v>
      </c>
      <c r="AX69" s="86">
        <v>0</v>
      </c>
      <c r="AY69" s="87">
        <f>SUM(AT69:AX69)</f>
        <v>0</v>
      </c>
      <c r="AZ69" s="88">
        <v>0</v>
      </c>
      <c r="BA69" s="84">
        <v>0</v>
      </c>
      <c r="BB69" s="89">
        <v>0</v>
      </c>
      <c r="BC69" s="90">
        <f>SUM(AZ69:BB69)</f>
        <v>0</v>
      </c>
      <c r="BD69" s="91"/>
      <c r="BE69" s="303">
        <v>0</v>
      </c>
      <c r="BF69" s="306" t="s">
        <v>5</v>
      </c>
      <c r="BG69" s="82" t="s">
        <v>20</v>
      </c>
      <c r="BH69" s="83">
        <v>0</v>
      </c>
      <c r="BI69" s="84">
        <v>0</v>
      </c>
      <c r="BJ69" s="84">
        <v>0</v>
      </c>
      <c r="BK69" s="85">
        <v>0</v>
      </c>
      <c r="BL69" s="86">
        <v>0</v>
      </c>
      <c r="BM69" s="87">
        <f>SUM(BH69:BL69)</f>
        <v>0</v>
      </c>
      <c r="BN69" s="88">
        <v>0</v>
      </c>
      <c r="BO69" s="84">
        <v>0</v>
      </c>
      <c r="BP69" s="89">
        <v>0</v>
      </c>
      <c r="BQ69" s="90">
        <f>SUM(BN69:BP69)</f>
        <v>0</v>
      </c>
      <c r="BR69" s="91"/>
      <c r="BS69" s="303">
        <v>0</v>
      </c>
      <c r="BT69" s="306" t="s">
        <v>5</v>
      </c>
      <c r="BU69" s="82" t="s">
        <v>20</v>
      </c>
      <c r="BV69" s="83">
        <v>0</v>
      </c>
      <c r="BW69" s="84">
        <v>0</v>
      </c>
      <c r="BX69" s="84">
        <v>0</v>
      </c>
      <c r="BY69" s="85">
        <v>0</v>
      </c>
      <c r="BZ69" s="86">
        <v>0</v>
      </c>
      <c r="CA69" s="87">
        <f>SUM(BV69:BZ69)</f>
        <v>0</v>
      </c>
      <c r="CB69" s="88">
        <v>0</v>
      </c>
      <c r="CC69" s="84">
        <v>0</v>
      </c>
      <c r="CD69" s="89">
        <v>0</v>
      </c>
      <c r="CE69" s="90">
        <f>SUM(CB69:CD69)</f>
        <v>0</v>
      </c>
      <c r="CF69" s="91"/>
      <c r="CG69" s="303">
        <v>0</v>
      </c>
      <c r="CH69" s="306" t="s">
        <v>5</v>
      </c>
      <c r="CI69" s="82" t="s">
        <v>20</v>
      </c>
      <c r="CJ69" s="83">
        <v>0</v>
      </c>
      <c r="CK69" s="84">
        <v>0</v>
      </c>
      <c r="CL69" s="84">
        <v>0</v>
      </c>
      <c r="CM69" s="85">
        <v>0</v>
      </c>
      <c r="CN69" s="86">
        <v>0</v>
      </c>
      <c r="CO69" s="87">
        <f>SUM(CJ69:CN69)</f>
        <v>0</v>
      </c>
      <c r="CP69" s="88">
        <v>0</v>
      </c>
      <c r="CQ69" s="84">
        <v>0</v>
      </c>
      <c r="CR69" s="89">
        <v>0</v>
      </c>
      <c r="CS69" s="90">
        <f>SUM(CP69:CR69)</f>
        <v>0</v>
      </c>
      <c r="CT69" s="91"/>
      <c r="CU69" s="303">
        <v>0</v>
      </c>
      <c r="CV69" s="306" t="s">
        <v>5</v>
      </c>
      <c r="CW69" s="82" t="s">
        <v>20</v>
      </c>
      <c r="CX69" s="285">
        <v>0</v>
      </c>
      <c r="CY69" s="253">
        <v>0</v>
      </c>
      <c r="CZ69" s="253">
        <v>0</v>
      </c>
      <c r="DA69" s="286">
        <v>0</v>
      </c>
      <c r="DB69" s="287">
        <v>0</v>
      </c>
      <c r="DC69" s="251">
        <f t="shared" ref="DC69:DC70" si="442">SUM(CX69:DB69)</f>
        <v>0</v>
      </c>
      <c r="DD69" s="252">
        <v>0</v>
      </c>
      <c r="DE69" s="253">
        <v>0</v>
      </c>
      <c r="DF69" s="254">
        <v>0</v>
      </c>
      <c r="DG69" s="90">
        <f>SUM(DD69:DF69)</f>
        <v>0</v>
      </c>
      <c r="DH69" s="91"/>
      <c r="DI69" s="303">
        <v>0</v>
      </c>
      <c r="DJ69" s="306" t="s">
        <v>5</v>
      </c>
      <c r="DK69" s="82" t="s">
        <v>20</v>
      </c>
      <c r="DL69" s="83">
        <v>0</v>
      </c>
      <c r="DM69" s="84">
        <v>0</v>
      </c>
      <c r="DN69" s="84">
        <v>0</v>
      </c>
      <c r="DO69" s="85">
        <v>0</v>
      </c>
      <c r="DP69" s="86">
        <v>0</v>
      </c>
      <c r="DQ69" s="87">
        <f>SUM(DL69:DP69)</f>
        <v>0</v>
      </c>
      <c r="DR69" s="88">
        <v>0</v>
      </c>
      <c r="DS69" s="84">
        <v>0</v>
      </c>
      <c r="DT69" s="89">
        <v>0</v>
      </c>
      <c r="DU69" s="90">
        <f>SUM(DR69:DT69)</f>
        <v>0</v>
      </c>
      <c r="DV69" s="91"/>
      <c r="DW69" s="303">
        <v>0</v>
      </c>
      <c r="DX69" s="306" t="s">
        <v>5</v>
      </c>
      <c r="DY69" s="82" t="s">
        <v>20</v>
      </c>
      <c r="DZ69" s="83">
        <v>0</v>
      </c>
      <c r="EA69" s="84">
        <v>0</v>
      </c>
      <c r="EB69" s="84">
        <v>0</v>
      </c>
      <c r="EC69" s="85">
        <v>0</v>
      </c>
      <c r="ED69" s="86">
        <v>0</v>
      </c>
      <c r="EE69" s="87">
        <f>SUM(DZ69:ED69)</f>
        <v>0</v>
      </c>
      <c r="EF69" s="88">
        <v>0</v>
      </c>
      <c r="EG69" s="84">
        <v>0</v>
      </c>
      <c r="EH69" s="89">
        <v>0</v>
      </c>
      <c r="EI69" s="90">
        <f>SUM(EF69:EH69)</f>
        <v>0</v>
      </c>
      <c r="EJ69" s="91"/>
      <c r="EK69" s="303">
        <v>0</v>
      </c>
      <c r="EL69" s="306" t="s">
        <v>5</v>
      </c>
      <c r="EM69" s="82" t="s">
        <v>20</v>
      </c>
      <c r="EN69" s="83">
        <v>0</v>
      </c>
      <c r="EO69" s="84">
        <v>0</v>
      </c>
      <c r="EP69" s="84">
        <v>0</v>
      </c>
      <c r="EQ69" s="85">
        <v>0</v>
      </c>
      <c r="ER69" s="86">
        <v>0</v>
      </c>
      <c r="ES69" s="87">
        <f>SUM(EN69:ER69)</f>
        <v>0</v>
      </c>
      <c r="ET69" s="88">
        <v>0</v>
      </c>
      <c r="EU69" s="84">
        <v>0</v>
      </c>
      <c r="EV69" s="89">
        <v>0</v>
      </c>
      <c r="EW69" s="90">
        <f>SUM(ET69:EV69)</f>
        <v>0</v>
      </c>
      <c r="EX69" s="91"/>
      <c r="EY69" s="303">
        <v>0</v>
      </c>
      <c r="EZ69" s="306" t="s">
        <v>5</v>
      </c>
      <c r="FA69" s="82" t="s">
        <v>20</v>
      </c>
      <c r="FB69" s="83">
        <v>0</v>
      </c>
      <c r="FC69" s="84">
        <v>0</v>
      </c>
      <c r="FD69" s="84">
        <v>0</v>
      </c>
      <c r="FE69" s="85">
        <v>0</v>
      </c>
      <c r="FF69" s="86">
        <v>0</v>
      </c>
      <c r="FG69" s="87">
        <f>SUM(FB69:FF69)</f>
        <v>0</v>
      </c>
      <c r="FH69" s="88">
        <v>0</v>
      </c>
      <c r="FI69" s="84">
        <v>0</v>
      </c>
      <c r="FJ69" s="89">
        <v>0</v>
      </c>
      <c r="FK69" s="90">
        <f>SUM(FH69:FJ69)</f>
        <v>0</v>
      </c>
      <c r="FL69" s="147"/>
      <c r="FM69" s="303">
        <f>EY69</f>
        <v>0</v>
      </c>
      <c r="FN69" s="306" t="s">
        <v>5</v>
      </c>
      <c r="FO69" s="82" t="s">
        <v>20</v>
      </c>
      <c r="FP69" s="83">
        <f t="shared" ref="FP69:FP70" si="443">SUM(D69+R69+AF69+AT69+BH69+BV69+CJ69+CX69+DL69+DZ69+EN69+FB69)</f>
        <v>0</v>
      </c>
      <c r="FQ69" s="83">
        <f t="shared" ref="FQ69:FQ70" si="444">SUM(E69+S69+AG69+AU69+BI69+BW69+CK69+CY69+DM69+EA69+EO69+FC69)</f>
        <v>0</v>
      </c>
      <c r="FR69" s="83">
        <f t="shared" ref="FR69:FR70" si="445">SUM(F69+T69+AH69+AV69+BJ69+BX69+CL69+CZ69+DN69+EB69+EP69+FD69)</f>
        <v>0</v>
      </c>
      <c r="FS69" s="149">
        <f t="shared" ref="FS69:FS70" si="446">SUM(G69+U69+AI69+AW69+BK69+BY69+CM69+DA69+DO69+EC69+EQ69+FE69)</f>
        <v>0</v>
      </c>
      <c r="FT69" s="83">
        <f t="shared" ref="FT69:FT70" si="447">SUM(H69+V69+AJ69+AX69+BL69+BZ69+CN69+DB69+DP69+ED69+ER69+FF69)</f>
        <v>0</v>
      </c>
      <c r="FU69" s="93">
        <f>SUM(FP69:FT69)</f>
        <v>0</v>
      </c>
      <c r="FV69" s="88">
        <f t="shared" ref="FV69:FV70" si="448">SUM(J69+X69+AL69+AZ69+BN69+CB69+CP69+DD69+DR69+EF69+ET69+FH69)</f>
        <v>0</v>
      </c>
      <c r="FW69" s="88">
        <f t="shared" ref="FW69:FW70" si="449">SUM(K69+Y69+AM69+BA69+BO69+CC69+CQ69+DE69+DS69+EG69+EU69+FI69)</f>
        <v>0</v>
      </c>
      <c r="FX69" s="88">
        <f t="shared" ref="FX69:FX70" si="450">SUM(L69+Z69+AN69+BB69+BP69+CD69+CR69+DF69+DT69+EH69+EV69+FJ69)</f>
        <v>0</v>
      </c>
      <c r="FY69" s="94">
        <f>SUM(FV69:FX69)</f>
        <v>0</v>
      </c>
      <c r="FZ69" s="95"/>
      <c r="GA69" s="91"/>
    </row>
    <row r="70" spans="1:183" s="96" customFormat="1" ht="20.100000000000001" customHeight="1" thickBot="1" x14ac:dyDescent="0.25">
      <c r="A70" s="304"/>
      <c r="B70" s="307"/>
      <c r="C70" s="97" t="s">
        <v>21</v>
      </c>
      <c r="D70" s="98">
        <v>0</v>
      </c>
      <c r="E70" s="99">
        <v>0</v>
      </c>
      <c r="F70" s="99">
        <v>0</v>
      </c>
      <c r="G70" s="99">
        <v>0</v>
      </c>
      <c r="H70" s="100">
        <v>0</v>
      </c>
      <c r="I70" s="101">
        <f>SUM(D70:H70)</f>
        <v>0</v>
      </c>
      <c r="J70" s="102">
        <v>0</v>
      </c>
      <c r="K70" s="99">
        <v>0</v>
      </c>
      <c r="L70" s="103">
        <v>0</v>
      </c>
      <c r="M70" s="104">
        <f>SUM(J70:L70)</f>
        <v>0</v>
      </c>
      <c r="N70" s="91"/>
      <c r="O70" s="304"/>
      <c r="P70" s="307"/>
      <c r="Q70" s="97" t="s">
        <v>21</v>
      </c>
      <c r="R70" s="98">
        <v>0</v>
      </c>
      <c r="S70" s="99">
        <v>0</v>
      </c>
      <c r="T70" s="99">
        <v>0</v>
      </c>
      <c r="U70" s="99">
        <v>0</v>
      </c>
      <c r="V70" s="100">
        <v>0</v>
      </c>
      <c r="W70" s="101">
        <f>SUM(R70:V70)</f>
        <v>0</v>
      </c>
      <c r="X70" s="102">
        <v>0</v>
      </c>
      <c r="Y70" s="99">
        <v>0</v>
      </c>
      <c r="Z70" s="103">
        <v>0</v>
      </c>
      <c r="AA70" s="104">
        <f>SUM(X70:Z70)</f>
        <v>0</v>
      </c>
      <c r="AB70" s="91"/>
      <c r="AC70" s="304"/>
      <c r="AD70" s="307"/>
      <c r="AE70" s="97" t="s">
        <v>21</v>
      </c>
      <c r="AF70" s="98">
        <v>0</v>
      </c>
      <c r="AG70" s="99">
        <v>0</v>
      </c>
      <c r="AH70" s="99">
        <v>0</v>
      </c>
      <c r="AI70" s="99">
        <v>0</v>
      </c>
      <c r="AJ70" s="100">
        <v>0</v>
      </c>
      <c r="AK70" s="101">
        <f>SUM(AF70:AJ70)</f>
        <v>0</v>
      </c>
      <c r="AL70" s="102">
        <v>0</v>
      </c>
      <c r="AM70" s="99">
        <v>0</v>
      </c>
      <c r="AN70" s="103">
        <v>0</v>
      </c>
      <c r="AO70" s="104">
        <f>SUM(AL70:AN70)</f>
        <v>0</v>
      </c>
      <c r="AP70" s="91"/>
      <c r="AQ70" s="304"/>
      <c r="AR70" s="307"/>
      <c r="AS70" s="97" t="s">
        <v>21</v>
      </c>
      <c r="AT70" s="98">
        <v>0</v>
      </c>
      <c r="AU70" s="99">
        <v>0</v>
      </c>
      <c r="AV70" s="99">
        <v>0</v>
      </c>
      <c r="AW70" s="99">
        <v>0</v>
      </c>
      <c r="AX70" s="100">
        <v>0</v>
      </c>
      <c r="AY70" s="101">
        <f>SUM(AT70:AX70)</f>
        <v>0</v>
      </c>
      <c r="AZ70" s="102">
        <v>0</v>
      </c>
      <c r="BA70" s="99">
        <v>0</v>
      </c>
      <c r="BB70" s="103">
        <v>0</v>
      </c>
      <c r="BC70" s="104">
        <f>SUM(AZ70:BB70)</f>
        <v>0</v>
      </c>
      <c r="BD70" s="91"/>
      <c r="BE70" s="304"/>
      <c r="BF70" s="307"/>
      <c r="BG70" s="97" t="s">
        <v>21</v>
      </c>
      <c r="BH70" s="98">
        <v>0</v>
      </c>
      <c r="BI70" s="99">
        <v>0</v>
      </c>
      <c r="BJ70" s="99">
        <v>0</v>
      </c>
      <c r="BK70" s="99">
        <v>0</v>
      </c>
      <c r="BL70" s="100">
        <v>0</v>
      </c>
      <c r="BM70" s="101">
        <f>SUM(BH70:BL70)</f>
        <v>0</v>
      </c>
      <c r="BN70" s="102">
        <v>0</v>
      </c>
      <c r="BO70" s="99">
        <v>0</v>
      </c>
      <c r="BP70" s="103">
        <v>0</v>
      </c>
      <c r="BQ70" s="104">
        <f>SUM(BN70:BP70)</f>
        <v>0</v>
      </c>
      <c r="BR70" s="91"/>
      <c r="BS70" s="304"/>
      <c r="BT70" s="307"/>
      <c r="BU70" s="97" t="s">
        <v>21</v>
      </c>
      <c r="BV70" s="98">
        <v>0</v>
      </c>
      <c r="BW70" s="99">
        <v>0</v>
      </c>
      <c r="BX70" s="99">
        <v>0</v>
      </c>
      <c r="BY70" s="99">
        <v>0</v>
      </c>
      <c r="BZ70" s="100">
        <v>0</v>
      </c>
      <c r="CA70" s="101">
        <f>SUM(BV70:BZ70)</f>
        <v>0</v>
      </c>
      <c r="CB70" s="102">
        <v>0</v>
      </c>
      <c r="CC70" s="99">
        <v>0</v>
      </c>
      <c r="CD70" s="103">
        <v>0</v>
      </c>
      <c r="CE70" s="104">
        <f>SUM(CB70:CD70)</f>
        <v>0</v>
      </c>
      <c r="CF70" s="91"/>
      <c r="CG70" s="304"/>
      <c r="CH70" s="307"/>
      <c r="CI70" s="97" t="s">
        <v>21</v>
      </c>
      <c r="CJ70" s="98">
        <v>0</v>
      </c>
      <c r="CK70" s="99">
        <v>0</v>
      </c>
      <c r="CL70" s="99">
        <v>0</v>
      </c>
      <c r="CM70" s="99">
        <v>0</v>
      </c>
      <c r="CN70" s="100">
        <v>0</v>
      </c>
      <c r="CO70" s="101">
        <f>SUM(CJ70:CN70)</f>
        <v>0</v>
      </c>
      <c r="CP70" s="102">
        <v>0</v>
      </c>
      <c r="CQ70" s="99">
        <v>0</v>
      </c>
      <c r="CR70" s="103">
        <v>0</v>
      </c>
      <c r="CS70" s="104">
        <f>SUM(CP70:CR70)</f>
        <v>0</v>
      </c>
      <c r="CT70" s="91"/>
      <c r="CU70" s="304"/>
      <c r="CV70" s="307"/>
      <c r="CW70" s="97" t="s">
        <v>21</v>
      </c>
      <c r="CX70" s="274">
        <v>0</v>
      </c>
      <c r="CY70" s="260">
        <v>0</v>
      </c>
      <c r="CZ70" s="260">
        <v>0</v>
      </c>
      <c r="DA70" s="260">
        <v>0</v>
      </c>
      <c r="DB70" s="275">
        <v>0</v>
      </c>
      <c r="DC70" s="258">
        <f t="shared" si="442"/>
        <v>0</v>
      </c>
      <c r="DD70" s="259">
        <v>0</v>
      </c>
      <c r="DE70" s="260">
        <v>0</v>
      </c>
      <c r="DF70" s="261">
        <v>0</v>
      </c>
      <c r="DG70" s="104">
        <f>SUM(DD70:DF70)</f>
        <v>0</v>
      </c>
      <c r="DH70" s="91"/>
      <c r="DI70" s="304"/>
      <c r="DJ70" s="307"/>
      <c r="DK70" s="97" t="s">
        <v>21</v>
      </c>
      <c r="DL70" s="98">
        <v>0</v>
      </c>
      <c r="DM70" s="99">
        <v>0</v>
      </c>
      <c r="DN70" s="99">
        <v>0</v>
      </c>
      <c r="DO70" s="99">
        <v>0</v>
      </c>
      <c r="DP70" s="100">
        <v>0</v>
      </c>
      <c r="DQ70" s="101">
        <f>SUM(DL70:DP70)</f>
        <v>0</v>
      </c>
      <c r="DR70" s="102">
        <v>0</v>
      </c>
      <c r="DS70" s="99">
        <v>0</v>
      </c>
      <c r="DT70" s="103">
        <v>0</v>
      </c>
      <c r="DU70" s="104">
        <f>SUM(DR70:DT70)</f>
        <v>0</v>
      </c>
      <c r="DV70" s="91"/>
      <c r="DW70" s="304"/>
      <c r="DX70" s="307"/>
      <c r="DY70" s="97" t="s">
        <v>21</v>
      </c>
      <c r="DZ70" s="98">
        <v>0</v>
      </c>
      <c r="EA70" s="99">
        <v>0</v>
      </c>
      <c r="EB70" s="99">
        <v>0</v>
      </c>
      <c r="EC70" s="99">
        <v>0</v>
      </c>
      <c r="ED70" s="100">
        <v>0</v>
      </c>
      <c r="EE70" s="101">
        <f>SUM(DZ70:ED70)</f>
        <v>0</v>
      </c>
      <c r="EF70" s="102">
        <v>0</v>
      </c>
      <c r="EG70" s="99">
        <v>0</v>
      </c>
      <c r="EH70" s="103">
        <v>0</v>
      </c>
      <c r="EI70" s="104">
        <f>SUM(EF70:EH70)</f>
        <v>0</v>
      </c>
      <c r="EJ70" s="91"/>
      <c r="EK70" s="304"/>
      <c r="EL70" s="307"/>
      <c r="EM70" s="97" t="s">
        <v>21</v>
      </c>
      <c r="EN70" s="98">
        <v>0</v>
      </c>
      <c r="EO70" s="99">
        <v>0</v>
      </c>
      <c r="EP70" s="99">
        <v>0</v>
      </c>
      <c r="EQ70" s="99">
        <v>0</v>
      </c>
      <c r="ER70" s="100">
        <v>0</v>
      </c>
      <c r="ES70" s="101">
        <f>SUM(EN70:ER70)</f>
        <v>0</v>
      </c>
      <c r="ET70" s="102">
        <v>0</v>
      </c>
      <c r="EU70" s="99">
        <v>0</v>
      </c>
      <c r="EV70" s="103">
        <v>0</v>
      </c>
      <c r="EW70" s="104">
        <f>SUM(ET70:EV70)</f>
        <v>0</v>
      </c>
      <c r="EX70" s="91"/>
      <c r="EY70" s="304"/>
      <c r="EZ70" s="307"/>
      <c r="FA70" s="97" t="s">
        <v>21</v>
      </c>
      <c r="FB70" s="98">
        <v>0</v>
      </c>
      <c r="FC70" s="99">
        <v>0</v>
      </c>
      <c r="FD70" s="99">
        <v>0</v>
      </c>
      <c r="FE70" s="99">
        <v>0</v>
      </c>
      <c r="FF70" s="100">
        <v>0</v>
      </c>
      <c r="FG70" s="101">
        <f>SUM(FB70:FF70)</f>
        <v>0</v>
      </c>
      <c r="FH70" s="102">
        <v>0</v>
      </c>
      <c r="FI70" s="99">
        <v>0</v>
      </c>
      <c r="FJ70" s="103">
        <v>0</v>
      </c>
      <c r="FK70" s="104">
        <f>SUM(FH70:FJ70)</f>
        <v>0</v>
      </c>
      <c r="FL70" s="147"/>
      <c r="FM70" s="304"/>
      <c r="FN70" s="307"/>
      <c r="FO70" s="97" t="s">
        <v>21</v>
      </c>
      <c r="FP70" s="83">
        <f t="shared" si="443"/>
        <v>0</v>
      </c>
      <c r="FQ70" s="83">
        <f t="shared" si="444"/>
        <v>0</v>
      </c>
      <c r="FR70" s="83">
        <f t="shared" si="445"/>
        <v>0</v>
      </c>
      <c r="FS70" s="83">
        <f t="shared" si="446"/>
        <v>0</v>
      </c>
      <c r="FT70" s="83">
        <f t="shared" si="447"/>
        <v>0</v>
      </c>
      <c r="FU70" s="101">
        <f>SUM(FP70:FT70)</f>
        <v>0</v>
      </c>
      <c r="FV70" s="88">
        <f t="shared" si="448"/>
        <v>0</v>
      </c>
      <c r="FW70" s="88">
        <f t="shared" si="449"/>
        <v>0</v>
      </c>
      <c r="FX70" s="88">
        <f t="shared" si="450"/>
        <v>0</v>
      </c>
      <c r="FY70" s="106">
        <f>SUM(FV70:FX70)</f>
        <v>0</v>
      </c>
      <c r="FZ70" s="95"/>
      <c r="GA70" s="91"/>
    </row>
    <row r="71" spans="1:183" s="96" customFormat="1" ht="20.100000000000001" customHeight="1" thickBot="1" x14ac:dyDescent="0.25">
      <c r="A71" s="304"/>
      <c r="B71" s="308" t="s">
        <v>22</v>
      </c>
      <c r="C71" s="311"/>
      <c r="D71" s="107">
        <f t="shared" ref="D71:L71" si="451">SUM(D69:D70)</f>
        <v>0</v>
      </c>
      <c r="E71" s="108">
        <f t="shared" si="451"/>
        <v>0</v>
      </c>
      <c r="F71" s="108">
        <f t="shared" si="451"/>
        <v>0</v>
      </c>
      <c r="G71" s="108">
        <f t="shared" si="451"/>
        <v>0</v>
      </c>
      <c r="H71" s="109">
        <f t="shared" si="451"/>
        <v>0</v>
      </c>
      <c r="I71" s="110">
        <f t="shared" si="451"/>
        <v>0</v>
      </c>
      <c r="J71" s="111">
        <f t="shared" si="451"/>
        <v>0</v>
      </c>
      <c r="K71" s="108">
        <f t="shared" si="451"/>
        <v>0</v>
      </c>
      <c r="L71" s="109">
        <f t="shared" si="451"/>
        <v>0</v>
      </c>
      <c r="M71" s="112">
        <f t="shared" ref="M71" si="452">SUM(M69:M70)</f>
        <v>0</v>
      </c>
      <c r="N71" s="91"/>
      <c r="O71" s="304"/>
      <c r="P71" s="308" t="s">
        <v>22</v>
      </c>
      <c r="Q71" s="311"/>
      <c r="R71" s="107">
        <f t="shared" ref="R71:AA71" si="453">SUM(R69:R70)</f>
        <v>0</v>
      </c>
      <c r="S71" s="108">
        <f t="shared" si="453"/>
        <v>0</v>
      </c>
      <c r="T71" s="108">
        <f t="shared" si="453"/>
        <v>0</v>
      </c>
      <c r="U71" s="108">
        <f t="shared" si="453"/>
        <v>0</v>
      </c>
      <c r="V71" s="109">
        <f t="shared" si="453"/>
        <v>0</v>
      </c>
      <c r="W71" s="110">
        <f t="shared" si="453"/>
        <v>0</v>
      </c>
      <c r="X71" s="111">
        <f t="shared" si="453"/>
        <v>0</v>
      </c>
      <c r="Y71" s="108">
        <f t="shared" si="453"/>
        <v>0</v>
      </c>
      <c r="Z71" s="109">
        <f t="shared" si="453"/>
        <v>0</v>
      </c>
      <c r="AA71" s="112">
        <f t="shared" si="453"/>
        <v>0</v>
      </c>
      <c r="AB71" s="91"/>
      <c r="AC71" s="304"/>
      <c r="AD71" s="308" t="s">
        <v>22</v>
      </c>
      <c r="AE71" s="311"/>
      <c r="AF71" s="107">
        <f t="shared" ref="AF71:AO71" si="454">SUM(AF69:AF70)</f>
        <v>0</v>
      </c>
      <c r="AG71" s="108">
        <f t="shared" si="454"/>
        <v>0</v>
      </c>
      <c r="AH71" s="108">
        <f t="shared" si="454"/>
        <v>0</v>
      </c>
      <c r="AI71" s="108">
        <f t="shared" si="454"/>
        <v>0</v>
      </c>
      <c r="AJ71" s="109">
        <f t="shared" si="454"/>
        <v>0</v>
      </c>
      <c r="AK71" s="110">
        <f t="shared" si="454"/>
        <v>0</v>
      </c>
      <c r="AL71" s="111">
        <f t="shared" si="454"/>
        <v>0</v>
      </c>
      <c r="AM71" s="108">
        <f t="shared" si="454"/>
        <v>0</v>
      </c>
      <c r="AN71" s="109">
        <f t="shared" si="454"/>
        <v>0</v>
      </c>
      <c r="AO71" s="112">
        <f t="shared" si="454"/>
        <v>0</v>
      </c>
      <c r="AP71" s="91"/>
      <c r="AQ71" s="304"/>
      <c r="AR71" s="308" t="s">
        <v>22</v>
      </c>
      <c r="AS71" s="311"/>
      <c r="AT71" s="107">
        <f t="shared" ref="AT71:BC71" si="455">SUM(AT69:AT70)</f>
        <v>0</v>
      </c>
      <c r="AU71" s="108">
        <f t="shared" si="455"/>
        <v>0</v>
      </c>
      <c r="AV71" s="108">
        <f t="shared" si="455"/>
        <v>0</v>
      </c>
      <c r="AW71" s="108">
        <f t="shared" si="455"/>
        <v>0</v>
      </c>
      <c r="AX71" s="109">
        <f t="shared" si="455"/>
        <v>0</v>
      </c>
      <c r="AY71" s="110">
        <f t="shared" si="455"/>
        <v>0</v>
      </c>
      <c r="AZ71" s="111">
        <f t="shared" si="455"/>
        <v>0</v>
      </c>
      <c r="BA71" s="108">
        <f t="shared" si="455"/>
        <v>0</v>
      </c>
      <c r="BB71" s="109">
        <f t="shared" si="455"/>
        <v>0</v>
      </c>
      <c r="BC71" s="112">
        <f t="shared" si="455"/>
        <v>0</v>
      </c>
      <c r="BD71" s="91"/>
      <c r="BE71" s="304"/>
      <c r="BF71" s="308" t="s">
        <v>22</v>
      </c>
      <c r="BG71" s="311"/>
      <c r="BH71" s="107">
        <f t="shared" ref="BH71:BQ71" si="456">SUM(BH69:BH70)</f>
        <v>0</v>
      </c>
      <c r="BI71" s="108">
        <f t="shared" si="456"/>
        <v>0</v>
      </c>
      <c r="BJ71" s="108">
        <f t="shared" si="456"/>
        <v>0</v>
      </c>
      <c r="BK71" s="108">
        <f t="shared" si="456"/>
        <v>0</v>
      </c>
      <c r="BL71" s="109">
        <f t="shared" si="456"/>
        <v>0</v>
      </c>
      <c r="BM71" s="110">
        <f t="shared" si="456"/>
        <v>0</v>
      </c>
      <c r="BN71" s="111">
        <f t="shared" si="456"/>
        <v>0</v>
      </c>
      <c r="BO71" s="108">
        <f t="shared" si="456"/>
        <v>0</v>
      </c>
      <c r="BP71" s="109">
        <f t="shared" si="456"/>
        <v>0</v>
      </c>
      <c r="BQ71" s="112">
        <f t="shared" si="456"/>
        <v>0</v>
      </c>
      <c r="BR71" s="91"/>
      <c r="BS71" s="304"/>
      <c r="BT71" s="308" t="s">
        <v>22</v>
      </c>
      <c r="BU71" s="311"/>
      <c r="BV71" s="107">
        <f t="shared" ref="BV71:CE71" si="457">SUM(BV69:BV70)</f>
        <v>0</v>
      </c>
      <c r="BW71" s="108">
        <f t="shared" si="457"/>
        <v>0</v>
      </c>
      <c r="BX71" s="108">
        <f t="shared" si="457"/>
        <v>0</v>
      </c>
      <c r="BY71" s="108">
        <f t="shared" si="457"/>
        <v>0</v>
      </c>
      <c r="BZ71" s="109">
        <f t="shared" si="457"/>
        <v>0</v>
      </c>
      <c r="CA71" s="110">
        <f t="shared" si="457"/>
        <v>0</v>
      </c>
      <c r="CB71" s="111">
        <f t="shared" si="457"/>
        <v>0</v>
      </c>
      <c r="CC71" s="108">
        <f t="shared" si="457"/>
        <v>0</v>
      </c>
      <c r="CD71" s="109">
        <f t="shared" si="457"/>
        <v>0</v>
      </c>
      <c r="CE71" s="112">
        <f t="shared" si="457"/>
        <v>0</v>
      </c>
      <c r="CF71" s="91"/>
      <c r="CG71" s="304"/>
      <c r="CH71" s="308" t="s">
        <v>22</v>
      </c>
      <c r="CI71" s="311"/>
      <c r="CJ71" s="107">
        <f t="shared" ref="CJ71:CS71" si="458">SUM(CJ69:CJ70)</f>
        <v>0</v>
      </c>
      <c r="CK71" s="108">
        <f t="shared" si="458"/>
        <v>0</v>
      </c>
      <c r="CL71" s="108">
        <f t="shared" si="458"/>
        <v>0</v>
      </c>
      <c r="CM71" s="108">
        <f t="shared" si="458"/>
        <v>0</v>
      </c>
      <c r="CN71" s="109">
        <f t="shared" si="458"/>
        <v>0</v>
      </c>
      <c r="CO71" s="110">
        <f t="shared" si="458"/>
        <v>0</v>
      </c>
      <c r="CP71" s="111">
        <f t="shared" si="458"/>
        <v>0</v>
      </c>
      <c r="CQ71" s="108">
        <f t="shared" si="458"/>
        <v>0</v>
      </c>
      <c r="CR71" s="109">
        <f t="shared" si="458"/>
        <v>0</v>
      </c>
      <c r="CS71" s="112">
        <f t="shared" si="458"/>
        <v>0</v>
      </c>
      <c r="CT71" s="91"/>
      <c r="CU71" s="304"/>
      <c r="CV71" s="308" t="s">
        <v>22</v>
      </c>
      <c r="CW71" s="311"/>
      <c r="CX71" s="262">
        <f t="shared" ref="CX71:DF71" si="459">SUM(CX69:CX70)</f>
        <v>0</v>
      </c>
      <c r="CY71" s="263">
        <f t="shared" si="459"/>
        <v>0</v>
      </c>
      <c r="CZ71" s="263">
        <f t="shared" si="459"/>
        <v>0</v>
      </c>
      <c r="DA71" s="263">
        <f t="shared" si="459"/>
        <v>0</v>
      </c>
      <c r="DB71" s="264">
        <f t="shared" si="459"/>
        <v>0</v>
      </c>
      <c r="DC71" s="265">
        <f t="shared" si="459"/>
        <v>0</v>
      </c>
      <c r="DD71" s="266">
        <f t="shared" si="459"/>
        <v>0</v>
      </c>
      <c r="DE71" s="263">
        <f t="shared" si="459"/>
        <v>0</v>
      </c>
      <c r="DF71" s="264">
        <f t="shared" si="459"/>
        <v>0</v>
      </c>
      <c r="DG71" s="112">
        <f t="shared" ref="DG71" si="460">SUM(DG69:DG70)</f>
        <v>0</v>
      </c>
      <c r="DH71" s="91"/>
      <c r="DI71" s="304"/>
      <c r="DJ71" s="308" t="s">
        <v>22</v>
      </c>
      <c r="DK71" s="311"/>
      <c r="DL71" s="107">
        <f t="shared" ref="DL71:DU71" si="461">SUM(DL69:DL70)</f>
        <v>0</v>
      </c>
      <c r="DM71" s="108">
        <f t="shared" si="461"/>
        <v>0</v>
      </c>
      <c r="DN71" s="108">
        <f t="shared" si="461"/>
        <v>0</v>
      </c>
      <c r="DO71" s="108">
        <f t="shared" si="461"/>
        <v>0</v>
      </c>
      <c r="DP71" s="109">
        <f t="shared" si="461"/>
        <v>0</v>
      </c>
      <c r="DQ71" s="110">
        <f t="shared" si="461"/>
        <v>0</v>
      </c>
      <c r="DR71" s="111">
        <f t="shared" si="461"/>
        <v>0</v>
      </c>
      <c r="DS71" s="108">
        <f t="shared" si="461"/>
        <v>0</v>
      </c>
      <c r="DT71" s="109">
        <f t="shared" si="461"/>
        <v>0</v>
      </c>
      <c r="DU71" s="112">
        <f t="shared" si="461"/>
        <v>0</v>
      </c>
      <c r="DV71" s="91"/>
      <c r="DW71" s="304"/>
      <c r="DX71" s="308" t="s">
        <v>22</v>
      </c>
      <c r="DY71" s="311"/>
      <c r="DZ71" s="107">
        <f t="shared" ref="DZ71:EI71" si="462">SUM(DZ69:DZ70)</f>
        <v>0</v>
      </c>
      <c r="EA71" s="108">
        <f t="shared" si="462"/>
        <v>0</v>
      </c>
      <c r="EB71" s="108">
        <f t="shared" si="462"/>
        <v>0</v>
      </c>
      <c r="EC71" s="108">
        <f t="shared" si="462"/>
        <v>0</v>
      </c>
      <c r="ED71" s="109">
        <f t="shared" si="462"/>
        <v>0</v>
      </c>
      <c r="EE71" s="110">
        <f t="shared" si="462"/>
        <v>0</v>
      </c>
      <c r="EF71" s="111">
        <f t="shared" si="462"/>
        <v>0</v>
      </c>
      <c r="EG71" s="108">
        <f t="shared" si="462"/>
        <v>0</v>
      </c>
      <c r="EH71" s="109">
        <f t="shared" si="462"/>
        <v>0</v>
      </c>
      <c r="EI71" s="112">
        <f t="shared" si="462"/>
        <v>0</v>
      </c>
      <c r="EJ71" s="91"/>
      <c r="EK71" s="304"/>
      <c r="EL71" s="308" t="s">
        <v>22</v>
      </c>
      <c r="EM71" s="311"/>
      <c r="EN71" s="107">
        <f t="shared" ref="EN71:EW71" si="463">SUM(EN69:EN70)</f>
        <v>0</v>
      </c>
      <c r="EO71" s="108">
        <f t="shared" si="463"/>
        <v>0</v>
      </c>
      <c r="EP71" s="108">
        <f t="shared" si="463"/>
        <v>0</v>
      </c>
      <c r="EQ71" s="108">
        <f t="shared" si="463"/>
        <v>0</v>
      </c>
      <c r="ER71" s="109">
        <f t="shared" si="463"/>
        <v>0</v>
      </c>
      <c r="ES71" s="110">
        <f t="shared" si="463"/>
        <v>0</v>
      </c>
      <c r="ET71" s="111">
        <f t="shared" si="463"/>
        <v>0</v>
      </c>
      <c r="EU71" s="108">
        <f t="shared" si="463"/>
        <v>0</v>
      </c>
      <c r="EV71" s="109">
        <f t="shared" si="463"/>
        <v>0</v>
      </c>
      <c r="EW71" s="112">
        <f t="shared" si="463"/>
        <v>0</v>
      </c>
      <c r="EX71" s="91"/>
      <c r="EY71" s="304"/>
      <c r="EZ71" s="308" t="s">
        <v>22</v>
      </c>
      <c r="FA71" s="311"/>
      <c r="FB71" s="107">
        <f t="shared" ref="FB71:FK71" si="464">SUM(FB69:FB70)</f>
        <v>0</v>
      </c>
      <c r="FC71" s="108">
        <f t="shared" si="464"/>
        <v>0</v>
      </c>
      <c r="FD71" s="108">
        <f t="shared" si="464"/>
        <v>0</v>
      </c>
      <c r="FE71" s="108">
        <f t="shared" si="464"/>
        <v>0</v>
      </c>
      <c r="FF71" s="109">
        <f t="shared" si="464"/>
        <v>0</v>
      </c>
      <c r="FG71" s="110">
        <f t="shared" si="464"/>
        <v>0</v>
      </c>
      <c r="FH71" s="111">
        <f t="shared" si="464"/>
        <v>0</v>
      </c>
      <c r="FI71" s="108">
        <f t="shared" si="464"/>
        <v>0</v>
      </c>
      <c r="FJ71" s="109">
        <f t="shared" si="464"/>
        <v>0</v>
      </c>
      <c r="FK71" s="112">
        <f t="shared" si="464"/>
        <v>0</v>
      </c>
      <c r="FL71" s="147"/>
      <c r="FM71" s="304"/>
      <c r="FN71" s="308" t="s">
        <v>22</v>
      </c>
      <c r="FO71" s="311"/>
      <c r="FP71" s="107">
        <f t="shared" ref="FP71:FY71" si="465">SUM(FP69:FP70)</f>
        <v>0</v>
      </c>
      <c r="FQ71" s="108">
        <f t="shared" si="465"/>
        <v>0</v>
      </c>
      <c r="FR71" s="108">
        <f t="shared" si="465"/>
        <v>0</v>
      </c>
      <c r="FS71" s="108">
        <f t="shared" si="465"/>
        <v>0</v>
      </c>
      <c r="FT71" s="109">
        <f t="shared" si="465"/>
        <v>0</v>
      </c>
      <c r="FU71" s="113">
        <f t="shared" si="465"/>
        <v>0</v>
      </c>
      <c r="FV71" s="111">
        <f t="shared" si="465"/>
        <v>0</v>
      </c>
      <c r="FW71" s="108">
        <f t="shared" si="465"/>
        <v>0</v>
      </c>
      <c r="FX71" s="109">
        <f t="shared" si="465"/>
        <v>0</v>
      </c>
      <c r="FY71" s="114">
        <f t="shared" si="465"/>
        <v>0</v>
      </c>
      <c r="FZ71" s="95"/>
      <c r="GA71" s="91"/>
    </row>
    <row r="72" spans="1:183" s="96" customFormat="1" ht="20.100000000000001" customHeight="1" x14ac:dyDescent="0.2">
      <c r="A72" s="304"/>
      <c r="B72" s="300" t="s">
        <v>23</v>
      </c>
      <c r="C72" s="82" t="s">
        <v>20</v>
      </c>
      <c r="D72" s="115">
        <v>0</v>
      </c>
      <c r="E72" s="116">
        <v>0</v>
      </c>
      <c r="F72" s="116">
        <v>0</v>
      </c>
      <c r="G72" s="117">
        <v>0</v>
      </c>
      <c r="H72" s="118">
        <v>0</v>
      </c>
      <c r="I72" s="93">
        <f>SUM(D72:H72)</f>
        <v>0</v>
      </c>
      <c r="J72" s="119">
        <v>0</v>
      </c>
      <c r="K72" s="116">
        <v>0</v>
      </c>
      <c r="L72" s="120">
        <v>0</v>
      </c>
      <c r="M72" s="121">
        <f>SUM(J72:L72)</f>
        <v>0</v>
      </c>
      <c r="N72" s="91"/>
      <c r="O72" s="304"/>
      <c r="P72" s="300" t="s">
        <v>23</v>
      </c>
      <c r="Q72" s="82" t="s">
        <v>20</v>
      </c>
      <c r="R72" s="115">
        <v>0</v>
      </c>
      <c r="S72" s="116">
        <v>0</v>
      </c>
      <c r="T72" s="116">
        <v>0</v>
      </c>
      <c r="U72" s="117">
        <v>0</v>
      </c>
      <c r="V72" s="118">
        <v>0</v>
      </c>
      <c r="W72" s="93">
        <f>SUM(R72:V72)</f>
        <v>0</v>
      </c>
      <c r="X72" s="119">
        <v>0</v>
      </c>
      <c r="Y72" s="116">
        <v>0</v>
      </c>
      <c r="Z72" s="120">
        <v>0</v>
      </c>
      <c r="AA72" s="121">
        <f>SUM(X72:Z72)</f>
        <v>0</v>
      </c>
      <c r="AB72" s="91"/>
      <c r="AC72" s="304"/>
      <c r="AD72" s="300" t="s">
        <v>23</v>
      </c>
      <c r="AE72" s="82" t="s">
        <v>20</v>
      </c>
      <c r="AF72" s="115">
        <v>0</v>
      </c>
      <c r="AG72" s="116">
        <v>0</v>
      </c>
      <c r="AH72" s="116">
        <v>0</v>
      </c>
      <c r="AI72" s="117">
        <v>0</v>
      </c>
      <c r="AJ72" s="118">
        <v>0</v>
      </c>
      <c r="AK72" s="93">
        <f>SUM(AF72:AJ72)</f>
        <v>0</v>
      </c>
      <c r="AL72" s="119">
        <v>0</v>
      </c>
      <c r="AM72" s="116">
        <v>0</v>
      </c>
      <c r="AN72" s="120">
        <v>0</v>
      </c>
      <c r="AO72" s="121">
        <f>SUM(AL72:AN72)</f>
        <v>0</v>
      </c>
      <c r="AP72" s="91"/>
      <c r="AQ72" s="304"/>
      <c r="AR72" s="300" t="s">
        <v>23</v>
      </c>
      <c r="AS72" s="82" t="s">
        <v>20</v>
      </c>
      <c r="AT72" s="115">
        <v>0</v>
      </c>
      <c r="AU72" s="116">
        <v>0</v>
      </c>
      <c r="AV72" s="116">
        <v>0</v>
      </c>
      <c r="AW72" s="117">
        <v>0</v>
      </c>
      <c r="AX72" s="118">
        <v>0</v>
      </c>
      <c r="AY72" s="93">
        <f>SUM(AT72:AX72)</f>
        <v>0</v>
      </c>
      <c r="AZ72" s="119">
        <v>0</v>
      </c>
      <c r="BA72" s="116">
        <v>0</v>
      </c>
      <c r="BB72" s="120">
        <v>0</v>
      </c>
      <c r="BC72" s="121">
        <f>SUM(AZ72:BB72)</f>
        <v>0</v>
      </c>
      <c r="BD72" s="91"/>
      <c r="BE72" s="304"/>
      <c r="BF72" s="300" t="s">
        <v>23</v>
      </c>
      <c r="BG72" s="82" t="s">
        <v>20</v>
      </c>
      <c r="BH72" s="115">
        <v>0</v>
      </c>
      <c r="BI72" s="116">
        <v>0</v>
      </c>
      <c r="BJ72" s="116">
        <v>0</v>
      </c>
      <c r="BK72" s="117">
        <v>0</v>
      </c>
      <c r="BL72" s="118">
        <v>0</v>
      </c>
      <c r="BM72" s="93">
        <f>SUM(BH72:BL72)</f>
        <v>0</v>
      </c>
      <c r="BN72" s="119">
        <v>0</v>
      </c>
      <c r="BO72" s="116">
        <v>0</v>
      </c>
      <c r="BP72" s="120">
        <v>0</v>
      </c>
      <c r="BQ72" s="121">
        <f>SUM(BN72:BP72)</f>
        <v>0</v>
      </c>
      <c r="BR72" s="91"/>
      <c r="BS72" s="304"/>
      <c r="BT72" s="300" t="s">
        <v>23</v>
      </c>
      <c r="BU72" s="82" t="s">
        <v>20</v>
      </c>
      <c r="BV72" s="115">
        <v>0</v>
      </c>
      <c r="BW72" s="116">
        <v>0</v>
      </c>
      <c r="BX72" s="116">
        <v>0</v>
      </c>
      <c r="BY72" s="117">
        <v>0</v>
      </c>
      <c r="BZ72" s="118">
        <v>0</v>
      </c>
      <c r="CA72" s="93">
        <f>SUM(BV72:BZ72)</f>
        <v>0</v>
      </c>
      <c r="CB72" s="119">
        <v>0</v>
      </c>
      <c r="CC72" s="116">
        <v>0</v>
      </c>
      <c r="CD72" s="120">
        <v>0</v>
      </c>
      <c r="CE72" s="121">
        <f>SUM(CB72:CD72)</f>
        <v>0</v>
      </c>
      <c r="CF72" s="91"/>
      <c r="CG72" s="304"/>
      <c r="CH72" s="300" t="s">
        <v>23</v>
      </c>
      <c r="CI72" s="82" t="s">
        <v>20</v>
      </c>
      <c r="CJ72" s="115">
        <v>0</v>
      </c>
      <c r="CK72" s="116">
        <v>0</v>
      </c>
      <c r="CL72" s="116">
        <v>0</v>
      </c>
      <c r="CM72" s="117">
        <v>0</v>
      </c>
      <c r="CN72" s="118">
        <v>0</v>
      </c>
      <c r="CO72" s="93">
        <f>SUM(CJ72:CN72)</f>
        <v>0</v>
      </c>
      <c r="CP72" s="119">
        <v>0</v>
      </c>
      <c r="CQ72" s="116">
        <v>0</v>
      </c>
      <c r="CR72" s="120">
        <v>0</v>
      </c>
      <c r="CS72" s="121">
        <f>SUM(CP72:CR72)</f>
        <v>0</v>
      </c>
      <c r="CT72" s="91"/>
      <c r="CU72" s="304"/>
      <c r="CV72" s="300" t="s">
        <v>23</v>
      </c>
      <c r="CW72" s="82" t="s">
        <v>20</v>
      </c>
      <c r="CX72" s="267">
        <v>0</v>
      </c>
      <c r="CY72" s="268">
        <v>0</v>
      </c>
      <c r="CZ72" s="268">
        <v>0</v>
      </c>
      <c r="DA72" s="269">
        <v>0</v>
      </c>
      <c r="DB72" s="270">
        <v>0</v>
      </c>
      <c r="DC72" s="271">
        <f t="shared" ref="DC72:DC73" si="466">SUM(CX72:DB72)</f>
        <v>0</v>
      </c>
      <c r="DD72" s="272">
        <v>0</v>
      </c>
      <c r="DE72" s="268">
        <v>0</v>
      </c>
      <c r="DF72" s="273">
        <v>0</v>
      </c>
      <c r="DG72" s="121">
        <f>SUM(DD72:DF72)</f>
        <v>0</v>
      </c>
      <c r="DH72" s="91"/>
      <c r="DI72" s="304"/>
      <c r="DJ72" s="300" t="s">
        <v>23</v>
      </c>
      <c r="DK72" s="82" t="s">
        <v>20</v>
      </c>
      <c r="DL72" s="115">
        <v>0</v>
      </c>
      <c r="DM72" s="116">
        <v>0</v>
      </c>
      <c r="DN72" s="116">
        <v>0</v>
      </c>
      <c r="DO72" s="117">
        <v>0</v>
      </c>
      <c r="DP72" s="118">
        <v>0</v>
      </c>
      <c r="DQ72" s="93">
        <f>SUM(DL72:DP72)</f>
        <v>0</v>
      </c>
      <c r="DR72" s="119">
        <v>0</v>
      </c>
      <c r="DS72" s="116">
        <v>0</v>
      </c>
      <c r="DT72" s="120">
        <v>0</v>
      </c>
      <c r="DU72" s="121">
        <f>SUM(DR72:DT72)</f>
        <v>0</v>
      </c>
      <c r="DV72" s="91"/>
      <c r="DW72" s="304"/>
      <c r="DX72" s="300" t="s">
        <v>23</v>
      </c>
      <c r="DY72" s="82" t="s">
        <v>20</v>
      </c>
      <c r="DZ72" s="115">
        <v>0</v>
      </c>
      <c r="EA72" s="116">
        <v>0</v>
      </c>
      <c r="EB72" s="116">
        <v>0</v>
      </c>
      <c r="EC72" s="117">
        <v>0</v>
      </c>
      <c r="ED72" s="118">
        <v>0</v>
      </c>
      <c r="EE72" s="93">
        <f>SUM(DZ72:ED72)</f>
        <v>0</v>
      </c>
      <c r="EF72" s="119">
        <v>0</v>
      </c>
      <c r="EG72" s="116">
        <v>0</v>
      </c>
      <c r="EH72" s="120">
        <v>0</v>
      </c>
      <c r="EI72" s="121">
        <f>SUM(EF72:EH72)</f>
        <v>0</v>
      </c>
      <c r="EJ72" s="91"/>
      <c r="EK72" s="304"/>
      <c r="EL72" s="300" t="s">
        <v>23</v>
      </c>
      <c r="EM72" s="82" t="s">
        <v>20</v>
      </c>
      <c r="EN72" s="115">
        <v>0</v>
      </c>
      <c r="EO72" s="116">
        <v>0</v>
      </c>
      <c r="EP72" s="116">
        <v>0</v>
      </c>
      <c r="EQ72" s="117">
        <v>0</v>
      </c>
      <c r="ER72" s="118">
        <v>0</v>
      </c>
      <c r="ES72" s="93">
        <f>SUM(EN72:ER72)</f>
        <v>0</v>
      </c>
      <c r="ET72" s="119">
        <v>0</v>
      </c>
      <c r="EU72" s="116">
        <v>0</v>
      </c>
      <c r="EV72" s="120">
        <v>0</v>
      </c>
      <c r="EW72" s="121">
        <f>SUM(ET72:EV72)</f>
        <v>0</v>
      </c>
      <c r="EX72" s="91"/>
      <c r="EY72" s="304"/>
      <c r="EZ72" s="300" t="s">
        <v>23</v>
      </c>
      <c r="FA72" s="82" t="s">
        <v>20</v>
      </c>
      <c r="FB72" s="115">
        <v>0</v>
      </c>
      <c r="FC72" s="116">
        <v>0</v>
      </c>
      <c r="FD72" s="116">
        <v>0</v>
      </c>
      <c r="FE72" s="117">
        <v>0</v>
      </c>
      <c r="FF72" s="118">
        <v>0</v>
      </c>
      <c r="FG72" s="93">
        <f>SUM(FB72:FF72)</f>
        <v>0</v>
      </c>
      <c r="FH72" s="119">
        <v>0</v>
      </c>
      <c r="FI72" s="116">
        <v>0</v>
      </c>
      <c r="FJ72" s="120">
        <v>0</v>
      </c>
      <c r="FK72" s="121">
        <f>SUM(FH72:FJ72)</f>
        <v>0</v>
      </c>
      <c r="FL72" s="147"/>
      <c r="FM72" s="304"/>
      <c r="FN72" s="300" t="s">
        <v>23</v>
      </c>
      <c r="FO72" s="82" t="s">
        <v>20</v>
      </c>
      <c r="FP72" s="115">
        <f t="shared" ref="FP72:FP73" si="467">SUM(D72+R72+AF72+AT72+BH72+BV72+CJ72+CX72+DL72+DZ72+EN72+FB72)</f>
        <v>0</v>
      </c>
      <c r="FQ72" s="115">
        <f t="shared" ref="FQ72:FQ73" si="468">SUM(E72+S72+AG72+AU72+BI72+BW72+CK72+CY72+DM72+EA72+EO72+FC72)</f>
        <v>0</v>
      </c>
      <c r="FR72" s="115">
        <f t="shared" ref="FR72:FR73" si="469">SUM(F72+T72+AH72+AV72+BJ72+BX72+CL72+CZ72+DN72+EB72+EP72+FD72)</f>
        <v>0</v>
      </c>
      <c r="FS72" s="150">
        <f t="shared" ref="FS72:FS73" si="470">SUM(G72+U72+AI72+AW72+BK72+BY72+CM72+DA72+DO72+EC72+EQ72+FE72)</f>
        <v>0</v>
      </c>
      <c r="FT72" s="115">
        <f t="shared" ref="FT72:FT73" si="471">SUM(H72+V72+AJ72+AX72+BL72+BZ72+CN72+DB72+DP72+ED72+ER72+FF72)</f>
        <v>0</v>
      </c>
      <c r="FU72" s="93">
        <f>SUM(FP72:FT72)</f>
        <v>0</v>
      </c>
      <c r="FV72" s="119">
        <f t="shared" ref="FV72:FV73" si="472">SUM(J72+X72+AL72+AZ72+BN72+CB72+CP72+DD72+DR72+EF72+ET72+FH72)</f>
        <v>0</v>
      </c>
      <c r="FW72" s="119">
        <f t="shared" ref="FW72:FW73" si="473">SUM(K72+Y72+AM72+BA72+BO72+CC72+CQ72+DE72+DS72+EG72+EU72+FI72)</f>
        <v>0</v>
      </c>
      <c r="FX72" s="119">
        <f t="shared" ref="FX72:FX73" si="474">SUM(L72+Z72+AN72+BB72+BP72+CD72+CR72+DF72+DT72+EH72+EV72+FJ72)</f>
        <v>0</v>
      </c>
      <c r="FY72" s="122">
        <f>SUM(FV72:FX72)</f>
        <v>0</v>
      </c>
      <c r="FZ72" s="95"/>
      <c r="GA72" s="91"/>
    </row>
    <row r="73" spans="1:183" ht="20.100000000000001" customHeight="1" thickBot="1" x14ac:dyDescent="0.3">
      <c r="A73" s="304"/>
      <c r="B73" s="294"/>
      <c r="C73" s="97" t="s">
        <v>21</v>
      </c>
      <c r="D73" s="98">
        <v>0</v>
      </c>
      <c r="E73" s="99">
        <v>0</v>
      </c>
      <c r="F73" s="99">
        <v>0</v>
      </c>
      <c r="G73" s="99">
        <v>0</v>
      </c>
      <c r="H73" s="100">
        <v>0</v>
      </c>
      <c r="I73" s="101">
        <f>SUM(D73:H73)</f>
        <v>0</v>
      </c>
      <c r="J73" s="102">
        <v>0</v>
      </c>
      <c r="K73" s="99">
        <v>0</v>
      </c>
      <c r="L73" s="103">
        <v>0</v>
      </c>
      <c r="M73" s="104">
        <f>SUM(J73:L73)</f>
        <v>0</v>
      </c>
      <c r="N73" s="61"/>
      <c r="O73" s="304"/>
      <c r="P73" s="294"/>
      <c r="Q73" s="97" t="s">
        <v>21</v>
      </c>
      <c r="R73" s="98">
        <v>0</v>
      </c>
      <c r="S73" s="99">
        <v>0</v>
      </c>
      <c r="T73" s="99">
        <v>0</v>
      </c>
      <c r="U73" s="99">
        <v>0</v>
      </c>
      <c r="V73" s="100">
        <v>0</v>
      </c>
      <c r="W73" s="101">
        <f>SUM(R73:V73)</f>
        <v>0</v>
      </c>
      <c r="X73" s="102">
        <v>0</v>
      </c>
      <c r="Y73" s="99">
        <v>0</v>
      </c>
      <c r="Z73" s="103">
        <v>0</v>
      </c>
      <c r="AA73" s="104">
        <f>SUM(X73:Z73)</f>
        <v>0</v>
      </c>
      <c r="AB73" s="61"/>
      <c r="AC73" s="304"/>
      <c r="AD73" s="294"/>
      <c r="AE73" s="97" t="s">
        <v>21</v>
      </c>
      <c r="AF73" s="98">
        <v>0</v>
      </c>
      <c r="AG73" s="99">
        <v>0</v>
      </c>
      <c r="AH73" s="99">
        <v>0</v>
      </c>
      <c r="AI73" s="99">
        <v>0</v>
      </c>
      <c r="AJ73" s="100">
        <v>0</v>
      </c>
      <c r="AK73" s="101">
        <f>SUM(AF73:AJ73)</f>
        <v>0</v>
      </c>
      <c r="AL73" s="102">
        <v>0</v>
      </c>
      <c r="AM73" s="99">
        <v>0</v>
      </c>
      <c r="AN73" s="103">
        <v>0</v>
      </c>
      <c r="AO73" s="104">
        <f>SUM(AL73:AN73)</f>
        <v>0</v>
      </c>
      <c r="AP73" s="61"/>
      <c r="AQ73" s="304"/>
      <c r="AR73" s="294"/>
      <c r="AS73" s="97" t="s">
        <v>21</v>
      </c>
      <c r="AT73" s="98">
        <v>0</v>
      </c>
      <c r="AU73" s="99">
        <v>0</v>
      </c>
      <c r="AV73" s="99">
        <v>0</v>
      </c>
      <c r="AW73" s="99">
        <v>0</v>
      </c>
      <c r="AX73" s="100">
        <v>0</v>
      </c>
      <c r="AY73" s="101">
        <f>SUM(AT73:AX73)</f>
        <v>0</v>
      </c>
      <c r="AZ73" s="102">
        <v>0</v>
      </c>
      <c r="BA73" s="99">
        <v>0</v>
      </c>
      <c r="BB73" s="103">
        <v>0</v>
      </c>
      <c r="BC73" s="104">
        <f>SUM(AZ73:BB73)</f>
        <v>0</v>
      </c>
      <c r="BD73" s="61"/>
      <c r="BE73" s="304"/>
      <c r="BF73" s="294"/>
      <c r="BG73" s="97" t="s">
        <v>21</v>
      </c>
      <c r="BH73" s="98">
        <v>0</v>
      </c>
      <c r="BI73" s="99">
        <v>0</v>
      </c>
      <c r="BJ73" s="99">
        <v>0</v>
      </c>
      <c r="BK73" s="99">
        <v>0</v>
      </c>
      <c r="BL73" s="100">
        <v>0</v>
      </c>
      <c r="BM73" s="101">
        <f>SUM(BH73:BL73)</f>
        <v>0</v>
      </c>
      <c r="BN73" s="102">
        <v>0</v>
      </c>
      <c r="BO73" s="99">
        <v>0</v>
      </c>
      <c r="BP73" s="103">
        <v>0</v>
      </c>
      <c r="BQ73" s="104">
        <f>SUM(BN73:BP73)</f>
        <v>0</v>
      </c>
      <c r="BR73" s="61"/>
      <c r="BS73" s="304"/>
      <c r="BT73" s="294"/>
      <c r="BU73" s="97" t="s">
        <v>21</v>
      </c>
      <c r="BV73" s="98">
        <v>0</v>
      </c>
      <c r="BW73" s="99">
        <v>0</v>
      </c>
      <c r="BX73" s="99">
        <v>0</v>
      </c>
      <c r="BY73" s="99">
        <v>0</v>
      </c>
      <c r="BZ73" s="100">
        <v>0</v>
      </c>
      <c r="CA73" s="101">
        <f>SUM(BV73:BZ73)</f>
        <v>0</v>
      </c>
      <c r="CB73" s="102">
        <v>0</v>
      </c>
      <c r="CC73" s="99">
        <v>0</v>
      </c>
      <c r="CD73" s="103">
        <v>0</v>
      </c>
      <c r="CE73" s="104">
        <f>SUM(CB73:CD73)</f>
        <v>0</v>
      </c>
      <c r="CF73" s="61"/>
      <c r="CG73" s="304"/>
      <c r="CH73" s="294"/>
      <c r="CI73" s="97" t="s">
        <v>21</v>
      </c>
      <c r="CJ73" s="98">
        <v>0</v>
      </c>
      <c r="CK73" s="99">
        <v>0</v>
      </c>
      <c r="CL73" s="99">
        <v>0</v>
      </c>
      <c r="CM73" s="99">
        <v>0</v>
      </c>
      <c r="CN73" s="100">
        <v>0</v>
      </c>
      <c r="CO73" s="101">
        <f>SUM(CJ73:CN73)</f>
        <v>0</v>
      </c>
      <c r="CP73" s="102">
        <v>0</v>
      </c>
      <c r="CQ73" s="99">
        <v>0</v>
      </c>
      <c r="CR73" s="103">
        <v>0</v>
      </c>
      <c r="CS73" s="104">
        <f>SUM(CP73:CR73)</f>
        <v>0</v>
      </c>
      <c r="CT73" s="61"/>
      <c r="CU73" s="304"/>
      <c r="CV73" s="294"/>
      <c r="CW73" s="97" t="s">
        <v>21</v>
      </c>
      <c r="CX73" s="274">
        <v>0</v>
      </c>
      <c r="CY73" s="260">
        <v>0</v>
      </c>
      <c r="CZ73" s="260">
        <v>0</v>
      </c>
      <c r="DA73" s="260">
        <v>0</v>
      </c>
      <c r="DB73" s="275">
        <v>0</v>
      </c>
      <c r="DC73" s="258">
        <f t="shared" si="466"/>
        <v>0</v>
      </c>
      <c r="DD73" s="259">
        <v>0</v>
      </c>
      <c r="DE73" s="260">
        <v>0</v>
      </c>
      <c r="DF73" s="261">
        <v>0</v>
      </c>
      <c r="DG73" s="104">
        <f>SUM(DD73:DF73)</f>
        <v>0</v>
      </c>
      <c r="DH73" s="61"/>
      <c r="DI73" s="304"/>
      <c r="DJ73" s="294"/>
      <c r="DK73" s="97" t="s">
        <v>21</v>
      </c>
      <c r="DL73" s="98">
        <v>0</v>
      </c>
      <c r="DM73" s="99">
        <v>0</v>
      </c>
      <c r="DN73" s="99">
        <v>0</v>
      </c>
      <c r="DO73" s="99">
        <v>0</v>
      </c>
      <c r="DP73" s="100">
        <v>0</v>
      </c>
      <c r="DQ73" s="101">
        <f>SUM(DL73:DP73)</f>
        <v>0</v>
      </c>
      <c r="DR73" s="102">
        <v>0</v>
      </c>
      <c r="DS73" s="99">
        <v>0</v>
      </c>
      <c r="DT73" s="103">
        <v>0</v>
      </c>
      <c r="DU73" s="104">
        <f>SUM(DR73:DT73)</f>
        <v>0</v>
      </c>
      <c r="DV73" s="61"/>
      <c r="DW73" s="304"/>
      <c r="DX73" s="294"/>
      <c r="DY73" s="97" t="s">
        <v>21</v>
      </c>
      <c r="DZ73" s="98">
        <v>0</v>
      </c>
      <c r="EA73" s="99">
        <v>0</v>
      </c>
      <c r="EB73" s="99">
        <v>0</v>
      </c>
      <c r="EC73" s="99">
        <v>0</v>
      </c>
      <c r="ED73" s="100">
        <v>0</v>
      </c>
      <c r="EE73" s="101">
        <f>SUM(DZ73:ED73)</f>
        <v>0</v>
      </c>
      <c r="EF73" s="102">
        <v>0</v>
      </c>
      <c r="EG73" s="99">
        <v>0</v>
      </c>
      <c r="EH73" s="103">
        <v>0</v>
      </c>
      <c r="EI73" s="104">
        <f>SUM(EF73:EH73)</f>
        <v>0</v>
      </c>
      <c r="EJ73" s="61"/>
      <c r="EK73" s="304"/>
      <c r="EL73" s="294"/>
      <c r="EM73" s="97" t="s">
        <v>21</v>
      </c>
      <c r="EN73" s="98">
        <v>0</v>
      </c>
      <c r="EO73" s="99">
        <v>0</v>
      </c>
      <c r="EP73" s="99">
        <v>0</v>
      </c>
      <c r="EQ73" s="99">
        <v>0</v>
      </c>
      <c r="ER73" s="100">
        <v>0</v>
      </c>
      <c r="ES73" s="101">
        <f>SUM(EN73:ER73)</f>
        <v>0</v>
      </c>
      <c r="ET73" s="102">
        <v>0</v>
      </c>
      <c r="EU73" s="99">
        <v>0</v>
      </c>
      <c r="EV73" s="103">
        <v>0</v>
      </c>
      <c r="EW73" s="104">
        <f>SUM(ET73:EV73)</f>
        <v>0</v>
      </c>
      <c r="EX73" s="61"/>
      <c r="EY73" s="304"/>
      <c r="EZ73" s="294"/>
      <c r="FA73" s="97" t="s">
        <v>21</v>
      </c>
      <c r="FB73" s="98">
        <v>0</v>
      </c>
      <c r="FC73" s="99">
        <v>0</v>
      </c>
      <c r="FD73" s="99">
        <v>0</v>
      </c>
      <c r="FE73" s="99">
        <v>0</v>
      </c>
      <c r="FF73" s="100">
        <v>0</v>
      </c>
      <c r="FG73" s="101">
        <f>SUM(FB73:FF73)</f>
        <v>0</v>
      </c>
      <c r="FH73" s="102">
        <v>0</v>
      </c>
      <c r="FI73" s="99">
        <v>0</v>
      </c>
      <c r="FJ73" s="103">
        <v>0</v>
      </c>
      <c r="FK73" s="104">
        <f>SUM(FH73:FJ73)</f>
        <v>0</v>
      </c>
      <c r="FM73" s="304"/>
      <c r="FN73" s="294"/>
      <c r="FO73" s="97" t="s">
        <v>21</v>
      </c>
      <c r="FP73" s="115">
        <f t="shared" si="467"/>
        <v>0</v>
      </c>
      <c r="FQ73" s="115">
        <f t="shared" si="468"/>
        <v>0</v>
      </c>
      <c r="FR73" s="115">
        <f t="shared" si="469"/>
        <v>0</v>
      </c>
      <c r="FS73" s="115">
        <f t="shared" si="470"/>
        <v>0</v>
      </c>
      <c r="FT73" s="115">
        <f t="shared" si="471"/>
        <v>0</v>
      </c>
      <c r="FU73" s="101">
        <f>SUM(FP73:FT73)</f>
        <v>0</v>
      </c>
      <c r="FV73" s="119">
        <f t="shared" si="472"/>
        <v>0</v>
      </c>
      <c r="FW73" s="119">
        <f t="shared" si="473"/>
        <v>0</v>
      </c>
      <c r="FX73" s="119">
        <f t="shared" si="474"/>
        <v>0</v>
      </c>
      <c r="FY73" s="106">
        <f>SUM(FV73:FX73)</f>
        <v>0</v>
      </c>
      <c r="GA73" s="61"/>
    </row>
    <row r="74" spans="1:183" ht="20.100000000000001" customHeight="1" thickBot="1" x14ac:dyDescent="0.3">
      <c r="A74" s="305"/>
      <c r="B74" s="301" t="s">
        <v>24</v>
      </c>
      <c r="C74" s="310"/>
      <c r="D74" s="107">
        <f t="shared" ref="D74:M74" si="475">SUM(D72:D73)</f>
        <v>0</v>
      </c>
      <c r="E74" s="108">
        <f t="shared" si="475"/>
        <v>0</v>
      </c>
      <c r="F74" s="108">
        <f t="shared" si="475"/>
        <v>0</v>
      </c>
      <c r="G74" s="108">
        <f t="shared" si="475"/>
        <v>0</v>
      </c>
      <c r="H74" s="109">
        <f t="shared" si="475"/>
        <v>0</v>
      </c>
      <c r="I74" s="110">
        <f t="shared" si="475"/>
        <v>0</v>
      </c>
      <c r="J74" s="111">
        <f t="shared" si="475"/>
        <v>0</v>
      </c>
      <c r="K74" s="108">
        <f t="shared" si="475"/>
        <v>0</v>
      </c>
      <c r="L74" s="109">
        <f t="shared" si="475"/>
        <v>0</v>
      </c>
      <c r="M74" s="112">
        <f t="shared" si="475"/>
        <v>0</v>
      </c>
      <c r="N74" s="61"/>
      <c r="O74" s="305"/>
      <c r="P74" s="301" t="s">
        <v>24</v>
      </c>
      <c r="Q74" s="310"/>
      <c r="R74" s="107">
        <f t="shared" ref="R74:AA74" si="476">SUM(R72:R73)</f>
        <v>0</v>
      </c>
      <c r="S74" s="108">
        <f t="shared" si="476"/>
        <v>0</v>
      </c>
      <c r="T74" s="108">
        <f t="shared" si="476"/>
        <v>0</v>
      </c>
      <c r="U74" s="108">
        <f t="shared" si="476"/>
        <v>0</v>
      </c>
      <c r="V74" s="109">
        <f t="shared" si="476"/>
        <v>0</v>
      </c>
      <c r="W74" s="110">
        <f t="shared" si="476"/>
        <v>0</v>
      </c>
      <c r="X74" s="111">
        <f t="shared" si="476"/>
        <v>0</v>
      </c>
      <c r="Y74" s="108">
        <f t="shared" si="476"/>
        <v>0</v>
      </c>
      <c r="Z74" s="109">
        <f t="shared" si="476"/>
        <v>0</v>
      </c>
      <c r="AA74" s="112">
        <f t="shared" si="476"/>
        <v>0</v>
      </c>
      <c r="AB74" s="61"/>
      <c r="AC74" s="305"/>
      <c r="AD74" s="301" t="s">
        <v>24</v>
      </c>
      <c r="AE74" s="310"/>
      <c r="AF74" s="107">
        <f t="shared" ref="AF74:AO74" si="477">SUM(AF72:AF73)</f>
        <v>0</v>
      </c>
      <c r="AG74" s="108">
        <f t="shared" si="477"/>
        <v>0</v>
      </c>
      <c r="AH74" s="108">
        <f t="shared" si="477"/>
        <v>0</v>
      </c>
      <c r="AI74" s="108">
        <f t="shared" si="477"/>
        <v>0</v>
      </c>
      <c r="AJ74" s="109">
        <f t="shared" si="477"/>
        <v>0</v>
      </c>
      <c r="AK74" s="110">
        <f t="shared" si="477"/>
        <v>0</v>
      </c>
      <c r="AL74" s="111">
        <f t="shared" si="477"/>
        <v>0</v>
      </c>
      <c r="AM74" s="108">
        <f t="shared" si="477"/>
        <v>0</v>
      </c>
      <c r="AN74" s="109">
        <f t="shared" si="477"/>
        <v>0</v>
      </c>
      <c r="AO74" s="112">
        <f t="shared" si="477"/>
        <v>0</v>
      </c>
      <c r="AP74" s="61"/>
      <c r="AQ74" s="305"/>
      <c r="AR74" s="301" t="s">
        <v>24</v>
      </c>
      <c r="AS74" s="310"/>
      <c r="AT74" s="107">
        <f t="shared" ref="AT74:BC74" si="478">SUM(AT72:AT73)</f>
        <v>0</v>
      </c>
      <c r="AU74" s="108">
        <f t="shared" si="478"/>
        <v>0</v>
      </c>
      <c r="AV74" s="108">
        <f t="shared" si="478"/>
        <v>0</v>
      </c>
      <c r="AW74" s="108">
        <f t="shared" si="478"/>
        <v>0</v>
      </c>
      <c r="AX74" s="109">
        <f t="shared" si="478"/>
        <v>0</v>
      </c>
      <c r="AY74" s="110">
        <f t="shared" si="478"/>
        <v>0</v>
      </c>
      <c r="AZ74" s="111">
        <f t="shared" si="478"/>
        <v>0</v>
      </c>
      <c r="BA74" s="108">
        <f t="shared" si="478"/>
        <v>0</v>
      </c>
      <c r="BB74" s="109">
        <f t="shared" si="478"/>
        <v>0</v>
      </c>
      <c r="BC74" s="112">
        <f t="shared" si="478"/>
        <v>0</v>
      </c>
      <c r="BD74" s="61"/>
      <c r="BE74" s="305"/>
      <c r="BF74" s="301" t="s">
        <v>24</v>
      </c>
      <c r="BG74" s="310"/>
      <c r="BH74" s="107">
        <f t="shared" ref="BH74:BQ74" si="479">SUM(BH72:BH73)</f>
        <v>0</v>
      </c>
      <c r="BI74" s="108">
        <f t="shared" si="479"/>
        <v>0</v>
      </c>
      <c r="BJ74" s="108">
        <f t="shared" si="479"/>
        <v>0</v>
      </c>
      <c r="BK74" s="108">
        <f t="shared" si="479"/>
        <v>0</v>
      </c>
      <c r="BL74" s="109">
        <f t="shared" si="479"/>
        <v>0</v>
      </c>
      <c r="BM74" s="110">
        <f t="shared" si="479"/>
        <v>0</v>
      </c>
      <c r="BN74" s="111">
        <f t="shared" si="479"/>
        <v>0</v>
      </c>
      <c r="BO74" s="108">
        <f t="shared" si="479"/>
        <v>0</v>
      </c>
      <c r="BP74" s="109">
        <f t="shared" si="479"/>
        <v>0</v>
      </c>
      <c r="BQ74" s="112">
        <f t="shared" si="479"/>
        <v>0</v>
      </c>
      <c r="BR74" s="61"/>
      <c r="BS74" s="305"/>
      <c r="BT74" s="301" t="s">
        <v>24</v>
      </c>
      <c r="BU74" s="310"/>
      <c r="BV74" s="107">
        <f t="shared" ref="BV74:CE74" si="480">SUM(BV72:BV73)</f>
        <v>0</v>
      </c>
      <c r="BW74" s="108">
        <f t="shared" si="480"/>
        <v>0</v>
      </c>
      <c r="BX74" s="108">
        <f t="shared" si="480"/>
        <v>0</v>
      </c>
      <c r="BY74" s="108">
        <f t="shared" si="480"/>
        <v>0</v>
      </c>
      <c r="BZ74" s="109">
        <f t="shared" si="480"/>
        <v>0</v>
      </c>
      <c r="CA74" s="110">
        <f t="shared" si="480"/>
        <v>0</v>
      </c>
      <c r="CB74" s="111">
        <f t="shared" si="480"/>
        <v>0</v>
      </c>
      <c r="CC74" s="108">
        <f t="shared" si="480"/>
        <v>0</v>
      </c>
      <c r="CD74" s="109">
        <f t="shared" si="480"/>
        <v>0</v>
      </c>
      <c r="CE74" s="112">
        <f t="shared" si="480"/>
        <v>0</v>
      </c>
      <c r="CF74" s="61"/>
      <c r="CG74" s="305"/>
      <c r="CH74" s="301" t="s">
        <v>24</v>
      </c>
      <c r="CI74" s="310"/>
      <c r="CJ74" s="107">
        <f t="shared" ref="CJ74:CS74" si="481">SUM(CJ72:CJ73)</f>
        <v>0</v>
      </c>
      <c r="CK74" s="108">
        <f t="shared" si="481"/>
        <v>0</v>
      </c>
      <c r="CL74" s="108">
        <f t="shared" si="481"/>
        <v>0</v>
      </c>
      <c r="CM74" s="108">
        <f t="shared" si="481"/>
        <v>0</v>
      </c>
      <c r="CN74" s="109">
        <f t="shared" si="481"/>
        <v>0</v>
      </c>
      <c r="CO74" s="110">
        <f t="shared" si="481"/>
        <v>0</v>
      </c>
      <c r="CP74" s="111">
        <f t="shared" si="481"/>
        <v>0</v>
      </c>
      <c r="CQ74" s="108">
        <f t="shared" si="481"/>
        <v>0</v>
      </c>
      <c r="CR74" s="109">
        <f t="shared" si="481"/>
        <v>0</v>
      </c>
      <c r="CS74" s="112">
        <f t="shared" si="481"/>
        <v>0</v>
      </c>
      <c r="CT74" s="61"/>
      <c r="CU74" s="305"/>
      <c r="CV74" s="301" t="s">
        <v>24</v>
      </c>
      <c r="CW74" s="310"/>
      <c r="CX74" s="262">
        <f t="shared" ref="CX74:DF74" si="482">SUM(CX72:CX73)</f>
        <v>0</v>
      </c>
      <c r="CY74" s="263">
        <f t="shared" si="482"/>
        <v>0</v>
      </c>
      <c r="CZ74" s="263">
        <f t="shared" si="482"/>
        <v>0</v>
      </c>
      <c r="DA74" s="263">
        <f t="shared" si="482"/>
        <v>0</v>
      </c>
      <c r="DB74" s="264">
        <f t="shared" si="482"/>
        <v>0</v>
      </c>
      <c r="DC74" s="265">
        <f t="shared" si="482"/>
        <v>0</v>
      </c>
      <c r="DD74" s="266">
        <f t="shared" si="482"/>
        <v>0</v>
      </c>
      <c r="DE74" s="263">
        <f t="shared" si="482"/>
        <v>0</v>
      </c>
      <c r="DF74" s="264">
        <f t="shared" si="482"/>
        <v>0</v>
      </c>
      <c r="DG74" s="112">
        <f t="shared" ref="DG74" si="483">SUM(DG72:DG73)</f>
        <v>0</v>
      </c>
      <c r="DH74" s="61"/>
      <c r="DI74" s="305"/>
      <c r="DJ74" s="301" t="s">
        <v>24</v>
      </c>
      <c r="DK74" s="310"/>
      <c r="DL74" s="107">
        <f t="shared" ref="DL74:DU74" si="484">SUM(DL72:DL73)</f>
        <v>0</v>
      </c>
      <c r="DM74" s="108">
        <f t="shared" si="484"/>
        <v>0</v>
      </c>
      <c r="DN74" s="108">
        <f t="shared" si="484"/>
        <v>0</v>
      </c>
      <c r="DO74" s="108">
        <f t="shared" si="484"/>
        <v>0</v>
      </c>
      <c r="DP74" s="109">
        <f t="shared" si="484"/>
        <v>0</v>
      </c>
      <c r="DQ74" s="110">
        <f t="shared" si="484"/>
        <v>0</v>
      </c>
      <c r="DR74" s="111">
        <f t="shared" si="484"/>
        <v>0</v>
      </c>
      <c r="DS74" s="108">
        <f t="shared" si="484"/>
        <v>0</v>
      </c>
      <c r="DT74" s="109">
        <f t="shared" si="484"/>
        <v>0</v>
      </c>
      <c r="DU74" s="112">
        <f t="shared" si="484"/>
        <v>0</v>
      </c>
      <c r="DV74" s="61"/>
      <c r="DW74" s="305"/>
      <c r="DX74" s="301" t="s">
        <v>24</v>
      </c>
      <c r="DY74" s="310"/>
      <c r="DZ74" s="107">
        <f t="shared" ref="DZ74:EI74" si="485">SUM(DZ72:DZ73)</f>
        <v>0</v>
      </c>
      <c r="EA74" s="108">
        <f t="shared" si="485"/>
        <v>0</v>
      </c>
      <c r="EB74" s="108">
        <f t="shared" si="485"/>
        <v>0</v>
      </c>
      <c r="EC74" s="108">
        <f t="shared" si="485"/>
        <v>0</v>
      </c>
      <c r="ED74" s="109">
        <f t="shared" si="485"/>
        <v>0</v>
      </c>
      <c r="EE74" s="110">
        <f t="shared" si="485"/>
        <v>0</v>
      </c>
      <c r="EF74" s="111">
        <f t="shared" si="485"/>
        <v>0</v>
      </c>
      <c r="EG74" s="108">
        <f t="shared" si="485"/>
        <v>0</v>
      </c>
      <c r="EH74" s="109">
        <f t="shared" si="485"/>
        <v>0</v>
      </c>
      <c r="EI74" s="112">
        <f t="shared" si="485"/>
        <v>0</v>
      </c>
      <c r="EJ74" s="61"/>
      <c r="EK74" s="305"/>
      <c r="EL74" s="301" t="s">
        <v>24</v>
      </c>
      <c r="EM74" s="310"/>
      <c r="EN74" s="107">
        <f t="shared" ref="EN74:EW74" si="486">SUM(EN72:EN73)</f>
        <v>0</v>
      </c>
      <c r="EO74" s="108">
        <f t="shared" si="486"/>
        <v>0</v>
      </c>
      <c r="EP74" s="108">
        <f t="shared" si="486"/>
        <v>0</v>
      </c>
      <c r="EQ74" s="108">
        <f t="shared" si="486"/>
        <v>0</v>
      </c>
      <c r="ER74" s="109">
        <f t="shared" si="486"/>
        <v>0</v>
      </c>
      <c r="ES74" s="110">
        <f t="shared" si="486"/>
        <v>0</v>
      </c>
      <c r="ET74" s="111">
        <f t="shared" si="486"/>
        <v>0</v>
      </c>
      <c r="EU74" s="108">
        <f t="shared" si="486"/>
        <v>0</v>
      </c>
      <c r="EV74" s="109">
        <f t="shared" si="486"/>
        <v>0</v>
      </c>
      <c r="EW74" s="112">
        <f t="shared" si="486"/>
        <v>0</v>
      </c>
      <c r="EX74" s="61"/>
      <c r="EY74" s="305"/>
      <c r="EZ74" s="301" t="s">
        <v>24</v>
      </c>
      <c r="FA74" s="310"/>
      <c r="FB74" s="107">
        <f t="shared" ref="FB74:FK74" si="487">SUM(FB72:FB73)</f>
        <v>0</v>
      </c>
      <c r="FC74" s="108">
        <f t="shared" si="487"/>
        <v>0</v>
      </c>
      <c r="FD74" s="108">
        <f t="shared" si="487"/>
        <v>0</v>
      </c>
      <c r="FE74" s="108">
        <f t="shared" si="487"/>
        <v>0</v>
      </c>
      <c r="FF74" s="109">
        <f t="shared" si="487"/>
        <v>0</v>
      </c>
      <c r="FG74" s="110">
        <f t="shared" si="487"/>
        <v>0</v>
      </c>
      <c r="FH74" s="111">
        <f t="shared" si="487"/>
        <v>0</v>
      </c>
      <c r="FI74" s="108">
        <f t="shared" si="487"/>
        <v>0</v>
      </c>
      <c r="FJ74" s="109">
        <f t="shared" si="487"/>
        <v>0</v>
      </c>
      <c r="FK74" s="112">
        <f t="shared" si="487"/>
        <v>0</v>
      </c>
      <c r="FM74" s="305"/>
      <c r="FN74" s="301" t="s">
        <v>24</v>
      </c>
      <c r="FO74" s="310"/>
      <c r="FP74" s="107">
        <f t="shared" ref="FP74:FY74" si="488">SUM(FP72:FP73)</f>
        <v>0</v>
      </c>
      <c r="FQ74" s="108">
        <f t="shared" si="488"/>
        <v>0</v>
      </c>
      <c r="FR74" s="108">
        <f t="shared" si="488"/>
        <v>0</v>
      </c>
      <c r="FS74" s="108">
        <f t="shared" si="488"/>
        <v>0</v>
      </c>
      <c r="FT74" s="109">
        <f t="shared" si="488"/>
        <v>0</v>
      </c>
      <c r="FU74" s="113">
        <f t="shared" si="488"/>
        <v>0</v>
      </c>
      <c r="FV74" s="111">
        <f t="shared" si="488"/>
        <v>0</v>
      </c>
      <c r="FW74" s="108">
        <f t="shared" si="488"/>
        <v>0</v>
      </c>
      <c r="FX74" s="109">
        <f t="shared" si="488"/>
        <v>0</v>
      </c>
      <c r="FY74" s="114">
        <f t="shared" si="488"/>
        <v>0</v>
      </c>
      <c r="GA74" s="61"/>
    </row>
    <row r="75" spans="1:183" ht="20.100000000000001" customHeight="1" thickBot="1" x14ac:dyDescent="0.3">
      <c r="A75" s="297" t="s">
        <v>25</v>
      </c>
      <c r="B75" s="298"/>
      <c r="C75" s="299"/>
      <c r="D75" s="123">
        <f>SUM(D74+D71)</f>
        <v>0</v>
      </c>
      <c r="E75" s="124">
        <f>SUM(E74+E71)</f>
        <v>0</v>
      </c>
      <c r="F75" s="124">
        <f>SUM(F74+F71)</f>
        <v>0</v>
      </c>
      <c r="G75" s="124">
        <f>SUM(G74+G71)</f>
        <v>0</v>
      </c>
      <c r="H75" s="125">
        <f>SUM(H74+H71)</f>
        <v>0</v>
      </c>
      <c r="I75" s="126">
        <f>SUM(I71+I74)</f>
        <v>0</v>
      </c>
      <c r="J75" s="127">
        <f>SUM(J74+J71)</f>
        <v>0</v>
      </c>
      <c r="K75" s="128">
        <f>SUM(K74+K71)</f>
        <v>0</v>
      </c>
      <c r="L75" s="129">
        <f>SUM(L74+L71)</f>
        <v>0</v>
      </c>
      <c r="M75" s="130">
        <f>SUM(M74+M71)</f>
        <v>0</v>
      </c>
      <c r="N75" s="61"/>
      <c r="O75" s="297" t="s">
        <v>25</v>
      </c>
      <c r="P75" s="298"/>
      <c r="Q75" s="299"/>
      <c r="R75" s="123">
        <f>SUM(R74+R71)</f>
        <v>0</v>
      </c>
      <c r="S75" s="124">
        <f>SUM(S74+S71)</f>
        <v>0</v>
      </c>
      <c r="T75" s="124">
        <f>SUM(T74+T71)</f>
        <v>0</v>
      </c>
      <c r="U75" s="124">
        <f>SUM(U74+U71)</f>
        <v>0</v>
      </c>
      <c r="V75" s="125">
        <f>SUM(V74+V71)</f>
        <v>0</v>
      </c>
      <c r="W75" s="126">
        <f>SUM(W71+W74)</f>
        <v>0</v>
      </c>
      <c r="X75" s="127">
        <f>SUM(X74+X71)</f>
        <v>0</v>
      </c>
      <c r="Y75" s="128">
        <f>SUM(Y74+Y71)</f>
        <v>0</v>
      </c>
      <c r="Z75" s="129">
        <f>SUM(Z74+Z71)</f>
        <v>0</v>
      </c>
      <c r="AA75" s="130">
        <f>SUM(AA74+AA71)</f>
        <v>0</v>
      </c>
      <c r="AB75" s="61"/>
      <c r="AC75" s="297" t="s">
        <v>25</v>
      </c>
      <c r="AD75" s="298"/>
      <c r="AE75" s="299"/>
      <c r="AF75" s="123">
        <f>SUM(AF74+AF71)</f>
        <v>0</v>
      </c>
      <c r="AG75" s="124">
        <f>SUM(AG74+AG71)</f>
        <v>0</v>
      </c>
      <c r="AH75" s="124">
        <f>SUM(AH74+AH71)</f>
        <v>0</v>
      </c>
      <c r="AI75" s="124">
        <f>SUM(AI74+AI71)</f>
        <v>0</v>
      </c>
      <c r="AJ75" s="125">
        <f>SUM(AJ74+AJ71)</f>
        <v>0</v>
      </c>
      <c r="AK75" s="126">
        <f>SUM(AK71+AK74)</f>
        <v>0</v>
      </c>
      <c r="AL75" s="127">
        <f>SUM(AL74+AL71)</f>
        <v>0</v>
      </c>
      <c r="AM75" s="128">
        <f>SUM(AM74+AM71)</f>
        <v>0</v>
      </c>
      <c r="AN75" s="129">
        <f>SUM(AN74+AN71)</f>
        <v>0</v>
      </c>
      <c r="AO75" s="130">
        <f>SUM(AO74+AO71)</f>
        <v>0</v>
      </c>
      <c r="AP75" s="61"/>
      <c r="AQ75" s="297" t="s">
        <v>25</v>
      </c>
      <c r="AR75" s="298"/>
      <c r="AS75" s="299"/>
      <c r="AT75" s="123">
        <f>SUM(AT74+AT71)</f>
        <v>0</v>
      </c>
      <c r="AU75" s="124">
        <f>SUM(AU74+AU71)</f>
        <v>0</v>
      </c>
      <c r="AV75" s="124">
        <f>SUM(AV74+AV71)</f>
        <v>0</v>
      </c>
      <c r="AW75" s="124">
        <f>SUM(AW74+AW71)</f>
        <v>0</v>
      </c>
      <c r="AX75" s="125">
        <f>SUM(AX74+AX71)</f>
        <v>0</v>
      </c>
      <c r="AY75" s="126">
        <f>SUM(AY71+AY74)</f>
        <v>0</v>
      </c>
      <c r="AZ75" s="127">
        <f>SUM(AZ74+AZ71)</f>
        <v>0</v>
      </c>
      <c r="BA75" s="128">
        <f>SUM(BA74+BA71)</f>
        <v>0</v>
      </c>
      <c r="BB75" s="129">
        <f>SUM(BB74+BB71)</f>
        <v>0</v>
      </c>
      <c r="BC75" s="130">
        <f>SUM(BC74+BC71)</f>
        <v>0</v>
      </c>
      <c r="BD75" s="61"/>
      <c r="BE75" s="297" t="s">
        <v>25</v>
      </c>
      <c r="BF75" s="298"/>
      <c r="BG75" s="299"/>
      <c r="BH75" s="123">
        <f>SUM(BH74+BH71)</f>
        <v>0</v>
      </c>
      <c r="BI75" s="124">
        <f>SUM(BI74+BI71)</f>
        <v>0</v>
      </c>
      <c r="BJ75" s="124">
        <f>SUM(BJ74+BJ71)</f>
        <v>0</v>
      </c>
      <c r="BK75" s="124">
        <f>SUM(BK74+BK71)</f>
        <v>0</v>
      </c>
      <c r="BL75" s="125">
        <f>SUM(BL74+BL71)</f>
        <v>0</v>
      </c>
      <c r="BM75" s="126">
        <f>SUM(BM71+BM74)</f>
        <v>0</v>
      </c>
      <c r="BN75" s="127">
        <f>SUM(BN74+BN71)</f>
        <v>0</v>
      </c>
      <c r="BO75" s="128">
        <f>SUM(BO74+BO71)</f>
        <v>0</v>
      </c>
      <c r="BP75" s="129">
        <f>SUM(BP74+BP71)</f>
        <v>0</v>
      </c>
      <c r="BQ75" s="130">
        <f>SUM(BQ74+BQ71)</f>
        <v>0</v>
      </c>
      <c r="BR75" s="61"/>
      <c r="BS75" s="297" t="s">
        <v>25</v>
      </c>
      <c r="BT75" s="298"/>
      <c r="BU75" s="299"/>
      <c r="BV75" s="123">
        <f>SUM(BV74+BV71)</f>
        <v>0</v>
      </c>
      <c r="BW75" s="124">
        <f>SUM(BW74+BW71)</f>
        <v>0</v>
      </c>
      <c r="BX75" s="124">
        <f>SUM(BX74+BX71)</f>
        <v>0</v>
      </c>
      <c r="BY75" s="124">
        <f>SUM(BY74+BY71)</f>
        <v>0</v>
      </c>
      <c r="BZ75" s="125">
        <f>SUM(BZ74+BZ71)</f>
        <v>0</v>
      </c>
      <c r="CA75" s="126">
        <f>SUM(CA71+CA74)</f>
        <v>0</v>
      </c>
      <c r="CB75" s="127">
        <f>SUM(CB74+CB71)</f>
        <v>0</v>
      </c>
      <c r="CC75" s="128">
        <f>SUM(CC74+CC71)</f>
        <v>0</v>
      </c>
      <c r="CD75" s="129">
        <f>SUM(CD74+CD71)</f>
        <v>0</v>
      </c>
      <c r="CE75" s="130">
        <f>SUM(CE74+CE71)</f>
        <v>0</v>
      </c>
      <c r="CF75" s="61"/>
      <c r="CG75" s="297" t="s">
        <v>25</v>
      </c>
      <c r="CH75" s="298"/>
      <c r="CI75" s="299"/>
      <c r="CJ75" s="123">
        <f>SUM(CJ74+CJ71)</f>
        <v>0</v>
      </c>
      <c r="CK75" s="124">
        <f>SUM(CK74+CK71)</f>
        <v>0</v>
      </c>
      <c r="CL75" s="124">
        <f>SUM(CL74+CL71)</f>
        <v>0</v>
      </c>
      <c r="CM75" s="124">
        <f>SUM(CM74+CM71)</f>
        <v>0</v>
      </c>
      <c r="CN75" s="125">
        <f>SUM(CN74+CN71)</f>
        <v>0</v>
      </c>
      <c r="CO75" s="126">
        <f>SUM(CO71+CO74)</f>
        <v>0</v>
      </c>
      <c r="CP75" s="127">
        <f>SUM(CP74+CP71)</f>
        <v>0</v>
      </c>
      <c r="CQ75" s="128">
        <f>SUM(CQ74+CQ71)</f>
        <v>0</v>
      </c>
      <c r="CR75" s="129">
        <f>SUM(CR74+CR71)</f>
        <v>0</v>
      </c>
      <c r="CS75" s="130">
        <f>SUM(CS74+CS71)</f>
        <v>0</v>
      </c>
      <c r="CT75" s="61"/>
      <c r="CU75" s="297" t="s">
        <v>25</v>
      </c>
      <c r="CV75" s="298"/>
      <c r="CW75" s="299"/>
      <c r="CX75" s="276">
        <f t="shared" ref="CX75:DB75" si="489">SUM(CX74+CX71)</f>
        <v>0</v>
      </c>
      <c r="CY75" s="277">
        <f t="shared" si="489"/>
        <v>0</v>
      </c>
      <c r="CZ75" s="277">
        <f t="shared" si="489"/>
        <v>0</v>
      </c>
      <c r="DA75" s="277">
        <f t="shared" si="489"/>
        <v>0</v>
      </c>
      <c r="DB75" s="278">
        <f t="shared" si="489"/>
        <v>0</v>
      </c>
      <c r="DC75" s="279">
        <f>SUM(DC71+DC74)</f>
        <v>0</v>
      </c>
      <c r="DD75" s="280">
        <f t="shared" ref="DD75:DF75" si="490">SUM(DD74+DD71)</f>
        <v>0</v>
      </c>
      <c r="DE75" s="281">
        <f t="shared" si="490"/>
        <v>0</v>
      </c>
      <c r="DF75" s="282">
        <f t="shared" si="490"/>
        <v>0</v>
      </c>
      <c r="DG75" s="130">
        <f>SUM(DG74+DG71)</f>
        <v>0</v>
      </c>
      <c r="DH75" s="61"/>
      <c r="DI75" s="297" t="s">
        <v>25</v>
      </c>
      <c r="DJ75" s="298"/>
      <c r="DK75" s="299"/>
      <c r="DL75" s="123">
        <f>SUM(DL74+DL71)</f>
        <v>0</v>
      </c>
      <c r="DM75" s="124">
        <f>SUM(DM74+DM71)</f>
        <v>0</v>
      </c>
      <c r="DN75" s="124">
        <f>SUM(DN74+DN71)</f>
        <v>0</v>
      </c>
      <c r="DO75" s="124">
        <f>SUM(DO74+DO71)</f>
        <v>0</v>
      </c>
      <c r="DP75" s="125">
        <f>SUM(DP74+DP71)</f>
        <v>0</v>
      </c>
      <c r="DQ75" s="126">
        <f>SUM(DQ71+DQ74)</f>
        <v>0</v>
      </c>
      <c r="DR75" s="127">
        <f>SUM(DR74+DR71)</f>
        <v>0</v>
      </c>
      <c r="DS75" s="128">
        <f>SUM(DS74+DS71)</f>
        <v>0</v>
      </c>
      <c r="DT75" s="129">
        <f>SUM(DT74+DT71)</f>
        <v>0</v>
      </c>
      <c r="DU75" s="130">
        <f>SUM(DU74+DU71)</f>
        <v>0</v>
      </c>
      <c r="DV75" s="61"/>
      <c r="DW75" s="297" t="s">
        <v>25</v>
      </c>
      <c r="DX75" s="298"/>
      <c r="DY75" s="299"/>
      <c r="DZ75" s="123">
        <f>SUM(DZ74+DZ71)</f>
        <v>0</v>
      </c>
      <c r="EA75" s="124">
        <f>SUM(EA74+EA71)</f>
        <v>0</v>
      </c>
      <c r="EB75" s="124">
        <f>SUM(EB74+EB71)</f>
        <v>0</v>
      </c>
      <c r="EC75" s="124">
        <f>SUM(EC74+EC71)</f>
        <v>0</v>
      </c>
      <c r="ED75" s="125">
        <f>SUM(ED74+ED71)</f>
        <v>0</v>
      </c>
      <c r="EE75" s="126">
        <f>SUM(EE71+EE74)</f>
        <v>0</v>
      </c>
      <c r="EF75" s="127">
        <f>SUM(EF74+EF71)</f>
        <v>0</v>
      </c>
      <c r="EG75" s="128">
        <f>SUM(EG74+EG71)</f>
        <v>0</v>
      </c>
      <c r="EH75" s="129">
        <f>SUM(EH74+EH71)</f>
        <v>0</v>
      </c>
      <c r="EI75" s="130">
        <f>SUM(EI74+EI71)</f>
        <v>0</v>
      </c>
      <c r="EJ75" s="61"/>
      <c r="EK75" s="297" t="s">
        <v>25</v>
      </c>
      <c r="EL75" s="298"/>
      <c r="EM75" s="299"/>
      <c r="EN75" s="123">
        <f>SUM(EN74+EN71)</f>
        <v>0</v>
      </c>
      <c r="EO75" s="124">
        <f>SUM(EO74+EO71)</f>
        <v>0</v>
      </c>
      <c r="EP75" s="124">
        <f>SUM(EP74+EP71)</f>
        <v>0</v>
      </c>
      <c r="EQ75" s="124">
        <f>SUM(EQ74+EQ71)</f>
        <v>0</v>
      </c>
      <c r="ER75" s="125">
        <f>SUM(ER74+ER71)</f>
        <v>0</v>
      </c>
      <c r="ES75" s="126">
        <f>SUM(ES71+ES74)</f>
        <v>0</v>
      </c>
      <c r="ET75" s="127">
        <f>SUM(ET74+ET71)</f>
        <v>0</v>
      </c>
      <c r="EU75" s="128">
        <f>SUM(EU74+EU71)</f>
        <v>0</v>
      </c>
      <c r="EV75" s="129">
        <f>SUM(EV74+EV71)</f>
        <v>0</v>
      </c>
      <c r="EW75" s="130">
        <f>SUM(EW74+EW71)</f>
        <v>0</v>
      </c>
      <c r="EX75" s="61"/>
      <c r="EY75" s="297" t="s">
        <v>25</v>
      </c>
      <c r="EZ75" s="298"/>
      <c r="FA75" s="299"/>
      <c r="FB75" s="123">
        <f>SUM(FB74+FB71)</f>
        <v>0</v>
      </c>
      <c r="FC75" s="124">
        <f>SUM(FC74+FC71)</f>
        <v>0</v>
      </c>
      <c r="FD75" s="124">
        <f>SUM(FD74+FD71)</f>
        <v>0</v>
      </c>
      <c r="FE75" s="124">
        <f>SUM(FE74+FE71)</f>
        <v>0</v>
      </c>
      <c r="FF75" s="125">
        <f>SUM(FF74+FF71)</f>
        <v>0</v>
      </c>
      <c r="FG75" s="126">
        <f>SUM(FG71+FG74)</f>
        <v>0</v>
      </c>
      <c r="FH75" s="127">
        <f>SUM(FH74+FH71)</f>
        <v>0</v>
      </c>
      <c r="FI75" s="128">
        <f>SUM(FI74+FI71)</f>
        <v>0</v>
      </c>
      <c r="FJ75" s="129">
        <f>SUM(FJ74+FJ71)</f>
        <v>0</v>
      </c>
      <c r="FK75" s="130">
        <f>SUM(FK74+FK71)</f>
        <v>0</v>
      </c>
      <c r="FM75" s="297" t="s">
        <v>25</v>
      </c>
      <c r="FN75" s="298"/>
      <c r="FO75" s="299"/>
      <c r="FP75" s="123">
        <f>SUM(FP74+FP71)</f>
        <v>0</v>
      </c>
      <c r="FQ75" s="124">
        <f>SUM(FQ74+FQ71)</f>
        <v>0</v>
      </c>
      <c r="FR75" s="124">
        <f>SUM(FR74+FR71)</f>
        <v>0</v>
      </c>
      <c r="FS75" s="124">
        <f>SUM(FS74+FS71)</f>
        <v>0</v>
      </c>
      <c r="FT75" s="125">
        <f>SUM(FT74+FT71)</f>
        <v>0</v>
      </c>
      <c r="FU75" s="131">
        <f>SUM(FU71+FU74)</f>
        <v>0</v>
      </c>
      <c r="FV75" s="132">
        <f>SUM(FV74+FV71)</f>
        <v>0</v>
      </c>
      <c r="FW75" s="124">
        <f>SUM(FW74+FW71)</f>
        <v>0</v>
      </c>
      <c r="FX75" s="125">
        <f>SUM(FX74+FX71)</f>
        <v>0</v>
      </c>
      <c r="FY75" s="133">
        <f>SUM(FY74+FY71)</f>
        <v>0</v>
      </c>
      <c r="GA75" s="61"/>
    </row>
    <row r="76" spans="1:183" s="96" customFormat="1" ht="20.100000000000001" customHeight="1" thickBot="1" x14ac:dyDescent="0.25">
      <c r="A76" s="303">
        <v>0</v>
      </c>
      <c r="B76" s="306" t="s">
        <v>5</v>
      </c>
      <c r="C76" s="82" t="s">
        <v>20</v>
      </c>
      <c r="D76" s="83">
        <v>0</v>
      </c>
      <c r="E76" s="84">
        <v>0</v>
      </c>
      <c r="F76" s="84">
        <v>0</v>
      </c>
      <c r="G76" s="85">
        <v>0</v>
      </c>
      <c r="H76" s="86">
        <v>0</v>
      </c>
      <c r="I76" s="87">
        <f>SUM(D76:H76)</f>
        <v>0</v>
      </c>
      <c r="J76" s="88">
        <v>0</v>
      </c>
      <c r="K76" s="84">
        <v>0</v>
      </c>
      <c r="L76" s="89">
        <v>0</v>
      </c>
      <c r="M76" s="90">
        <f>SUM(J76:L76)</f>
        <v>0</v>
      </c>
      <c r="N76" s="91"/>
      <c r="O76" s="303">
        <v>0</v>
      </c>
      <c r="P76" s="306" t="s">
        <v>5</v>
      </c>
      <c r="Q76" s="82" t="s">
        <v>20</v>
      </c>
      <c r="R76" s="83">
        <v>0</v>
      </c>
      <c r="S76" s="84">
        <v>0</v>
      </c>
      <c r="T76" s="84">
        <v>0</v>
      </c>
      <c r="U76" s="85">
        <v>0</v>
      </c>
      <c r="V76" s="86">
        <v>0</v>
      </c>
      <c r="W76" s="87">
        <f>SUM(R76:V76)</f>
        <v>0</v>
      </c>
      <c r="X76" s="88">
        <v>0</v>
      </c>
      <c r="Y76" s="84">
        <v>0</v>
      </c>
      <c r="Z76" s="89">
        <v>0</v>
      </c>
      <c r="AA76" s="90">
        <f>SUM(X76:Z76)</f>
        <v>0</v>
      </c>
      <c r="AB76" s="91"/>
      <c r="AC76" s="303">
        <v>0</v>
      </c>
      <c r="AD76" s="306" t="s">
        <v>5</v>
      </c>
      <c r="AE76" s="82" t="s">
        <v>20</v>
      </c>
      <c r="AF76" s="83">
        <v>0</v>
      </c>
      <c r="AG76" s="84">
        <v>0</v>
      </c>
      <c r="AH76" s="84">
        <v>0</v>
      </c>
      <c r="AI76" s="85">
        <v>0</v>
      </c>
      <c r="AJ76" s="86">
        <v>0</v>
      </c>
      <c r="AK76" s="87">
        <f>SUM(AF76:AJ76)</f>
        <v>0</v>
      </c>
      <c r="AL76" s="88">
        <v>0</v>
      </c>
      <c r="AM76" s="84">
        <v>0</v>
      </c>
      <c r="AN76" s="89">
        <v>0</v>
      </c>
      <c r="AO76" s="90">
        <f>SUM(AL76:AN76)</f>
        <v>0</v>
      </c>
      <c r="AP76" s="91"/>
      <c r="AQ76" s="303">
        <v>0</v>
      </c>
      <c r="AR76" s="306" t="s">
        <v>5</v>
      </c>
      <c r="AS76" s="82" t="s">
        <v>20</v>
      </c>
      <c r="AT76" s="83">
        <v>0</v>
      </c>
      <c r="AU76" s="84">
        <v>0</v>
      </c>
      <c r="AV76" s="84">
        <v>0</v>
      </c>
      <c r="AW76" s="85">
        <v>0</v>
      </c>
      <c r="AX76" s="86">
        <v>0</v>
      </c>
      <c r="AY76" s="87">
        <f>SUM(AT76:AX76)</f>
        <v>0</v>
      </c>
      <c r="AZ76" s="88">
        <v>0</v>
      </c>
      <c r="BA76" s="84">
        <v>0</v>
      </c>
      <c r="BB76" s="89">
        <v>0</v>
      </c>
      <c r="BC76" s="90">
        <f>SUM(AZ76:BB76)</f>
        <v>0</v>
      </c>
      <c r="BD76" s="91"/>
      <c r="BE76" s="303">
        <v>0</v>
      </c>
      <c r="BF76" s="306" t="s">
        <v>5</v>
      </c>
      <c r="BG76" s="82" t="s">
        <v>20</v>
      </c>
      <c r="BH76" s="83">
        <v>0</v>
      </c>
      <c r="BI76" s="84">
        <v>0</v>
      </c>
      <c r="BJ76" s="84">
        <v>0</v>
      </c>
      <c r="BK76" s="85">
        <v>0</v>
      </c>
      <c r="BL76" s="86">
        <v>0</v>
      </c>
      <c r="BM76" s="87">
        <f>SUM(BH76:BL76)</f>
        <v>0</v>
      </c>
      <c r="BN76" s="88">
        <v>0</v>
      </c>
      <c r="BO76" s="84">
        <v>0</v>
      </c>
      <c r="BP76" s="89">
        <v>0</v>
      </c>
      <c r="BQ76" s="90">
        <f>SUM(BN76:BP76)</f>
        <v>0</v>
      </c>
      <c r="BR76" s="91"/>
      <c r="BS76" s="303">
        <v>0</v>
      </c>
      <c r="BT76" s="306" t="s">
        <v>5</v>
      </c>
      <c r="BU76" s="82" t="s">
        <v>20</v>
      </c>
      <c r="BV76" s="83">
        <v>0</v>
      </c>
      <c r="BW76" s="84">
        <v>0</v>
      </c>
      <c r="BX76" s="84">
        <v>0</v>
      </c>
      <c r="BY76" s="85">
        <v>0</v>
      </c>
      <c r="BZ76" s="86">
        <v>0</v>
      </c>
      <c r="CA76" s="87">
        <f>SUM(BV76:BZ76)</f>
        <v>0</v>
      </c>
      <c r="CB76" s="88">
        <v>0</v>
      </c>
      <c r="CC76" s="84">
        <v>0</v>
      </c>
      <c r="CD76" s="89">
        <v>0</v>
      </c>
      <c r="CE76" s="90">
        <f>SUM(CB76:CD76)</f>
        <v>0</v>
      </c>
      <c r="CF76" s="91"/>
      <c r="CG76" s="303">
        <v>0</v>
      </c>
      <c r="CH76" s="306" t="s">
        <v>5</v>
      </c>
      <c r="CI76" s="82" t="s">
        <v>20</v>
      </c>
      <c r="CJ76" s="83">
        <v>0</v>
      </c>
      <c r="CK76" s="84">
        <v>0</v>
      </c>
      <c r="CL76" s="84">
        <v>0</v>
      </c>
      <c r="CM76" s="85">
        <v>0</v>
      </c>
      <c r="CN76" s="86">
        <v>0</v>
      </c>
      <c r="CO76" s="87">
        <f>SUM(CJ76:CN76)</f>
        <v>0</v>
      </c>
      <c r="CP76" s="88">
        <v>0</v>
      </c>
      <c r="CQ76" s="84">
        <v>0</v>
      </c>
      <c r="CR76" s="89">
        <v>0</v>
      </c>
      <c r="CS76" s="90">
        <f>SUM(CP76:CR76)</f>
        <v>0</v>
      </c>
      <c r="CT76" s="91"/>
      <c r="CU76" s="303">
        <v>0</v>
      </c>
      <c r="CV76" s="306" t="s">
        <v>5</v>
      </c>
      <c r="CW76" s="82" t="s">
        <v>20</v>
      </c>
      <c r="CX76" s="285">
        <v>0</v>
      </c>
      <c r="CY76" s="253">
        <v>0</v>
      </c>
      <c r="CZ76" s="253">
        <v>0</v>
      </c>
      <c r="DA76" s="286">
        <v>0</v>
      </c>
      <c r="DB76" s="287">
        <v>0</v>
      </c>
      <c r="DC76" s="251">
        <f t="shared" ref="DC76:DC77" si="491">SUM(CX76:DB76)</f>
        <v>0</v>
      </c>
      <c r="DD76" s="252">
        <v>0</v>
      </c>
      <c r="DE76" s="253">
        <v>0</v>
      </c>
      <c r="DF76" s="254">
        <v>0</v>
      </c>
      <c r="DG76" s="90">
        <f>SUM(DD76:DF76)</f>
        <v>0</v>
      </c>
      <c r="DH76" s="91"/>
      <c r="DI76" s="303">
        <v>0</v>
      </c>
      <c r="DJ76" s="306" t="s">
        <v>5</v>
      </c>
      <c r="DK76" s="82" t="s">
        <v>20</v>
      </c>
      <c r="DL76" s="83">
        <v>0</v>
      </c>
      <c r="DM76" s="84">
        <v>0</v>
      </c>
      <c r="DN76" s="84">
        <v>0</v>
      </c>
      <c r="DO76" s="85">
        <v>0</v>
      </c>
      <c r="DP76" s="86">
        <v>0</v>
      </c>
      <c r="DQ76" s="87">
        <f>SUM(DL76:DP76)</f>
        <v>0</v>
      </c>
      <c r="DR76" s="88">
        <v>0</v>
      </c>
      <c r="DS76" s="84">
        <v>0</v>
      </c>
      <c r="DT76" s="89">
        <v>0</v>
      </c>
      <c r="DU76" s="90">
        <f>SUM(DR76:DT76)</f>
        <v>0</v>
      </c>
      <c r="DV76" s="91"/>
      <c r="DW76" s="303">
        <v>0</v>
      </c>
      <c r="DX76" s="306" t="s">
        <v>5</v>
      </c>
      <c r="DY76" s="82" t="s">
        <v>20</v>
      </c>
      <c r="DZ76" s="83">
        <v>0</v>
      </c>
      <c r="EA76" s="84">
        <v>0</v>
      </c>
      <c r="EB76" s="84">
        <v>0</v>
      </c>
      <c r="EC76" s="85">
        <v>0</v>
      </c>
      <c r="ED76" s="86">
        <v>0</v>
      </c>
      <c r="EE76" s="87">
        <f>SUM(DZ76:ED76)</f>
        <v>0</v>
      </c>
      <c r="EF76" s="88">
        <v>0</v>
      </c>
      <c r="EG76" s="84">
        <v>0</v>
      </c>
      <c r="EH76" s="89">
        <v>0</v>
      </c>
      <c r="EI76" s="90">
        <f>SUM(EF76:EH76)</f>
        <v>0</v>
      </c>
      <c r="EJ76" s="91"/>
      <c r="EK76" s="303">
        <v>0</v>
      </c>
      <c r="EL76" s="306" t="s">
        <v>5</v>
      </c>
      <c r="EM76" s="82" t="s">
        <v>20</v>
      </c>
      <c r="EN76" s="83">
        <v>0</v>
      </c>
      <c r="EO76" s="84">
        <v>0</v>
      </c>
      <c r="EP76" s="84">
        <v>0</v>
      </c>
      <c r="EQ76" s="85">
        <v>0</v>
      </c>
      <c r="ER76" s="86">
        <v>0</v>
      </c>
      <c r="ES76" s="87">
        <f>SUM(EN76:ER76)</f>
        <v>0</v>
      </c>
      <c r="ET76" s="88">
        <v>0</v>
      </c>
      <c r="EU76" s="84">
        <v>0</v>
      </c>
      <c r="EV76" s="89">
        <v>0</v>
      </c>
      <c r="EW76" s="90">
        <f>SUM(ET76:EV76)</f>
        <v>0</v>
      </c>
      <c r="EX76" s="91"/>
      <c r="EY76" s="303">
        <v>0</v>
      </c>
      <c r="EZ76" s="306" t="s">
        <v>5</v>
      </c>
      <c r="FA76" s="82" t="s">
        <v>20</v>
      </c>
      <c r="FB76" s="83">
        <v>0</v>
      </c>
      <c r="FC76" s="84">
        <v>0</v>
      </c>
      <c r="FD76" s="84">
        <v>0</v>
      </c>
      <c r="FE76" s="85">
        <v>0</v>
      </c>
      <c r="FF76" s="86">
        <v>0</v>
      </c>
      <c r="FG76" s="87">
        <f>SUM(FB76:FF76)</f>
        <v>0</v>
      </c>
      <c r="FH76" s="88">
        <v>0</v>
      </c>
      <c r="FI76" s="84">
        <v>0</v>
      </c>
      <c r="FJ76" s="89">
        <v>0</v>
      </c>
      <c r="FK76" s="90">
        <f>SUM(FH76:FJ76)</f>
        <v>0</v>
      </c>
      <c r="FL76" s="147"/>
      <c r="FM76" s="303">
        <f>EY76</f>
        <v>0</v>
      </c>
      <c r="FN76" s="306" t="s">
        <v>5</v>
      </c>
      <c r="FO76" s="82" t="s">
        <v>20</v>
      </c>
      <c r="FP76" s="83">
        <f t="shared" ref="FP76:FP77" si="492">SUM(D76+R76+AF76+AT76+BH76+BV76+CJ76+CX76+DL76+DZ76+EN76+FB76)</f>
        <v>0</v>
      </c>
      <c r="FQ76" s="83">
        <f t="shared" ref="FQ76:FQ77" si="493">SUM(E76+S76+AG76+AU76+BI76+BW76+CK76+CY76+DM76+EA76+EO76+FC76)</f>
        <v>0</v>
      </c>
      <c r="FR76" s="83">
        <f t="shared" ref="FR76:FR77" si="494">SUM(F76+T76+AH76+AV76+BJ76+BX76+CL76+CZ76+DN76+EB76+EP76+FD76)</f>
        <v>0</v>
      </c>
      <c r="FS76" s="149">
        <f t="shared" ref="FS76:FS77" si="495">SUM(G76+U76+AI76+AW76+BK76+BY76+CM76+DA76+DO76+EC76+EQ76+FE76)</f>
        <v>0</v>
      </c>
      <c r="FT76" s="83">
        <f t="shared" ref="FT76:FT77" si="496">SUM(H76+V76+AJ76+AX76+BL76+BZ76+CN76+DB76+DP76+ED76+ER76+FF76)</f>
        <v>0</v>
      </c>
      <c r="FU76" s="93">
        <f>SUM(FP76:FT76)</f>
        <v>0</v>
      </c>
      <c r="FV76" s="88">
        <f t="shared" ref="FV76:FV77" si="497">SUM(J76+X76+AL76+AZ76+BN76+CB76+CP76+DD76+DR76+EF76+ET76+FH76)</f>
        <v>0</v>
      </c>
      <c r="FW76" s="88">
        <f t="shared" ref="FW76:FW77" si="498">SUM(K76+Y76+AM76+BA76+BO76+CC76+CQ76+DE76+DS76+EG76+EU76+FI76)</f>
        <v>0</v>
      </c>
      <c r="FX76" s="88">
        <f t="shared" ref="FX76:FX77" si="499">SUM(L76+Z76+AN76+BB76+BP76+CD76+CR76+DF76+DT76+EH76+EV76+FJ76)</f>
        <v>0</v>
      </c>
      <c r="FY76" s="94">
        <f>SUM(FV76:FX76)</f>
        <v>0</v>
      </c>
      <c r="FZ76" s="95"/>
      <c r="GA76" s="91"/>
    </row>
    <row r="77" spans="1:183" s="96" customFormat="1" ht="20.100000000000001" customHeight="1" thickBot="1" x14ac:dyDescent="0.25">
      <c r="A77" s="304"/>
      <c r="B77" s="307"/>
      <c r="C77" s="97" t="s">
        <v>21</v>
      </c>
      <c r="D77" s="98">
        <v>0</v>
      </c>
      <c r="E77" s="99">
        <v>0</v>
      </c>
      <c r="F77" s="99">
        <v>0</v>
      </c>
      <c r="G77" s="99">
        <v>0</v>
      </c>
      <c r="H77" s="100">
        <v>0</v>
      </c>
      <c r="I77" s="101">
        <f>SUM(D77:H77)</f>
        <v>0</v>
      </c>
      <c r="J77" s="102">
        <v>0</v>
      </c>
      <c r="K77" s="99">
        <v>0</v>
      </c>
      <c r="L77" s="103">
        <v>0</v>
      </c>
      <c r="M77" s="104">
        <f>SUM(J77:L77)</f>
        <v>0</v>
      </c>
      <c r="N77" s="91"/>
      <c r="O77" s="304"/>
      <c r="P77" s="307"/>
      <c r="Q77" s="97" t="s">
        <v>21</v>
      </c>
      <c r="R77" s="98">
        <v>0</v>
      </c>
      <c r="S77" s="99">
        <v>0</v>
      </c>
      <c r="T77" s="99">
        <v>0</v>
      </c>
      <c r="U77" s="99">
        <v>0</v>
      </c>
      <c r="V77" s="100">
        <v>0</v>
      </c>
      <c r="W77" s="101">
        <f>SUM(R77:V77)</f>
        <v>0</v>
      </c>
      <c r="X77" s="102">
        <v>0</v>
      </c>
      <c r="Y77" s="99">
        <v>0</v>
      </c>
      <c r="Z77" s="103">
        <v>0</v>
      </c>
      <c r="AA77" s="104">
        <f>SUM(X77:Z77)</f>
        <v>0</v>
      </c>
      <c r="AB77" s="91"/>
      <c r="AC77" s="304"/>
      <c r="AD77" s="307"/>
      <c r="AE77" s="97" t="s">
        <v>21</v>
      </c>
      <c r="AF77" s="98">
        <v>0</v>
      </c>
      <c r="AG77" s="99">
        <v>0</v>
      </c>
      <c r="AH77" s="99">
        <v>0</v>
      </c>
      <c r="AI77" s="99">
        <v>0</v>
      </c>
      <c r="AJ77" s="100">
        <v>0</v>
      </c>
      <c r="AK77" s="101">
        <f>SUM(AF77:AJ77)</f>
        <v>0</v>
      </c>
      <c r="AL77" s="102">
        <v>0</v>
      </c>
      <c r="AM77" s="99">
        <v>0</v>
      </c>
      <c r="AN77" s="103">
        <v>0</v>
      </c>
      <c r="AO77" s="104">
        <f>SUM(AL77:AN77)</f>
        <v>0</v>
      </c>
      <c r="AP77" s="91"/>
      <c r="AQ77" s="304"/>
      <c r="AR77" s="307"/>
      <c r="AS77" s="97" t="s">
        <v>21</v>
      </c>
      <c r="AT77" s="98">
        <v>0</v>
      </c>
      <c r="AU77" s="99">
        <v>0</v>
      </c>
      <c r="AV77" s="99">
        <v>0</v>
      </c>
      <c r="AW77" s="99">
        <v>0</v>
      </c>
      <c r="AX77" s="100">
        <v>0</v>
      </c>
      <c r="AY77" s="101">
        <f>SUM(AT77:AX77)</f>
        <v>0</v>
      </c>
      <c r="AZ77" s="102">
        <v>0</v>
      </c>
      <c r="BA77" s="99">
        <v>0</v>
      </c>
      <c r="BB77" s="103">
        <v>0</v>
      </c>
      <c r="BC77" s="104">
        <f>SUM(AZ77:BB77)</f>
        <v>0</v>
      </c>
      <c r="BD77" s="91"/>
      <c r="BE77" s="304"/>
      <c r="BF77" s="307"/>
      <c r="BG77" s="97" t="s">
        <v>21</v>
      </c>
      <c r="BH77" s="98">
        <v>0</v>
      </c>
      <c r="BI77" s="99">
        <v>0</v>
      </c>
      <c r="BJ77" s="99">
        <v>0</v>
      </c>
      <c r="BK77" s="99">
        <v>0</v>
      </c>
      <c r="BL77" s="100">
        <v>0</v>
      </c>
      <c r="BM77" s="101">
        <f>SUM(BH77:BL77)</f>
        <v>0</v>
      </c>
      <c r="BN77" s="102">
        <v>0</v>
      </c>
      <c r="BO77" s="99">
        <v>0</v>
      </c>
      <c r="BP77" s="103">
        <v>0</v>
      </c>
      <c r="BQ77" s="104">
        <f>SUM(BN77:BP77)</f>
        <v>0</v>
      </c>
      <c r="BR77" s="91"/>
      <c r="BS77" s="304"/>
      <c r="BT77" s="307"/>
      <c r="BU77" s="97" t="s">
        <v>21</v>
      </c>
      <c r="BV77" s="98">
        <v>0</v>
      </c>
      <c r="BW77" s="99">
        <v>0</v>
      </c>
      <c r="BX77" s="99">
        <v>0</v>
      </c>
      <c r="BY77" s="99">
        <v>0</v>
      </c>
      <c r="BZ77" s="100">
        <v>0</v>
      </c>
      <c r="CA77" s="101">
        <f>SUM(BV77:BZ77)</f>
        <v>0</v>
      </c>
      <c r="CB77" s="102">
        <v>0</v>
      </c>
      <c r="CC77" s="99">
        <v>0</v>
      </c>
      <c r="CD77" s="103">
        <v>0</v>
      </c>
      <c r="CE77" s="104">
        <f>SUM(CB77:CD77)</f>
        <v>0</v>
      </c>
      <c r="CF77" s="91"/>
      <c r="CG77" s="304"/>
      <c r="CH77" s="307"/>
      <c r="CI77" s="97" t="s">
        <v>21</v>
      </c>
      <c r="CJ77" s="98">
        <v>0</v>
      </c>
      <c r="CK77" s="99">
        <v>0</v>
      </c>
      <c r="CL77" s="99">
        <v>0</v>
      </c>
      <c r="CM77" s="99">
        <v>0</v>
      </c>
      <c r="CN77" s="100">
        <v>0</v>
      </c>
      <c r="CO77" s="101">
        <f>SUM(CJ77:CN77)</f>
        <v>0</v>
      </c>
      <c r="CP77" s="102">
        <v>0</v>
      </c>
      <c r="CQ77" s="99">
        <v>0</v>
      </c>
      <c r="CR77" s="103">
        <v>0</v>
      </c>
      <c r="CS77" s="104">
        <f>SUM(CP77:CR77)</f>
        <v>0</v>
      </c>
      <c r="CT77" s="91"/>
      <c r="CU77" s="304"/>
      <c r="CV77" s="307"/>
      <c r="CW77" s="97" t="s">
        <v>21</v>
      </c>
      <c r="CX77" s="274">
        <v>0</v>
      </c>
      <c r="CY77" s="260">
        <v>0</v>
      </c>
      <c r="CZ77" s="260">
        <v>0</v>
      </c>
      <c r="DA77" s="260">
        <v>0</v>
      </c>
      <c r="DB77" s="275">
        <v>0</v>
      </c>
      <c r="DC77" s="258">
        <f t="shared" si="491"/>
        <v>0</v>
      </c>
      <c r="DD77" s="259">
        <v>0</v>
      </c>
      <c r="DE77" s="260">
        <v>0</v>
      </c>
      <c r="DF77" s="261">
        <v>0</v>
      </c>
      <c r="DG77" s="104">
        <f>SUM(DD77:DF77)</f>
        <v>0</v>
      </c>
      <c r="DH77" s="91"/>
      <c r="DI77" s="304"/>
      <c r="DJ77" s="307"/>
      <c r="DK77" s="97" t="s">
        <v>21</v>
      </c>
      <c r="DL77" s="98">
        <v>0</v>
      </c>
      <c r="DM77" s="99">
        <v>0</v>
      </c>
      <c r="DN77" s="99">
        <v>0</v>
      </c>
      <c r="DO77" s="99">
        <v>0</v>
      </c>
      <c r="DP77" s="100">
        <v>0</v>
      </c>
      <c r="DQ77" s="101">
        <f>SUM(DL77:DP77)</f>
        <v>0</v>
      </c>
      <c r="DR77" s="102">
        <v>0</v>
      </c>
      <c r="DS77" s="99">
        <v>0</v>
      </c>
      <c r="DT77" s="103">
        <v>0</v>
      </c>
      <c r="DU77" s="104">
        <f>SUM(DR77:DT77)</f>
        <v>0</v>
      </c>
      <c r="DV77" s="91"/>
      <c r="DW77" s="304"/>
      <c r="DX77" s="307"/>
      <c r="DY77" s="97" t="s">
        <v>21</v>
      </c>
      <c r="DZ77" s="98">
        <v>0</v>
      </c>
      <c r="EA77" s="99">
        <v>0</v>
      </c>
      <c r="EB77" s="99">
        <v>0</v>
      </c>
      <c r="EC77" s="99">
        <v>0</v>
      </c>
      <c r="ED77" s="100">
        <v>0</v>
      </c>
      <c r="EE77" s="101">
        <f>SUM(DZ77:ED77)</f>
        <v>0</v>
      </c>
      <c r="EF77" s="102">
        <v>0</v>
      </c>
      <c r="EG77" s="99">
        <v>0</v>
      </c>
      <c r="EH77" s="103">
        <v>0</v>
      </c>
      <c r="EI77" s="104">
        <f>SUM(EF77:EH77)</f>
        <v>0</v>
      </c>
      <c r="EJ77" s="91"/>
      <c r="EK77" s="304"/>
      <c r="EL77" s="307"/>
      <c r="EM77" s="97" t="s">
        <v>21</v>
      </c>
      <c r="EN77" s="98">
        <v>0</v>
      </c>
      <c r="EO77" s="99">
        <v>0</v>
      </c>
      <c r="EP77" s="99">
        <v>0</v>
      </c>
      <c r="EQ77" s="99">
        <v>0</v>
      </c>
      <c r="ER77" s="100">
        <v>0</v>
      </c>
      <c r="ES77" s="101">
        <f>SUM(EN77:ER77)</f>
        <v>0</v>
      </c>
      <c r="ET77" s="102">
        <v>0</v>
      </c>
      <c r="EU77" s="99">
        <v>0</v>
      </c>
      <c r="EV77" s="103">
        <v>0</v>
      </c>
      <c r="EW77" s="104">
        <f>SUM(ET77:EV77)</f>
        <v>0</v>
      </c>
      <c r="EX77" s="91"/>
      <c r="EY77" s="304"/>
      <c r="EZ77" s="307"/>
      <c r="FA77" s="97" t="s">
        <v>21</v>
      </c>
      <c r="FB77" s="98">
        <v>0</v>
      </c>
      <c r="FC77" s="99">
        <v>0</v>
      </c>
      <c r="FD77" s="99">
        <v>0</v>
      </c>
      <c r="FE77" s="99">
        <v>0</v>
      </c>
      <c r="FF77" s="100">
        <v>0</v>
      </c>
      <c r="FG77" s="101">
        <f>SUM(FB77:FF77)</f>
        <v>0</v>
      </c>
      <c r="FH77" s="102">
        <v>0</v>
      </c>
      <c r="FI77" s="99">
        <v>0</v>
      </c>
      <c r="FJ77" s="103">
        <v>0</v>
      </c>
      <c r="FK77" s="104">
        <f>SUM(FH77:FJ77)</f>
        <v>0</v>
      </c>
      <c r="FL77" s="147"/>
      <c r="FM77" s="304"/>
      <c r="FN77" s="307"/>
      <c r="FO77" s="97" t="s">
        <v>21</v>
      </c>
      <c r="FP77" s="83">
        <f t="shared" si="492"/>
        <v>0</v>
      </c>
      <c r="FQ77" s="83">
        <f t="shared" si="493"/>
        <v>0</v>
      </c>
      <c r="FR77" s="83">
        <f t="shared" si="494"/>
        <v>0</v>
      </c>
      <c r="FS77" s="83">
        <f t="shared" si="495"/>
        <v>0</v>
      </c>
      <c r="FT77" s="83">
        <f t="shared" si="496"/>
        <v>0</v>
      </c>
      <c r="FU77" s="101">
        <f>SUM(FP77:FT77)</f>
        <v>0</v>
      </c>
      <c r="FV77" s="88">
        <f t="shared" si="497"/>
        <v>0</v>
      </c>
      <c r="FW77" s="88">
        <f t="shared" si="498"/>
        <v>0</v>
      </c>
      <c r="FX77" s="88">
        <f t="shared" si="499"/>
        <v>0</v>
      </c>
      <c r="FY77" s="106">
        <f>SUM(FV77:FX77)</f>
        <v>0</v>
      </c>
      <c r="FZ77" s="95"/>
      <c r="GA77" s="91"/>
    </row>
    <row r="78" spans="1:183" s="96" customFormat="1" ht="20.100000000000001" customHeight="1" thickBot="1" x14ac:dyDescent="0.25">
      <c r="A78" s="304"/>
      <c r="B78" s="308" t="s">
        <v>22</v>
      </c>
      <c r="C78" s="311"/>
      <c r="D78" s="107">
        <f t="shared" ref="D78:L78" si="500">SUM(D76:D77)</f>
        <v>0</v>
      </c>
      <c r="E78" s="108">
        <f t="shared" si="500"/>
        <v>0</v>
      </c>
      <c r="F78" s="108">
        <f t="shared" si="500"/>
        <v>0</v>
      </c>
      <c r="G78" s="108">
        <f t="shared" si="500"/>
        <v>0</v>
      </c>
      <c r="H78" s="109">
        <f t="shared" si="500"/>
        <v>0</v>
      </c>
      <c r="I78" s="110">
        <f t="shared" si="500"/>
        <v>0</v>
      </c>
      <c r="J78" s="111">
        <f t="shared" si="500"/>
        <v>0</v>
      </c>
      <c r="K78" s="108">
        <f t="shared" si="500"/>
        <v>0</v>
      </c>
      <c r="L78" s="109">
        <f t="shared" si="500"/>
        <v>0</v>
      </c>
      <c r="M78" s="112">
        <f t="shared" ref="M78" si="501">SUM(M76:M77)</f>
        <v>0</v>
      </c>
      <c r="N78" s="91"/>
      <c r="O78" s="304"/>
      <c r="P78" s="308" t="s">
        <v>22</v>
      </c>
      <c r="Q78" s="311"/>
      <c r="R78" s="107">
        <f t="shared" ref="R78:AA78" si="502">SUM(R76:R77)</f>
        <v>0</v>
      </c>
      <c r="S78" s="108">
        <f t="shared" si="502"/>
        <v>0</v>
      </c>
      <c r="T78" s="108">
        <f t="shared" si="502"/>
        <v>0</v>
      </c>
      <c r="U78" s="108">
        <f t="shared" si="502"/>
        <v>0</v>
      </c>
      <c r="V78" s="109">
        <f t="shared" si="502"/>
        <v>0</v>
      </c>
      <c r="W78" s="110">
        <f t="shared" si="502"/>
        <v>0</v>
      </c>
      <c r="X78" s="111">
        <f t="shared" si="502"/>
        <v>0</v>
      </c>
      <c r="Y78" s="108">
        <f t="shared" si="502"/>
        <v>0</v>
      </c>
      <c r="Z78" s="109">
        <f t="shared" si="502"/>
        <v>0</v>
      </c>
      <c r="AA78" s="112">
        <f t="shared" si="502"/>
        <v>0</v>
      </c>
      <c r="AB78" s="91"/>
      <c r="AC78" s="304"/>
      <c r="AD78" s="308" t="s">
        <v>22</v>
      </c>
      <c r="AE78" s="311"/>
      <c r="AF78" s="107">
        <f t="shared" ref="AF78:AO78" si="503">SUM(AF76:AF77)</f>
        <v>0</v>
      </c>
      <c r="AG78" s="108">
        <f t="shared" si="503"/>
        <v>0</v>
      </c>
      <c r="AH78" s="108">
        <f t="shared" si="503"/>
        <v>0</v>
      </c>
      <c r="AI78" s="108">
        <f t="shared" si="503"/>
        <v>0</v>
      </c>
      <c r="AJ78" s="109">
        <f t="shared" si="503"/>
        <v>0</v>
      </c>
      <c r="AK78" s="110">
        <f t="shared" si="503"/>
        <v>0</v>
      </c>
      <c r="AL78" s="111">
        <f t="shared" si="503"/>
        <v>0</v>
      </c>
      <c r="AM78" s="108">
        <f t="shared" si="503"/>
        <v>0</v>
      </c>
      <c r="AN78" s="109">
        <f t="shared" si="503"/>
        <v>0</v>
      </c>
      <c r="AO78" s="112">
        <f t="shared" si="503"/>
        <v>0</v>
      </c>
      <c r="AP78" s="91"/>
      <c r="AQ78" s="304"/>
      <c r="AR78" s="308" t="s">
        <v>22</v>
      </c>
      <c r="AS78" s="311"/>
      <c r="AT78" s="107">
        <f t="shared" ref="AT78:BC78" si="504">SUM(AT76:AT77)</f>
        <v>0</v>
      </c>
      <c r="AU78" s="108">
        <f t="shared" si="504"/>
        <v>0</v>
      </c>
      <c r="AV78" s="108">
        <f t="shared" si="504"/>
        <v>0</v>
      </c>
      <c r="AW78" s="108">
        <f t="shared" si="504"/>
        <v>0</v>
      </c>
      <c r="AX78" s="109">
        <f t="shared" si="504"/>
        <v>0</v>
      </c>
      <c r="AY78" s="110">
        <f t="shared" si="504"/>
        <v>0</v>
      </c>
      <c r="AZ78" s="111">
        <f t="shared" si="504"/>
        <v>0</v>
      </c>
      <c r="BA78" s="108">
        <f t="shared" si="504"/>
        <v>0</v>
      </c>
      <c r="BB78" s="109">
        <f t="shared" si="504"/>
        <v>0</v>
      </c>
      <c r="BC78" s="112">
        <f t="shared" si="504"/>
        <v>0</v>
      </c>
      <c r="BD78" s="91"/>
      <c r="BE78" s="304"/>
      <c r="BF78" s="308" t="s">
        <v>22</v>
      </c>
      <c r="BG78" s="311"/>
      <c r="BH78" s="107">
        <f t="shared" ref="BH78:BQ78" si="505">SUM(BH76:BH77)</f>
        <v>0</v>
      </c>
      <c r="BI78" s="108">
        <f t="shared" si="505"/>
        <v>0</v>
      </c>
      <c r="BJ78" s="108">
        <f t="shared" si="505"/>
        <v>0</v>
      </c>
      <c r="BK78" s="108">
        <f t="shared" si="505"/>
        <v>0</v>
      </c>
      <c r="BL78" s="109">
        <f t="shared" si="505"/>
        <v>0</v>
      </c>
      <c r="BM78" s="110">
        <f t="shared" si="505"/>
        <v>0</v>
      </c>
      <c r="BN78" s="111">
        <f t="shared" si="505"/>
        <v>0</v>
      </c>
      <c r="BO78" s="108">
        <f t="shared" si="505"/>
        <v>0</v>
      </c>
      <c r="BP78" s="109">
        <f t="shared" si="505"/>
        <v>0</v>
      </c>
      <c r="BQ78" s="112">
        <f t="shared" si="505"/>
        <v>0</v>
      </c>
      <c r="BR78" s="91"/>
      <c r="BS78" s="304"/>
      <c r="BT78" s="308" t="s">
        <v>22</v>
      </c>
      <c r="BU78" s="311"/>
      <c r="BV78" s="107">
        <f t="shared" ref="BV78:CE78" si="506">SUM(BV76:BV77)</f>
        <v>0</v>
      </c>
      <c r="BW78" s="108">
        <f t="shared" si="506"/>
        <v>0</v>
      </c>
      <c r="BX78" s="108">
        <f t="shared" si="506"/>
        <v>0</v>
      </c>
      <c r="BY78" s="108">
        <f t="shared" si="506"/>
        <v>0</v>
      </c>
      <c r="BZ78" s="109">
        <f t="shared" si="506"/>
        <v>0</v>
      </c>
      <c r="CA78" s="110">
        <f t="shared" si="506"/>
        <v>0</v>
      </c>
      <c r="CB78" s="111">
        <f t="shared" si="506"/>
        <v>0</v>
      </c>
      <c r="CC78" s="108">
        <f t="shared" si="506"/>
        <v>0</v>
      </c>
      <c r="CD78" s="109">
        <f t="shared" si="506"/>
        <v>0</v>
      </c>
      <c r="CE78" s="112">
        <f t="shared" si="506"/>
        <v>0</v>
      </c>
      <c r="CF78" s="91"/>
      <c r="CG78" s="304"/>
      <c r="CH78" s="308" t="s">
        <v>22</v>
      </c>
      <c r="CI78" s="311"/>
      <c r="CJ78" s="107">
        <f t="shared" ref="CJ78:CS78" si="507">SUM(CJ76:CJ77)</f>
        <v>0</v>
      </c>
      <c r="CK78" s="108">
        <f t="shared" si="507"/>
        <v>0</v>
      </c>
      <c r="CL78" s="108">
        <f t="shared" si="507"/>
        <v>0</v>
      </c>
      <c r="CM78" s="108">
        <f t="shared" si="507"/>
        <v>0</v>
      </c>
      <c r="CN78" s="109">
        <f t="shared" si="507"/>
        <v>0</v>
      </c>
      <c r="CO78" s="110">
        <f t="shared" si="507"/>
        <v>0</v>
      </c>
      <c r="CP78" s="111">
        <f t="shared" si="507"/>
        <v>0</v>
      </c>
      <c r="CQ78" s="108">
        <f t="shared" si="507"/>
        <v>0</v>
      </c>
      <c r="CR78" s="109">
        <f t="shared" si="507"/>
        <v>0</v>
      </c>
      <c r="CS78" s="112">
        <f t="shared" si="507"/>
        <v>0</v>
      </c>
      <c r="CT78" s="91"/>
      <c r="CU78" s="304"/>
      <c r="CV78" s="308" t="s">
        <v>22</v>
      </c>
      <c r="CW78" s="311"/>
      <c r="CX78" s="262">
        <f t="shared" ref="CX78:DF78" si="508">SUM(CX76:CX77)</f>
        <v>0</v>
      </c>
      <c r="CY78" s="263">
        <f t="shared" si="508"/>
        <v>0</v>
      </c>
      <c r="CZ78" s="263">
        <f t="shared" si="508"/>
        <v>0</v>
      </c>
      <c r="DA78" s="263">
        <f t="shared" si="508"/>
        <v>0</v>
      </c>
      <c r="DB78" s="264">
        <f t="shared" si="508"/>
        <v>0</v>
      </c>
      <c r="DC78" s="265">
        <f t="shared" si="508"/>
        <v>0</v>
      </c>
      <c r="DD78" s="266">
        <f t="shared" si="508"/>
        <v>0</v>
      </c>
      <c r="DE78" s="263">
        <f t="shared" si="508"/>
        <v>0</v>
      </c>
      <c r="DF78" s="264">
        <f t="shared" si="508"/>
        <v>0</v>
      </c>
      <c r="DG78" s="112">
        <f t="shared" ref="DG78" si="509">SUM(DG76:DG77)</f>
        <v>0</v>
      </c>
      <c r="DH78" s="91"/>
      <c r="DI78" s="304"/>
      <c r="DJ78" s="308" t="s">
        <v>22</v>
      </c>
      <c r="DK78" s="311"/>
      <c r="DL78" s="107">
        <f t="shared" ref="DL78:DU78" si="510">SUM(DL76:DL77)</f>
        <v>0</v>
      </c>
      <c r="DM78" s="108">
        <f t="shared" si="510"/>
        <v>0</v>
      </c>
      <c r="DN78" s="108">
        <f t="shared" si="510"/>
        <v>0</v>
      </c>
      <c r="DO78" s="108">
        <f t="shared" si="510"/>
        <v>0</v>
      </c>
      <c r="DP78" s="109">
        <f t="shared" si="510"/>
        <v>0</v>
      </c>
      <c r="DQ78" s="110">
        <f t="shared" si="510"/>
        <v>0</v>
      </c>
      <c r="DR78" s="111">
        <f t="shared" si="510"/>
        <v>0</v>
      </c>
      <c r="DS78" s="108">
        <f t="shared" si="510"/>
        <v>0</v>
      </c>
      <c r="DT78" s="109">
        <f t="shared" si="510"/>
        <v>0</v>
      </c>
      <c r="DU78" s="112">
        <f t="shared" si="510"/>
        <v>0</v>
      </c>
      <c r="DV78" s="91"/>
      <c r="DW78" s="304"/>
      <c r="DX78" s="308" t="s">
        <v>22</v>
      </c>
      <c r="DY78" s="311"/>
      <c r="DZ78" s="107">
        <f t="shared" ref="DZ78:EI78" si="511">SUM(DZ76:DZ77)</f>
        <v>0</v>
      </c>
      <c r="EA78" s="108">
        <f t="shared" si="511"/>
        <v>0</v>
      </c>
      <c r="EB78" s="108">
        <f t="shared" si="511"/>
        <v>0</v>
      </c>
      <c r="EC78" s="108">
        <f t="shared" si="511"/>
        <v>0</v>
      </c>
      <c r="ED78" s="109">
        <f t="shared" si="511"/>
        <v>0</v>
      </c>
      <c r="EE78" s="110">
        <f t="shared" si="511"/>
        <v>0</v>
      </c>
      <c r="EF78" s="111">
        <f t="shared" si="511"/>
        <v>0</v>
      </c>
      <c r="EG78" s="108">
        <f t="shared" si="511"/>
        <v>0</v>
      </c>
      <c r="EH78" s="109">
        <f t="shared" si="511"/>
        <v>0</v>
      </c>
      <c r="EI78" s="112">
        <f t="shared" si="511"/>
        <v>0</v>
      </c>
      <c r="EJ78" s="91"/>
      <c r="EK78" s="304"/>
      <c r="EL78" s="308" t="s">
        <v>22</v>
      </c>
      <c r="EM78" s="311"/>
      <c r="EN78" s="107">
        <f t="shared" ref="EN78:EW78" si="512">SUM(EN76:EN77)</f>
        <v>0</v>
      </c>
      <c r="EO78" s="108">
        <f t="shared" si="512"/>
        <v>0</v>
      </c>
      <c r="EP78" s="108">
        <f t="shared" si="512"/>
        <v>0</v>
      </c>
      <c r="EQ78" s="108">
        <f t="shared" si="512"/>
        <v>0</v>
      </c>
      <c r="ER78" s="109">
        <f t="shared" si="512"/>
        <v>0</v>
      </c>
      <c r="ES78" s="110">
        <f t="shared" si="512"/>
        <v>0</v>
      </c>
      <c r="ET78" s="111">
        <f t="shared" si="512"/>
        <v>0</v>
      </c>
      <c r="EU78" s="108">
        <f t="shared" si="512"/>
        <v>0</v>
      </c>
      <c r="EV78" s="109">
        <f t="shared" si="512"/>
        <v>0</v>
      </c>
      <c r="EW78" s="112">
        <f t="shared" si="512"/>
        <v>0</v>
      </c>
      <c r="EX78" s="91"/>
      <c r="EY78" s="304"/>
      <c r="EZ78" s="308" t="s">
        <v>22</v>
      </c>
      <c r="FA78" s="311"/>
      <c r="FB78" s="107">
        <f t="shared" ref="FB78:FK78" si="513">SUM(FB76:FB77)</f>
        <v>0</v>
      </c>
      <c r="FC78" s="108">
        <f t="shared" si="513"/>
        <v>0</v>
      </c>
      <c r="FD78" s="108">
        <f t="shared" si="513"/>
        <v>0</v>
      </c>
      <c r="FE78" s="108">
        <f t="shared" si="513"/>
        <v>0</v>
      </c>
      <c r="FF78" s="109">
        <f t="shared" si="513"/>
        <v>0</v>
      </c>
      <c r="FG78" s="110">
        <f t="shared" si="513"/>
        <v>0</v>
      </c>
      <c r="FH78" s="111">
        <f t="shared" si="513"/>
        <v>0</v>
      </c>
      <c r="FI78" s="108">
        <f t="shared" si="513"/>
        <v>0</v>
      </c>
      <c r="FJ78" s="109">
        <f t="shared" si="513"/>
        <v>0</v>
      </c>
      <c r="FK78" s="112">
        <f t="shared" si="513"/>
        <v>0</v>
      </c>
      <c r="FL78" s="147"/>
      <c r="FM78" s="304"/>
      <c r="FN78" s="308" t="s">
        <v>22</v>
      </c>
      <c r="FO78" s="311"/>
      <c r="FP78" s="107">
        <f t="shared" ref="FP78:FY78" si="514">SUM(FP76:FP77)</f>
        <v>0</v>
      </c>
      <c r="FQ78" s="108">
        <f t="shared" si="514"/>
        <v>0</v>
      </c>
      <c r="FR78" s="108">
        <f t="shared" si="514"/>
        <v>0</v>
      </c>
      <c r="FS78" s="108">
        <f t="shared" si="514"/>
        <v>0</v>
      </c>
      <c r="FT78" s="109">
        <f t="shared" si="514"/>
        <v>0</v>
      </c>
      <c r="FU78" s="113">
        <f t="shared" si="514"/>
        <v>0</v>
      </c>
      <c r="FV78" s="111">
        <f t="shared" si="514"/>
        <v>0</v>
      </c>
      <c r="FW78" s="108">
        <f t="shared" si="514"/>
        <v>0</v>
      </c>
      <c r="FX78" s="109">
        <f t="shared" si="514"/>
        <v>0</v>
      </c>
      <c r="FY78" s="114">
        <f t="shared" si="514"/>
        <v>0</v>
      </c>
      <c r="FZ78" s="95"/>
      <c r="GA78" s="91"/>
    </row>
    <row r="79" spans="1:183" s="96" customFormat="1" ht="20.100000000000001" customHeight="1" x14ac:dyDescent="0.2">
      <c r="A79" s="304"/>
      <c r="B79" s="300" t="s">
        <v>23</v>
      </c>
      <c r="C79" s="82" t="s">
        <v>20</v>
      </c>
      <c r="D79" s="115">
        <v>0</v>
      </c>
      <c r="E79" s="116">
        <v>0</v>
      </c>
      <c r="F79" s="116">
        <v>0</v>
      </c>
      <c r="G79" s="117">
        <v>0</v>
      </c>
      <c r="H79" s="118">
        <v>0</v>
      </c>
      <c r="I79" s="93">
        <f>SUM(D79:H79)</f>
        <v>0</v>
      </c>
      <c r="J79" s="119">
        <v>0</v>
      </c>
      <c r="K79" s="116">
        <v>0</v>
      </c>
      <c r="L79" s="120">
        <v>0</v>
      </c>
      <c r="M79" s="121">
        <f>SUM(J79:L79)</f>
        <v>0</v>
      </c>
      <c r="N79" s="91"/>
      <c r="O79" s="304"/>
      <c r="P79" s="300" t="s">
        <v>23</v>
      </c>
      <c r="Q79" s="82" t="s">
        <v>20</v>
      </c>
      <c r="R79" s="115">
        <v>0</v>
      </c>
      <c r="S79" s="116">
        <v>0</v>
      </c>
      <c r="T79" s="116">
        <v>0</v>
      </c>
      <c r="U79" s="117">
        <v>0</v>
      </c>
      <c r="V79" s="118">
        <v>0</v>
      </c>
      <c r="W79" s="93">
        <f>SUM(R79:V79)</f>
        <v>0</v>
      </c>
      <c r="X79" s="119">
        <v>0</v>
      </c>
      <c r="Y79" s="116">
        <v>0</v>
      </c>
      <c r="Z79" s="120">
        <v>0</v>
      </c>
      <c r="AA79" s="121">
        <f>SUM(X79:Z79)</f>
        <v>0</v>
      </c>
      <c r="AB79" s="91"/>
      <c r="AC79" s="304"/>
      <c r="AD79" s="300" t="s">
        <v>23</v>
      </c>
      <c r="AE79" s="82" t="s">
        <v>20</v>
      </c>
      <c r="AF79" s="115">
        <v>0</v>
      </c>
      <c r="AG79" s="116">
        <v>0</v>
      </c>
      <c r="AH79" s="116">
        <v>0</v>
      </c>
      <c r="AI79" s="117">
        <v>0</v>
      </c>
      <c r="AJ79" s="118">
        <v>0</v>
      </c>
      <c r="AK79" s="93">
        <f>SUM(AF79:AJ79)</f>
        <v>0</v>
      </c>
      <c r="AL79" s="119">
        <v>0</v>
      </c>
      <c r="AM79" s="116">
        <v>0</v>
      </c>
      <c r="AN79" s="120">
        <v>0</v>
      </c>
      <c r="AO79" s="121">
        <f>SUM(AL79:AN79)</f>
        <v>0</v>
      </c>
      <c r="AP79" s="91"/>
      <c r="AQ79" s="304"/>
      <c r="AR79" s="300" t="s">
        <v>23</v>
      </c>
      <c r="AS79" s="82" t="s">
        <v>20</v>
      </c>
      <c r="AT79" s="115">
        <v>0</v>
      </c>
      <c r="AU79" s="116">
        <v>0</v>
      </c>
      <c r="AV79" s="116">
        <v>0</v>
      </c>
      <c r="AW79" s="117">
        <v>0</v>
      </c>
      <c r="AX79" s="118">
        <v>0</v>
      </c>
      <c r="AY79" s="93">
        <f>SUM(AT79:AX79)</f>
        <v>0</v>
      </c>
      <c r="AZ79" s="119">
        <v>0</v>
      </c>
      <c r="BA79" s="116">
        <v>0</v>
      </c>
      <c r="BB79" s="120">
        <v>0</v>
      </c>
      <c r="BC79" s="121">
        <f>SUM(AZ79:BB79)</f>
        <v>0</v>
      </c>
      <c r="BD79" s="91"/>
      <c r="BE79" s="304"/>
      <c r="BF79" s="300" t="s">
        <v>23</v>
      </c>
      <c r="BG79" s="82" t="s">
        <v>20</v>
      </c>
      <c r="BH79" s="115">
        <v>0</v>
      </c>
      <c r="BI79" s="116">
        <v>0</v>
      </c>
      <c r="BJ79" s="116">
        <v>0</v>
      </c>
      <c r="BK79" s="117">
        <v>0</v>
      </c>
      <c r="BL79" s="118">
        <v>0</v>
      </c>
      <c r="BM79" s="93">
        <f>SUM(BH79:BL79)</f>
        <v>0</v>
      </c>
      <c r="BN79" s="119">
        <v>0</v>
      </c>
      <c r="BO79" s="116">
        <v>0</v>
      </c>
      <c r="BP79" s="120">
        <v>0</v>
      </c>
      <c r="BQ79" s="121">
        <f>SUM(BN79:BP79)</f>
        <v>0</v>
      </c>
      <c r="BR79" s="91"/>
      <c r="BS79" s="304"/>
      <c r="BT79" s="300" t="s">
        <v>23</v>
      </c>
      <c r="BU79" s="82" t="s">
        <v>20</v>
      </c>
      <c r="BV79" s="115">
        <v>0</v>
      </c>
      <c r="BW79" s="116">
        <v>0</v>
      </c>
      <c r="BX79" s="116">
        <v>0</v>
      </c>
      <c r="BY79" s="117">
        <v>0</v>
      </c>
      <c r="BZ79" s="118">
        <v>0</v>
      </c>
      <c r="CA79" s="93">
        <f>SUM(BV79:BZ79)</f>
        <v>0</v>
      </c>
      <c r="CB79" s="119">
        <v>0</v>
      </c>
      <c r="CC79" s="116">
        <v>0</v>
      </c>
      <c r="CD79" s="120">
        <v>0</v>
      </c>
      <c r="CE79" s="121">
        <f>SUM(CB79:CD79)</f>
        <v>0</v>
      </c>
      <c r="CF79" s="91"/>
      <c r="CG79" s="304"/>
      <c r="CH79" s="300" t="s">
        <v>23</v>
      </c>
      <c r="CI79" s="82" t="s">
        <v>20</v>
      </c>
      <c r="CJ79" s="115">
        <v>0</v>
      </c>
      <c r="CK79" s="116">
        <v>0</v>
      </c>
      <c r="CL79" s="116">
        <v>0</v>
      </c>
      <c r="CM79" s="117">
        <v>0</v>
      </c>
      <c r="CN79" s="118">
        <v>0</v>
      </c>
      <c r="CO79" s="93">
        <f>SUM(CJ79:CN79)</f>
        <v>0</v>
      </c>
      <c r="CP79" s="119">
        <v>0</v>
      </c>
      <c r="CQ79" s="116">
        <v>0</v>
      </c>
      <c r="CR79" s="120">
        <v>0</v>
      </c>
      <c r="CS79" s="121">
        <f>SUM(CP79:CR79)</f>
        <v>0</v>
      </c>
      <c r="CT79" s="91"/>
      <c r="CU79" s="304"/>
      <c r="CV79" s="300" t="s">
        <v>23</v>
      </c>
      <c r="CW79" s="82" t="s">
        <v>20</v>
      </c>
      <c r="CX79" s="267">
        <v>0</v>
      </c>
      <c r="CY79" s="268">
        <v>0</v>
      </c>
      <c r="CZ79" s="268">
        <v>0</v>
      </c>
      <c r="DA79" s="269">
        <v>0</v>
      </c>
      <c r="DB79" s="270">
        <v>0</v>
      </c>
      <c r="DC79" s="271">
        <f t="shared" ref="DC79:DC80" si="515">SUM(CX79:DB79)</f>
        <v>0</v>
      </c>
      <c r="DD79" s="272">
        <v>0</v>
      </c>
      <c r="DE79" s="268">
        <v>0</v>
      </c>
      <c r="DF79" s="273">
        <v>0</v>
      </c>
      <c r="DG79" s="121">
        <f>SUM(DD79:DF79)</f>
        <v>0</v>
      </c>
      <c r="DH79" s="91"/>
      <c r="DI79" s="304"/>
      <c r="DJ79" s="300" t="s">
        <v>23</v>
      </c>
      <c r="DK79" s="82" t="s">
        <v>20</v>
      </c>
      <c r="DL79" s="115">
        <v>0</v>
      </c>
      <c r="DM79" s="116">
        <v>0</v>
      </c>
      <c r="DN79" s="116">
        <v>0</v>
      </c>
      <c r="DO79" s="117">
        <v>0</v>
      </c>
      <c r="DP79" s="118">
        <v>0</v>
      </c>
      <c r="DQ79" s="93">
        <f>SUM(DL79:DP79)</f>
        <v>0</v>
      </c>
      <c r="DR79" s="119">
        <v>0</v>
      </c>
      <c r="DS79" s="116">
        <v>0</v>
      </c>
      <c r="DT79" s="120">
        <v>0</v>
      </c>
      <c r="DU79" s="121">
        <f>SUM(DR79:DT79)</f>
        <v>0</v>
      </c>
      <c r="DV79" s="91"/>
      <c r="DW79" s="304"/>
      <c r="DX79" s="300" t="s">
        <v>23</v>
      </c>
      <c r="DY79" s="82" t="s">
        <v>20</v>
      </c>
      <c r="DZ79" s="115">
        <v>0</v>
      </c>
      <c r="EA79" s="116">
        <v>0</v>
      </c>
      <c r="EB79" s="116">
        <v>0</v>
      </c>
      <c r="EC79" s="117">
        <v>0</v>
      </c>
      <c r="ED79" s="118">
        <v>0</v>
      </c>
      <c r="EE79" s="93">
        <f>SUM(DZ79:ED79)</f>
        <v>0</v>
      </c>
      <c r="EF79" s="119">
        <v>0</v>
      </c>
      <c r="EG79" s="116">
        <v>0</v>
      </c>
      <c r="EH79" s="120">
        <v>0</v>
      </c>
      <c r="EI79" s="121">
        <f>SUM(EF79:EH79)</f>
        <v>0</v>
      </c>
      <c r="EJ79" s="91"/>
      <c r="EK79" s="304"/>
      <c r="EL79" s="300" t="s">
        <v>23</v>
      </c>
      <c r="EM79" s="82" t="s">
        <v>20</v>
      </c>
      <c r="EN79" s="115">
        <v>0</v>
      </c>
      <c r="EO79" s="116">
        <v>0</v>
      </c>
      <c r="EP79" s="116">
        <v>0</v>
      </c>
      <c r="EQ79" s="117">
        <v>0</v>
      </c>
      <c r="ER79" s="118">
        <v>0</v>
      </c>
      <c r="ES79" s="93">
        <f>SUM(EN79:ER79)</f>
        <v>0</v>
      </c>
      <c r="ET79" s="119">
        <v>0</v>
      </c>
      <c r="EU79" s="116">
        <v>0</v>
      </c>
      <c r="EV79" s="120">
        <v>0</v>
      </c>
      <c r="EW79" s="121">
        <f>SUM(ET79:EV79)</f>
        <v>0</v>
      </c>
      <c r="EX79" s="91"/>
      <c r="EY79" s="304"/>
      <c r="EZ79" s="300" t="s">
        <v>23</v>
      </c>
      <c r="FA79" s="82" t="s">
        <v>20</v>
      </c>
      <c r="FB79" s="115">
        <v>0</v>
      </c>
      <c r="FC79" s="116">
        <v>0</v>
      </c>
      <c r="FD79" s="116">
        <v>0</v>
      </c>
      <c r="FE79" s="117">
        <v>0</v>
      </c>
      <c r="FF79" s="118">
        <v>0</v>
      </c>
      <c r="FG79" s="93">
        <f>SUM(FB79:FF79)</f>
        <v>0</v>
      </c>
      <c r="FH79" s="119">
        <v>0</v>
      </c>
      <c r="FI79" s="116">
        <v>0</v>
      </c>
      <c r="FJ79" s="120">
        <v>0</v>
      </c>
      <c r="FK79" s="121">
        <f>SUM(FH79:FJ79)</f>
        <v>0</v>
      </c>
      <c r="FL79" s="147"/>
      <c r="FM79" s="304"/>
      <c r="FN79" s="300" t="s">
        <v>23</v>
      </c>
      <c r="FO79" s="82" t="s">
        <v>20</v>
      </c>
      <c r="FP79" s="115">
        <f t="shared" ref="FP79:FP80" si="516">SUM(D79+R79+AF79+AT79+BH79+BV79+CJ79+CX79+DL79+DZ79+EN79+FB79)</f>
        <v>0</v>
      </c>
      <c r="FQ79" s="115">
        <f t="shared" ref="FQ79:FQ80" si="517">SUM(E79+S79+AG79+AU79+BI79+BW79+CK79+CY79+DM79+EA79+EO79+FC79)</f>
        <v>0</v>
      </c>
      <c r="FR79" s="115">
        <f t="shared" ref="FR79:FR80" si="518">SUM(F79+T79+AH79+AV79+BJ79+BX79+CL79+CZ79+DN79+EB79+EP79+FD79)</f>
        <v>0</v>
      </c>
      <c r="FS79" s="150">
        <f t="shared" ref="FS79:FS80" si="519">SUM(G79+U79+AI79+AW79+BK79+BY79+CM79+DA79+DO79+EC79+EQ79+FE79)</f>
        <v>0</v>
      </c>
      <c r="FT79" s="115">
        <f t="shared" ref="FT79:FT80" si="520">SUM(H79+V79+AJ79+AX79+BL79+BZ79+CN79+DB79+DP79+ED79+ER79+FF79)</f>
        <v>0</v>
      </c>
      <c r="FU79" s="93">
        <f>SUM(FP79:FT79)</f>
        <v>0</v>
      </c>
      <c r="FV79" s="119">
        <f t="shared" ref="FV79:FV80" si="521">SUM(J79+X79+AL79+AZ79+BN79+CB79+CP79+DD79+DR79+EF79+ET79+FH79)</f>
        <v>0</v>
      </c>
      <c r="FW79" s="119">
        <f t="shared" ref="FW79:FW80" si="522">SUM(K79+Y79+AM79+BA79+BO79+CC79+CQ79+DE79+DS79+EG79+EU79+FI79)</f>
        <v>0</v>
      </c>
      <c r="FX79" s="119">
        <f t="shared" ref="FX79:FX80" si="523">SUM(L79+Z79+AN79+BB79+BP79+CD79+CR79+DF79+DT79+EH79+EV79+FJ79)</f>
        <v>0</v>
      </c>
      <c r="FY79" s="122">
        <f>SUM(FV79:FX79)</f>
        <v>0</v>
      </c>
      <c r="FZ79" s="95"/>
      <c r="GA79" s="91"/>
    </row>
    <row r="80" spans="1:183" ht="20.100000000000001" customHeight="1" thickBot="1" x14ac:dyDescent="0.3">
      <c r="A80" s="304"/>
      <c r="B80" s="294"/>
      <c r="C80" s="97" t="s">
        <v>21</v>
      </c>
      <c r="D80" s="98">
        <v>0</v>
      </c>
      <c r="E80" s="99">
        <v>0</v>
      </c>
      <c r="F80" s="99">
        <v>0</v>
      </c>
      <c r="G80" s="99">
        <v>0</v>
      </c>
      <c r="H80" s="100">
        <v>0</v>
      </c>
      <c r="I80" s="101">
        <f>SUM(D80:H80)</f>
        <v>0</v>
      </c>
      <c r="J80" s="102">
        <v>0</v>
      </c>
      <c r="K80" s="99">
        <v>0</v>
      </c>
      <c r="L80" s="103">
        <v>0</v>
      </c>
      <c r="M80" s="104">
        <f>SUM(J80:L80)</f>
        <v>0</v>
      </c>
      <c r="N80" s="61"/>
      <c r="O80" s="304"/>
      <c r="P80" s="294"/>
      <c r="Q80" s="97" t="s">
        <v>21</v>
      </c>
      <c r="R80" s="98">
        <v>0</v>
      </c>
      <c r="S80" s="99">
        <v>0</v>
      </c>
      <c r="T80" s="99">
        <v>0</v>
      </c>
      <c r="U80" s="99">
        <v>0</v>
      </c>
      <c r="V80" s="100">
        <v>0</v>
      </c>
      <c r="W80" s="101">
        <f>SUM(R80:V80)</f>
        <v>0</v>
      </c>
      <c r="X80" s="102">
        <v>0</v>
      </c>
      <c r="Y80" s="99">
        <v>0</v>
      </c>
      <c r="Z80" s="103">
        <v>0</v>
      </c>
      <c r="AA80" s="104">
        <f>SUM(X80:Z80)</f>
        <v>0</v>
      </c>
      <c r="AB80" s="61"/>
      <c r="AC80" s="304"/>
      <c r="AD80" s="294"/>
      <c r="AE80" s="97" t="s">
        <v>21</v>
      </c>
      <c r="AF80" s="98">
        <v>0</v>
      </c>
      <c r="AG80" s="99">
        <v>0</v>
      </c>
      <c r="AH80" s="99">
        <v>0</v>
      </c>
      <c r="AI80" s="99">
        <v>0</v>
      </c>
      <c r="AJ80" s="100">
        <v>0</v>
      </c>
      <c r="AK80" s="101">
        <f>SUM(AF80:AJ80)</f>
        <v>0</v>
      </c>
      <c r="AL80" s="102">
        <v>0</v>
      </c>
      <c r="AM80" s="99">
        <v>0</v>
      </c>
      <c r="AN80" s="103">
        <v>0</v>
      </c>
      <c r="AO80" s="104">
        <f>SUM(AL80:AN80)</f>
        <v>0</v>
      </c>
      <c r="AP80" s="61"/>
      <c r="AQ80" s="304"/>
      <c r="AR80" s="294"/>
      <c r="AS80" s="97" t="s">
        <v>21</v>
      </c>
      <c r="AT80" s="98">
        <v>0</v>
      </c>
      <c r="AU80" s="99">
        <v>0</v>
      </c>
      <c r="AV80" s="99">
        <v>0</v>
      </c>
      <c r="AW80" s="99">
        <v>0</v>
      </c>
      <c r="AX80" s="100">
        <v>0</v>
      </c>
      <c r="AY80" s="101">
        <f>SUM(AT80:AX80)</f>
        <v>0</v>
      </c>
      <c r="AZ80" s="102">
        <v>0</v>
      </c>
      <c r="BA80" s="99">
        <v>0</v>
      </c>
      <c r="BB80" s="103">
        <v>0</v>
      </c>
      <c r="BC80" s="104">
        <f>SUM(AZ80:BB80)</f>
        <v>0</v>
      </c>
      <c r="BD80" s="61"/>
      <c r="BE80" s="304"/>
      <c r="BF80" s="294"/>
      <c r="BG80" s="97" t="s">
        <v>21</v>
      </c>
      <c r="BH80" s="98">
        <v>0</v>
      </c>
      <c r="BI80" s="99">
        <v>0</v>
      </c>
      <c r="BJ80" s="99">
        <v>0</v>
      </c>
      <c r="BK80" s="99">
        <v>0</v>
      </c>
      <c r="BL80" s="100">
        <v>0</v>
      </c>
      <c r="BM80" s="101">
        <f>SUM(BH80:BL80)</f>
        <v>0</v>
      </c>
      <c r="BN80" s="102">
        <v>0</v>
      </c>
      <c r="BO80" s="99">
        <v>0</v>
      </c>
      <c r="BP80" s="103">
        <v>0</v>
      </c>
      <c r="BQ80" s="104">
        <f>SUM(BN80:BP80)</f>
        <v>0</v>
      </c>
      <c r="BR80" s="61"/>
      <c r="BS80" s="304"/>
      <c r="BT80" s="294"/>
      <c r="BU80" s="97" t="s">
        <v>21</v>
      </c>
      <c r="BV80" s="98">
        <v>0</v>
      </c>
      <c r="BW80" s="99">
        <v>0</v>
      </c>
      <c r="BX80" s="99">
        <v>0</v>
      </c>
      <c r="BY80" s="99">
        <v>0</v>
      </c>
      <c r="BZ80" s="100">
        <v>0</v>
      </c>
      <c r="CA80" s="101">
        <f>SUM(BV80:BZ80)</f>
        <v>0</v>
      </c>
      <c r="CB80" s="102">
        <v>0</v>
      </c>
      <c r="CC80" s="99">
        <v>0</v>
      </c>
      <c r="CD80" s="103">
        <v>0</v>
      </c>
      <c r="CE80" s="104">
        <f>SUM(CB80:CD80)</f>
        <v>0</v>
      </c>
      <c r="CF80" s="61"/>
      <c r="CG80" s="304"/>
      <c r="CH80" s="294"/>
      <c r="CI80" s="97" t="s">
        <v>21</v>
      </c>
      <c r="CJ80" s="98">
        <v>0</v>
      </c>
      <c r="CK80" s="99">
        <v>0</v>
      </c>
      <c r="CL80" s="99">
        <v>0</v>
      </c>
      <c r="CM80" s="99">
        <v>0</v>
      </c>
      <c r="CN80" s="100">
        <v>0</v>
      </c>
      <c r="CO80" s="101">
        <f>SUM(CJ80:CN80)</f>
        <v>0</v>
      </c>
      <c r="CP80" s="102">
        <v>0</v>
      </c>
      <c r="CQ80" s="99">
        <v>0</v>
      </c>
      <c r="CR80" s="103">
        <v>0</v>
      </c>
      <c r="CS80" s="104">
        <f>SUM(CP80:CR80)</f>
        <v>0</v>
      </c>
      <c r="CT80" s="61"/>
      <c r="CU80" s="304"/>
      <c r="CV80" s="294"/>
      <c r="CW80" s="97" t="s">
        <v>21</v>
      </c>
      <c r="CX80" s="274">
        <v>0</v>
      </c>
      <c r="CY80" s="260">
        <v>0</v>
      </c>
      <c r="CZ80" s="260">
        <v>0</v>
      </c>
      <c r="DA80" s="260">
        <v>0</v>
      </c>
      <c r="DB80" s="275">
        <v>0</v>
      </c>
      <c r="DC80" s="258">
        <f t="shared" si="515"/>
        <v>0</v>
      </c>
      <c r="DD80" s="259">
        <v>0</v>
      </c>
      <c r="DE80" s="260">
        <v>0</v>
      </c>
      <c r="DF80" s="261">
        <v>0</v>
      </c>
      <c r="DG80" s="104">
        <f>SUM(DD80:DF80)</f>
        <v>0</v>
      </c>
      <c r="DH80" s="61"/>
      <c r="DI80" s="304"/>
      <c r="DJ80" s="294"/>
      <c r="DK80" s="97" t="s">
        <v>21</v>
      </c>
      <c r="DL80" s="98">
        <v>0</v>
      </c>
      <c r="DM80" s="99">
        <v>0</v>
      </c>
      <c r="DN80" s="99">
        <v>0</v>
      </c>
      <c r="DO80" s="99">
        <v>0</v>
      </c>
      <c r="DP80" s="100">
        <v>0</v>
      </c>
      <c r="DQ80" s="101">
        <f>SUM(DL80:DP80)</f>
        <v>0</v>
      </c>
      <c r="DR80" s="102">
        <v>0</v>
      </c>
      <c r="DS80" s="99">
        <v>0</v>
      </c>
      <c r="DT80" s="103">
        <v>0</v>
      </c>
      <c r="DU80" s="104">
        <f>SUM(DR80:DT80)</f>
        <v>0</v>
      </c>
      <c r="DV80" s="61"/>
      <c r="DW80" s="304"/>
      <c r="DX80" s="294"/>
      <c r="DY80" s="97" t="s">
        <v>21</v>
      </c>
      <c r="DZ80" s="98">
        <v>0</v>
      </c>
      <c r="EA80" s="99">
        <v>0</v>
      </c>
      <c r="EB80" s="99">
        <v>0</v>
      </c>
      <c r="EC80" s="99">
        <v>0</v>
      </c>
      <c r="ED80" s="100">
        <v>0</v>
      </c>
      <c r="EE80" s="101">
        <f>SUM(DZ80:ED80)</f>
        <v>0</v>
      </c>
      <c r="EF80" s="102">
        <v>0</v>
      </c>
      <c r="EG80" s="99">
        <v>0</v>
      </c>
      <c r="EH80" s="103">
        <v>0</v>
      </c>
      <c r="EI80" s="104">
        <f>SUM(EF80:EH80)</f>
        <v>0</v>
      </c>
      <c r="EJ80" s="61"/>
      <c r="EK80" s="304"/>
      <c r="EL80" s="294"/>
      <c r="EM80" s="97" t="s">
        <v>21</v>
      </c>
      <c r="EN80" s="98">
        <v>0</v>
      </c>
      <c r="EO80" s="99">
        <v>0</v>
      </c>
      <c r="EP80" s="99">
        <v>0</v>
      </c>
      <c r="EQ80" s="99">
        <v>0</v>
      </c>
      <c r="ER80" s="100">
        <v>0</v>
      </c>
      <c r="ES80" s="101">
        <f>SUM(EN80:ER80)</f>
        <v>0</v>
      </c>
      <c r="ET80" s="102">
        <v>0</v>
      </c>
      <c r="EU80" s="99">
        <v>0</v>
      </c>
      <c r="EV80" s="103">
        <v>0</v>
      </c>
      <c r="EW80" s="104">
        <f>SUM(ET80:EV80)</f>
        <v>0</v>
      </c>
      <c r="EX80" s="61"/>
      <c r="EY80" s="304"/>
      <c r="EZ80" s="294"/>
      <c r="FA80" s="97" t="s">
        <v>21</v>
      </c>
      <c r="FB80" s="98">
        <v>0</v>
      </c>
      <c r="FC80" s="99">
        <v>0</v>
      </c>
      <c r="FD80" s="99">
        <v>0</v>
      </c>
      <c r="FE80" s="99">
        <v>0</v>
      </c>
      <c r="FF80" s="100">
        <v>0</v>
      </c>
      <c r="FG80" s="101">
        <f>SUM(FB80:FF80)</f>
        <v>0</v>
      </c>
      <c r="FH80" s="102">
        <v>0</v>
      </c>
      <c r="FI80" s="99">
        <v>0</v>
      </c>
      <c r="FJ80" s="103">
        <v>0</v>
      </c>
      <c r="FK80" s="104">
        <f>SUM(FH80:FJ80)</f>
        <v>0</v>
      </c>
      <c r="FM80" s="304"/>
      <c r="FN80" s="294"/>
      <c r="FO80" s="97" t="s">
        <v>21</v>
      </c>
      <c r="FP80" s="115">
        <f t="shared" si="516"/>
        <v>0</v>
      </c>
      <c r="FQ80" s="115">
        <f t="shared" si="517"/>
        <v>0</v>
      </c>
      <c r="FR80" s="115">
        <f t="shared" si="518"/>
        <v>0</v>
      </c>
      <c r="FS80" s="115">
        <f t="shared" si="519"/>
        <v>0</v>
      </c>
      <c r="FT80" s="115">
        <f t="shared" si="520"/>
        <v>0</v>
      </c>
      <c r="FU80" s="101">
        <f>SUM(FP80:FT80)</f>
        <v>0</v>
      </c>
      <c r="FV80" s="119">
        <f t="shared" si="521"/>
        <v>0</v>
      </c>
      <c r="FW80" s="119">
        <f t="shared" si="522"/>
        <v>0</v>
      </c>
      <c r="FX80" s="119">
        <f t="shared" si="523"/>
        <v>0</v>
      </c>
      <c r="FY80" s="106">
        <f>SUM(FV80:FX80)</f>
        <v>0</v>
      </c>
      <c r="GA80" s="61"/>
    </row>
    <row r="81" spans="1:183" ht="20.100000000000001" customHeight="1" thickBot="1" x14ac:dyDescent="0.3">
      <c r="A81" s="305"/>
      <c r="B81" s="301" t="s">
        <v>24</v>
      </c>
      <c r="C81" s="310"/>
      <c r="D81" s="107">
        <f t="shared" ref="D81:M81" si="524">SUM(D79:D80)</f>
        <v>0</v>
      </c>
      <c r="E81" s="108">
        <f t="shared" si="524"/>
        <v>0</v>
      </c>
      <c r="F81" s="108">
        <f t="shared" si="524"/>
        <v>0</v>
      </c>
      <c r="G81" s="108">
        <f t="shared" si="524"/>
        <v>0</v>
      </c>
      <c r="H81" s="109">
        <f t="shared" si="524"/>
        <v>0</v>
      </c>
      <c r="I81" s="110">
        <f t="shared" si="524"/>
        <v>0</v>
      </c>
      <c r="J81" s="111">
        <f t="shared" si="524"/>
        <v>0</v>
      </c>
      <c r="K81" s="108">
        <f t="shared" si="524"/>
        <v>0</v>
      </c>
      <c r="L81" s="109">
        <f t="shared" si="524"/>
        <v>0</v>
      </c>
      <c r="M81" s="112">
        <f t="shared" si="524"/>
        <v>0</v>
      </c>
      <c r="N81" s="61"/>
      <c r="O81" s="305"/>
      <c r="P81" s="301" t="s">
        <v>24</v>
      </c>
      <c r="Q81" s="310"/>
      <c r="R81" s="107">
        <f t="shared" ref="R81:AA81" si="525">SUM(R79:R80)</f>
        <v>0</v>
      </c>
      <c r="S81" s="108">
        <f t="shared" si="525"/>
        <v>0</v>
      </c>
      <c r="T81" s="108">
        <f t="shared" si="525"/>
        <v>0</v>
      </c>
      <c r="U81" s="108">
        <f t="shared" si="525"/>
        <v>0</v>
      </c>
      <c r="V81" s="109">
        <f t="shared" si="525"/>
        <v>0</v>
      </c>
      <c r="W81" s="110">
        <f t="shared" si="525"/>
        <v>0</v>
      </c>
      <c r="X81" s="111">
        <f t="shared" si="525"/>
        <v>0</v>
      </c>
      <c r="Y81" s="108">
        <f t="shared" si="525"/>
        <v>0</v>
      </c>
      <c r="Z81" s="109">
        <f t="shared" si="525"/>
        <v>0</v>
      </c>
      <c r="AA81" s="112">
        <f t="shared" si="525"/>
        <v>0</v>
      </c>
      <c r="AB81" s="61"/>
      <c r="AC81" s="305"/>
      <c r="AD81" s="301" t="s">
        <v>24</v>
      </c>
      <c r="AE81" s="310"/>
      <c r="AF81" s="107">
        <f t="shared" ref="AF81:AO81" si="526">SUM(AF79:AF80)</f>
        <v>0</v>
      </c>
      <c r="AG81" s="108">
        <f t="shared" si="526"/>
        <v>0</v>
      </c>
      <c r="AH81" s="108">
        <f t="shared" si="526"/>
        <v>0</v>
      </c>
      <c r="AI81" s="108">
        <f t="shared" si="526"/>
        <v>0</v>
      </c>
      <c r="AJ81" s="109">
        <f t="shared" si="526"/>
        <v>0</v>
      </c>
      <c r="AK81" s="110">
        <f t="shared" si="526"/>
        <v>0</v>
      </c>
      <c r="AL81" s="111">
        <f t="shared" si="526"/>
        <v>0</v>
      </c>
      <c r="AM81" s="108">
        <f t="shared" si="526"/>
        <v>0</v>
      </c>
      <c r="AN81" s="109">
        <f t="shared" si="526"/>
        <v>0</v>
      </c>
      <c r="AO81" s="112">
        <f t="shared" si="526"/>
        <v>0</v>
      </c>
      <c r="AP81" s="61"/>
      <c r="AQ81" s="305"/>
      <c r="AR81" s="301" t="s">
        <v>24</v>
      </c>
      <c r="AS81" s="310"/>
      <c r="AT81" s="107">
        <f t="shared" ref="AT81:BC81" si="527">SUM(AT79:AT80)</f>
        <v>0</v>
      </c>
      <c r="AU81" s="108">
        <f t="shared" si="527"/>
        <v>0</v>
      </c>
      <c r="AV81" s="108">
        <f t="shared" si="527"/>
        <v>0</v>
      </c>
      <c r="AW81" s="108">
        <f t="shared" si="527"/>
        <v>0</v>
      </c>
      <c r="AX81" s="109">
        <f t="shared" si="527"/>
        <v>0</v>
      </c>
      <c r="AY81" s="110">
        <f t="shared" si="527"/>
        <v>0</v>
      </c>
      <c r="AZ81" s="111">
        <f t="shared" si="527"/>
        <v>0</v>
      </c>
      <c r="BA81" s="108">
        <f t="shared" si="527"/>
        <v>0</v>
      </c>
      <c r="BB81" s="109">
        <f t="shared" si="527"/>
        <v>0</v>
      </c>
      <c r="BC81" s="112">
        <f t="shared" si="527"/>
        <v>0</v>
      </c>
      <c r="BD81" s="61"/>
      <c r="BE81" s="305"/>
      <c r="BF81" s="301" t="s">
        <v>24</v>
      </c>
      <c r="BG81" s="310"/>
      <c r="BH81" s="107">
        <f t="shared" ref="BH81:BQ81" si="528">SUM(BH79:BH80)</f>
        <v>0</v>
      </c>
      <c r="BI81" s="108">
        <f t="shared" si="528"/>
        <v>0</v>
      </c>
      <c r="BJ81" s="108">
        <f t="shared" si="528"/>
        <v>0</v>
      </c>
      <c r="BK81" s="108">
        <f t="shared" si="528"/>
        <v>0</v>
      </c>
      <c r="BL81" s="109">
        <f t="shared" si="528"/>
        <v>0</v>
      </c>
      <c r="BM81" s="110">
        <f t="shared" si="528"/>
        <v>0</v>
      </c>
      <c r="BN81" s="111">
        <f t="shared" si="528"/>
        <v>0</v>
      </c>
      <c r="BO81" s="108">
        <f t="shared" si="528"/>
        <v>0</v>
      </c>
      <c r="BP81" s="109">
        <f t="shared" si="528"/>
        <v>0</v>
      </c>
      <c r="BQ81" s="112">
        <f t="shared" si="528"/>
        <v>0</v>
      </c>
      <c r="BR81" s="61"/>
      <c r="BS81" s="305"/>
      <c r="BT81" s="301" t="s">
        <v>24</v>
      </c>
      <c r="BU81" s="310"/>
      <c r="BV81" s="107">
        <f t="shared" ref="BV81:CE81" si="529">SUM(BV79:BV80)</f>
        <v>0</v>
      </c>
      <c r="BW81" s="108">
        <f t="shared" si="529"/>
        <v>0</v>
      </c>
      <c r="BX81" s="108">
        <f t="shared" si="529"/>
        <v>0</v>
      </c>
      <c r="BY81" s="108">
        <f t="shared" si="529"/>
        <v>0</v>
      </c>
      <c r="BZ81" s="109">
        <f t="shared" si="529"/>
        <v>0</v>
      </c>
      <c r="CA81" s="110">
        <f t="shared" si="529"/>
        <v>0</v>
      </c>
      <c r="CB81" s="111">
        <f t="shared" si="529"/>
        <v>0</v>
      </c>
      <c r="CC81" s="108">
        <f t="shared" si="529"/>
        <v>0</v>
      </c>
      <c r="CD81" s="109">
        <f t="shared" si="529"/>
        <v>0</v>
      </c>
      <c r="CE81" s="112">
        <f t="shared" si="529"/>
        <v>0</v>
      </c>
      <c r="CF81" s="61"/>
      <c r="CG81" s="305"/>
      <c r="CH81" s="301" t="s">
        <v>24</v>
      </c>
      <c r="CI81" s="310"/>
      <c r="CJ81" s="107">
        <f t="shared" ref="CJ81:CS81" si="530">SUM(CJ79:CJ80)</f>
        <v>0</v>
      </c>
      <c r="CK81" s="108">
        <f t="shared" si="530"/>
        <v>0</v>
      </c>
      <c r="CL81" s="108">
        <f t="shared" si="530"/>
        <v>0</v>
      </c>
      <c r="CM81" s="108">
        <f t="shared" si="530"/>
        <v>0</v>
      </c>
      <c r="CN81" s="109">
        <f t="shared" si="530"/>
        <v>0</v>
      </c>
      <c r="CO81" s="110">
        <f t="shared" si="530"/>
        <v>0</v>
      </c>
      <c r="CP81" s="111">
        <f t="shared" si="530"/>
        <v>0</v>
      </c>
      <c r="CQ81" s="108">
        <f t="shared" si="530"/>
        <v>0</v>
      </c>
      <c r="CR81" s="109">
        <f t="shared" si="530"/>
        <v>0</v>
      </c>
      <c r="CS81" s="112">
        <f t="shared" si="530"/>
        <v>0</v>
      </c>
      <c r="CT81" s="61"/>
      <c r="CU81" s="305"/>
      <c r="CV81" s="301" t="s">
        <v>24</v>
      </c>
      <c r="CW81" s="310"/>
      <c r="CX81" s="107">
        <f t="shared" ref="CX81:DG81" si="531">SUM(CX79:CX80)</f>
        <v>0</v>
      </c>
      <c r="CY81" s="108">
        <f t="shared" si="531"/>
        <v>0</v>
      </c>
      <c r="CZ81" s="108">
        <f t="shared" si="531"/>
        <v>0</v>
      </c>
      <c r="DA81" s="108">
        <f t="shared" si="531"/>
        <v>0</v>
      </c>
      <c r="DB81" s="109">
        <f t="shared" si="531"/>
        <v>0</v>
      </c>
      <c r="DC81" s="110">
        <f t="shared" si="531"/>
        <v>0</v>
      </c>
      <c r="DD81" s="111">
        <f t="shared" si="531"/>
        <v>0</v>
      </c>
      <c r="DE81" s="108">
        <f t="shared" si="531"/>
        <v>0</v>
      </c>
      <c r="DF81" s="109">
        <f t="shared" si="531"/>
        <v>0</v>
      </c>
      <c r="DG81" s="112">
        <f t="shared" si="531"/>
        <v>0</v>
      </c>
      <c r="DH81" s="61"/>
      <c r="DI81" s="305"/>
      <c r="DJ81" s="301" t="s">
        <v>24</v>
      </c>
      <c r="DK81" s="310"/>
      <c r="DL81" s="107">
        <f t="shared" ref="DL81:DU81" si="532">SUM(DL79:DL80)</f>
        <v>0</v>
      </c>
      <c r="DM81" s="108">
        <f t="shared" si="532"/>
        <v>0</v>
      </c>
      <c r="DN81" s="108">
        <f t="shared" si="532"/>
        <v>0</v>
      </c>
      <c r="DO81" s="108">
        <f t="shared" si="532"/>
        <v>0</v>
      </c>
      <c r="DP81" s="109">
        <f t="shared" si="532"/>
        <v>0</v>
      </c>
      <c r="DQ81" s="110">
        <f t="shared" si="532"/>
        <v>0</v>
      </c>
      <c r="DR81" s="111">
        <f t="shared" si="532"/>
        <v>0</v>
      </c>
      <c r="DS81" s="108">
        <f t="shared" si="532"/>
        <v>0</v>
      </c>
      <c r="DT81" s="109">
        <f t="shared" si="532"/>
        <v>0</v>
      </c>
      <c r="DU81" s="112">
        <f t="shared" si="532"/>
        <v>0</v>
      </c>
      <c r="DV81" s="61"/>
      <c r="DW81" s="305"/>
      <c r="DX81" s="301" t="s">
        <v>24</v>
      </c>
      <c r="DY81" s="310"/>
      <c r="DZ81" s="107">
        <f t="shared" ref="DZ81:EI81" si="533">SUM(DZ79:DZ80)</f>
        <v>0</v>
      </c>
      <c r="EA81" s="108">
        <f t="shared" si="533"/>
        <v>0</v>
      </c>
      <c r="EB81" s="108">
        <f t="shared" si="533"/>
        <v>0</v>
      </c>
      <c r="EC81" s="108">
        <f t="shared" si="533"/>
        <v>0</v>
      </c>
      <c r="ED81" s="109">
        <f t="shared" si="533"/>
        <v>0</v>
      </c>
      <c r="EE81" s="110">
        <f t="shared" si="533"/>
        <v>0</v>
      </c>
      <c r="EF81" s="111">
        <f t="shared" si="533"/>
        <v>0</v>
      </c>
      <c r="EG81" s="108">
        <f t="shared" si="533"/>
        <v>0</v>
      </c>
      <c r="EH81" s="109">
        <f t="shared" si="533"/>
        <v>0</v>
      </c>
      <c r="EI81" s="112">
        <f t="shared" si="533"/>
        <v>0</v>
      </c>
      <c r="EJ81" s="61"/>
      <c r="EK81" s="305"/>
      <c r="EL81" s="301" t="s">
        <v>24</v>
      </c>
      <c r="EM81" s="310"/>
      <c r="EN81" s="107">
        <f t="shared" ref="EN81:EW81" si="534">SUM(EN79:EN80)</f>
        <v>0</v>
      </c>
      <c r="EO81" s="108">
        <f t="shared" si="534"/>
        <v>0</v>
      </c>
      <c r="EP81" s="108">
        <f t="shared" si="534"/>
        <v>0</v>
      </c>
      <c r="EQ81" s="108">
        <f t="shared" si="534"/>
        <v>0</v>
      </c>
      <c r="ER81" s="109">
        <f t="shared" si="534"/>
        <v>0</v>
      </c>
      <c r="ES81" s="110">
        <f t="shared" si="534"/>
        <v>0</v>
      </c>
      <c r="ET81" s="111">
        <f t="shared" si="534"/>
        <v>0</v>
      </c>
      <c r="EU81" s="108">
        <f t="shared" si="534"/>
        <v>0</v>
      </c>
      <c r="EV81" s="109">
        <f t="shared" si="534"/>
        <v>0</v>
      </c>
      <c r="EW81" s="112">
        <f t="shared" si="534"/>
        <v>0</v>
      </c>
      <c r="EX81" s="61"/>
      <c r="EY81" s="305"/>
      <c r="EZ81" s="301" t="s">
        <v>24</v>
      </c>
      <c r="FA81" s="310"/>
      <c r="FB81" s="107">
        <f t="shared" ref="FB81:FK81" si="535">SUM(FB79:FB80)</f>
        <v>0</v>
      </c>
      <c r="FC81" s="108">
        <f t="shared" si="535"/>
        <v>0</v>
      </c>
      <c r="FD81" s="108">
        <f t="shared" si="535"/>
        <v>0</v>
      </c>
      <c r="FE81" s="108">
        <f t="shared" si="535"/>
        <v>0</v>
      </c>
      <c r="FF81" s="109">
        <f t="shared" si="535"/>
        <v>0</v>
      </c>
      <c r="FG81" s="110">
        <f t="shared" si="535"/>
        <v>0</v>
      </c>
      <c r="FH81" s="111">
        <f t="shared" si="535"/>
        <v>0</v>
      </c>
      <c r="FI81" s="108">
        <f t="shared" si="535"/>
        <v>0</v>
      </c>
      <c r="FJ81" s="109">
        <f t="shared" si="535"/>
        <v>0</v>
      </c>
      <c r="FK81" s="112">
        <f t="shared" si="535"/>
        <v>0</v>
      </c>
      <c r="FM81" s="305"/>
      <c r="FN81" s="301" t="s">
        <v>24</v>
      </c>
      <c r="FO81" s="310"/>
      <c r="FP81" s="107">
        <f t="shared" ref="FP81:FY81" si="536">SUM(FP79:FP80)</f>
        <v>0</v>
      </c>
      <c r="FQ81" s="108">
        <f t="shared" si="536"/>
        <v>0</v>
      </c>
      <c r="FR81" s="108">
        <f t="shared" si="536"/>
        <v>0</v>
      </c>
      <c r="FS81" s="108">
        <f t="shared" si="536"/>
        <v>0</v>
      </c>
      <c r="FT81" s="109">
        <f t="shared" si="536"/>
        <v>0</v>
      </c>
      <c r="FU81" s="113">
        <f t="shared" si="536"/>
        <v>0</v>
      </c>
      <c r="FV81" s="111">
        <f t="shared" si="536"/>
        <v>0</v>
      </c>
      <c r="FW81" s="108">
        <f t="shared" si="536"/>
        <v>0</v>
      </c>
      <c r="FX81" s="109">
        <f t="shared" si="536"/>
        <v>0</v>
      </c>
      <c r="FY81" s="114">
        <f t="shared" si="536"/>
        <v>0</v>
      </c>
      <c r="GA81" s="61"/>
    </row>
    <row r="82" spans="1:183" ht="20.100000000000001" customHeight="1" thickBot="1" x14ac:dyDescent="0.3">
      <c r="A82" s="297" t="s">
        <v>25</v>
      </c>
      <c r="B82" s="298"/>
      <c r="C82" s="299"/>
      <c r="D82" s="123">
        <f>SUM(D81+D78)</f>
        <v>0</v>
      </c>
      <c r="E82" s="124">
        <f>SUM(E81+E78)</f>
        <v>0</v>
      </c>
      <c r="F82" s="124">
        <f>SUM(F81+F78)</f>
        <v>0</v>
      </c>
      <c r="G82" s="124">
        <f>SUM(G81+G78)</f>
        <v>0</v>
      </c>
      <c r="H82" s="125">
        <f>SUM(H81+H78)</f>
        <v>0</v>
      </c>
      <c r="I82" s="126">
        <f>SUM(I78+I81)</f>
        <v>0</v>
      </c>
      <c r="J82" s="127">
        <f>SUM(J81+J78)</f>
        <v>0</v>
      </c>
      <c r="K82" s="128">
        <f>SUM(K81+K78)</f>
        <v>0</v>
      </c>
      <c r="L82" s="129">
        <f>SUM(L81+L78)</f>
        <v>0</v>
      </c>
      <c r="M82" s="130">
        <f>SUM(M81+M78)</f>
        <v>0</v>
      </c>
      <c r="N82" s="61"/>
      <c r="O82" s="297" t="s">
        <v>25</v>
      </c>
      <c r="P82" s="298"/>
      <c r="Q82" s="299"/>
      <c r="R82" s="123">
        <f>SUM(R81+R78)</f>
        <v>0</v>
      </c>
      <c r="S82" s="124">
        <f>SUM(S81+S78)</f>
        <v>0</v>
      </c>
      <c r="T82" s="124">
        <f>SUM(T81+T78)</f>
        <v>0</v>
      </c>
      <c r="U82" s="124">
        <f>SUM(U81+U78)</f>
        <v>0</v>
      </c>
      <c r="V82" s="125">
        <f>SUM(V81+V78)</f>
        <v>0</v>
      </c>
      <c r="W82" s="126">
        <f>SUM(W78+W81)</f>
        <v>0</v>
      </c>
      <c r="X82" s="127">
        <f>SUM(X81+X78)</f>
        <v>0</v>
      </c>
      <c r="Y82" s="128">
        <f>SUM(Y81+Y78)</f>
        <v>0</v>
      </c>
      <c r="Z82" s="129">
        <f>SUM(Z81+Z78)</f>
        <v>0</v>
      </c>
      <c r="AA82" s="130">
        <f>SUM(AA81+AA78)</f>
        <v>0</v>
      </c>
      <c r="AB82" s="61"/>
      <c r="AC82" s="297" t="s">
        <v>25</v>
      </c>
      <c r="AD82" s="298"/>
      <c r="AE82" s="299"/>
      <c r="AF82" s="123">
        <f>SUM(AF81+AF78)</f>
        <v>0</v>
      </c>
      <c r="AG82" s="124">
        <f>SUM(AG81+AG78)</f>
        <v>0</v>
      </c>
      <c r="AH82" s="124">
        <f>SUM(AH81+AH78)</f>
        <v>0</v>
      </c>
      <c r="AI82" s="124">
        <f>SUM(AI81+AI78)</f>
        <v>0</v>
      </c>
      <c r="AJ82" s="125">
        <f>SUM(AJ81+AJ78)</f>
        <v>0</v>
      </c>
      <c r="AK82" s="126">
        <f>SUM(AK78+AK81)</f>
        <v>0</v>
      </c>
      <c r="AL82" s="127">
        <f>SUM(AL81+AL78)</f>
        <v>0</v>
      </c>
      <c r="AM82" s="128">
        <f>SUM(AM81+AM78)</f>
        <v>0</v>
      </c>
      <c r="AN82" s="129">
        <f>SUM(AN81+AN78)</f>
        <v>0</v>
      </c>
      <c r="AO82" s="130">
        <f>SUM(AO81+AO78)</f>
        <v>0</v>
      </c>
      <c r="AP82" s="61"/>
      <c r="AQ82" s="297" t="s">
        <v>25</v>
      </c>
      <c r="AR82" s="298"/>
      <c r="AS82" s="299"/>
      <c r="AT82" s="123">
        <f>SUM(AT81+AT78)</f>
        <v>0</v>
      </c>
      <c r="AU82" s="124">
        <f>SUM(AU81+AU78)</f>
        <v>0</v>
      </c>
      <c r="AV82" s="124">
        <f>SUM(AV81+AV78)</f>
        <v>0</v>
      </c>
      <c r="AW82" s="124">
        <f>SUM(AW81+AW78)</f>
        <v>0</v>
      </c>
      <c r="AX82" s="125">
        <f>SUM(AX81+AX78)</f>
        <v>0</v>
      </c>
      <c r="AY82" s="126">
        <f>SUM(AY78+AY81)</f>
        <v>0</v>
      </c>
      <c r="AZ82" s="127">
        <f>SUM(AZ81+AZ78)</f>
        <v>0</v>
      </c>
      <c r="BA82" s="128">
        <f>SUM(BA81+BA78)</f>
        <v>0</v>
      </c>
      <c r="BB82" s="129">
        <f>SUM(BB81+BB78)</f>
        <v>0</v>
      </c>
      <c r="BC82" s="130">
        <f>SUM(BC81+BC78)</f>
        <v>0</v>
      </c>
      <c r="BD82" s="61"/>
      <c r="BE82" s="297" t="s">
        <v>25</v>
      </c>
      <c r="BF82" s="298"/>
      <c r="BG82" s="299"/>
      <c r="BH82" s="123">
        <f>SUM(BH81+BH78)</f>
        <v>0</v>
      </c>
      <c r="BI82" s="124">
        <f>SUM(BI81+BI78)</f>
        <v>0</v>
      </c>
      <c r="BJ82" s="124">
        <f>SUM(BJ81+BJ78)</f>
        <v>0</v>
      </c>
      <c r="BK82" s="124">
        <f>SUM(BK81+BK78)</f>
        <v>0</v>
      </c>
      <c r="BL82" s="125">
        <f>SUM(BL81+BL78)</f>
        <v>0</v>
      </c>
      <c r="BM82" s="126">
        <f>SUM(BM78+BM81)</f>
        <v>0</v>
      </c>
      <c r="BN82" s="127">
        <f>SUM(BN81+BN78)</f>
        <v>0</v>
      </c>
      <c r="BO82" s="128">
        <f>SUM(BO81+BO78)</f>
        <v>0</v>
      </c>
      <c r="BP82" s="129">
        <f>SUM(BP81+BP78)</f>
        <v>0</v>
      </c>
      <c r="BQ82" s="130">
        <f>SUM(BQ81+BQ78)</f>
        <v>0</v>
      </c>
      <c r="BR82" s="61"/>
      <c r="BS82" s="297" t="s">
        <v>25</v>
      </c>
      <c r="BT82" s="298"/>
      <c r="BU82" s="299"/>
      <c r="BV82" s="123">
        <f>SUM(BV81+BV78)</f>
        <v>0</v>
      </c>
      <c r="BW82" s="124">
        <f>SUM(BW81+BW78)</f>
        <v>0</v>
      </c>
      <c r="BX82" s="124">
        <f>SUM(BX81+BX78)</f>
        <v>0</v>
      </c>
      <c r="BY82" s="124">
        <f>SUM(BY81+BY78)</f>
        <v>0</v>
      </c>
      <c r="BZ82" s="125">
        <f>SUM(BZ81+BZ78)</f>
        <v>0</v>
      </c>
      <c r="CA82" s="126">
        <f>SUM(CA78+CA81)</f>
        <v>0</v>
      </c>
      <c r="CB82" s="127">
        <f>SUM(CB81+CB78)</f>
        <v>0</v>
      </c>
      <c r="CC82" s="128">
        <f>SUM(CC81+CC78)</f>
        <v>0</v>
      </c>
      <c r="CD82" s="129">
        <f>SUM(CD81+CD78)</f>
        <v>0</v>
      </c>
      <c r="CE82" s="130">
        <f>SUM(CE81+CE78)</f>
        <v>0</v>
      </c>
      <c r="CF82" s="61"/>
      <c r="CG82" s="297" t="s">
        <v>25</v>
      </c>
      <c r="CH82" s="298"/>
      <c r="CI82" s="299"/>
      <c r="CJ82" s="123">
        <f>SUM(CJ81+CJ78)</f>
        <v>0</v>
      </c>
      <c r="CK82" s="124">
        <f>SUM(CK81+CK78)</f>
        <v>0</v>
      </c>
      <c r="CL82" s="124">
        <f>SUM(CL81+CL78)</f>
        <v>0</v>
      </c>
      <c r="CM82" s="124">
        <f>SUM(CM81+CM78)</f>
        <v>0</v>
      </c>
      <c r="CN82" s="125">
        <f>SUM(CN81+CN78)</f>
        <v>0</v>
      </c>
      <c r="CO82" s="126">
        <f>SUM(CO78+CO81)</f>
        <v>0</v>
      </c>
      <c r="CP82" s="127">
        <f>SUM(CP81+CP78)</f>
        <v>0</v>
      </c>
      <c r="CQ82" s="128">
        <f>SUM(CQ81+CQ78)</f>
        <v>0</v>
      </c>
      <c r="CR82" s="129">
        <f>SUM(CR81+CR78)</f>
        <v>0</v>
      </c>
      <c r="CS82" s="130">
        <f>SUM(CS81+CS78)</f>
        <v>0</v>
      </c>
      <c r="CT82" s="61"/>
      <c r="CU82" s="297" t="s">
        <v>25</v>
      </c>
      <c r="CV82" s="298"/>
      <c r="CW82" s="299"/>
      <c r="CX82" s="123">
        <f>SUM(CX81+CX78)</f>
        <v>0</v>
      </c>
      <c r="CY82" s="124">
        <f>SUM(CY81+CY78)</f>
        <v>0</v>
      </c>
      <c r="CZ82" s="124">
        <f>SUM(CZ81+CZ78)</f>
        <v>0</v>
      </c>
      <c r="DA82" s="124">
        <f>SUM(DA81+DA78)</f>
        <v>0</v>
      </c>
      <c r="DB82" s="125">
        <f>SUM(DB81+DB78)</f>
        <v>0</v>
      </c>
      <c r="DC82" s="126">
        <f>SUM(DC78+DC81)</f>
        <v>0</v>
      </c>
      <c r="DD82" s="127">
        <f>SUM(DD81+DD78)</f>
        <v>0</v>
      </c>
      <c r="DE82" s="128">
        <f>SUM(DE81+DE78)</f>
        <v>0</v>
      </c>
      <c r="DF82" s="129">
        <f>SUM(DF81+DF78)</f>
        <v>0</v>
      </c>
      <c r="DG82" s="130">
        <f>SUM(DG81+DG78)</f>
        <v>0</v>
      </c>
      <c r="DH82" s="61"/>
      <c r="DI82" s="297" t="s">
        <v>25</v>
      </c>
      <c r="DJ82" s="298"/>
      <c r="DK82" s="299"/>
      <c r="DL82" s="123">
        <f>SUM(DL81+DL78)</f>
        <v>0</v>
      </c>
      <c r="DM82" s="124">
        <f>SUM(DM81+DM78)</f>
        <v>0</v>
      </c>
      <c r="DN82" s="124">
        <f>SUM(DN81+DN78)</f>
        <v>0</v>
      </c>
      <c r="DO82" s="124">
        <f>SUM(DO81+DO78)</f>
        <v>0</v>
      </c>
      <c r="DP82" s="125">
        <f>SUM(DP81+DP78)</f>
        <v>0</v>
      </c>
      <c r="DQ82" s="126">
        <f>SUM(DQ78+DQ81)</f>
        <v>0</v>
      </c>
      <c r="DR82" s="127">
        <f>SUM(DR81+DR78)</f>
        <v>0</v>
      </c>
      <c r="DS82" s="128">
        <f>SUM(DS81+DS78)</f>
        <v>0</v>
      </c>
      <c r="DT82" s="129">
        <f>SUM(DT81+DT78)</f>
        <v>0</v>
      </c>
      <c r="DU82" s="130">
        <f>SUM(DU81+DU78)</f>
        <v>0</v>
      </c>
      <c r="DV82" s="61"/>
      <c r="DW82" s="297" t="s">
        <v>25</v>
      </c>
      <c r="DX82" s="298"/>
      <c r="DY82" s="299"/>
      <c r="DZ82" s="123">
        <f>SUM(DZ81+DZ78)</f>
        <v>0</v>
      </c>
      <c r="EA82" s="124">
        <f>SUM(EA81+EA78)</f>
        <v>0</v>
      </c>
      <c r="EB82" s="124">
        <f>SUM(EB81+EB78)</f>
        <v>0</v>
      </c>
      <c r="EC82" s="124">
        <f>SUM(EC81+EC78)</f>
        <v>0</v>
      </c>
      <c r="ED82" s="125">
        <f>SUM(ED81+ED78)</f>
        <v>0</v>
      </c>
      <c r="EE82" s="126">
        <f>SUM(EE78+EE81)</f>
        <v>0</v>
      </c>
      <c r="EF82" s="127">
        <f>SUM(EF81+EF78)</f>
        <v>0</v>
      </c>
      <c r="EG82" s="128">
        <f>SUM(EG81+EG78)</f>
        <v>0</v>
      </c>
      <c r="EH82" s="129">
        <f>SUM(EH81+EH78)</f>
        <v>0</v>
      </c>
      <c r="EI82" s="130">
        <f>SUM(EI81+EI78)</f>
        <v>0</v>
      </c>
      <c r="EJ82" s="61"/>
      <c r="EK82" s="297" t="s">
        <v>25</v>
      </c>
      <c r="EL82" s="298"/>
      <c r="EM82" s="299"/>
      <c r="EN82" s="123">
        <f>SUM(EN81+EN78)</f>
        <v>0</v>
      </c>
      <c r="EO82" s="124">
        <f>SUM(EO81+EO78)</f>
        <v>0</v>
      </c>
      <c r="EP82" s="124">
        <f>SUM(EP81+EP78)</f>
        <v>0</v>
      </c>
      <c r="EQ82" s="124">
        <f>SUM(EQ81+EQ78)</f>
        <v>0</v>
      </c>
      <c r="ER82" s="125">
        <f>SUM(ER81+ER78)</f>
        <v>0</v>
      </c>
      <c r="ES82" s="126">
        <f>SUM(ES78+ES81)</f>
        <v>0</v>
      </c>
      <c r="ET82" s="127">
        <f>SUM(ET81+ET78)</f>
        <v>0</v>
      </c>
      <c r="EU82" s="128">
        <f>SUM(EU81+EU78)</f>
        <v>0</v>
      </c>
      <c r="EV82" s="129">
        <f>SUM(EV81+EV78)</f>
        <v>0</v>
      </c>
      <c r="EW82" s="130">
        <f>SUM(EW81+EW78)</f>
        <v>0</v>
      </c>
      <c r="EX82" s="61"/>
      <c r="EY82" s="297" t="s">
        <v>25</v>
      </c>
      <c r="EZ82" s="298"/>
      <c r="FA82" s="299"/>
      <c r="FB82" s="123">
        <f>SUM(FB81+FB78)</f>
        <v>0</v>
      </c>
      <c r="FC82" s="124">
        <f>SUM(FC81+FC78)</f>
        <v>0</v>
      </c>
      <c r="FD82" s="124">
        <f>SUM(FD81+FD78)</f>
        <v>0</v>
      </c>
      <c r="FE82" s="124">
        <f>SUM(FE81+FE78)</f>
        <v>0</v>
      </c>
      <c r="FF82" s="125">
        <f>SUM(FF81+FF78)</f>
        <v>0</v>
      </c>
      <c r="FG82" s="126">
        <f>SUM(FG78+FG81)</f>
        <v>0</v>
      </c>
      <c r="FH82" s="127">
        <f>SUM(FH81+FH78)</f>
        <v>0</v>
      </c>
      <c r="FI82" s="128">
        <f>SUM(FI81+FI78)</f>
        <v>0</v>
      </c>
      <c r="FJ82" s="129">
        <f>SUM(FJ81+FJ78)</f>
        <v>0</v>
      </c>
      <c r="FK82" s="130">
        <f>SUM(FK81+FK78)</f>
        <v>0</v>
      </c>
      <c r="FM82" s="297" t="s">
        <v>25</v>
      </c>
      <c r="FN82" s="298"/>
      <c r="FO82" s="299"/>
      <c r="FP82" s="123">
        <f>SUM(FP81+FP78)</f>
        <v>0</v>
      </c>
      <c r="FQ82" s="124">
        <f>SUM(FQ81+FQ78)</f>
        <v>0</v>
      </c>
      <c r="FR82" s="124">
        <f>SUM(FR81+FR78)</f>
        <v>0</v>
      </c>
      <c r="FS82" s="124">
        <f>SUM(FS81+FS78)</f>
        <v>0</v>
      </c>
      <c r="FT82" s="125">
        <f>SUM(FT81+FT78)</f>
        <v>0</v>
      </c>
      <c r="FU82" s="131">
        <f>SUM(FU78+FU81)</f>
        <v>0</v>
      </c>
      <c r="FV82" s="132">
        <f>SUM(FV81+FV78)</f>
        <v>0</v>
      </c>
      <c r="FW82" s="124">
        <f>SUM(FW81+FW78)</f>
        <v>0</v>
      </c>
      <c r="FX82" s="125">
        <f>SUM(FX81+FX78)</f>
        <v>0</v>
      </c>
      <c r="FY82" s="133">
        <f>SUM(FY81+FY78)</f>
        <v>0</v>
      </c>
      <c r="GA82" s="61"/>
    </row>
    <row r="83" spans="1:183" s="96" customFormat="1" ht="20.100000000000001" customHeight="1" thickBot="1" x14ac:dyDescent="0.25">
      <c r="A83" s="303">
        <v>0</v>
      </c>
      <c r="B83" s="306" t="s">
        <v>5</v>
      </c>
      <c r="C83" s="82" t="s">
        <v>20</v>
      </c>
      <c r="D83" s="83">
        <v>0</v>
      </c>
      <c r="E83" s="84">
        <v>0</v>
      </c>
      <c r="F83" s="84">
        <v>0</v>
      </c>
      <c r="G83" s="85">
        <v>0</v>
      </c>
      <c r="H83" s="86">
        <v>0</v>
      </c>
      <c r="I83" s="87">
        <f>SUM(D83:H83)</f>
        <v>0</v>
      </c>
      <c r="J83" s="88">
        <v>0</v>
      </c>
      <c r="K83" s="84">
        <v>0</v>
      </c>
      <c r="L83" s="89">
        <v>0</v>
      </c>
      <c r="M83" s="90">
        <f>SUM(J83:L83)</f>
        <v>0</v>
      </c>
      <c r="N83" s="91"/>
      <c r="O83" s="303">
        <v>0</v>
      </c>
      <c r="P83" s="306" t="s">
        <v>5</v>
      </c>
      <c r="Q83" s="82" t="s">
        <v>20</v>
      </c>
      <c r="R83" s="83">
        <v>0</v>
      </c>
      <c r="S83" s="84">
        <v>0</v>
      </c>
      <c r="T83" s="84">
        <v>0</v>
      </c>
      <c r="U83" s="85">
        <v>0</v>
      </c>
      <c r="V83" s="86">
        <v>0</v>
      </c>
      <c r="W83" s="87">
        <f>SUM(R83:V83)</f>
        <v>0</v>
      </c>
      <c r="X83" s="88">
        <v>0</v>
      </c>
      <c r="Y83" s="84">
        <v>0</v>
      </c>
      <c r="Z83" s="89">
        <v>0</v>
      </c>
      <c r="AA83" s="90">
        <f>SUM(X83:Z83)</f>
        <v>0</v>
      </c>
      <c r="AB83" s="91"/>
      <c r="AC83" s="303">
        <v>0</v>
      </c>
      <c r="AD83" s="306" t="s">
        <v>5</v>
      </c>
      <c r="AE83" s="82" t="s">
        <v>20</v>
      </c>
      <c r="AF83" s="83">
        <v>0</v>
      </c>
      <c r="AG83" s="84">
        <v>0</v>
      </c>
      <c r="AH83" s="84">
        <v>0</v>
      </c>
      <c r="AI83" s="85">
        <v>0</v>
      </c>
      <c r="AJ83" s="86">
        <v>0</v>
      </c>
      <c r="AK83" s="87">
        <f>SUM(AF83:AJ83)</f>
        <v>0</v>
      </c>
      <c r="AL83" s="88">
        <v>0</v>
      </c>
      <c r="AM83" s="84">
        <v>0</v>
      </c>
      <c r="AN83" s="89">
        <v>0</v>
      </c>
      <c r="AO83" s="90">
        <f>SUM(AL83:AN83)</f>
        <v>0</v>
      </c>
      <c r="AP83" s="91"/>
      <c r="AQ83" s="303">
        <v>0</v>
      </c>
      <c r="AR83" s="306" t="s">
        <v>5</v>
      </c>
      <c r="AS83" s="82" t="s">
        <v>20</v>
      </c>
      <c r="AT83" s="83">
        <v>0</v>
      </c>
      <c r="AU83" s="84">
        <v>0</v>
      </c>
      <c r="AV83" s="84">
        <v>0</v>
      </c>
      <c r="AW83" s="85">
        <v>0</v>
      </c>
      <c r="AX83" s="86">
        <v>0</v>
      </c>
      <c r="AY83" s="87">
        <f>SUM(AT83:AX83)</f>
        <v>0</v>
      </c>
      <c r="AZ83" s="88">
        <v>0</v>
      </c>
      <c r="BA83" s="84">
        <v>0</v>
      </c>
      <c r="BB83" s="89">
        <v>0</v>
      </c>
      <c r="BC83" s="90">
        <f>SUM(AZ83:BB83)</f>
        <v>0</v>
      </c>
      <c r="BD83" s="91"/>
      <c r="BE83" s="303">
        <v>0</v>
      </c>
      <c r="BF83" s="306" t="s">
        <v>5</v>
      </c>
      <c r="BG83" s="82" t="s">
        <v>20</v>
      </c>
      <c r="BH83" s="83">
        <v>0</v>
      </c>
      <c r="BI83" s="84">
        <v>0</v>
      </c>
      <c r="BJ83" s="84">
        <v>0</v>
      </c>
      <c r="BK83" s="85">
        <v>0</v>
      </c>
      <c r="BL83" s="86">
        <v>0</v>
      </c>
      <c r="BM83" s="87">
        <f>SUM(BH83:BL83)</f>
        <v>0</v>
      </c>
      <c r="BN83" s="88">
        <v>0</v>
      </c>
      <c r="BO83" s="84">
        <v>0</v>
      </c>
      <c r="BP83" s="89">
        <v>0</v>
      </c>
      <c r="BQ83" s="90">
        <f>SUM(BN83:BP83)</f>
        <v>0</v>
      </c>
      <c r="BR83" s="91"/>
      <c r="BS83" s="303">
        <v>0</v>
      </c>
      <c r="BT83" s="306" t="s">
        <v>5</v>
      </c>
      <c r="BU83" s="82" t="s">
        <v>20</v>
      </c>
      <c r="BV83" s="83">
        <v>0</v>
      </c>
      <c r="BW83" s="84">
        <v>0</v>
      </c>
      <c r="BX83" s="84">
        <v>0</v>
      </c>
      <c r="BY83" s="85">
        <v>0</v>
      </c>
      <c r="BZ83" s="86">
        <v>0</v>
      </c>
      <c r="CA83" s="87">
        <f>SUM(BV83:BZ83)</f>
        <v>0</v>
      </c>
      <c r="CB83" s="88">
        <v>0</v>
      </c>
      <c r="CC83" s="84">
        <v>0</v>
      </c>
      <c r="CD83" s="89">
        <v>0</v>
      </c>
      <c r="CE83" s="90">
        <f>SUM(CB83:CD83)</f>
        <v>0</v>
      </c>
      <c r="CF83" s="91"/>
      <c r="CG83" s="303">
        <v>0</v>
      </c>
      <c r="CH83" s="306" t="s">
        <v>5</v>
      </c>
      <c r="CI83" s="82" t="s">
        <v>20</v>
      </c>
      <c r="CJ83" s="83">
        <v>0</v>
      </c>
      <c r="CK83" s="84">
        <v>0</v>
      </c>
      <c r="CL83" s="84">
        <v>0</v>
      </c>
      <c r="CM83" s="85">
        <v>0</v>
      </c>
      <c r="CN83" s="86">
        <v>0</v>
      </c>
      <c r="CO83" s="87">
        <f>SUM(CJ83:CN83)</f>
        <v>0</v>
      </c>
      <c r="CP83" s="88">
        <v>0</v>
      </c>
      <c r="CQ83" s="84">
        <v>0</v>
      </c>
      <c r="CR83" s="89">
        <v>0</v>
      </c>
      <c r="CS83" s="90">
        <f>SUM(CP83:CR83)</f>
        <v>0</v>
      </c>
      <c r="CT83" s="91"/>
      <c r="CU83" s="303">
        <v>0</v>
      </c>
      <c r="CV83" s="306" t="s">
        <v>5</v>
      </c>
      <c r="CW83" s="82" t="s">
        <v>20</v>
      </c>
      <c r="CX83" s="83">
        <v>0</v>
      </c>
      <c r="CY83" s="84">
        <v>0</v>
      </c>
      <c r="CZ83" s="84">
        <v>0</v>
      </c>
      <c r="DA83" s="85">
        <v>0</v>
      </c>
      <c r="DB83" s="86">
        <v>0</v>
      </c>
      <c r="DC83" s="87">
        <f>SUM(CX83:DB83)</f>
        <v>0</v>
      </c>
      <c r="DD83" s="88">
        <v>0</v>
      </c>
      <c r="DE83" s="84">
        <v>0</v>
      </c>
      <c r="DF83" s="89">
        <v>0</v>
      </c>
      <c r="DG83" s="90">
        <f>SUM(DD83:DF83)</f>
        <v>0</v>
      </c>
      <c r="DH83" s="91"/>
      <c r="DI83" s="303">
        <v>0</v>
      </c>
      <c r="DJ83" s="306" t="s">
        <v>5</v>
      </c>
      <c r="DK83" s="82" t="s">
        <v>20</v>
      </c>
      <c r="DL83" s="83">
        <v>0</v>
      </c>
      <c r="DM83" s="84">
        <v>0</v>
      </c>
      <c r="DN83" s="84">
        <v>0</v>
      </c>
      <c r="DO83" s="85">
        <v>0</v>
      </c>
      <c r="DP83" s="86">
        <v>0</v>
      </c>
      <c r="DQ83" s="87">
        <f>SUM(DL83:DP83)</f>
        <v>0</v>
      </c>
      <c r="DR83" s="88">
        <v>0</v>
      </c>
      <c r="DS83" s="84">
        <v>0</v>
      </c>
      <c r="DT83" s="89">
        <v>0</v>
      </c>
      <c r="DU83" s="90">
        <f>SUM(DR83:DT83)</f>
        <v>0</v>
      </c>
      <c r="DV83" s="91"/>
      <c r="DW83" s="303">
        <v>0</v>
      </c>
      <c r="DX83" s="306" t="s">
        <v>5</v>
      </c>
      <c r="DY83" s="82" t="s">
        <v>20</v>
      </c>
      <c r="DZ83" s="83">
        <v>0</v>
      </c>
      <c r="EA83" s="84">
        <v>0</v>
      </c>
      <c r="EB83" s="84">
        <v>0</v>
      </c>
      <c r="EC83" s="85">
        <v>0</v>
      </c>
      <c r="ED83" s="86">
        <v>0</v>
      </c>
      <c r="EE83" s="87">
        <f>SUM(DZ83:ED83)</f>
        <v>0</v>
      </c>
      <c r="EF83" s="88">
        <v>0</v>
      </c>
      <c r="EG83" s="84">
        <v>0</v>
      </c>
      <c r="EH83" s="89">
        <v>0</v>
      </c>
      <c r="EI83" s="90">
        <f>SUM(EF83:EH83)</f>
        <v>0</v>
      </c>
      <c r="EJ83" s="91"/>
      <c r="EK83" s="303">
        <v>0</v>
      </c>
      <c r="EL83" s="306" t="s">
        <v>5</v>
      </c>
      <c r="EM83" s="82" t="s">
        <v>20</v>
      </c>
      <c r="EN83" s="83">
        <v>0</v>
      </c>
      <c r="EO83" s="84">
        <v>0</v>
      </c>
      <c r="EP83" s="84">
        <v>0</v>
      </c>
      <c r="EQ83" s="85">
        <v>0</v>
      </c>
      <c r="ER83" s="86">
        <v>0</v>
      </c>
      <c r="ES83" s="87">
        <f>SUM(EN83:ER83)</f>
        <v>0</v>
      </c>
      <c r="ET83" s="88">
        <v>0</v>
      </c>
      <c r="EU83" s="84">
        <v>0</v>
      </c>
      <c r="EV83" s="89">
        <v>0</v>
      </c>
      <c r="EW83" s="90">
        <f>SUM(ET83:EV83)</f>
        <v>0</v>
      </c>
      <c r="EX83" s="91"/>
      <c r="EY83" s="303">
        <v>0</v>
      </c>
      <c r="EZ83" s="306" t="s">
        <v>5</v>
      </c>
      <c r="FA83" s="82" t="s">
        <v>20</v>
      </c>
      <c r="FB83" s="83">
        <v>0</v>
      </c>
      <c r="FC83" s="84">
        <v>0</v>
      </c>
      <c r="FD83" s="84">
        <v>0</v>
      </c>
      <c r="FE83" s="85">
        <v>0</v>
      </c>
      <c r="FF83" s="86">
        <v>0</v>
      </c>
      <c r="FG83" s="87">
        <f>SUM(FB83:FF83)</f>
        <v>0</v>
      </c>
      <c r="FH83" s="88">
        <v>0</v>
      </c>
      <c r="FI83" s="84">
        <v>0</v>
      </c>
      <c r="FJ83" s="89">
        <v>0</v>
      </c>
      <c r="FK83" s="90">
        <f>SUM(FH83:FJ83)</f>
        <v>0</v>
      </c>
      <c r="FL83" s="147"/>
      <c r="FM83" s="303">
        <f>EY83</f>
        <v>0</v>
      </c>
      <c r="FN83" s="306" t="s">
        <v>5</v>
      </c>
      <c r="FO83" s="82" t="s">
        <v>20</v>
      </c>
      <c r="FP83" s="83">
        <f t="shared" ref="FP83:FP84" si="537">SUM(D83+R83+AF83+AT83+BH83+BV83+CJ83+CX83+DL83+DZ83+EN83+FB83)</f>
        <v>0</v>
      </c>
      <c r="FQ83" s="83">
        <f t="shared" ref="FQ83:FQ84" si="538">SUM(E83+S83+AG83+AU83+BI83+BW83+CK83+CY83+DM83+EA83+EO83+FC83)</f>
        <v>0</v>
      </c>
      <c r="FR83" s="83">
        <f t="shared" ref="FR83:FR84" si="539">SUM(F83+T83+AH83+AV83+BJ83+BX83+CL83+CZ83+DN83+EB83+EP83+FD83)</f>
        <v>0</v>
      </c>
      <c r="FS83" s="149">
        <f t="shared" ref="FS83:FS84" si="540">SUM(G83+U83+AI83+AW83+BK83+BY83+CM83+DA83+DO83+EC83+EQ83+FE83)</f>
        <v>0</v>
      </c>
      <c r="FT83" s="83">
        <f t="shared" ref="FT83:FT84" si="541">SUM(H83+V83+AJ83+AX83+BL83+BZ83+CN83+DB83+DP83+ED83+ER83+FF83)</f>
        <v>0</v>
      </c>
      <c r="FU83" s="93">
        <f>SUM(FP83:FT83)</f>
        <v>0</v>
      </c>
      <c r="FV83" s="88">
        <f t="shared" ref="FV83:FV84" si="542">SUM(J83+X83+AL83+AZ83+BN83+CB83+CP83+DD83+DR83+EF83+ET83+FH83)</f>
        <v>0</v>
      </c>
      <c r="FW83" s="88">
        <f t="shared" ref="FW83:FW84" si="543">SUM(K83+Y83+AM83+BA83+BO83+CC83+CQ83+DE83+DS83+EG83+EU83+FI83)</f>
        <v>0</v>
      </c>
      <c r="FX83" s="88">
        <f t="shared" ref="FX83:FX84" si="544">SUM(L83+Z83+AN83+BB83+BP83+CD83+CR83+DF83+DT83+EH83+EV83+FJ83)</f>
        <v>0</v>
      </c>
      <c r="FY83" s="94">
        <f>SUM(FV83:FX83)</f>
        <v>0</v>
      </c>
      <c r="FZ83" s="95"/>
      <c r="GA83" s="91"/>
    </row>
    <row r="84" spans="1:183" s="96" customFormat="1" ht="20.100000000000001" customHeight="1" thickBot="1" x14ac:dyDescent="0.25">
      <c r="A84" s="304"/>
      <c r="B84" s="307"/>
      <c r="C84" s="97" t="s">
        <v>21</v>
      </c>
      <c r="D84" s="98">
        <v>0</v>
      </c>
      <c r="E84" s="99">
        <v>0</v>
      </c>
      <c r="F84" s="99">
        <v>0</v>
      </c>
      <c r="G84" s="99">
        <v>0</v>
      </c>
      <c r="H84" s="100">
        <v>0</v>
      </c>
      <c r="I84" s="101">
        <f>SUM(D84:H84)</f>
        <v>0</v>
      </c>
      <c r="J84" s="102">
        <v>0</v>
      </c>
      <c r="K84" s="99">
        <v>0</v>
      </c>
      <c r="L84" s="103">
        <v>0</v>
      </c>
      <c r="M84" s="104">
        <f>SUM(J84:L84)</f>
        <v>0</v>
      </c>
      <c r="N84" s="91"/>
      <c r="O84" s="304"/>
      <c r="P84" s="307"/>
      <c r="Q84" s="97" t="s">
        <v>21</v>
      </c>
      <c r="R84" s="98">
        <v>0</v>
      </c>
      <c r="S84" s="99">
        <v>0</v>
      </c>
      <c r="T84" s="99">
        <v>0</v>
      </c>
      <c r="U84" s="99">
        <v>0</v>
      </c>
      <c r="V84" s="100">
        <v>0</v>
      </c>
      <c r="W84" s="101">
        <f>SUM(R84:V84)</f>
        <v>0</v>
      </c>
      <c r="X84" s="102">
        <v>0</v>
      </c>
      <c r="Y84" s="99">
        <v>0</v>
      </c>
      <c r="Z84" s="103">
        <v>0</v>
      </c>
      <c r="AA84" s="104">
        <f>SUM(X84:Z84)</f>
        <v>0</v>
      </c>
      <c r="AB84" s="91"/>
      <c r="AC84" s="304"/>
      <c r="AD84" s="307"/>
      <c r="AE84" s="97" t="s">
        <v>21</v>
      </c>
      <c r="AF84" s="98">
        <v>0</v>
      </c>
      <c r="AG84" s="99">
        <v>0</v>
      </c>
      <c r="AH84" s="99">
        <v>0</v>
      </c>
      <c r="AI84" s="99">
        <v>0</v>
      </c>
      <c r="AJ84" s="100">
        <v>0</v>
      </c>
      <c r="AK84" s="101">
        <f>SUM(AF84:AJ84)</f>
        <v>0</v>
      </c>
      <c r="AL84" s="102">
        <v>0</v>
      </c>
      <c r="AM84" s="99">
        <v>0</v>
      </c>
      <c r="AN84" s="103">
        <v>0</v>
      </c>
      <c r="AO84" s="104">
        <f>SUM(AL84:AN84)</f>
        <v>0</v>
      </c>
      <c r="AP84" s="91"/>
      <c r="AQ84" s="304"/>
      <c r="AR84" s="307"/>
      <c r="AS84" s="97" t="s">
        <v>21</v>
      </c>
      <c r="AT84" s="98">
        <v>0</v>
      </c>
      <c r="AU84" s="99">
        <v>0</v>
      </c>
      <c r="AV84" s="99">
        <v>0</v>
      </c>
      <c r="AW84" s="99">
        <v>0</v>
      </c>
      <c r="AX84" s="100">
        <v>0</v>
      </c>
      <c r="AY84" s="101">
        <f>SUM(AT84:AX84)</f>
        <v>0</v>
      </c>
      <c r="AZ84" s="102">
        <v>0</v>
      </c>
      <c r="BA84" s="99">
        <v>0</v>
      </c>
      <c r="BB84" s="103">
        <v>0</v>
      </c>
      <c r="BC84" s="104">
        <f>SUM(AZ84:BB84)</f>
        <v>0</v>
      </c>
      <c r="BD84" s="91"/>
      <c r="BE84" s="304"/>
      <c r="BF84" s="307"/>
      <c r="BG84" s="97" t="s">
        <v>21</v>
      </c>
      <c r="BH84" s="98">
        <v>0</v>
      </c>
      <c r="BI84" s="99">
        <v>0</v>
      </c>
      <c r="BJ84" s="99">
        <v>0</v>
      </c>
      <c r="BK84" s="99">
        <v>0</v>
      </c>
      <c r="BL84" s="100">
        <v>0</v>
      </c>
      <c r="BM84" s="101">
        <f>SUM(BH84:BL84)</f>
        <v>0</v>
      </c>
      <c r="BN84" s="102">
        <v>0</v>
      </c>
      <c r="BO84" s="99">
        <v>0</v>
      </c>
      <c r="BP84" s="103">
        <v>0</v>
      </c>
      <c r="BQ84" s="104">
        <f>SUM(BN84:BP84)</f>
        <v>0</v>
      </c>
      <c r="BR84" s="91"/>
      <c r="BS84" s="304"/>
      <c r="BT84" s="307"/>
      <c r="BU84" s="97" t="s">
        <v>21</v>
      </c>
      <c r="BV84" s="98">
        <v>0</v>
      </c>
      <c r="BW84" s="99">
        <v>0</v>
      </c>
      <c r="BX84" s="99">
        <v>0</v>
      </c>
      <c r="BY84" s="99">
        <v>0</v>
      </c>
      <c r="BZ84" s="100">
        <v>0</v>
      </c>
      <c r="CA84" s="101">
        <f>SUM(BV84:BZ84)</f>
        <v>0</v>
      </c>
      <c r="CB84" s="102">
        <v>0</v>
      </c>
      <c r="CC84" s="99">
        <v>0</v>
      </c>
      <c r="CD84" s="103">
        <v>0</v>
      </c>
      <c r="CE84" s="104">
        <f>SUM(CB84:CD84)</f>
        <v>0</v>
      </c>
      <c r="CF84" s="91"/>
      <c r="CG84" s="304"/>
      <c r="CH84" s="307"/>
      <c r="CI84" s="97" t="s">
        <v>21</v>
      </c>
      <c r="CJ84" s="98">
        <v>0</v>
      </c>
      <c r="CK84" s="99">
        <v>0</v>
      </c>
      <c r="CL84" s="99">
        <v>0</v>
      </c>
      <c r="CM84" s="99">
        <v>0</v>
      </c>
      <c r="CN84" s="100">
        <v>0</v>
      </c>
      <c r="CO84" s="101">
        <f>SUM(CJ84:CN84)</f>
        <v>0</v>
      </c>
      <c r="CP84" s="102">
        <v>0</v>
      </c>
      <c r="CQ84" s="99">
        <v>0</v>
      </c>
      <c r="CR84" s="103">
        <v>0</v>
      </c>
      <c r="CS84" s="104">
        <f>SUM(CP84:CR84)</f>
        <v>0</v>
      </c>
      <c r="CT84" s="91"/>
      <c r="CU84" s="304"/>
      <c r="CV84" s="307"/>
      <c r="CW84" s="97" t="s">
        <v>21</v>
      </c>
      <c r="CX84" s="98">
        <v>0</v>
      </c>
      <c r="CY84" s="99">
        <v>0</v>
      </c>
      <c r="CZ84" s="99">
        <v>0</v>
      </c>
      <c r="DA84" s="99">
        <v>0</v>
      </c>
      <c r="DB84" s="100">
        <v>0</v>
      </c>
      <c r="DC84" s="101">
        <f>SUM(CX84:DB84)</f>
        <v>0</v>
      </c>
      <c r="DD84" s="102">
        <v>0</v>
      </c>
      <c r="DE84" s="99">
        <v>0</v>
      </c>
      <c r="DF84" s="103">
        <v>0</v>
      </c>
      <c r="DG84" s="104">
        <f>SUM(DD84:DF84)</f>
        <v>0</v>
      </c>
      <c r="DH84" s="91"/>
      <c r="DI84" s="304"/>
      <c r="DJ84" s="307"/>
      <c r="DK84" s="97" t="s">
        <v>21</v>
      </c>
      <c r="DL84" s="98">
        <v>0</v>
      </c>
      <c r="DM84" s="99">
        <v>0</v>
      </c>
      <c r="DN84" s="99">
        <v>0</v>
      </c>
      <c r="DO84" s="99">
        <v>0</v>
      </c>
      <c r="DP84" s="100">
        <v>0</v>
      </c>
      <c r="DQ84" s="101">
        <f>SUM(DL84:DP84)</f>
        <v>0</v>
      </c>
      <c r="DR84" s="102">
        <v>0</v>
      </c>
      <c r="DS84" s="99">
        <v>0</v>
      </c>
      <c r="DT84" s="103">
        <v>0</v>
      </c>
      <c r="DU84" s="104">
        <f>SUM(DR84:DT84)</f>
        <v>0</v>
      </c>
      <c r="DV84" s="91"/>
      <c r="DW84" s="304"/>
      <c r="DX84" s="307"/>
      <c r="DY84" s="97" t="s">
        <v>21</v>
      </c>
      <c r="DZ84" s="98">
        <v>0</v>
      </c>
      <c r="EA84" s="99">
        <v>0</v>
      </c>
      <c r="EB84" s="99">
        <v>0</v>
      </c>
      <c r="EC84" s="99">
        <v>0</v>
      </c>
      <c r="ED84" s="100">
        <v>0</v>
      </c>
      <c r="EE84" s="101">
        <f>SUM(DZ84:ED84)</f>
        <v>0</v>
      </c>
      <c r="EF84" s="102">
        <v>0</v>
      </c>
      <c r="EG84" s="99">
        <v>0</v>
      </c>
      <c r="EH84" s="103">
        <v>0</v>
      </c>
      <c r="EI84" s="104">
        <f>SUM(EF84:EH84)</f>
        <v>0</v>
      </c>
      <c r="EJ84" s="91"/>
      <c r="EK84" s="304"/>
      <c r="EL84" s="307"/>
      <c r="EM84" s="97" t="s">
        <v>21</v>
      </c>
      <c r="EN84" s="98">
        <v>0</v>
      </c>
      <c r="EO84" s="99">
        <v>0</v>
      </c>
      <c r="EP84" s="99">
        <v>0</v>
      </c>
      <c r="EQ84" s="99">
        <v>0</v>
      </c>
      <c r="ER84" s="100">
        <v>0</v>
      </c>
      <c r="ES84" s="101">
        <f>SUM(EN84:ER84)</f>
        <v>0</v>
      </c>
      <c r="ET84" s="102">
        <v>0</v>
      </c>
      <c r="EU84" s="99">
        <v>0</v>
      </c>
      <c r="EV84" s="103">
        <v>0</v>
      </c>
      <c r="EW84" s="104">
        <f>SUM(ET84:EV84)</f>
        <v>0</v>
      </c>
      <c r="EX84" s="91"/>
      <c r="EY84" s="304"/>
      <c r="EZ84" s="307"/>
      <c r="FA84" s="97" t="s">
        <v>21</v>
      </c>
      <c r="FB84" s="98">
        <v>0</v>
      </c>
      <c r="FC84" s="99">
        <v>0</v>
      </c>
      <c r="FD84" s="99">
        <v>0</v>
      </c>
      <c r="FE84" s="99">
        <v>0</v>
      </c>
      <c r="FF84" s="100">
        <v>0</v>
      </c>
      <c r="FG84" s="101">
        <f>SUM(FB84:FF84)</f>
        <v>0</v>
      </c>
      <c r="FH84" s="102">
        <v>0</v>
      </c>
      <c r="FI84" s="99">
        <v>0</v>
      </c>
      <c r="FJ84" s="103">
        <v>0</v>
      </c>
      <c r="FK84" s="104">
        <f>SUM(FH84:FJ84)</f>
        <v>0</v>
      </c>
      <c r="FL84" s="147"/>
      <c r="FM84" s="304"/>
      <c r="FN84" s="307"/>
      <c r="FO84" s="97" t="s">
        <v>21</v>
      </c>
      <c r="FP84" s="83">
        <f t="shared" si="537"/>
        <v>0</v>
      </c>
      <c r="FQ84" s="83">
        <f t="shared" si="538"/>
        <v>0</v>
      </c>
      <c r="FR84" s="83">
        <f t="shared" si="539"/>
        <v>0</v>
      </c>
      <c r="FS84" s="83">
        <f t="shared" si="540"/>
        <v>0</v>
      </c>
      <c r="FT84" s="83">
        <f t="shared" si="541"/>
        <v>0</v>
      </c>
      <c r="FU84" s="101">
        <f>SUM(FP84:FT84)</f>
        <v>0</v>
      </c>
      <c r="FV84" s="88">
        <f t="shared" si="542"/>
        <v>0</v>
      </c>
      <c r="FW84" s="88">
        <f t="shared" si="543"/>
        <v>0</v>
      </c>
      <c r="FX84" s="88">
        <f t="shared" si="544"/>
        <v>0</v>
      </c>
      <c r="FY84" s="106">
        <f>SUM(FV84:FX84)</f>
        <v>0</v>
      </c>
      <c r="FZ84" s="95"/>
      <c r="GA84" s="91"/>
    </row>
    <row r="85" spans="1:183" s="96" customFormat="1" ht="20.100000000000001" customHeight="1" thickBot="1" x14ac:dyDescent="0.25">
      <c r="A85" s="304"/>
      <c r="B85" s="308" t="s">
        <v>22</v>
      </c>
      <c r="C85" s="311"/>
      <c r="D85" s="107">
        <f t="shared" ref="D85:L85" si="545">SUM(D83:D84)</f>
        <v>0</v>
      </c>
      <c r="E85" s="108">
        <f t="shared" si="545"/>
        <v>0</v>
      </c>
      <c r="F85" s="108">
        <f t="shared" si="545"/>
        <v>0</v>
      </c>
      <c r="G85" s="108">
        <f t="shared" si="545"/>
        <v>0</v>
      </c>
      <c r="H85" s="109">
        <f t="shared" si="545"/>
        <v>0</v>
      </c>
      <c r="I85" s="110">
        <f t="shared" si="545"/>
        <v>0</v>
      </c>
      <c r="J85" s="111">
        <f t="shared" si="545"/>
        <v>0</v>
      </c>
      <c r="K85" s="108">
        <f t="shared" si="545"/>
        <v>0</v>
      </c>
      <c r="L85" s="109">
        <f t="shared" si="545"/>
        <v>0</v>
      </c>
      <c r="M85" s="112">
        <f t="shared" ref="M85" si="546">SUM(M83:M84)</f>
        <v>0</v>
      </c>
      <c r="N85" s="91"/>
      <c r="O85" s="304"/>
      <c r="P85" s="308" t="s">
        <v>22</v>
      </c>
      <c r="Q85" s="311"/>
      <c r="R85" s="107">
        <f t="shared" ref="R85:AA85" si="547">SUM(R83:R84)</f>
        <v>0</v>
      </c>
      <c r="S85" s="108">
        <f t="shared" si="547"/>
        <v>0</v>
      </c>
      <c r="T85" s="108">
        <f t="shared" si="547"/>
        <v>0</v>
      </c>
      <c r="U85" s="108">
        <f t="shared" si="547"/>
        <v>0</v>
      </c>
      <c r="V85" s="109">
        <f t="shared" si="547"/>
        <v>0</v>
      </c>
      <c r="W85" s="110">
        <f t="shared" si="547"/>
        <v>0</v>
      </c>
      <c r="X85" s="111">
        <f t="shared" si="547"/>
        <v>0</v>
      </c>
      <c r="Y85" s="108">
        <f t="shared" si="547"/>
        <v>0</v>
      </c>
      <c r="Z85" s="109">
        <f t="shared" si="547"/>
        <v>0</v>
      </c>
      <c r="AA85" s="112">
        <f t="shared" si="547"/>
        <v>0</v>
      </c>
      <c r="AB85" s="91"/>
      <c r="AC85" s="304"/>
      <c r="AD85" s="308" t="s">
        <v>22</v>
      </c>
      <c r="AE85" s="311"/>
      <c r="AF85" s="107">
        <f t="shared" ref="AF85:AO85" si="548">SUM(AF83:AF84)</f>
        <v>0</v>
      </c>
      <c r="AG85" s="108">
        <f t="shared" si="548"/>
        <v>0</v>
      </c>
      <c r="AH85" s="108">
        <f t="shared" si="548"/>
        <v>0</v>
      </c>
      <c r="AI85" s="108">
        <f t="shared" si="548"/>
        <v>0</v>
      </c>
      <c r="AJ85" s="109">
        <f t="shared" si="548"/>
        <v>0</v>
      </c>
      <c r="AK85" s="110">
        <f t="shared" si="548"/>
        <v>0</v>
      </c>
      <c r="AL85" s="111">
        <f t="shared" si="548"/>
        <v>0</v>
      </c>
      <c r="AM85" s="108">
        <f t="shared" si="548"/>
        <v>0</v>
      </c>
      <c r="AN85" s="109">
        <f t="shared" si="548"/>
        <v>0</v>
      </c>
      <c r="AO85" s="112">
        <f t="shared" si="548"/>
        <v>0</v>
      </c>
      <c r="AP85" s="91"/>
      <c r="AQ85" s="304"/>
      <c r="AR85" s="308" t="s">
        <v>22</v>
      </c>
      <c r="AS85" s="311"/>
      <c r="AT85" s="107">
        <f t="shared" ref="AT85:BC85" si="549">SUM(AT83:AT84)</f>
        <v>0</v>
      </c>
      <c r="AU85" s="108">
        <f t="shared" si="549"/>
        <v>0</v>
      </c>
      <c r="AV85" s="108">
        <f t="shared" si="549"/>
        <v>0</v>
      </c>
      <c r="AW85" s="108">
        <f t="shared" si="549"/>
        <v>0</v>
      </c>
      <c r="AX85" s="109">
        <f t="shared" si="549"/>
        <v>0</v>
      </c>
      <c r="AY85" s="110">
        <f t="shared" si="549"/>
        <v>0</v>
      </c>
      <c r="AZ85" s="111">
        <f t="shared" si="549"/>
        <v>0</v>
      </c>
      <c r="BA85" s="108">
        <f t="shared" si="549"/>
        <v>0</v>
      </c>
      <c r="BB85" s="109">
        <f t="shared" si="549"/>
        <v>0</v>
      </c>
      <c r="BC85" s="112">
        <f t="shared" si="549"/>
        <v>0</v>
      </c>
      <c r="BD85" s="91"/>
      <c r="BE85" s="304"/>
      <c r="BF85" s="308" t="s">
        <v>22</v>
      </c>
      <c r="BG85" s="311"/>
      <c r="BH85" s="107">
        <f t="shared" ref="BH85:BQ85" si="550">SUM(BH83:BH84)</f>
        <v>0</v>
      </c>
      <c r="BI85" s="108">
        <f t="shared" si="550"/>
        <v>0</v>
      </c>
      <c r="BJ85" s="108">
        <f t="shared" si="550"/>
        <v>0</v>
      </c>
      <c r="BK85" s="108">
        <f t="shared" si="550"/>
        <v>0</v>
      </c>
      <c r="BL85" s="109">
        <f t="shared" si="550"/>
        <v>0</v>
      </c>
      <c r="BM85" s="110">
        <f t="shared" si="550"/>
        <v>0</v>
      </c>
      <c r="BN85" s="111">
        <f t="shared" si="550"/>
        <v>0</v>
      </c>
      <c r="BO85" s="108">
        <f t="shared" si="550"/>
        <v>0</v>
      </c>
      <c r="BP85" s="109">
        <f t="shared" si="550"/>
        <v>0</v>
      </c>
      <c r="BQ85" s="112">
        <f t="shared" si="550"/>
        <v>0</v>
      </c>
      <c r="BR85" s="91"/>
      <c r="BS85" s="304"/>
      <c r="BT85" s="308" t="s">
        <v>22</v>
      </c>
      <c r="BU85" s="311"/>
      <c r="BV85" s="107">
        <f t="shared" ref="BV85:CE85" si="551">SUM(BV83:BV84)</f>
        <v>0</v>
      </c>
      <c r="BW85" s="108">
        <f t="shared" si="551"/>
        <v>0</v>
      </c>
      <c r="BX85" s="108">
        <f t="shared" si="551"/>
        <v>0</v>
      </c>
      <c r="BY85" s="108">
        <f t="shared" si="551"/>
        <v>0</v>
      </c>
      <c r="BZ85" s="109">
        <f t="shared" si="551"/>
        <v>0</v>
      </c>
      <c r="CA85" s="110">
        <f t="shared" si="551"/>
        <v>0</v>
      </c>
      <c r="CB85" s="111">
        <f t="shared" si="551"/>
        <v>0</v>
      </c>
      <c r="CC85" s="108">
        <f t="shared" si="551"/>
        <v>0</v>
      </c>
      <c r="CD85" s="109">
        <f t="shared" si="551"/>
        <v>0</v>
      </c>
      <c r="CE85" s="112">
        <f t="shared" si="551"/>
        <v>0</v>
      </c>
      <c r="CF85" s="91"/>
      <c r="CG85" s="304"/>
      <c r="CH85" s="308" t="s">
        <v>22</v>
      </c>
      <c r="CI85" s="311"/>
      <c r="CJ85" s="107">
        <f t="shared" ref="CJ85:CS85" si="552">SUM(CJ83:CJ84)</f>
        <v>0</v>
      </c>
      <c r="CK85" s="108">
        <f t="shared" si="552"/>
        <v>0</v>
      </c>
      <c r="CL85" s="108">
        <f t="shared" si="552"/>
        <v>0</v>
      </c>
      <c r="CM85" s="108">
        <f t="shared" si="552"/>
        <v>0</v>
      </c>
      <c r="CN85" s="109">
        <f t="shared" si="552"/>
        <v>0</v>
      </c>
      <c r="CO85" s="110">
        <f t="shared" si="552"/>
        <v>0</v>
      </c>
      <c r="CP85" s="111">
        <f t="shared" si="552"/>
        <v>0</v>
      </c>
      <c r="CQ85" s="108">
        <f t="shared" si="552"/>
        <v>0</v>
      </c>
      <c r="CR85" s="109">
        <f t="shared" si="552"/>
        <v>0</v>
      </c>
      <c r="CS85" s="112">
        <f t="shared" si="552"/>
        <v>0</v>
      </c>
      <c r="CT85" s="91"/>
      <c r="CU85" s="304"/>
      <c r="CV85" s="308" t="s">
        <v>22</v>
      </c>
      <c r="CW85" s="311"/>
      <c r="CX85" s="107">
        <f t="shared" ref="CX85:DG85" si="553">SUM(CX83:CX84)</f>
        <v>0</v>
      </c>
      <c r="CY85" s="108">
        <f t="shared" si="553"/>
        <v>0</v>
      </c>
      <c r="CZ85" s="108">
        <f t="shared" si="553"/>
        <v>0</v>
      </c>
      <c r="DA85" s="108">
        <f t="shared" si="553"/>
        <v>0</v>
      </c>
      <c r="DB85" s="109">
        <f t="shared" si="553"/>
        <v>0</v>
      </c>
      <c r="DC85" s="110">
        <f t="shared" si="553"/>
        <v>0</v>
      </c>
      <c r="DD85" s="111">
        <f t="shared" si="553"/>
        <v>0</v>
      </c>
      <c r="DE85" s="108">
        <f t="shared" si="553"/>
        <v>0</v>
      </c>
      <c r="DF85" s="109">
        <f t="shared" si="553"/>
        <v>0</v>
      </c>
      <c r="DG85" s="112">
        <f t="shared" si="553"/>
        <v>0</v>
      </c>
      <c r="DH85" s="91"/>
      <c r="DI85" s="304"/>
      <c r="DJ85" s="308" t="s">
        <v>22</v>
      </c>
      <c r="DK85" s="311"/>
      <c r="DL85" s="107">
        <f t="shared" ref="DL85:DU85" si="554">SUM(DL83:DL84)</f>
        <v>0</v>
      </c>
      <c r="DM85" s="108">
        <f t="shared" si="554"/>
        <v>0</v>
      </c>
      <c r="DN85" s="108">
        <f t="shared" si="554"/>
        <v>0</v>
      </c>
      <c r="DO85" s="108">
        <f t="shared" si="554"/>
        <v>0</v>
      </c>
      <c r="DP85" s="109">
        <f t="shared" si="554"/>
        <v>0</v>
      </c>
      <c r="DQ85" s="110">
        <f t="shared" si="554"/>
        <v>0</v>
      </c>
      <c r="DR85" s="111">
        <f t="shared" si="554"/>
        <v>0</v>
      </c>
      <c r="DS85" s="108">
        <f t="shared" si="554"/>
        <v>0</v>
      </c>
      <c r="DT85" s="109">
        <f t="shared" si="554"/>
        <v>0</v>
      </c>
      <c r="DU85" s="112">
        <f t="shared" si="554"/>
        <v>0</v>
      </c>
      <c r="DV85" s="91"/>
      <c r="DW85" s="304"/>
      <c r="DX85" s="308" t="s">
        <v>22</v>
      </c>
      <c r="DY85" s="311"/>
      <c r="DZ85" s="107">
        <f t="shared" ref="DZ85:EI85" si="555">SUM(DZ83:DZ84)</f>
        <v>0</v>
      </c>
      <c r="EA85" s="108">
        <f t="shared" si="555"/>
        <v>0</v>
      </c>
      <c r="EB85" s="108">
        <f t="shared" si="555"/>
        <v>0</v>
      </c>
      <c r="EC85" s="108">
        <f t="shared" si="555"/>
        <v>0</v>
      </c>
      <c r="ED85" s="109">
        <f t="shared" si="555"/>
        <v>0</v>
      </c>
      <c r="EE85" s="110">
        <f t="shared" si="555"/>
        <v>0</v>
      </c>
      <c r="EF85" s="111">
        <f t="shared" si="555"/>
        <v>0</v>
      </c>
      <c r="EG85" s="108">
        <f t="shared" si="555"/>
        <v>0</v>
      </c>
      <c r="EH85" s="109">
        <f t="shared" si="555"/>
        <v>0</v>
      </c>
      <c r="EI85" s="112">
        <f t="shared" si="555"/>
        <v>0</v>
      </c>
      <c r="EJ85" s="91"/>
      <c r="EK85" s="304"/>
      <c r="EL85" s="308" t="s">
        <v>22</v>
      </c>
      <c r="EM85" s="311"/>
      <c r="EN85" s="107">
        <f t="shared" ref="EN85:EW85" si="556">SUM(EN83:EN84)</f>
        <v>0</v>
      </c>
      <c r="EO85" s="108">
        <f t="shared" si="556"/>
        <v>0</v>
      </c>
      <c r="EP85" s="108">
        <f t="shared" si="556"/>
        <v>0</v>
      </c>
      <c r="EQ85" s="108">
        <f t="shared" si="556"/>
        <v>0</v>
      </c>
      <c r="ER85" s="109">
        <f t="shared" si="556"/>
        <v>0</v>
      </c>
      <c r="ES85" s="110">
        <f t="shared" si="556"/>
        <v>0</v>
      </c>
      <c r="ET85" s="111">
        <f t="shared" si="556"/>
        <v>0</v>
      </c>
      <c r="EU85" s="108">
        <f t="shared" si="556"/>
        <v>0</v>
      </c>
      <c r="EV85" s="109">
        <f t="shared" si="556"/>
        <v>0</v>
      </c>
      <c r="EW85" s="112">
        <f t="shared" si="556"/>
        <v>0</v>
      </c>
      <c r="EX85" s="91"/>
      <c r="EY85" s="304"/>
      <c r="EZ85" s="308" t="s">
        <v>22</v>
      </c>
      <c r="FA85" s="311"/>
      <c r="FB85" s="107">
        <f t="shared" ref="FB85:FK85" si="557">SUM(FB83:FB84)</f>
        <v>0</v>
      </c>
      <c r="FC85" s="108">
        <f t="shared" si="557"/>
        <v>0</v>
      </c>
      <c r="FD85" s="108">
        <f t="shared" si="557"/>
        <v>0</v>
      </c>
      <c r="FE85" s="108">
        <f t="shared" si="557"/>
        <v>0</v>
      </c>
      <c r="FF85" s="109">
        <f t="shared" si="557"/>
        <v>0</v>
      </c>
      <c r="FG85" s="110">
        <f t="shared" si="557"/>
        <v>0</v>
      </c>
      <c r="FH85" s="111">
        <f t="shared" si="557"/>
        <v>0</v>
      </c>
      <c r="FI85" s="108">
        <f t="shared" si="557"/>
        <v>0</v>
      </c>
      <c r="FJ85" s="109">
        <f t="shared" si="557"/>
        <v>0</v>
      </c>
      <c r="FK85" s="112">
        <f t="shared" si="557"/>
        <v>0</v>
      </c>
      <c r="FL85" s="147"/>
      <c r="FM85" s="304"/>
      <c r="FN85" s="308" t="s">
        <v>22</v>
      </c>
      <c r="FO85" s="311"/>
      <c r="FP85" s="107">
        <f t="shared" ref="FP85:FY85" si="558">SUM(FP83:FP84)</f>
        <v>0</v>
      </c>
      <c r="FQ85" s="108">
        <f t="shared" si="558"/>
        <v>0</v>
      </c>
      <c r="FR85" s="108">
        <f t="shared" si="558"/>
        <v>0</v>
      </c>
      <c r="FS85" s="108">
        <f t="shared" si="558"/>
        <v>0</v>
      </c>
      <c r="FT85" s="109">
        <f t="shared" si="558"/>
        <v>0</v>
      </c>
      <c r="FU85" s="113">
        <f t="shared" si="558"/>
        <v>0</v>
      </c>
      <c r="FV85" s="111">
        <f t="shared" si="558"/>
        <v>0</v>
      </c>
      <c r="FW85" s="108">
        <f t="shared" si="558"/>
        <v>0</v>
      </c>
      <c r="FX85" s="109">
        <f t="shared" si="558"/>
        <v>0</v>
      </c>
      <c r="FY85" s="114">
        <f t="shared" si="558"/>
        <v>0</v>
      </c>
      <c r="FZ85" s="95"/>
      <c r="GA85" s="91"/>
    </row>
    <row r="86" spans="1:183" s="96" customFormat="1" ht="20.100000000000001" customHeight="1" x14ac:dyDescent="0.2">
      <c r="A86" s="304"/>
      <c r="B86" s="300" t="s">
        <v>23</v>
      </c>
      <c r="C86" s="82" t="s">
        <v>20</v>
      </c>
      <c r="D86" s="115">
        <v>0</v>
      </c>
      <c r="E86" s="116">
        <v>0</v>
      </c>
      <c r="F86" s="116">
        <v>0</v>
      </c>
      <c r="G86" s="117">
        <v>0</v>
      </c>
      <c r="H86" s="118">
        <v>0</v>
      </c>
      <c r="I86" s="93">
        <f>SUM(D86:H86)</f>
        <v>0</v>
      </c>
      <c r="J86" s="119">
        <v>0</v>
      </c>
      <c r="K86" s="116">
        <v>0</v>
      </c>
      <c r="L86" s="120">
        <v>0</v>
      </c>
      <c r="M86" s="121">
        <f>SUM(J86:L86)</f>
        <v>0</v>
      </c>
      <c r="N86" s="91"/>
      <c r="O86" s="304"/>
      <c r="P86" s="300" t="s">
        <v>23</v>
      </c>
      <c r="Q86" s="82" t="s">
        <v>20</v>
      </c>
      <c r="R86" s="115">
        <v>0</v>
      </c>
      <c r="S86" s="116">
        <v>0</v>
      </c>
      <c r="T86" s="116">
        <v>0</v>
      </c>
      <c r="U86" s="117">
        <v>0</v>
      </c>
      <c r="V86" s="118">
        <v>0</v>
      </c>
      <c r="W86" s="93">
        <f>SUM(R86:V86)</f>
        <v>0</v>
      </c>
      <c r="X86" s="119">
        <v>0</v>
      </c>
      <c r="Y86" s="116">
        <v>0</v>
      </c>
      <c r="Z86" s="120">
        <v>0</v>
      </c>
      <c r="AA86" s="121">
        <f>SUM(X86:Z86)</f>
        <v>0</v>
      </c>
      <c r="AB86" s="91"/>
      <c r="AC86" s="304"/>
      <c r="AD86" s="300" t="s">
        <v>23</v>
      </c>
      <c r="AE86" s="82" t="s">
        <v>20</v>
      </c>
      <c r="AF86" s="115">
        <v>0</v>
      </c>
      <c r="AG86" s="116">
        <v>0</v>
      </c>
      <c r="AH86" s="116">
        <v>0</v>
      </c>
      <c r="AI86" s="117">
        <v>0</v>
      </c>
      <c r="AJ86" s="118">
        <v>0</v>
      </c>
      <c r="AK86" s="93">
        <f>SUM(AF86:AJ86)</f>
        <v>0</v>
      </c>
      <c r="AL86" s="119">
        <v>0</v>
      </c>
      <c r="AM86" s="116">
        <v>0</v>
      </c>
      <c r="AN86" s="120">
        <v>0</v>
      </c>
      <c r="AO86" s="121">
        <f>SUM(AL86:AN86)</f>
        <v>0</v>
      </c>
      <c r="AP86" s="91"/>
      <c r="AQ86" s="304"/>
      <c r="AR86" s="300" t="s">
        <v>23</v>
      </c>
      <c r="AS86" s="82" t="s">
        <v>20</v>
      </c>
      <c r="AT86" s="115">
        <v>0</v>
      </c>
      <c r="AU86" s="116">
        <v>0</v>
      </c>
      <c r="AV86" s="116">
        <v>0</v>
      </c>
      <c r="AW86" s="117">
        <v>0</v>
      </c>
      <c r="AX86" s="118">
        <v>0</v>
      </c>
      <c r="AY86" s="93">
        <f>SUM(AT86:AX86)</f>
        <v>0</v>
      </c>
      <c r="AZ86" s="119">
        <v>0</v>
      </c>
      <c r="BA86" s="116">
        <v>0</v>
      </c>
      <c r="BB86" s="120">
        <v>0</v>
      </c>
      <c r="BC86" s="121">
        <f>SUM(AZ86:BB86)</f>
        <v>0</v>
      </c>
      <c r="BD86" s="91"/>
      <c r="BE86" s="304"/>
      <c r="BF86" s="300" t="s">
        <v>23</v>
      </c>
      <c r="BG86" s="82" t="s">
        <v>20</v>
      </c>
      <c r="BH86" s="115">
        <v>0</v>
      </c>
      <c r="BI86" s="116">
        <v>0</v>
      </c>
      <c r="BJ86" s="116">
        <v>0</v>
      </c>
      <c r="BK86" s="117">
        <v>0</v>
      </c>
      <c r="BL86" s="118">
        <v>0</v>
      </c>
      <c r="BM86" s="93">
        <f>SUM(BH86:BL86)</f>
        <v>0</v>
      </c>
      <c r="BN86" s="119">
        <v>0</v>
      </c>
      <c r="BO86" s="116">
        <v>0</v>
      </c>
      <c r="BP86" s="120">
        <v>0</v>
      </c>
      <c r="BQ86" s="121">
        <f>SUM(BN86:BP86)</f>
        <v>0</v>
      </c>
      <c r="BR86" s="91"/>
      <c r="BS86" s="304"/>
      <c r="BT86" s="300" t="s">
        <v>23</v>
      </c>
      <c r="BU86" s="82" t="s">
        <v>20</v>
      </c>
      <c r="BV86" s="115">
        <v>0</v>
      </c>
      <c r="BW86" s="116">
        <v>0</v>
      </c>
      <c r="BX86" s="116">
        <v>0</v>
      </c>
      <c r="BY86" s="117">
        <v>0</v>
      </c>
      <c r="BZ86" s="118">
        <v>0</v>
      </c>
      <c r="CA86" s="93">
        <f>SUM(BV86:BZ86)</f>
        <v>0</v>
      </c>
      <c r="CB86" s="119">
        <v>0</v>
      </c>
      <c r="CC86" s="116">
        <v>0</v>
      </c>
      <c r="CD86" s="120">
        <v>0</v>
      </c>
      <c r="CE86" s="121">
        <f>SUM(CB86:CD86)</f>
        <v>0</v>
      </c>
      <c r="CF86" s="91"/>
      <c r="CG86" s="304"/>
      <c r="CH86" s="300" t="s">
        <v>23</v>
      </c>
      <c r="CI86" s="82" t="s">
        <v>20</v>
      </c>
      <c r="CJ86" s="115">
        <v>0</v>
      </c>
      <c r="CK86" s="116">
        <v>0</v>
      </c>
      <c r="CL86" s="116">
        <v>0</v>
      </c>
      <c r="CM86" s="117">
        <v>0</v>
      </c>
      <c r="CN86" s="118">
        <v>0</v>
      </c>
      <c r="CO86" s="93">
        <f>SUM(CJ86:CN86)</f>
        <v>0</v>
      </c>
      <c r="CP86" s="119">
        <v>0</v>
      </c>
      <c r="CQ86" s="116">
        <v>0</v>
      </c>
      <c r="CR86" s="120">
        <v>0</v>
      </c>
      <c r="CS86" s="121">
        <f>SUM(CP86:CR86)</f>
        <v>0</v>
      </c>
      <c r="CT86" s="91"/>
      <c r="CU86" s="304"/>
      <c r="CV86" s="300" t="s">
        <v>23</v>
      </c>
      <c r="CW86" s="82" t="s">
        <v>20</v>
      </c>
      <c r="CX86" s="115">
        <v>0</v>
      </c>
      <c r="CY86" s="116">
        <v>0</v>
      </c>
      <c r="CZ86" s="116">
        <v>0</v>
      </c>
      <c r="DA86" s="117">
        <v>0</v>
      </c>
      <c r="DB86" s="118">
        <v>0</v>
      </c>
      <c r="DC86" s="93">
        <f>SUM(CX86:DB86)</f>
        <v>0</v>
      </c>
      <c r="DD86" s="119">
        <v>0</v>
      </c>
      <c r="DE86" s="116">
        <v>0</v>
      </c>
      <c r="DF86" s="120">
        <v>0</v>
      </c>
      <c r="DG86" s="121">
        <f>SUM(DD86:DF86)</f>
        <v>0</v>
      </c>
      <c r="DH86" s="91"/>
      <c r="DI86" s="304"/>
      <c r="DJ86" s="300" t="s">
        <v>23</v>
      </c>
      <c r="DK86" s="82" t="s">
        <v>20</v>
      </c>
      <c r="DL86" s="115">
        <v>0</v>
      </c>
      <c r="DM86" s="116">
        <v>0</v>
      </c>
      <c r="DN86" s="116">
        <v>0</v>
      </c>
      <c r="DO86" s="117">
        <v>0</v>
      </c>
      <c r="DP86" s="118">
        <v>0</v>
      </c>
      <c r="DQ86" s="93">
        <f>SUM(DL86:DP86)</f>
        <v>0</v>
      </c>
      <c r="DR86" s="119">
        <v>0</v>
      </c>
      <c r="DS86" s="116">
        <v>0</v>
      </c>
      <c r="DT86" s="120">
        <v>0</v>
      </c>
      <c r="DU86" s="121">
        <f>SUM(DR86:DT86)</f>
        <v>0</v>
      </c>
      <c r="DV86" s="91"/>
      <c r="DW86" s="304"/>
      <c r="DX86" s="300" t="s">
        <v>23</v>
      </c>
      <c r="DY86" s="82" t="s">
        <v>20</v>
      </c>
      <c r="DZ86" s="115">
        <v>0</v>
      </c>
      <c r="EA86" s="116">
        <v>0</v>
      </c>
      <c r="EB86" s="116">
        <v>0</v>
      </c>
      <c r="EC86" s="117">
        <v>0</v>
      </c>
      <c r="ED86" s="118">
        <v>0</v>
      </c>
      <c r="EE86" s="93">
        <f>SUM(DZ86:ED86)</f>
        <v>0</v>
      </c>
      <c r="EF86" s="119">
        <v>0</v>
      </c>
      <c r="EG86" s="116">
        <v>0</v>
      </c>
      <c r="EH86" s="120">
        <v>0</v>
      </c>
      <c r="EI86" s="121">
        <f>SUM(EF86:EH86)</f>
        <v>0</v>
      </c>
      <c r="EJ86" s="91"/>
      <c r="EK86" s="304"/>
      <c r="EL86" s="300" t="s">
        <v>23</v>
      </c>
      <c r="EM86" s="82" t="s">
        <v>20</v>
      </c>
      <c r="EN86" s="115">
        <v>0</v>
      </c>
      <c r="EO86" s="116">
        <v>0</v>
      </c>
      <c r="EP86" s="116">
        <v>0</v>
      </c>
      <c r="EQ86" s="117">
        <v>0</v>
      </c>
      <c r="ER86" s="118">
        <v>0</v>
      </c>
      <c r="ES86" s="93">
        <f>SUM(EN86:ER86)</f>
        <v>0</v>
      </c>
      <c r="ET86" s="119">
        <v>0</v>
      </c>
      <c r="EU86" s="116">
        <v>0</v>
      </c>
      <c r="EV86" s="120">
        <v>0</v>
      </c>
      <c r="EW86" s="121">
        <f>SUM(ET86:EV86)</f>
        <v>0</v>
      </c>
      <c r="EX86" s="91"/>
      <c r="EY86" s="304"/>
      <c r="EZ86" s="300" t="s">
        <v>23</v>
      </c>
      <c r="FA86" s="82" t="s">
        <v>20</v>
      </c>
      <c r="FB86" s="115">
        <v>0</v>
      </c>
      <c r="FC86" s="116">
        <v>0</v>
      </c>
      <c r="FD86" s="116">
        <v>0</v>
      </c>
      <c r="FE86" s="117">
        <v>0</v>
      </c>
      <c r="FF86" s="118">
        <v>0</v>
      </c>
      <c r="FG86" s="93">
        <f>SUM(FB86:FF86)</f>
        <v>0</v>
      </c>
      <c r="FH86" s="119">
        <v>0</v>
      </c>
      <c r="FI86" s="116">
        <v>0</v>
      </c>
      <c r="FJ86" s="120">
        <v>0</v>
      </c>
      <c r="FK86" s="121">
        <f>SUM(FH86:FJ86)</f>
        <v>0</v>
      </c>
      <c r="FL86" s="147"/>
      <c r="FM86" s="304"/>
      <c r="FN86" s="300" t="s">
        <v>23</v>
      </c>
      <c r="FO86" s="82" t="s">
        <v>20</v>
      </c>
      <c r="FP86" s="115">
        <f t="shared" ref="FP86:FP87" si="559">SUM(D86+R86+AF86+AT86+BH86+BV86+CJ86+CX86+DL86+DZ86+EN86+FB86)</f>
        <v>0</v>
      </c>
      <c r="FQ86" s="115">
        <f t="shared" ref="FQ86:FQ87" si="560">SUM(E86+S86+AG86+AU86+BI86+BW86+CK86+CY86+DM86+EA86+EO86+FC86)</f>
        <v>0</v>
      </c>
      <c r="FR86" s="115">
        <f t="shared" ref="FR86:FR87" si="561">SUM(F86+T86+AH86+AV86+BJ86+BX86+CL86+CZ86+DN86+EB86+EP86+FD86)</f>
        <v>0</v>
      </c>
      <c r="FS86" s="150">
        <f t="shared" ref="FS86:FS87" si="562">SUM(G86+U86+AI86+AW86+BK86+BY86+CM86+DA86+DO86+EC86+EQ86+FE86)</f>
        <v>0</v>
      </c>
      <c r="FT86" s="115">
        <f t="shared" ref="FT86:FT87" si="563">SUM(H86+V86+AJ86+AX86+BL86+BZ86+CN86+DB86+DP86+ED86+ER86+FF86)</f>
        <v>0</v>
      </c>
      <c r="FU86" s="93">
        <f>SUM(FP86:FT86)</f>
        <v>0</v>
      </c>
      <c r="FV86" s="119">
        <f t="shared" ref="FV86:FV87" si="564">SUM(J86+X86+AL86+AZ86+BN86+CB86+CP86+DD86+DR86+EF86+ET86+FH86)</f>
        <v>0</v>
      </c>
      <c r="FW86" s="119">
        <f t="shared" ref="FW86:FW87" si="565">SUM(K86+Y86+AM86+BA86+BO86+CC86+CQ86+DE86+DS86+EG86+EU86+FI86)</f>
        <v>0</v>
      </c>
      <c r="FX86" s="119">
        <f t="shared" ref="FX86:FX87" si="566">SUM(L86+Z86+AN86+BB86+BP86+CD86+CR86+DF86+DT86+EH86+EV86+FJ86)</f>
        <v>0</v>
      </c>
      <c r="FY86" s="122">
        <f>SUM(FV86:FX86)</f>
        <v>0</v>
      </c>
      <c r="FZ86" s="95"/>
      <c r="GA86" s="91"/>
    </row>
    <row r="87" spans="1:183" ht="20.100000000000001" customHeight="1" thickBot="1" x14ac:dyDescent="0.3">
      <c r="A87" s="304"/>
      <c r="B87" s="294"/>
      <c r="C87" s="97" t="s">
        <v>21</v>
      </c>
      <c r="D87" s="98">
        <v>0</v>
      </c>
      <c r="E87" s="99">
        <v>0</v>
      </c>
      <c r="F87" s="99">
        <v>0</v>
      </c>
      <c r="G87" s="99">
        <v>0</v>
      </c>
      <c r="H87" s="100">
        <v>0</v>
      </c>
      <c r="I87" s="101">
        <f>SUM(D87:H87)</f>
        <v>0</v>
      </c>
      <c r="J87" s="102">
        <v>0</v>
      </c>
      <c r="K87" s="99">
        <v>0</v>
      </c>
      <c r="L87" s="103">
        <v>0</v>
      </c>
      <c r="M87" s="104">
        <f>SUM(J87:L87)</f>
        <v>0</v>
      </c>
      <c r="N87" s="61"/>
      <c r="O87" s="304"/>
      <c r="P87" s="294"/>
      <c r="Q87" s="97" t="s">
        <v>21</v>
      </c>
      <c r="R87" s="98">
        <v>0</v>
      </c>
      <c r="S87" s="99">
        <v>0</v>
      </c>
      <c r="T87" s="99">
        <v>0</v>
      </c>
      <c r="U87" s="99">
        <v>0</v>
      </c>
      <c r="V87" s="100">
        <v>0</v>
      </c>
      <c r="W87" s="101">
        <f>SUM(R87:V87)</f>
        <v>0</v>
      </c>
      <c r="X87" s="102">
        <v>0</v>
      </c>
      <c r="Y87" s="99">
        <v>0</v>
      </c>
      <c r="Z87" s="103">
        <v>0</v>
      </c>
      <c r="AA87" s="104">
        <f>SUM(X87:Z87)</f>
        <v>0</v>
      </c>
      <c r="AB87" s="61"/>
      <c r="AC87" s="304"/>
      <c r="AD87" s="294"/>
      <c r="AE87" s="97" t="s">
        <v>21</v>
      </c>
      <c r="AF87" s="98">
        <v>0</v>
      </c>
      <c r="AG87" s="99">
        <v>0</v>
      </c>
      <c r="AH87" s="99">
        <v>0</v>
      </c>
      <c r="AI87" s="99">
        <v>0</v>
      </c>
      <c r="AJ87" s="100">
        <v>0</v>
      </c>
      <c r="AK87" s="101">
        <f>SUM(AF87:AJ87)</f>
        <v>0</v>
      </c>
      <c r="AL87" s="102">
        <v>0</v>
      </c>
      <c r="AM87" s="99">
        <v>0</v>
      </c>
      <c r="AN87" s="103">
        <v>0</v>
      </c>
      <c r="AO87" s="104">
        <f>SUM(AL87:AN87)</f>
        <v>0</v>
      </c>
      <c r="AP87" s="61"/>
      <c r="AQ87" s="304"/>
      <c r="AR87" s="294"/>
      <c r="AS87" s="97" t="s">
        <v>21</v>
      </c>
      <c r="AT87" s="98">
        <v>0</v>
      </c>
      <c r="AU87" s="99">
        <v>0</v>
      </c>
      <c r="AV87" s="99">
        <v>0</v>
      </c>
      <c r="AW87" s="99">
        <v>0</v>
      </c>
      <c r="AX87" s="100">
        <v>0</v>
      </c>
      <c r="AY87" s="101">
        <f>SUM(AT87:AX87)</f>
        <v>0</v>
      </c>
      <c r="AZ87" s="102">
        <v>0</v>
      </c>
      <c r="BA87" s="99">
        <v>0</v>
      </c>
      <c r="BB87" s="103">
        <v>0</v>
      </c>
      <c r="BC87" s="104">
        <f>SUM(AZ87:BB87)</f>
        <v>0</v>
      </c>
      <c r="BD87" s="61"/>
      <c r="BE87" s="304"/>
      <c r="BF87" s="294"/>
      <c r="BG87" s="97" t="s">
        <v>21</v>
      </c>
      <c r="BH87" s="98">
        <v>0</v>
      </c>
      <c r="BI87" s="99">
        <v>0</v>
      </c>
      <c r="BJ87" s="99">
        <v>0</v>
      </c>
      <c r="BK87" s="99">
        <v>0</v>
      </c>
      <c r="BL87" s="100">
        <v>0</v>
      </c>
      <c r="BM87" s="101">
        <f>SUM(BH87:BL87)</f>
        <v>0</v>
      </c>
      <c r="BN87" s="102">
        <v>0</v>
      </c>
      <c r="BO87" s="99">
        <v>0</v>
      </c>
      <c r="BP87" s="103">
        <v>0</v>
      </c>
      <c r="BQ87" s="104">
        <f>SUM(BN87:BP87)</f>
        <v>0</v>
      </c>
      <c r="BR87" s="61"/>
      <c r="BS87" s="304"/>
      <c r="BT87" s="294"/>
      <c r="BU87" s="97" t="s">
        <v>21</v>
      </c>
      <c r="BV87" s="98">
        <v>0</v>
      </c>
      <c r="BW87" s="99">
        <v>0</v>
      </c>
      <c r="BX87" s="99">
        <v>0</v>
      </c>
      <c r="BY87" s="99">
        <v>0</v>
      </c>
      <c r="BZ87" s="100">
        <v>0</v>
      </c>
      <c r="CA87" s="101">
        <f>SUM(BV87:BZ87)</f>
        <v>0</v>
      </c>
      <c r="CB87" s="102">
        <v>0</v>
      </c>
      <c r="CC87" s="99">
        <v>0</v>
      </c>
      <c r="CD87" s="103">
        <v>0</v>
      </c>
      <c r="CE87" s="104">
        <f>SUM(CB87:CD87)</f>
        <v>0</v>
      </c>
      <c r="CF87" s="61"/>
      <c r="CG87" s="304"/>
      <c r="CH87" s="294"/>
      <c r="CI87" s="97" t="s">
        <v>21</v>
      </c>
      <c r="CJ87" s="98">
        <v>0</v>
      </c>
      <c r="CK87" s="99">
        <v>0</v>
      </c>
      <c r="CL87" s="99">
        <v>0</v>
      </c>
      <c r="CM87" s="99">
        <v>0</v>
      </c>
      <c r="CN87" s="100">
        <v>0</v>
      </c>
      <c r="CO87" s="101">
        <f>SUM(CJ87:CN87)</f>
        <v>0</v>
      </c>
      <c r="CP87" s="102">
        <v>0</v>
      </c>
      <c r="CQ87" s="99">
        <v>0</v>
      </c>
      <c r="CR87" s="103">
        <v>0</v>
      </c>
      <c r="CS87" s="104">
        <f>SUM(CP87:CR87)</f>
        <v>0</v>
      </c>
      <c r="CT87" s="61"/>
      <c r="CU87" s="304"/>
      <c r="CV87" s="294"/>
      <c r="CW87" s="97" t="s">
        <v>21</v>
      </c>
      <c r="CX87" s="98">
        <v>0</v>
      </c>
      <c r="CY87" s="99">
        <v>0</v>
      </c>
      <c r="CZ87" s="99">
        <v>0</v>
      </c>
      <c r="DA87" s="99">
        <v>0</v>
      </c>
      <c r="DB87" s="100">
        <v>0</v>
      </c>
      <c r="DC87" s="101">
        <f>SUM(CX87:DB87)</f>
        <v>0</v>
      </c>
      <c r="DD87" s="102">
        <v>0</v>
      </c>
      <c r="DE87" s="99">
        <v>0</v>
      </c>
      <c r="DF87" s="103">
        <v>0</v>
      </c>
      <c r="DG87" s="104">
        <f>SUM(DD87:DF87)</f>
        <v>0</v>
      </c>
      <c r="DH87" s="61"/>
      <c r="DI87" s="304"/>
      <c r="DJ87" s="294"/>
      <c r="DK87" s="97" t="s">
        <v>21</v>
      </c>
      <c r="DL87" s="98">
        <v>0</v>
      </c>
      <c r="DM87" s="99">
        <v>0</v>
      </c>
      <c r="DN87" s="99">
        <v>0</v>
      </c>
      <c r="DO87" s="99">
        <v>0</v>
      </c>
      <c r="DP87" s="100">
        <v>0</v>
      </c>
      <c r="DQ87" s="101">
        <f>SUM(DL87:DP87)</f>
        <v>0</v>
      </c>
      <c r="DR87" s="102">
        <v>0</v>
      </c>
      <c r="DS87" s="99">
        <v>0</v>
      </c>
      <c r="DT87" s="103">
        <v>0</v>
      </c>
      <c r="DU87" s="104">
        <f>SUM(DR87:DT87)</f>
        <v>0</v>
      </c>
      <c r="DV87" s="61"/>
      <c r="DW87" s="304"/>
      <c r="DX87" s="294"/>
      <c r="DY87" s="97" t="s">
        <v>21</v>
      </c>
      <c r="DZ87" s="98">
        <v>0</v>
      </c>
      <c r="EA87" s="99">
        <v>0</v>
      </c>
      <c r="EB87" s="99">
        <v>0</v>
      </c>
      <c r="EC87" s="99">
        <v>0</v>
      </c>
      <c r="ED87" s="100">
        <v>0</v>
      </c>
      <c r="EE87" s="101">
        <f>SUM(DZ87:ED87)</f>
        <v>0</v>
      </c>
      <c r="EF87" s="102">
        <v>0</v>
      </c>
      <c r="EG87" s="99">
        <v>0</v>
      </c>
      <c r="EH87" s="103">
        <v>0</v>
      </c>
      <c r="EI87" s="104">
        <f>SUM(EF87:EH87)</f>
        <v>0</v>
      </c>
      <c r="EJ87" s="61"/>
      <c r="EK87" s="304"/>
      <c r="EL87" s="294"/>
      <c r="EM87" s="97" t="s">
        <v>21</v>
      </c>
      <c r="EN87" s="98">
        <v>0</v>
      </c>
      <c r="EO87" s="99">
        <v>0</v>
      </c>
      <c r="EP87" s="99">
        <v>0</v>
      </c>
      <c r="EQ87" s="99">
        <v>0</v>
      </c>
      <c r="ER87" s="100">
        <v>0</v>
      </c>
      <c r="ES87" s="101">
        <f>SUM(EN87:ER87)</f>
        <v>0</v>
      </c>
      <c r="ET87" s="102">
        <v>0</v>
      </c>
      <c r="EU87" s="99">
        <v>0</v>
      </c>
      <c r="EV87" s="103">
        <v>0</v>
      </c>
      <c r="EW87" s="104">
        <f>SUM(ET87:EV87)</f>
        <v>0</v>
      </c>
      <c r="EX87" s="61"/>
      <c r="EY87" s="304"/>
      <c r="EZ87" s="294"/>
      <c r="FA87" s="97" t="s">
        <v>21</v>
      </c>
      <c r="FB87" s="98">
        <v>0</v>
      </c>
      <c r="FC87" s="99">
        <v>0</v>
      </c>
      <c r="FD87" s="99">
        <v>0</v>
      </c>
      <c r="FE87" s="99">
        <v>0</v>
      </c>
      <c r="FF87" s="100">
        <v>0</v>
      </c>
      <c r="FG87" s="101">
        <f>SUM(FB87:FF87)</f>
        <v>0</v>
      </c>
      <c r="FH87" s="102">
        <v>0</v>
      </c>
      <c r="FI87" s="99">
        <v>0</v>
      </c>
      <c r="FJ87" s="103">
        <v>0</v>
      </c>
      <c r="FK87" s="104">
        <f>SUM(FH87:FJ87)</f>
        <v>0</v>
      </c>
      <c r="FM87" s="304"/>
      <c r="FN87" s="294"/>
      <c r="FO87" s="97" t="s">
        <v>21</v>
      </c>
      <c r="FP87" s="115">
        <f t="shared" si="559"/>
        <v>0</v>
      </c>
      <c r="FQ87" s="115">
        <f t="shared" si="560"/>
        <v>0</v>
      </c>
      <c r="FR87" s="115">
        <f t="shared" si="561"/>
        <v>0</v>
      </c>
      <c r="FS87" s="115">
        <f t="shared" si="562"/>
        <v>0</v>
      </c>
      <c r="FT87" s="115">
        <f t="shared" si="563"/>
        <v>0</v>
      </c>
      <c r="FU87" s="101">
        <f>SUM(FP87:FT87)</f>
        <v>0</v>
      </c>
      <c r="FV87" s="119">
        <f t="shared" si="564"/>
        <v>0</v>
      </c>
      <c r="FW87" s="119">
        <f t="shared" si="565"/>
        <v>0</v>
      </c>
      <c r="FX87" s="119">
        <f t="shared" si="566"/>
        <v>0</v>
      </c>
      <c r="FY87" s="106">
        <f>SUM(FV87:FX87)</f>
        <v>0</v>
      </c>
      <c r="GA87" s="61"/>
    </row>
    <row r="88" spans="1:183" ht="20.100000000000001" customHeight="1" thickBot="1" x14ac:dyDescent="0.3">
      <c r="A88" s="305"/>
      <c r="B88" s="301" t="s">
        <v>24</v>
      </c>
      <c r="C88" s="310"/>
      <c r="D88" s="107">
        <f t="shared" ref="D88:M88" si="567">SUM(D86:D87)</f>
        <v>0</v>
      </c>
      <c r="E88" s="108">
        <f t="shared" si="567"/>
        <v>0</v>
      </c>
      <c r="F88" s="108">
        <f t="shared" si="567"/>
        <v>0</v>
      </c>
      <c r="G88" s="108">
        <f t="shared" si="567"/>
        <v>0</v>
      </c>
      <c r="H88" s="109">
        <f t="shared" si="567"/>
        <v>0</v>
      </c>
      <c r="I88" s="110">
        <f t="shared" si="567"/>
        <v>0</v>
      </c>
      <c r="J88" s="111">
        <f t="shared" si="567"/>
        <v>0</v>
      </c>
      <c r="K88" s="108">
        <f t="shared" si="567"/>
        <v>0</v>
      </c>
      <c r="L88" s="109">
        <f t="shared" si="567"/>
        <v>0</v>
      </c>
      <c r="M88" s="112">
        <f t="shared" si="567"/>
        <v>0</v>
      </c>
      <c r="N88" s="61"/>
      <c r="O88" s="305"/>
      <c r="P88" s="301" t="s">
        <v>24</v>
      </c>
      <c r="Q88" s="310"/>
      <c r="R88" s="107">
        <f t="shared" ref="R88:AA88" si="568">SUM(R86:R87)</f>
        <v>0</v>
      </c>
      <c r="S88" s="108">
        <f t="shared" si="568"/>
        <v>0</v>
      </c>
      <c r="T88" s="108">
        <f t="shared" si="568"/>
        <v>0</v>
      </c>
      <c r="U88" s="108">
        <f t="shared" si="568"/>
        <v>0</v>
      </c>
      <c r="V88" s="109">
        <f t="shared" si="568"/>
        <v>0</v>
      </c>
      <c r="W88" s="110">
        <f t="shared" si="568"/>
        <v>0</v>
      </c>
      <c r="X88" s="111">
        <f t="shared" si="568"/>
        <v>0</v>
      </c>
      <c r="Y88" s="108">
        <f t="shared" si="568"/>
        <v>0</v>
      </c>
      <c r="Z88" s="109">
        <f t="shared" si="568"/>
        <v>0</v>
      </c>
      <c r="AA88" s="112">
        <f t="shared" si="568"/>
        <v>0</v>
      </c>
      <c r="AB88" s="61"/>
      <c r="AC88" s="305"/>
      <c r="AD88" s="301" t="s">
        <v>24</v>
      </c>
      <c r="AE88" s="310"/>
      <c r="AF88" s="107">
        <f t="shared" ref="AF88:AO88" si="569">SUM(AF86:AF87)</f>
        <v>0</v>
      </c>
      <c r="AG88" s="108">
        <f t="shared" si="569"/>
        <v>0</v>
      </c>
      <c r="AH88" s="108">
        <f t="shared" si="569"/>
        <v>0</v>
      </c>
      <c r="AI88" s="108">
        <f t="shared" si="569"/>
        <v>0</v>
      </c>
      <c r="AJ88" s="109">
        <f t="shared" si="569"/>
        <v>0</v>
      </c>
      <c r="AK88" s="110">
        <f t="shared" si="569"/>
        <v>0</v>
      </c>
      <c r="AL88" s="111">
        <f t="shared" si="569"/>
        <v>0</v>
      </c>
      <c r="AM88" s="108">
        <f t="shared" si="569"/>
        <v>0</v>
      </c>
      <c r="AN88" s="109">
        <f t="shared" si="569"/>
        <v>0</v>
      </c>
      <c r="AO88" s="112">
        <f t="shared" si="569"/>
        <v>0</v>
      </c>
      <c r="AP88" s="61"/>
      <c r="AQ88" s="305"/>
      <c r="AR88" s="301" t="s">
        <v>24</v>
      </c>
      <c r="AS88" s="310"/>
      <c r="AT88" s="107">
        <f t="shared" ref="AT88:BC88" si="570">SUM(AT86:AT87)</f>
        <v>0</v>
      </c>
      <c r="AU88" s="108">
        <f t="shared" si="570"/>
        <v>0</v>
      </c>
      <c r="AV88" s="108">
        <f t="shared" si="570"/>
        <v>0</v>
      </c>
      <c r="AW88" s="108">
        <f t="shared" si="570"/>
        <v>0</v>
      </c>
      <c r="AX88" s="109">
        <f t="shared" si="570"/>
        <v>0</v>
      </c>
      <c r="AY88" s="110">
        <f t="shared" si="570"/>
        <v>0</v>
      </c>
      <c r="AZ88" s="111">
        <f t="shared" si="570"/>
        <v>0</v>
      </c>
      <c r="BA88" s="108">
        <f t="shared" si="570"/>
        <v>0</v>
      </c>
      <c r="BB88" s="109">
        <f t="shared" si="570"/>
        <v>0</v>
      </c>
      <c r="BC88" s="112">
        <f t="shared" si="570"/>
        <v>0</v>
      </c>
      <c r="BD88" s="61"/>
      <c r="BE88" s="305"/>
      <c r="BF88" s="301" t="s">
        <v>24</v>
      </c>
      <c r="BG88" s="310"/>
      <c r="BH88" s="107">
        <f t="shared" ref="BH88:BQ88" si="571">SUM(BH86:BH87)</f>
        <v>0</v>
      </c>
      <c r="BI88" s="108">
        <f t="shared" si="571"/>
        <v>0</v>
      </c>
      <c r="BJ88" s="108">
        <f t="shared" si="571"/>
        <v>0</v>
      </c>
      <c r="BK88" s="108">
        <f t="shared" si="571"/>
        <v>0</v>
      </c>
      <c r="BL88" s="109">
        <f t="shared" si="571"/>
        <v>0</v>
      </c>
      <c r="BM88" s="110">
        <f t="shared" si="571"/>
        <v>0</v>
      </c>
      <c r="BN88" s="111">
        <f t="shared" si="571"/>
        <v>0</v>
      </c>
      <c r="BO88" s="108">
        <f t="shared" si="571"/>
        <v>0</v>
      </c>
      <c r="BP88" s="109">
        <f t="shared" si="571"/>
        <v>0</v>
      </c>
      <c r="BQ88" s="112">
        <f t="shared" si="571"/>
        <v>0</v>
      </c>
      <c r="BR88" s="61"/>
      <c r="BS88" s="305"/>
      <c r="BT88" s="301" t="s">
        <v>24</v>
      </c>
      <c r="BU88" s="310"/>
      <c r="BV88" s="107">
        <f t="shared" ref="BV88:CE88" si="572">SUM(BV86:BV87)</f>
        <v>0</v>
      </c>
      <c r="BW88" s="108">
        <f t="shared" si="572"/>
        <v>0</v>
      </c>
      <c r="BX88" s="108">
        <f t="shared" si="572"/>
        <v>0</v>
      </c>
      <c r="BY88" s="108">
        <f t="shared" si="572"/>
        <v>0</v>
      </c>
      <c r="BZ88" s="109">
        <f t="shared" si="572"/>
        <v>0</v>
      </c>
      <c r="CA88" s="110">
        <f t="shared" si="572"/>
        <v>0</v>
      </c>
      <c r="CB88" s="111">
        <f t="shared" si="572"/>
        <v>0</v>
      </c>
      <c r="CC88" s="108">
        <f t="shared" si="572"/>
        <v>0</v>
      </c>
      <c r="CD88" s="109">
        <f t="shared" si="572"/>
        <v>0</v>
      </c>
      <c r="CE88" s="112">
        <f t="shared" si="572"/>
        <v>0</v>
      </c>
      <c r="CF88" s="61"/>
      <c r="CG88" s="305"/>
      <c r="CH88" s="301" t="s">
        <v>24</v>
      </c>
      <c r="CI88" s="310"/>
      <c r="CJ88" s="107">
        <f t="shared" ref="CJ88:CS88" si="573">SUM(CJ86:CJ87)</f>
        <v>0</v>
      </c>
      <c r="CK88" s="108">
        <f t="shared" si="573"/>
        <v>0</v>
      </c>
      <c r="CL88" s="108">
        <f t="shared" si="573"/>
        <v>0</v>
      </c>
      <c r="CM88" s="108">
        <f t="shared" si="573"/>
        <v>0</v>
      </c>
      <c r="CN88" s="109">
        <f t="shared" si="573"/>
        <v>0</v>
      </c>
      <c r="CO88" s="110">
        <f t="shared" si="573"/>
        <v>0</v>
      </c>
      <c r="CP88" s="111">
        <f t="shared" si="573"/>
        <v>0</v>
      </c>
      <c r="CQ88" s="108">
        <f t="shared" si="573"/>
        <v>0</v>
      </c>
      <c r="CR88" s="109">
        <f t="shared" si="573"/>
        <v>0</v>
      </c>
      <c r="CS88" s="112">
        <f t="shared" si="573"/>
        <v>0</v>
      </c>
      <c r="CT88" s="61"/>
      <c r="CU88" s="305"/>
      <c r="CV88" s="301" t="s">
        <v>24</v>
      </c>
      <c r="CW88" s="310"/>
      <c r="CX88" s="107">
        <f t="shared" ref="CX88:DG88" si="574">SUM(CX86:CX87)</f>
        <v>0</v>
      </c>
      <c r="CY88" s="108">
        <f t="shared" si="574"/>
        <v>0</v>
      </c>
      <c r="CZ88" s="108">
        <f t="shared" si="574"/>
        <v>0</v>
      </c>
      <c r="DA88" s="108">
        <f t="shared" si="574"/>
        <v>0</v>
      </c>
      <c r="DB88" s="109">
        <f t="shared" si="574"/>
        <v>0</v>
      </c>
      <c r="DC88" s="110">
        <f t="shared" si="574"/>
        <v>0</v>
      </c>
      <c r="DD88" s="111">
        <f t="shared" si="574"/>
        <v>0</v>
      </c>
      <c r="DE88" s="108">
        <f t="shared" si="574"/>
        <v>0</v>
      </c>
      <c r="DF88" s="109">
        <f t="shared" si="574"/>
        <v>0</v>
      </c>
      <c r="DG88" s="112">
        <f t="shared" si="574"/>
        <v>0</v>
      </c>
      <c r="DH88" s="61"/>
      <c r="DI88" s="305"/>
      <c r="DJ88" s="301" t="s">
        <v>24</v>
      </c>
      <c r="DK88" s="310"/>
      <c r="DL88" s="107">
        <f t="shared" ref="DL88:DU88" si="575">SUM(DL86:DL87)</f>
        <v>0</v>
      </c>
      <c r="DM88" s="108">
        <f t="shared" si="575"/>
        <v>0</v>
      </c>
      <c r="DN88" s="108">
        <f t="shared" si="575"/>
        <v>0</v>
      </c>
      <c r="DO88" s="108">
        <f t="shared" si="575"/>
        <v>0</v>
      </c>
      <c r="DP88" s="109">
        <f t="shared" si="575"/>
        <v>0</v>
      </c>
      <c r="DQ88" s="110">
        <f t="shared" si="575"/>
        <v>0</v>
      </c>
      <c r="DR88" s="111">
        <f t="shared" si="575"/>
        <v>0</v>
      </c>
      <c r="DS88" s="108">
        <f t="shared" si="575"/>
        <v>0</v>
      </c>
      <c r="DT88" s="109">
        <f t="shared" si="575"/>
        <v>0</v>
      </c>
      <c r="DU88" s="112">
        <f t="shared" si="575"/>
        <v>0</v>
      </c>
      <c r="DV88" s="61"/>
      <c r="DW88" s="305"/>
      <c r="DX88" s="301" t="s">
        <v>24</v>
      </c>
      <c r="DY88" s="310"/>
      <c r="DZ88" s="107">
        <f t="shared" ref="DZ88:EI88" si="576">SUM(DZ86:DZ87)</f>
        <v>0</v>
      </c>
      <c r="EA88" s="108">
        <f t="shared" si="576"/>
        <v>0</v>
      </c>
      <c r="EB88" s="108">
        <f t="shared" si="576"/>
        <v>0</v>
      </c>
      <c r="EC88" s="108">
        <f t="shared" si="576"/>
        <v>0</v>
      </c>
      <c r="ED88" s="109">
        <f t="shared" si="576"/>
        <v>0</v>
      </c>
      <c r="EE88" s="110">
        <f t="shared" si="576"/>
        <v>0</v>
      </c>
      <c r="EF88" s="111">
        <f t="shared" si="576"/>
        <v>0</v>
      </c>
      <c r="EG88" s="108">
        <f t="shared" si="576"/>
        <v>0</v>
      </c>
      <c r="EH88" s="109">
        <f t="shared" si="576"/>
        <v>0</v>
      </c>
      <c r="EI88" s="112">
        <f t="shared" si="576"/>
        <v>0</v>
      </c>
      <c r="EJ88" s="61"/>
      <c r="EK88" s="305"/>
      <c r="EL88" s="301" t="s">
        <v>24</v>
      </c>
      <c r="EM88" s="310"/>
      <c r="EN88" s="107">
        <f t="shared" ref="EN88:EW88" si="577">SUM(EN86:EN87)</f>
        <v>0</v>
      </c>
      <c r="EO88" s="108">
        <f t="shared" si="577"/>
        <v>0</v>
      </c>
      <c r="EP88" s="108">
        <f t="shared" si="577"/>
        <v>0</v>
      </c>
      <c r="EQ88" s="108">
        <f t="shared" si="577"/>
        <v>0</v>
      </c>
      <c r="ER88" s="109">
        <f t="shared" si="577"/>
        <v>0</v>
      </c>
      <c r="ES88" s="110">
        <f t="shared" si="577"/>
        <v>0</v>
      </c>
      <c r="ET88" s="111">
        <f t="shared" si="577"/>
        <v>0</v>
      </c>
      <c r="EU88" s="108">
        <f t="shared" si="577"/>
        <v>0</v>
      </c>
      <c r="EV88" s="109">
        <f t="shared" si="577"/>
        <v>0</v>
      </c>
      <c r="EW88" s="112">
        <f t="shared" si="577"/>
        <v>0</v>
      </c>
      <c r="EX88" s="61"/>
      <c r="EY88" s="305"/>
      <c r="EZ88" s="301" t="s">
        <v>24</v>
      </c>
      <c r="FA88" s="310"/>
      <c r="FB88" s="107">
        <f t="shared" ref="FB88:FK88" si="578">SUM(FB86:FB87)</f>
        <v>0</v>
      </c>
      <c r="FC88" s="108">
        <f t="shared" si="578"/>
        <v>0</v>
      </c>
      <c r="FD88" s="108">
        <f t="shared" si="578"/>
        <v>0</v>
      </c>
      <c r="FE88" s="108">
        <f t="shared" si="578"/>
        <v>0</v>
      </c>
      <c r="FF88" s="109">
        <f t="shared" si="578"/>
        <v>0</v>
      </c>
      <c r="FG88" s="110">
        <f t="shared" si="578"/>
        <v>0</v>
      </c>
      <c r="FH88" s="111">
        <f t="shared" si="578"/>
        <v>0</v>
      </c>
      <c r="FI88" s="108">
        <f t="shared" si="578"/>
        <v>0</v>
      </c>
      <c r="FJ88" s="109">
        <f t="shared" si="578"/>
        <v>0</v>
      </c>
      <c r="FK88" s="112">
        <f t="shared" si="578"/>
        <v>0</v>
      </c>
      <c r="FM88" s="305"/>
      <c r="FN88" s="301" t="s">
        <v>24</v>
      </c>
      <c r="FO88" s="310"/>
      <c r="FP88" s="107">
        <f t="shared" ref="FP88:FY88" si="579">SUM(FP86:FP87)</f>
        <v>0</v>
      </c>
      <c r="FQ88" s="108">
        <f t="shared" si="579"/>
        <v>0</v>
      </c>
      <c r="FR88" s="108">
        <f t="shared" si="579"/>
        <v>0</v>
      </c>
      <c r="FS88" s="108">
        <f t="shared" si="579"/>
        <v>0</v>
      </c>
      <c r="FT88" s="109">
        <f t="shared" si="579"/>
        <v>0</v>
      </c>
      <c r="FU88" s="113">
        <f t="shared" si="579"/>
        <v>0</v>
      </c>
      <c r="FV88" s="111">
        <f t="shared" si="579"/>
        <v>0</v>
      </c>
      <c r="FW88" s="108">
        <f t="shared" si="579"/>
        <v>0</v>
      </c>
      <c r="FX88" s="109">
        <f t="shared" si="579"/>
        <v>0</v>
      </c>
      <c r="FY88" s="114">
        <f t="shared" si="579"/>
        <v>0</v>
      </c>
      <c r="GA88" s="61"/>
    </row>
    <row r="89" spans="1:183" ht="20.100000000000001" customHeight="1" thickBot="1" x14ac:dyDescent="0.3">
      <c r="A89" s="297" t="s">
        <v>25</v>
      </c>
      <c r="B89" s="298"/>
      <c r="C89" s="299"/>
      <c r="D89" s="123">
        <f>SUM(D88+D85)</f>
        <v>0</v>
      </c>
      <c r="E89" s="124">
        <f>SUM(E88+E85)</f>
        <v>0</v>
      </c>
      <c r="F89" s="124">
        <f>SUM(F88+F85)</f>
        <v>0</v>
      </c>
      <c r="G89" s="124">
        <f>SUM(G88+G85)</f>
        <v>0</v>
      </c>
      <c r="H89" s="125">
        <f>SUM(H88+H85)</f>
        <v>0</v>
      </c>
      <c r="I89" s="126">
        <f>SUM(I85+I88)</f>
        <v>0</v>
      </c>
      <c r="J89" s="127">
        <f>SUM(J88+J85)</f>
        <v>0</v>
      </c>
      <c r="K89" s="128">
        <f>SUM(K88+K85)</f>
        <v>0</v>
      </c>
      <c r="L89" s="129">
        <f>SUM(L88+L85)</f>
        <v>0</v>
      </c>
      <c r="M89" s="130">
        <f>SUM(M88+M85)</f>
        <v>0</v>
      </c>
      <c r="N89" s="61"/>
      <c r="O89" s="297" t="s">
        <v>25</v>
      </c>
      <c r="P89" s="298"/>
      <c r="Q89" s="299"/>
      <c r="R89" s="123">
        <f>SUM(R88+R85)</f>
        <v>0</v>
      </c>
      <c r="S89" s="124">
        <f>SUM(S88+S85)</f>
        <v>0</v>
      </c>
      <c r="T89" s="124">
        <f>SUM(T88+T85)</f>
        <v>0</v>
      </c>
      <c r="U89" s="124">
        <f>SUM(U88+U85)</f>
        <v>0</v>
      </c>
      <c r="V89" s="125">
        <f>SUM(V88+V85)</f>
        <v>0</v>
      </c>
      <c r="W89" s="126">
        <f>SUM(W85+W88)</f>
        <v>0</v>
      </c>
      <c r="X89" s="127">
        <f>SUM(X88+X85)</f>
        <v>0</v>
      </c>
      <c r="Y89" s="128">
        <f>SUM(Y88+Y85)</f>
        <v>0</v>
      </c>
      <c r="Z89" s="129">
        <f>SUM(Z88+Z85)</f>
        <v>0</v>
      </c>
      <c r="AA89" s="130">
        <f>SUM(AA88+AA85)</f>
        <v>0</v>
      </c>
      <c r="AB89" s="61"/>
      <c r="AC89" s="297" t="s">
        <v>25</v>
      </c>
      <c r="AD89" s="298"/>
      <c r="AE89" s="299"/>
      <c r="AF89" s="123">
        <f>SUM(AF88+AF85)</f>
        <v>0</v>
      </c>
      <c r="AG89" s="124">
        <f>SUM(AG88+AG85)</f>
        <v>0</v>
      </c>
      <c r="AH89" s="124">
        <f>SUM(AH88+AH85)</f>
        <v>0</v>
      </c>
      <c r="AI89" s="124">
        <f>SUM(AI88+AI85)</f>
        <v>0</v>
      </c>
      <c r="AJ89" s="125">
        <f>SUM(AJ88+AJ85)</f>
        <v>0</v>
      </c>
      <c r="AK89" s="126">
        <f>SUM(AK85+AK88)</f>
        <v>0</v>
      </c>
      <c r="AL89" s="127">
        <f>SUM(AL88+AL85)</f>
        <v>0</v>
      </c>
      <c r="AM89" s="128">
        <f>SUM(AM88+AM85)</f>
        <v>0</v>
      </c>
      <c r="AN89" s="129">
        <f>SUM(AN88+AN85)</f>
        <v>0</v>
      </c>
      <c r="AO89" s="130">
        <f>SUM(AO88+AO85)</f>
        <v>0</v>
      </c>
      <c r="AP89" s="61"/>
      <c r="AQ89" s="297" t="s">
        <v>25</v>
      </c>
      <c r="AR89" s="298"/>
      <c r="AS89" s="299"/>
      <c r="AT89" s="123">
        <f>SUM(AT88+AT85)</f>
        <v>0</v>
      </c>
      <c r="AU89" s="124">
        <f>SUM(AU88+AU85)</f>
        <v>0</v>
      </c>
      <c r="AV89" s="124">
        <f>SUM(AV88+AV85)</f>
        <v>0</v>
      </c>
      <c r="AW89" s="124">
        <f>SUM(AW88+AW85)</f>
        <v>0</v>
      </c>
      <c r="AX89" s="125">
        <f>SUM(AX88+AX85)</f>
        <v>0</v>
      </c>
      <c r="AY89" s="126">
        <f>SUM(AY85+AY88)</f>
        <v>0</v>
      </c>
      <c r="AZ89" s="127">
        <f>SUM(AZ88+AZ85)</f>
        <v>0</v>
      </c>
      <c r="BA89" s="128">
        <f>SUM(BA88+BA85)</f>
        <v>0</v>
      </c>
      <c r="BB89" s="129">
        <f>SUM(BB88+BB85)</f>
        <v>0</v>
      </c>
      <c r="BC89" s="130">
        <f>SUM(BC88+BC85)</f>
        <v>0</v>
      </c>
      <c r="BD89" s="61"/>
      <c r="BE89" s="297" t="s">
        <v>25</v>
      </c>
      <c r="BF89" s="298"/>
      <c r="BG89" s="299"/>
      <c r="BH89" s="123">
        <f>SUM(BH88+BH85)</f>
        <v>0</v>
      </c>
      <c r="BI89" s="124">
        <f>SUM(BI88+BI85)</f>
        <v>0</v>
      </c>
      <c r="BJ89" s="124">
        <f>SUM(BJ88+BJ85)</f>
        <v>0</v>
      </c>
      <c r="BK89" s="124">
        <f>SUM(BK88+BK85)</f>
        <v>0</v>
      </c>
      <c r="BL89" s="125">
        <f>SUM(BL88+BL85)</f>
        <v>0</v>
      </c>
      <c r="BM89" s="126">
        <f>SUM(BM85+BM88)</f>
        <v>0</v>
      </c>
      <c r="BN89" s="127">
        <f>SUM(BN88+BN85)</f>
        <v>0</v>
      </c>
      <c r="BO89" s="128">
        <f>SUM(BO88+BO85)</f>
        <v>0</v>
      </c>
      <c r="BP89" s="129">
        <f>SUM(BP88+BP85)</f>
        <v>0</v>
      </c>
      <c r="BQ89" s="130">
        <f>SUM(BQ88+BQ85)</f>
        <v>0</v>
      </c>
      <c r="BR89" s="61"/>
      <c r="BS89" s="297" t="s">
        <v>25</v>
      </c>
      <c r="BT89" s="298"/>
      <c r="BU89" s="299"/>
      <c r="BV89" s="123">
        <f>SUM(BV88+BV85)</f>
        <v>0</v>
      </c>
      <c r="BW89" s="124">
        <f>SUM(BW88+BW85)</f>
        <v>0</v>
      </c>
      <c r="BX89" s="124">
        <f>SUM(BX88+BX85)</f>
        <v>0</v>
      </c>
      <c r="BY89" s="124">
        <f>SUM(BY88+BY85)</f>
        <v>0</v>
      </c>
      <c r="BZ89" s="125">
        <f>SUM(BZ88+BZ85)</f>
        <v>0</v>
      </c>
      <c r="CA89" s="126">
        <f>SUM(CA85+CA88)</f>
        <v>0</v>
      </c>
      <c r="CB89" s="127">
        <f>SUM(CB88+CB85)</f>
        <v>0</v>
      </c>
      <c r="CC89" s="128">
        <f>SUM(CC88+CC85)</f>
        <v>0</v>
      </c>
      <c r="CD89" s="129">
        <f>SUM(CD88+CD85)</f>
        <v>0</v>
      </c>
      <c r="CE89" s="130">
        <f>SUM(CE88+CE85)</f>
        <v>0</v>
      </c>
      <c r="CF89" s="61"/>
      <c r="CG89" s="297" t="s">
        <v>25</v>
      </c>
      <c r="CH89" s="298"/>
      <c r="CI89" s="299"/>
      <c r="CJ89" s="123">
        <f>SUM(CJ88+CJ85)</f>
        <v>0</v>
      </c>
      <c r="CK89" s="124">
        <f>SUM(CK88+CK85)</f>
        <v>0</v>
      </c>
      <c r="CL89" s="124">
        <f>SUM(CL88+CL85)</f>
        <v>0</v>
      </c>
      <c r="CM89" s="124">
        <f>SUM(CM88+CM85)</f>
        <v>0</v>
      </c>
      <c r="CN89" s="125">
        <f>SUM(CN88+CN85)</f>
        <v>0</v>
      </c>
      <c r="CO89" s="126">
        <f>SUM(CO85+CO88)</f>
        <v>0</v>
      </c>
      <c r="CP89" s="127">
        <f>SUM(CP88+CP85)</f>
        <v>0</v>
      </c>
      <c r="CQ89" s="128">
        <f>SUM(CQ88+CQ85)</f>
        <v>0</v>
      </c>
      <c r="CR89" s="129">
        <f>SUM(CR88+CR85)</f>
        <v>0</v>
      </c>
      <c r="CS89" s="130">
        <f>SUM(CS88+CS85)</f>
        <v>0</v>
      </c>
      <c r="CT89" s="61"/>
      <c r="CU89" s="297" t="s">
        <v>25</v>
      </c>
      <c r="CV89" s="298"/>
      <c r="CW89" s="299"/>
      <c r="CX89" s="123">
        <f>SUM(CX88+CX85)</f>
        <v>0</v>
      </c>
      <c r="CY89" s="124">
        <f>SUM(CY88+CY85)</f>
        <v>0</v>
      </c>
      <c r="CZ89" s="124">
        <f>SUM(CZ88+CZ85)</f>
        <v>0</v>
      </c>
      <c r="DA89" s="124">
        <f>SUM(DA88+DA85)</f>
        <v>0</v>
      </c>
      <c r="DB89" s="125">
        <f>SUM(DB88+DB85)</f>
        <v>0</v>
      </c>
      <c r="DC89" s="126">
        <f>SUM(DC85+DC88)</f>
        <v>0</v>
      </c>
      <c r="DD89" s="127">
        <f>SUM(DD88+DD85)</f>
        <v>0</v>
      </c>
      <c r="DE89" s="128">
        <f>SUM(DE88+DE85)</f>
        <v>0</v>
      </c>
      <c r="DF89" s="129">
        <f>SUM(DF88+DF85)</f>
        <v>0</v>
      </c>
      <c r="DG89" s="130">
        <f>SUM(DG88+DG85)</f>
        <v>0</v>
      </c>
      <c r="DH89" s="61"/>
      <c r="DI89" s="297" t="s">
        <v>25</v>
      </c>
      <c r="DJ89" s="298"/>
      <c r="DK89" s="299"/>
      <c r="DL89" s="123">
        <f>SUM(DL88+DL85)</f>
        <v>0</v>
      </c>
      <c r="DM89" s="124">
        <f>SUM(DM88+DM85)</f>
        <v>0</v>
      </c>
      <c r="DN89" s="124">
        <f>SUM(DN88+DN85)</f>
        <v>0</v>
      </c>
      <c r="DO89" s="124">
        <f>SUM(DO88+DO85)</f>
        <v>0</v>
      </c>
      <c r="DP89" s="125">
        <f>SUM(DP88+DP85)</f>
        <v>0</v>
      </c>
      <c r="DQ89" s="126">
        <f>SUM(DQ85+DQ88)</f>
        <v>0</v>
      </c>
      <c r="DR89" s="127">
        <f>SUM(DR88+DR85)</f>
        <v>0</v>
      </c>
      <c r="DS89" s="128">
        <f>SUM(DS88+DS85)</f>
        <v>0</v>
      </c>
      <c r="DT89" s="129">
        <f>SUM(DT88+DT85)</f>
        <v>0</v>
      </c>
      <c r="DU89" s="130">
        <f>SUM(DU88+DU85)</f>
        <v>0</v>
      </c>
      <c r="DV89" s="61"/>
      <c r="DW89" s="297" t="s">
        <v>25</v>
      </c>
      <c r="DX89" s="298"/>
      <c r="DY89" s="299"/>
      <c r="DZ89" s="123">
        <f>SUM(DZ88+DZ85)</f>
        <v>0</v>
      </c>
      <c r="EA89" s="124">
        <f>SUM(EA88+EA85)</f>
        <v>0</v>
      </c>
      <c r="EB89" s="124">
        <f>SUM(EB88+EB85)</f>
        <v>0</v>
      </c>
      <c r="EC89" s="124">
        <f>SUM(EC88+EC85)</f>
        <v>0</v>
      </c>
      <c r="ED89" s="125">
        <f>SUM(ED88+ED85)</f>
        <v>0</v>
      </c>
      <c r="EE89" s="126">
        <f>SUM(EE85+EE88)</f>
        <v>0</v>
      </c>
      <c r="EF89" s="127">
        <f>SUM(EF88+EF85)</f>
        <v>0</v>
      </c>
      <c r="EG89" s="128">
        <f>SUM(EG88+EG85)</f>
        <v>0</v>
      </c>
      <c r="EH89" s="129">
        <f>SUM(EH88+EH85)</f>
        <v>0</v>
      </c>
      <c r="EI89" s="130">
        <f>SUM(EI88+EI85)</f>
        <v>0</v>
      </c>
      <c r="EJ89" s="61"/>
      <c r="EK89" s="297" t="s">
        <v>25</v>
      </c>
      <c r="EL89" s="298"/>
      <c r="EM89" s="299"/>
      <c r="EN89" s="123">
        <f>SUM(EN88+EN85)</f>
        <v>0</v>
      </c>
      <c r="EO89" s="124">
        <f>SUM(EO88+EO85)</f>
        <v>0</v>
      </c>
      <c r="EP89" s="124">
        <f>SUM(EP88+EP85)</f>
        <v>0</v>
      </c>
      <c r="EQ89" s="124">
        <f>SUM(EQ88+EQ85)</f>
        <v>0</v>
      </c>
      <c r="ER89" s="125">
        <f>SUM(ER88+ER85)</f>
        <v>0</v>
      </c>
      <c r="ES89" s="126">
        <f>SUM(ES85+ES88)</f>
        <v>0</v>
      </c>
      <c r="ET89" s="127">
        <f>SUM(ET88+ET85)</f>
        <v>0</v>
      </c>
      <c r="EU89" s="128">
        <f>SUM(EU88+EU85)</f>
        <v>0</v>
      </c>
      <c r="EV89" s="129">
        <f>SUM(EV88+EV85)</f>
        <v>0</v>
      </c>
      <c r="EW89" s="130">
        <f>SUM(EW88+EW85)</f>
        <v>0</v>
      </c>
      <c r="EX89" s="61"/>
      <c r="EY89" s="297" t="s">
        <v>25</v>
      </c>
      <c r="EZ89" s="298"/>
      <c r="FA89" s="299"/>
      <c r="FB89" s="123">
        <f>SUM(FB88+FB85)</f>
        <v>0</v>
      </c>
      <c r="FC89" s="124">
        <f>SUM(FC88+FC85)</f>
        <v>0</v>
      </c>
      <c r="FD89" s="124">
        <f>SUM(FD88+FD85)</f>
        <v>0</v>
      </c>
      <c r="FE89" s="124">
        <f>SUM(FE88+FE85)</f>
        <v>0</v>
      </c>
      <c r="FF89" s="125">
        <f>SUM(FF88+FF85)</f>
        <v>0</v>
      </c>
      <c r="FG89" s="126">
        <f>SUM(FG85+FG88)</f>
        <v>0</v>
      </c>
      <c r="FH89" s="127">
        <f>SUM(FH88+FH85)</f>
        <v>0</v>
      </c>
      <c r="FI89" s="128">
        <f>SUM(FI88+FI85)</f>
        <v>0</v>
      </c>
      <c r="FJ89" s="129">
        <f>SUM(FJ88+FJ85)</f>
        <v>0</v>
      </c>
      <c r="FK89" s="130">
        <f>SUM(FK88+FK85)</f>
        <v>0</v>
      </c>
      <c r="FM89" s="297" t="s">
        <v>25</v>
      </c>
      <c r="FN89" s="298"/>
      <c r="FO89" s="299"/>
      <c r="FP89" s="123">
        <f>SUM(FP88+FP85)</f>
        <v>0</v>
      </c>
      <c r="FQ89" s="124">
        <f>SUM(FQ88+FQ85)</f>
        <v>0</v>
      </c>
      <c r="FR89" s="124">
        <f>SUM(FR88+FR85)</f>
        <v>0</v>
      </c>
      <c r="FS89" s="124">
        <f>SUM(FS88+FS85)</f>
        <v>0</v>
      </c>
      <c r="FT89" s="125">
        <f>SUM(FT88+FT85)</f>
        <v>0</v>
      </c>
      <c r="FU89" s="131">
        <f>SUM(FU85+FU88)</f>
        <v>0</v>
      </c>
      <c r="FV89" s="132">
        <f>SUM(FV88+FV85)</f>
        <v>0</v>
      </c>
      <c r="FW89" s="124">
        <f>SUM(FW88+FW85)</f>
        <v>0</v>
      </c>
      <c r="FX89" s="125">
        <f>SUM(FX88+FX85)</f>
        <v>0</v>
      </c>
      <c r="FY89" s="133">
        <f>SUM(FY88+FY85)</f>
        <v>0</v>
      </c>
      <c r="GA89" s="61"/>
    </row>
    <row r="90" spans="1:183" s="159" customFormat="1" ht="20.100000000000001" customHeight="1" thickBot="1" x14ac:dyDescent="0.3">
      <c r="A90" s="158" t="s">
        <v>9</v>
      </c>
      <c r="B90" s="159" t="s">
        <v>43</v>
      </c>
      <c r="H90" s="159" t="s">
        <v>31</v>
      </c>
      <c r="I90" s="159">
        <f>I1</f>
        <v>1</v>
      </c>
      <c r="J90" s="159">
        <v>1447</v>
      </c>
      <c r="N90" s="160"/>
      <c r="O90" s="158" t="s">
        <v>9</v>
      </c>
      <c r="P90" s="159" t="s">
        <v>43</v>
      </c>
      <c r="V90" s="159" t="s">
        <v>31</v>
      </c>
      <c r="W90" s="159">
        <f>W1</f>
        <v>2</v>
      </c>
      <c r="X90" s="159">
        <v>1447</v>
      </c>
      <c r="AB90" s="160"/>
      <c r="AC90" s="158" t="s">
        <v>9</v>
      </c>
      <c r="AD90" s="159" t="s">
        <v>43</v>
      </c>
      <c r="AJ90" s="159" t="s">
        <v>31</v>
      </c>
      <c r="AK90" s="159">
        <f>AK1</f>
        <v>3</v>
      </c>
      <c r="AL90" s="159">
        <v>1447</v>
      </c>
      <c r="AP90" s="160"/>
      <c r="AQ90" s="158" t="s">
        <v>9</v>
      </c>
      <c r="AR90" s="159" t="s">
        <v>43</v>
      </c>
      <c r="AX90" s="159" t="s">
        <v>31</v>
      </c>
      <c r="AY90" s="159">
        <f>AY1</f>
        <v>4</v>
      </c>
      <c r="AZ90" s="159">
        <v>1447</v>
      </c>
      <c r="BD90" s="160"/>
      <c r="BE90" s="158" t="s">
        <v>9</v>
      </c>
      <c r="BF90" s="159" t="s">
        <v>43</v>
      </c>
      <c r="BL90" s="159" t="s">
        <v>31</v>
      </c>
      <c r="BM90" s="159">
        <f>BM1</f>
        <v>5</v>
      </c>
      <c r="BN90" s="159">
        <v>1447</v>
      </c>
      <c r="BR90" s="160"/>
      <c r="BS90" s="158" t="s">
        <v>9</v>
      </c>
      <c r="BT90" s="159" t="s">
        <v>43</v>
      </c>
      <c r="BZ90" s="159" t="s">
        <v>31</v>
      </c>
      <c r="CA90" s="159">
        <f>CA1</f>
        <v>6</v>
      </c>
      <c r="CB90" s="159">
        <v>1447</v>
      </c>
      <c r="CF90" s="160"/>
      <c r="CG90" s="158" t="s">
        <v>9</v>
      </c>
      <c r="CH90" s="159" t="s">
        <v>43</v>
      </c>
      <c r="CN90" s="159" t="s">
        <v>31</v>
      </c>
      <c r="CO90" s="159">
        <f>CO1</f>
        <v>7</v>
      </c>
      <c r="CP90" s="159">
        <v>1447</v>
      </c>
      <c r="CT90" s="160"/>
      <c r="CU90" s="158" t="s">
        <v>9</v>
      </c>
      <c r="CV90" s="159" t="s">
        <v>43</v>
      </c>
      <c r="DB90" s="159" t="s">
        <v>31</v>
      </c>
      <c r="DC90" s="159">
        <f>DC1</f>
        <v>8</v>
      </c>
      <c r="DD90" s="159">
        <v>1447</v>
      </c>
      <c r="DH90" s="160"/>
      <c r="DI90" s="158" t="s">
        <v>9</v>
      </c>
      <c r="DJ90" s="159" t="s">
        <v>43</v>
      </c>
      <c r="DP90" s="159" t="s">
        <v>31</v>
      </c>
      <c r="DQ90" s="159">
        <f>DQ1</f>
        <v>9</v>
      </c>
      <c r="DR90" s="159">
        <v>1447</v>
      </c>
      <c r="DV90" s="160"/>
      <c r="DW90" s="158" t="s">
        <v>9</v>
      </c>
      <c r="DX90" s="159" t="s">
        <v>43</v>
      </c>
      <c r="ED90" s="159" t="s">
        <v>31</v>
      </c>
      <c r="EE90" s="159">
        <f>EE1</f>
        <v>10</v>
      </c>
      <c r="EF90" s="159">
        <v>1447</v>
      </c>
      <c r="EJ90" s="160"/>
      <c r="EK90" s="158" t="s">
        <v>9</v>
      </c>
      <c r="EL90" s="159" t="s">
        <v>43</v>
      </c>
      <c r="ER90" s="159" t="s">
        <v>31</v>
      </c>
      <c r="ES90" s="159">
        <f>ES1</f>
        <v>11</v>
      </c>
      <c r="ET90" s="159">
        <v>1447</v>
      </c>
      <c r="EX90" s="160"/>
      <c r="EY90" s="158" t="s">
        <v>9</v>
      </c>
      <c r="EZ90" s="159" t="s">
        <v>43</v>
      </c>
      <c r="FF90" s="159" t="s">
        <v>31</v>
      </c>
      <c r="FG90" s="159">
        <f>FG1</f>
        <v>12</v>
      </c>
      <c r="FH90" s="159">
        <v>1447</v>
      </c>
      <c r="FL90" s="162"/>
      <c r="FM90" s="161" t="s">
        <v>9</v>
      </c>
      <c r="FN90" s="159" t="s">
        <v>41</v>
      </c>
      <c r="FU90" s="159" t="s">
        <v>32</v>
      </c>
      <c r="FV90" s="159">
        <v>1447</v>
      </c>
      <c r="FZ90" s="163"/>
      <c r="GA90" s="160"/>
    </row>
    <row r="91" spans="1:183" s="76" customFormat="1" ht="20.100000000000001" customHeight="1" x14ac:dyDescent="0.2">
      <c r="A91" s="295" t="s">
        <v>1</v>
      </c>
      <c r="B91" s="295" t="s">
        <v>6</v>
      </c>
      <c r="C91" s="293" t="s">
        <v>8</v>
      </c>
      <c r="D91" s="77" t="s">
        <v>11</v>
      </c>
      <c r="E91" s="78" t="s">
        <v>12</v>
      </c>
      <c r="F91" s="78" t="s">
        <v>13</v>
      </c>
      <c r="G91" s="78" t="s">
        <v>27</v>
      </c>
      <c r="H91" s="79" t="s">
        <v>15</v>
      </c>
      <c r="I91" s="73" t="s">
        <v>2</v>
      </c>
      <c r="J91" s="80" t="s">
        <v>16</v>
      </c>
      <c r="K91" s="81" t="s">
        <v>3</v>
      </c>
      <c r="L91" s="79" t="s">
        <v>4</v>
      </c>
      <c r="M91" s="73" t="s">
        <v>17</v>
      </c>
      <c r="N91" s="74"/>
      <c r="O91" s="295" t="s">
        <v>1</v>
      </c>
      <c r="P91" s="295" t="s">
        <v>6</v>
      </c>
      <c r="Q91" s="293" t="s">
        <v>8</v>
      </c>
      <c r="R91" s="77" t="s">
        <v>11</v>
      </c>
      <c r="S91" s="78" t="s">
        <v>12</v>
      </c>
      <c r="T91" s="78" t="s">
        <v>13</v>
      </c>
      <c r="U91" s="78" t="s">
        <v>27</v>
      </c>
      <c r="V91" s="79" t="s">
        <v>15</v>
      </c>
      <c r="W91" s="73" t="s">
        <v>2</v>
      </c>
      <c r="X91" s="80" t="s">
        <v>16</v>
      </c>
      <c r="Y91" s="81" t="s">
        <v>3</v>
      </c>
      <c r="Z91" s="79" t="s">
        <v>4</v>
      </c>
      <c r="AA91" s="73" t="s">
        <v>17</v>
      </c>
      <c r="AB91" s="74"/>
      <c r="AC91" s="295" t="s">
        <v>1</v>
      </c>
      <c r="AD91" s="295" t="s">
        <v>6</v>
      </c>
      <c r="AE91" s="293" t="s">
        <v>8</v>
      </c>
      <c r="AF91" s="77" t="s">
        <v>11</v>
      </c>
      <c r="AG91" s="78" t="s">
        <v>12</v>
      </c>
      <c r="AH91" s="78" t="s">
        <v>13</v>
      </c>
      <c r="AI91" s="78" t="s">
        <v>27</v>
      </c>
      <c r="AJ91" s="79" t="s">
        <v>15</v>
      </c>
      <c r="AK91" s="73" t="s">
        <v>2</v>
      </c>
      <c r="AL91" s="80" t="s">
        <v>16</v>
      </c>
      <c r="AM91" s="81" t="s">
        <v>3</v>
      </c>
      <c r="AN91" s="79" t="s">
        <v>4</v>
      </c>
      <c r="AO91" s="73" t="s">
        <v>17</v>
      </c>
      <c r="AP91" s="74"/>
      <c r="AQ91" s="295" t="s">
        <v>1</v>
      </c>
      <c r="AR91" s="295" t="s">
        <v>6</v>
      </c>
      <c r="AS91" s="293" t="s">
        <v>8</v>
      </c>
      <c r="AT91" s="77" t="s">
        <v>11</v>
      </c>
      <c r="AU91" s="78" t="s">
        <v>12</v>
      </c>
      <c r="AV91" s="78" t="s">
        <v>13</v>
      </c>
      <c r="AW91" s="78" t="s">
        <v>27</v>
      </c>
      <c r="AX91" s="79" t="s">
        <v>15</v>
      </c>
      <c r="AY91" s="73" t="s">
        <v>2</v>
      </c>
      <c r="AZ91" s="80" t="s">
        <v>16</v>
      </c>
      <c r="BA91" s="81" t="s">
        <v>3</v>
      </c>
      <c r="BB91" s="79" t="s">
        <v>4</v>
      </c>
      <c r="BC91" s="73" t="s">
        <v>17</v>
      </c>
      <c r="BD91" s="74"/>
      <c r="BE91" s="295" t="s">
        <v>1</v>
      </c>
      <c r="BF91" s="295" t="s">
        <v>6</v>
      </c>
      <c r="BG91" s="293" t="s">
        <v>8</v>
      </c>
      <c r="BH91" s="77" t="s">
        <v>11</v>
      </c>
      <c r="BI91" s="78" t="s">
        <v>12</v>
      </c>
      <c r="BJ91" s="78" t="s">
        <v>13</v>
      </c>
      <c r="BK91" s="78" t="s">
        <v>27</v>
      </c>
      <c r="BL91" s="79" t="s">
        <v>15</v>
      </c>
      <c r="BM91" s="73" t="s">
        <v>2</v>
      </c>
      <c r="BN91" s="80" t="s">
        <v>16</v>
      </c>
      <c r="BO91" s="81" t="s">
        <v>3</v>
      </c>
      <c r="BP91" s="79" t="s">
        <v>4</v>
      </c>
      <c r="BQ91" s="73" t="s">
        <v>17</v>
      </c>
      <c r="BR91" s="74"/>
      <c r="BS91" s="295" t="s">
        <v>1</v>
      </c>
      <c r="BT91" s="295" t="s">
        <v>6</v>
      </c>
      <c r="BU91" s="293" t="s">
        <v>8</v>
      </c>
      <c r="BV91" s="77" t="s">
        <v>11</v>
      </c>
      <c r="BW91" s="78" t="s">
        <v>12</v>
      </c>
      <c r="BX91" s="78" t="s">
        <v>13</v>
      </c>
      <c r="BY91" s="78" t="s">
        <v>27</v>
      </c>
      <c r="BZ91" s="79" t="s">
        <v>15</v>
      </c>
      <c r="CA91" s="73" t="s">
        <v>2</v>
      </c>
      <c r="CB91" s="80" t="s">
        <v>16</v>
      </c>
      <c r="CC91" s="81" t="s">
        <v>3</v>
      </c>
      <c r="CD91" s="79" t="s">
        <v>4</v>
      </c>
      <c r="CE91" s="73" t="s">
        <v>17</v>
      </c>
      <c r="CF91" s="74"/>
      <c r="CG91" s="295" t="s">
        <v>1</v>
      </c>
      <c r="CH91" s="295" t="s">
        <v>6</v>
      </c>
      <c r="CI91" s="293" t="s">
        <v>8</v>
      </c>
      <c r="CJ91" s="77" t="s">
        <v>11</v>
      </c>
      <c r="CK91" s="78" t="s">
        <v>12</v>
      </c>
      <c r="CL91" s="78" t="s">
        <v>13</v>
      </c>
      <c r="CM91" s="78" t="s">
        <v>27</v>
      </c>
      <c r="CN91" s="79" t="s">
        <v>15</v>
      </c>
      <c r="CO91" s="73" t="s">
        <v>2</v>
      </c>
      <c r="CP91" s="80" t="s">
        <v>16</v>
      </c>
      <c r="CQ91" s="81" t="s">
        <v>3</v>
      </c>
      <c r="CR91" s="79" t="s">
        <v>4</v>
      </c>
      <c r="CS91" s="73" t="s">
        <v>17</v>
      </c>
      <c r="CT91" s="74"/>
      <c r="CU91" s="295" t="s">
        <v>1</v>
      </c>
      <c r="CV91" s="295" t="s">
        <v>6</v>
      </c>
      <c r="CW91" s="293" t="s">
        <v>8</v>
      </c>
      <c r="CX91" s="77" t="s">
        <v>11</v>
      </c>
      <c r="CY91" s="78" t="s">
        <v>12</v>
      </c>
      <c r="CZ91" s="78" t="s">
        <v>13</v>
      </c>
      <c r="DA91" s="78" t="s">
        <v>27</v>
      </c>
      <c r="DB91" s="79" t="s">
        <v>15</v>
      </c>
      <c r="DC91" s="73" t="s">
        <v>2</v>
      </c>
      <c r="DD91" s="80" t="s">
        <v>16</v>
      </c>
      <c r="DE91" s="81" t="s">
        <v>3</v>
      </c>
      <c r="DF91" s="79" t="s">
        <v>4</v>
      </c>
      <c r="DG91" s="73" t="s">
        <v>17</v>
      </c>
      <c r="DH91" s="74"/>
      <c r="DI91" s="295" t="s">
        <v>1</v>
      </c>
      <c r="DJ91" s="295" t="s">
        <v>6</v>
      </c>
      <c r="DK91" s="293" t="s">
        <v>8</v>
      </c>
      <c r="DL91" s="77" t="s">
        <v>11</v>
      </c>
      <c r="DM91" s="78" t="s">
        <v>12</v>
      </c>
      <c r="DN91" s="78" t="s">
        <v>13</v>
      </c>
      <c r="DO91" s="78" t="s">
        <v>27</v>
      </c>
      <c r="DP91" s="79" t="s">
        <v>15</v>
      </c>
      <c r="DQ91" s="73" t="s">
        <v>2</v>
      </c>
      <c r="DR91" s="80" t="s">
        <v>16</v>
      </c>
      <c r="DS91" s="81" t="s">
        <v>3</v>
      </c>
      <c r="DT91" s="79" t="s">
        <v>4</v>
      </c>
      <c r="DU91" s="73" t="s">
        <v>17</v>
      </c>
      <c r="DV91" s="74"/>
      <c r="DW91" s="295" t="s">
        <v>1</v>
      </c>
      <c r="DX91" s="295" t="s">
        <v>6</v>
      </c>
      <c r="DY91" s="293" t="s">
        <v>8</v>
      </c>
      <c r="DZ91" s="77" t="s">
        <v>11</v>
      </c>
      <c r="EA91" s="78" t="s">
        <v>12</v>
      </c>
      <c r="EB91" s="78" t="s">
        <v>13</v>
      </c>
      <c r="EC91" s="78" t="s">
        <v>27</v>
      </c>
      <c r="ED91" s="79" t="s">
        <v>15</v>
      </c>
      <c r="EE91" s="73" t="s">
        <v>2</v>
      </c>
      <c r="EF91" s="80" t="s">
        <v>16</v>
      </c>
      <c r="EG91" s="81" t="s">
        <v>3</v>
      </c>
      <c r="EH91" s="79" t="s">
        <v>4</v>
      </c>
      <c r="EI91" s="73" t="s">
        <v>17</v>
      </c>
      <c r="EJ91" s="74"/>
      <c r="EK91" s="295" t="s">
        <v>1</v>
      </c>
      <c r="EL91" s="295" t="s">
        <v>6</v>
      </c>
      <c r="EM91" s="293" t="s">
        <v>8</v>
      </c>
      <c r="EN91" s="77" t="s">
        <v>11</v>
      </c>
      <c r="EO91" s="78" t="s">
        <v>12</v>
      </c>
      <c r="EP91" s="78" t="s">
        <v>13</v>
      </c>
      <c r="EQ91" s="78" t="s">
        <v>27</v>
      </c>
      <c r="ER91" s="79" t="s">
        <v>15</v>
      </c>
      <c r="ES91" s="73" t="s">
        <v>2</v>
      </c>
      <c r="ET91" s="80" t="s">
        <v>16</v>
      </c>
      <c r="EU91" s="81" t="s">
        <v>3</v>
      </c>
      <c r="EV91" s="79" t="s">
        <v>4</v>
      </c>
      <c r="EW91" s="73" t="s">
        <v>17</v>
      </c>
      <c r="EX91" s="74"/>
      <c r="EY91" s="295" t="s">
        <v>1</v>
      </c>
      <c r="EZ91" s="295" t="s">
        <v>6</v>
      </c>
      <c r="FA91" s="293" t="s">
        <v>8</v>
      </c>
      <c r="FB91" s="77" t="s">
        <v>11</v>
      </c>
      <c r="FC91" s="78" t="s">
        <v>12</v>
      </c>
      <c r="FD91" s="78" t="s">
        <v>13</v>
      </c>
      <c r="FE91" s="78" t="s">
        <v>27</v>
      </c>
      <c r="FF91" s="79" t="s">
        <v>15</v>
      </c>
      <c r="FG91" s="73" t="s">
        <v>2</v>
      </c>
      <c r="FH91" s="80" t="s">
        <v>16</v>
      </c>
      <c r="FI91" s="81" t="s">
        <v>3</v>
      </c>
      <c r="FJ91" s="79" t="s">
        <v>4</v>
      </c>
      <c r="FK91" s="73" t="s">
        <v>17</v>
      </c>
      <c r="FL91" s="146"/>
      <c r="FM91" s="295" t="s">
        <v>1</v>
      </c>
      <c r="FN91" s="295" t="s">
        <v>6</v>
      </c>
      <c r="FO91" s="293" t="s">
        <v>8</v>
      </c>
      <c r="FP91" s="80" t="s">
        <v>11</v>
      </c>
      <c r="FQ91" s="79" t="s">
        <v>12</v>
      </c>
      <c r="FR91" s="156" t="s">
        <v>13</v>
      </c>
      <c r="FS91" s="157" t="s">
        <v>14</v>
      </c>
      <c r="FT91" s="78" t="s">
        <v>15</v>
      </c>
      <c r="FU91" s="151" t="s">
        <v>2</v>
      </c>
      <c r="FV91" s="156" t="s">
        <v>16</v>
      </c>
      <c r="FW91" s="81" t="s">
        <v>3</v>
      </c>
      <c r="FX91" s="79" t="s">
        <v>4</v>
      </c>
      <c r="FY91" s="73" t="s">
        <v>17</v>
      </c>
      <c r="FZ91" s="75"/>
      <c r="GA91" s="74"/>
    </row>
    <row r="92" spans="1:183" s="138" customFormat="1" ht="20.100000000000001" customHeight="1" thickBot="1" x14ac:dyDescent="0.25">
      <c r="A92" s="296"/>
      <c r="B92" s="296"/>
      <c r="C92" s="294"/>
      <c r="D92" s="77">
        <v>1</v>
      </c>
      <c r="E92" s="78">
        <v>2</v>
      </c>
      <c r="F92" s="78">
        <v>3</v>
      </c>
      <c r="G92" s="78">
        <v>4</v>
      </c>
      <c r="H92" s="79">
        <v>5</v>
      </c>
      <c r="I92" s="73" t="s">
        <v>29</v>
      </c>
      <c r="J92" s="80">
        <v>7</v>
      </c>
      <c r="K92" s="81">
        <v>8</v>
      </c>
      <c r="L92" s="79">
        <v>9</v>
      </c>
      <c r="M92" s="73" t="s">
        <v>30</v>
      </c>
      <c r="N92" s="134"/>
      <c r="O92" s="296"/>
      <c r="P92" s="296"/>
      <c r="Q92" s="294"/>
      <c r="R92" s="77">
        <v>1</v>
      </c>
      <c r="S92" s="78">
        <v>2</v>
      </c>
      <c r="T92" s="78">
        <v>3</v>
      </c>
      <c r="U92" s="78">
        <v>4</v>
      </c>
      <c r="V92" s="79">
        <v>5</v>
      </c>
      <c r="W92" s="73" t="s">
        <v>29</v>
      </c>
      <c r="X92" s="80">
        <v>7</v>
      </c>
      <c r="Y92" s="81">
        <v>8</v>
      </c>
      <c r="Z92" s="79">
        <v>9</v>
      </c>
      <c r="AA92" s="73" t="s">
        <v>30</v>
      </c>
      <c r="AB92" s="134"/>
      <c r="AC92" s="296"/>
      <c r="AD92" s="296"/>
      <c r="AE92" s="294"/>
      <c r="AF92" s="77">
        <v>1</v>
      </c>
      <c r="AG92" s="78">
        <v>2</v>
      </c>
      <c r="AH92" s="78">
        <v>3</v>
      </c>
      <c r="AI92" s="78">
        <v>4</v>
      </c>
      <c r="AJ92" s="79">
        <v>5</v>
      </c>
      <c r="AK92" s="73" t="s">
        <v>29</v>
      </c>
      <c r="AL92" s="80">
        <v>7</v>
      </c>
      <c r="AM92" s="81">
        <v>8</v>
      </c>
      <c r="AN92" s="79">
        <v>9</v>
      </c>
      <c r="AO92" s="73" t="s">
        <v>30</v>
      </c>
      <c r="AP92" s="134"/>
      <c r="AQ92" s="296"/>
      <c r="AR92" s="296"/>
      <c r="AS92" s="294"/>
      <c r="AT92" s="77">
        <v>1</v>
      </c>
      <c r="AU92" s="78">
        <v>2</v>
      </c>
      <c r="AV92" s="78">
        <v>3</v>
      </c>
      <c r="AW92" s="78">
        <v>4</v>
      </c>
      <c r="AX92" s="79">
        <v>5</v>
      </c>
      <c r="AY92" s="73" t="s">
        <v>29</v>
      </c>
      <c r="AZ92" s="80">
        <v>7</v>
      </c>
      <c r="BA92" s="81">
        <v>8</v>
      </c>
      <c r="BB92" s="79">
        <v>9</v>
      </c>
      <c r="BC92" s="73" t="s">
        <v>30</v>
      </c>
      <c r="BD92" s="134"/>
      <c r="BE92" s="296"/>
      <c r="BF92" s="296"/>
      <c r="BG92" s="294"/>
      <c r="BH92" s="77">
        <v>1</v>
      </c>
      <c r="BI92" s="78">
        <v>2</v>
      </c>
      <c r="BJ92" s="78">
        <v>3</v>
      </c>
      <c r="BK92" s="78">
        <v>4</v>
      </c>
      <c r="BL92" s="79">
        <v>5</v>
      </c>
      <c r="BM92" s="73" t="s">
        <v>29</v>
      </c>
      <c r="BN92" s="80">
        <v>7</v>
      </c>
      <c r="BO92" s="81">
        <v>8</v>
      </c>
      <c r="BP92" s="79">
        <v>9</v>
      </c>
      <c r="BQ92" s="73" t="s">
        <v>30</v>
      </c>
      <c r="BR92" s="134"/>
      <c r="BS92" s="296"/>
      <c r="BT92" s="296"/>
      <c r="BU92" s="294"/>
      <c r="BV92" s="77">
        <v>1</v>
      </c>
      <c r="BW92" s="78">
        <v>2</v>
      </c>
      <c r="BX92" s="78">
        <v>3</v>
      </c>
      <c r="BY92" s="78">
        <v>4</v>
      </c>
      <c r="BZ92" s="79">
        <v>5</v>
      </c>
      <c r="CA92" s="73" t="s">
        <v>29</v>
      </c>
      <c r="CB92" s="80">
        <v>7</v>
      </c>
      <c r="CC92" s="81">
        <v>8</v>
      </c>
      <c r="CD92" s="79">
        <v>9</v>
      </c>
      <c r="CE92" s="73" t="s">
        <v>30</v>
      </c>
      <c r="CF92" s="134"/>
      <c r="CG92" s="296"/>
      <c r="CH92" s="296"/>
      <c r="CI92" s="294"/>
      <c r="CJ92" s="77">
        <v>1</v>
      </c>
      <c r="CK92" s="78">
        <v>2</v>
      </c>
      <c r="CL92" s="78">
        <v>3</v>
      </c>
      <c r="CM92" s="78">
        <v>4</v>
      </c>
      <c r="CN92" s="79">
        <v>5</v>
      </c>
      <c r="CO92" s="73" t="s">
        <v>29</v>
      </c>
      <c r="CP92" s="80">
        <v>7</v>
      </c>
      <c r="CQ92" s="81">
        <v>8</v>
      </c>
      <c r="CR92" s="79">
        <v>9</v>
      </c>
      <c r="CS92" s="73" t="s">
        <v>30</v>
      </c>
      <c r="CT92" s="134"/>
      <c r="CU92" s="296"/>
      <c r="CV92" s="296"/>
      <c r="CW92" s="294"/>
      <c r="CX92" s="77">
        <v>1</v>
      </c>
      <c r="CY92" s="78">
        <v>2</v>
      </c>
      <c r="CZ92" s="78">
        <v>3</v>
      </c>
      <c r="DA92" s="78">
        <v>4</v>
      </c>
      <c r="DB92" s="79">
        <v>5</v>
      </c>
      <c r="DC92" s="73" t="s">
        <v>29</v>
      </c>
      <c r="DD92" s="80">
        <v>7</v>
      </c>
      <c r="DE92" s="81">
        <v>8</v>
      </c>
      <c r="DF92" s="79">
        <v>9</v>
      </c>
      <c r="DG92" s="73" t="s">
        <v>30</v>
      </c>
      <c r="DH92" s="134"/>
      <c r="DI92" s="296"/>
      <c r="DJ92" s="296"/>
      <c r="DK92" s="294"/>
      <c r="DL92" s="77">
        <v>1</v>
      </c>
      <c r="DM92" s="78">
        <v>2</v>
      </c>
      <c r="DN92" s="78">
        <v>3</v>
      </c>
      <c r="DO92" s="78">
        <v>4</v>
      </c>
      <c r="DP92" s="79">
        <v>5</v>
      </c>
      <c r="DQ92" s="73" t="s">
        <v>29</v>
      </c>
      <c r="DR92" s="80">
        <v>7</v>
      </c>
      <c r="DS92" s="81">
        <v>8</v>
      </c>
      <c r="DT92" s="79">
        <v>9</v>
      </c>
      <c r="DU92" s="73" t="s">
        <v>30</v>
      </c>
      <c r="DV92" s="134"/>
      <c r="DW92" s="296"/>
      <c r="DX92" s="296"/>
      <c r="DY92" s="294"/>
      <c r="DZ92" s="77">
        <v>1</v>
      </c>
      <c r="EA92" s="78">
        <v>2</v>
      </c>
      <c r="EB92" s="78">
        <v>3</v>
      </c>
      <c r="EC92" s="78">
        <v>4</v>
      </c>
      <c r="ED92" s="79">
        <v>5</v>
      </c>
      <c r="EE92" s="73" t="s">
        <v>29</v>
      </c>
      <c r="EF92" s="80">
        <v>7</v>
      </c>
      <c r="EG92" s="81">
        <v>8</v>
      </c>
      <c r="EH92" s="79">
        <v>9</v>
      </c>
      <c r="EI92" s="73" t="s">
        <v>30</v>
      </c>
      <c r="EJ92" s="134"/>
      <c r="EK92" s="296"/>
      <c r="EL92" s="296"/>
      <c r="EM92" s="294"/>
      <c r="EN92" s="77">
        <v>1</v>
      </c>
      <c r="EO92" s="78">
        <v>2</v>
      </c>
      <c r="EP92" s="78">
        <v>3</v>
      </c>
      <c r="EQ92" s="78">
        <v>4</v>
      </c>
      <c r="ER92" s="79">
        <v>5</v>
      </c>
      <c r="ES92" s="73" t="s">
        <v>29</v>
      </c>
      <c r="ET92" s="80">
        <v>7</v>
      </c>
      <c r="EU92" s="81">
        <v>8</v>
      </c>
      <c r="EV92" s="79">
        <v>9</v>
      </c>
      <c r="EW92" s="73" t="s">
        <v>30</v>
      </c>
      <c r="EX92" s="134"/>
      <c r="EY92" s="296"/>
      <c r="EZ92" s="296"/>
      <c r="FA92" s="294"/>
      <c r="FB92" s="77">
        <v>1</v>
      </c>
      <c r="FC92" s="78">
        <v>2</v>
      </c>
      <c r="FD92" s="78">
        <v>3</v>
      </c>
      <c r="FE92" s="78">
        <v>4</v>
      </c>
      <c r="FF92" s="79">
        <v>5</v>
      </c>
      <c r="FG92" s="73" t="s">
        <v>29</v>
      </c>
      <c r="FH92" s="80">
        <v>7</v>
      </c>
      <c r="FI92" s="81">
        <v>8</v>
      </c>
      <c r="FJ92" s="79">
        <v>9</v>
      </c>
      <c r="FK92" s="73" t="s">
        <v>30</v>
      </c>
      <c r="FL92" s="148"/>
      <c r="FM92" s="296"/>
      <c r="FN92" s="296"/>
      <c r="FO92" s="294"/>
      <c r="FP92" s="164">
        <v>1</v>
      </c>
      <c r="FQ92" s="165">
        <v>2</v>
      </c>
      <c r="FR92" s="166">
        <v>4</v>
      </c>
      <c r="FS92" s="167">
        <v>5</v>
      </c>
      <c r="FT92" s="168">
        <v>6</v>
      </c>
      <c r="FU92" s="135" t="s">
        <v>18</v>
      </c>
      <c r="FV92" s="166">
        <v>8</v>
      </c>
      <c r="FW92" s="169">
        <v>9</v>
      </c>
      <c r="FX92" s="165">
        <v>10</v>
      </c>
      <c r="FY92" s="136" t="s">
        <v>19</v>
      </c>
      <c r="FZ92" s="137"/>
      <c r="GA92" s="134"/>
    </row>
    <row r="93" spans="1:183" s="96" customFormat="1" ht="20.100000000000001" customHeight="1" thickBot="1" x14ac:dyDescent="0.25">
      <c r="A93" s="303" t="s">
        <v>42</v>
      </c>
      <c r="B93" s="306" t="s">
        <v>5</v>
      </c>
      <c r="C93" s="92" t="s">
        <v>20</v>
      </c>
      <c r="D93" s="83">
        <f>D6+D13+D20+D27+D34+D41+D48+D55+D62+D69+D76+D83</f>
        <v>14867</v>
      </c>
      <c r="E93" s="83">
        <f t="shared" ref="E93:H94" si="580">E6+E13+E20+E27+E34+E41+E48+E55+E62+E69+E76+E83</f>
        <v>3383</v>
      </c>
      <c r="F93" s="83">
        <f t="shared" si="580"/>
        <v>1337</v>
      </c>
      <c r="G93" s="83">
        <f t="shared" si="580"/>
        <v>0</v>
      </c>
      <c r="H93" s="83">
        <f t="shared" si="580"/>
        <v>2380</v>
      </c>
      <c r="I93" s="152">
        <f>SUM(D93:H93)</f>
        <v>21967</v>
      </c>
      <c r="J93" s="83">
        <f>J6+J13+J20+J27+J34+J41+J48+J55+J62+J69+J76+J83</f>
        <v>1887</v>
      </c>
      <c r="K93" s="83">
        <f t="shared" ref="K93:L94" si="581">K6+K13+K20+K27+K34+K41+K48+K55+K62+K69+K76+K83</f>
        <v>3761</v>
      </c>
      <c r="L93" s="83">
        <f t="shared" si="581"/>
        <v>532</v>
      </c>
      <c r="M93" s="139">
        <f>SUM(J93:L93)</f>
        <v>6180</v>
      </c>
      <c r="N93" s="91"/>
      <c r="O93" s="303" t="s">
        <v>42</v>
      </c>
      <c r="P93" s="306" t="s">
        <v>5</v>
      </c>
      <c r="Q93" s="92" t="s">
        <v>20</v>
      </c>
      <c r="R93" s="83">
        <f>R6+R13+R20+R27+R34+R41+R48+R55+R62+R69+R76+R83</f>
        <v>18515</v>
      </c>
      <c r="S93" s="83">
        <f t="shared" ref="S93:V93" si="582">S6+S13+S20+S27+S34+S41+S48+S55+S62+S69+S76+S83</f>
        <v>1480</v>
      </c>
      <c r="T93" s="83">
        <f t="shared" si="582"/>
        <v>1349</v>
      </c>
      <c r="U93" s="83">
        <f t="shared" si="582"/>
        <v>0</v>
      </c>
      <c r="V93" s="83">
        <f t="shared" si="582"/>
        <v>2108</v>
      </c>
      <c r="W93" s="152">
        <f>SUM(R93:V93)</f>
        <v>23452</v>
      </c>
      <c r="X93" s="83">
        <f>X6+X13+X20+X27+X34+X41+X48+X55+X62+X69+X76+X83</f>
        <v>2292</v>
      </c>
      <c r="Y93" s="83">
        <f t="shared" ref="Y93:Z93" si="583">Y6+Y13+Y20+Y27+Y34+Y41+Y48+Y55+Y62+Y69+Y76+Y83</f>
        <v>5516</v>
      </c>
      <c r="Z93" s="83">
        <f t="shared" si="583"/>
        <v>892</v>
      </c>
      <c r="AA93" s="139">
        <f>SUM(X93:Z93)</f>
        <v>8700</v>
      </c>
      <c r="AB93" s="91"/>
      <c r="AC93" s="303" t="s">
        <v>42</v>
      </c>
      <c r="AD93" s="306" t="s">
        <v>5</v>
      </c>
      <c r="AE93" s="92" t="s">
        <v>20</v>
      </c>
      <c r="AF93" s="83">
        <f>AF6+AF13+AF20+AF27+AF34+AF41+AF48+AF55+AF62+AF69+AF76+AF83</f>
        <v>21631</v>
      </c>
      <c r="AG93" s="83">
        <f t="shared" ref="AG93:AJ93" si="584">AG6+AG13+AG20+AG27+AG34+AG41+AG48+AG55+AG62+AG69+AG76+AG83</f>
        <v>2239</v>
      </c>
      <c r="AH93" s="83">
        <f t="shared" si="584"/>
        <v>1287</v>
      </c>
      <c r="AI93" s="83">
        <f t="shared" si="584"/>
        <v>0</v>
      </c>
      <c r="AJ93" s="83">
        <f t="shared" si="584"/>
        <v>2445</v>
      </c>
      <c r="AK93" s="152">
        <f>SUM(AF93:AJ93)</f>
        <v>27602</v>
      </c>
      <c r="AL93" s="83">
        <f>AL6+AL13+AL20+AL27+AL34+AL41+AL48+AL55+AL62+AL69+AL76+AL83</f>
        <v>1732</v>
      </c>
      <c r="AM93" s="83">
        <f t="shared" ref="AM93:AN93" si="585">AM6+AM13+AM20+AM27+AM34+AM41+AM48+AM55+AM62+AM69+AM76+AM83</f>
        <v>5634</v>
      </c>
      <c r="AN93" s="83">
        <f t="shared" si="585"/>
        <v>14</v>
      </c>
      <c r="AO93" s="139">
        <f>SUM(AL93:AN93)</f>
        <v>7380</v>
      </c>
      <c r="AP93" s="91"/>
      <c r="AQ93" s="303" t="s">
        <v>42</v>
      </c>
      <c r="AR93" s="306" t="s">
        <v>5</v>
      </c>
      <c r="AS93" s="92" t="s">
        <v>20</v>
      </c>
      <c r="AT93" s="83">
        <f>AT6+AT13+AT20+AT27+AT34+AT41+AT48+AT55+AT62+AT69+AT76+AT83</f>
        <v>15495</v>
      </c>
      <c r="AU93" s="83">
        <f t="shared" ref="AU93:AX93" si="586">AU6+AU13+AU20+AU27+AU34+AU41+AU48+AU55+AU62+AU69+AU76+AU83</f>
        <v>1673</v>
      </c>
      <c r="AV93" s="83">
        <f t="shared" si="586"/>
        <v>1474</v>
      </c>
      <c r="AW93" s="83">
        <f t="shared" si="586"/>
        <v>0</v>
      </c>
      <c r="AX93" s="83">
        <f t="shared" si="586"/>
        <v>2174</v>
      </c>
      <c r="AY93" s="152">
        <f>SUM(AT93:AX93)</f>
        <v>20816</v>
      </c>
      <c r="AZ93" s="83">
        <f>AZ6+AZ13+AZ20+AZ27+AZ34+AZ41+AZ48+AZ55+AZ62+AZ69+AZ76+AZ83</f>
        <v>1561</v>
      </c>
      <c r="BA93" s="83">
        <f t="shared" ref="BA93:BB93" si="587">BA6+BA13+BA20+BA27+BA34+BA41+BA48+BA55+BA62+BA69+BA76+BA83</f>
        <v>4402</v>
      </c>
      <c r="BB93" s="83">
        <f t="shared" si="587"/>
        <v>660</v>
      </c>
      <c r="BC93" s="139">
        <f>SUM(AZ93:BB93)</f>
        <v>6623</v>
      </c>
      <c r="BD93" s="91"/>
      <c r="BE93" s="303" t="s">
        <v>42</v>
      </c>
      <c r="BF93" s="306" t="s">
        <v>5</v>
      </c>
      <c r="BG93" s="92" t="s">
        <v>20</v>
      </c>
      <c r="BH93" s="83">
        <f>BH6+BH13+BH20+BH27+BH34+BH41+BH48+BH55+BH62+BH69+BH76+BH83</f>
        <v>17438</v>
      </c>
      <c r="BI93" s="83">
        <f t="shared" ref="BI93:BL93" si="588">BI6+BI13+BI20+BI27+BI34+BI41+BI48+BI55+BI62+BI69+BI76+BI83</f>
        <v>1476</v>
      </c>
      <c r="BJ93" s="83">
        <f t="shared" si="588"/>
        <v>1724</v>
      </c>
      <c r="BK93" s="83">
        <f t="shared" si="588"/>
        <v>0</v>
      </c>
      <c r="BL93" s="83">
        <f t="shared" si="588"/>
        <v>2627</v>
      </c>
      <c r="BM93" s="152">
        <f>SUM(BH93:BL93)</f>
        <v>23265</v>
      </c>
      <c r="BN93" s="83">
        <f>BN6+BN13+BN20+BN27+BN34+BN41+BN48+BN55+BN62+BN69+BN76+BN83</f>
        <v>1692</v>
      </c>
      <c r="BO93" s="83">
        <f t="shared" ref="BO93:BP93" si="589">BO6+BO13+BO20+BO27+BO34+BO41+BO48+BO55+BO62+BO69+BO76+BO83</f>
        <v>5992</v>
      </c>
      <c r="BP93" s="83">
        <f t="shared" si="589"/>
        <v>34</v>
      </c>
      <c r="BQ93" s="139">
        <f>SUM(BN93:BP93)</f>
        <v>7718</v>
      </c>
      <c r="BR93" s="91"/>
      <c r="BS93" s="303" t="s">
        <v>42</v>
      </c>
      <c r="BT93" s="306" t="s">
        <v>5</v>
      </c>
      <c r="BU93" s="92" t="s">
        <v>20</v>
      </c>
      <c r="BV93" s="83">
        <f>BV6+BV13+BV20+BV27+BV34+BV41+BV48+BV55+BV62+BV69+BV76+BV83</f>
        <v>17837</v>
      </c>
      <c r="BW93" s="83">
        <f t="shared" ref="BW93:BZ93" si="590">BW6+BW13+BW20+BW27+BW34+BW41+BW48+BW55+BW62+BW69+BW76+BW83</f>
        <v>1459</v>
      </c>
      <c r="BX93" s="83">
        <f t="shared" si="590"/>
        <v>800</v>
      </c>
      <c r="BY93" s="83">
        <f t="shared" si="590"/>
        <v>0</v>
      </c>
      <c r="BZ93" s="83">
        <f t="shared" si="590"/>
        <v>2201</v>
      </c>
      <c r="CA93" s="152">
        <f>SUM(BV93:BZ93)</f>
        <v>22297</v>
      </c>
      <c r="CB93" s="83">
        <f>CB6+CB13+CB20+CB27+CB34+CB41+CB48+CB55+CB62+CB69+CB76+CB83</f>
        <v>1278</v>
      </c>
      <c r="CC93" s="83">
        <f t="shared" ref="CC93:CD93" si="591">CC6+CC13+CC20+CC27+CC34+CC41+CC48+CC55+CC62+CC69+CC76+CC83</f>
        <v>5005</v>
      </c>
      <c r="CD93" s="83">
        <f t="shared" si="591"/>
        <v>9</v>
      </c>
      <c r="CE93" s="139">
        <f>SUM(CB93:CD93)</f>
        <v>6292</v>
      </c>
      <c r="CF93" s="91"/>
      <c r="CG93" s="303" t="s">
        <v>42</v>
      </c>
      <c r="CH93" s="306" t="s">
        <v>5</v>
      </c>
      <c r="CI93" s="92" t="s">
        <v>20</v>
      </c>
      <c r="CJ93" s="83">
        <f>CJ6+CJ13+CJ20+CJ27+CJ34+CJ41+CJ48+CJ55+CJ62+CJ69+CJ76+CJ83</f>
        <v>15094</v>
      </c>
      <c r="CK93" s="83">
        <f t="shared" ref="CK93:CN93" si="592">CK6+CK13+CK20+CK27+CK34+CK41+CK48+CK55+CK62+CK69+CK76+CK83</f>
        <v>2911</v>
      </c>
      <c r="CL93" s="83">
        <f t="shared" si="592"/>
        <v>1304</v>
      </c>
      <c r="CM93" s="83">
        <f t="shared" si="592"/>
        <v>0</v>
      </c>
      <c r="CN93" s="83">
        <f t="shared" si="592"/>
        <v>2762</v>
      </c>
      <c r="CO93" s="152">
        <f>SUM(CJ93:CN93)</f>
        <v>22071</v>
      </c>
      <c r="CP93" s="83">
        <f>CP6+CP13+CP20+CP27+CP34+CP41+CP48+CP55+CP62+CP69+CP76+CP83</f>
        <v>1705</v>
      </c>
      <c r="CQ93" s="83">
        <f t="shared" ref="CQ93:CR93" si="593">CQ6+CQ13+CQ20+CQ27+CQ34+CQ41+CQ48+CQ55+CQ62+CQ69+CQ76+CQ83</f>
        <v>6224</v>
      </c>
      <c r="CR93" s="83">
        <f t="shared" si="593"/>
        <v>621</v>
      </c>
      <c r="CS93" s="139">
        <f>SUM(CP93:CR93)</f>
        <v>8550</v>
      </c>
      <c r="CT93" s="91"/>
      <c r="CU93" s="303" t="s">
        <v>42</v>
      </c>
      <c r="CV93" s="306" t="s">
        <v>5</v>
      </c>
      <c r="CW93" s="92" t="s">
        <v>20</v>
      </c>
      <c r="CX93" s="83">
        <f>CX6+CX13+CX20+CX27+CX34+CX41+CX48+CX55+CX62+CX69+CX76+CX83</f>
        <v>19767</v>
      </c>
      <c r="CY93" s="83">
        <f t="shared" ref="CY93:DB93" si="594">CY6+CY13+CY20+CY27+CY34+CY41+CY48+CY55+CY62+CY69+CY76+CY83</f>
        <v>1632</v>
      </c>
      <c r="CZ93" s="83">
        <f t="shared" si="594"/>
        <v>1184</v>
      </c>
      <c r="DA93" s="83">
        <f t="shared" si="594"/>
        <v>0</v>
      </c>
      <c r="DB93" s="83">
        <f t="shared" si="594"/>
        <v>2251</v>
      </c>
      <c r="DC93" s="152">
        <f>SUM(CX93:DB93)</f>
        <v>24834</v>
      </c>
      <c r="DD93" s="83">
        <f>DD6+DD13+DD20+DD27+DD34+DD41+DD48+DD55+DD62+DD69+DD76+DD83</f>
        <v>2116</v>
      </c>
      <c r="DE93" s="83">
        <f t="shared" ref="DE93:DF93" si="595">DE6+DE13+DE20+DE27+DE34+DE41+DE48+DE55+DE62+DE69+DE76+DE83</f>
        <v>8739</v>
      </c>
      <c r="DF93" s="83">
        <f t="shared" si="595"/>
        <v>9</v>
      </c>
      <c r="DG93" s="139">
        <f>SUM(DD93:DF93)</f>
        <v>10864</v>
      </c>
      <c r="DH93" s="91"/>
      <c r="DI93" s="303" t="s">
        <v>42</v>
      </c>
      <c r="DJ93" s="306" t="s">
        <v>5</v>
      </c>
      <c r="DK93" s="92" t="s">
        <v>20</v>
      </c>
      <c r="DL93" s="83">
        <f>DL6+DL13+DL20+DL27+DL34+DL41+DL48+DL55+DL62+DL69+DL76+DL83</f>
        <v>15736</v>
      </c>
      <c r="DM93" s="83">
        <f t="shared" ref="DM93:DP93" si="596">DM6+DM13+DM20+DM27+DM34+DM41+DM48+DM55+DM62+DM69+DM76+DM83</f>
        <v>949</v>
      </c>
      <c r="DN93" s="83">
        <f t="shared" si="596"/>
        <v>1120</v>
      </c>
      <c r="DO93" s="83">
        <f t="shared" si="596"/>
        <v>0</v>
      </c>
      <c r="DP93" s="83">
        <f t="shared" si="596"/>
        <v>2779</v>
      </c>
      <c r="DQ93" s="152">
        <f>SUM(DL93:DP93)</f>
        <v>20584</v>
      </c>
      <c r="DR93" s="83">
        <f>DR6+DR13+DR20+DR27+DR34+DR41+DR48+DR55+DR62+DR69+DR76+DR83</f>
        <v>1063</v>
      </c>
      <c r="DS93" s="83">
        <f t="shared" ref="DS93:DT93" si="597">DS6+DS13+DS20+DS27+DS34+DS41+DS48+DS55+DS62+DS69+DS76+DS83</f>
        <v>3716</v>
      </c>
      <c r="DT93" s="83">
        <f t="shared" si="597"/>
        <v>90</v>
      </c>
      <c r="DU93" s="139">
        <f>SUM(DR93:DT93)</f>
        <v>4869</v>
      </c>
      <c r="DV93" s="91"/>
      <c r="DW93" s="303" t="s">
        <v>42</v>
      </c>
      <c r="DX93" s="306" t="s">
        <v>5</v>
      </c>
      <c r="DY93" s="92" t="s">
        <v>20</v>
      </c>
      <c r="DZ93" s="83">
        <f>DZ6+DZ13+DZ20+DZ27+DZ34+DZ41+DZ48+DZ55+DZ62+DZ69+DZ76+DZ83</f>
        <v>14506</v>
      </c>
      <c r="EA93" s="83">
        <f t="shared" ref="EA93:ED93" si="598">EA6+EA13+EA20+EA27+EA34+EA41+EA48+EA55+EA62+EA69+EA76+EA83</f>
        <v>1023</v>
      </c>
      <c r="EB93" s="83">
        <f t="shared" si="598"/>
        <v>1339</v>
      </c>
      <c r="EC93" s="83">
        <f t="shared" si="598"/>
        <v>0</v>
      </c>
      <c r="ED93" s="83">
        <f t="shared" si="598"/>
        <v>2264</v>
      </c>
      <c r="EE93" s="152">
        <f>SUM(DZ93:ED93)</f>
        <v>19132</v>
      </c>
      <c r="EF93" s="83">
        <f>EF6+EF13+EF20+EF27+EF34+EF41+EF48+EF55+EF62+EF69+EF76+EF83</f>
        <v>1531</v>
      </c>
      <c r="EG93" s="83">
        <f t="shared" ref="EG93:EH93" si="599">EG6+EG13+EG20+EG27+EG34+EG41+EG48+EG55+EG62+EG69+EG76+EG83</f>
        <v>5544</v>
      </c>
      <c r="EH93" s="83">
        <f t="shared" si="599"/>
        <v>528</v>
      </c>
      <c r="EI93" s="139">
        <f>SUM(EF93:EH93)</f>
        <v>7603</v>
      </c>
      <c r="EJ93" s="91"/>
      <c r="EK93" s="303" t="s">
        <v>42</v>
      </c>
      <c r="EL93" s="306" t="s">
        <v>5</v>
      </c>
      <c r="EM93" s="92" t="s">
        <v>20</v>
      </c>
      <c r="EN93" s="83">
        <f>EN6+EN13+EN20+EN27+EN34+EN41+EN48+EN55+EN62+EN69+EN76+EN83</f>
        <v>0</v>
      </c>
      <c r="EO93" s="83">
        <f t="shared" ref="EO93:ER93" si="600">EO6+EO13+EO20+EO27+EO34+EO41+EO48+EO55+EO62+EO69+EO76+EO83</f>
        <v>0</v>
      </c>
      <c r="EP93" s="83">
        <f t="shared" si="600"/>
        <v>0</v>
      </c>
      <c r="EQ93" s="83">
        <f t="shared" si="600"/>
        <v>0</v>
      </c>
      <c r="ER93" s="83">
        <f t="shared" si="600"/>
        <v>0</v>
      </c>
      <c r="ES93" s="152">
        <f>SUM(EN93:ER93)</f>
        <v>0</v>
      </c>
      <c r="ET93" s="83">
        <f>ET6+ET13+ET20+ET27+ET34+ET41+ET48+ET55+ET62+ET69+ET76+ET83</f>
        <v>0</v>
      </c>
      <c r="EU93" s="83">
        <f t="shared" ref="EU93:EV93" si="601">EU6+EU13+EU20+EU27+EU34+EU41+EU48+EU55+EU62+EU69+EU76+EU83</f>
        <v>0</v>
      </c>
      <c r="EV93" s="83">
        <f t="shared" si="601"/>
        <v>0</v>
      </c>
      <c r="EW93" s="139">
        <f>SUM(ET93:EV93)</f>
        <v>0</v>
      </c>
      <c r="EX93" s="91"/>
      <c r="EY93" s="303" t="s">
        <v>42</v>
      </c>
      <c r="EZ93" s="306" t="s">
        <v>5</v>
      </c>
      <c r="FA93" s="92" t="s">
        <v>20</v>
      </c>
      <c r="FB93" s="83">
        <f>FB6+FB13+FB20+FB27+FB34+FB41+FB48+FB55+FB62+FB69+FB76+FB83</f>
        <v>0</v>
      </c>
      <c r="FC93" s="83">
        <f t="shared" ref="FC93:FF93" si="602">FC6+FC13+FC20+FC27+FC34+FC41+FC48+FC55+FC62+FC69+FC76+FC83</f>
        <v>0</v>
      </c>
      <c r="FD93" s="83">
        <f t="shared" si="602"/>
        <v>0</v>
      </c>
      <c r="FE93" s="83">
        <f t="shared" si="602"/>
        <v>0</v>
      </c>
      <c r="FF93" s="83">
        <f t="shared" si="602"/>
        <v>0</v>
      </c>
      <c r="FG93" s="152">
        <f>SUM(FB93:FF93)</f>
        <v>0</v>
      </c>
      <c r="FH93" s="83">
        <f>FH6+FH13+FH20+FH27+FH34+FH41+FH48+FH55+FH62+FH69+FH76+FH83</f>
        <v>0</v>
      </c>
      <c r="FI93" s="83">
        <f t="shared" ref="FI93:FJ93" si="603">FI6+FI13+FI20+FI27+FI34+FI41+FI48+FI55+FI62+FI69+FI76+FI83</f>
        <v>0</v>
      </c>
      <c r="FJ93" s="83">
        <f t="shared" si="603"/>
        <v>0</v>
      </c>
      <c r="FK93" s="139">
        <f>SUM(FH93:FJ93)</f>
        <v>0</v>
      </c>
      <c r="FL93" s="147"/>
      <c r="FM93" s="303" t="str">
        <f>(EY93)</f>
        <v>إجمالي مراكز شرق جدة</v>
      </c>
      <c r="FN93" s="306" t="s">
        <v>5</v>
      </c>
      <c r="FO93" s="92" t="s">
        <v>20</v>
      </c>
      <c r="FP93" s="83">
        <f>FP6+FP13+FP20+FP27+FP34+FP41+FP48+FP55+FP62+FP69+FP76+FP83</f>
        <v>170886</v>
      </c>
      <c r="FQ93" s="83">
        <f t="shared" ref="FQ93:FT93" si="604">FQ6+FQ13+FQ20+FQ27+FQ34+FQ41+FQ48+FQ55+FQ62+FQ69+FQ76+FQ83</f>
        <v>18225</v>
      </c>
      <c r="FR93" s="83">
        <f t="shared" si="604"/>
        <v>12918</v>
      </c>
      <c r="FS93" s="83">
        <f t="shared" si="604"/>
        <v>0</v>
      </c>
      <c r="FT93" s="83">
        <f t="shared" si="604"/>
        <v>23991</v>
      </c>
      <c r="FU93" s="152">
        <f>SUM(FP93:FT93)</f>
        <v>226020</v>
      </c>
      <c r="FV93" s="83">
        <f>FV6+FV13+FV20+FV27+FV34+FV41+FV48+FV55+FV62+FV69+FV76+FV83</f>
        <v>16857</v>
      </c>
      <c r="FW93" s="83">
        <f t="shared" ref="FW93:FX93" si="605">FW6+FW13+FW20+FW27+FW34+FW41+FW48+FW55+FW62+FW69+FW76+FW83</f>
        <v>54533</v>
      </c>
      <c r="FX93" s="83">
        <f t="shared" si="605"/>
        <v>3389</v>
      </c>
      <c r="FY93" s="139">
        <f>SUM(FV93:FX93)</f>
        <v>74779</v>
      </c>
      <c r="FZ93" s="95"/>
      <c r="GA93" s="91"/>
    </row>
    <row r="94" spans="1:183" s="96" customFormat="1" ht="20.100000000000001" customHeight="1" thickBot="1" x14ac:dyDescent="0.25">
      <c r="A94" s="304"/>
      <c r="B94" s="307"/>
      <c r="C94" s="105" t="s">
        <v>21</v>
      </c>
      <c r="D94" s="83">
        <f>D7+D14+D21+D28+D35+D42+D49+D56+D63+D70+D77+D84</f>
        <v>14614</v>
      </c>
      <c r="E94" s="83">
        <f t="shared" si="580"/>
        <v>2774</v>
      </c>
      <c r="F94" s="83">
        <f t="shared" si="580"/>
        <v>1316</v>
      </c>
      <c r="G94" s="83">
        <f t="shared" si="580"/>
        <v>103</v>
      </c>
      <c r="H94" s="83">
        <f t="shared" si="580"/>
        <v>2368</v>
      </c>
      <c r="I94" s="152">
        <f t="shared" ref="I94:I97" si="606">SUM(D94:H94)</f>
        <v>21175</v>
      </c>
      <c r="J94" s="83">
        <f>J7+J14+J21+J28+J35+J42+J49+J56+J63+J70+J77+J84</f>
        <v>1725</v>
      </c>
      <c r="K94" s="83">
        <f t="shared" si="581"/>
        <v>4658</v>
      </c>
      <c r="L94" s="83">
        <f t="shared" si="581"/>
        <v>458</v>
      </c>
      <c r="M94" s="139">
        <f>SUM(J94:L94)</f>
        <v>6841</v>
      </c>
      <c r="N94" s="91"/>
      <c r="O94" s="304"/>
      <c r="P94" s="307"/>
      <c r="Q94" s="105" t="s">
        <v>21</v>
      </c>
      <c r="R94" s="83">
        <f>R7+R14+R21+R28+R35+R42+R49+R56+R63+R70+R77+R84</f>
        <v>17329</v>
      </c>
      <c r="S94" s="83">
        <f t="shared" ref="S94:V94" si="607">S7+S14+S21+S28+S35+S42+S49+S56+S63+S70+S77+S84</f>
        <v>1209</v>
      </c>
      <c r="T94" s="83">
        <f t="shared" si="607"/>
        <v>1834</v>
      </c>
      <c r="U94" s="83">
        <f t="shared" si="607"/>
        <v>213</v>
      </c>
      <c r="V94" s="83">
        <f t="shared" si="607"/>
        <v>1730</v>
      </c>
      <c r="W94" s="152">
        <f t="shared" ref="W94" si="608">SUM(R94:V94)</f>
        <v>22315</v>
      </c>
      <c r="X94" s="83">
        <f>X7+X14+X21+X28+X35+X42+X49+X56+X63+X70+X77+X84</f>
        <v>2159</v>
      </c>
      <c r="Y94" s="83">
        <f t="shared" ref="Y94:Z94" si="609">Y7+Y14+Y21+Y28+Y35+Y42+Y49+Y56+Y63+Y70+Y77+Y84</f>
        <v>7282</v>
      </c>
      <c r="Z94" s="83">
        <f t="shared" si="609"/>
        <v>254</v>
      </c>
      <c r="AA94" s="139">
        <f>SUM(X94:Z94)</f>
        <v>9695</v>
      </c>
      <c r="AB94" s="91"/>
      <c r="AC94" s="304"/>
      <c r="AD94" s="307"/>
      <c r="AE94" s="105" t="s">
        <v>21</v>
      </c>
      <c r="AF94" s="83">
        <f>AF7+AF14+AF21+AF28+AF35+AF42+AF49+AF56+AF63+AF70+AF77+AF84</f>
        <v>23266</v>
      </c>
      <c r="AG94" s="83">
        <f t="shared" ref="AG94:AJ94" si="610">AG7+AG14+AG21+AG28+AG35+AG42+AG49+AG56+AG63+AG70+AG77+AG84</f>
        <v>1903</v>
      </c>
      <c r="AH94" s="83">
        <f t="shared" si="610"/>
        <v>1478</v>
      </c>
      <c r="AI94" s="83">
        <f t="shared" si="610"/>
        <v>130</v>
      </c>
      <c r="AJ94" s="83">
        <f t="shared" si="610"/>
        <v>2442</v>
      </c>
      <c r="AK94" s="152">
        <f t="shared" ref="AK94" si="611">SUM(AF94:AJ94)</f>
        <v>29219</v>
      </c>
      <c r="AL94" s="83">
        <f>AL7+AL14+AL21+AL28+AL35+AL42+AL49+AL56+AL63+AL70+AL77+AL84</f>
        <v>1411</v>
      </c>
      <c r="AM94" s="83">
        <f t="shared" ref="AM94:AN94" si="612">AM7+AM14+AM21+AM28+AM35+AM42+AM49+AM56+AM63+AM70+AM77+AM84</f>
        <v>11066</v>
      </c>
      <c r="AN94" s="83">
        <f t="shared" si="612"/>
        <v>16</v>
      </c>
      <c r="AO94" s="139">
        <f>SUM(AL94:AN94)</f>
        <v>12493</v>
      </c>
      <c r="AP94" s="91"/>
      <c r="AQ94" s="304"/>
      <c r="AR94" s="307"/>
      <c r="AS94" s="105" t="s">
        <v>21</v>
      </c>
      <c r="AT94" s="83">
        <f>AT7+AT14+AT21+AT28+AT35+AT42+AT49+AT56+AT63+AT70+AT77+AT84</f>
        <v>15799</v>
      </c>
      <c r="AU94" s="83">
        <f t="shared" ref="AU94:AX94" si="613">AU7+AU14+AU21+AU28+AU35+AU42+AU49+AU56+AU63+AU70+AU77+AU84</f>
        <v>1421</v>
      </c>
      <c r="AV94" s="83">
        <f t="shared" si="613"/>
        <v>1652</v>
      </c>
      <c r="AW94" s="83">
        <f t="shared" si="613"/>
        <v>208</v>
      </c>
      <c r="AX94" s="83">
        <f t="shared" si="613"/>
        <v>2457</v>
      </c>
      <c r="AY94" s="152">
        <f t="shared" ref="AY94" si="614">SUM(AT94:AX94)</f>
        <v>21537</v>
      </c>
      <c r="AZ94" s="83">
        <f>AZ7+AZ14+AZ21+AZ28+AZ35+AZ42+AZ49+AZ56+AZ63+AZ70+AZ77+AZ84</f>
        <v>1256</v>
      </c>
      <c r="BA94" s="83">
        <f t="shared" ref="BA94:BB94" si="615">BA7+BA14+BA21+BA28+BA35+BA42+BA49+BA56+BA63+BA70+BA77+BA84</f>
        <v>6058</v>
      </c>
      <c r="BB94" s="83">
        <f t="shared" si="615"/>
        <v>474</v>
      </c>
      <c r="BC94" s="139">
        <f>SUM(AZ94:BB94)</f>
        <v>7788</v>
      </c>
      <c r="BD94" s="91"/>
      <c r="BE94" s="304"/>
      <c r="BF94" s="307"/>
      <c r="BG94" s="105" t="s">
        <v>21</v>
      </c>
      <c r="BH94" s="83">
        <f>BH7+BH14+BH21+BH28+BH35+BH42+BH49+BH56+BH63+BH70+BH77+BH84</f>
        <v>15811</v>
      </c>
      <c r="BI94" s="83">
        <f t="shared" ref="BI94:BL94" si="616">BI7+BI14+BI21+BI28+BI35+BI42+BI49+BI56+BI63+BI70+BI77+BI84</f>
        <v>1485</v>
      </c>
      <c r="BJ94" s="83">
        <f t="shared" si="616"/>
        <v>1674</v>
      </c>
      <c r="BK94" s="83">
        <f t="shared" si="616"/>
        <v>143</v>
      </c>
      <c r="BL94" s="83">
        <f t="shared" si="616"/>
        <v>2604</v>
      </c>
      <c r="BM94" s="152">
        <f t="shared" ref="BM94" si="617">SUM(BH94:BL94)</f>
        <v>21717</v>
      </c>
      <c r="BN94" s="83">
        <f>BN7+BN14+BN21+BN28+BN35+BN42+BN49+BN56+BN63+BN70+BN77+BN84</f>
        <v>1599</v>
      </c>
      <c r="BO94" s="83">
        <f t="shared" ref="BO94:BP94" si="618">BO7+BO14+BO21+BO28+BO35+BO42+BO49+BO56+BO63+BO70+BO77+BO84</f>
        <v>7148</v>
      </c>
      <c r="BP94" s="83">
        <f t="shared" si="618"/>
        <v>28</v>
      </c>
      <c r="BQ94" s="139">
        <f>SUM(BN94:BP94)</f>
        <v>8775</v>
      </c>
      <c r="BR94" s="91"/>
      <c r="BS94" s="304"/>
      <c r="BT94" s="307"/>
      <c r="BU94" s="105" t="s">
        <v>21</v>
      </c>
      <c r="BV94" s="83">
        <f>BV7+BV14+BV21+BV28+BV35+BV42+BV49+BV56+BV63+BV70+BV77+BV84</f>
        <v>17917</v>
      </c>
      <c r="BW94" s="83">
        <f t="shared" ref="BW94:BZ94" si="619">BW7+BW14+BW21+BW28+BW35+BW42+BW49+BW56+BW63+BW70+BW77+BW84</f>
        <v>1300</v>
      </c>
      <c r="BX94" s="83">
        <f t="shared" si="619"/>
        <v>1098</v>
      </c>
      <c r="BY94" s="83">
        <f t="shared" si="619"/>
        <v>127</v>
      </c>
      <c r="BZ94" s="83">
        <f t="shared" si="619"/>
        <v>2156</v>
      </c>
      <c r="CA94" s="152">
        <f t="shared" ref="CA94" si="620">SUM(BV94:BZ94)</f>
        <v>22598</v>
      </c>
      <c r="CB94" s="83">
        <f>CB7+CB14+CB21+CB28+CB35+CB42+CB49+CB56+CB63+CB70+CB77+CB84</f>
        <v>1066</v>
      </c>
      <c r="CC94" s="83">
        <f t="shared" ref="CC94:CD94" si="621">CC7+CC14+CC21+CC28+CC35+CC42+CC49+CC56+CC63+CC70+CC77+CC84</f>
        <v>9123</v>
      </c>
      <c r="CD94" s="83">
        <f t="shared" si="621"/>
        <v>11</v>
      </c>
      <c r="CE94" s="139">
        <f>SUM(CB94:CD94)</f>
        <v>10200</v>
      </c>
      <c r="CF94" s="91"/>
      <c r="CG94" s="304"/>
      <c r="CH94" s="307"/>
      <c r="CI94" s="105" t="s">
        <v>21</v>
      </c>
      <c r="CJ94" s="83">
        <f>CJ7+CJ14+CJ21+CJ28+CJ35+CJ42+CJ49+CJ56+CJ63+CJ70+CJ77+CJ84</f>
        <v>14007</v>
      </c>
      <c r="CK94" s="83">
        <f t="shared" ref="CK94:CN94" si="622">CK7+CK14+CK21+CK28+CK35+CK42+CK49+CK56+CK63+CK70+CK77+CK84</f>
        <v>2638</v>
      </c>
      <c r="CL94" s="83">
        <f t="shared" si="622"/>
        <v>1741</v>
      </c>
      <c r="CM94" s="83">
        <f t="shared" si="622"/>
        <v>189</v>
      </c>
      <c r="CN94" s="83">
        <f t="shared" si="622"/>
        <v>2399</v>
      </c>
      <c r="CO94" s="152">
        <f t="shared" ref="CO94" si="623">SUM(CJ94:CN94)</f>
        <v>20974</v>
      </c>
      <c r="CP94" s="83">
        <f>CP7+CP14+CP21+CP28+CP35+CP42+CP49+CP56+CP63+CP70+CP77+CP84</f>
        <v>1457</v>
      </c>
      <c r="CQ94" s="83">
        <f t="shared" ref="CQ94:CR94" si="624">CQ7+CQ14+CQ21+CQ28+CQ35+CQ42+CQ49+CQ56+CQ63+CQ70+CQ77+CQ84</f>
        <v>8200</v>
      </c>
      <c r="CR94" s="83">
        <f t="shared" si="624"/>
        <v>420</v>
      </c>
      <c r="CS94" s="139">
        <f>SUM(CP94:CR94)</f>
        <v>10077</v>
      </c>
      <c r="CT94" s="91"/>
      <c r="CU94" s="304"/>
      <c r="CV94" s="307"/>
      <c r="CW94" s="105" t="s">
        <v>21</v>
      </c>
      <c r="CX94" s="83">
        <f>CX7+CX14+CX21+CX28+CX35+CX42+CX49+CX56+CX63+CX70+CX77+CX84</f>
        <v>17534</v>
      </c>
      <c r="CY94" s="83">
        <f t="shared" ref="CY94:DB94" si="625">CY7+CY14+CY21+CY28+CY35+CY42+CY49+CY56+CY63+CY70+CY77+CY84</f>
        <v>1358</v>
      </c>
      <c r="CZ94" s="83">
        <f t="shared" si="625"/>
        <v>1290</v>
      </c>
      <c r="DA94" s="83">
        <f t="shared" si="625"/>
        <v>382</v>
      </c>
      <c r="DB94" s="83">
        <f t="shared" si="625"/>
        <v>2124</v>
      </c>
      <c r="DC94" s="152">
        <f t="shared" ref="DC94" si="626">SUM(CX94:DB94)</f>
        <v>22688</v>
      </c>
      <c r="DD94" s="83">
        <f>DD7+DD14+DD21+DD28+DD35+DD42+DD49+DD56+DD63+DD70+DD77+DD84</f>
        <v>1904</v>
      </c>
      <c r="DE94" s="83">
        <f t="shared" ref="DE94:DF94" si="627">DE7+DE14+DE21+DE28+DE35+DE42+DE49+DE56+DE63+DE70+DE77+DE84</f>
        <v>14122</v>
      </c>
      <c r="DF94" s="83">
        <f t="shared" si="627"/>
        <v>11</v>
      </c>
      <c r="DG94" s="139">
        <f>SUM(DD94:DF94)</f>
        <v>16037</v>
      </c>
      <c r="DH94" s="91"/>
      <c r="DI94" s="304"/>
      <c r="DJ94" s="307"/>
      <c r="DK94" s="105" t="s">
        <v>21</v>
      </c>
      <c r="DL94" s="83">
        <f>DL7+DL14+DL21+DL28+DL35+DL42+DL49+DL56+DL63+DL70+DL77+DL84</f>
        <v>15049</v>
      </c>
      <c r="DM94" s="83">
        <f t="shared" ref="DM94:DP94" si="628">DM7+DM14+DM21+DM28+DM35+DM42+DM49+DM56+DM63+DM70+DM77+DM84</f>
        <v>902</v>
      </c>
      <c r="DN94" s="83">
        <f t="shared" si="628"/>
        <v>1359</v>
      </c>
      <c r="DO94" s="83">
        <f t="shared" si="628"/>
        <v>289</v>
      </c>
      <c r="DP94" s="83">
        <f t="shared" si="628"/>
        <v>2312</v>
      </c>
      <c r="DQ94" s="152">
        <f t="shared" ref="DQ94" si="629">SUM(DL94:DP94)</f>
        <v>19911</v>
      </c>
      <c r="DR94" s="83">
        <f>DR7+DR14+DR21+DR28+DR35+DR42+DR49+DR56+DR63+DR70+DR77+DR84</f>
        <v>947</v>
      </c>
      <c r="DS94" s="83">
        <f t="shared" ref="DS94:DT94" si="630">DS7+DS14+DS21+DS28+DS35+DS42+DS49+DS56+DS63+DS70+DS77+DS84</f>
        <v>5109</v>
      </c>
      <c r="DT94" s="83">
        <f t="shared" si="630"/>
        <v>97</v>
      </c>
      <c r="DU94" s="139">
        <f>SUM(DR94:DT94)</f>
        <v>6153</v>
      </c>
      <c r="DV94" s="91"/>
      <c r="DW94" s="304"/>
      <c r="DX94" s="307"/>
      <c r="DY94" s="105" t="s">
        <v>21</v>
      </c>
      <c r="DZ94" s="83">
        <f>DZ7+DZ14+DZ21+DZ28+DZ35+DZ42+DZ49+DZ56+DZ63+DZ70+DZ77+DZ84</f>
        <v>15652</v>
      </c>
      <c r="EA94" s="83">
        <f t="shared" ref="EA94:ED94" si="631">EA7+EA14+EA21+EA28+EA35+EA42+EA49+EA56+EA63+EA70+EA77+EA84</f>
        <v>720</v>
      </c>
      <c r="EB94" s="83">
        <f t="shared" si="631"/>
        <v>1133</v>
      </c>
      <c r="EC94" s="83">
        <f t="shared" si="631"/>
        <v>75</v>
      </c>
      <c r="ED94" s="83">
        <f t="shared" si="631"/>
        <v>2199</v>
      </c>
      <c r="EE94" s="152">
        <f t="shared" ref="EE94" si="632">SUM(DZ94:ED94)</f>
        <v>19779</v>
      </c>
      <c r="EF94" s="83">
        <f>EF7+EF14+EF21+EF28+EF35+EF42+EF49+EF56+EF63+EF70+EF77+EF84</f>
        <v>1360</v>
      </c>
      <c r="EG94" s="83">
        <f t="shared" ref="EG94:EH94" si="633">EG7+EG14+EG21+EG28+EG35+EG42+EG49+EG56+EG63+EG70+EG77+EG84</f>
        <v>6823</v>
      </c>
      <c r="EH94" s="83">
        <f t="shared" si="633"/>
        <v>461</v>
      </c>
      <c r="EI94" s="139">
        <f>SUM(EF94:EH94)</f>
        <v>8644</v>
      </c>
      <c r="EJ94" s="91"/>
      <c r="EK94" s="304"/>
      <c r="EL94" s="307"/>
      <c r="EM94" s="105" t="s">
        <v>21</v>
      </c>
      <c r="EN94" s="83">
        <f>EN7+EN14+EN21+EN28+EN35+EN42+EN49+EN56+EN63+EN70+EN77+EN84</f>
        <v>0</v>
      </c>
      <c r="EO94" s="83">
        <f t="shared" ref="EO94:ER94" si="634">EO7+EO14+EO21+EO28+EO35+EO42+EO49+EO56+EO63+EO70+EO77+EO84</f>
        <v>0</v>
      </c>
      <c r="EP94" s="83">
        <f t="shared" si="634"/>
        <v>0</v>
      </c>
      <c r="EQ94" s="83">
        <f t="shared" si="634"/>
        <v>0</v>
      </c>
      <c r="ER94" s="83">
        <f t="shared" si="634"/>
        <v>0</v>
      </c>
      <c r="ES94" s="152">
        <f t="shared" ref="ES94" si="635">SUM(EN94:ER94)</f>
        <v>0</v>
      </c>
      <c r="ET94" s="83">
        <f>ET7+ET14+ET21+ET28+ET35+ET42+ET49+ET56+ET63+ET70+ET77+ET84</f>
        <v>0</v>
      </c>
      <c r="EU94" s="83">
        <f t="shared" ref="EU94:EV94" si="636">EU7+EU14+EU21+EU28+EU35+EU42+EU49+EU56+EU63+EU70+EU77+EU84</f>
        <v>0</v>
      </c>
      <c r="EV94" s="83">
        <f t="shared" si="636"/>
        <v>0</v>
      </c>
      <c r="EW94" s="139">
        <f>SUM(ET94:EV94)</f>
        <v>0</v>
      </c>
      <c r="EX94" s="91"/>
      <c r="EY94" s="304"/>
      <c r="EZ94" s="307"/>
      <c r="FA94" s="105" t="s">
        <v>21</v>
      </c>
      <c r="FB94" s="83">
        <f>FB7+FB14+FB21+FB28+FB35+FB42+FB49+FB56+FB63+FB70+FB77+FB84</f>
        <v>0</v>
      </c>
      <c r="FC94" s="83">
        <f t="shared" ref="FC94:FF94" si="637">FC7+FC14+FC21+FC28+FC35+FC42+FC49+FC56+FC63+FC70+FC77+FC84</f>
        <v>0</v>
      </c>
      <c r="FD94" s="83">
        <f t="shared" si="637"/>
        <v>0</v>
      </c>
      <c r="FE94" s="83">
        <f t="shared" si="637"/>
        <v>0</v>
      </c>
      <c r="FF94" s="83">
        <f t="shared" si="637"/>
        <v>0</v>
      </c>
      <c r="FG94" s="152">
        <f t="shared" ref="FG94" si="638">SUM(FB94:FF94)</f>
        <v>0</v>
      </c>
      <c r="FH94" s="83">
        <f>FH7+FH14+FH21+FH28+FH35+FH42+FH49+FH56+FH63+FH70+FH77+FH84</f>
        <v>0</v>
      </c>
      <c r="FI94" s="83">
        <f t="shared" ref="FI94:FJ94" si="639">FI7+FI14+FI21+FI28+FI35+FI42+FI49+FI56+FI63+FI70+FI77+FI84</f>
        <v>0</v>
      </c>
      <c r="FJ94" s="83">
        <f t="shared" si="639"/>
        <v>0</v>
      </c>
      <c r="FK94" s="139">
        <f>SUM(FH94:FJ94)</f>
        <v>0</v>
      </c>
      <c r="FL94" s="147"/>
      <c r="FM94" s="304"/>
      <c r="FN94" s="307"/>
      <c r="FO94" s="105" t="s">
        <v>21</v>
      </c>
      <c r="FP94" s="83">
        <f>FP7+FP14+FP21+FP28+FP35+FP42+FP49+FP56+FP63+FP70+FP77+FP84</f>
        <v>166978</v>
      </c>
      <c r="FQ94" s="83">
        <f t="shared" ref="FQ94:FT94" si="640">FQ7+FQ14+FQ21+FQ28+FQ35+FQ42+FQ49+FQ56+FQ63+FQ70+FQ77+FQ84</f>
        <v>15710</v>
      </c>
      <c r="FR94" s="83">
        <f t="shared" si="640"/>
        <v>14575</v>
      </c>
      <c r="FS94" s="83">
        <f t="shared" si="640"/>
        <v>1859</v>
      </c>
      <c r="FT94" s="83">
        <f t="shared" si="640"/>
        <v>22791</v>
      </c>
      <c r="FU94" s="152">
        <f t="shared" ref="FU94" si="641">SUM(FP94:FT94)</f>
        <v>221913</v>
      </c>
      <c r="FV94" s="83">
        <f>FV7+FV14+FV21+FV28+FV35+FV42+FV49+FV56+FV63+FV70+FV77+FV84</f>
        <v>14884</v>
      </c>
      <c r="FW94" s="83">
        <f t="shared" ref="FW94:FX94" si="642">FW7+FW14+FW21+FW28+FW35+FW42+FW49+FW56+FW63+FW70+FW77+FW84</f>
        <v>79589</v>
      </c>
      <c r="FX94" s="83">
        <f t="shared" si="642"/>
        <v>2230</v>
      </c>
      <c r="FY94" s="139">
        <f>SUM(FV94:FX94)</f>
        <v>96703</v>
      </c>
      <c r="FZ94" s="95"/>
      <c r="GA94" s="91"/>
    </row>
    <row r="95" spans="1:183" s="96" customFormat="1" ht="20.100000000000001" customHeight="1" thickBot="1" x14ac:dyDescent="0.25">
      <c r="A95" s="304"/>
      <c r="B95" s="308" t="s">
        <v>22</v>
      </c>
      <c r="C95" s="309"/>
      <c r="D95" s="153">
        <f>SUM(D93:D94)</f>
        <v>29481</v>
      </c>
      <c r="E95" s="154">
        <f t="shared" ref="E95:H95" si="643">SUM(E93:E94)</f>
        <v>6157</v>
      </c>
      <c r="F95" s="154">
        <f t="shared" si="643"/>
        <v>2653</v>
      </c>
      <c r="G95" s="154">
        <f t="shared" si="643"/>
        <v>103</v>
      </c>
      <c r="H95" s="155">
        <f t="shared" si="643"/>
        <v>4748</v>
      </c>
      <c r="I95" s="152">
        <f>SUM(I93:I94)</f>
        <v>43142</v>
      </c>
      <c r="J95" s="153">
        <f>SUM(J93:J94)</f>
        <v>3612</v>
      </c>
      <c r="K95" s="154">
        <f t="shared" ref="K95:L95" si="644">SUM(K93:K94)</f>
        <v>8419</v>
      </c>
      <c r="L95" s="155">
        <f t="shared" si="644"/>
        <v>990</v>
      </c>
      <c r="M95" s="139">
        <f>M93+M94</f>
        <v>13021</v>
      </c>
      <c r="N95" s="91"/>
      <c r="O95" s="304"/>
      <c r="P95" s="308" t="s">
        <v>22</v>
      </c>
      <c r="Q95" s="309"/>
      <c r="R95" s="153">
        <f>SUM(R93:R94)</f>
        <v>35844</v>
      </c>
      <c r="S95" s="154">
        <f t="shared" ref="S95:V95" si="645">SUM(S93:S94)</f>
        <v>2689</v>
      </c>
      <c r="T95" s="154">
        <f t="shared" si="645"/>
        <v>3183</v>
      </c>
      <c r="U95" s="154">
        <f t="shared" si="645"/>
        <v>213</v>
      </c>
      <c r="V95" s="155">
        <f t="shared" si="645"/>
        <v>3838</v>
      </c>
      <c r="W95" s="152">
        <f>SUM(W93:W94)</f>
        <v>45767</v>
      </c>
      <c r="X95" s="153">
        <f>SUM(X93:X94)</f>
        <v>4451</v>
      </c>
      <c r="Y95" s="154">
        <f t="shared" ref="Y95:Z95" si="646">SUM(Y93:Y94)</f>
        <v>12798</v>
      </c>
      <c r="Z95" s="155">
        <f t="shared" si="646"/>
        <v>1146</v>
      </c>
      <c r="AA95" s="139">
        <f>AA93+AA94</f>
        <v>18395</v>
      </c>
      <c r="AB95" s="91"/>
      <c r="AC95" s="304"/>
      <c r="AD95" s="308" t="s">
        <v>22</v>
      </c>
      <c r="AE95" s="309"/>
      <c r="AF95" s="153">
        <f>SUM(AF93:AF94)</f>
        <v>44897</v>
      </c>
      <c r="AG95" s="154">
        <f t="shared" ref="AG95:AJ95" si="647">SUM(AG93:AG94)</f>
        <v>4142</v>
      </c>
      <c r="AH95" s="154">
        <f t="shared" si="647"/>
        <v>2765</v>
      </c>
      <c r="AI95" s="154">
        <f t="shared" si="647"/>
        <v>130</v>
      </c>
      <c r="AJ95" s="155">
        <f t="shared" si="647"/>
        <v>4887</v>
      </c>
      <c r="AK95" s="152">
        <f>SUM(AK93:AK94)</f>
        <v>56821</v>
      </c>
      <c r="AL95" s="153">
        <f>SUM(AL93:AL94)</f>
        <v>3143</v>
      </c>
      <c r="AM95" s="154">
        <f t="shared" ref="AM95:AN95" si="648">SUM(AM93:AM94)</f>
        <v>16700</v>
      </c>
      <c r="AN95" s="155">
        <f t="shared" si="648"/>
        <v>30</v>
      </c>
      <c r="AO95" s="139">
        <f>AO93+AO94</f>
        <v>19873</v>
      </c>
      <c r="AP95" s="91"/>
      <c r="AQ95" s="304"/>
      <c r="AR95" s="308" t="s">
        <v>22</v>
      </c>
      <c r="AS95" s="309"/>
      <c r="AT95" s="153">
        <f>SUM(AT93:AT94)</f>
        <v>31294</v>
      </c>
      <c r="AU95" s="154">
        <f t="shared" ref="AU95:AX95" si="649">SUM(AU93:AU94)</f>
        <v>3094</v>
      </c>
      <c r="AV95" s="154">
        <f t="shared" si="649"/>
        <v>3126</v>
      </c>
      <c r="AW95" s="154">
        <f t="shared" si="649"/>
        <v>208</v>
      </c>
      <c r="AX95" s="155">
        <f t="shared" si="649"/>
        <v>4631</v>
      </c>
      <c r="AY95" s="152">
        <f>SUM(AY93:AY94)</f>
        <v>42353</v>
      </c>
      <c r="AZ95" s="153">
        <f>SUM(AZ93:AZ94)</f>
        <v>2817</v>
      </c>
      <c r="BA95" s="154">
        <f t="shared" ref="BA95:BB95" si="650">SUM(BA93:BA94)</f>
        <v>10460</v>
      </c>
      <c r="BB95" s="155">
        <f t="shared" si="650"/>
        <v>1134</v>
      </c>
      <c r="BC95" s="139">
        <f>BC93+BC94</f>
        <v>14411</v>
      </c>
      <c r="BD95" s="91"/>
      <c r="BE95" s="304"/>
      <c r="BF95" s="308" t="s">
        <v>22</v>
      </c>
      <c r="BG95" s="309"/>
      <c r="BH95" s="153">
        <f>SUM(BH93:BH94)</f>
        <v>33249</v>
      </c>
      <c r="BI95" s="154">
        <f t="shared" ref="BI95:BL95" si="651">SUM(BI93:BI94)</f>
        <v>2961</v>
      </c>
      <c r="BJ95" s="154">
        <f t="shared" si="651"/>
        <v>3398</v>
      </c>
      <c r="BK95" s="154">
        <f t="shared" si="651"/>
        <v>143</v>
      </c>
      <c r="BL95" s="155">
        <f t="shared" si="651"/>
        <v>5231</v>
      </c>
      <c r="BM95" s="152">
        <f>SUM(BM93:BM94)</f>
        <v>44982</v>
      </c>
      <c r="BN95" s="153">
        <f>SUM(BN93:BN94)</f>
        <v>3291</v>
      </c>
      <c r="BO95" s="154">
        <f t="shared" ref="BO95:BP95" si="652">SUM(BO93:BO94)</f>
        <v>13140</v>
      </c>
      <c r="BP95" s="155">
        <f t="shared" si="652"/>
        <v>62</v>
      </c>
      <c r="BQ95" s="139">
        <f>BQ93+BQ94</f>
        <v>16493</v>
      </c>
      <c r="BR95" s="91"/>
      <c r="BS95" s="304"/>
      <c r="BT95" s="308" t="s">
        <v>22</v>
      </c>
      <c r="BU95" s="309"/>
      <c r="BV95" s="153">
        <f>SUM(BV93:BV94)</f>
        <v>35754</v>
      </c>
      <c r="BW95" s="154">
        <f t="shared" ref="BW95:BZ95" si="653">SUM(BW93:BW94)</f>
        <v>2759</v>
      </c>
      <c r="BX95" s="154">
        <f t="shared" si="653"/>
        <v>1898</v>
      </c>
      <c r="BY95" s="154">
        <f t="shared" si="653"/>
        <v>127</v>
      </c>
      <c r="BZ95" s="155">
        <f t="shared" si="653"/>
        <v>4357</v>
      </c>
      <c r="CA95" s="152">
        <f>SUM(CA93:CA94)</f>
        <v>44895</v>
      </c>
      <c r="CB95" s="153">
        <f>SUM(CB93:CB94)</f>
        <v>2344</v>
      </c>
      <c r="CC95" s="154">
        <f t="shared" ref="CC95:CD95" si="654">SUM(CC93:CC94)</f>
        <v>14128</v>
      </c>
      <c r="CD95" s="155">
        <f t="shared" si="654"/>
        <v>20</v>
      </c>
      <c r="CE95" s="139">
        <f>CE93+CE94</f>
        <v>16492</v>
      </c>
      <c r="CF95" s="91"/>
      <c r="CG95" s="304"/>
      <c r="CH95" s="308" t="s">
        <v>22</v>
      </c>
      <c r="CI95" s="309"/>
      <c r="CJ95" s="153">
        <f>SUM(CJ93:CJ94)</f>
        <v>29101</v>
      </c>
      <c r="CK95" s="154">
        <f t="shared" ref="CK95:CN95" si="655">SUM(CK93:CK94)</f>
        <v>5549</v>
      </c>
      <c r="CL95" s="154">
        <f t="shared" si="655"/>
        <v>3045</v>
      </c>
      <c r="CM95" s="154">
        <f t="shared" si="655"/>
        <v>189</v>
      </c>
      <c r="CN95" s="155">
        <f t="shared" si="655"/>
        <v>5161</v>
      </c>
      <c r="CO95" s="152">
        <f>SUM(CO93:CO94)</f>
        <v>43045</v>
      </c>
      <c r="CP95" s="153">
        <f>SUM(CP93:CP94)</f>
        <v>3162</v>
      </c>
      <c r="CQ95" s="154">
        <f t="shared" ref="CQ95:CR95" si="656">SUM(CQ93:CQ94)</f>
        <v>14424</v>
      </c>
      <c r="CR95" s="155">
        <f t="shared" si="656"/>
        <v>1041</v>
      </c>
      <c r="CS95" s="139">
        <f>CS93+CS94</f>
        <v>18627</v>
      </c>
      <c r="CT95" s="91"/>
      <c r="CU95" s="304"/>
      <c r="CV95" s="308" t="s">
        <v>22</v>
      </c>
      <c r="CW95" s="309"/>
      <c r="CX95" s="153">
        <f>SUM(CX93:CX94)</f>
        <v>37301</v>
      </c>
      <c r="CY95" s="154">
        <f t="shared" ref="CY95:DB95" si="657">SUM(CY93:CY94)</f>
        <v>2990</v>
      </c>
      <c r="CZ95" s="154">
        <f t="shared" si="657"/>
        <v>2474</v>
      </c>
      <c r="DA95" s="154">
        <f t="shared" si="657"/>
        <v>382</v>
      </c>
      <c r="DB95" s="155">
        <f t="shared" si="657"/>
        <v>4375</v>
      </c>
      <c r="DC95" s="152">
        <f>SUM(DC93:DC94)</f>
        <v>47522</v>
      </c>
      <c r="DD95" s="153">
        <f>SUM(DD93:DD94)</f>
        <v>4020</v>
      </c>
      <c r="DE95" s="154">
        <f t="shared" ref="DE95:DF95" si="658">SUM(DE93:DE94)</f>
        <v>22861</v>
      </c>
      <c r="DF95" s="155">
        <f t="shared" si="658"/>
        <v>20</v>
      </c>
      <c r="DG95" s="139">
        <f>DG93+DG94</f>
        <v>26901</v>
      </c>
      <c r="DH95" s="91"/>
      <c r="DI95" s="304"/>
      <c r="DJ95" s="308" t="s">
        <v>22</v>
      </c>
      <c r="DK95" s="309"/>
      <c r="DL95" s="153">
        <f>SUM(DL93:DL94)</f>
        <v>30785</v>
      </c>
      <c r="DM95" s="154">
        <f t="shared" ref="DM95:DP95" si="659">SUM(DM93:DM94)</f>
        <v>1851</v>
      </c>
      <c r="DN95" s="154">
        <f t="shared" si="659"/>
        <v>2479</v>
      </c>
      <c r="DO95" s="154">
        <f t="shared" si="659"/>
        <v>289</v>
      </c>
      <c r="DP95" s="155">
        <f t="shared" si="659"/>
        <v>5091</v>
      </c>
      <c r="DQ95" s="152">
        <f>SUM(DQ93:DQ94)</f>
        <v>40495</v>
      </c>
      <c r="DR95" s="153">
        <f>SUM(DR93:DR94)</f>
        <v>2010</v>
      </c>
      <c r="DS95" s="154">
        <f t="shared" ref="DS95:DT95" si="660">SUM(DS93:DS94)</f>
        <v>8825</v>
      </c>
      <c r="DT95" s="155">
        <f t="shared" si="660"/>
        <v>187</v>
      </c>
      <c r="DU95" s="139">
        <f>DU93+DU94</f>
        <v>11022</v>
      </c>
      <c r="DV95" s="91"/>
      <c r="DW95" s="304"/>
      <c r="DX95" s="308" t="s">
        <v>22</v>
      </c>
      <c r="DY95" s="309"/>
      <c r="DZ95" s="153">
        <f>SUM(DZ93:DZ94)</f>
        <v>30158</v>
      </c>
      <c r="EA95" s="154">
        <f t="shared" ref="EA95:ED95" si="661">SUM(EA93:EA94)</f>
        <v>1743</v>
      </c>
      <c r="EB95" s="154">
        <f t="shared" si="661"/>
        <v>2472</v>
      </c>
      <c r="EC95" s="154">
        <f t="shared" si="661"/>
        <v>75</v>
      </c>
      <c r="ED95" s="155">
        <f t="shared" si="661"/>
        <v>4463</v>
      </c>
      <c r="EE95" s="152">
        <f>SUM(EE93:EE94)</f>
        <v>38911</v>
      </c>
      <c r="EF95" s="153">
        <f>SUM(EF93:EF94)</f>
        <v>2891</v>
      </c>
      <c r="EG95" s="154">
        <f t="shared" ref="EG95:EH95" si="662">SUM(EG93:EG94)</f>
        <v>12367</v>
      </c>
      <c r="EH95" s="155">
        <f t="shared" si="662"/>
        <v>989</v>
      </c>
      <c r="EI95" s="139">
        <f>EI93+EI94</f>
        <v>16247</v>
      </c>
      <c r="EJ95" s="91"/>
      <c r="EK95" s="304"/>
      <c r="EL95" s="308" t="s">
        <v>22</v>
      </c>
      <c r="EM95" s="309"/>
      <c r="EN95" s="153">
        <f>SUM(EN93:EN94)</f>
        <v>0</v>
      </c>
      <c r="EO95" s="154">
        <f t="shared" ref="EO95:ER95" si="663">SUM(EO93:EO94)</f>
        <v>0</v>
      </c>
      <c r="EP95" s="154">
        <f t="shared" si="663"/>
        <v>0</v>
      </c>
      <c r="EQ95" s="154">
        <f t="shared" si="663"/>
        <v>0</v>
      </c>
      <c r="ER95" s="155">
        <f t="shared" si="663"/>
        <v>0</v>
      </c>
      <c r="ES95" s="152">
        <f>SUM(ES93:ES94)</f>
        <v>0</v>
      </c>
      <c r="ET95" s="153">
        <f>SUM(ET93:ET94)</f>
        <v>0</v>
      </c>
      <c r="EU95" s="154">
        <f t="shared" ref="EU95:EV95" si="664">SUM(EU93:EU94)</f>
        <v>0</v>
      </c>
      <c r="EV95" s="155">
        <f t="shared" si="664"/>
        <v>0</v>
      </c>
      <c r="EW95" s="139">
        <f>EW93+EW94</f>
        <v>0</v>
      </c>
      <c r="EX95" s="91"/>
      <c r="EY95" s="304"/>
      <c r="EZ95" s="308" t="s">
        <v>22</v>
      </c>
      <c r="FA95" s="309"/>
      <c r="FB95" s="153">
        <f>SUM(FB93:FB94)</f>
        <v>0</v>
      </c>
      <c r="FC95" s="154">
        <f t="shared" ref="FC95:FF95" si="665">SUM(FC93:FC94)</f>
        <v>0</v>
      </c>
      <c r="FD95" s="154">
        <f t="shared" si="665"/>
        <v>0</v>
      </c>
      <c r="FE95" s="154">
        <f t="shared" si="665"/>
        <v>0</v>
      </c>
      <c r="FF95" s="155">
        <f t="shared" si="665"/>
        <v>0</v>
      </c>
      <c r="FG95" s="152">
        <f>SUM(FG93:FG94)</f>
        <v>0</v>
      </c>
      <c r="FH95" s="153">
        <f>SUM(FH93:FH94)</f>
        <v>0</v>
      </c>
      <c r="FI95" s="154">
        <f t="shared" ref="FI95:FJ95" si="666">SUM(FI93:FI94)</f>
        <v>0</v>
      </c>
      <c r="FJ95" s="155">
        <f t="shared" si="666"/>
        <v>0</v>
      </c>
      <c r="FK95" s="139">
        <f>FK93+FK94</f>
        <v>0</v>
      </c>
      <c r="FL95" s="147"/>
      <c r="FM95" s="304"/>
      <c r="FN95" s="308" t="s">
        <v>22</v>
      </c>
      <c r="FO95" s="309"/>
      <c r="FP95" s="153">
        <f>SUM(FP93:FP94)</f>
        <v>337864</v>
      </c>
      <c r="FQ95" s="154">
        <f t="shared" ref="FQ95:FT95" si="667">SUM(FQ93:FQ94)</f>
        <v>33935</v>
      </c>
      <c r="FR95" s="154">
        <f t="shared" si="667"/>
        <v>27493</v>
      </c>
      <c r="FS95" s="154">
        <f t="shared" si="667"/>
        <v>1859</v>
      </c>
      <c r="FT95" s="155">
        <f t="shared" si="667"/>
        <v>46782</v>
      </c>
      <c r="FU95" s="152">
        <f>SUM(FU93:FU94)</f>
        <v>447933</v>
      </c>
      <c r="FV95" s="153">
        <f>SUM(FV93:FV94)</f>
        <v>31741</v>
      </c>
      <c r="FW95" s="154">
        <f t="shared" ref="FW95:FX95" si="668">SUM(FW93:FW94)</f>
        <v>134122</v>
      </c>
      <c r="FX95" s="155">
        <f t="shared" si="668"/>
        <v>5619</v>
      </c>
      <c r="FY95" s="139">
        <f>FY93+FY94</f>
        <v>171482</v>
      </c>
      <c r="FZ95" s="95"/>
      <c r="GA95" s="91"/>
    </row>
    <row r="96" spans="1:183" s="96" customFormat="1" ht="20.100000000000001" customHeight="1" thickBot="1" x14ac:dyDescent="0.25">
      <c r="A96" s="304"/>
      <c r="B96" s="300" t="s">
        <v>23</v>
      </c>
      <c r="C96" s="92" t="s">
        <v>20</v>
      </c>
      <c r="D96" s="115">
        <f>D9+D16+D23+D30+D37+D44+D51+D58+D65+D72+D79+D86</f>
        <v>3403</v>
      </c>
      <c r="E96" s="115">
        <f t="shared" ref="E96:H97" si="669">E9+E16+E23+E30+E37+E44+E51+E58+E65+E72+E79+E86</f>
        <v>753</v>
      </c>
      <c r="F96" s="115">
        <f t="shared" si="669"/>
        <v>0</v>
      </c>
      <c r="G96" s="115">
        <f t="shared" si="669"/>
        <v>0</v>
      </c>
      <c r="H96" s="115">
        <f t="shared" si="669"/>
        <v>841</v>
      </c>
      <c r="I96" s="152">
        <f t="shared" si="606"/>
        <v>4997</v>
      </c>
      <c r="J96" s="115">
        <f>J9+J16+J23+J30+J37+J44+J51+J58+J65+J72+J79+J86</f>
        <v>401</v>
      </c>
      <c r="K96" s="115">
        <f t="shared" ref="K96:L97" si="670">K9+K16+K23+K30+K37+K44+K51+K58+K65+K72+K79+K86</f>
        <v>447</v>
      </c>
      <c r="L96" s="115">
        <f t="shared" si="670"/>
        <v>10</v>
      </c>
      <c r="M96" s="139">
        <f t="shared" ref="M96:M97" si="671">SUM(J96:L96)</f>
        <v>858</v>
      </c>
      <c r="N96" s="91"/>
      <c r="O96" s="304"/>
      <c r="P96" s="300" t="s">
        <v>23</v>
      </c>
      <c r="Q96" s="92" t="s">
        <v>20</v>
      </c>
      <c r="R96" s="115">
        <f>R9+R16+R23+R30+R37+R44+R51+R58+R65+R72+R79+R86</f>
        <v>2891</v>
      </c>
      <c r="S96" s="115">
        <f t="shared" ref="S96:V96" si="672">S9+S16+S23+S30+S37+S44+S51+S58+S65+S72+S79+S86</f>
        <v>663</v>
      </c>
      <c r="T96" s="115">
        <f t="shared" si="672"/>
        <v>0</v>
      </c>
      <c r="U96" s="115">
        <f t="shared" si="672"/>
        <v>0</v>
      </c>
      <c r="V96" s="115">
        <f t="shared" si="672"/>
        <v>621</v>
      </c>
      <c r="W96" s="152">
        <f t="shared" ref="W96:W97" si="673">SUM(R96:V96)</f>
        <v>4175</v>
      </c>
      <c r="X96" s="115">
        <f>X9+X16+X23+X30+X37+X44+X51+X58+X65+X72+X79+X86</f>
        <v>576</v>
      </c>
      <c r="Y96" s="115">
        <f t="shared" ref="Y96:Z96" si="674">Y9+Y16+Y23+Y30+Y37+Y44+Y51+Y58+Y65+Y72+Y79+Y86</f>
        <v>509</v>
      </c>
      <c r="Z96" s="115">
        <f t="shared" si="674"/>
        <v>54</v>
      </c>
      <c r="AA96" s="139">
        <f t="shared" ref="AA96:AA97" si="675">SUM(X96:Z96)</f>
        <v>1139</v>
      </c>
      <c r="AB96" s="91"/>
      <c r="AC96" s="304"/>
      <c r="AD96" s="300" t="s">
        <v>23</v>
      </c>
      <c r="AE96" s="92" t="s">
        <v>20</v>
      </c>
      <c r="AF96" s="115">
        <f>AF9+AF16+AF23+AF30+AF37+AF44+AF51+AF58+AF65+AF72+AF79+AF86</f>
        <v>5718</v>
      </c>
      <c r="AG96" s="115">
        <f t="shared" ref="AG96:AJ96" si="676">AG9+AG16+AG23+AG30+AG37+AG44+AG51+AG58+AG65+AG72+AG79+AG86</f>
        <v>473</v>
      </c>
      <c r="AH96" s="115">
        <f t="shared" si="676"/>
        <v>0</v>
      </c>
      <c r="AI96" s="115">
        <f t="shared" si="676"/>
        <v>0</v>
      </c>
      <c r="AJ96" s="115">
        <f t="shared" si="676"/>
        <v>385</v>
      </c>
      <c r="AK96" s="152">
        <f t="shared" ref="AK96:AK97" si="677">SUM(AF96:AJ96)</f>
        <v>6576</v>
      </c>
      <c r="AL96" s="115">
        <f>AL9+AL16+AL23+AL30+AL37+AL44+AL51+AL58+AL65+AL72+AL79+AL86</f>
        <v>165</v>
      </c>
      <c r="AM96" s="115">
        <f t="shared" ref="AM96:AN96" si="678">AM9+AM16+AM23+AM30+AM37+AM44+AM51+AM58+AM65+AM72+AM79+AM86</f>
        <v>734</v>
      </c>
      <c r="AN96" s="115">
        <f t="shared" si="678"/>
        <v>0</v>
      </c>
      <c r="AO96" s="139">
        <f t="shared" ref="AO96:AO97" si="679">SUM(AL96:AN96)</f>
        <v>899</v>
      </c>
      <c r="AP96" s="91"/>
      <c r="AQ96" s="304"/>
      <c r="AR96" s="300" t="s">
        <v>23</v>
      </c>
      <c r="AS96" s="92" t="s">
        <v>20</v>
      </c>
      <c r="AT96" s="115">
        <f>AT9+AT16+AT23+AT30+AT37+AT44+AT51+AT58+AT65+AT72+AT79+AT86</f>
        <v>2008</v>
      </c>
      <c r="AU96" s="115">
        <f t="shared" ref="AU96:AX96" si="680">AU9+AU16+AU23+AU30+AU37+AU44+AU51+AU58+AU65+AU72+AU79+AU86</f>
        <v>504</v>
      </c>
      <c r="AV96" s="115">
        <f t="shared" si="680"/>
        <v>52</v>
      </c>
      <c r="AW96" s="115">
        <f t="shared" si="680"/>
        <v>0</v>
      </c>
      <c r="AX96" s="115">
        <f t="shared" si="680"/>
        <v>639</v>
      </c>
      <c r="AY96" s="152">
        <f t="shared" ref="AY96:AY97" si="681">SUM(AT96:AX96)</f>
        <v>3203</v>
      </c>
      <c r="AZ96" s="115">
        <f>AZ9+AZ16+AZ23+AZ30+AZ37+AZ44+AZ51+AZ58+AZ65+AZ72+AZ79+AZ86</f>
        <v>370</v>
      </c>
      <c r="BA96" s="115">
        <f t="shared" ref="BA96:BB96" si="682">BA9+BA16+BA23+BA30+BA37+BA44+BA51+BA58+BA65+BA72+BA79+BA86</f>
        <v>975</v>
      </c>
      <c r="BB96" s="115">
        <f t="shared" si="682"/>
        <v>60</v>
      </c>
      <c r="BC96" s="139">
        <f t="shared" ref="BC96:BC97" si="683">SUM(AZ96:BB96)</f>
        <v>1405</v>
      </c>
      <c r="BD96" s="91"/>
      <c r="BE96" s="304"/>
      <c r="BF96" s="300" t="s">
        <v>23</v>
      </c>
      <c r="BG96" s="92" t="s">
        <v>20</v>
      </c>
      <c r="BH96" s="115">
        <f>BH9+BH16+BH23+BH30+BH37+BH44+BH51+BH58+BH65+BH72+BH79+BH86</f>
        <v>2911</v>
      </c>
      <c r="BI96" s="115">
        <f t="shared" ref="BI96:BL96" si="684">BI9+BI16+BI23+BI30+BI37+BI44+BI51+BI58+BI65+BI72+BI79+BI86</f>
        <v>278</v>
      </c>
      <c r="BJ96" s="115">
        <f t="shared" si="684"/>
        <v>0</v>
      </c>
      <c r="BK96" s="115">
        <f t="shared" si="684"/>
        <v>0</v>
      </c>
      <c r="BL96" s="115">
        <f t="shared" si="684"/>
        <v>375</v>
      </c>
      <c r="BM96" s="152">
        <f t="shared" ref="BM96:BM97" si="685">SUM(BH96:BL96)</f>
        <v>3564</v>
      </c>
      <c r="BN96" s="115">
        <f>BN9+BN16+BN23+BN30+BN37+BN44+BN51+BN58+BN65+BN72+BN79+BN86</f>
        <v>406</v>
      </c>
      <c r="BO96" s="115">
        <f t="shared" ref="BO96:BP96" si="686">BO9+BO16+BO23+BO30+BO37+BO44+BO51+BO58+BO65+BO72+BO79+BO86</f>
        <v>1411</v>
      </c>
      <c r="BP96" s="115">
        <f t="shared" si="686"/>
        <v>0</v>
      </c>
      <c r="BQ96" s="139">
        <f t="shared" ref="BQ96:BQ97" si="687">SUM(BN96:BP96)</f>
        <v>1817</v>
      </c>
      <c r="BR96" s="91"/>
      <c r="BS96" s="304"/>
      <c r="BT96" s="300" t="s">
        <v>23</v>
      </c>
      <c r="BU96" s="92" t="s">
        <v>20</v>
      </c>
      <c r="BV96" s="115">
        <f>BV9+BV16+BV23+BV30+BV37+BV44+BV51+BV58+BV65+BV72+BV79+BV86</f>
        <v>3848</v>
      </c>
      <c r="BW96" s="115">
        <f t="shared" ref="BW96:BZ96" si="688">BW9+BW16+BW23+BW30+BW37+BW44+BW51+BW58+BW65+BW72+BW79+BW86</f>
        <v>319</v>
      </c>
      <c r="BX96" s="115">
        <f t="shared" si="688"/>
        <v>0</v>
      </c>
      <c r="BY96" s="115">
        <f t="shared" si="688"/>
        <v>0</v>
      </c>
      <c r="BZ96" s="115">
        <f t="shared" si="688"/>
        <v>645</v>
      </c>
      <c r="CA96" s="152">
        <f t="shared" ref="CA96:CA97" si="689">SUM(BV96:BZ96)</f>
        <v>4812</v>
      </c>
      <c r="CB96" s="115">
        <f>CB9+CB16+CB23+CB30+CB37+CB44+CB51+CB58+CB65+CB72+CB79+CB86</f>
        <v>392</v>
      </c>
      <c r="CC96" s="115">
        <f t="shared" ref="CC96:CD96" si="690">CC9+CC16+CC23+CC30+CC37+CC44+CC51+CC58+CC65+CC72+CC79+CC86</f>
        <v>850</v>
      </c>
      <c r="CD96" s="115">
        <f t="shared" si="690"/>
        <v>0</v>
      </c>
      <c r="CE96" s="139">
        <f t="shared" ref="CE96:CE97" si="691">SUM(CB96:CD96)</f>
        <v>1242</v>
      </c>
      <c r="CF96" s="91"/>
      <c r="CG96" s="304"/>
      <c r="CH96" s="300" t="s">
        <v>23</v>
      </c>
      <c r="CI96" s="92" t="s">
        <v>20</v>
      </c>
      <c r="CJ96" s="115">
        <f>CJ9+CJ16+CJ23+CJ30+CJ37+CJ44+CJ51+CJ58+CJ65+CJ72+CJ79+CJ86</f>
        <v>3433</v>
      </c>
      <c r="CK96" s="115">
        <f t="shared" ref="CK96:CN96" si="692">CK9+CK16+CK23+CK30+CK37+CK44+CK51+CK58+CK65+CK72+CK79+CK86</f>
        <v>495</v>
      </c>
      <c r="CL96" s="115">
        <f t="shared" si="692"/>
        <v>0</v>
      </c>
      <c r="CM96" s="115">
        <f t="shared" si="692"/>
        <v>0</v>
      </c>
      <c r="CN96" s="115">
        <f t="shared" si="692"/>
        <v>951</v>
      </c>
      <c r="CO96" s="152">
        <f t="shared" ref="CO96:CO97" si="693">SUM(CJ96:CN96)</f>
        <v>4879</v>
      </c>
      <c r="CP96" s="115">
        <f>CP9+CP16+CP23+CP30+CP37+CP44+CP51+CP58+CP65+CP72+CP79+CP86</f>
        <v>330</v>
      </c>
      <c r="CQ96" s="115">
        <f t="shared" ref="CQ96:CR96" si="694">CQ9+CQ16+CQ23+CQ30+CQ37+CQ44+CQ51+CQ58+CQ65+CQ72+CQ79+CQ86</f>
        <v>687</v>
      </c>
      <c r="CR96" s="115">
        <f t="shared" si="694"/>
        <v>31</v>
      </c>
      <c r="CS96" s="139">
        <f t="shared" ref="CS96:CS97" si="695">SUM(CP96:CR96)</f>
        <v>1048</v>
      </c>
      <c r="CT96" s="91"/>
      <c r="CU96" s="304"/>
      <c r="CV96" s="300" t="s">
        <v>23</v>
      </c>
      <c r="CW96" s="92" t="s">
        <v>20</v>
      </c>
      <c r="CX96" s="115">
        <f>CX9+CX16+CX23+CX30+CX37+CX44+CX51+CX58+CX65+CX72+CX79+CX86</f>
        <v>3818</v>
      </c>
      <c r="CY96" s="115">
        <f t="shared" ref="CY96:DB96" si="696">CY9+CY16+CY23+CY30+CY37+CY44+CY51+CY58+CY65+CY72+CY79+CY86</f>
        <v>397</v>
      </c>
      <c r="CZ96" s="115">
        <f t="shared" si="696"/>
        <v>0</v>
      </c>
      <c r="DA96" s="115">
        <f t="shared" si="696"/>
        <v>0</v>
      </c>
      <c r="DB96" s="115">
        <f t="shared" si="696"/>
        <v>667</v>
      </c>
      <c r="DC96" s="152">
        <f t="shared" ref="DC96:DC97" si="697">SUM(CX96:DB96)</f>
        <v>4882</v>
      </c>
      <c r="DD96" s="115">
        <f>DD9+DD16+DD23+DD30+DD37+DD44+DD51+DD58+DD65+DD72+DD79+DD86</f>
        <v>721</v>
      </c>
      <c r="DE96" s="115">
        <f t="shared" ref="DE96:DF96" si="698">DE9+DE16+DE23+DE30+DE37+DE44+DE51+DE58+DE65+DE72+DE79+DE86</f>
        <v>856</v>
      </c>
      <c r="DF96" s="115">
        <f t="shared" si="698"/>
        <v>0</v>
      </c>
      <c r="DG96" s="139">
        <f t="shared" ref="DG96:DG97" si="699">SUM(DD96:DF96)</f>
        <v>1577</v>
      </c>
      <c r="DH96" s="91"/>
      <c r="DI96" s="304"/>
      <c r="DJ96" s="300" t="s">
        <v>23</v>
      </c>
      <c r="DK96" s="92" t="s">
        <v>20</v>
      </c>
      <c r="DL96" s="115">
        <f>DL9+DL16+DL23+DL30+DL37+DL44+DL51+DL58+DL65+DL72+DL79+DL86</f>
        <v>2731</v>
      </c>
      <c r="DM96" s="115">
        <f t="shared" ref="DM96:DP96" si="700">DM9+DM16+DM23+DM30+DM37+DM44+DM51+DM58+DM65+DM72+DM79+DM86</f>
        <v>138</v>
      </c>
      <c r="DN96" s="115">
        <f t="shared" si="700"/>
        <v>17</v>
      </c>
      <c r="DO96" s="115">
        <f t="shared" si="700"/>
        <v>0</v>
      </c>
      <c r="DP96" s="115">
        <f t="shared" si="700"/>
        <v>582</v>
      </c>
      <c r="DQ96" s="152">
        <f t="shared" ref="DQ96:DQ97" si="701">SUM(DL96:DP96)</f>
        <v>3468</v>
      </c>
      <c r="DR96" s="115">
        <f>DR9+DR16+DR23+DR30+DR37+DR44+DR51+DR58+DR65+DR72+DR79+DR86</f>
        <v>350</v>
      </c>
      <c r="DS96" s="115">
        <f t="shared" ref="DS96:DT96" si="702">DS9+DS16+DS23+DS30+DS37+DS44+DS51+DS58+DS65+DS72+DS79+DS86</f>
        <v>872</v>
      </c>
      <c r="DT96" s="115">
        <f t="shared" si="702"/>
        <v>25</v>
      </c>
      <c r="DU96" s="139">
        <f t="shared" ref="DU96:DU97" si="703">SUM(DR96:DT96)</f>
        <v>1247</v>
      </c>
      <c r="DV96" s="91"/>
      <c r="DW96" s="304"/>
      <c r="DX96" s="300" t="s">
        <v>23</v>
      </c>
      <c r="DY96" s="92" t="s">
        <v>20</v>
      </c>
      <c r="DZ96" s="115">
        <f>DZ9+DZ16+DZ23+DZ30+DZ37+DZ44+DZ51+DZ58+DZ65+DZ72+DZ79+DZ86</f>
        <v>2259</v>
      </c>
      <c r="EA96" s="115">
        <f t="shared" ref="EA96:ED96" si="704">EA9+EA16+EA23+EA30+EA37+EA44+EA51+EA58+EA65+EA72+EA79+EA86</f>
        <v>160</v>
      </c>
      <c r="EB96" s="115">
        <f t="shared" si="704"/>
        <v>0</v>
      </c>
      <c r="EC96" s="115">
        <f t="shared" si="704"/>
        <v>0</v>
      </c>
      <c r="ED96" s="115">
        <f t="shared" si="704"/>
        <v>693</v>
      </c>
      <c r="EE96" s="152">
        <f t="shared" ref="EE96:EE97" si="705">SUM(DZ96:ED96)</f>
        <v>3112</v>
      </c>
      <c r="EF96" s="115">
        <f>EF9+EF16+EF23+EF30+EF37+EF44+EF51+EF58+EF65+EF72+EF79+EF86</f>
        <v>358</v>
      </c>
      <c r="EG96" s="115">
        <f t="shared" ref="EG96:EH96" si="706">EG9+EG16+EG23+EG30+EG37+EG44+EG51+EG58+EG65+EG72+EG79+EG86</f>
        <v>691</v>
      </c>
      <c r="EH96" s="115">
        <f t="shared" si="706"/>
        <v>10</v>
      </c>
      <c r="EI96" s="139">
        <f t="shared" ref="EI96:EI97" si="707">SUM(EF96:EH96)</f>
        <v>1059</v>
      </c>
      <c r="EJ96" s="91"/>
      <c r="EK96" s="304"/>
      <c r="EL96" s="300" t="s">
        <v>23</v>
      </c>
      <c r="EM96" s="92" t="s">
        <v>20</v>
      </c>
      <c r="EN96" s="115">
        <f>EN9+EN16+EN23+EN30+EN37+EN44+EN51+EN58+EN65+EN72+EN79+EN86</f>
        <v>0</v>
      </c>
      <c r="EO96" s="115">
        <f t="shared" ref="EO96:ER96" si="708">EO9+EO16+EO23+EO30+EO37+EO44+EO51+EO58+EO65+EO72+EO79+EO86</f>
        <v>0</v>
      </c>
      <c r="EP96" s="115">
        <f t="shared" si="708"/>
        <v>0</v>
      </c>
      <c r="EQ96" s="115">
        <f t="shared" si="708"/>
        <v>0</v>
      </c>
      <c r="ER96" s="115">
        <f t="shared" si="708"/>
        <v>0</v>
      </c>
      <c r="ES96" s="152">
        <f t="shared" ref="ES96:ES97" si="709">SUM(EN96:ER96)</f>
        <v>0</v>
      </c>
      <c r="ET96" s="115">
        <f>ET9+ET16+ET23+ET30+ET37+ET44+ET51+ET58+ET65+ET72+ET79+ET86</f>
        <v>0</v>
      </c>
      <c r="EU96" s="115">
        <f t="shared" ref="EU96:EV96" si="710">EU9+EU16+EU23+EU30+EU37+EU44+EU51+EU58+EU65+EU72+EU79+EU86</f>
        <v>0</v>
      </c>
      <c r="EV96" s="115">
        <f t="shared" si="710"/>
        <v>0</v>
      </c>
      <c r="EW96" s="139">
        <f t="shared" ref="EW96:EW97" si="711">SUM(ET96:EV96)</f>
        <v>0</v>
      </c>
      <c r="EX96" s="91"/>
      <c r="EY96" s="304"/>
      <c r="EZ96" s="300" t="s">
        <v>23</v>
      </c>
      <c r="FA96" s="92" t="s">
        <v>20</v>
      </c>
      <c r="FB96" s="115">
        <f>FB9+FB16+FB23+FB30+FB37+FB44+FB51+FB58+FB65+FB72+FB79+FB86</f>
        <v>0</v>
      </c>
      <c r="FC96" s="115">
        <f t="shared" ref="FC96:FF96" si="712">FC9+FC16+FC23+FC30+FC37+FC44+FC51+FC58+FC65+FC72+FC79+FC86</f>
        <v>0</v>
      </c>
      <c r="FD96" s="115">
        <f t="shared" si="712"/>
        <v>0</v>
      </c>
      <c r="FE96" s="115">
        <f t="shared" si="712"/>
        <v>0</v>
      </c>
      <c r="FF96" s="115">
        <f t="shared" si="712"/>
        <v>0</v>
      </c>
      <c r="FG96" s="152">
        <f t="shared" ref="FG96:FG97" si="713">SUM(FB96:FF96)</f>
        <v>0</v>
      </c>
      <c r="FH96" s="115">
        <f>FH9+FH16+FH23+FH30+FH37+FH44+FH51+FH58+FH65+FH72+FH79+FH86</f>
        <v>0</v>
      </c>
      <c r="FI96" s="115">
        <f t="shared" ref="FI96:FJ96" si="714">FI9+FI16+FI23+FI30+FI37+FI44+FI51+FI58+FI65+FI72+FI79+FI86</f>
        <v>0</v>
      </c>
      <c r="FJ96" s="115">
        <f t="shared" si="714"/>
        <v>0</v>
      </c>
      <c r="FK96" s="139">
        <f t="shared" ref="FK96:FK97" si="715">SUM(FH96:FJ96)</f>
        <v>0</v>
      </c>
      <c r="FL96" s="147"/>
      <c r="FM96" s="304"/>
      <c r="FN96" s="300" t="s">
        <v>23</v>
      </c>
      <c r="FO96" s="92" t="s">
        <v>20</v>
      </c>
      <c r="FP96" s="115">
        <f>FP9+FP16+FP23+FP30+FP37+FP44+FP51+FP58+FP65+FP72+FP79+FP86</f>
        <v>33020</v>
      </c>
      <c r="FQ96" s="115">
        <f t="shared" ref="FQ96:FT96" si="716">FQ9+FQ16+FQ23+FQ30+FQ37+FQ44+FQ51+FQ58+FQ65+FQ72+FQ79+FQ86</f>
        <v>4180</v>
      </c>
      <c r="FR96" s="115">
        <f t="shared" si="716"/>
        <v>69</v>
      </c>
      <c r="FS96" s="115">
        <f t="shared" si="716"/>
        <v>0</v>
      </c>
      <c r="FT96" s="115">
        <f t="shared" si="716"/>
        <v>6399</v>
      </c>
      <c r="FU96" s="152">
        <f t="shared" ref="FU96:FU97" si="717">SUM(FP96:FT96)</f>
        <v>43668</v>
      </c>
      <c r="FV96" s="115">
        <f>FV9+FV16+FV23+FV30+FV37+FV44+FV51+FV58+FV65+FV72+FV79+FV86</f>
        <v>4069</v>
      </c>
      <c r="FW96" s="115">
        <f t="shared" ref="FW96:FX96" si="718">FW9+FW16+FW23+FW30+FW37+FW44+FW51+FW58+FW65+FW72+FW79+FW86</f>
        <v>8032</v>
      </c>
      <c r="FX96" s="115">
        <f t="shared" si="718"/>
        <v>190</v>
      </c>
      <c r="FY96" s="139">
        <f t="shared" ref="FY96:FY97" si="719">SUM(FV96:FX96)</f>
        <v>12291</v>
      </c>
      <c r="FZ96" s="95"/>
      <c r="GA96" s="91"/>
    </row>
    <row r="97" spans="1:183" ht="20.100000000000001" customHeight="1" thickBot="1" x14ac:dyDescent="0.3">
      <c r="A97" s="304"/>
      <c r="B97" s="294"/>
      <c r="C97" s="105" t="s">
        <v>21</v>
      </c>
      <c r="D97" s="115">
        <f>D10+D17+D24+D31+D38+D45+D52+D59+D66+D73+D80+D87</f>
        <v>3158</v>
      </c>
      <c r="E97" s="115">
        <f t="shared" si="669"/>
        <v>350</v>
      </c>
      <c r="F97" s="115">
        <f t="shared" si="669"/>
        <v>0</v>
      </c>
      <c r="G97" s="115">
        <f t="shared" si="669"/>
        <v>15</v>
      </c>
      <c r="H97" s="115">
        <f t="shared" si="669"/>
        <v>1092</v>
      </c>
      <c r="I97" s="152">
        <f t="shared" si="606"/>
        <v>4615</v>
      </c>
      <c r="J97" s="115">
        <f>J10+J17+J24+J31+J38+J45+J52+J59+J66+J73+J80+J87</f>
        <v>324</v>
      </c>
      <c r="K97" s="115">
        <f t="shared" si="670"/>
        <v>694</v>
      </c>
      <c r="L97" s="115">
        <f t="shared" si="670"/>
        <v>9</v>
      </c>
      <c r="M97" s="139">
        <f t="shared" si="671"/>
        <v>1027</v>
      </c>
      <c r="N97" s="61"/>
      <c r="O97" s="304"/>
      <c r="P97" s="294"/>
      <c r="Q97" s="105" t="s">
        <v>21</v>
      </c>
      <c r="R97" s="115">
        <f>R10+R17+R24+R31+R38+R45+R52+R59+R66+R73+R80+R87</f>
        <v>2085</v>
      </c>
      <c r="S97" s="115">
        <f t="shared" ref="S97:V97" si="720">S10+S17+S24+S31+S38+S45+S52+S59+S66+S73+S80+S87</f>
        <v>371</v>
      </c>
      <c r="T97" s="115">
        <f t="shared" si="720"/>
        <v>0</v>
      </c>
      <c r="U97" s="115">
        <f t="shared" si="720"/>
        <v>14</v>
      </c>
      <c r="V97" s="115">
        <f t="shared" si="720"/>
        <v>1093</v>
      </c>
      <c r="W97" s="152">
        <f t="shared" si="673"/>
        <v>3563</v>
      </c>
      <c r="X97" s="115">
        <f>X10+X17+X24+X31+X38+X45+X52+X59+X66+X73+X80+X87</f>
        <v>542</v>
      </c>
      <c r="Y97" s="115">
        <f t="shared" ref="Y97:Z97" si="721">Y10+Y17+Y24+Y31+Y38+Y45+Y52+Y59+Y66+Y73+Y80+Y87</f>
        <v>723</v>
      </c>
      <c r="Z97" s="115">
        <f t="shared" si="721"/>
        <v>18</v>
      </c>
      <c r="AA97" s="139">
        <f t="shared" si="675"/>
        <v>1283</v>
      </c>
      <c r="AB97" s="61"/>
      <c r="AC97" s="304"/>
      <c r="AD97" s="294"/>
      <c r="AE97" s="105" t="s">
        <v>21</v>
      </c>
      <c r="AF97" s="115">
        <f>AF10+AF17+AF24+AF31+AF38+AF45+AF52+AF59+AF66+AF73+AF80+AF87</f>
        <v>4137</v>
      </c>
      <c r="AG97" s="115">
        <f t="shared" ref="AG97:AJ97" si="722">AG10+AG17+AG24+AG31+AG38+AG45+AG52+AG59+AG66+AG73+AG80+AG87</f>
        <v>406</v>
      </c>
      <c r="AH97" s="115">
        <f t="shared" si="722"/>
        <v>0</v>
      </c>
      <c r="AI97" s="115">
        <f t="shared" si="722"/>
        <v>10</v>
      </c>
      <c r="AJ97" s="115">
        <f t="shared" si="722"/>
        <v>359</v>
      </c>
      <c r="AK97" s="152">
        <f t="shared" si="677"/>
        <v>4912</v>
      </c>
      <c r="AL97" s="115">
        <f>AL10+AL17+AL24+AL31+AL38+AL45+AL52+AL59+AL66+AL73+AL80+AL87</f>
        <v>164</v>
      </c>
      <c r="AM97" s="115">
        <f t="shared" ref="AM97:AN97" si="723">AM10+AM17+AM24+AM31+AM38+AM45+AM52+AM59+AM66+AM73+AM80+AM87</f>
        <v>865</v>
      </c>
      <c r="AN97" s="115">
        <f t="shared" si="723"/>
        <v>0</v>
      </c>
      <c r="AO97" s="139">
        <f t="shared" si="679"/>
        <v>1029</v>
      </c>
      <c r="AP97" s="61"/>
      <c r="AQ97" s="304"/>
      <c r="AR97" s="294"/>
      <c r="AS97" s="105" t="s">
        <v>21</v>
      </c>
      <c r="AT97" s="115">
        <f>AT10+AT17+AT24+AT31+AT38+AT45+AT52+AT59+AT66+AT73+AT80+AT87</f>
        <v>2039</v>
      </c>
      <c r="AU97" s="115">
        <f t="shared" ref="AU97:AX97" si="724">AU10+AU17+AU24+AU31+AU38+AU45+AU52+AU59+AU66+AU73+AU80+AU87</f>
        <v>410</v>
      </c>
      <c r="AV97" s="115">
        <f t="shared" si="724"/>
        <v>4</v>
      </c>
      <c r="AW97" s="115">
        <f t="shared" si="724"/>
        <v>25</v>
      </c>
      <c r="AX97" s="115">
        <f t="shared" si="724"/>
        <v>561</v>
      </c>
      <c r="AY97" s="152">
        <f t="shared" si="681"/>
        <v>3039</v>
      </c>
      <c r="AZ97" s="115">
        <f>AZ10+AZ17+AZ24+AZ31+AZ38+AZ45+AZ52+AZ59+AZ66+AZ73+AZ80+AZ87</f>
        <v>323</v>
      </c>
      <c r="BA97" s="115">
        <f t="shared" ref="BA97:BB97" si="725">BA10+BA17+BA24+BA31+BA38+BA45+BA52+BA59+BA66+BA73+BA80+BA87</f>
        <v>1411</v>
      </c>
      <c r="BB97" s="115">
        <f t="shared" si="725"/>
        <v>4</v>
      </c>
      <c r="BC97" s="139">
        <f t="shared" si="683"/>
        <v>1738</v>
      </c>
      <c r="BD97" s="61"/>
      <c r="BE97" s="304"/>
      <c r="BF97" s="294"/>
      <c r="BG97" s="105" t="s">
        <v>21</v>
      </c>
      <c r="BH97" s="115">
        <f>BH10+BH17+BH24+BH31+BH38+BH45+BH52+BH59+BH66+BH73+BH80+BH87</f>
        <v>2559</v>
      </c>
      <c r="BI97" s="115">
        <f t="shared" ref="BI97:BL97" si="726">BI10+BI17+BI24+BI31+BI38+BI45+BI52+BI59+BI66+BI73+BI80+BI87</f>
        <v>160</v>
      </c>
      <c r="BJ97" s="115">
        <f t="shared" si="726"/>
        <v>0</v>
      </c>
      <c r="BK97" s="115">
        <f t="shared" si="726"/>
        <v>18</v>
      </c>
      <c r="BL97" s="115">
        <f t="shared" si="726"/>
        <v>414</v>
      </c>
      <c r="BM97" s="152">
        <f t="shared" si="685"/>
        <v>3151</v>
      </c>
      <c r="BN97" s="115">
        <f>BN10+BN17+BN24+BN31+BN38+BN45+BN52+BN59+BN66+BN73+BN80+BN87</f>
        <v>333</v>
      </c>
      <c r="BO97" s="115">
        <f t="shared" ref="BO97:BP97" si="727">BO10+BO17+BO24+BO31+BO38+BO45+BO52+BO59+BO66+BO73+BO80+BO87</f>
        <v>1137</v>
      </c>
      <c r="BP97" s="115">
        <f t="shared" si="727"/>
        <v>0</v>
      </c>
      <c r="BQ97" s="139">
        <f t="shared" si="687"/>
        <v>1470</v>
      </c>
      <c r="BR97" s="61"/>
      <c r="BS97" s="304"/>
      <c r="BT97" s="294"/>
      <c r="BU97" s="105" t="s">
        <v>21</v>
      </c>
      <c r="BV97" s="115">
        <f>BV10+BV17+BV24+BV31+BV38+BV45+BV52+BV59+BV66+BV73+BV80+BV87</f>
        <v>3310</v>
      </c>
      <c r="BW97" s="115">
        <f t="shared" ref="BW97:BZ97" si="728">BW10+BW17+BW24+BW31+BW38+BW45+BW52+BW59+BW66+BW73+BW80+BW87</f>
        <v>265</v>
      </c>
      <c r="BX97" s="115">
        <f t="shared" si="728"/>
        <v>0</v>
      </c>
      <c r="BY97" s="115">
        <f t="shared" si="728"/>
        <v>15</v>
      </c>
      <c r="BZ97" s="115">
        <f t="shared" si="728"/>
        <v>578</v>
      </c>
      <c r="CA97" s="152">
        <f t="shared" si="689"/>
        <v>4168</v>
      </c>
      <c r="CB97" s="115">
        <f>CB10+CB17+CB24+CB31+CB38+CB45+CB52+CB59+CB66+CB73+CB80+CB87</f>
        <v>301</v>
      </c>
      <c r="CC97" s="115">
        <f t="shared" ref="CC97:CD97" si="729">CC10+CC17+CC24+CC31+CC38+CC45+CC52+CC59+CC66+CC73+CC80+CC87</f>
        <v>1161</v>
      </c>
      <c r="CD97" s="115">
        <f t="shared" si="729"/>
        <v>0</v>
      </c>
      <c r="CE97" s="139">
        <f t="shared" si="691"/>
        <v>1462</v>
      </c>
      <c r="CF97" s="61"/>
      <c r="CG97" s="304"/>
      <c r="CH97" s="294"/>
      <c r="CI97" s="105" t="s">
        <v>21</v>
      </c>
      <c r="CJ97" s="115">
        <f>CJ10+CJ17+CJ24+CJ31+CJ38+CJ45+CJ52+CJ59+CJ66+CJ73+CJ80+CJ87</f>
        <v>2783</v>
      </c>
      <c r="CK97" s="115">
        <f t="shared" ref="CK97:CN97" si="730">CK10+CK17+CK24+CK31+CK38+CK45+CK52+CK59+CK66+CK73+CK80+CK87</f>
        <v>492</v>
      </c>
      <c r="CL97" s="115">
        <f t="shared" si="730"/>
        <v>0</v>
      </c>
      <c r="CM97" s="115">
        <f t="shared" si="730"/>
        <v>377</v>
      </c>
      <c r="CN97" s="115">
        <f t="shared" si="730"/>
        <v>896</v>
      </c>
      <c r="CO97" s="152">
        <f t="shared" si="693"/>
        <v>4548</v>
      </c>
      <c r="CP97" s="115">
        <f>CP10+CP17+CP24+CP31+CP38+CP45+CP52+CP59+CP66+CP73+CP80+CP87</f>
        <v>265</v>
      </c>
      <c r="CQ97" s="115">
        <f t="shared" ref="CQ97:CR97" si="731">CQ10+CQ17+CQ24+CQ31+CQ38+CQ45+CQ52+CQ59+CQ66+CQ73+CQ80+CQ87</f>
        <v>1071</v>
      </c>
      <c r="CR97" s="115">
        <f t="shared" si="731"/>
        <v>0</v>
      </c>
      <c r="CS97" s="139">
        <f t="shared" si="695"/>
        <v>1336</v>
      </c>
      <c r="CT97" s="61"/>
      <c r="CU97" s="304"/>
      <c r="CV97" s="294"/>
      <c r="CW97" s="105" t="s">
        <v>21</v>
      </c>
      <c r="CX97" s="115">
        <f>CX10+CX17+CX24+CX31+CX38+CX45+CX52+CX59+CX66+CX73+CX80+CX87</f>
        <v>3297</v>
      </c>
      <c r="CY97" s="115">
        <f t="shared" ref="CY97:DB97" si="732">CY10+CY17+CY24+CY31+CY38+CY45+CY52+CY59+CY66+CY73+CY80+CY87</f>
        <v>346</v>
      </c>
      <c r="CZ97" s="115">
        <f t="shared" si="732"/>
        <v>0</v>
      </c>
      <c r="DA97" s="115">
        <f t="shared" si="732"/>
        <v>11</v>
      </c>
      <c r="DB97" s="115">
        <f t="shared" si="732"/>
        <v>730</v>
      </c>
      <c r="DC97" s="152">
        <f t="shared" si="697"/>
        <v>4384</v>
      </c>
      <c r="DD97" s="115">
        <f>DD10+DD17+DD24+DD31+DD38+DD45+DD52+DD59+DD66+DD73+DD80+DD87</f>
        <v>560</v>
      </c>
      <c r="DE97" s="115">
        <f t="shared" ref="DE97:DF97" si="733">DE10+DE17+DE24+DE31+DE38+DE45+DE52+DE59+DE66+DE73+DE80+DE87</f>
        <v>1152</v>
      </c>
      <c r="DF97" s="115">
        <f t="shared" si="733"/>
        <v>0</v>
      </c>
      <c r="DG97" s="139">
        <f t="shared" si="699"/>
        <v>1712</v>
      </c>
      <c r="DH97" s="61"/>
      <c r="DI97" s="304"/>
      <c r="DJ97" s="294"/>
      <c r="DK97" s="105" t="s">
        <v>21</v>
      </c>
      <c r="DL97" s="115">
        <f>DL10+DL17+DL24+DL31+DL38+DL45+DL52+DL59+DL66+DL73+DL80+DL87</f>
        <v>2857</v>
      </c>
      <c r="DM97" s="115">
        <f t="shared" ref="DM97:DP97" si="734">DM10+DM17+DM24+DM31+DM38+DM45+DM52+DM59+DM66+DM73+DM80+DM87</f>
        <v>188</v>
      </c>
      <c r="DN97" s="115">
        <f t="shared" si="734"/>
        <v>12</v>
      </c>
      <c r="DO97" s="115">
        <f t="shared" si="734"/>
        <v>34</v>
      </c>
      <c r="DP97" s="115">
        <f t="shared" si="734"/>
        <v>534</v>
      </c>
      <c r="DQ97" s="152">
        <f t="shared" si="701"/>
        <v>3625</v>
      </c>
      <c r="DR97" s="115">
        <f>DR10+DR17+DR24+DR31+DR38+DR45+DR52+DR59+DR66+DR73+DR80+DR87</f>
        <v>348</v>
      </c>
      <c r="DS97" s="115">
        <f t="shared" ref="DS97:DT97" si="735">DS10+DS17+DS24+DS31+DS38+DS45+DS52+DS59+DS66+DS73+DS80+DS87</f>
        <v>1455</v>
      </c>
      <c r="DT97" s="115">
        <f t="shared" si="735"/>
        <v>18</v>
      </c>
      <c r="DU97" s="139">
        <f t="shared" si="703"/>
        <v>1821</v>
      </c>
      <c r="DV97" s="61"/>
      <c r="DW97" s="304"/>
      <c r="DX97" s="294"/>
      <c r="DY97" s="105" t="s">
        <v>21</v>
      </c>
      <c r="DZ97" s="115">
        <f>DZ10+DZ17+DZ24+DZ31+DZ38+DZ45+DZ52+DZ59+DZ66+DZ73+DZ80+DZ87</f>
        <v>1858</v>
      </c>
      <c r="EA97" s="115">
        <f t="shared" ref="EA97:ED97" si="736">EA10+EA17+EA24+EA31+EA38+EA45+EA52+EA59+EA66+EA73+EA80+EA87</f>
        <v>50</v>
      </c>
      <c r="EB97" s="115">
        <f t="shared" si="736"/>
        <v>0</v>
      </c>
      <c r="EC97" s="115">
        <f t="shared" si="736"/>
        <v>7</v>
      </c>
      <c r="ED97" s="115">
        <f t="shared" si="736"/>
        <v>869</v>
      </c>
      <c r="EE97" s="152">
        <f t="shared" si="705"/>
        <v>2784</v>
      </c>
      <c r="EF97" s="115">
        <f>EF10+EF17+EF24+EF31+EF38+EF45+EF52+EF59+EF66+EF73+EF80+EF87</f>
        <v>249</v>
      </c>
      <c r="EG97" s="115">
        <f t="shared" ref="EG97:EH97" si="737">EG10+EG17+EG24+EG31+EG38+EG45+EG52+EG59+EG66+EG73+EG80+EG87</f>
        <v>954</v>
      </c>
      <c r="EH97" s="115">
        <f t="shared" si="737"/>
        <v>9</v>
      </c>
      <c r="EI97" s="139">
        <f t="shared" si="707"/>
        <v>1212</v>
      </c>
      <c r="EJ97" s="61"/>
      <c r="EK97" s="304"/>
      <c r="EL97" s="294"/>
      <c r="EM97" s="105" t="s">
        <v>21</v>
      </c>
      <c r="EN97" s="115">
        <f>EN10+EN17+EN24+EN31+EN38+EN45+EN52+EN59+EN66+EN73+EN80+EN87</f>
        <v>0</v>
      </c>
      <c r="EO97" s="115">
        <f t="shared" ref="EO97:ER97" si="738">EO10+EO17+EO24+EO31+EO38+EO45+EO52+EO59+EO66+EO73+EO80+EO87</f>
        <v>0</v>
      </c>
      <c r="EP97" s="115">
        <f t="shared" si="738"/>
        <v>0</v>
      </c>
      <c r="EQ97" s="115">
        <f t="shared" si="738"/>
        <v>0</v>
      </c>
      <c r="ER97" s="115">
        <f t="shared" si="738"/>
        <v>0</v>
      </c>
      <c r="ES97" s="152">
        <f t="shared" si="709"/>
        <v>0</v>
      </c>
      <c r="ET97" s="115">
        <f>ET10+ET17+ET24+ET31+ET38+ET45+ET52+ET59+ET66+ET73+ET80+ET87</f>
        <v>0</v>
      </c>
      <c r="EU97" s="115">
        <f t="shared" ref="EU97:EV97" si="739">EU10+EU17+EU24+EU31+EU38+EU45+EU52+EU59+EU66+EU73+EU80+EU87</f>
        <v>0</v>
      </c>
      <c r="EV97" s="115">
        <f t="shared" si="739"/>
        <v>0</v>
      </c>
      <c r="EW97" s="139">
        <f t="shared" si="711"/>
        <v>0</v>
      </c>
      <c r="EX97" s="61"/>
      <c r="EY97" s="304"/>
      <c r="EZ97" s="294"/>
      <c r="FA97" s="105" t="s">
        <v>21</v>
      </c>
      <c r="FB97" s="115">
        <f>FB10+FB17+FB24+FB31+FB38+FB45+FB52+FB59+FB66+FB73+FB80+FB87</f>
        <v>0</v>
      </c>
      <c r="FC97" s="115">
        <f t="shared" ref="FC97:FF97" si="740">FC10+FC17+FC24+FC31+FC38+FC45+FC52+FC59+FC66+FC73+FC80+FC87</f>
        <v>0</v>
      </c>
      <c r="FD97" s="115">
        <f t="shared" si="740"/>
        <v>0</v>
      </c>
      <c r="FE97" s="115">
        <f t="shared" si="740"/>
        <v>0</v>
      </c>
      <c r="FF97" s="115">
        <f t="shared" si="740"/>
        <v>0</v>
      </c>
      <c r="FG97" s="152">
        <f t="shared" si="713"/>
        <v>0</v>
      </c>
      <c r="FH97" s="115">
        <f>FH10+FH17+FH24+FH31+FH38+FH45+FH52+FH59+FH66+FH73+FH80+FH87</f>
        <v>0</v>
      </c>
      <c r="FI97" s="115">
        <f t="shared" ref="FI97:FJ97" si="741">FI10+FI17+FI24+FI31+FI38+FI45+FI52+FI59+FI66+FI73+FI80+FI87</f>
        <v>0</v>
      </c>
      <c r="FJ97" s="115">
        <f t="shared" si="741"/>
        <v>0</v>
      </c>
      <c r="FK97" s="139">
        <f t="shared" si="715"/>
        <v>0</v>
      </c>
      <c r="FM97" s="304"/>
      <c r="FN97" s="294"/>
      <c r="FO97" s="105" t="s">
        <v>21</v>
      </c>
      <c r="FP97" s="115">
        <f>FP10+FP17+FP24+FP31+FP38+FP45+FP52+FP59+FP66+FP73+FP80+FP87</f>
        <v>28083</v>
      </c>
      <c r="FQ97" s="115">
        <f t="shared" ref="FQ97:FT97" si="742">FQ10+FQ17+FQ24+FQ31+FQ38+FQ45+FQ52+FQ59+FQ66+FQ73+FQ80+FQ87</f>
        <v>3038</v>
      </c>
      <c r="FR97" s="115">
        <f t="shared" si="742"/>
        <v>16</v>
      </c>
      <c r="FS97" s="115">
        <f t="shared" si="742"/>
        <v>526</v>
      </c>
      <c r="FT97" s="115">
        <f t="shared" si="742"/>
        <v>7126</v>
      </c>
      <c r="FU97" s="152">
        <f t="shared" si="717"/>
        <v>38789</v>
      </c>
      <c r="FV97" s="115">
        <f>FV10+FV17+FV24+FV31+FV38+FV45+FV52+FV59+FV66+FV73+FV80+FV87</f>
        <v>3409</v>
      </c>
      <c r="FW97" s="115">
        <f t="shared" ref="FW97:FX97" si="743">FW10+FW17+FW24+FW31+FW38+FW45+FW52+FW59+FW66+FW73+FW80+FW87</f>
        <v>10623</v>
      </c>
      <c r="FX97" s="115">
        <f t="shared" si="743"/>
        <v>58</v>
      </c>
      <c r="FY97" s="139">
        <f t="shared" si="719"/>
        <v>14090</v>
      </c>
      <c r="GA97" s="61"/>
    </row>
    <row r="98" spans="1:183" ht="20.100000000000001" customHeight="1" thickBot="1" x14ac:dyDescent="0.3">
      <c r="A98" s="305"/>
      <c r="B98" s="301" t="s">
        <v>24</v>
      </c>
      <c r="C98" s="302"/>
      <c r="D98" s="107">
        <f>SUM(D96:D97)</f>
        <v>6561</v>
      </c>
      <c r="E98" s="107">
        <f t="shared" ref="E98:H98" si="744">SUM(E96:E97)</f>
        <v>1103</v>
      </c>
      <c r="F98" s="107">
        <f t="shared" si="744"/>
        <v>0</v>
      </c>
      <c r="G98" s="107">
        <f t="shared" si="744"/>
        <v>15</v>
      </c>
      <c r="H98" s="107">
        <f t="shared" si="744"/>
        <v>1933</v>
      </c>
      <c r="I98" s="107">
        <f>SUM(I96:I97)</f>
        <v>9612</v>
      </c>
      <c r="J98" s="107">
        <f>SUM(J96:J97)</f>
        <v>725</v>
      </c>
      <c r="K98" s="107">
        <f t="shared" ref="K98:L98" si="745">SUM(K96:K97)</f>
        <v>1141</v>
      </c>
      <c r="L98" s="107">
        <f t="shared" si="745"/>
        <v>19</v>
      </c>
      <c r="M98" s="107">
        <f>M97+M96</f>
        <v>1885</v>
      </c>
      <c r="N98" s="61"/>
      <c r="O98" s="305"/>
      <c r="P98" s="301" t="s">
        <v>24</v>
      </c>
      <c r="Q98" s="302"/>
      <c r="R98" s="107">
        <f>SUM(R96:R97)</f>
        <v>4976</v>
      </c>
      <c r="S98" s="107">
        <f t="shared" ref="S98:V98" si="746">SUM(S96:S97)</f>
        <v>1034</v>
      </c>
      <c r="T98" s="107">
        <f t="shared" si="746"/>
        <v>0</v>
      </c>
      <c r="U98" s="107">
        <f t="shared" si="746"/>
        <v>14</v>
      </c>
      <c r="V98" s="107">
        <f t="shared" si="746"/>
        <v>1714</v>
      </c>
      <c r="W98" s="107">
        <f>SUM(W96:W97)</f>
        <v>7738</v>
      </c>
      <c r="X98" s="107">
        <f>SUM(X96:X97)</f>
        <v>1118</v>
      </c>
      <c r="Y98" s="107">
        <f t="shared" ref="Y98:Z98" si="747">SUM(Y96:Y97)</f>
        <v>1232</v>
      </c>
      <c r="Z98" s="107">
        <f t="shared" si="747"/>
        <v>72</v>
      </c>
      <c r="AA98" s="107">
        <f>AA97+AA96</f>
        <v>2422</v>
      </c>
      <c r="AB98" s="61"/>
      <c r="AC98" s="305"/>
      <c r="AD98" s="301" t="s">
        <v>24</v>
      </c>
      <c r="AE98" s="302"/>
      <c r="AF98" s="107">
        <f>SUM(AF96:AF97)</f>
        <v>9855</v>
      </c>
      <c r="AG98" s="107">
        <f t="shared" ref="AG98:AJ98" si="748">SUM(AG96:AG97)</f>
        <v>879</v>
      </c>
      <c r="AH98" s="107">
        <f t="shared" si="748"/>
        <v>0</v>
      </c>
      <c r="AI98" s="107">
        <f t="shared" si="748"/>
        <v>10</v>
      </c>
      <c r="AJ98" s="107">
        <f t="shared" si="748"/>
        <v>744</v>
      </c>
      <c r="AK98" s="107">
        <f>SUM(AK96:AK97)</f>
        <v>11488</v>
      </c>
      <c r="AL98" s="107">
        <f>SUM(AL96:AL97)</f>
        <v>329</v>
      </c>
      <c r="AM98" s="107">
        <f t="shared" ref="AM98:AN98" si="749">SUM(AM96:AM97)</f>
        <v>1599</v>
      </c>
      <c r="AN98" s="107">
        <f t="shared" si="749"/>
        <v>0</v>
      </c>
      <c r="AO98" s="107">
        <f>AO97+AO96</f>
        <v>1928</v>
      </c>
      <c r="AP98" s="61"/>
      <c r="AQ98" s="305"/>
      <c r="AR98" s="301" t="s">
        <v>24</v>
      </c>
      <c r="AS98" s="302"/>
      <c r="AT98" s="107">
        <f>SUM(AT96:AT97)</f>
        <v>4047</v>
      </c>
      <c r="AU98" s="107">
        <f t="shared" ref="AU98:AX98" si="750">SUM(AU96:AU97)</f>
        <v>914</v>
      </c>
      <c r="AV98" s="107">
        <f t="shared" si="750"/>
        <v>56</v>
      </c>
      <c r="AW98" s="107">
        <f t="shared" si="750"/>
        <v>25</v>
      </c>
      <c r="AX98" s="107">
        <f t="shared" si="750"/>
        <v>1200</v>
      </c>
      <c r="AY98" s="107">
        <f>SUM(AY96:AY97)</f>
        <v>6242</v>
      </c>
      <c r="AZ98" s="107">
        <f>SUM(AZ96:AZ97)</f>
        <v>693</v>
      </c>
      <c r="BA98" s="107">
        <f t="shared" ref="BA98:BB98" si="751">SUM(BA96:BA97)</f>
        <v>2386</v>
      </c>
      <c r="BB98" s="107">
        <f t="shared" si="751"/>
        <v>64</v>
      </c>
      <c r="BC98" s="107">
        <f>BC97+BC96</f>
        <v>3143</v>
      </c>
      <c r="BD98" s="61"/>
      <c r="BE98" s="305"/>
      <c r="BF98" s="301" t="s">
        <v>24</v>
      </c>
      <c r="BG98" s="302"/>
      <c r="BH98" s="107">
        <f>SUM(BH96:BH97)</f>
        <v>5470</v>
      </c>
      <c r="BI98" s="107">
        <f t="shared" ref="BI98:BL98" si="752">SUM(BI96:BI97)</f>
        <v>438</v>
      </c>
      <c r="BJ98" s="107">
        <f t="shared" si="752"/>
        <v>0</v>
      </c>
      <c r="BK98" s="107">
        <f t="shared" si="752"/>
        <v>18</v>
      </c>
      <c r="BL98" s="107">
        <f t="shared" si="752"/>
        <v>789</v>
      </c>
      <c r="BM98" s="107">
        <f>SUM(BM96:BM97)</f>
        <v>6715</v>
      </c>
      <c r="BN98" s="107">
        <f>SUM(BN96:BN97)</f>
        <v>739</v>
      </c>
      <c r="BO98" s="107">
        <f t="shared" ref="BO98:BP98" si="753">SUM(BO96:BO97)</f>
        <v>2548</v>
      </c>
      <c r="BP98" s="107">
        <f t="shared" si="753"/>
        <v>0</v>
      </c>
      <c r="BQ98" s="107">
        <f>BQ97+BQ96</f>
        <v>3287</v>
      </c>
      <c r="BR98" s="61"/>
      <c r="BS98" s="305"/>
      <c r="BT98" s="301" t="s">
        <v>24</v>
      </c>
      <c r="BU98" s="302"/>
      <c r="BV98" s="107">
        <f>SUM(BV96:BV97)</f>
        <v>7158</v>
      </c>
      <c r="BW98" s="107">
        <f t="shared" ref="BW98:BZ98" si="754">SUM(BW96:BW97)</f>
        <v>584</v>
      </c>
      <c r="BX98" s="107">
        <f t="shared" si="754"/>
        <v>0</v>
      </c>
      <c r="BY98" s="107">
        <f t="shared" si="754"/>
        <v>15</v>
      </c>
      <c r="BZ98" s="107">
        <f t="shared" si="754"/>
        <v>1223</v>
      </c>
      <c r="CA98" s="107">
        <f>SUM(CA96:CA97)</f>
        <v>8980</v>
      </c>
      <c r="CB98" s="107">
        <f>SUM(CB96:CB97)</f>
        <v>693</v>
      </c>
      <c r="CC98" s="107">
        <f t="shared" ref="CC98:CD98" si="755">SUM(CC96:CC97)</f>
        <v>2011</v>
      </c>
      <c r="CD98" s="107">
        <f t="shared" si="755"/>
        <v>0</v>
      </c>
      <c r="CE98" s="107">
        <f>CE97+CE96</f>
        <v>2704</v>
      </c>
      <c r="CF98" s="61"/>
      <c r="CG98" s="305"/>
      <c r="CH98" s="301" t="s">
        <v>24</v>
      </c>
      <c r="CI98" s="302"/>
      <c r="CJ98" s="107">
        <f>SUM(CJ96:CJ97)</f>
        <v>6216</v>
      </c>
      <c r="CK98" s="107">
        <f t="shared" ref="CK98:CN98" si="756">SUM(CK96:CK97)</f>
        <v>987</v>
      </c>
      <c r="CL98" s="107">
        <f t="shared" si="756"/>
        <v>0</v>
      </c>
      <c r="CM98" s="107">
        <f t="shared" si="756"/>
        <v>377</v>
      </c>
      <c r="CN98" s="107">
        <f t="shared" si="756"/>
        <v>1847</v>
      </c>
      <c r="CO98" s="107">
        <f>SUM(CO96:CO97)</f>
        <v>9427</v>
      </c>
      <c r="CP98" s="107">
        <f>SUM(CP96:CP97)</f>
        <v>595</v>
      </c>
      <c r="CQ98" s="107">
        <f t="shared" ref="CQ98:CR98" si="757">SUM(CQ96:CQ97)</f>
        <v>1758</v>
      </c>
      <c r="CR98" s="107">
        <f t="shared" si="757"/>
        <v>31</v>
      </c>
      <c r="CS98" s="107">
        <f>CS97+CS96</f>
        <v>2384</v>
      </c>
      <c r="CT98" s="61"/>
      <c r="CU98" s="305"/>
      <c r="CV98" s="301" t="s">
        <v>24</v>
      </c>
      <c r="CW98" s="302"/>
      <c r="CX98" s="107">
        <f>SUM(CX96:CX97)</f>
        <v>7115</v>
      </c>
      <c r="CY98" s="107">
        <f t="shared" ref="CY98:DB98" si="758">SUM(CY96:CY97)</f>
        <v>743</v>
      </c>
      <c r="CZ98" s="107">
        <f t="shared" si="758"/>
        <v>0</v>
      </c>
      <c r="DA98" s="107">
        <f t="shared" si="758"/>
        <v>11</v>
      </c>
      <c r="DB98" s="107">
        <f t="shared" si="758"/>
        <v>1397</v>
      </c>
      <c r="DC98" s="107">
        <f>SUM(DC96:DC97)</f>
        <v>9266</v>
      </c>
      <c r="DD98" s="107">
        <f>SUM(DD96:DD97)</f>
        <v>1281</v>
      </c>
      <c r="DE98" s="107">
        <f t="shared" ref="DE98:DF98" si="759">SUM(DE96:DE97)</f>
        <v>2008</v>
      </c>
      <c r="DF98" s="107">
        <f t="shared" si="759"/>
        <v>0</v>
      </c>
      <c r="DG98" s="107">
        <f>DG97+DG96</f>
        <v>3289</v>
      </c>
      <c r="DH98" s="61"/>
      <c r="DI98" s="305"/>
      <c r="DJ98" s="301" t="s">
        <v>24</v>
      </c>
      <c r="DK98" s="302"/>
      <c r="DL98" s="107">
        <f>SUM(DL96:DL97)</f>
        <v>5588</v>
      </c>
      <c r="DM98" s="107">
        <f t="shared" ref="DM98:DP98" si="760">SUM(DM96:DM97)</f>
        <v>326</v>
      </c>
      <c r="DN98" s="107">
        <f t="shared" si="760"/>
        <v>29</v>
      </c>
      <c r="DO98" s="107">
        <f t="shared" si="760"/>
        <v>34</v>
      </c>
      <c r="DP98" s="107">
        <f t="shared" si="760"/>
        <v>1116</v>
      </c>
      <c r="DQ98" s="107">
        <f>SUM(DQ96:DQ97)</f>
        <v>7093</v>
      </c>
      <c r="DR98" s="107">
        <f>SUM(DR96:DR97)</f>
        <v>698</v>
      </c>
      <c r="DS98" s="107">
        <f t="shared" ref="DS98:DT98" si="761">SUM(DS96:DS97)</f>
        <v>2327</v>
      </c>
      <c r="DT98" s="107">
        <f t="shared" si="761"/>
        <v>43</v>
      </c>
      <c r="DU98" s="107">
        <f>DU97+DU96</f>
        <v>3068</v>
      </c>
      <c r="DV98" s="61"/>
      <c r="DW98" s="305"/>
      <c r="DX98" s="301" t="s">
        <v>24</v>
      </c>
      <c r="DY98" s="302"/>
      <c r="DZ98" s="107">
        <f>SUM(DZ96:DZ97)</f>
        <v>4117</v>
      </c>
      <c r="EA98" s="107">
        <f t="shared" ref="EA98:ED98" si="762">SUM(EA96:EA97)</f>
        <v>210</v>
      </c>
      <c r="EB98" s="107">
        <f t="shared" si="762"/>
        <v>0</v>
      </c>
      <c r="EC98" s="107">
        <f t="shared" si="762"/>
        <v>7</v>
      </c>
      <c r="ED98" s="107">
        <f t="shared" si="762"/>
        <v>1562</v>
      </c>
      <c r="EE98" s="107">
        <f>SUM(EE96:EE97)</f>
        <v>5896</v>
      </c>
      <c r="EF98" s="107">
        <f>SUM(EF96:EF97)</f>
        <v>607</v>
      </c>
      <c r="EG98" s="107">
        <f t="shared" ref="EG98:EH98" si="763">SUM(EG96:EG97)</f>
        <v>1645</v>
      </c>
      <c r="EH98" s="107">
        <f t="shared" si="763"/>
        <v>19</v>
      </c>
      <c r="EI98" s="107">
        <f>EI97+EI96</f>
        <v>2271</v>
      </c>
      <c r="EJ98" s="61"/>
      <c r="EK98" s="305"/>
      <c r="EL98" s="301" t="s">
        <v>24</v>
      </c>
      <c r="EM98" s="302"/>
      <c r="EN98" s="107">
        <f>SUM(EN96:EN97)</f>
        <v>0</v>
      </c>
      <c r="EO98" s="107">
        <f t="shared" ref="EO98:ER98" si="764">SUM(EO96:EO97)</f>
        <v>0</v>
      </c>
      <c r="EP98" s="107">
        <f t="shared" si="764"/>
        <v>0</v>
      </c>
      <c r="EQ98" s="107">
        <f t="shared" si="764"/>
        <v>0</v>
      </c>
      <c r="ER98" s="107">
        <f t="shared" si="764"/>
        <v>0</v>
      </c>
      <c r="ES98" s="107">
        <f>SUM(ES96:ES97)</f>
        <v>0</v>
      </c>
      <c r="ET98" s="107">
        <f>SUM(ET96:ET97)</f>
        <v>0</v>
      </c>
      <c r="EU98" s="107">
        <f t="shared" ref="EU98:EV98" si="765">SUM(EU96:EU97)</f>
        <v>0</v>
      </c>
      <c r="EV98" s="107">
        <f t="shared" si="765"/>
        <v>0</v>
      </c>
      <c r="EW98" s="107">
        <f>EW97+EW96</f>
        <v>0</v>
      </c>
      <c r="EX98" s="61"/>
      <c r="EY98" s="305"/>
      <c r="EZ98" s="301" t="s">
        <v>24</v>
      </c>
      <c r="FA98" s="302"/>
      <c r="FB98" s="107">
        <f>SUM(FB96:FB97)</f>
        <v>0</v>
      </c>
      <c r="FC98" s="107">
        <f t="shared" ref="FC98:FF98" si="766">SUM(FC96:FC97)</f>
        <v>0</v>
      </c>
      <c r="FD98" s="107">
        <f t="shared" si="766"/>
        <v>0</v>
      </c>
      <c r="FE98" s="107">
        <f t="shared" si="766"/>
        <v>0</v>
      </c>
      <c r="FF98" s="107">
        <f t="shared" si="766"/>
        <v>0</v>
      </c>
      <c r="FG98" s="107">
        <f>SUM(FG96:FG97)</f>
        <v>0</v>
      </c>
      <c r="FH98" s="107">
        <f>SUM(FH96:FH97)</f>
        <v>0</v>
      </c>
      <c r="FI98" s="107">
        <f t="shared" ref="FI98:FJ98" si="767">SUM(FI96:FI97)</f>
        <v>0</v>
      </c>
      <c r="FJ98" s="107">
        <f t="shared" si="767"/>
        <v>0</v>
      </c>
      <c r="FK98" s="107">
        <f>FK97+FK96</f>
        <v>0</v>
      </c>
      <c r="FM98" s="305"/>
      <c r="FN98" s="301" t="s">
        <v>24</v>
      </c>
      <c r="FO98" s="302"/>
      <c r="FP98" s="107">
        <f>SUM(FP96:FP97)</f>
        <v>61103</v>
      </c>
      <c r="FQ98" s="107">
        <f t="shared" ref="FQ98:FT98" si="768">SUM(FQ96:FQ97)</f>
        <v>7218</v>
      </c>
      <c r="FR98" s="107">
        <f t="shared" si="768"/>
        <v>85</v>
      </c>
      <c r="FS98" s="107">
        <f t="shared" si="768"/>
        <v>526</v>
      </c>
      <c r="FT98" s="107">
        <f t="shared" si="768"/>
        <v>13525</v>
      </c>
      <c r="FU98" s="107">
        <f>SUM(FU96:FU97)</f>
        <v>82457</v>
      </c>
      <c r="FV98" s="107">
        <f>SUM(FV96:FV97)</f>
        <v>7478</v>
      </c>
      <c r="FW98" s="107">
        <f t="shared" ref="FW98:FX98" si="769">SUM(FW96:FW97)</f>
        <v>18655</v>
      </c>
      <c r="FX98" s="107">
        <f t="shared" si="769"/>
        <v>248</v>
      </c>
      <c r="FY98" s="107">
        <f>FY97+FY96</f>
        <v>26381</v>
      </c>
      <c r="GA98" s="61"/>
    </row>
    <row r="99" spans="1:183" ht="20.100000000000001" customHeight="1" thickBot="1" x14ac:dyDescent="0.3">
      <c r="A99" s="297" t="s">
        <v>25</v>
      </c>
      <c r="B99" s="298"/>
      <c r="C99" s="298"/>
      <c r="D99" s="123">
        <f>SUM(D98+D95)</f>
        <v>36042</v>
      </c>
      <c r="E99" s="123">
        <f t="shared" ref="E99:H99" si="770">SUM(E98+E95)</f>
        <v>7260</v>
      </c>
      <c r="F99" s="123">
        <f t="shared" si="770"/>
        <v>2653</v>
      </c>
      <c r="G99" s="123">
        <f t="shared" si="770"/>
        <v>118</v>
      </c>
      <c r="H99" s="123">
        <f t="shared" si="770"/>
        <v>6681</v>
      </c>
      <c r="I99" s="143">
        <f>I98+I95</f>
        <v>52754</v>
      </c>
      <c r="J99" s="132">
        <f>SUM(J98+J95)</f>
        <v>4337</v>
      </c>
      <c r="K99" s="124">
        <f>SUM(K98+K95)</f>
        <v>9560</v>
      </c>
      <c r="L99" s="125">
        <f>SUM(L98+L95)</f>
        <v>1009</v>
      </c>
      <c r="M99" s="130">
        <f>M98+M95</f>
        <v>14906</v>
      </c>
      <c r="N99" s="61"/>
      <c r="O99" s="297" t="s">
        <v>25</v>
      </c>
      <c r="P99" s="298"/>
      <c r="Q99" s="298"/>
      <c r="R99" s="123">
        <f>SUM(R98+R95)</f>
        <v>40820</v>
      </c>
      <c r="S99" s="123">
        <f t="shared" ref="S99:V99" si="771">SUM(S98+S95)</f>
        <v>3723</v>
      </c>
      <c r="T99" s="123">
        <f t="shared" si="771"/>
        <v>3183</v>
      </c>
      <c r="U99" s="123">
        <f t="shared" si="771"/>
        <v>227</v>
      </c>
      <c r="V99" s="123">
        <f t="shared" si="771"/>
        <v>5552</v>
      </c>
      <c r="W99" s="143">
        <f>W98+W95</f>
        <v>53505</v>
      </c>
      <c r="X99" s="132">
        <f>SUM(X98+X95)</f>
        <v>5569</v>
      </c>
      <c r="Y99" s="124">
        <f>SUM(Y98+Y95)</f>
        <v>14030</v>
      </c>
      <c r="Z99" s="125">
        <f>SUM(Z98+Z95)</f>
        <v>1218</v>
      </c>
      <c r="AA99" s="130">
        <f>AA98+AA95</f>
        <v>20817</v>
      </c>
      <c r="AB99" s="61"/>
      <c r="AC99" s="297" t="s">
        <v>25</v>
      </c>
      <c r="AD99" s="298"/>
      <c r="AE99" s="298"/>
      <c r="AF99" s="123">
        <f>SUM(AF98+AF95)</f>
        <v>54752</v>
      </c>
      <c r="AG99" s="123">
        <f t="shared" ref="AG99:AJ99" si="772">SUM(AG98+AG95)</f>
        <v>5021</v>
      </c>
      <c r="AH99" s="123">
        <f t="shared" si="772"/>
        <v>2765</v>
      </c>
      <c r="AI99" s="123">
        <f t="shared" si="772"/>
        <v>140</v>
      </c>
      <c r="AJ99" s="123">
        <f t="shared" si="772"/>
        <v>5631</v>
      </c>
      <c r="AK99" s="143">
        <f>AK98+AK95</f>
        <v>68309</v>
      </c>
      <c r="AL99" s="132">
        <f>SUM(AL98+AL95)</f>
        <v>3472</v>
      </c>
      <c r="AM99" s="124">
        <f>SUM(AM98+AM95)</f>
        <v>18299</v>
      </c>
      <c r="AN99" s="125">
        <f>SUM(AN98+AN95)</f>
        <v>30</v>
      </c>
      <c r="AO99" s="130">
        <f>AO98+AO95</f>
        <v>21801</v>
      </c>
      <c r="AP99" s="61"/>
      <c r="AQ99" s="297" t="s">
        <v>25</v>
      </c>
      <c r="AR99" s="298"/>
      <c r="AS99" s="298"/>
      <c r="AT99" s="123">
        <f>SUM(AT98+AT95)</f>
        <v>35341</v>
      </c>
      <c r="AU99" s="123">
        <f t="shared" ref="AU99:AX99" si="773">SUM(AU98+AU95)</f>
        <v>4008</v>
      </c>
      <c r="AV99" s="123">
        <f t="shared" si="773"/>
        <v>3182</v>
      </c>
      <c r="AW99" s="123">
        <f t="shared" si="773"/>
        <v>233</v>
      </c>
      <c r="AX99" s="123">
        <f t="shared" si="773"/>
        <v>5831</v>
      </c>
      <c r="AY99" s="143">
        <f>AY98+AY95</f>
        <v>48595</v>
      </c>
      <c r="AZ99" s="132">
        <f>SUM(AZ98+AZ95)</f>
        <v>3510</v>
      </c>
      <c r="BA99" s="124">
        <f>SUM(BA98+BA95)</f>
        <v>12846</v>
      </c>
      <c r="BB99" s="125">
        <f>SUM(BB98+BB95)</f>
        <v>1198</v>
      </c>
      <c r="BC99" s="130">
        <f>BC98+BC95</f>
        <v>17554</v>
      </c>
      <c r="BD99" s="61"/>
      <c r="BE99" s="297" t="s">
        <v>25</v>
      </c>
      <c r="BF99" s="298"/>
      <c r="BG99" s="298"/>
      <c r="BH99" s="123">
        <f>SUM(BH98+BH95)</f>
        <v>38719</v>
      </c>
      <c r="BI99" s="123">
        <f t="shared" ref="BI99:BL99" si="774">SUM(BI98+BI95)</f>
        <v>3399</v>
      </c>
      <c r="BJ99" s="123">
        <f t="shared" si="774"/>
        <v>3398</v>
      </c>
      <c r="BK99" s="123">
        <f t="shared" si="774"/>
        <v>161</v>
      </c>
      <c r="BL99" s="123">
        <f t="shared" si="774"/>
        <v>6020</v>
      </c>
      <c r="BM99" s="143">
        <f>BM98+BM95</f>
        <v>51697</v>
      </c>
      <c r="BN99" s="132">
        <f>SUM(BN98+BN95)</f>
        <v>4030</v>
      </c>
      <c r="BO99" s="124">
        <f>SUM(BO98+BO95)</f>
        <v>15688</v>
      </c>
      <c r="BP99" s="125">
        <f>SUM(BP98+BP95)</f>
        <v>62</v>
      </c>
      <c r="BQ99" s="130">
        <f>BQ98+BQ95</f>
        <v>19780</v>
      </c>
      <c r="BR99" s="61"/>
      <c r="BS99" s="297" t="s">
        <v>25</v>
      </c>
      <c r="BT99" s="298"/>
      <c r="BU99" s="298"/>
      <c r="BV99" s="123">
        <f>SUM(BV98+BV95)</f>
        <v>42912</v>
      </c>
      <c r="BW99" s="123">
        <f t="shared" ref="BW99:BZ99" si="775">SUM(BW98+BW95)</f>
        <v>3343</v>
      </c>
      <c r="BX99" s="123">
        <f t="shared" si="775"/>
        <v>1898</v>
      </c>
      <c r="BY99" s="123">
        <f t="shared" si="775"/>
        <v>142</v>
      </c>
      <c r="BZ99" s="123">
        <f t="shared" si="775"/>
        <v>5580</v>
      </c>
      <c r="CA99" s="143">
        <f>CA98+CA95</f>
        <v>53875</v>
      </c>
      <c r="CB99" s="132">
        <f>SUM(CB98+CB95)</f>
        <v>3037</v>
      </c>
      <c r="CC99" s="124">
        <f>SUM(CC98+CC95)</f>
        <v>16139</v>
      </c>
      <c r="CD99" s="125">
        <f>SUM(CD98+CD95)</f>
        <v>20</v>
      </c>
      <c r="CE99" s="130">
        <f>CE98+CE95</f>
        <v>19196</v>
      </c>
      <c r="CF99" s="61"/>
      <c r="CG99" s="297" t="s">
        <v>25</v>
      </c>
      <c r="CH99" s="298"/>
      <c r="CI99" s="298"/>
      <c r="CJ99" s="123">
        <f>SUM(CJ98+CJ95)</f>
        <v>35317</v>
      </c>
      <c r="CK99" s="123">
        <f t="shared" ref="CK99:CN99" si="776">SUM(CK98+CK95)</f>
        <v>6536</v>
      </c>
      <c r="CL99" s="123">
        <f t="shared" si="776"/>
        <v>3045</v>
      </c>
      <c r="CM99" s="123">
        <f t="shared" si="776"/>
        <v>566</v>
      </c>
      <c r="CN99" s="123">
        <f t="shared" si="776"/>
        <v>7008</v>
      </c>
      <c r="CO99" s="143">
        <f>CO98+CO95</f>
        <v>52472</v>
      </c>
      <c r="CP99" s="132">
        <f>SUM(CP98+CP95)</f>
        <v>3757</v>
      </c>
      <c r="CQ99" s="124">
        <f>SUM(CQ98+CQ95)</f>
        <v>16182</v>
      </c>
      <c r="CR99" s="125">
        <f>SUM(CR98+CR95)</f>
        <v>1072</v>
      </c>
      <c r="CS99" s="130">
        <f>CS98+CS95</f>
        <v>21011</v>
      </c>
      <c r="CT99" s="61"/>
      <c r="CU99" s="297" t="s">
        <v>25</v>
      </c>
      <c r="CV99" s="298"/>
      <c r="CW99" s="298"/>
      <c r="CX99" s="123">
        <f>SUM(CX98+CX95)</f>
        <v>44416</v>
      </c>
      <c r="CY99" s="123">
        <f t="shared" ref="CY99:DB99" si="777">SUM(CY98+CY95)</f>
        <v>3733</v>
      </c>
      <c r="CZ99" s="123">
        <f t="shared" si="777"/>
        <v>2474</v>
      </c>
      <c r="DA99" s="123">
        <f t="shared" si="777"/>
        <v>393</v>
      </c>
      <c r="DB99" s="123">
        <f t="shared" si="777"/>
        <v>5772</v>
      </c>
      <c r="DC99" s="143">
        <f>DC98+DC95</f>
        <v>56788</v>
      </c>
      <c r="DD99" s="132">
        <f>SUM(DD98+DD95)</f>
        <v>5301</v>
      </c>
      <c r="DE99" s="124">
        <f>SUM(DE98+DE95)</f>
        <v>24869</v>
      </c>
      <c r="DF99" s="125">
        <f>SUM(DF98+DF95)</f>
        <v>20</v>
      </c>
      <c r="DG99" s="130">
        <f>DG98+DG95</f>
        <v>30190</v>
      </c>
      <c r="DH99" s="61"/>
      <c r="DI99" s="297" t="s">
        <v>25</v>
      </c>
      <c r="DJ99" s="298"/>
      <c r="DK99" s="298"/>
      <c r="DL99" s="123">
        <f>SUM(DL98+DL95)</f>
        <v>36373</v>
      </c>
      <c r="DM99" s="123">
        <f t="shared" ref="DM99:DP99" si="778">SUM(DM98+DM95)</f>
        <v>2177</v>
      </c>
      <c r="DN99" s="123">
        <f t="shared" si="778"/>
        <v>2508</v>
      </c>
      <c r="DO99" s="123">
        <f t="shared" si="778"/>
        <v>323</v>
      </c>
      <c r="DP99" s="123">
        <f t="shared" si="778"/>
        <v>6207</v>
      </c>
      <c r="DQ99" s="143">
        <f>DQ98+DQ95</f>
        <v>47588</v>
      </c>
      <c r="DR99" s="132">
        <f>SUM(DR98+DR95)</f>
        <v>2708</v>
      </c>
      <c r="DS99" s="124">
        <f>SUM(DS98+DS95)</f>
        <v>11152</v>
      </c>
      <c r="DT99" s="125">
        <f>SUM(DT98+DT95)</f>
        <v>230</v>
      </c>
      <c r="DU99" s="130">
        <f>DU98+DU95</f>
        <v>14090</v>
      </c>
      <c r="DV99" s="61"/>
      <c r="DW99" s="297" t="s">
        <v>25</v>
      </c>
      <c r="DX99" s="298"/>
      <c r="DY99" s="298"/>
      <c r="DZ99" s="123">
        <f>SUM(DZ98+DZ95)</f>
        <v>34275</v>
      </c>
      <c r="EA99" s="123">
        <f t="shared" ref="EA99:ED99" si="779">SUM(EA98+EA95)</f>
        <v>1953</v>
      </c>
      <c r="EB99" s="123">
        <f t="shared" si="779"/>
        <v>2472</v>
      </c>
      <c r="EC99" s="123">
        <f t="shared" si="779"/>
        <v>82</v>
      </c>
      <c r="ED99" s="123">
        <f t="shared" si="779"/>
        <v>6025</v>
      </c>
      <c r="EE99" s="143">
        <f>EE98+EE95</f>
        <v>44807</v>
      </c>
      <c r="EF99" s="132">
        <f>SUM(EF98+EF95)</f>
        <v>3498</v>
      </c>
      <c r="EG99" s="124">
        <f>SUM(EG98+EG95)</f>
        <v>14012</v>
      </c>
      <c r="EH99" s="125">
        <f>SUM(EH98+EH95)</f>
        <v>1008</v>
      </c>
      <c r="EI99" s="130">
        <f>EI98+EI95</f>
        <v>18518</v>
      </c>
      <c r="EJ99" s="61"/>
      <c r="EK99" s="297" t="s">
        <v>25</v>
      </c>
      <c r="EL99" s="298"/>
      <c r="EM99" s="298"/>
      <c r="EN99" s="123">
        <f>SUM(EN98+EN95)</f>
        <v>0</v>
      </c>
      <c r="EO99" s="123">
        <f t="shared" ref="EO99:ER99" si="780">SUM(EO98+EO95)</f>
        <v>0</v>
      </c>
      <c r="EP99" s="123">
        <f t="shared" si="780"/>
        <v>0</v>
      </c>
      <c r="EQ99" s="123">
        <f t="shared" si="780"/>
        <v>0</v>
      </c>
      <c r="ER99" s="123">
        <f t="shared" si="780"/>
        <v>0</v>
      </c>
      <c r="ES99" s="143">
        <f>ES98+ES95</f>
        <v>0</v>
      </c>
      <c r="ET99" s="132">
        <f>SUM(ET98+ET95)</f>
        <v>0</v>
      </c>
      <c r="EU99" s="124">
        <f>SUM(EU98+EU95)</f>
        <v>0</v>
      </c>
      <c r="EV99" s="125">
        <f>SUM(EV98+EV95)</f>
        <v>0</v>
      </c>
      <c r="EW99" s="130">
        <f>EW98+EW95</f>
        <v>0</v>
      </c>
      <c r="EX99" s="61"/>
      <c r="EY99" s="297" t="s">
        <v>25</v>
      </c>
      <c r="EZ99" s="298"/>
      <c r="FA99" s="298"/>
      <c r="FB99" s="123">
        <f>SUM(FB98+FB95)</f>
        <v>0</v>
      </c>
      <c r="FC99" s="123">
        <f t="shared" ref="FC99:FF99" si="781">SUM(FC98+FC95)</f>
        <v>0</v>
      </c>
      <c r="FD99" s="123">
        <f t="shared" si="781"/>
        <v>0</v>
      </c>
      <c r="FE99" s="123">
        <f t="shared" si="781"/>
        <v>0</v>
      </c>
      <c r="FF99" s="123">
        <f t="shared" si="781"/>
        <v>0</v>
      </c>
      <c r="FG99" s="143">
        <f>FG98+FG95</f>
        <v>0</v>
      </c>
      <c r="FH99" s="132">
        <f>SUM(FH98+FH95)</f>
        <v>0</v>
      </c>
      <c r="FI99" s="124">
        <f>SUM(FI98+FI95)</f>
        <v>0</v>
      </c>
      <c r="FJ99" s="125">
        <f>SUM(FJ98+FJ95)</f>
        <v>0</v>
      </c>
      <c r="FK99" s="130">
        <f>FK98+FK95</f>
        <v>0</v>
      </c>
      <c r="FM99" s="297" t="s">
        <v>25</v>
      </c>
      <c r="FN99" s="298"/>
      <c r="FO99" s="298"/>
      <c r="FP99" s="123">
        <f>SUM(FP98+FP95)</f>
        <v>398967</v>
      </c>
      <c r="FQ99" s="123">
        <f t="shared" ref="FQ99:FT99" si="782">SUM(FQ98+FQ95)</f>
        <v>41153</v>
      </c>
      <c r="FR99" s="123">
        <f t="shared" si="782"/>
        <v>27578</v>
      </c>
      <c r="FS99" s="123">
        <f t="shared" si="782"/>
        <v>2385</v>
      </c>
      <c r="FT99" s="123">
        <f t="shared" si="782"/>
        <v>60307</v>
      </c>
      <c r="FU99" s="143">
        <f>FU98+FU95</f>
        <v>530390</v>
      </c>
      <c r="FV99" s="132">
        <f>SUM(FV98+FV95)</f>
        <v>39219</v>
      </c>
      <c r="FW99" s="124">
        <f>SUM(FW98+FW95)</f>
        <v>152777</v>
      </c>
      <c r="FX99" s="125">
        <f>SUM(FX98+FX95)</f>
        <v>5867</v>
      </c>
      <c r="FY99" s="130">
        <f>FY98+FY95</f>
        <v>197863</v>
      </c>
      <c r="GA99" s="61"/>
    </row>
    <row r="100" spans="1:183" ht="17.100000000000001" customHeight="1" x14ac:dyDescent="0.25">
      <c r="GA100" s="56"/>
    </row>
    <row r="101" spans="1:183" ht="17.100000000000001" customHeight="1" x14ac:dyDescent="0.25">
      <c r="GA101" s="56"/>
    </row>
    <row r="102" spans="1:183" ht="17.100000000000001" customHeight="1" x14ac:dyDescent="0.25">
      <c r="GA102" s="61"/>
    </row>
    <row r="103" spans="1:183" ht="17.100000000000001" customHeight="1" x14ac:dyDescent="0.25">
      <c r="GA103" s="61"/>
    </row>
    <row r="104" spans="1:183" ht="17.100000000000001" customHeight="1" x14ac:dyDescent="0.25">
      <c r="GA104" s="61"/>
    </row>
    <row r="105" spans="1:183" ht="17.100000000000001" customHeight="1" x14ac:dyDescent="0.25">
      <c r="GA105" s="61"/>
    </row>
    <row r="106" spans="1:183" ht="17.100000000000001" customHeight="1" x14ac:dyDescent="0.25">
      <c r="GA106" s="61"/>
    </row>
    <row r="107" spans="1:183" ht="17.100000000000001" customHeight="1" x14ac:dyDescent="0.25">
      <c r="A107" s="56"/>
      <c r="O107" s="56"/>
      <c r="AC107" s="56"/>
      <c r="AQ107" s="56"/>
      <c r="BE107" s="56"/>
      <c r="BS107" s="56"/>
      <c r="CG107" s="56"/>
      <c r="CU107" s="56"/>
      <c r="DI107" s="56"/>
      <c r="DW107" s="56"/>
      <c r="EK107" s="56"/>
      <c r="EY107" s="56"/>
      <c r="FL107" s="56"/>
      <c r="FM107" s="56"/>
      <c r="FZ107" s="56"/>
      <c r="GA107" s="61"/>
    </row>
    <row r="108" spans="1:183" ht="17.100000000000001" customHeight="1" x14ac:dyDescent="0.25">
      <c r="A108" s="56"/>
      <c r="O108" s="56"/>
      <c r="AC108" s="56"/>
      <c r="AQ108" s="56"/>
      <c r="BE108" s="56"/>
      <c r="BS108" s="56"/>
      <c r="CG108" s="56"/>
      <c r="CU108" s="56"/>
      <c r="DI108" s="56"/>
      <c r="DW108" s="56"/>
      <c r="EK108" s="56"/>
      <c r="EY108" s="56"/>
      <c r="FL108" s="56"/>
      <c r="FM108" s="56"/>
      <c r="FZ108" s="56"/>
      <c r="GA108" s="61"/>
    </row>
    <row r="109" spans="1:183" ht="17.100000000000001" customHeight="1" x14ac:dyDescent="0.25">
      <c r="A109" s="56"/>
      <c r="O109" s="56"/>
      <c r="AC109" s="56"/>
      <c r="AQ109" s="56"/>
      <c r="BE109" s="56"/>
      <c r="BS109" s="56"/>
      <c r="CG109" s="56"/>
      <c r="CU109" s="56"/>
      <c r="DI109" s="56"/>
      <c r="DW109" s="56"/>
      <c r="EK109" s="56"/>
      <c r="EY109" s="56"/>
      <c r="FL109" s="56"/>
      <c r="FM109" s="56"/>
      <c r="FZ109" s="56"/>
      <c r="GA109" s="61"/>
    </row>
    <row r="110" spans="1:183" ht="17.100000000000001" customHeight="1" x14ac:dyDescent="0.25">
      <c r="A110" s="56"/>
      <c r="O110" s="56"/>
      <c r="AC110" s="56"/>
      <c r="AQ110" s="56"/>
      <c r="BE110" s="56"/>
      <c r="BS110" s="56"/>
      <c r="CG110" s="56"/>
      <c r="CU110" s="56"/>
      <c r="DI110" s="56"/>
      <c r="DW110" s="56"/>
      <c r="EK110" s="56"/>
      <c r="EY110" s="56"/>
      <c r="FL110" s="56"/>
      <c r="FM110" s="56"/>
      <c r="FZ110" s="56"/>
      <c r="GA110" s="61"/>
    </row>
    <row r="111" spans="1:183" ht="17.100000000000001" customHeight="1" x14ac:dyDescent="0.25">
      <c r="A111" s="56"/>
      <c r="O111" s="56"/>
      <c r="AC111" s="56"/>
      <c r="AQ111" s="56"/>
      <c r="BE111" s="56"/>
      <c r="BS111" s="56"/>
      <c r="CG111" s="56"/>
      <c r="CU111" s="56"/>
      <c r="DI111" s="56"/>
      <c r="DW111" s="56"/>
      <c r="EK111" s="56"/>
      <c r="EY111" s="56"/>
      <c r="FL111" s="56"/>
      <c r="FM111" s="56"/>
      <c r="FZ111" s="56"/>
      <c r="GA111" s="61"/>
    </row>
    <row r="112" spans="1:183" ht="17.100000000000001" customHeight="1" x14ac:dyDescent="0.25">
      <c r="A112" s="56"/>
      <c r="O112" s="56"/>
      <c r="AC112" s="56"/>
      <c r="AQ112" s="56"/>
      <c r="BE112" s="56"/>
      <c r="BS112" s="56"/>
      <c r="CG112" s="56"/>
      <c r="CU112" s="56"/>
      <c r="DI112" s="56"/>
      <c r="DW112" s="56"/>
      <c r="EK112" s="56"/>
      <c r="EY112" s="56"/>
      <c r="FL112" s="56"/>
      <c r="FM112" s="56"/>
      <c r="FZ112" s="56"/>
      <c r="GA112" s="61"/>
    </row>
    <row r="113" spans="1:183" ht="17.100000000000001" customHeight="1" x14ac:dyDescent="0.25">
      <c r="A113" s="56"/>
      <c r="O113" s="56"/>
      <c r="AC113" s="56"/>
      <c r="AQ113" s="56"/>
      <c r="BE113" s="56"/>
      <c r="BS113" s="56"/>
      <c r="CG113" s="56"/>
      <c r="CU113" s="56"/>
      <c r="DI113" s="56"/>
      <c r="DW113" s="56"/>
      <c r="EK113" s="56"/>
      <c r="EY113" s="56"/>
      <c r="FL113" s="56"/>
      <c r="FM113" s="56"/>
      <c r="FZ113" s="56"/>
      <c r="GA113" s="61"/>
    </row>
    <row r="114" spans="1:183" ht="17.100000000000001" customHeight="1" x14ac:dyDescent="0.25">
      <c r="A114" s="56"/>
      <c r="O114" s="56"/>
      <c r="AC114" s="56"/>
      <c r="AQ114" s="56"/>
      <c r="BE114" s="56"/>
      <c r="BS114" s="56"/>
      <c r="CG114" s="56"/>
      <c r="CU114" s="56"/>
      <c r="DI114" s="56"/>
      <c r="DW114" s="56"/>
      <c r="EK114" s="56"/>
      <c r="EY114" s="56"/>
      <c r="FL114" s="56"/>
      <c r="FM114" s="56"/>
      <c r="FZ114" s="56"/>
      <c r="GA114" s="61"/>
    </row>
    <row r="115" spans="1:183" ht="17.100000000000001" customHeight="1" x14ac:dyDescent="0.25">
      <c r="A115" s="56"/>
      <c r="O115" s="56"/>
      <c r="AC115" s="56"/>
      <c r="AQ115" s="56"/>
      <c r="BE115" s="56"/>
      <c r="BS115" s="56"/>
      <c r="CG115" s="56"/>
      <c r="CU115" s="56"/>
      <c r="DI115" s="56"/>
      <c r="DW115" s="56"/>
      <c r="EK115" s="56"/>
      <c r="EY115" s="56"/>
      <c r="FL115" s="56"/>
      <c r="FM115" s="56"/>
      <c r="FZ115" s="56"/>
      <c r="GA115" s="61"/>
    </row>
    <row r="116" spans="1:183" ht="17.100000000000001" customHeight="1" x14ac:dyDescent="0.25">
      <c r="A116" s="56"/>
      <c r="O116" s="56"/>
      <c r="AC116" s="56"/>
      <c r="AQ116" s="56"/>
      <c r="BE116" s="56"/>
      <c r="BS116" s="56"/>
      <c r="CG116" s="56"/>
      <c r="CU116" s="56"/>
      <c r="DI116" s="56"/>
      <c r="DW116" s="56"/>
      <c r="EK116" s="56"/>
      <c r="EY116" s="56"/>
      <c r="FL116" s="56"/>
      <c r="FM116" s="56"/>
      <c r="FZ116" s="56"/>
      <c r="GA116" s="61"/>
    </row>
    <row r="117" spans="1:183" ht="17.100000000000001" customHeight="1" x14ac:dyDescent="0.25">
      <c r="A117" s="56"/>
      <c r="O117" s="56"/>
      <c r="AC117" s="56"/>
      <c r="AQ117" s="56"/>
      <c r="BE117" s="56"/>
      <c r="BS117" s="56"/>
      <c r="CG117" s="56"/>
      <c r="CU117" s="56"/>
      <c r="DI117" s="56"/>
      <c r="DW117" s="56"/>
      <c r="EK117" s="56"/>
      <c r="EY117" s="56"/>
      <c r="FL117" s="56"/>
      <c r="FM117" s="56"/>
      <c r="FZ117" s="56"/>
      <c r="GA117" s="61"/>
    </row>
    <row r="118" spans="1:183" ht="17.100000000000001" customHeight="1" x14ac:dyDescent="0.25">
      <c r="A118" s="56"/>
      <c r="O118" s="56"/>
      <c r="AC118" s="56"/>
      <c r="AQ118" s="56"/>
      <c r="BE118" s="56"/>
      <c r="BS118" s="56"/>
      <c r="CG118" s="56"/>
      <c r="CU118" s="56"/>
      <c r="DI118" s="56"/>
      <c r="DW118" s="56"/>
      <c r="EK118" s="56"/>
      <c r="EY118" s="56"/>
      <c r="FL118" s="56"/>
      <c r="FM118" s="56"/>
      <c r="FZ118" s="56"/>
      <c r="GA118" s="61"/>
    </row>
    <row r="119" spans="1:183" ht="17.100000000000001" customHeight="1" x14ac:dyDescent="0.25">
      <c r="A119" s="56"/>
      <c r="O119" s="56"/>
      <c r="AC119" s="56"/>
      <c r="AQ119" s="56"/>
      <c r="BE119" s="56"/>
      <c r="BS119" s="56"/>
      <c r="CG119" s="56"/>
      <c r="CU119" s="56"/>
      <c r="DI119" s="56"/>
      <c r="DW119" s="56"/>
      <c r="EK119" s="56"/>
      <c r="EY119" s="56"/>
      <c r="FL119" s="56"/>
      <c r="FM119" s="56"/>
      <c r="FZ119" s="56"/>
      <c r="GA119" s="61"/>
    </row>
    <row r="120" spans="1:183" ht="17.100000000000001" customHeight="1" x14ac:dyDescent="0.25">
      <c r="A120" s="56"/>
      <c r="O120" s="56"/>
      <c r="AC120" s="56"/>
      <c r="AQ120" s="56"/>
      <c r="BE120" s="56"/>
      <c r="BS120" s="56"/>
      <c r="CG120" s="56"/>
      <c r="CU120" s="56"/>
      <c r="DI120" s="56"/>
      <c r="DW120" s="56"/>
      <c r="EK120" s="56"/>
      <c r="EY120" s="56"/>
      <c r="FL120" s="56"/>
      <c r="FM120" s="56"/>
      <c r="FZ120" s="56"/>
      <c r="GA120" s="61"/>
    </row>
    <row r="121" spans="1:183" ht="17.100000000000001" customHeight="1" x14ac:dyDescent="0.25">
      <c r="A121" s="56"/>
      <c r="O121" s="56"/>
      <c r="AC121" s="56"/>
      <c r="AQ121" s="56"/>
      <c r="BE121" s="56"/>
      <c r="BS121" s="56"/>
      <c r="CG121" s="56"/>
      <c r="CU121" s="56"/>
      <c r="DI121" s="56"/>
      <c r="DW121" s="56"/>
      <c r="EK121" s="56"/>
      <c r="EY121" s="56"/>
      <c r="FL121" s="56"/>
      <c r="FM121" s="56"/>
      <c r="FZ121" s="56"/>
      <c r="GA121" s="61"/>
    </row>
    <row r="122" spans="1:183" ht="17.100000000000001" customHeight="1" x14ac:dyDescent="0.25">
      <c r="A122" s="56"/>
      <c r="O122" s="56"/>
      <c r="AC122" s="56"/>
      <c r="AQ122" s="56"/>
      <c r="BE122" s="56"/>
      <c r="BS122" s="56"/>
      <c r="CG122" s="56"/>
      <c r="CU122" s="56"/>
      <c r="DI122" s="56"/>
      <c r="DW122" s="56"/>
      <c r="EK122" s="56"/>
      <c r="EY122" s="56"/>
      <c r="FL122" s="56"/>
      <c r="FM122" s="56"/>
      <c r="FZ122" s="56"/>
      <c r="GA122" s="61"/>
    </row>
    <row r="123" spans="1:183" ht="17.100000000000001" customHeight="1" x14ac:dyDescent="0.25">
      <c r="A123" s="56"/>
      <c r="O123" s="56"/>
      <c r="AC123" s="56"/>
      <c r="AQ123" s="56"/>
      <c r="BE123" s="56"/>
      <c r="BS123" s="56"/>
      <c r="CG123" s="56"/>
      <c r="CU123" s="56"/>
      <c r="DI123" s="56"/>
      <c r="DW123" s="56"/>
      <c r="EK123" s="56"/>
      <c r="EY123" s="56"/>
      <c r="FL123" s="56"/>
      <c r="FM123" s="56"/>
      <c r="FZ123" s="56"/>
      <c r="GA123" s="61"/>
    </row>
    <row r="124" spans="1:183" ht="17.100000000000001" customHeight="1" x14ac:dyDescent="0.25">
      <c r="A124" s="56"/>
      <c r="O124" s="56"/>
      <c r="AC124" s="56"/>
      <c r="AQ124" s="56"/>
      <c r="BE124" s="56"/>
      <c r="BS124" s="56"/>
      <c r="CG124" s="56"/>
      <c r="CU124" s="56"/>
      <c r="DI124" s="56"/>
      <c r="DW124" s="56"/>
      <c r="EK124" s="56"/>
      <c r="EY124" s="56"/>
      <c r="FL124" s="56"/>
      <c r="FM124" s="56"/>
      <c r="FZ124" s="56"/>
      <c r="GA124" s="61"/>
    </row>
    <row r="125" spans="1:183" ht="17.100000000000001" customHeight="1" x14ac:dyDescent="0.25">
      <c r="A125" s="56"/>
      <c r="O125" s="56"/>
      <c r="AC125" s="56"/>
      <c r="AQ125" s="56"/>
      <c r="BE125" s="56"/>
      <c r="BS125" s="56"/>
      <c r="CG125" s="56"/>
      <c r="CU125" s="56"/>
      <c r="DI125" s="56"/>
      <c r="DW125" s="56"/>
      <c r="EK125" s="56"/>
      <c r="EY125" s="56"/>
      <c r="FL125" s="56"/>
      <c r="FM125" s="56"/>
      <c r="FZ125" s="56"/>
      <c r="GA125" s="61"/>
    </row>
    <row r="126" spans="1:183" ht="17.100000000000001" customHeight="1" x14ac:dyDescent="0.25">
      <c r="A126" s="56"/>
      <c r="O126" s="56"/>
      <c r="AC126" s="56"/>
      <c r="AQ126" s="56"/>
      <c r="BE126" s="56"/>
      <c r="BS126" s="56"/>
      <c r="CG126" s="56"/>
      <c r="CU126" s="56"/>
      <c r="DI126" s="56"/>
      <c r="DW126" s="56"/>
      <c r="EK126" s="56"/>
      <c r="EY126" s="56"/>
      <c r="FL126" s="56"/>
      <c r="FM126" s="56"/>
      <c r="FZ126" s="56"/>
      <c r="GA126" s="61"/>
    </row>
    <row r="127" spans="1:183" ht="17.100000000000001" customHeight="1" x14ac:dyDescent="0.25">
      <c r="A127" s="56"/>
      <c r="O127" s="56"/>
      <c r="AC127" s="56"/>
      <c r="AQ127" s="56"/>
      <c r="BE127" s="56"/>
      <c r="BS127" s="56"/>
      <c r="CG127" s="56"/>
      <c r="CU127" s="56"/>
      <c r="DI127" s="56"/>
      <c r="DW127" s="56"/>
      <c r="EK127" s="56"/>
      <c r="EY127" s="56"/>
      <c r="FL127" s="56"/>
      <c r="FM127" s="56"/>
      <c r="FZ127" s="56"/>
      <c r="GA127" s="61"/>
    </row>
    <row r="128" spans="1:183" ht="17.100000000000001" customHeight="1" x14ac:dyDescent="0.25">
      <c r="A128" s="56"/>
      <c r="O128" s="56"/>
      <c r="AC128" s="56"/>
      <c r="AQ128" s="56"/>
      <c r="BE128" s="56"/>
      <c r="BS128" s="56"/>
      <c r="CG128" s="56"/>
      <c r="CU128" s="56"/>
      <c r="DI128" s="56"/>
      <c r="DW128" s="56"/>
      <c r="EK128" s="56"/>
      <c r="EY128" s="56"/>
      <c r="FL128" s="56"/>
      <c r="FM128" s="56"/>
      <c r="FZ128" s="56"/>
      <c r="GA128" s="61"/>
    </row>
    <row r="129" spans="1:183" ht="17.100000000000001" customHeight="1" x14ac:dyDescent="0.25">
      <c r="A129" s="56"/>
      <c r="O129" s="56"/>
      <c r="AC129" s="56"/>
      <c r="AQ129" s="56"/>
      <c r="BE129" s="56"/>
      <c r="BS129" s="56"/>
      <c r="CG129" s="56"/>
      <c r="CU129" s="56"/>
      <c r="DI129" s="56"/>
      <c r="DW129" s="56"/>
      <c r="EK129" s="56"/>
      <c r="EY129" s="56"/>
      <c r="FL129" s="56"/>
      <c r="FM129" s="56"/>
      <c r="FZ129" s="56"/>
      <c r="GA129" s="61"/>
    </row>
    <row r="130" spans="1:183" ht="17.100000000000001" customHeight="1" x14ac:dyDescent="0.25">
      <c r="A130" s="56"/>
      <c r="O130" s="56"/>
      <c r="AC130" s="56"/>
      <c r="AQ130" s="56"/>
      <c r="BE130" s="56"/>
      <c r="BS130" s="56"/>
      <c r="CG130" s="56"/>
      <c r="CU130" s="56"/>
      <c r="DI130" s="56"/>
      <c r="DW130" s="56"/>
      <c r="EK130" s="56"/>
      <c r="EY130" s="56"/>
      <c r="FL130" s="56"/>
      <c r="FM130" s="56"/>
      <c r="FZ130" s="56"/>
      <c r="GA130" s="61"/>
    </row>
    <row r="131" spans="1:183" ht="17.100000000000001" customHeight="1" x14ac:dyDescent="0.25">
      <c r="A131" s="56"/>
      <c r="O131" s="56"/>
      <c r="AC131" s="56"/>
      <c r="AQ131" s="56"/>
      <c r="BE131" s="56"/>
      <c r="BS131" s="56"/>
      <c r="CG131" s="56"/>
      <c r="CU131" s="56"/>
      <c r="DI131" s="56"/>
      <c r="DW131" s="56"/>
      <c r="EK131" s="56"/>
      <c r="EY131" s="56"/>
      <c r="FL131" s="56"/>
      <c r="FM131" s="56"/>
      <c r="FZ131" s="56"/>
      <c r="GA131" s="61"/>
    </row>
    <row r="132" spans="1:183" ht="17.100000000000001" customHeight="1" x14ac:dyDescent="0.25">
      <c r="A132" s="56"/>
      <c r="O132" s="56"/>
      <c r="AC132" s="56"/>
      <c r="AQ132" s="56"/>
      <c r="BE132" s="56"/>
      <c r="BS132" s="56"/>
      <c r="CG132" s="56"/>
      <c r="CU132" s="56"/>
      <c r="DI132" s="56"/>
      <c r="DW132" s="56"/>
      <c r="EK132" s="56"/>
      <c r="EY132" s="56"/>
      <c r="FL132" s="56"/>
      <c r="FM132" s="56"/>
      <c r="FZ132" s="56"/>
      <c r="GA132" s="61"/>
    </row>
    <row r="133" spans="1:183" ht="17.100000000000001" customHeight="1" x14ac:dyDescent="0.25">
      <c r="A133" s="56"/>
      <c r="O133" s="56"/>
      <c r="AC133" s="56"/>
      <c r="AQ133" s="56"/>
      <c r="BE133" s="56"/>
      <c r="BS133" s="56"/>
      <c r="CG133" s="56"/>
      <c r="CU133" s="56"/>
      <c r="DI133" s="56"/>
      <c r="DW133" s="56"/>
      <c r="EK133" s="56"/>
      <c r="EY133" s="56"/>
      <c r="FL133" s="56"/>
      <c r="FM133" s="56"/>
      <c r="FZ133" s="56"/>
      <c r="GA133" s="61"/>
    </row>
    <row r="134" spans="1:183" ht="17.100000000000001" customHeight="1" x14ac:dyDescent="0.25">
      <c r="A134" s="56"/>
      <c r="O134" s="56"/>
      <c r="AC134" s="56"/>
      <c r="AQ134" s="56"/>
      <c r="BE134" s="56"/>
      <c r="BS134" s="56"/>
      <c r="CG134" s="56"/>
      <c r="CU134" s="56"/>
      <c r="DI134" s="56"/>
      <c r="DW134" s="56"/>
      <c r="EK134" s="56"/>
      <c r="EY134" s="56"/>
      <c r="FL134" s="56"/>
      <c r="FM134" s="56"/>
      <c r="FZ134" s="56"/>
      <c r="GA134" s="61"/>
    </row>
    <row r="135" spans="1:183" ht="17.100000000000001" customHeight="1" x14ac:dyDescent="0.25">
      <c r="A135" s="56"/>
      <c r="O135" s="56"/>
      <c r="AC135" s="56"/>
      <c r="AQ135" s="56"/>
      <c r="BE135" s="56"/>
      <c r="BS135" s="56"/>
      <c r="CG135" s="56"/>
      <c r="CU135" s="56"/>
      <c r="DI135" s="56"/>
      <c r="DW135" s="56"/>
      <c r="EK135" s="56"/>
      <c r="EY135" s="56"/>
      <c r="FL135" s="56"/>
      <c r="FM135" s="56"/>
      <c r="FZ135" s="56"/>
      <c r="GA135" s="61"/>
    </row>
    <row r="136" spans="1:183" ht="17.100000000000001" customHeight="1" x14ac:dyDescent="0.25">
      <c r="A136" s="56"/>
      <c r="O136" s="56"/>
      <c r="AC136" s="56"/>
      <c r="AQ136" s="56"/>
      <c r="BE136" s="56"/>
      <c r="BS136" s="56"/>
      <c r="CG136" s="56"/>
      <c r="CU136" s="56"/>
      <c r="DI136" s="56"/>
      <c r="DW136" s="56"/>
      <c r="EK136" s="56"/>
      <c r="EY136" s="56"/>
      <c r="FL136" s="56"/>
      <c r="FM136" s="56"/>
      <c r="FZ136" s="56"/>
      <c r="GA136" s="61"/>
    </row>
    <row r="137" spans="1:183" ht="17.100000000000001" customHeight="1" x14ac:dyDescent="0.25">
      <c r="A137" s="56"/>
      <c r="O137" s="56"/>
      <c r="AC137" s="56"/>
      <c r="AQ137" s="56"/>
      <c r="BE137" s="56"/>
      <c r="BS137" s="56"/>
      <c r="CG137" s="56"/>
      <c r="CU137" s="56"/>
      <c r="DI137" s="56"/>
      <c r="DW137" s="56"/>
      <c r="EK137" s="56"/>
      <c r="EY137" s="56"/>
      <c r="FL137" s="56"/>
      <c r="FM137" s="56"/>
      <c r="FZ137" s="56"/>
      <c r="GA137" s="61"/>
    </row>
    <row r="138" spans="1:183" ht="17.100000000000001" customHeight="1" x14ac:dyDescent="0.25">
      <c r="A138" s="56"/>
      <c r="O138" s="56"/>
      <c r="AC138" s="56"/>
      <c r="AQ138" s="56"/>
      <c r="BE138" s="56"/>
      <c r="BS138" s="56"/>
      <c r="CG138" s="56"/>
      <c r="CU138" s="56"/>
      <c r="DI138" s="56"/>
      <c r="DW138" s="56"/>
      <c r="EK138" s="56"/>
      <c r="EY138" s="56"/>
      <c r="FL138" s="56"/>
      <c r="FM138" s="56"/>
      <c r="FZ138" s="56"/>
      <c r="GA138" s="61"/>
    </row>
    <row r="139" spans="1:183" ht="17.100000000000001" customHeight="1" x14ac:dyDescent="0.25">
      <c r="A139" s="56"/>
      <c r="O139" s="56"/>
      <c r="AC139" s="56"/>
      <c r="AQ139" s="56"/>
      <c r="BE139" s="56"/>
      <c r="BS139" s="56"/>
      <c r="CG139" s="56"/>
      <c r="CU139" s="56"/>
      <c r="DI139" s="56"/>
      <c r="DW139" s="56"/>
      <c r="EK139" s="56"/>
      <c r="EY139" s="56"/>
      <c r="FL139" s="56"/>
      <c r="FM139" s="56"/>
      <c r="FZ139" s="56"/>
      <c r="GA139" s="61"/>
    </row>
    <row r="140" spans="1:183" ht="17.100000000000001" customHeight="1" x14ac:dyDescent="0.25">
      <c r="A140" s="56"/>
      <c r="O140" s="56"/>
      <c r="AC140" s="56"/>
      <c r="AQ140" s="56"/>
      <c r="BE140" s="56"/>
      <c r="BS140" s="56"/>
      <c r="CG140" s="56"/>
      <c r="CU140" s="56"/>
      <c r="DI140" s="56"/>
      <c r="DW140" s="56"/>
      <c r="EK140" s="56"/>
      <c r="EY140" s="56"/>
      <c r="FL140" s="56"/>
      <c r="FM140" s="56"/>
      <c r="FZ140" s="56"/>
      <c r="GA140" s="61"/>
    </row>
    <row r="141" spans="1:183" ht="17.100000000000001" customHeight="1" x14ac:dyDescent="0.25">
      <c r="A141" s="56"/>
      <c r="O141" s="56"/>
      <c r="AC141" s="56"/>
      <c r="AQ141" s="56"/>
      <c r="BE141" s="56"/>
      <c r="BS141" s="56"/>
      <c r="CG141" s="56"/>
      <c r="CU141" s="56"/>
      <c r="DI141" s="56"/>
      <c r="DW141" s="56"/>
      <c r="EK141" s="56"/>
      <c r="EY141" s="56"/>
      <c r="FL141" s="56"/>
      <c r="FM141" s="56"/>
      <c r="FZ141" s="56"/>
      <c r="GA141" s="61"/>
    </row>
    <row r="142" spans="1:183" ht="17.100000000000001" customHeight="1" x14ac:dyDescent="0.25">
      <c r="A142" s="56"/>
      <c r="O142" s="56"/>
      <c r="AC142" s="56"/>
      <c r="AQ142" s="56"/>
      <c r="BE142" s="56"/>
      <c r="BS142" s="56"/>
      <c r="CG142" s="56"/>
      <c r="CU142" s="56"/>
      <c r="DI142" s="56"/>
      <c r="DW142" s="56"/>
      <c r="EK142" s="56"/>
      <c r="EY142" s="56"/>
      <c r="FL142" s="56"/>
      <c r="FM142" s="56"/>
      <c r="FZ142" s="56"/>
      <c r="GA142" s="61"/>
    </row>
    <row r="143" spans="1:183" ht="17.100000000000001" customHeight="1" x14ac:dyDescent="0.25">
      <c r="A143" s="56"/>
      <c r="O143" s="56"/>
      <c r="AC143" s="56"/>
      <c r="AQ143" s="56"/>
      <c r="BE143" s="56"/>
      <c r="BS143" s="56"/>
      <c r="CG143" s="56"/>
      <c r="CU143" s="56"/>
      <c r="DI143" s="56"/>
      <c r="DW143" s="56"/>
      <c r="EK143" s="56"/>
      <c r="EY143" s="56"/>
      <c r="FL143" s="56"/>
      <c r="FM143" s="56"/>
      <c r="FZ143" s="56"/>
      <c r="GA143" s="61"/>
    </row>
    <row r="144" spans="1:183" ht="17.100000000000001" customHeight="1" x14ac:dyDescent="0.25">
      <c r="A144" s="56"/>
      <c r="O144" s="56"/>
      <c r="AC144" s="56"/>
      <c r="AQ144" s="56"/>
      <c r="BE144" s="56"/>
      <c r="BS144" s="56"/>
      <c r="CG144" s="56"/>
      <c r="CU144" s="56"/>
      <c r="DI144" s="56"/>
      <c r="DW144" s="56"/>
      <c r="EK144" s="56"/>
      <c r="EY144" s="56"/>
      <c r="FL144" s="56"/>
      <c r="FM144" s="56"/>
      <c r="FZ144" s="56"/>
      <c r="GA144" s="61"/>
    </row>
    <row r="145" spans="1:183" ht="17.100000000000001" customHeight="1" x14ac:dyDescent="0.25">
      <c r="A145" s="56"/>
      <c r="O145" s="56"/>
      <c r="AC145" s="56"/>
      <c r="AQ145" s="56"/>
      <c r="BE145" s="56"/>
      <c r="BS145" s="56"/>
      <c r="CG145" s="56"/>
      <c r="CU145" s="56"/>
      <c r="DI145" s="56"/>
      <c r="DW145" s="56"/>
      <c r="EK145" s="56"/>
      <c r="EY145" s="56"/>
      <c r="FL145" s="56"/>
      <c r="FM145" s="56"/>
      <c r="FZ145" s="56"/>
      <c r="GA145" s="61"/>
    </row>
    <row r="146" spans="1:183" ht="17.100000000000001" customHeight="1" x14ac:dyDescent="0.25">
      <c r="A146" s="56"/>
      <c r="O146" s="56"/>
      <c r="AC146" s="56"/>
      <c r="AQ146" s="56"/>
      <c r="BE146" s="56"/>
      <c r="BS146" s="56"/>
      <c r="CG146" s="56"/>
      <c r="CU146" s="56"/>
      <c r="DI146" s="56"/>
      <c r="DW146" s="56"/>
      <c r="EK146" s="56"/>
      <c r="EY146" s="56"/>
      <c r="FL146" s="56"/>
      <c r="FM146" s="56"/>
      <c r="FZ146" s="56"/>
      <c r="GA146" s="61"/>
    </row>
    <row r="147" spans="1:183" ht="17.100000000000001" customHeight="1" x14ac:dyDescent="0.25">
      <c r="A147" s="56"/>
      <c r="O147" s="56"/>
      <c r="AC147" s="56"/>
      <c r="AQ147" s="56"/>
      <c r="BE147" s="56"/>
      <c r="BS147" s="56"/>
      <c r="CG147" s="56"/>
      <c r="CU147" s="56"/>
      <c r="DI147" s="56"/>
      <c r="DW147" s="56"/>
      <c r="EK147" s="56"/>
      <c r="EY147" s="56"/>
      <c r="FL147" s="56"/>
      <c r="FM147" s="56"/>
      <c r="FZ147" s="56"/>
      <c r="GA147" s="61"/>
    </row>
    <row r="148" spans="1:183" ht="17.100000000000001" customHeight="1" x14ac:dyDescent="0.25">
      <c r="A148" s="56"/>
      <c r="O148" s="56"/>
      <c r="AC148" s="56"/>
      <c r="AQ148" s="56"/>
      <c r="BE148" s="56"/>
      <c r="BS148" s="56"/>
      <c r="CG148" s="56"/>
      <c r="CU148" s="56"/>
      <c r="DI148" s="56"/>
      <c r="DW148" s="56"/>
      <c r="EK148" s="56"/>
      <c r="EY148" s="56"/>
      <c r="FL148" s="56"/>
      <c r="FM148" s="56"/>
      <c r="FZ148" s="56"/>
      <c r="GA148" s="61"/>
    </row>
    <row r="149" spans="1:183" ht="17.100000000000001" customHeight="1" x14ac:dyDescent="0.25">
      <c r="A149" s="56"/>
      <c r="O149" s="56"/>
      <c r="AC149" s="56"/>
      <c r="AQ149" s="56"/>
      <c r="BE149" s="56"/>
      <c r="BS149" s="56"/>
      <c r="CG149" s="56"/>
      <c r="CU149" s="56"/>
      <c r="DI149" s="56"/>
      <c r="DW149" s="56"/>
      <c r="EK149" s="56"/>
      <c r="EY149" s="56"/>
      <c r="FL149" s="56"/>
      <c r="FM149" s="56"/>
      <c r="FZ149" s="56"/>
      <c r="GA149" s="61"/>
    </row>
    <row r="150" spans="1:183" ht="17.100000000000001" customHeight="1" x14ac:dyDescent="0.25">
      <c r="A150" s="56"/>
      <c r="O150" s="56"/>
      <c r="AC150" s="56"/>
      <c r="AQ150" s="56"/>
      <c r="BE150" s="56"/>
      <c r="BS150" s="56"/>
      <c r="CG150" s="56"/>
      <c r="CU150" s="56"/>
      <c r="DI150" s="56"/>
      <c r="DW150" s="56"/>
      <c r="EK150" s="56"/>
      <c r="EY150" s="56"/>
      <c r="FL150" s="56"/>
      <c r="FM150" s="56"/>
      <c r="FZ150" s="56"/>
      <c r="GA150" s="61"/>
    </row>
    <row r="151" spans="1:183" ht="17.100000000000001" customHeight="1" x14ac:dyDescent="0.25">
      <c r="A151" s="56"/>
      <c r="O151" s="56"/>
      <c r="AC151" s="56"/>
      <c r="AQ151" s="56"/>
      <c r="BE151" s="56"/>
      <c r="BS151" s="56"/>
      <c r="CG151" s="56"/>
      <c r="CU151" s="56"/>
      <c r="DI151" s="56"/>
      <c r="DW151" s="56"/>
      <c r="EK151" s="56"/>
      <c r="EY151" s="56"/>
      <c r="FL151" s="56"/>
      <c r="FM151" s="56"/>
      <c r="FZ151" s="56"/>
      <c r="GA151" s="61"/>
    </row>
    <row r="152" spans="1:183" ht="17.100000000000001" customHeight="1" x14ac:dyDescent="0.25">
      <c r="A152" s="56"/>
      <c r="O152" s="56"/>
      <c r="AC152" s="56"/>
      <c r="AQ152" s="56"/>
      <c r="BE152" s="56"/>
      <c r="BS152" s="56"/>
      <c r="CG152" s="56"/>
      <c r="CU152" s="56"/>
      <c r="DI152" s="56"/>
      <c r="DW152" s="56"/>
      <c r="EK152" s="56"/>
      <c r="EY152" s="56"/>
      <c r="FL152" s="56"/>
      <c r="FM152" s="56"/>
      <c r="FZ152" s="56"/>
      <c r="GA152" s="61"/>
    </row>
    <row r="153" spans="1:183" ht="17.100000000000001" customHeight="1" x14ac:dyDescent="0.25">
      <c r="A153" s="56"/>
      <c r="O153" s="56"/>
      <c r="AC153" s="56"/>
      <c r="AQ153" s="56"/>
      <c r="BE153" s="56"/>
      <c r="BS153" s="56"/>
      <c r="CG153" s="56"/>
      <c r="CU153" s="56"/>
      <c r="DI153" s="56"/>
      <c r="DW153" s="56"/>
      <c r="EK153" s="56"/>
      <c r="EY153" s="56"/>
      <c r="FL153" s="56"/>
      <c r="FM153" s="56"/>
      <c r="FZ153" s="56"/>
      <c r="GA153" s="61"/>
    </row>
    <row r="154" spans="1:183" ht="17.100000000000001" customHeight="1" x14ac:dyDescent="0.25">
      <c r="A154" s="56"/>
      <c r="O154" s="56"/>
      <c r="AC154" s="56"/>
      <c r="AQ154" s="56"/>
      <c r="BE154" s="56"/>
      <c r="BS154" s="56"/>
      <c r="CG154" s="56"/>
      <c r="CU154" s="56"/>
      <c r="DI154" s="56"/>
      <c r="DW154" s="56"/>
      <c r="EK154" s="56"/>
      <c r="EY154" s="56"/>
      <c r="FL154" s="56"/>
      <c r="FM154" s="56"/>
      <c r="FZ154" s="56"/>
      <c r="GA154" s="61"/>
    </row>
    <row r="155" spans="1:183" ht="17.100000000000001" customHeight="1" x14ac:dyDescent="0.25">
      <c r="A155" s="56"/>
      <c r="O155" s="56"/>
      <c r="AC155" s="56"/>
      <c r="AQ155" s="56"/>
      <c r="BE155" s="56"/>
      <c r="BS155" s="56"/>
      <c r="CG155" s="56"/>
      <c r="CU155" s="56"/>
      <c r="DI155" s="56"/>
      <c r="DW155" s="56"/>
      <c r="EK155" s="56"/>
      <c r="EY155" s="56"/>
      <c r="FL155" s="56"/>
      <c r="FM155" s="56"/>
      <c r="FZ155" s="56"/>
      <c r="GA155" s="61"/>
    </row>
    <row r="156" spans="1:183" ht="17.100000000000001" customHeight="1" x14ac:dyDescent="0.25">
      <c r="A156" s="56"/>
      <c r="O156" s="56"/>
      <c r="AC156" s="56"/>
      <c r="AQ156" s="56"/>
      <c r="BE156" s="56"/>
      <c r="BS156" s="56"/>
      <c r="CG156" s="56"/>
      <c r="CU156" s="56"/>
      <c r="DI156" s="56"/>
      <c r="DW156" s="56"/>
      <c r="EK156" s="56"/>
      <c r="EY156" s="56"/>
      <c r="FL156" s="56"/>
      <c r="FM156" s="56"/>
      <c r="FZ156" s="56"/>
      <c r="GA156" s="61"/>
    </row>
    <row r="157" spans="1:183" ht="17.100000000000001" customHeight="1" x14ac:dyDescent="0.25">
      <c r="A157" s="56"/>
      <c r="O157" s="56"/>
      <c r="AC157" s="56"/>
      <c r="AQ157" s="56"/>
      <c r="BE157" s="56"/>
      <c r="BS157" s="56"/>
      <c r="CG157" s="56"/>
      <c r="CU157" s="56"/>
      <c r="DI157" s="56"/>
      <c r="DW157" s="56"/>
      <c r="EK157" s="56"/>
      <c r="EY157" s="56"/>
      <c r="FL157" s="56"/>
      <c r="FM157" s="56"/>
      <c r="FZ157" s="56"/>
      <c r="GA157" s="61"/>
    </row>
    <row r="158" spans="1:183" ht="17.100000000000001" customHeight="1" x14ac:dyDescent="0.25">
      <c r="A158" s="56"/>
      <c r="O158" s="56"/>
      <c r="AC158" s="56"/>
      <c r="AQ158" s="56"/>
      <c r="BE158" s="56"/>
      <c r="BS158" s="56"/>
      <c r="CG158" s="56"/>
      <c r="CU158" s="56"/>
      <c r="DI158" s="56"/>
      <c r="DW158" s="56"/>
      <c r="EK158" s="56"/>
      <c r="EY158" s="56"/>
      <c r="FL158" s="56"/>
      <c r="FM158" s="56"/>
      <c r="FZ158" s="56"/>
      <c r="GA158" s="61"/>
    </row>
    <row r="159" spans="1:183" ht="17.100000000000001" customHeight="1" x14ac:dyDescent="0.25">
      <c r="A159" s="56"/>
      <c r="O159" s="56"/>
      <c r="AC159" s="56"/>
      <c r="AQ159" s="56"/>
      <c r="BE159" s="56"/>
      <c r="BS159" s="56"/>
      <c r="CG159" s="56"/>
      <c r="CU159" s="56"/>
      <c r="DI159" s="56"/>
      <c r="DW159" s="56"/>
      <c r="EK159" s="56"/>
      <c r="EY159" s="56"/>
      <c r="FL159" s="56"/>
      <c r="FM159" s="56"/>
      <c r="FZ159" s="56"/>
      <c r="GA159" s="61"/>
    </row>
    <row r="160" spans="1:183" ht="17.100000000000001" customHeight="1" x14ac:dyDescent="0.25">
      <c r="A160" s="56"/>
      <c r="O160" s="56"/>
      <c r="AC160" s="56"/>
      <c r="AQ160" s="56"/>
      <c r="BE160" s="56"/>
      <c r="BS160" s="56"/>
      <c r="CG160" s="56"/>
      <c r="CU160" s="56"/>
      <c r="DI160" s="56"/>
      <c r="DW160" s="56"/>
      <c r="EK160" s="56"/>
      <c r="EY160" s="56"/>
      <c r="FL160" s="56"/>
      <c r="FM160" s="56"/>
      <c r="FZ160" s="56"/>
      <c r="GA160" s="61"/>
    </row>
  </sheetData>
  <mergeCells count="1092">
    <mergeCell ref="FA91:FA92"/>
    <mergeCell ref="CH96:CH97"/>
    <mergeCell ref="CU99:CW99"/>
    <mergeCell ref="CU93:CU98"/>
    <mergeCell ref="CV93:CV94"/>
    <mergeCell ref="EK99:EM99"/>
    <mergeCell ref="DI99:DK99"/>
    <mergeCell ref="DW99:DY99"/>
    <mergeCell ref="DI93:DI98"/>
    <mergeCell ref="DI91:DI92"/>
    <mergeCell ref="BG91:BG92"/>
    <mergeCell ref="AR95:AS95"/>
    <mergeCell ref="BS99:BU99"/>
    <mergeCell ref="BT98:BU98"/>
    <mergeCell ref="AD96:AD97"/>
    <mergeCell ref="BE91:BE92"/>
    <mergeCell ref="AD95:AE95"/>
    <mergeCell ref="AS91:AS92"/>
    <mergeCell ref="CV91:CV92"/>
    <mergeCell ref="DJ91:DJ92"/>
    <mergeCell ref="DK91:DK92"/>
    <mergeCell ref="DX91:DX92"/>
    <mergeCell ref="EM91:EM92"/>
    <mergeCell ref="EL91:EL92"/>
    <mergeCell ref="CU91:CU92"/>
    <mergeCell ref="BS91:BS92"/>
    <mergeCell ref="CI91:CI92"/>
    <mergeCell ref="CV96:CV97"/>
    <mergeCell ref="CG99:CI99"/>
    <mergeCell ref="CH91:CH92"/>
    <mergeCell ref="CH98:CI98"/>
    <mergeCell ref="CV98:CW98"/>
    <mergeCell ref="DJ93:DJ94"/>
    <mergeCell ref="DJ98:DK98"/>
    <mergeCell ref="EL96:EL97"/>
    <mergeCell ref="EZ98:FA98"/>
    <mergeCell ref="DX98:DY98"/>
    <mergeCell ref="EL95:EM95"/>
    <mergeCell ref="EZ95:FA95"/>
    <mergeCell ref="EZ96:EZ97"/>
    <mergeCell ref="EL98:EM98"/>
    <mergeCell ref="O99:Q99"/>
    <mergeCell ref="B96:B97"/>
    <mergeCell ref="P96:P97"/>
    <mergeCell ref="B98:C98"/>
    <mergeCell ref="BE93:BE98"/>
    <mergeCell ref="A99:C99"/>
    <mergeCell ref="BE99:BG99"/>
    <mergeCell ref="B95:C95"/>
    <mergeCell ref="AD98:AE98"/>
    <mergeCell ref="AC99:AE99"/>
    <mergeCell ref="A93:A98"/>
    <mergeCell ref="B93:B94"/>
    <mergeCell ref="O93:O98"/>
    <mergeCell ref="AQ99:AS99"/>
    <mergeCell ref="AR96:AR97"/>
    <mergeCell ref="BS93:BS98"/>
    <mergeCell ref="BT93:BT94"/>
    <mergeCell ref="DX60:DY60"/>
    <mergeCell ref="EL62:EL63"/>
    <mergeCell ref="EY62:EY67"/>
    <mergeCell ref="EZ62:EZ63"/>
    <mergeCell ref="CH58:CH59"/>
    <mergeCell ref="CG48:CG53"/>
    <mergeCell ref="CH48:CH49"/>
    <mergeCell ref="CU48:CU53"/>
    <mergeCell ref="CV48:CV49"/>
    <mergeCell ref="CH51:CH52"/>
    <mergeCell ref="CV51:CV52"/>
    <mergeCell ref="EL44:EL45"/>
    <mergeCell ref="EZ44:EZ45"/>
    <mergeCell ref="CG54:CI54"/>
    <mergeCell ref="FM99:FO99"/>
    <mergeCell ref="DX93:DX94"/>
    <mergeCell ref="FN95:FO95"/>
    <mergeCell ref="FM93:FM98"/>
    <mergeCell ref="EY91:EY92"/>
    <mergeCell ref="EZ91:EZ92"/>
    <mergeCell ref="FO91:FO92"/>
    <mergeCell ref="FN93:FN94"/>
    <mergeCell ref="EY99:FA99"/>
    <mergeCell ref="EL93:EL94"/>
    <mergeCell ref="EY93:EY98"/>
    <mergeCell ref="FN91:FN92"/>
    <mergeCell ref="DJ95:DK95"/>
    <mergeCell ref="DW91:DW92"/>
    <mergeCell ref="EK93:EK98"/>
    <mergeCell ref="DX96:DX97"/>
    <mergeCell ref="DY91:DY92"/>
    <mergeCell ref="DJ96:DJ97"/>
    <mergeCell ref="EZ85:FA85"/>
    <mergeCell ref="EY82:FA82"/>
    <mergeCell ref="DW6:DW11"/>
    <mergeCell ref="DX6:DX7"/>
    <mergeCell ref="DJ8:DK8"/>
    <mergeCell ref="DJ9:DJ10"/>
    <mergeCell ref="DJ11:DK11"/>
    <mergeCell ref="EY47:FA47"/>
    <mergeCell ref="DX65:DX66"/>
    <mergeCell ref="DX67:DY67"/>
    <mergeCell ref="DJ65:DJ66"/>
    <mergeCell ref="DJ67:DK67"/>
    <mergeCell ref="CG62:CG67"/>
    <mergeCell ref="CH62:CH63"/>
    <mergeCell ref="CU62:CU67"/>
    <mergeCell ref="BT64:BU64"/>
    <mergeCell ref="EL51:EL52"/>
    <mergeCell ref="EZ51:EZ52"/>
    <mergeCell ref="CG41:CG46"/>
    <mergeCell ref="CH41:CH42"/>
    <mergeCell ref="CU41:CU46"/>
    <mergeCell ref="CV41:CV42"/>
    <mergeCell ref="CH53:CI53"/>
    <mergeCell ref="CV53:CW53"/>
    <mergeCell ref="CU54:CW54"/>
    <mergeCell ref="CG76:CG81"/>
    <mergeCell ref="CH76:CH77"/>
    <mergeCell ref="EL76:EL77"/>
    <mergeCell ref="EY76:EY81"/>
    <mergeCell ref="CV44:CV45"/>
    <mergeCell ref="CH46:CI46"/>
    <mergeCell ref="CV46:CW46"/>
    <mergeCell ref="DX43:DY43"/>
    <mergeCell ref="DX44:DX45"/>
    <mergeCell ref="DX46:DY46"/>
    <mergeCell ref="DJ44:DJ45"/>
    <mergeCell ref="DJ46:DK46"/>
    <mergeCell ref="DJ81:DK81"/>
    <mergeCell ref="EY68:FA68"/>
    <mergeCell ref="DX81:DY81"/>
    <mergeCell ref="EL81:EM81"/>
    <mergeCell ref="EL79:EL80"/>
    <mergeCell ref="EK76:EK81"/>
    <mergeCell ref="EZ81:FA81"/>
    <mergeCell ref="DI76:DI81"/>
    <mergeCell ref="DJ76:DJ77"/>
    <mergeCell ref="DW76:DW81"/>
    <mergeCell ref="DX76:DX77"/>
    <mergeCell ref="EL6:EL7"/>
    <mergeCell ref="EY6:EY11"/>
    <mergeCell ref="EY12:FA12"/>
    <mergeCell ref="DW40:DY40"/>
    <mergeCell ref="EZ79:EZ80"/>
    <mergeCell ref="EZ76:EZ77"/>
    <mergeCell ref="EL20:EL21"/>
    <mergeCell ref="EY20:EY25"/>
    <mergeCell ref="EZ20:EZ21"/>
    <mergeCell ref="EL22:EM22"/>
    <mergeCell ref="EL60:EM60"/>
    <mergeCell ref="EY55:EY60"/>
    <mergeCell ref="EZ6:EZ7"/>
    <mergeCell ref="DJ57:DK57"/>
    <mergeCell ref="EL53:EM53"/>
    <mergeCell ref="EZ53:FA53"/>
    <mergeCell ref="FM82:FO82"/>
    <mergeCell ref="DI75:DK75"/>
    <mergeCell ref="DW75:DY75"/>
    <mergeCell ref="FN64:FO64"/>
    <mergeCell ref="FN65:FN66"/>
    <mergeCell ref="FN67:FO67"/>
    <mergeCell ref="EK62:EK67"/>
    <mergeCell ref="FN79:FN80"/>
    <mergeCell ref="FM75:FO75"/>
    <mergeCell ref="DX78:DY78"/>
    <mergeCell ref="EL78:EM78"/>
    <mergeCell ref="EZ78:FA78"/>
    <mergeCell ref="FN78:FO78"/>
    <mergeCell ref="DX79:DX80"/>
    <mergeCell ref="EK55:EK60"/>
    <mergeCell ref="FM48:FM53"/>
    <mergeCell ref="FN48:FN49"/>
    <mergeCell ref="FN50:FO50"/>
    <mergeCell ref="FN51:FN52"/>
    <mergeCell ref="FN53:FO53"/>
    <mergeCell ref="FM54:FO54"/>
    <mergeCell ref="FN81:FO81"/>
    <mergeCell ref="FM76:FM81"/>
    <mergeCell ref="EK82:EM82"/>
    <mergeCell ref="EZ69:EZ70"/>
    <mergeCell ref="EK75:EM75"/>
    <mergeCell ref="EY75:FA75"/>
    <mergeCell ref="FN57:FO57"/>
    <mergeCell ref="FN58:FN59"/>
    <mergeCell ref="FN60:FO60"/>
    <mergeCell ref="DW55:DW60"/>
    <mergeCell ref="DX55:DX56"/>
    <mergeCell ref="FM6:FM11"/>
    <mergeCell ref="EL8:EM8"/>
    <mergeCell ref="EZ8:FA8"/>
    <mergeCell ref="CV65:CV66"/>
    <mergeCell ref="CH67:CI67"/>
    <mergeCell ref="CV67:CW67"/>
    <mergeCell ref="FM55:FM60"/>
    <mergeCell ref="FN55:FN56"/>
    <mergeCell ref="FM41:FM46"/>
    <mergeCell ref="FN41:FN42"/>
    <mergeCell ref="FN43:FO43"/>
    <mergeCell ref="FN44:FN45"/>
    <mergeCell ref="FN46:FO46"/>
    <mergeCell ref="EK41:EK46"/>
    <mergeCell ref="EL41:EL42"/>
    <mergeCell ref="EY41:EY46"/>
    <mergeCell ref="DJ6:DJ7"/>
    <mergeCell ref="DX16:DX17"/>
    <mergeCell ref="DX18:DY18"/>
    <mergeCell ref="FM26:FO26"/>
    <mergeCell ref="FN8:FO8"/>
    <mergeCell ref="DX15:DY15"/>
    <mergeCell ref="FM13:FM18"/>
    <mergeCell ref="FN25:FO25"/>
    <mergeCell ref="FM20:FM25"/>
    <mergeCell ref="FN20:FN21"/>
    <mergeCell ref="EK20:EK25"/>
    <mergeCell ref="FN23:FN24"/>
    <mergeCell ref="EK19:EM19"/>
    <mergeCell ref="EY19:FA19"/>
    <mergeCell ref="FM19:FO19"/>
    <mergeCell ref="CH43:CI43"/>
    <mergeCell ref="CV43:CW43"/>
    <mergeCell ref="CH44:CH45"/>
    <mergeCell ref="EL55:EL56"/>
    <mergeCell ref="EZ60:FA60"/>
    <mergeCell ref="DI55:DI60"/>
    <mergeCell ref="EZ55:EZ56"/>
    <mergeCell ref="EL57:EM57"/>
    <mergeCell ref="FM68:FO68"/>
    <mergeCell ref="FM62:FM67"/>
    <mergeCell ref="FN62:FN63"/>
    <mergeCell ref="EK54:EM54"/>
    <mergeCell ref="EY54:FA54"/>
    <mergeCell ref="DJ50:DK50"/>
    <mergeCell ref="DX50:DY50"/>
    <mergeCell ref="DX51:DX52"/>
    <mergeCell ref="DX53:DY53"/>
    <mergeCell ref="DJ53:DK53"/>
    <mergeCell ref="DJ51:DJ52"/>
    <mergeCell ref="EK68:EM68"/>
    <mergeCell ref="DW68:DY68"/>
    <mergeCell ref="CU68:CW68"/>
    <mergeCell ref="CH50:CI50"/>
    <mergeCell ref="CV50:CW50"/>
    <mergeCell ref="FM47:FO47"/>
    <mergeCell ref="EL46:EM46"/>
    <mergeCell ref="EZ46:FA46"/>
    <mergeCell ref="DI41:DI46"/>
    <mergeCell ref="DJ41:DJ42"/>
    <mergeCell ref="DW41:DW46"/>
    <mergeCell ref="DX41:DX42"/>
    <mergeCell ref="DJ43:DK43"/>
    <mergeCell ref="DJ55:DJ56"/>
    <mergeCell ref="BF50:BG50"/>
    <mergeCell ref="BT50:BU50"/>
    <mergeCell ref="DJ72:DJ73"/>
    <mergeCell ref="DJ74:DK74"/>
    <mergeCell ref="EL71:EM71"/>
    <mergeCell ref="EZ71:FA71"/>
    <mergeCell ref="EL72:EL73"/>
    <mergeCell ref="EZ72:EZ73"/>
    <mergeCell ref="EL74:EM74"/>
    <mergeCell ref="EZ74:FA74"/>
    <mergeCell ref="DI69:DI74"/>
    <mergeCell ref="DJ69:DJ70"/>
    <mergeCell ref="CV71:CW71"/>
    <mergeCell ref="CH72:CH73"/>
    <mergeCell ref="CV72:CV73"/>
    <mergeCell ref="CH74:CI74"/>
    <mergeCell ref="CV57:CW57"/>
    <mergeCell ref="EL58:EL59"/>
    <mergeCell ref="EZ58:EZ59"/>
    <mergeCell ref="DW54:DY54"/>
    <mergeCell ref="CH57:CI57"/>
    <mergeCell ref="CV58:CV59"/>
    <mergeCell ref="BT62:BT63"/>
    <mergeCell ref="BF64:BG64"/>
    <mergeCell ref="BT58:BT59"/>
    <mergeCell ref="BT60:BU60"/>
    <mergeCell ref="BS55:BS60"/>
    <mergeCell ref="BF57:BG57"/>
    <mergeCell ref="DI48:DI53"/>
    <mergeCell ref="DJ48:DJ49"/>
    <mergeCell ref="DW48:DW53"/>
    <mergeCell ref="DX48:DX49"/>
    <mergeCell ref="EK61:EM61"/>
    <mergeCell ref="EY61:FA61"/>
    <mergeCell ref="FM61:FO61"/>
    <mergeCell ref="CU76:CU81"/>
    <mergeCell ref="EL64:EM64"/>
    <mergeCell ref="CH69:CH70"/>
    <mergeCell ref="CU69:CU74"/>
    <mergeCell ref="CV74:CW74"/>
    <mergeCell ref="BF72:BF73"/>
    <mergeCell ref="BT72:BT73"/>
    <mergeCell ref="BF74:BG74"/>
    <mergeCell ref="BT74:BU74"/>
    <mergeCell ref="DJ60:DK60"/>
    <mergeCell ref="CG55:CG60"/>
    <mergeCell ref="CH55:CH56"/>
    <mergeCell ref="CU55:CU60"/>
    <mergeCell ref="CV55:CV56"/>
    <mergeCell ref="CV60:CW60"/>
    <mergeCell ref="BT57:BU57"/>
    <mergeCell ref="DX57:DY57"/>
    <mergeCell ref="DX58:DX59"/>
    <mergeCell ref="BT55:BT56"/>
    <mergeCell ref="CV69:CV70"/>
    <mergeCell ref="CH71:CI71"/>
    <mergeCell ref="EY69:EY74"/>
    <mergeCell ref="CV81:CW81"/>
    <mergeCell ref="DI68:DK68"/>
    <mergeCell ref="BF69:BF70"/>
    <mergeCell ref="BS75:BU75"/>
    <mergeCell ref="CG75:CI75"/>
    <mergeCell ref="CU75:CW75"/>
    <mergeCell ref="EZ57:FA57"/>
    <mergeCell ref="AC4:AC5"/>
    <mergeCell ref="AD4:AD5"/>
    <mergeCell ref="EK48:EK53"/>
    <mergeCell ref="EL48:EL49"/>
    <mergeCell ref="EY48:EY53"/>
    <mergeCell ref="EZ48:EZ49"/>
    <mergeCell ref="BE47:BG47"/>
    <mergeCell ref="BS47:BU47"/>
    <mergeCell ref="CG47:CI47"/>
    <mergeCell ref="CU47:CW47"/>
    <mergeCell ref="DI47:DK47"/>
    <mergeCell ref="DW47:DY47"/>
    <mergeCell ref="EL50:EM50"/>
    <mergeCell ref="EZ50:FA50"/>
    <mergeCell ref="BE12:BG12"/>
    <mergeCell ref="CU6:CU11"/>
    <mergeCell ref="CV6:CV7"/>
    <mergeCell ref="CH8:CI8"/>
    <mergeCell ref="EK13:EK18"/>
    <mergeCell ref="EL13:EL14"/>
    <mergeCell ref="EL43:EM43"/>
    <mergeCell ref="EZ43:FA43"/>
    <mergeCell ref="EZ41:EZ42"/>
    <mergeCell ref="EK47:EM47"/>
    <mergeCell ref="DJ13:DJ14"/>
    <mergeCell ref="DW13:DW18"/>
    <mergeCell ref="CG27:CG32"/>
    <mergeCell ref="CH27:CH28"/>
    <mergeCell ref="CU27:CU32"/>
    <mergeCell ref="CV27:CV28"/>
    <mergeCell ref="CH29:CI29"/>
    <mergeCell ref="CV29:CW29"/>
    <mergeCell ref="A4:A5"/>
    <mergeCell ref="B4:B5"/>
    <mergeCell ref="C4:C5"/>
    <mergeCell ref="O4:O5"/>
    <mergeCell ref="P4:P5"/>
    <mergeCell ref="B8:C8"/>
    <mergeCell ref="P22:Q22"/>
    <mergeCell ref="AR23:AR24"/>
    <mergeCell ref="O26:Q26"/>
    <mergeCell ref="AC26:AE26"/>
    <mergeCell ref="AQ26:AS26"/>
    <mergeCell ref="B22:C22"/>
    <mergeCell ref="A12:C12"/>
    <mergeCell ref="A13:A18"/>
    <mergeCell ref="B13:B14"/>
    <mergeCell ref="O13:O18"/>
    <mergeCell ref="AD8:AE8"/>
    <mergeCell ref="O6:O11"/>
    <mergeCell ref="P6:P7"/>
    <mergeCell ref="AC6:AC11"/>
    <mergeCell ref="AD6:AD7"/>
    <mergeCell ref="AQ6:AQ11"/>
    <mergeCell ref="A6:A11"/>
    <mergeCell ref="B6:B7"/>
    <mergeCell ref="AR6:AR7"/>
    <mergeCell ref="AD13:AD14"/>
    <mergeCell ref="P15:Q15"/>
    <mergeCell ref="AD15:AE15"/>
    <mergeCell ref="AR15:AS15"/>
    <mergeCell ref="B16:B17"/>
    <mergeCell ref="P16:P17"/>
    <mergeCell ref="AD16:AD17"/>
    <mergeCell ref="CG6:CG11"/>
    <mergeCell ref="CH6:CH7"/>
    <mergeCell ref="P11:Q11"/>
    <mergeCell ref="AD11:AE11"/>
    <mergeCell ref="AR11:AS11"/>
    <mergeCell ref="DJ58:DJ59"/>
    <mergeCell ref="AS4:AS5"/>
    <mergeCell ref="BE4:BE5"/>
    <mergeCell ref="BF4:BF5"/>
    <mergeCell ref="DJ16:DJ17"/>
    <mergeCell ref="DJ18:DK18"/>
    <mergeCell ref="AC12:AE12"/>
    <mergeCell ref="AQ12:AS12"/>
    <mergeCell ref="BF8:BG8"/>
    <mergeCell ref="BT8:BU8"/>
    <mergeCell ref="BF9:BF10"/>
    <mergeCell ref="AQ13:AQ18"/>
    <mergeCell ref="AR13:AR14"/>
    <mergeCell ref="DI6:DI11"/>
    <mergeCell ref="DJ25:DK25"/>
    <mergeCell ref="DJ15:DK15"/>
    <mergeCell ref="AE4:AE5"/>
    <mergeCell ref="AQ4:AQ5"/>
    <mergeCell ref="AR4:AR5"/>
    <mergeCell ref="BF23:BF24"/>
    <mergeCell ref="BT23:BT24"/>
    <mergeCell ref="BF25:BG25"/>
    <mergeCell ref="BT25:BU25"/>
    <mergeCell ref="BE20:BE25"/>
    <mergeCell ref="BE19:BG19"/>
    <mergeCell ref="BS19:BU19"/>
    <mergeCell ref="CG20:CG25"/>
    <mergeCell ref="B15:C15"/>
    <mergeCell ref="B30:B31"/>
    <mergeCell ref="P30:P31"/>
    <mergeCell ref="AD30:AD31"/>
    <mergeCell ref="BU4:BU5"/>
    <mergeCell ref="CG4:CG5"/>
    <mergeCell ref="CH4:CH5"/>
    <mergeCell ref="CI4:CI5"/>
    <mergeCell ref="CU4:CU5"/>
    <mergeCell ref="CV4:CV5"/>
    <mergeCell ref="DX13:DX14"/>
    <mergeCell ref="P13:P14"/>
    <mergeCell ref="BS6:BS11"/>
    <mergeCell ref="BT6:BT7"/>
    <mergeCell ref="AC13:AC18"/>
    <mergeCell ref="DI19:DK19"/>
    <mergeCell ref="DW19:DY19"/>
    <mergeCell ref="P20:P21"/>
    <mergeCell ref="AC20:AC25"/>
    <mergeCell ref="AQ20:AQ25"/>
    <mergeCell ref="AR20:AR21"/>
    <mergeCell ref="BG4:BG5"/>
    <mergeCell ref="BS4:BS5"/>
    <mergeCell ref="BT4:BT5"/>
    <mergeCell ref="Q4:Q5"/>
    <mergeCell ref="BF6:BF7"/>
    <mergeCell ref="BT11:BU11"/>
    <mergeCell ref="BF15:BG15"/>
    <mergeCell ref="BT9:BT10"/>
    <mergeCell ref="DX8:DY8"/>
    <mergeCell ref="DX9:DX10"/>
    <mergeCell ref="DX11:DY11"/>
    <mergeCell ref="B9:B10"/>
    <mergeCell ref="P9:P10"/>
    <mergeCell ref="AD9:AD10"/>
    <mergeCell ref="AR9:AR10"/>
    <mergeCell ref="B18:C18"/>
    <mergeCell ref="P18:Q18"/>
    <mergeCell ref="AD18:AE18"/>
    <mergeCell ref="AR18:AS18"/>
    <mergeCell ref="P8:Q8"/>
    <mergeCell ref="B11:C11"/>
    <mergeCell ref="BF16:BF17"/>
    <mergeCell ref="BT16:BT17"/>
    <mergeCell ref="BF18:BG18"/>
    <mergeCell ref="BT18:BU18"/>
    <mergeCell ref="CH16:CH17"/>
    <mergeCell ref="CV16:CV17"/>
    <mergeCell ref="CH18:CI18"/>
    <mergeCell ref="CV18:CW18"/>
    <mergeCell ref="BE13:BE18"/>
    <mergeCell ref="BF13:BF14"/>
    <mergeCell ref="BS13:BS18"/>
    <mergeCell ref="BT13:BT14"/>
    <mergeCell ref="AR8:AS8"/>
    <mergeCell ref="CH11:CI11"/>
    <mergeCell ref="BS12:BU12"/>
    <mergeCell ref="BF11:BG11"/>
    <mergeCell ref="BT15:BU15"/>
    <mergeCell ref="BE6:BE11"/>
    <mergeCell ref="CH13:CH14"/>
    <mergeCell ref="CU13:CU18"/>
    <mergeCell ref="CV13:CV14"/>
    <mergeCell ref="CH15:CI15"/>
    <mergeCell ref="FN18:FO18"/>
    <mergeCell ref="EZ15:FA15"/>
    <mergeCell ref="EL16:EL17"/>
    <mergeCell ref="EZ16:EZ17"/>
    <mergeCell ref="EL18:EM18"/>
    <mergeCell ref="EY13:EY18"/>
    <mergeCell ref="EZ13:EZ14"/>
    <mergeCell ref="EL15:EM15"/>
    <mergeCell ref="EZ18:FA18"/>
    <mergeCell ref="FN13:FN14"/>
    <mergeCell ref="EZ22:FA22"/>
    <mergeCell ref="EL23:EL24"/>
    <mergeCell ref="EZ23:EZ24"/>
    <mergeCell ref="EL25:EM25"/>
    <mergeCell ref="EZ25:FA25"/>
    <mergeCell ref="FN22:FO22"/>
    <mergeCell ref="CH9:CH10"/>
    <mergeCell ref="CV23:CV24"/>
    <mergeCell ref="CH25:CI25"/>
    <mergeCell ref="CV25:CW25"/>
    <mergeCell ref="CV9:CV10"/>
    <mergeCell ref="CG12:CI12"/>
    <mergeCell ref="CU12:CW12"/>
    <mergeCell ref="DI12:DK12"/>
    <mergeCell ref="CV11:CW11"/>
    <mergeCell ref="DI20:DI25"/>
    <mergeCell ref="DJ20:DJ21"/>
    <mergeCell ref="DJ22:DK22"/>
    <mergeCell ref="CU20:CU25"/>
    <mergeCell ref="CV20:CV21"/>
    <mergeCell ref="CG13:CG18"/>
    <mergeCell ref="CG19:CI19"/>
    <mergeCell ref="FA4:FA5"/>
    <mergeCell ref="FM4:FM5"/>
    <mergeCell ref="FN4:FN5"/>
    <mergeCell ref="FN15:FO15"/>
    <mergeCell ref="FN9:FN10"/>
    <mergeCell ref="FO4:FO5"/>
    <mergeCell ref="DY4:DY5"/>
    <mergeCell ref="EK4:EK5"/>
    <mergeCell ref="EL4:EL5"/>
    <mergeCell ref="EM4:EM5"/>
    <mergeCell ref="EY4:EY5"/>
    <mergeCell ref="EZ4:EZ5"/>
    <mergeCell ref="CW4:CW5"/>
    <mergeCell ref="DI4:DI5"/>
    <mergeCell ref="DJ4:DJ5"/>
    <mergeCell ref="DK4:DK5"/>
    <mergeCell ref="DW4:DW5"/>
    <mergeCell ref="EK12:EM12"/>
    <mergeCell ref="DI13:DI18"/>
    <mergeCell ref="FM12:FO12"/>
    <mergeCell ref="FN6:FN7"/>
    <mergeCell ref="CV15:CW15"/>
    <mergeCell ref="CV8:CW8"/>
    <mergeCell ref="EZ9:EZ10"/>
    <mergeCell ref="EL11:EM11"/>
    <mergeCell ref="DW12:DY12"/>
    <mergeCell ref="FN16:FN17"/>
    <mergeCell ref="DX4:DX5"/>
    <mergeCell ref="FN11:FO11"/>
    <mergeCell ref="EL9:EL10"/>
    <mergeCell ref="EZ11:FA11"/>
    <mergeCell ref="EK6:EK11"/>
    <mergeCell ref="A19:C19"/>
    <mergeCell ref="O19:Q19"/>
    <mergeCell ref="AC19:AE19"/>
    <mergeCell ref="AQ19:AS19"/>
    <mergeCell ref="CV22:CW22"/>
    <mergeCell ref="CH23:CH24"/>
    <mergeCell ref="AR22:AS22"/>
    <mergeCell ref="AD20:AD21"/>
    <mergeCell ref="BF20:BF21"/>
    <mergeCell ref="BS20:BS25"/>
    <mergeCell ref="BT20:BT21"/>
    <mergeCell ref="BF22:BG22"/>
    <mergeCell ref="BT22:BU22"/>
    <mergeCell ref="DX23:DX24"/>
    <mergeCell ref="DX25:DY25"/>
    <mergeCell ref="DJ23:DJ24"/>
    <mergeCell ref="DW20:DW25"/>
    <mergeCell ref="DX20:DX21"/>
    <mergeCell ref="DX22:DY22"/>
    <mergeCell ref="CU19:CW19"/>
    <mergeCell ref="CH20:CH21"/>
    <mergeCell ref="B25:C25"/>
    <mergeCell ref="P25:Q25"/>
    <mergeCell ref="AD25:AE25"/>
    <mergeCell ref="AR25:AS25"/>
    <mergeCell ref="CH22:CI22"/>
    <mergeCell ref="A26:C26"/>
    <mergeCell ref="A20:A25"/>
    <mergeCell ref="B20:B21"/>
    <mergeCell ref="O20:O25"/>
    <mergeCell ref="AD22:AE22"/>
    <mergeCell ref="B23:B24"/>
    <mergeCell ref="P23:P24"/>
    <mergeCell ref="AD23:AD24"/>
    <mergeCell ref="A27:A32"/>
    <mergeCell ref="B27:B28"/>
    <mergeCell ref="O27:O32"/>
    <mergeCell ref="DJ30:DJ31"/>
    <mergeCell ref="EK26:EM26"/>
    <mergeCell ref="CV32:CW32"/>
    <mergeCell ref="BE27:BE32"/>
    <mergeCell ref="BF27:BF28"/>
    <mergeCell ref="BS27:BS32"/>
    <mergeCell ref="CH30:CH31"/>
    <mergeCell ref="CV30:CV31"/>
    <mergeCell ref="CH32:CI32"/>
    <mergeCell ref="AR16:AR17"/>
    <mergeCell ref="O12:Q12"/>
    <mergeCell ref="EL30:EL31"/>
    <mergeCell ref="EZ30:EZ31"/>
    <mergeCell ref="EL32:EM32"/>
    <mergeCell ref="EZ32:FA32"/>
    <mergeCell ref="DI27:DI32"/>
    <mergeCell ref="DJ27:DJ28"/>
    <mergeCell ref="DW27:DW32"/>
    <mergeCell ref="DX27:DX28"/>
    <mergeCell ref="DJ29:DK29"/>
    <mergeCell ref="DX29:DY29"/>
    <mergeCell ref="DX30:DX31"/>
    <mergeCell ref="DX32:DY32"/>
    <mergeCell ref="BT27:BT28"/>
    <mergeCell ref="BF29:BG29"/>
    <mergeCell ref="BT29:BU29"/>
    <mergeCell ref="EK27:EK32"/>
    <mergeCell ref="BF30:BF31"/>
    <mergeCell ref="BT30:BT31"/>
    <mergeCell ref="BT32:BU32"/>
    <mergeCell ref="DJ32:DK32"/>
    <mergeCell ref="EZ29:FA29"/>
    <mergeCell ref="AR30:AR31"/>
    <mergeCell ref="P27:P28"/>
    <mergeCell ref="AC27:AC32"/>
    <mergeCell ref="AD27:AD28"/>
    <mergeCell ref="DI26:DK26"/>
    <mergeCell ref="DW26:DY26"/>
    <mergeCell ref="EY26:FA26"/>
    <mergeCell ref="A34:A39"/>
    <mergeCell ref="B34:B35"/>
    <mergeCell ref="O34:O39"/>
    <mergeCell ref="P34:P35"/>
    <mergeCell ref="AC34:AC39"/>
    <mergeCell ref="AD34:AD35"/>
    <mergeCell ref="BE33:BG33"/>
    <mergeCell ref="BS33:BU33"/>
    <mergeCell ref="CG33:CI33"/>
    <mergeCell ref="CU33:CW33"/>
    <mergeCell ref="DI33:DK33"/>
    <mergeCell ref="DW33:DY33"/>
    <mergeCell ref="A33:C33"/>
    <mergeCell ref="O33:Q33"/>
    <mergeCell ref="AC33:AE33"/>
    <mergeCell ref="AQ33:AS33"/>
    <mergeCell ref="BE26:BG26"/>
    <mergeCell ref="BS26:BU26"/>
    <mergeCell ref="CG26:CI26"/>
    <mergeCell ref="CU26:CW26"/>
    <mergeCell ref="AD39:AE39"/>
    <mergeCell ref="AR39:AS39"/>
    <mergeCell ref="B32:C32"/>
    <mergeCell ref="P32:Q32"/>
    <mergeCell ref="AD32:AE32"/>
    <mergeCell ref="AR32:AS32"/>
    <mergeCell ref="AQ27:AQ32"/>
    <mergeCell ref="AR27:AR28"/>
    <mergeCell ref="B29:C29"/>
    <mergeCell ref="P29:Q29"/>
    <mergeCell ref="AD29:AE29"/>
    <mergeCell ref="AR29:AS29"/>
    <mergeCell ref="AQ34:AQ39"/>
    <mergeCell ref="AR34:AR35"/>
    <mergeCell ref="B36:C36"/>
    <mergeCell ref="P36:Q36"/>
    <mergeCell ref="AD36:AE36"/>
    <mergeCell ref="AR36:AS36"/>
    <mergeCell ref="B37:B38"/>
    <mergeCell ref="P37:P38"/>
    <mergeCell ref="AD37:AD38"/>
    <mergeCell ref="BF32:BG32"/>
    <mergeCell ref="BE34:BE39"/>
    <mergeCell ref="FM27:FM32"/>
    <mergeCell ref="FN27:FN28"/>
    <mergeCell ref="BF34:BF35"/>
    <mergeCell ref="BS34:BS39"/>
    <mergeCell ref="BT34:BT35"/>
    <mergeCell ref="BF36:BG36"/>
    <mergeCell ref="BT36:BU36"/>
    <mergeCell ref="BF37:BF38"/>
    <mergeCell ref="BT37:BT38"/>
    <mergeCell ref="BF39:BG39"/>
    <mergeCell ref="BT39:BU39"/>
    <mergeCell ref="EK33:EM33"/>
    <mergeCell ref="EY33:FA33"/>
    <mergeCell ref="FM33:FO33"/>
    <mergeCell ref="FN29:FO29"/>
    <mergeCell ref="FN30:FN31"/>
    <mergeCell ref="FN32:FO32"/>
    <mergeCell ref="EL27:EL28"/>
    <mergeCell ref="EY27:EY32"/>
    <mergeCell ref="EZ27:EZ28"/>
    <mergeCell ref="EL29:EM29"/>
    <mergeCell ref="BE40:BG40"/>
    <mergeCell ref="BS40:BU40"/>
    <mergeCell ref="CG40:CI40"/>
    <mergeCell ref="CU40:CW40"/>
    <mergeCell ref="DI40:DK40"/>
    <mergeCell ref="DX37:DX38"/>
    <mergeCell ref="DX39:DY39"/>
    <mergeCell ref="DJ37:DJ38"/>
    <mergeCell ref="DJ39:DK39"/>
    <mergeCell ref="CG34:CG39"/>
    <mergeCell ref="CH34:CH35"/>
    <mergeCell ref="CU34:CU39"/>
    <mergeCell ref="CV34:CV35"/>
    <mergeCell ref="CH36:CI36"/>
    <mergeCell ref="CV36:CW36"/>
    <mergeCell ref="CH37:CH38"/>
    <mergeCell ref="CV37:CV38"/>
    <mergeCell ref="CH39:CI39"/>
    <mergeCell ref="CV39:CW39"/>
    <mergeCell ref="AR37:AR38"/>
    <mergeCell ref="B51:B52"/>
    <mergeCell ref="P51:P52"/>
    <mergeCell ref="FM34:FM39"/>
    <mergeCell ref="FN34:FN35"/>
    <mergeCell ref="FN36:FO36"/>
    <mergeCell ref="FN37:FN38"/>
    <mergeCell ref="FN39:FO39"/>
    <mergeCell ref="EK34:EK39"/>
    <mergeCell ref="EL34:EL35"/>
    <mergeCell ref="EY34:EY39"/>
    <mergeCell ref="EZ34:EZ35"/>
    <mergeCell ref="EL36:EM36"/>
    <mergeCell ref="EZ36:FA36"/>
    <mergeCell ref="EL37:EL38"/>
    <mergeCell ref="EZ37:EZ38"/>
    <mergeCell ref="EL39:EM39"/>
    <mergeCell ref="EZ39:FA39"/>
    <mergeCell ref="DI34:DI39"/>
    <mergeCell ref="DJ34:DJ35"/>
    <mergeCell ref="DW34:DW39"/>
    <mergeCell ref="DX34:DX35"/>
    <mergeCell ref="DJ36:DK36"/>
    <mergeCell ref="BT44:BT45"/>
    <mergeCell ref="BF46:BG46"/>
    <mergeCell ref="BT46:BU46"/>
    <mergeCell ref="B39:C39"/>
    <mergeCell ref="P39:Q39"/>
    <mergeCell ref="DX36:DY36"/>
    <mergeCell ref="EK40:EM40"/>
    <mergeCell ref="EY40:FA40"/>
    <mergeCell ref="FM40:FO40"/>
    <mergeCell ref="AD53:AE53"/>
    <mergeCell ref="AR53:AS53"/>
    <mergeCell ref="B46:C46"/>
    <mergeCell ref="P46:Q46"/>
    <mergeCell ref="AD46:AE46"/>
    <mergeCell ref="AR46:AS46"/>
    <mergeCell ref="A47:C47"/>
    <mergeCell ref="O47:Q47"/>
    <mergeCell ref="AC47:AE47"/>
    <mergeCell ref="AQ47:AS47"/>
    <mergeCell ref="AQ41:AQ46"/>
    <mergeCell ref="AR41:AR42"/>
    <mergeCell ref="B43:C43"/>
    <mergeCell ref="A48:A53"/>
    <mergeCell ref="B48:B49"/>
    <mergeCell ref="P43:Q43"/>
    <mergeCell ref="AD43:AE43"/>
    <mergeCell ref="AR43:AS43"/>
    <mergeCell ref="B44:B45"/>
    <mergeCell ref="P44:P45"/>
    <mergeCell ref="AD44:AD45"/>
    <mergeCell ref="AR44:AR45"/>
    <mergeCell ref="A41:A46"/>
    <mergeCell ref="BF53:BG53"/>
    <mergeCell ref="BT53:BU53"/>
    <mergeCell ref="BE48:BE53"/>
    <mergeCell ref="BF48:BF49"/>
    <mergeCell ref="BS48:BS53"/>
    <mergeCell ref="BT48:BT49"/>
    <mergeCell ref="BE55:BE60"/>
    <mergeCell ref="P53:Q53"/>
    <mergeCell ref="O48:O53"/>
    <mergeCell ref="P48:P49"/>
    <mergeCell ref="B50:C50"/>
    <mergeCell ref="P50:Q50"/>
    <mergeCell ref="BF51:BF52"/>
    <mergeCell ref="B53:C53"/>
    <mergeCell ref="BT51:BT52"/>
    <mergeCell ref="A40:C40"/>
    <mergeCell ref="O40:Q40"/>
    <mergeCell ref="AC40:AE40"/>
    <mergeCell ref="AQ40:AS40"/>
    <mergeCell ref="B41:B42"/>
    <mergeCell ref="O41:O46"/>
    <mergeCell ref="P41:P42"/>
    <mergeCell ref="AC41:AC46"/>
    <mergeCell ref="AD41:AD42"/>
    <mergeCell ref="AD50:AE50"/>
    <mergeCell ref="AR50:AS50"/>
    <mergeCell ref="AC48:AC53"/>
    <mergeCell ref="AD48:AD49"/>
    <mergeCell ref="AQ48:AQ53"/>
    <mergeCell ref="AR48:AR49"/>
    <mergeCell ref="AD51:AD52"/>
    <mergeCell ref="AR51:AR52"/>
    <mergeCell ref="BE41:BE46"/>
    <mergeCell ref="BF41:BF42"/>
    <mergeCell ref="BS41:BS46"/>
    <mergeCell ref="BT41:BT42"/>
    <mergeCell ref="BF43:BG43"/>
    <mergeCell ref="BT43:BU43"/>
    <mergeCell ref="BF44:BF45"/>
    <mergeCell ref="BE54:BG54"/>
    <mergeCell ref="BS54:BU54"/>
    <mergeCell ref="A54:C54"/>
    <mergeCell ref="O54:Q54"/>
    <mergeCell ref="AC54:AE54"/>
    <mergeCell ref="AQ54:AS54"/>
    <mergeCell ref="CU61:CW61"/>
    <mergeCell ref="DI61:DK61"/>
    <mergeCell ref="DW61:DY61"/>
    <mergeCell ref="A55:A60"/>
    <mergeCell ref="DI54:DK54"/>
    <mergeCell ref="B60:C60"/>
    <mergeCell ref="P60:Q60"/>
    <mergeCell ref="AD60:AE60"/>
    <mergeCell ref="P55:P56"/>
    <mergeCell ref="AC55:AC60"/>
    <mergeCell ref="AD55:AD56"/>
    <mergeCell ref="BE61:BG61"/>
    <mergeCell ref="BS61:BU61"/>
    <mergeCell ref="CG61:CI61"/>
    <mergeCell ref="O61:Q61"/>
    <mergeCell ref="AC61:AE61"/>
    <mergeCell ref="AQ61:AS61"/>
    <mergeCell ref="A61:C61"/>
    <mergeCell ref="AQ55:AQ60"/>
    <mergeCell ref="BF62:BF63"/>
    <mergeCell ref="B57:C57"/>
    <mergeCell ref="P57:Q57"/>
    <mergeCell ref="AD57:AE57"/>
    <mergeCell ref="CV62:CV63"/>
    <mergeCell ref="CH64:CI64"/>
    <mergeCell ref="CV64:CW64"/>
    <mergeCell ref="CH65:CH66"/>
    <mergeCell ref="AD64:AE64"/>
    <mergeCell ref="AR64:AS64"/>
    <mergeCell ref="B65:B66"/>
    <mergeCell ref="P65:P66"/>
    <mergeCell ref="AD65:AD66"/>
    <mergeCell ref="AR65:AR66"/>
    <mergeCell ref="AR57:AS57"/>
    <mergeCell ref="B58:B59"/>
    <mergeCell ref="P58:P59"/>
    <mergeCell ref="AD58:AD59"/>
    <mergeCell ref="AR58:AR59"/>
    <mergeCell ref="BS62:BS67"/>
    <mergeCell ref="AD67:AE67"/>
    <mergeCell ref="BT67:BU67"/>
    <mergeCell ref="EL69:EL70"/>
    <mergeCell ref="B55:B56"/>
    <mergeCell ref="O55:O60"/>
    <mergeCell ref="AR60:AS60"/>
    <mergeCell ref="AR55:AR56"/>
    <mergeCell ref="BF55:BF56"/>
    <mergeCell ref="CH60:CI60"/>
    <mergeCell ref="BF58:BF59"/>
    <mergeCell ref="BF60:BG60"/>
    <mergeCell ref="AC68:AE68"/>
    <mergeCell ref="AQ68:AS68"/>
    <mergeCell ref="AQ62:AQ67"/>
    <mergeCell ref="AR62:AR63"/>
    <mergeCell ref="B64:C64"/>
    <mergeCell ref="P64:Q64"/>
    <mergeCell ref="BE68:BG68"/>
    <mergeCell ref="BS68:BU68"/>
    <mergeCell ref="CG68:CI68"/>
    <mergeCell ref="BF65:BF66"/>
    <mergeCell ref="BT65:BT66"/>
    <mergeCell ref="B67:C67"/>
    <mergeCell ref="P67:Q67"/>
    <mergeCell ref="AR67:AS67"/>
    <mergeCell ref="A68:C68"/>
    <mergeCell ref="O68:Q68"/>
    <mergeCell ref="A62:A67"/>
    <mergeCell ref="B62:B63"/>
    <mergeCell ref="O62:O67"/>
    <mergeCell ref="P62:P63"/>
    <mergeCell ref="AC62:AC67"/>
    <mergeCell ref="AD62:AD63"/>
    <mergeCell ref="BE62:BE67"/>
    <mergeCell ref="DJ78:DK78"/>
    <mergeCell ref="A69:A74"/>
    <mergeCell ref="B69:B70"/>
    <mergeCell ref="O69:O74"/>
    <mergeCell ref="P69:P70"/>
    <mergeCell ref="AC69:AC74"/>
    <mergeCell ref="AD69:AD70"/>
    <mergeCell ref="BF67:BG67"/>
    <mergeCell ref="A76:A81"/>
    <mergeCell ref="EZ64:FA64"/>
    <mergeCell ref="EL65:EL66"/>
    <mergeCell ref="EZ65:EZ66"/>
    <mergeCell ref="EL67:EM67"/>
    <mergeCell ref="EZ67:FA67"/>
    <mergeCell ref="DI62:DI67"/>
    <mergeCell ref="DJ62:DJ63"/>
    <mergeCell ref="DW62:DW67"/>
    <mergeCell ref="DX62:DX63"/>
    <mergeCell ref="DJ64:DK64"/>
    <mergeCell ref="DX64:DY64"/>
    <mergeCell ref="B74:C74"/>
    <mergeCell ref="P74:Q74"/>
    <mergeCell ref="AD74:AE74"/>
    <mergeCell ref="AR74:AS74"/>
    <mergeCell ref="A75:C75"/>
    <mergeCell ref="O75:Q75"/>
    <mergeCell ref="AC75:AE75"/>
    <mergeCell ref="AQ75:AS75"/>
    <mergeCell ref="AQ69:AQ74"/>
    <mergeCell ref="AR69:AR70"/>
    <mergeCell ref="B76:B77"/>
    <mergeCell ref="EK69:EK74"/>
    <mergeCell ref="DJ79:DJ80"/>
    <mergeCell ref="AR81:AS81"/>
    <mergeCell ref="BF81:BG81"/>
    <mergeCell ref="BT81:BU81"/>
    <mergeCell ref="CH81:CI81"/>
    <mergeCell ref="BE76:BE81"/>
    <mergeCell ref="BF76:BF77"/>
    <mergeCell ref="BS76:BS81"/>
    <mergeCell ref="BT76:BT77"/>
    <mergeCell ref="FM69:FM74"/>
    <mergeCell ref="FN69:FN70"/>
    <mergeCell ref="BS69:BS74"/>
    <mergeCell ref="BT69:BT70"/>
    <mergeCell ref="BF71:BG71"/>
    <mergeCell ref="BT71:BU71"/>
    <mergeCell ref="AD72:AD73"/>
    <mergeCell ref="AR72:AR73"/>
    <mergeCell ref="AD71:AE71"/>
    <mergeCell ref="AR71:AS71"/>
    <mergeCell ref="FN76:FN77"/>
    <mergeCell ref="FN74:FO74"/>
    <mergeCell ref="FN71:FO71"/>
    <mergeCell ref="FN72:FN73"/>
    <mergeCell ref="DW69:DW74"/>
    <mergeCell ref="DX69:DX70"/>
    <mergeCell ref="DJ71:DK71"/>
    <mergeCell ref="DX71:DY71"/>
    <mergeCell ref="DX72:DX73"/>
    <mergeCell ref="DX74:DY74"/>
    <mergeCell ref="AD76:AD77"/>
    <mergeCell ref="CG69:CG74"/>
    <mergeCell ref="BE75:BG75"/>
    <mergeCell ref="CU89:CW89"/>
    <mergeCell ref="AQ89:AS89"/>
    <mergeCell ref="DI89:DK89"/>
    <mergeCell ref="DW89:DY89"/>
    <mergeCell ref="AC89:AE89"/>
    <mergeCell ref="B85:C85"/>
    <mergeCell ref="P85:Q85"/>
    <mergeCell ref="A89:C89"/>
    <mergeCell ref="BE82:BG82"/>
    <mergeCell ref="BS82:BU82"/>
    <mergeCell ref="CG82:CI82"/>
    <mergeCell ref="CU82:CW82"/>
    <mergeCell ref="DI82:DK82"/>
    <mergeCell ref="DW82:DY82"/>
    <mergeCell ref="A82:C82"/>
    <mergeCell ref="O82:Q82"/>
    <mergeCell ref="AC82:AE82"/>
    <mergeCell ref="AQ82:AS82"/>
    <mergeCell ref="A83:A88"/>
    <mergeCell ref="CH85:CI85"/>
    <mergeCell ref="DX86:DX87"/>
    <mergeCell ref="BT85:BU85"/>
    <mergeCell ref="DX85:DY85"/>
    <mergeCell ref="P83:P84"/>
    <mergeCell ref="B88:C88"/>
    <mergeCell ref="P88:Q88"/>
    <mergeCell ref="AD88:AE88"/>
    <mergeCell ref="BF83:BF84"/>
    <mergeCell ref="AR88:AS88"/>
    <mergeCell ref="CG83:CG88"/>
    <mergeCell ref="B83:B84"/>
    <mergeCell ref="O83:O88"/>
    <mergeCell ref="B81:C81"/>
    <mergeCell ref="P81:Q81"/>
    <mergeCell ref="AD81:AE81"/>
    <mergeCell ref="B72:B73"/>
    <mergeCell ref="P72:P73"/>
    <mergeCell ref="P71:Q71"/>
    <mergeCell ref="BE69:BE74"/>
    <mergeCell ref="O76:O81"/>
    <mergeCell ref="P76:P77"/>
    <mergeCell ref="CV76:CV77"/>
    <mergeCell ref="AC76:AC81"/>
    <mergeCell ref="AR76:AR77"/>
    <mergeCell ref="B71:C71"/>
    <mergeCell ref="B78:C78"/>
    <mergeCell ref="P78:Q78"/>
    <mergeCell ref="AD78:AE78"/>
    <mergeCell ref="AR78:AS78"/>
    <mergeCell ref="BF78:BG78"/>
    <mergeCell ref="BT78:BU78"/>
    <mergeCell ref="CH78:CI78"/>
    <mergeCell ref="CV78:CW78"/>
    <mergeCell ref="B79:B80"/>
    <mergeCell ref="P79:P80"/>
    <mergeCell ref="AD79:AD80"/>
    <mergeCell ref="AR79:AR80"/>
    <mergeCell ref="BF79:BF80"/>
    <mergeCell ref="BT79:BT80"/>
    <mergeCell ref="CH79:CH80"/>
    <mergeCell ref="CV79:CV80"/>
    <mergeCell ref="AQ76:AQ81"/>
    <mergeCell ref="FM83:FM88"/>
    <mergeCell ref="FN85:FO85"/>
    <mergeCell ref="FN86:FN87"/>
    <mergeCell ref="EY83:EY88"/>
    <mergeCell ref="EZ83:EZ84"/>
    <mergeCell ref="FN88:FO88"/>
    <mergeCell ref="AR83:AR84"/>
    <mergeCell ref="BE83:BE88"/>
    <mergeCell ref="DX83:DX84"/>
    <mergeCell ref="EK83:EK88"/>
    <mergeCell ref="EL83:EL84"/>
    <mergeCell ref="BF85:BG85"/>
    <mergeCell ref="CV88:CW88"/>
    <mergeCell ref="DJ88:DK88"/>
    <mergeCell ref="CV86:CV87"/>
    <mergeCell ref="DJ86:DJ87"/>
    <mergeCell ref="B86:B87"/>
    <mergeCell ref="P86:P87"/>
    <mergeCell ref="AD86:AD87"/>
    <mergeCell ref="AR86:AR87"/>
    <mergeCell ref="BF86:BF87"/>
    <mergeCell ref="BT86:BT87"/>
    <mergeCell ref="CH86:CH87"/>
    <mergeCell ref="AQ83:AQ88"/>
    <mergeCell ref="BF88:BG88"/>
    <mergeCell ref="EL85:EM85"/>
    <mergeCell ref="CH83:CH84"/>
    <mergeCell ref="CU83:CU88"/>
    <mergeCell ref="CV83:CV84"/>
    <mergeCell ref="DI83:DI88"/>
    <mergeCell ref="DJ83:DJ84"/>
    <mergeCell ref="DW83:DW88"/>
    <mergeCell ref="P91:P92"/>
    <mergeCell ref="Q91:Q92"/>
    <mergeCell ref="CG91:CG92"/>
    <mergeCell ref="FN98:FO98"/>
    <mergeCell ref="FN96:FN97"/>
    <mergeCell ref="DW93:DW98"/>
    <mergeCell ref="DX95:DY95"/>
    <mergeCell ref="CV95:CW95"/>
    <mergeCell ref="EZ93:EZ94"/>
    <mergeCell ref="BT88:BU88"/>
    <mergeCell ref="CH88:CI88"/>
    <mergeCell ref="FM89:FO89"/>
    <mergeCell ref="FN83:FN84"/>
    <mergeCell ref="EL86:EL87"/>
    <mergeCell ref="EZ86:EZ87"/>
    <mergeCell ref="EY89:FA89"/>
    <mergeCell ref="DX88:DY88"/>
    <mergeCell ref="EL88:EM88"/>
    <mergeCell ref="EZ88:FA88"/>
    <mergeCell ref="FM91:FM92"/>
    <mergeCell ref="EK91:EK92"/>
    <mergeCell ref="CW91:CW92"/>
    <mergeCell ref="AC83:AC88"/>
    <mergeCell ref="AD83:AD84"/>
    <mergeCell ref="AD85:AE85"/>
    <mergeCell ref="AR85:AS85"/>
    <mergeCell ref="O89:Q89"/>
    <mergeCell ref="EK89:EM89"/>
    <mergeCell ref="BS83:BS88"/>
    <mergeCell ref="BT83:BT84"/>
    <mergeCell ref="CV85:CW85"/>
    <mergeCell ref="DJ85:DK85"/>
    <mergeCell ref="C91:C92"/>
    <mergeCell ref="B91:B92"/>
    <mergeCell ref="AD91:AD92"/>
    <mergeCell ref="BE89:BG89"/>
    <mergeCell ref="BS89:BU89"/>
    <mergeCell ref="CG89:CI89"/>
    <mergeCell ref="AE91:AE92"/>
    <mergeCell ref="AR91:AR92"/>
    <mergeCell ref="BF91:BF92"/>
    <mergeCell ref="BT96:BT97"/>
    <mergeCell ref="AR98:AS98"/>
    <mergeCell ref="BT91:BT92"/>
    <mergeCell ref="BU91:BU92"/>
    <mergeCell ref="CG93:CG98"/>
    <mergeCell ref="A91:A92"/>
    <mergeCell ref="BF96:BF97"/>
    <mergeCell ref="CH93:CH94"/>
    <mergeCell ref="AD93:AD94"/>
    <mergeCell ref="AR93:AR94"/>
    <mergeCell ref="BF93:BF94"/>
    <mergeCell ref="P95:Q95"/>
    <mergeCell ref="BF95:BG95"/>
    <mergeCell ref="BT95:BU95"/>
    <mergeCell ref="CH95:CI95"/>
    <mergeCell ref="P93:P94"/>
    <mergeCell ref="AQ93:AQ98"/>
    <mergeCell ref="AQ91:AQ92"/>
    <mergeCell ref="AC93:AC98"/>
    <mergeCell ref="BF98:BG98"/>
    <mergeCell ref="AC91:AC92"/>
    <mergeCell ref="P98:Q98"/>
    <mergeCell ref="O91:O92"/>
  </mergeCells>
  <phoneticPr fontId="4" type="noConversion"/>
  <printOptions horizontalCentered="1"/>
  <pageMargins left="0.35433070866141736" right="0.15748031496062992" top="0.15748031496062992" bottom="0.19685039370078741" header="0.15748031496062992" footer="0.19685039370078741"/>
  <pageSetup paperSize="9" scale="8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Z12"/>
  <sheetViews>
    <sheetView rightToLeft="1" zoomScale="85" workbookViewId="0">
      <selection activeCell="O18" sqref="O18"/>
    </sheetView>
  </sheetViews>
  <sheetFormatPr defaultColWidth="9.140625" defaultRowHeight="12.75" x14ac:dyDescent="0.2"/>
  <cols>
    <col min="1" max="1" width="9.140625" style="2"/>
    <col min="2" max="2" width="7.7109375" style="2" customWidth="1"/>
    <col min="3" max="3" width="6.42578125" style="2" customWidth="1"/>
    <col min="4" max="4" width="8.85546875" style="2" customWidth="1"/>
    <col min="5" max="5" width="8.42578125" style="2" customWidth="1"/>
    <col min="6" max="6" width="8.5703125" style="2" customWidth="1"/>
    <col min="7" max="7" width="7.42578125" style="2" customWidth="1"/>
    <col min="8" max="8" width="8.7109375" style="2" customWidth="1"/>
    <col min="9" max="9" width="9.85546875" style="2" customWidth="1"/>
    <col min="10" max="10" width="8" style="2" customWidth="1"/>
    <col min="11" max="11" width="8.7109375" style="1" customWidth="1"/>
    <col min="12" max="12" width="6.28515625" style="2" customWidth="1"/>
    <col min="13" max="13" width="11" style="2" customWidth="1"/>
    <col min="14" max="14" width="2.85546875" style="2" customWidth="1"/>
    <col min="15" max="15" width="9.140625" style="2"/>
    <col min="16" max="16" width="7.7109375" style="2" customWidth="1"/>
    <col min="17" max="17" width="6.42578125" style="2" customWidth="1"/>
    <col min="18" max="18" width="8.85546875" style="2" customWidth="1"/>
    <col min="19" max="19" width="8.42578125" style="2" customWidth="1"/>
    <col min="20" max="20" width="8.5703125" style="2" customWidth="1"/>
    <col min="21" max="21" width="7.42578125" style="2" customWidth="1"/>
    <col min="22" max="22" width="8.7109375" style="2" customWidth="1"/>
    <col min="23" max="23" width="9.85546875" style="2" customWidth="1"/>
    <col min="24" max="24" width="8" style="2" customWidth="1"/>
    <col min="25" max="25" width="8.7109375" style="1" customWidth="1"/>
    <col min="26" max="26" width="6.28515625" style="2" customWidth="1"/>
    <col min="27" max="27" width="11" style="2" customWidth="1"/>
    <col min="28" max="28" width="2.85546875" style="2" customWidth="1"/>
    <col min="29" max="29" width="9.140625" style="2"/>
    <col min="30" max="30" width="7.7109375" style="2" customWidth="1"/>
    <col min="31" max="31" width="6.42578125" style="2" customWidth="1"/>
    <col min="32" max="32" width="8.85546875" style="2" customWidth="1"/>
    <col min="33" max="33" width="8.42578125" style="2" customWidth="1"/>
    <col min="34" max="34" width="8.5703125" style="2" customWidth="1"/>
    <col min="35" max="35" width="7.42578125" style="2" customWidth="1"/>
    <col min="36" max="36" width="8.7109375" style="2" customWidth="1"/>
    <col min="37" max="37" width="9.85546875" style="2" customWidth="1"/>
    <col min="38" max="38" width="8" style="2" customWidth="1"/>
    <col min="39" max="39" width="8.7109375" style="1" customWidth="1"/>
    <col min="40" max="40" width="6.28515625" style="2" customWidth="1"/>
    <col min="41" max="41" width="11" style="2" customWidth="1"/>
    <col min="42" max="42" width="2.85546875" style="2" customWidth="1"/>
    <col min="43" max="43" width="9.140625" style="2"/>
    <col min="44" max="44" width="7.7109375" style="2" customWidth="1"/>
    <col min="45" max="45" width="6.42578125" style="2" customWidth="1"/>
    <col min="46" max="46" width="8.85546875" style="2" customWidth="1"/>
    <col min="47" max="47" width="8.42578125" style="2" customWidth="1"/>
    <col min="48" max="48" width="8.5703125" style="2" customWidth="1"/>
    <col min="49" max="49" width="7.42578125" style="2" customWidth="1"/>
    <col min="50" max="50" width="8.7109375" style="2" customWidth="1"/>
    <col min="51" max="51" width="9.85546875" style="2" customWidth="1"/>
    <col min="52" max="52" width="8" style="2" customWidth="1"/>
    <col min="53" max="53" width="8.7109375" style="1" customWidth="1"/>
    <col min="54" max="54" width="6.28515625" style="2" customWidth="1"/>
    <col min="55" max="55" width="11" style="2" customWidth="1"/>
    <col min="56" max="56" width="2.85546875" style="2" customWidth="1"/>
    <col min="57" max="57" width="9.140625" style="2"/>
    <col min="58" max="58" width="7.7109375" style="2" customWidth="1"/>
    <col min="59" max="59" width="6.42578125" style="2" customWidth="1"/>
    <col min="60" max="60" width="8.85546875" style="2" customWidth="1"/>
    <col min="61" max="61" width="8.42578125" style="2" customWidth="1"/>
    <col min="62" max="62" width="8.5703125" style="2" customWidth="1"/>
    <col min="63" max="63" width="7.42578125" style="2" customWidth="1"/>
    <col min="64" max="64" width="8.7109375" style="2" customWidth="1"/>
    <col min="65" max="65" width="9.85546875" style="2" customWidth="1"/>
    <col min="66" max="66" width="8" style="2" customWidth="1"/>
    <col min="67" max="67" width="8.7109375" style="1" customWidth="1"/>
    <col min="68" max="68" width="6.28515625" style="2" customWidth="1"/>
    <col min="69" max="69" width="11" style="2" customWidth="1"/>
    <col min="70" max="70" width="2.85546875" style="2" customWidth="1"/>
    <col min="71" max="71" width="9.140625" style="2"/>
    <col min="72" max="72" width="7.7109375" style="2" customWidth="1"/>
    <col min="73" max="73" width="6.42578125" style="2" customWidth="1"/>
    <col min="74" max="74" width="8.85546875" style="2" customWidth="1"/>
    <col min="75" max="75" width="8.42578125" style="2" customWidth="1"/>
    <col min="76" max="76" width="8.5703125" style="2" customWidth="1"/>
    <col min="77" max="77" width="7.42578125" style="2" customWidth="1"/>
    <col min="78" max="78" width="8.7109375" style="2" customWidth="1"/>
    <col min="79" max="79" width="9.85546875" style="2" customWidth="1"/>
    <col min="80" max="80" width="8" style="2" customWidth="1"/>
    <col min="81" max="81" width="8.7109375" style="1" customWidth="1"/>
    <col min="82" max="82" width="6.28515625" style="2" customWidth="1"/>
    <col min="83" max="83" width="11" style="2" customWidth="1"/>
    <col min="84" max="84" width="2.85546875" style="2" customWidth="1"/>
    <col min="85" max="85" width="9.140625" style="2"/>
    <col min="86" max="86" width="7.7109375" style="2" customWidth="1"/>
    <col min="87" max="87" width="6.42578125" style="2" customWidth="1"/>
    <col min="88" max="88" width="8.85546875" style="2" customWidth="1"/>
    <col min="89" max="89" width="8.42578125" style="2" customWidth="1"/>
    <col min="90" max="90" width="8.5703125" style="2" customWidth="1"/>
    <col min="91" max="91" width="7.42578125" style="2" customWidth="1"/>
    <col min="92" max="92" width="8.7109375" style="2" customWidth="1"/>
    <col min="93" max="93" width="9.85546875" style="2" customWidth="1"/>
    <col min="94" max="94" width="8" style="2" customWidth="1"/>
    <col min="95" max="95" width="8.7109375" style="1" customWidth="1"/>
    <col min="96" max="96" width="6.28515625" style="2" customWidth="1"/>
    <col min="97" max="97" width="11" style="2" customWidth="1"/>
    <col min="98" max="98" width="2.85546875" style="2" customWidth="1"/>
    <col min="99" max="99" width="9.140625" style="2"/>
    <col min="100" max="100" width="7.7109375" style="2" customWidth="1"/>
    <col min="101" max="101" width="6.42578125" style="2" customWidth="1"/>
    <col min="102" max="102" width="8.85546875" style="2" customWidth="1"/>
    <col min="103" max="103" width="8.42578125" style="2" customWidth="1"/>
    <col min="104" max="104" width="8.5703125" style="2" customWidth="1"/>
    <col min="105" max="105" width="7.42578125" style="2" customWidth="1"/>
    <col min="106" max="106" width="8.7109375" style="2" customWidth="1"/>
    <col min="107" max="107" width="9.85546875" style="2" customWidth="1"/>
    <col min="108" max="108" width="8" style="2" customWidth="1"/>
    <col min="109" max="109" width="8.7109375" style="1" customWidth="1"/>
    <col min="110" max="110" width="6.28515625" style="2" customWidth="1"/>
    <col min="111" max="111" width="11" style="2" customWidth="1"/>
    <col min="112" max="112" width="2.85546875" style="2" customWidth="1"/>
    <col min="113" max="113" width="9.140625" style="2"/>
    <col min="114" max="114" width="7.7109375" style="2" customWidth="1"/>
    <col min="115" max="115" width="6.42578125" style="2" customWidth="1"/>
    <col min="116" max="116" width="8.85546875" style="2" customWidth="1"/>
    <col min="117" max="117" width="8.42578125" style="2" customWidth="1"/>
    <col min="118" max="118" width="8.5703125" style="2" customWidth="1"/>
    <col min="119" max="119" width="7.42578125" style="2" customWidth="1"/>
    <col min="120" max="120" width="8.7109375" style="2" customWidth="1"/>
    <col min="121" max="121" width="9.85546875" style="2" customWidth="1"/>
    <col min="122" max="122" width="8" style="2" customWidth="1"/>
    <col min="123" max="123" width="8.7109375" style="1" customWidth="1"/>
    <col min="124" max="124" width="6.28515625" style="2" customWidth="1"/>
    <col min="125" max="125" width="11" style="2" customWidth="1"/>
    <col min="126" max="126" width="2.85546875" style="2" customWidth="1"/>
    <col min="127" max="127" width="9.140625" style="2"/>
    <col min="128" max="128" width="7.7109375" style="2" customWidth="1"/>
    <col min="129" max="129" width="6.42578125" style="2" customWidth="1"/>
    <col min="130" max="130" width="8.85546875" style="2" customWidth="1"/>
    <col min="131" max="131" width="8.42578125" style="2" customWidth="1"/>
    <col min="132" max="132" width="8.5703125" style="2" customWidth="1"/>
    <col min="133" max="133" width="7.42578125" style="2" customWidth="1"/>
    <col min="134" max="134" width="8.7109375" style="2" customWidth="1"/>
    <col min="135" max="135" width="9.85546875" style="2" customWidth="1"/>
    <col min="136" max="136" width="8" style="2" customWidth="1"/>
    <col min="137" max="137" width="8.7109375" style="1" customWidth="1"/>
    <col min="138" max="138" width="6.28515625" style="2" customWidth="1"/>
    <col min="139" max="139" width="11" style="2" customWidth="1"/>
    <col min="140" max="140" width="2.85546875" style="2" customWidth="1"/>
    <col min="141" max="141" width="9.140625" style="2"/>
    <col min="142" max="142" width="7.7109375" style="2" customWidth="1"/>
    <col min="143" max="143" width="6.42578125" style="2" customWidth="1"/>
    <col min="144" max="144" width="8.85546875" style="2" customWidth="1"/>
    <col min="145" max="145" width="8.42578125" style="2" customWidth="1"/>
    <col min="146" max="146" width="8.5703125" style="2" customWidth="1"/>
    <col min="147" max="147" width="7.42578125" style="2" customWidth="1"/>
    <col min="148" max="148" width="8.7109375" style="2" customWidth="1"/>
    <col min="149" max="149" width="9.85546875" style="2" customWidth="1"/>
    <col min="150" max="150" width="8" style="2" customWidth="1"/>
    <col min="151" max="151" width="8.7109375" style="1" customWidth="1"/>
    <col min="152" max="152" width="6.28515625" style="2" customWidth="1"/>
    <col min="153" max="153" width="11" style="2" customWidth="1"/>
    <col min="154" max="154" width="2.85546875" style="2" customWidth="1"/>
    <col min="155" max="155" width="9.140625" style="2"/>
    <col min="156" max="156" width="7.7109375" style="2" customWidth="1"/>
    <col min="157" max="157" width="6.42578125" style="2" customWidth="1"/>
    <col min="158" max="158" width="8.85546875" style="2" customWidth="1"/>
    <col min="159" max="159" width="8.42578125" style="2" customWidth="1"/>
    <col min="160" max="160" width="8.5703125" style="2" customWidth="1"/>
    <col min="161" max="161" width="7.42578125" style="2" customWidth="1"/>
    <col min="162" max="162" width="8.7109375" style="2" customWidth="1"/>
    <col min="163" max="163" width="9.85546875" style="2" customWidth="1"/>
    <col min="164" max="164" width="8" style="2" customWidth="1"/>
    <col min="165" max="165" width="8.7109375" style="1" customWidth="1"/>
    <col min="166" max="166" width="6.28515625" style="2" customWidth="1"/>
    <col min="167" max="167" width="11" style="2" customWidth="1"/>
    <col min="168" max="168" width="2.85546875" style="2" customWidth="1"/>
    <col min="169" max="169" width="9.140625" style="2"/>
    <col min="170" max="170" width="7.7109375" style="2" customWidth="1"/>
    <col min="171" max="171" width="6.42578125" style="2" customWidth="1"/>
    <col min="172" max="172" width="8.85546875" style="2" customWidth="1"/>
    <col min="173" max="173" width="10" style="2" customWidth="1"/>
    <col min="174" max="174" width="8.5703125" style="2" customWidth="1"/>
    <col min="175" max="175" width="7.42578125" style="2" customWidth="1"/>
    <col min="176" max="176" width="9.7109375" style="2" customWidth="1"/>
    <col min="177" max="177" width="10.42578125" style="2" customWidth="1"/>
    <col min="178" max="178" width="8" style="2" customWidth="1"/>
    <col min="179" max="179" width="9.42578125" style="1" customWidth="1"/>
    <col min="180" max="180" width="6.28515625" style="2" customWidth="1"/>
    <col min="181" max="181" width="11" style="2" customWidth="1"/>
    <col min="182" max="182" width="2.85546875" style="2" customWidth="1"/>
    <col min="183" max="183" width="4.7109375" style="2" customWidth="1"/>
    <col min="184" max="16384" width="9.140625" style="2"/>
  </cols>
  <sheetData>
    <row r="1" spans="1:182" ht="11.25" customHeight="1" thickBot="1" x14ac:dyDescent="0.3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6"/>
      <c r="AC1" s="5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6"/>
      <c r="AQ1" s="5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6"/>
      <c r="BE1" s="5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6"/>
      <c r="BS1" s="5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6"/>
      <c r="CG1" s="5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6"/>
      <c r="CU1" s="5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6"/>
      <c r="DI1" s="5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6"/>
      <c r="DW1" s="5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6"/>
      <c r="EK1" s="5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6"/>
      <c r="EY1" s="5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6"/>
      <c r="FM1" s="5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6"/>
    </row>
    <row r="2" spans="1:182" s="21" customFormat="1" ht="36" customHeight="1" thickBot="1" x14ac:dyDescent="0.25">
      <c r="A2" s="14" t="s">
        <v>43</v>
      </c>
      <c r="B2" s="15"/>
      <c r="C2" s="15"/>
      <c r="D2" s="15"/>
      <c r="E2" s="15"/>
      <c r="F2" s="15"/>
      <c r="G2" s="16"/>
      <c r="H2" s="15" t="s">
        <v>0</v>
      </c>
      <c r="I2" s="17">
        <f>SUM('مراجعي العيادات'!I1)</f>
        <v>1</v>
      </c>
      <c r="J2" s="18" t="s">
        <v>7</v>
      </c>
      <c r="K2" s="320">
        <f>SUM('مراجعي العيادات'!K1)</f>
        <v>1447</v>
      </c>
      <c r="L2" s="320"/>
      <c r="M2" s="19"/>
      <c r="N2" s="20"/>
      <c r="O2" s="14" t="s">
        <v>43</v>
      </c>
      <c r="P2" s="15"/>
      <c r="Q2" s="15"/>
      <c r="R2" s="15"/>
      <c r="S2" s="15"/>
      <c r="T2" s="15"/>
      <c r="U2" s="16"/>
      <c r="V2" s="15" t="s">
        <v>0</v>
      </c>
      <c r="W2" s="17">
        <f>SUM('مراجعي العيادات'!W1)</f>
        <v>2</v>
      </c>
      <c r="X2" s="18" t="s">
        <v>7</v>
      </c>
      <c r="Y2" s="320">
        <f>SUM('مراجعي العيادات'!Y1)</f>
        <v>1447</v>
      </c>
      <c r="Z2" s="320"/>
      <c r="AA2" s="19"/>
      <c r="AB2" s="20"/>
      <c r="AC2" s="14" t="s">
        <v>43</v>
      </c>
      <c r="AD2" s="15"/>
      <c r="AE2" s="15"/>
      <c r="AF2" s="15"/>
      <c r="AG2" s="15"/>
      <c r="AH2" s="15"/>
      <c r="AI2" s="16"/>
      <c r="AJ2" s="15" t="s">
        <v>0</v>
      </c>
      <c r="AK2" s="17">
        <f>SUM('مراجعي العيادات'!AK1)</f>
        <v>3</v>
      </c>
      <c r="AL2" s="18" t="s">
        <v>7</v>
      </c>
      <c r="AM2" s="320">
        <f>SUM('مراجعي العيادات'!AM1)</f>
        <v>1447</v>
      </c>
      <c r="AN2" s="320"/>
      <c r="AO2" s="19"/>
      <c r="AP2" s="20"/>
      <c r="AQ2" s="14" t="s">
        <v>43</v>
      </c>
      <c r="AR2" s="15"/>
      <c r="AS2" s="15"/>
      <c r="AT2" s="15"/>
      <c r="AU2" s="15"/>
      <c r="AV2" s="15"/>
      <c r="AW2" s="16"/>
      <c r="AX2" s="15" t="s">
        <v>0</v>
      </c>
      <c r="AY2" s="17">
        <f>SUM('مراجعي العيادات'!AY1)</f>
        <v>4</v>
      </c>
      <c r="AZ2" s="18" t="s">
        <v>7</v>
      </c>
      <c r="BA2" s="320">
        <f>SUM('مراجعي العيادات'!BA1)</f>
        <v>1447</v>
      </c>
      <c r="BB2" s="320"/>
      <c r="BC2" s="19"/>
      <c r="BD2" s="20"/>
      <c r="BE2" s="14" t="s">
        <v>43</v>
      </c>
      <c r="BF2" s="15"/>
      <c r="BG2" s="15"/>
      <c r="BH2" s="15"/>
      <c r="BI2" s="15"/>
      <c r="BJ2" s="15"/>
      <c r="BK2" s="16"/>
      <c r="BL2" s="15" t="s">
        <v>0</v>
      </c>
      <c r="BM2" s="17">
        <f>SUM('مراجعي العيادات'!BM1)</f>
        <v>5</v>
      </c>
      <c r="BN2" s="18" t="s">
        <v>7</v>
      </c>
      <c r="BO2" s="320">
        <f>SUM('مراجعي العيادات'!BO1)</f>
        <v>1447</v>
      </c>
      <c r="BP2" s="320"/>
      <c r="BQ2" s="19"/>
      <c r="BR2" s="20"/>
      <c r="BS2" s="14" t="s">
        <v>43</v>
      </c>
      <c r="BT2" s="15"/>
      <c r="BU2" s="15"/>
      <c r="BV2" s="15"/>
      <c r="BW2" s="15"/>
      <c r="BX2" s="15"/>
      <c r="BY2" s="16"/>
      <c r="BZ2" s="15" t="s">
        <v>0</v>
      </c>
      <c r="CA2" s="17">
        <f>SUM('مراجعي العيادات'!CA1)</f>
        <v>6</v>
      </c>
      <c r="CB2" s="18" t="s">
        <v>7</v>
      </c>
      <c r="CC2" s="320">
        <f>SUM('مراجعي العيادات'!CC1)</f>
        <v>1447</v>
      </c>
      <c r="CD2" s="320"/>
      <c r="CE2" s="19"/>
      <c r="CF2" s="20"/>
      <c r="CG2" s="14" t="s">
        <v>43</v>
      </c>
      <c r="CH2" s="15"/>
      <c r="CI2" s="15"/>
      <c r="CJ2" s="15"/>
      <c r="CK2" s="15"/>
      <c r="CL2" s="15"/>
      <c r="CM2" s="16"/>
      <c r="CN2" s="15" t="s">
        <v>0</v>
      </c>
      <c r="CO2" s="17">
        <f>SUM('مراجعي العيادات'!CO1)</f>
        <v>7</v>
      </c>
      <c r="CP2" s="18" t="s">
        <v>7</v>
      </c>
      <c r="CQ2" s="320">
        <f>SUM('مراجعي العيادات'!CQ1)</f>
        <v>1447</v>
      </c>
      <c r="CR2" s="320"/>
      <c r="CS2" s="19"/>
      <c r="CT2" s="20"/>
      <c r="CU2" s="14" t="s">
        <v>43</v>
      </c>
      <c r="CV2" s="15"/>
      <c r="CW2" s="15"/>
      <c r="CX2" s="15"/>
      <c r="CY2" s="15"/>
      <c r="CZ2" s="15"/>
      <c r="DA2" s="16"/>
      <c r="DB2" s="15" t="s">
        <v>0</v>
      </c>
      <c r="DC2" s="17">
        <f>SUM('مراجعي العيادات'!DC1)</f>
        <v>8</v>
      </c>
      <c r="DD2" s="18" t="s">
        <v>7</v>
      </c>
      <c r="DE2" s="320">
        <f>SUM('مراجعي العيادات'!DE1)</f>
        <v>1447</v>
      </c>
      <c r="DF2" s="320"/>
      <c r="DG2" s="19"/>
      <c r="DH2" s="20"/>
      <c r="DI2" s="14" t="s">
        <v>43</v>
      </c>
      <c r="DJ2" s="15"/>
      <c r="DK2" s="15"/>
      <c r="DL2" s="15"/>
      <c r="DM2" s="15"/>
      <c r="DN2" s="15"/>
      <c r="DO2" s="16"/>
      <c r="DP2" s="15" t="s">
        <v>0</v>
      </c>
      <c r="DQ2" s="17">
        <f>SUM('مراجعي العيادات'!DQ1)</f>
        <v>9</v>
      </c>
      <c r="DR2" s="18" t="s">
        <v>7</v>
      </c>
      <c r="DS2" s="320">
        <f>SUM('مراجعي العيادات'!DS1)</f>
        <v>1447</v>
      </c>
      <c r="DT2" s="320"/>
      <c r="DU2" s="19"/>
      <c r="DV2" s="20"/>
      <c r="DW2" s="14" t="s">
        <v>43</v>
      </c>
      <c r="DX2" s="15"/>
      <c r="DY2" s="15"/>
      <c r="DZ2" s="15"/>
      <c r="EA2" s="15"/>
      <c r="EB2" s="15"/>
      <c r="EC2" s="16"/>
      <c r="ED2" s="15" t="s">
        <v>0</v>
      </c>
      <c r="EE2" s="17">
        <f>SUM('مراجعي العيادات'!EE1)</f>
        <v>10</v>
      </c>
      <c r="EF2" s="18" t="s">
        <v>7</v>
      </c>
      <c r="EG2" s="320">
        <f>SUM('مراجعي العيادات'!EG1)</f>
        <v>1447</v>
      </c>
      <c r="EH2" s="320"/>
      <c r="EI2" s="19"/>
      <c r="EJ2" s="20"/>
      <c r="EK2" s="14" t="s">
        <v>43</v>
      </c>
      <c r="EL2" s="15"/>
      <c r="EM2" s="15"/>
      <c r="EN2" s="15"/>
      <c r="EO2" s="15"/>
      <c r="EP2" s="15"/>
      <c r="EQ2" s="16"/>
      <c r="ER2" s="15" t="s">
        <v>0</v>
      </c>
      <c r="ES2" s="17">
        <f>SUM('مراجعي العيادات'!ES1)</f>
        <v>11</v>
      </c>
      <c r="ET2" s="18" t="s">
        <v>7</v>
      </c>
      <c r="EU2" s="320">
        <f>SUM('مراجعي العيادات'!EU1)</f>
        <v>1447</v>
      </c>
      <c r="EV2" s="320"/>
      <c r="EW2" s="19"/>
      <c r="EX2" s="20"/>
      <c r="EY2" s="14" t="s">
        <v>43</v>
      </c>
      <c r="EZ2" s="15"/>
      <c r="FA2" s="15"/>
      <c r="FB2" s="15"/>
      <c r="FC2" s="15"/>
      <c r="FD2" s="15"/>
      <c r="FE2" s="16"/>
      <c r="FF2" s="15" t="s">
        <v>0</v>
      </c>
      <c r="FG2" s="17">
        <f>SUM('مراجعي العيادات'!FG1)</f>
        <v>12</v>
      </c>
      <c r="FH2" s="18" t="s">
        <v>7</v>
      </c>
      <c r="FI2" s="320">
        <f>SUM('مراجعي العيادات'!FI1)</f>
        <v>1447</v>
      </c>
      <c r="FJ2" s="320"/>
      <c r="FK2" s="19"/>
      <c r="FL2" s="20"/>
      <c r="FM2" s="14" t="s">
        <v>43</v>
      </c>
      <c r="FN2" s="15"/>
      <c r="FO2" s="15"/>
      <c r="FP2" s="15"/>
      <c r="FQ2" s="15"/>
      <c r="FR2" s="15"/>
      <c r="FS2" s="16"/>
      <c r="FT2" s="15"/>
      <c r="FU2" s="17"/>
      <c r="FV2" s="18" t="s">
        <v>7</v>
      </c>
      <c r="FW2" s="320">
        <f>SUM('مراجعي العيادات'!FW1)</f>
        <v>1447</v>
      </c>
      <c r="FX2" s="320"/>
      <c r="FY2" s="19"/>
      <c r="FZ2" s="20"/>
    </row>
    <row r="3" spans="1:182" s="7" customFormat="1" ht="33.75" customHeight="1" x14ac:dyDescent="0.2">
      <c r="A3" s="321" t="s">
        <v>1</v>
      </c>
      <c r="B3" s="321" t="s">
        <v>6</v>
      </c>
      <c r="C3" s="323" t="s">
        <v>8</v>
      </c>
      <c r="D3" s="34" t="s">
        <v>11</v>
      </c>
      <c r="E3" s="35" t="s">
        <v>12</v>
      </c>
      <c r="F3" s="35" t="s">
        <v>13</v>
      </c>
      <c r="G3" s="35" t="s">
        <v>14</v>
      </c>
      <c r="H3" s="37" t="s">
        <v>15</v>
      </c>
      <c r="I3" s="40" t="s">
        <v>2</v>
      </c>
      <c r="J3" s="39" t="s">
        <v>16</v>
      </c>
      <c r="K3" s="35" t="s">
        <v>3</v>
      </c>
      <c r="L3" s="36" t="s">
        <v>4</v>
      </c>
      <c r="M3" s="38" t="s">
        <v>17</v>
      </c>
      <c r="N3" s="8"/>
      <c r="O3" s="321" t="s">
        <v>1</v>
      </c>
      <c r="P3" s="321" t="s">
        <v>6</v>
      </c>
      <c r="Q3" s="323" t="s">
        <v>8</v>
      </c>
      <c r="R3" s="34" t="s">
        <v>11</v>
      </c>
      <c r="S3" s="35" t="s">
        <v>12</v>
      </c>
      <c r="T3" s="35" t="s">
        <v>13</v>
      </c>
      <c r="U3" s="35" t="s">
        <v>14</v>
      </c>
      <c r="V3" s="37" t="s">
        <v>15</v>
      </c>
      <c r="W3" s="40" t="s">
        <v>2</v>
      </c>
      <c r="X3" s="39" t="s">
        <v>16</v>
      </c>
      <c r="Y3" s="35" t="s">
        <v>3</v>
      </c>
      <c r="Z3" s="36" t="s">
        <v>4</v>
      </c>
      <c r="AA3" s="38" t="s">
        <v>17</v>
      </c>
      <c r="AB3" s="8"/>
      <c r="AC3" s="321" t="s">
        <v>1</v>
      </c>
      <c r="AD3" s="321" t="s">
        <v>6</v>
      </c>
      <c r="AE3" s="323" t="s">
        <v>8</v>
      </c>
      <c r="AF3" s="34" t="s">
        <v>11</v>
      </c>
      <c r="AG3" s="35" t="s">
        <v>12</v>
      </c>
      <c r="AH3" s="35" t="s">
        <v>13</v>
      </c>
      <c r="AI3" s="35" t="s">
        <v>14</v>
      </c>
      <c r="AJ3" s="37" t="s">
        <v>15</v>
      </c>
      <c r="AK3" s="40" t="s">
        <v>2</v>
      </c>
      <c r="AL3" s="39" t="s">
        <v>16</v>
      </c>
      <c r="AM3" s="35" t="s">
        <v>3</v>
      </c>
      <c r="AN3" s="36" t="s">
        <v>4</v>
      </c>
      <c r="AO3" s="38" t="s">
        <v>17</v>
      </c>
      <c r="AP3" s="8"/>
      <c r="AQ3" s="321" t="s">
        <v>1</v>
      </c>
      <c r="AR3" s="321" t="s">
        <v>6</v>
      </c>
      <c r="AS3" s="323" t="s">
        <v>8</v>
      </c>
      <c r="AT3" s="34" t="s">
        <v>11</v>
      </c>
      <c r="AU3" s="35" t="s">
        <v>12</v>
      </c>
      <c r="AV3" s="35" t="s">
        <v>13</v>
      </c>
      <c r="AW3" s="35" t="s">
        <v>14</v>
      </c>
      <c r="AX3" s="37" t="s">
        <v>15</v>
      </c>
      <c r="AY3" s="40" t="s">
        <v>2</v>
      </c>
      <c r="AZ3" s="39" t="s">
        <v>16</v>
      </c>
      <c r="BA3" s="35" t="s">
        <v>3</v>
      </c>
      <c r="BB3" s="36" t="s">
        <v>4</v>
      </c>
      <c r="BC3" s="38" t="s">
        <v>17</v>
      </c>
      <c r="BD3" s="8"/>
      <c r="BE3" s="321" t="s">
        <v>1</v>
      </c>
      <c r="BF3" s="321" t="s">
        <v>6</v>
      </c>
      <c r="BG3" s="323" t="s">
        <v>8</v>
      </c>
      <c r="BH3" s="34" t="s">
        <v>11</v>
      </c>
      <c r="BI3" s="35" t="s">
        <v>12</v>
      </c>
      <c r="BJ3" s="35" t="s">
        <v>13</v>
      </c>
      <c r="BK3" s="35" t="s">
        <v>14</v>
      </c>
      <c r="BL3" s="37" t="s">
        <v>15</v>
      </c>
      <c r="BM3" s="40" t="s">
        <v>2</v>
      </c>
      <c r="BN3" s="39" t="s">
        <v>16</v>
      </c>
      <c r="BO3" s="35" t="s">
        <v>3</v>
      </c>
      <c r="BP3" s="36" t="s">
        <v>4</v>
      </c>
      <c r="BQ3" s="38" t="s">
        <v>17</v>
      </c>
      <c r="BR3" s="8"/>
      <c r="BS3" s="321" t="s">
        <v>1</v>
      </c>
      <c r="BT3" s="321" t="s">
        <v>6</v>
      </c>
      <c r="BU3" s="323" t="s">
        <v>8</v>
      </c>
      <c r="BV3" s="34" t="s">
        <v>11</v>
      </c>
      <c r="BW3" s="35" t="s">
        <v>12</v>
      </c>
      <c r="BX3" s="35" t="s">
        <v>13</v>
      </c>
      <c r="BY3" s="35" t="s">
        <v>14</v>
      </c>
      <c r="BZ3" s="37" t="s">
        <v>15</v>
      </c>
      <c r="CA3" s="40" t="s">
        <v>2</v>
      </c>
      <c r="CB3" s="39" t="s">
        <v>16</v>
      </c>
      <c r="CC3" s="35" t="s">
        <v>3</v>
      </c>
      <c r="CD3" s="36" t="s">
        <v>4</v>
      </c>
      <c r="CE3" s="38" t="s">
        <v>17</v>
      </c>
      <c r="CF3" s="8"/>
      <c r="CG3" s="321" t="s">
        <v>1</v>
      </c>
      <c r="CH3" s="321" t="s">
        <v>6</v>
      </c>
      <c r="CI3" s="323" t="s">
        <v>8</v>
      </c>
      <c r="CJ3" s="34" t="s">
        <v>11</v>
      </c>
      <c r="CK3" s="35" t="s">
        <v>12</v>
      </c>
      <c r="CL3" s="35" t="s">
        <v>13</v>
      </c>
      <c r="CM3" s="35" t="s">
        <v>14</v>
      </c>
      <c r="CN3" s="37" t="s">
        <v>15</v>
      </c>
      <c r="CO3" s="40" t="s">
        <v>2</v>
      </c>
      <c r="CP3" s="39" t="s">
        <v>16</v>
      </c>
      <c r="CQ3" s="35" t="s">
        <v>3</v>
      </c>
      <c r="CR3" s="36" t="s">
        <v>4</v>
      </c>
      <c r="CS3" s="38" t="s">
        <v>17</v>
      </c>
      <c r="CT3" s="8"/>
      <c r="CU3" s="321" t="s">
        <v>1</v>
      </c>
      <c r="CV3" s="321" t="s">
        <v>6</v>
      </c>
      <c r="CW3" s="323" t="s">
        <v>8</v>
      </c>
      <c r="CX3" s="34" t="s">
        <v>11</v>
      </c>
      <c r="CY3" s="35" t="s">
        <v>12</v>
      </c>
      <c r="CZ3" s="35" t="s">
        <v>13</v>
      </c>
      <c r="DA3" s="35" t="s">
        <v>14</v>
      </c>
      <c r="DB3" s="37" t="s">
        <v>15</v>
      </c>
      <c r="DC3" s="40" t="s">
        <v>2</v>
      </c>
      <c r="DD3" s="39" t="s">
        <v>16</v>
      </c>
      <c r="DE3" s="35" t="s">
        <v>3</v>
      </c>
      <c r="DF3" s="36" t="s">
        <v>4</v>
      </c>
      <c r="DG3" s="38" t="s">
        <v>17</v>
      </c>
      <c r="DH3" s="8"/>
      <c r="DI3" s="321" t="s">
        <v>1</v>
      </c>
      <c r="DJ3" s="321" t="s">
        <v>6</v>
      </c>
      <c r="DK3" s="323" t="s">
        <v>8</v>
      </c>
      <c r="DL3" s="34" t="s">
        <v>11</v>
      </c>
      <c r="DM3" s="35" t="s">
        <v>12</v>
      </c>
      <c r="DN3" s="35" t="s">
        <v>13</v>
      </c>
      <c r="DO3" s="35" t="s">
        <v>14</v>
      </c>
      <c r="DP3" s="37" t="s">
        <v>15</v>
      </c>
      <c r="DQ3" s="40" t="s">
        <v>2</v>
      </c>
      <c r="DR3" s="39" t="s">
        <v>16</v>
      </c>
      <c r="DS3" s="35" t="s">
        <v>3</v>
      </c>
      <c r="DT3" s="36" t="s">
        <v>4</v>
      </c>
      <c r="DU3" s="38" t="s">
        <v>17</v>
      </c>
      <c r="DV3" s="8"/>
      <c r="DW3" s="321" t="s">
        <v>1</v>
      </c>
      <c r="DX3" s="321" t="s">
        <v>6</v>
      </c>
      <c r="DY3" s="323" t="s">
        <v>8</v>
      </c>
      <c r="DZ3" s="34" t="s">
        <v>11</v>
      </c>
      <c r="EA3" s="35" t="s">
        <v>12</v>
      </c>
      <c r="EB3" s="35" t="s">
        <v>13</v>
      </c>
      <c r="EC3" s="35" t="s">
        <v>14</v>
      </c>
      <c r="ED3" s="37" t="s">
        <v>15</v>
      </c>
      <c r="EE3" s="40" t="s">
        <v>2</v>
      </c>
      <c r="EF3" s="39" t="s">
        <v>16</v>
      </c>
      <c r="EG3" s="35" t="s">
        <v>3</v>
      </c>
      <c r="EH3" s="36" t="s">
        <v>4</v>
      </c>
      <c r="EI3" s="38" t="s">
        <v>17</v>
      </c>
      <c r="EJ3" s="8"/>
      <c r="EK3" s="321" t="s">
        <v>1</v>
      </c>
      <c r="EL3" s="321" t="s">
        <v>6</v>
      </c>
      <c r="EM3" s="323" t="s">
        <v>8</v>
      </c>
      <c r="EN3" s="34" t="s">
        <v>11</v>
      </c>
      <c r="EO3" s="35" t="s">
        <v>12</v>
      </c>
      <c r="EP3" s="35" t="s">
        <v>13</v>
      </c>
      <c r="EQ3" s="35" t="s">
        <v>14</v>
      </c>
      <c r="ER3" s="37" t="s">
        <v>15</v>
      </c>
      <c r="ES3" s="40" t="s">
        <v>2</v>
      </c>
      <c r="ET3" s="39" t="s">
        <v>16</v>
      </c>
      <c r="EU3" s="35" t="s">
        <v>3</v>
      </c>
      <c r="EV3" s="36" t="s">
        <v>4</v>
      </c>
      <c r="EW3" s="38" t="s">
        <v>17</v>
      </c>
      <c r="EX3" s="8"/>
      <c r="EY3" s="321" t="s">
        <v>1</v>
      </c>
      <c r="EZ3" s="321" t="s">
        <v>6</v>
      </c>
      <c r="FA3" s="323" t="s">
        <v>8</v>
      </c>
      <c r="FB3" s="34" t="s">
        <v>11</v>
      </c>
      <c r="FC3" s="35" t="s">
        <v>12</v>
      </c>
      <c r="FD3" s="35" t="s">
        <v>13</v>
      </c>
      <c r="FE3" s="35" t="s">
        <v>14</v>
      </c>
      <c r="FF3" s="37" t="s">
        <v>15</v>
      </c>
      <c r="FG3" s="40" t="s">
        <v>2</v>
      </c>
      <c r="FH3" s="39" t="s">
        <v>16</v>
      </c>
      <c r="FI3" s="35" t="s">
        <v>3</v>
      </c>
      <c r="FJ3" s="36" t="s">
        <v>4</v>
      </c>
      <c r="FK3" s="38" t="s">
        <v>17</v>
      </c>
      <c r="FL3" s="8"/>
      <c r="FM3" s="321" t="s">
        <v>1</v>
      </c>
      <c r="FN3" s="321" t="s">
        <v>6</v>
      </c>
      <c r="FO3" s="323" t="s">
        <v>8</v>
      </c>
      <c r="FP3" s="34" t="s">
        <v>11</v>
      </c>
      <c r="FQ3" s="35" t="s">
        <v>12</v>
      </c>
      <c r="FR3" s="35" t="s">
        <v>13</v>
      </c>
      <c r="FS3" s="35" t="s">
        <v>14</v>
      </c>
      <c r="FT3" s="37" t="s">
        <v>15</v>
      </c>
      <c r="FU3" s="40" t="s">
        <v>2</v>
      </c>
      <c r="FV3" s="39" t="s">
        <v>16</v>
      </c>
      <c r="FW3" s="35" t="s">
        <v>3</v>
      </c>
      <c r="FX3" s="36" t="s">
        <v>4</v>
      </c>
      <c r="FY3" s="38" t="s">
        <v>17</v>
      </c>
      <c r="FZ3" s="8"/>
    </row>
    <row r="4" spans="1:182" s="7" customFormat="1" ht="12" customHeight="1" thickBot="1" x14ac:dyDescent="0.25">
      <c r="A4" s="322"/>
      <c r="B4" s="322"/>
      <c r="C4" s="324"/>
      <c r="D4" s="41">
        <v>1</v>
      </c>
      <c r="E4" s="42">
        <v>2</v>
      </c>
      <c r="F4" s="42">
        <v>3</v>
      </c>
      <c r="G4" s="42">
        <v>4</v>
      </c>
      <c r="H4" s="43">
        <v>5</v>
      </c>
      <c r="I4" s="44" t="s">
        <v>29</v>
      </c>
      <c r="J4" s="45">
        <v>7</v>
      </c>
      <c r="K4" s="42">
        <v>8</v>
      </c>
      <c r="L4" s="46">
        <v>9</v>
      </c>
      <c r="M4" s="47" t="s">
        <v>30</v>
      </c>
      <c r="N4" s="8"/>
      <c r="O4" s="322"/>
      <c r="P4" s="322"/>
      <c r="Q4" s="324"/>
      <c r="R4" s="41">
        <v>1</v>
      </c>
      <c r="S4" s="42">
        <v>2</v>
      </c>
      <c r="T4" s="42">
        <v>3</v>
      </c>
      <c r="U4" s="42">
        <v>4</v>
      </c>
      <c r="V4" s="43">
        <v>5</v>
      </c>
      <c r="W4" s="44" t="s">
        <v>29</v>
      </c>
      <c r="X4" s="45">
        <v>7</v>
      </c>
      <c r="Y4" s="42">
        <v>8</v>
      </c>
      <c r="Z4" s="46">
        <v>9</v>
      </c>
      <c r="AA4" s="47" t="s">
        <v>30</v>
      </c>
      <c r="AB4" s="8"/>
      <c r="AC4" s="322"/>
      <c r="AD4" s="322"/>
      <c r="AE4" s="324"/>
      <c r="AF4" s="41">
        <v>1</v>
      </c>
      <c r="AG4" s="42">
        <v>2</v>
      </c>
      <c r="AH4" s="42">
        <v>3</v>
      </c>
      <c r="AI4" s="42">
        <v>4</v>
      </c>
      <c r="AJ4" s="43">
        <v>5</v>
      </c>
      <c r="AK4" s="44" t="s">
        <v>29</v>
      </c>
      <c r="AL4" s="45">
        <v>7</v>
      </c>
      <c r="AM4" s="42">
        <v>8</v>
      </c>
      <c r="AN4" s="46">
        <v>9</v>
      </c>
      <c r="AO4" s="47" t="s">
        <v>30</v>
      </c>
      <c r="AP4" s="8"/>
      <c r="AQ4" s="322"/>
      <c r="AR4" s="322"/>
      <c r="AS4" s="324"/>
      <c r="AT4" s="41">
        <v>1</v>
      </c>
      <c r="AU4" s="42">
        <v>2</v>
      </c>
      <c r="AV4" s="42">
        <v>3</v>
      </c>
      <c r="AW4" s="42">
        <v>4</v>
      </c>
      <c r="AX4" s="43">
        <v>5</v>
      </c>
      <c r="AY4" s="44" t="s">
        <v>29</v>
      </c>
      <c r="AZ4" s="45">
        <v>7</v>
      </c>
      <c r="BA4" s="42">
        <v>8</v>
      </c>
      <c r="BB4" s="46">
        <v>9</v>
      </c>
      <c r="BC4" s="47" t="s">
        <v>30</v>
      </c>
      <c r="BD4" s="8"/>
      <c r="BE4" s="322"/>
      <c r="BF4" s="322"/>
      <c r="BG4" s="324"/>
      <c r="BH4" s="41">
        <v>1</v>
      </c>
      <c r="BI4" s="42">
        <v>2</v>
      </c>
      <c r="BJ4" s="42">
        <v>3</v>
      </c>
      <c r="BK4" s="42">
        <v>4</v>
      </c>
      <c r="BL4" s="43">
        <v>5</v>
      </c>
      <c r="BM4" s="44" t="s">
        <v>29</v>
      </c>
      <c r="BN4" s="45">
        <v>7</v>
      </c>
      <c r="BO4" s="42">
        <v>8</v>
      </c>
      <c r="BP4" s="46">
        <v>9</v>
      </c>
      <c r="BQ4" s="47" t="s">
        <v>30</v>
      </c>
      <c r="BR4" s="8"/>
      <c r="BS4" s="322"/>
      <c r="BT4" s="322"/>
      <c r="BU4" s="324"/>
      <c r="BV4" s="41">
        <v>1</v>
      </c>
      <c r="BW4" s="42">
        <v>2</v>
      </c>
      <c r="BX4" s="42">
        <v>3</v>
      </c>
      <c r="BY4" s="42">
        <v>4</v>
      </c>
      <c r="BZ4" s="43">
        <v>5</v>
      </c>
      <c r="CA4" s="44" t="s">
        <v>29</v>
      </c>
      <c r="CB4" s="45">
        <v>7</v>
      </c>
      <c r="CC4" s="42">
        <v>8</v>
      </c>
      <c r="CD4" s="46">
        <v>9</v>
      </c>
      <c r="CE4" s="47" t="s">
        <v>30</v>
      </c>
      <c r="CF4" s="8"/>
      <c r="CG4" s="322"/>
      <c r="CH4" s="322"/>
      <c r="CI4" s="324"/>
      <c r="CJ4" s="41">
        <v>1</v>
      </c>
      <c r="CK4" s="42">
        <v>2</v>
      </c>
      <c r="CL4" s="42">
        <v>3</v>
      </c>
      <c r="CM4" s="42">
        <v>4</v>
      </c>
      <c r="CN4" s="43">
        <v>5</v>
      </c>
      <c r="CO4" s="44" t="s">
        <v>29</v>
      </c>
      <c r="CP4" s="45">
        <v>7</v>
      </c>
      <c r="CQ4" s="42">
        <v>8</v>
      </c>
      <c r="CR4" s="46">
        <v>9</v>
      </c>
      <c r="CS4" s="47" t="s">
        <v>30</v>
      </c>
      <c r="CT4" s="8"/>
      <c r="CU4" s="322"/>
      <c r="CV4" s="322"/>
      <c r="CW4" s="324"/>
      <c r="CX4" s="41">
        <v>1</v>
      </c>
      <c r="CY4" s="42">
        <v>2</v>
      </c>
      <c r="CZ4" s="42">
        <v>3</v>
      </c>
      <c r="DA4" s="42">
        <v>4</v>
      </c>
      <c r="DB4" s="43">
        <v>5</v>
      </c>
      <c r="DC4" s="44" t="s">
        <v>29</v>
      </c>
      <c r="DD4" s="45">
        <v>7</v>
      </c>
      <c r="DE4" s="42">
        <v>8</v>
      </c>
      <c r="DF4" s="46">
        <v>9</v>
      </c>
      <c r="DG4" s="47" t="s">
        <v>30</v>
      </c>
      <c r="DH4" s="8"/>
      <c r="DI4" s="322"/>
      <c r="DJ4" s="322"/>
      <c r="DK4" s="324"/>
      <c r="DL4" s="41">
        <v>1</v>
      </c>
      <c r="DM4" s="42">
        <v>2</v>
      </c>
      <c r="DN4" s="42">
        <v>3</v>
      </c>
      <c r="DO4" s="42">
        <v>4</v>
      </c>
      <c r="DP4" s="43">
        <v>5</v>
      </c>
      <c r="DQ4" s="44" t="s">
        <v>29</v>
      </c>
      <c r="DR4" s="45">
        <v>7</v>
      </c>
      <c r="DS4" s="42">
        <v>8</v>
      </c>
      <c r="DT4" s="46">
        <v>9</v>
      </c>
      <c r="DU4" s="47" t="s">
        <v>30</v>
      </c>
      <c r="DV4" s="8"/>
      <c r="DW4" s="322"/>
      <c r="DX4" s="322"/>
      <c r="DY4" s="324"/>
      <c r="DZ4" s="41">
        <v>1</v>
      </c>
      <c r="EA4" s="42">
        <v>2</v>
      </c>
      <c r="EB4" s="42">
        <v>3</v>
      </c>
      <c r="EC4" s="42">
        <v>4</v>
      </c>
      <c r="ED4" s="43">
        <v>5</v>
      </c>
      <c r="EE4" s="44" t="s">
        <v>29</v>
      </c>
      <c r="EF4" s="45">
        <v>7</v>
      </c>
      <c r="EG4" s="42">
        <v>8</v>
      </c>
      <c r="EH4" s="46">
        <v>9</v>
      </c>
      <c r="EI4" s="47" t="s">
        <v>30</v>
      </c>
      <c r="EJ4" s="8"/>
      <c r="EK4" s="322"/>
      <c r="EL4" s="322"/>
      <c r="EM4" s="324"/>
      <c r="EN4" s="41">
        <v>1</v>
      </c>
      <c r="EO4" s="42">
        <v>2</v>
      </c>
      <c r="EP4" s="42">
        <v>3</v>
      </c>
      <c r="EQ4" s="42">
        <v>4</v>
      </c>
      <c r="ER4" s="43">
        <v>5</v>
      </c>
      <c r="ES4" s="44" t="s">
        <v>29</v>
      </c>
      <c r="ET4" s="45">
        <v>7</v>
      </c>
      <c r="EU4" s="42">
        <v>8</v>
      </c>
      <c r="EV4" s="46">
        <v>9</v>
      </c>
      <c r="EW4" s="47" t="s">
        <v>30</v>
      </c>
      <c r="EX4" s="8"/>
      <c r="EY4" s="322"/>
      <c r="EZ4" s="322"/>
      <c r="FA4" s="324"/>
      <c r="FB4" s="41">
        <v>1</v>
      </c>
      <c r="FC4" s="42">
        <v>2</v>
      </c>
      <c r="FD4" s="42">
        <v>3</v>
      </c>
      <c r="FE4" s="42">
        <v>4</v>
      </c>
      <c r="FF4" s="43">
        <v>5</v>
      </c>
      <c r="FG4" s="44" t="s">
        <v>29</v>
      </c>
      <c r="FH4" s="45">
        <v>7</v>
      </c>
      <c r="FI4" s="42">
        <v>8</v>
      </c>
      <c r="FJ4" s="46">
        <v>9</v>
      </c>
      <c r="FK4" s="47" t="s">
        <v>30</v>
      </c>
      <c r="FL4" s="8"/>
      <c r="FM4" s="322"/>
      <c r="FN4" s="322"/>
      <c r="FO4" s="324"/>
      <c r="FP4" s="41">
        <v>1</v>
      </c>
      <c r="FQ4" s="42">
        <v>2</v>
      </c>
      <c r="FR4" s="42">
        <v>3</v>
      </c>
      <c r="FS4" s="42">
        <v>4</v>
      </c>
      <c r="FT4" s="43">
        <v>5</v>
      </c>
      <c r="FU4" s="44" t="s">
        <v>29</v>
      </c>
      <c r="FV4" s="45">
        <v>7</v>
      </c>
      <c r="FW4" s="42">
        <v>8</v>
      </c>
      <c r="FX4" s="46">
        <v>9</v>
      </c>
      <c r="FY4" s="47" t="s">
        <v>30</v>
      </c>
      <c r="FZ4" s="8"/>
    </row>
    <row r="5" spans="1:182" ht="20.100000000000001" customHeight="1" x14ac:dyDescent="0.2">
      <c r="A5" s="325" t="s">
        <v>42</v>
      </c>
      <c r="B5" s="328" t="s">
        <v>5</v>
      </c>
      <c r="C5" s="9" t="s">
        <v>20</v>
      </c>
      <c r="D5" s="22">
        <f>'مراجعي العيادات'!D93</f>
        <v>14867</v>
      </c>
      <c r="E5" s="24">
        <f>'مراجعي العيادات'!E93</f>
        <v>3383</v>
      </c>
      <c r="F5" s="24">
        <f>'مراجعي العيادات'!F93</f>
        <v>1337</v>
      </c>
      <c r="G5" s="24">
        <f>'مراجعي العيادات'!G93</f>
        <v>0</v>
      </c>
      <c r="H5" s="23">
        <f>'مراجعي العيادات'!H93</f>
        <v>2380</v>
      </c>
      <c r="I5" s="188">
        <f>SUM(D5:H5)</f>
        <v>21967</v>
      </c>
      <c r="J5" s="22">
        <f>'مراجعي العيادات'!J93</f>
        <v>1887</v>
      </c>
      <c r="K5" s="24">
        <f>'مراجعي العيادات'!K93</f>
        <v>3761</v>
      </c>
      <c r="L5" s="23">
        <f>'مراجعي العيادات'!L93</f>
        <v>532</v>
      </c>
      <c r="M5" s="25">
        <f>SUM(J5:L5)</f>
        <v>6180</v>
      </c>
      <c r="N5" s="6"/>
      <c r="O5" s="325" t="s">
        <v>42</v>
      </c>
      <c r="P5" s="328" t="s">
        <v>5</v>
      </c>
      <c r="Q5" s="9" t="s">
        <v>20</v>
      </c>
      <c r="R5" s="22">
        <f>'مراجعي العيادات'!R93</f>
        <v>18515</v>
      </c>
      <c r="S5" s="24">
        <f>'مراجعي العيادات'!S93</f>
        <v>1480</v>
      </c>
      <c r="T5" s="24">
        <f>'مراجعي العيادات'!T93</f>
        <v>1349</v>
      </c>
      <c r="U5" s="24">
        <f>'مراجعي العيادات'!U93</f>
        <v>0</v>
      </c>
      <c r="V5" s="23">
        <f>'مراجعي العيادات'!V93</f>
        <v>2108</v>
      </c>
      <c r="W5" s="188">
        <f>SUM(R5:V5)</f>
        <v>23452</v>
      </c>
      <c r="X5" s="22">
        <f>'مراجعي العيادات'!X93</f>
        <v>2292</v>
      </c>
      <c r="Y5" s="24">
        <f>'مراجعي العيادات'!Y93</f>
        <v>5516</v>
      </c>
      <c r="Z5" s="23">
        <f>'مراجعي العيادات'!Z93</f>
        <v>892</v>
      </c>
      <c r="AA5" s="25">
        <f>SUM(X5:Z5)</f>
        <v>8700</v>
      </c>
      <c r="AB5" s="6"/>
      <c r="AC5" s="325" t="s">
        <v>42</v>
      </c>
      <c r="AD5" s="328" t="s">
        <v>5</v>
      </c>
      <c r="AE5" s="9" t="s">
        <v>20</v>
      </c>
      <c r="AF5" s="22">
        <f>'مراجعي العيادات'!AF93</f>
        <v>21631</v>
      </c>
      <c r="AG5" s="24">
        <f>'مراجعي العيادات'!AG93</f>
        <v>2239</v>
      </c>
      <c r="AH5" s="24">
        <f>'مراجعي العيادات'!AH93</f>
        <v>1287</v>
      </c>
      <c r="AI5" s="24">
        <f>'مراجعي العيادات'!AI93</f>
        <v>0</v>
      </c>
      <c r="AJ5" s="23">
        <f>'مراجعي العيادات'!AJ93</f>
        <v>2445</v>
      </c>
      <c r="AK5" s="188">
        <f>SUM(AF5:AJ5)</f>
        <v>27602</v>
      </c>
      <c r="AL5" s="22">
        <f>'مراجعي العيادات'!AL93</f>
        <v>1732</v>
      </c>
      <c r="AM5" s="24">
        <f>'مراجعي العيادات'!AM93</f>
        <v>5634</v>
      </c>
      <c r="AN5" s="23">
        <f>'مراجعي العيادات'!AN93</f>
        <v>14</v>
      </c>
      <c r="AO5" s="25">
        <f>SUM(AL5:AN5)</f>
        <v>7380</v>
      </c>
      <c r="AP5" s="6"/>
      <c r="AQ5" s="325" t="s">
        <v>42</v>
      </c>
      <c r="AR5" s="328" t="s">
        <v>5</v>
      </c>
      <c r="AS5" s="9" t="s">
        <v>20</v>
      </c>
      <c r="AT5" s="22">
        <f>'مراجعي العيادات'!AT93</f>
        <v>15495</v>
      </c>
      <c r="AU5" s="24">
        <f>'مراجعي العيادات'!AU93</f>
        <v>1673</v>
      </c>
      <c r="AV5" s="24">
        <f>'مراجعي العيادات'!AV93</f>
        <v>1474</v>
      </c>
      <c r="AW5" s="24">
        <f>'مراجعي العيادات'!AW93</f>
        <v>0</v>
      </c>
      <c r="AX5" s="23">
        <f>'مراجعي العيادات'!AX93</f>
        <v>2174</v>
      </c>
      <c r="AY5" s="188">
        <f>SUM(AT5:AX5)</f>
        <v>20816</v>
      </c>
      <c r="AZ5" s="22">
        <f>'مراجعي العيادات'!AZ93</f>
        <v>1561</v>
      </c>
      <c r="BA5" s="24">
        <f>'مراجعي العيادات'!BA93</f>
        <v>4402</v>
      </c>
      <c r="BB5" s="23">
        <f>'مراجعي العيادات'!BB93</f>
        <v>660</v>
      </c>
      <c r="BC5" s="25">
        <f>SUM(AZ5:BB5)</f>
        <v>6623</v>
      </c>
      <c r="BD5" s="6"/>
      <c r="BE5" s="325" t="s">
        <v>42</v>
      </c>
      <c r="BF5" s="328" t="s">
        <v>5</v>
      </c>
      <c r="BG5" s="9" t="s">
        <v>20</v>
      </c>
      <c r="BH5" s="22">
        <f>'مراجعي العيادات'!BH93</f>
        <v>17438</v>
      </c>
      <c r="BI5" s="24">
        <f>'مراجعي العيادات'!BI93</f>
        <v>1476</v>
      </c>
      <c r="BJ5" s="24">
        <f>'مراجعي العيادات'!BJ93</f>
        <v>1724</v>
      </c>
      <c r="BK5" s="24">
        <f>'مراجعي العيادات'!BK93</f>
        <v>0</v>
      </c>
      <c r="BL5" s="23">
        <f>'مراجعي العيادات'!BL93</f>
        <v>2627</v>
      </c>
      <c r="BM5" s="188">
        <f>SUM(BH5:BL5)</f>
        <v>23265</v>
      </c>
      <c r="BN5" s="22">
        <f>'مراجعي العيادات'!BN93</f>
        <v>1692</v>
      </c>
      <c r="BO5" s="24">
        <f>'مراجعي العيادات'!BO93</f>
        <v>5992</v>
      </c>
      <c r="BP5" s="23">
        <f>'مراجعي العيادات'!BP93</f>
        <v>34</v>
      </c>
      <c r="BQ5" s="25">
        <f>SUM(BN5:BP5)</f>
        <v>7718</v>
      </c>
      <c r="BR5" s="6"/>
      <c r="BS5" s="325" t="s">
        <v>42</v>
      </c>
      <c r="BT5" s="328" t="s">
        <v>5</v>
      </c>
      <c r="BU5" s="9" t="s">
        <v>20</v>
      </c>
      <c r="BV5" s="22">
        <f>'مراجعي العيادات'!BV93</f>
        <v>17837</v>
      </c>
      <c r="BW5" s="24">
        <f>'مراجعي العيادات'!BW93</f>
        <v>1459</v>
      </c>
      <c r="BX5" s="24">
        <f>'مراجعي العيادات'!BX93</f>
        <v>800</v>
      </c>
      <c r="BY5" s="24">
        <f>'مراجعي العيادات'!BY93</f>
        <v>0</v>
      </c>
      <c r="BZ5" s="23">
        <f>'مراجعي العيادات'!BZ93</f>
        <v>2201</v>
      </c>
      <c r="CA5" s="188">
        <f>SUM(BV5:BZ5)</f>
        <v>22297</v>
      </c>
      <c r="CB5" s="22">
        <f>'مراجعي العيادات'!CB93</f>
        <v>1278</v>
      </c>
      <c r="CC5" s="24">
        <f>'مراجعي العيادات'!CC93</f>
        <v>5005</v>
      </c>
      <c r="CD5" s="23">
        <f>'مراجعي العيادات'!CD93</f>
        <v>9</v>
      </c>
      <c r="CE5" s="25">
        <f>SUM(CB5:CD5)</f>
        <v>6292</v>
      </c>
      <c r="CF5" s="6"/>
      <c r="CG5" s="325" t="s">
        <v>42</v>
      </c>
      <c r="CH5" s="328" t="s">
        <v>5</v>
      </c>
      <c r="CI5" s="9" t="s">
        <v>20</v>
      </c>
      <c r="CJ5" s="22">
        <f>'مراجعي العيادات'!CJ93</f>
        <v>15094</v>
      </c>
      <c r="CK5" s="24">
        <f>'مراجعي العيادات'!CK93</f>
        <v>2911</v>
      </c>
      <c r="CL5" s="24">
        <f>'مراجعي العيادات'!CL93</f>
        <v>1304</v>
      </c>
      <c r="CM5" s="24">
        <f>'مراجعي العيادات'!CM93</f>
        <v>0</v>
      </c>
      <c r="CN5" s="23">
        <f>'مراجعي العيادات'!CN93</f>
        <v>2762</v>
      </c>
      <c r="CO5" s="188">
        <f>SUM(CJ5:CN5)</f>
        <v>22071</v>
      </c>
      <c r="CP5" s="22">
        <f>'مراجعي العيادات'!CP93</f>
        <v>1705</v>
      </c>
      <c r="CQ5" s="24">
        <f>'مراجعي العيادات'!CQ93</f>
        <v>6224</v>
      </c>
      <c r="CR5" s="23">
        <f>'مراجعي العيادات'!CR93</f>
        <v>621</v>
      </c>
      <c r="CS5" s="25">
        <f>SUM(CP5:CR5)</f>
        <v>8550</v>
      </c>
      <c r="CT5" s="6"/>
      <c r="CU5" s="325" t="s">
        <v>42</v>
      </c>
      <c r="CV5" s="328" t="s">
        <v>5</v>
      </c>
      <c r="CW5" s="9" t="s">
        <v>20</v>
      </c>
      <c r="CX5" s="22">
        <f>'مراجعي العيادات'!CX93</f>
        <v>19767</v>
      </c>
      <c r="CY5" s="24">
        <f>'مراجعي العيادات'!CY93</f>
        <v>1632</v>
      </c>
      <c r="CZ5" s="24">
        <f>'مراجعي العيادات'!CZ93</f>
        <v>1184</v>
      </c>
      <c r="DA5" s="24">
        <f>'مراجعي العيادات'!DA93</f>
        <v>0</v>
      </c>
      <c r="DB5" s="23">
        <f>'مراجعي العيادات'!DB93</f>
        <v>2251</v>
      </c>
      <c r="DC5" s="188">
        <f>SUM(CX5:DB5)</f>
        <v>24834</v>
      </c>
      <c r="DD5" s="22">
        <f>'مراجعي العيادات'!DD93</f>
        <v>2116</v>
      </c>
      <c r="DE5" s="24">
        <f>'مراجعي العيادات'!DE93</f>
        <v>8739</v>
      </c>
      <c r="DF5" s="23">
        <f>'مراجعي العيادات'!DF93</f>
        <v>9</v>
      </c>
      <c r="DG5" s="25">
        <f>SUM(DD5:DF5)</f>
        <v>10864</v>
      </c>
      <c r="DH5" s="6"/>
      <c r="DI5" s="325" t="s">
        <v>42</v>
      </c>
      <c r="DJ5" s="328" t="s">
        <v>5</v>
      </c>
      <c r="DK5" s="9" t="s">
        <v>20</v>
      </c>
      <c r="DL5" s="22">
        <f>'مراجعي العيادات'!DL93</f>
        <v>15736</v>
      </c>
      <c r="DM5" s="24">
        <f>'مراجعي العيادات'!DM93</f>
        <v>949</v>
      </c>
      <c r="DN5" s="24">
        <f>'مراجعي العيادات'!DN93</f>
        <v>1120</v>
      </c>
      <c r="DO5" s="24">
        <f>'مراجعي العيادات'!DO93</f>
        <v>0</v>
      </c>
      <c r="DP5" s="23">
        <f>'مراجعي العيادات'!DP93</f>
        <v>2779</v>
      </c>
      <c r="DQ5" s="188">
        <f>SUM(DL5:DP5)</f>
        <v>20584</v>
      </c>
      <c r="DR5" s="22">
        <f>'مراجعي العيادات'!DR93</f>
        <v>1063</v>
      </c>
      <c r="DS5" s="24">
        <f>'مراجعي العيادات'!DS93</f>
        <v>3716</v>
      </c>
      <c r="DT5" s="23">
        <f>'مراجعي العيادات'!DT93</f>
        <v>90</v>
      </c>
      <c r="DU5" s="25">
        <f>SUM(DR5:DT5)</f>
        <v>4869</v>
      </c>
      <c r="DV5" s="6"/>
      <c r="DW5" s="325" t="s">
        <v>42</v>
      </c>
      <c r="DX5" s="328" t="s">
        <v>5</v>
      </c>
      <c r="DY5" s="9" t="s">
        <v>20</v>
      </c>
      <c r="DZ5" s="22">
        <f>'مراجعي العيادات'!DZ93</f>
        <v>14506</v>
      </c>
      <c r="EA5" s="24">
        <f>'مراجعي العيادات'!EA93</f>
        <v>1023</v>
      </c>
      <c r="EB5" s="24">
        <f>'مراجعي العيادات'!EB93</f>
        <v>1339</v>
      </c>
      <c r="EC5" s="24">
        <f>'مراجعي العيادات'!EC93</f>
        <v>0</v>
      </c>
      <c r="ED5" s="23">
        <f>'مراجعي العيادات'!ED93</f>
        <v>2264</v>
      </c>
      <c r="EE5" s="188">
        <f>SUM(DZ5:ED5)</f>
        <v>19132</v>
      </c>
      <c r="EF5" s="22">
        <f>'مراجعي العيادات'!EF93</f>
        <v>1531</v>
      </c>
      <c r="EG5" s="24">
        <f>'مراجعي العيادات'!EG93</f>
        <v>5544</v>
      </c>
      <c r="EH5" s="23">
        <f>'مراجعي العيادات'!EH93</f>
        <v>528</v>
      </c>
      <c r="EI5" s="25">
        <f>SUM(EF5:EH5)</f>
        <v>7603</v>
      </c>
      <c r="EJ5" s="6"/>
      <c r="EK5" s="325" t="s">
        <v>42</v>
      </c>
      <c r="EL5" s="328" t="s">
        <v>5</v>
      </c>
      <c r="EM5" s="9" t="s">
        <v>20</v>
      </c>
      <c r="EN5" s="22">
        <f>'مراجعي العيادات'!EN93</f>
        <v>0</v>
      </c>
      <c r="EO5" s="24">
        <f>'مراجعي العيادات'!EO93</f>
        <v>0</v>
      </c>
      <c r="EP5" s="24">
        <f>'مراجعي العيادات'!EP93</f>
        <v>0</v>
      </c>
      <c r="EQ5" s="24">
        <f>'مراجعي العيادات'!EQ93</f>
        <v>0</v>
      </c>
      <c r="ER5" s="23">
        <f>'مراجعي العيادات'!ER93</f>
        <v>0</v>
      </c>
      <c r="ES5" s="188">
        <f>SUM(EN5:ER5)</f>
        <v>0</v>
      </c>
      <c r="ET5" s="22">
        <f>'مراجعي العيادات'!ET93</f>
        <v>0</v>
      </c>
      <c r="EU5" s="24">
        <f>'مراجعي العيادات'!EU93</f>
        <v>0</v>
      </c>
      <c r="EV5" s="23">
        <f>'مراجعي العيادات'!EV93</f>
        <v>0</v>
      </c>
      <c r="EW5" s="25">
        <f>SUM(ET5:EV5)</f>
        <v>0</v>
      </c>
      <c r="EX5" s="6"/>
      <c r="EY5" s="325" t="s">
        <v>42</v>
      </c>
      <c r="EZ5" s="328" t="s">
        <v>5</v>
      </c>
      <c r="FA5" s="9" t="s">
        <v>20</v>
      </c>
      <c r="FB5" s="22">
        <f>'مراجعي العيادات'!FB93</f>
        <v>0</v>
      </c>
      <c r="FC5" s="24">
        <f>'مراجعي العيادات'!FC93</f>
        <v>0</v>
      </c>
      <c r="FD5" s="24">
        <f>'مراجعي العيادات'!FD93</f>
        <v>0</v>
      </c>
      <c r="FE5" s="24">
        <f>'مراجعي العيادات'!FE93</f>
        <v>0</v>
      </c>
      <c r="FF5" s="23">
        <f>'مراجعي العيادات'!FF93</f>
        <v>0</v>
      </c>
      <c r="FG5" s="188">
        <f>SUM(FB5:FF5)</f>
        <v>0</v>
      </c>
      <c r="FH5" s="22">
        <f>'مراجعي العيادات'!FH93</f>
        <v>0</v>
      </c>
      <c r="FI5" s="24">
        <f>'مراجعي العيادات'!FI93</f>
        <v>0</v>
      </c>
      <c r="FJ5" s="23">
        <f>'مراجعي العيادات'!FJ93</f>
        <v>0</v>
      </c>
      <c r="FK5" s="25">
        <f>SUM(FH5:FJ5)</f>
        <v>0</v>
      </c>
      <c r="FL5" s="6"/>
      <c r="FM5" s="325" t="s">
        <v>42</v>
      </c>
      <c r="FN5" s="328" t="s">
        <v>5</v>
      </c>
      <c r="FO5" s="9" t="s">
        <v>20</v>
      </c>
      <c r="FP5" s="22">
        <f>'مراجعي العيادات'!FP93</f>
        <v>170886</v>
      </c>
      <c r="FQ5" s="24">
        <f>'مراجعي العيادات'!FQ93</f>
        <v>18225</v>
      </c>
      <c r="FR5" s="24">
        <f>'مراجعي العيادات'!FR93</f>
        <v>12918</v>
      </c>
      <c r="FS5" s="24">
        <f>'مراجعي العيادات'!FS93</f>
        <v>0</v>
      </c>
      <c r="FT5" s="23">
        <f>'مراجعي العيادات'!FT93</f>
        <v>23991</v>
      </c>
      <c r="FU5" s="188">
        <f>SUM(FP5:FT5)</f>
        <v>226020</v>
      </c>
      <c r="FV5" s="22">
        <f>'مراجعي العيادات'!FV93</f>
        <v>16857</v>
      </c>
      <c r="FW5" s="24">
        <f>'مراجعي العيادات'!FW93</f>
        <v>54533</v>
      </c>
      <c r="FX5" s="23">
        <f>'مراجعي العيادات'!FX93</f>
        <v>3389</v>
      </c>
      <c r="FY5" s="25">
        <f>SUM(FV5:FX5)</f>
        <v>74779</v>
      </c>
      <c r="FZ5" s="6"/>
    </row>
    <row r="6" spans="1:182" ht="20.100000000000001" customHeight="1" thickBot="1" x14ac:dyDescent="0.25">
      <c r="A6" s="326"/>
      <c r="B6" s="329"/>
      <c r="C6" s="10" t="s">
        <v>21</v>
      </c>
      <c r="D6" s="26">
        <f>'مراجعي العيادات'!D94</f>
        <v>14614</v>
      </c>
      <c r="E6" s="28">
        <f>'مراجعي العيادات'!E94</f>
        <v>2774</v>
      </c>
      <c r="F6" s="28">
        <f>'مراجعي العيادات'!F94</f>
        <v>1316</v>
      </c>
      <c r="G6" s="28">
        <f>'مراجعي العيادات'!G94</f>
        <v>103</v>
      </c>
      <c r="H6" s="27">
        <f>'مراجعي العيادات'!H94</f>
        <v>2368</v>
      </c>
      <c r="I6" s="189">
        <f>SUM(D6:H6)</f>
        <v>21175</v>
      </c>
      <c r="J6" s="26">
        <f>'مراجعي العيادات'!J94</f>
        <v>1725</v>
      </c>
      <c r="K6" s="28">
        <f>'مراجعي العيادات'!K94</f>
        <v>4658</v>
      </c>
      <c r="L6" s="27">
        <f>'مراجعي العيادات'!L94</f>
        <v>458</v>
      </c>
      <c r="M6" s="31">
        <f>SUM(J6:L6)</f>
        <v>6841</v>
      </c>
      <c r="N6" s="6"/>
      <c r="O6" s="326"/>
      <c r="P6" s="329"/>
      <c r="Q6" s="10" t="s">
        <v>21</v>
      </c>
      <c r="R6" s="26">
        <f>'مراجعي العيادات'!R94</f>
        <v>17329</v>
      </c>
      <c r="S6" s="28">
        <f>'مراجعي العيادات'!S94</f>
        <v>1209</v>
      </c>
      <c r="T6" s="28">
        <f>'مراجعي العيادات'!T94</f>
        <v>1834</v>
      </c>
      <c r="U6" s="28">
        <f>'مراجعي العيادات'!U94</f>
        <v>213</v>
      </c>
      <c r="V6" s="27">
        <f>'مراجعي العيادات'!V94</f>
        <v>1730</v>
      </c>
      <c r="W6" s="189">
        <f>SUM(R6:V6)</f>
        <v>22315</v>
      </c>
      <c r="X6" s="26">
        <f>'مراجعي العيادات'!X94</f>
        <v>2159</v>
      </c>
      <c r="Y6" s="28">
        <f>'مراجعي العيادات'!Y94</f>
        <v>7282</v>
      </c>
      <c r="Z6" s="27">
        <f>'مراجعي العيادات'!Z94</f>
        <v>254</v>
      </c>
      <c r="AA6" s="31">
        <f>SUM(X6:Z6)</f>
        <v>9695</v>
      </c>
      <c r="AB6" s="6"/>
      <c r="AC6" s="326"/>
      <c r="AD6" s="329"/>
      <c r="AE6" s="10" t="s">
        <v>21</v>
      </c>
      <c r="AF6" s="26">
        <f>'مراجعي العيادات'!AF94</f>
        <v>23266</v>
      </c>
      <c r="AG6" s="28">
        <f>'مراجعي العيادات'!AG94</f>
        <v>1903</v>
      </c>
      <c r="AH6" s="28">
        <f>'مراجعي العيادات'!AH94</f>
        <v>1478</v>
      </c>
      <c r="AI6" s="28">
        <f>'مراجعي العيادات'!AI94</f>
        <v>130</v>
      </c>
      <c r="AJ6" s="27">
        <f>'مراجعي العيادات'!AJ94</f>
        <v>2442</v>
      </c>
      <c r="AK6" s="189">
        <f>SUM(AF6:AJ6)</f>
        <v>29219</v>
      </c>
      <c r="AL6" s="26">
        <f>'مراجعي العيادات'!AL94</f>
        <v>1411</v>
      </c>
      <c r="AM6" s="28">
        <f>'مراجعي العيادات'!AM94</f>
        <v>11066</v>
      </c>
      <c r="AN6" s="27">
        <f>'مراجعي العيادات'!AN94</f>
        <v>16</v>
      </c>
      <c r="AO6" s="31">
        <f>SUM(AL6:AN6)</f>
        <v>12493</v>
      </c>
      <c r="AP6" s="6"/>
      <c r="AQ6" s="326"/>
      <c r="AR6" s="329"/>
      <c r="AS6" s="10" t="s">
        <v>21</v>
      </c>
      <c r="AT6" s="26">
        <f>'مراجعي العيادات'!AT94</f>
        <v>15799</v>
      </c>
      <c r="AU6" s="28">
        <f>'مراجعي العيادات'!AU94</f>
        <v>1421</v>
      </c>
      <c r="AV6" s="28">
        <f>'مراجعي العيادات'!AV94</f>
        <v>1652</v>
      </c>
      <c r="AW6" s="28">
        <f>'مراجعي العيادات'!AW94</f>
        <v>208</v>
      </c>
      <c r="AX6" s="27">
        <f>'مراجعي العيادات'!AX94</f>
        <v>2457</v>
      </c>
      <c r="AY6" s="189">
        <f>SUM(AT6:AX6)</f>
        <v>21537</v>
      </c>
      <c r="AZ6" s="26">
        <f>'مراجعي العيادات'!AZ94</f>
        <v>1256</v>
      </c>
      <c r="BA6" s="28">
        <f>'مراجعي العيادات'!BA94</f>
        <v>6058</v>
      </c>
      <c r="BB6" s="27">
        <f>'مراجعي العيادات'!BB94</f>
        <v>474</v>
      </c>
      <c r="BC6" s="31">
        <f>SUM(AZ6:BB6)</f>
        <v>7788</v>
      </c>
      <c r="BD6" s="6"/>
      <c r="BE6" s="326"/>
      <c r="BF6" s="329"/>
      <c r="BG6" s="10" t="s">
        <v>21</v>
      </c>
      <c r="BH6" s="26">
        <f>'مراجعي العيادات'!BH94</f>
        <v>15811</v>
      </c>
      <c r="BI6" s="28">
        <f>'مراجعي العيادات'!BI94</f>
        <v>1485</v>
      </c>
      <c r="BJ6" s="28">
        <f>'مراجعي العيادات'!BJ94</f>
        <v>1674</v>
      </c>
      <c r="BK6" s="28">
        <f>'مراجعي العيادات'!BK94</f>
        <v>143</v>
      </c>
      <c r="BL6" s="27">
        <f>'مراجعي العيادات'!BL94</f>
        <v>2604</v>
      </c>
      <c r="BM6" s="189">
        <f>SUM(BH6:BL6)</f>
        <v>21717</v>
      </c>
      <c r="BN6" s="26">
        <f>'مراجعي العيادات'!BN94</f>
        <v>1599</v>
      </c>
      <c r="BO6" s="28">
        <f>'مراجعي العيادات'!BO94</f>
        <v>7148</v>
      </c>
      <c r="BP6" s="27">
        <f>'مراجعي العيادات'!BP94</f>
        <v>28</v>
      </c>
      <c r="BQ6" s="31">
        <f>SUM(BN6:BP6)</f>
        <v>8775</v>
      </c>
      <c r="BR6" s="6"/>
      <c r="BS6" s="326"/>
      <c r="BT6" s="329"/>
      <c r="BU6" s="10" t="s">
        <v>21</v>
      </c>
      <c r="BV6" s="26">
        <f>'مراجعي العيادات'!BV94</f>
        <v>17917</v>
      </c>
      <c r="BW6" s="28">
        <f>'مراجعي العيادات'!BW94</f>
        <v>1300</v>
      </c>
      <c r="BX6" s="28">
        <f>'مراجعي العيادات'!BX94</f>
        <v>1098</v>
      </c>
      <c r="BY6" s="28">
        <f>'مراجعي العيادات'!BY94</f>
        <v>127</v>
      </c>
      <c r="BZ6" s="27">
        <f>'مراجعي العيادات'!BZ94</f>
        <v>2156</v>
      </c>
      <c r="CA6" s="189">
        <f>SUM(BV6:BZ6)</f>
        <v>22598</v>
      </c>
      <c r="CB6" s="26">
        <f>'مراجعي العيادات'!CB94</f>
        <v>1066</v>
      </c>
      <c r="CC6" s="28">
        <f>'مراجعي العيادات'!CC94</f>
        <v>9123</v>
      </c>
      <c r="CD6" s="27">
        <f>'مراجعي العيادات'!CD94</f>
        <v>11</v>
      </c>
      <c r="CE6" s="31">
        <f>SUM(CB6:CD6)</f>
        <v>10200</v>
      </c>
      <c r="CF6" s="6"/>
      <c r="CG6" s="326"/>
      <c r="CH6" s="329"/>
      <c r="CI6" s="10" t="s">
        <v>21</v>
      </c>
      <c r="CJ6" s="26">
        <f>'مراجعي العيادات'!CJ94</f>
        <v>14007</v>
      </c>
      <c r="CK6" s="28">
        <f>'مراجعي العيادات'!CK94</f>
        <v>2638</v>
      </c>
      <c r="CL6" s="28">
        <f>'مراجعي العيادات'!CL94</f>
        <v>1741</v>
      </c>
      <c r="CM6" s="28">
        <f>'مراجعي العيادات'!CM94</f>
        <v>189</v>
      </c>
      <c r="CN6" s="27">
        <f>'مراجعي العيادات'!CN94</f>
        <v>2399</v>
      </c>
      <c r="CO6" s="189">
        <f>SUM(CJ6:CN6)</f>
        <v>20974</v>
      </c>
      <c r="CP6" s="26">
        <f>'مراجعي العيادات'!CP94</f>
        <v>1457</v>
      </c>
      <c r="CQ6" s="28">
        <f>'مراجعي العيادات'!CQ94</f>
        <v>8200</v>
      </c>
      <c r="CR6" s="27">
        <f>'مراجعي العيادات'!CR94</f>
        <v>420</v>
      </c>
      <c r="CS6" s="31">
        <f>SUM(CP6:CR6)</f>
        <v>10077</v>
      </c>
      <c r="CT6" s="6"/>
      <c r="CU6" s="326"/>
      <c r="CV6" s="329"/>
      <c r="CW6" s="10" t="s">
        <v>21</v>
      </c>
      <c r="CX6" s="26">
        <f>'مراجعي العيادات'!CX94</f>
        <v>17534</v>
      </c>
      <c r="CY6" s="28">
        <f>'مراجعي العيادات'!CY94</f>
        <v>1358</v>
      </c>
      <c r="CZ6" s="28">
        <f>'مراجعي العيادات'!CZ94</f>
        <v>1290</v>
      </c>
      <c r="DA6" s="28">
        <f>'مراجعي العيادات'!DA94</f>
        <v>382</v>
      </c>
      <c r="DB6" s="27">
        <f>'مراجعي العيادات'!DB94</f>
        <v>2124</v>
      </c>
      <c r="DC6" s="189">
        <f>SUM(CX6:DB6)</f>
        <v>22688</v>
      </c>
      <c r="DD6" s="26">
        <f>'مراجعي العيادات'!DD94</f>
        <v>1904</v>
      </c>
      <c r="DE6" s="28">
        <f>'مراجعي العيادات'!DE94</f>
        <v>14122</v>
      </c>
      <c r="DF6" s="27">
        <f>'مراجعي العيادات'!DF94</f>
        <v>11</v>
      </c>
      <c r="DG6" s="31">
        <f>SUM(DD6:DF6)</f>
        <v>16037</v>
      </c>
      <c r="DH6" s="6"/>
      <c r="DI6" s="326"/>
      <c r="DJ6" s="329"/>
      <c r="DK6" s="10" t="s">
        <v>21</v>
      </c>
      <c r="DL6" s="26">
        <f>'مراجعي العيادات'!DL94</f>
        <v>15049</v>
      </c>
      <c r="DM6" s="28">
        <f>'مراجعي العيادات'!DM94</f>
        <v>902</v>
      </c>
      <c r="DN6" s="28">
        <f>'مراجعي العيادات'!DN94</f>
        <v>1359</v>
      </c>
      <c r="DO6" s="28">
        <f>'مراجعي العيادات'!DO94</f>
        <v>289</v>
      </c>
      <c r="DP6" s="27">
        <f>'مراجعي العيادات'!DP94</f>
        <v>2312</v>
      </c>
      <c r="DQ6" s="189">
        <f>SUM(DL6:DP6)</f>
        <v>19911</v>
      </c>
      <c r="DR6" s="26">
        <f>'مراجعي العيادات'!DR94</f>
        <v>947</v>
      </c>
      <c r="DS6" s="28">
        <f>'مراجعي العيادات'!DS94</f>
        <v>5109</v>
      </c>
      <c r="DT6" s="27">
        <f>'مراجعي العيادات'!DT94</f>
        <v>97</v>
      </c>
      <c r="DU6" s="31">
        <f>SUM(DR6:DT6)</f>
        <v>6153</v>
      </c>
      <c r="DV6" s="6"/>
      <c r="DW6" s="326"/>
      <c r="DX6" s="329"/>
      <c r="DY6" s="10" t="s">
        <v>21</v>
      </c>
      <c r="DZ6" s="26">
        <f>'مراجعي العيادات'!DZ94</f>
        <v>15652</v>
      </c>
      <c r="EA6" s="28">
        <f>'مراجعي العيادات'!EA94</f>
        <v>720</v>
      </c>
      <c r="EB6" s="28">
        <f>'مراجعي العيادات'!EB94</f>
        <v>1133</v>
      </c>
      <c r="EC6" s="28">
        <f>'مراجعي العيادات'!EC94</f>
        <v>75</v>
      </c>
      <c r="ED6" s="27">
        <f>'مراجعي العيادات'!ED94</f>
        <v>2199</v>
      </c>
      <c r="EE6" s="189">
        <f>SUM(DZ6:ED6)</f>
        <v>19779</v>
      </c>
      <c r="EF6" s="26">
        <f>'مراجعي العيادات'!EF94</f>
        <v>1360</v>
      </c>
      <c r="EG6" s="28">
        <f>'مراجعي العيادات'!EG94</f>
        <v>6823</v>
      </c>
      <c r="EH6" s="27">
        <f>'مراجعي العيادات'!EH94</f>
        <v>461</v>
      </c>
      <c r="EI6" s="31">
        <f>SUM(EF6:EH6)</f>
        <v>8644</v>
      </c>
      <c r="EJ6" s="6"/>
      <c r="EK6" s="326"/>
      <c r="EL6" s="329"/>
      <c r="EM6" s="10" t="s">
        <v>21</v>
      </c>
      <c r="EN6" s="26">
        <f>'مراجعي العيادات'!EN94</f>
        <v>0</v>
      </c>
      <c r="EO6" s="28">
        <f>'مراجعي العيادات'!EO94</f>
        <v>0</v>
      </c>
      <c r="EP6" s="28">
        <f>'مراجعي العيادات'!EP94</f>
        <v>0</v>
      </c>
      <c r="EQ6" s="28">
        <f>'مراجعي العيادات'!EQ94</f>
        <v>0</v>
      </c>
      <c r="ER6" s="27">
        <f>'مراجعي العيادات'!ER94</f>
        <v>0</v>
      </c>
      <c r="ES6" s="189">
        <f>SUM(EN6:ER6)</f>
        <v>0</v>
      </c>
      <c r="ET6" s="26">
        <f>'مراجعي العيادات'!ET94</f>
        <v>0</v>
      </c>
      <c r="EU6" s="28">
        <f>'مراجعي العيادات'!EU94</f>
        <v>0</v>
      </c>
      <c r="EV6" s="27">
        <f>'مراجعي العيادات'!EV94</f>
        <v>0</v>
      </c>
      <c r="EW6" s="31">
        <f>SUM(ET6:EV6)</f>
        <v>0</v>
      </c>
      <c r="EX6" s="6"/>
      <c r="EY6" s="326"/>
      <c r="EZ6" s="329"/>
      <c r="FA6" s="10" t="s">
        <v>21</v>
      </c>
      <c r="FB6" s="26">
        <f>'مراجعي العيادات'!FB94</f>
        <v>0</v>
      </c>
      <c r="FC6" s="28">
        <f>'مراجعي العيادات'!FC94</f>
        <v>0</v>
      </c>
      <c r="FD6" s="28">
        <f>'مراجعي العيادات'!FD94</f>
        <v>0</v>
      </c>
      <c r="FE6" s="28">
        <f>'مراجعي العيادات'!FE94</f>
        <v>0</v>
      </c>
      <c r="FF6" s="27">
        <f>'مراجعي العيادات'!FF94</f>
        <v>0</v>
      </c>
      <c r="FG6" s="189">
        <f>SUM(FB6:FF6)</f>
        <v>0</v>
      </c>
      <c r="FH6" s="26">
        <f>'مراجعي العيادات'!FH94</f>
        <v>0</v>
      </c>
      <c r="FI6" s="28">
        <f>'مراجعي العيادات'!FI94</f>
        <v>0</v>
      </c>
      <c r="FJ6" s="27">
        <f>'مراجعي العيادات'!FJ94</f>
        <v>0</v>
      </c>
      <c r="FK6" s="31">
        <f>SUM(FH6:FJ6)</f>
        <v>0</v>
      </c>
      <c r="FL6" s="6"/>
      <c r="FM6" s="326"/>
      <c r="FN6" s="329"/>
      <c r="FO6" s="10" t="s">
        <v>21</v>
      </c>
      <c r="FP6" s="26">
        <f>'مراجعي العيادات'!FP94</f>
        <v>166978</v>
      </c>
      <c r="FQ6" s="28">
        <f>'مراجعي العيادات'!FQ94</f>
        <v>15710</v>
      </c>
      <c r="FR6" s="28">
        <f>'مراجعي العيادات'!FR94</f>
        <v>14575</v>
      </c>
      <c r="FS6" s="28">
        <f>'مراجعي العيادات'!FS94</f>
        <v>1859</v>
      </c>
      <c r="FT6" s="27">
        <f>'مراجعي العيادات'!FT94</f>
        <v>22791</v>
      </c>
      <c r="FU6" s="189">
        <f>SUM(FP6:FT6)</f>
        <v>221913</v>
      </c>
      <c r="FV6" s="26">
        <f>'مراجعي العيادات'!FV94</f>
        <v>14884</v>
      </c>
      <c r="FW6" s="28">
        <f>'مراجعي العيادات'!FW94</f>
        <v>79589</v>
      </c>
      <c r="FX6" s="27">
        <f>'مراجعي العيادات'!FX94</f>
        <v>2230</v>
      </c>
      <c r="FY6" s="31">
        <f>SUM(FV6:FX6)</f>
        <v>96703</v>
      </c>
      <c r="FZ6" s="6"/>
    </row>
    <row r="7" spans="1:182" ht="20.100000000000001" customHeight="1" thickBot="1" x14ac:dyDescent="0.25">
      <c r="A7" s="326"/>
      <c r="B7" s="318" t="s">
        <v>22</v>
      </c>
      <c r="C7" s="319"/>
      <c r="D7" s="185">
        <f t="shared" ref="D7:M7" si="0">SUM(D5:D6)</f>
        <v>29481</v>
      </c>
      <c r="E7" s="186">
        <f t="shared" si="0"/>
        <v>6157</v>
      </c>
      <c r="F7" s="186">
        <f t="shared" si="0"/>
        <v>2653</v>
      </c>
      <c r="G7" s="186">
        <f t="shared" si="0"/>
        <v>103</v>
      </c>
      <c r="H7" s="187">
        <f t="shared" si="0"/>
        <v>4748</v>
      </c>
      <c r="I7" s="13">
        <f t="shared" si="0"/>
        <v>43142</v>
      </c>
      <c r="J7" s="191">
        <f t="shared" si="0"/>
        <v>3612</v>
      </c>
      <c r="K7" s="186">
        <f t="shared" si="0"/>
        <v>8419</v>
      </c>
      <c r="L7" s="187">
        <f t="shared" si="0"/>
        <v>990</v>
      </c>
      <c r="M7" s="13">
        <f t="shared" si="0"/>
        <v>13021</v>
      </c>
      <c r="N7" s="6"/>
      <c r="O7" s="326"/>
      <c r="P7" s="318" t="s">
        <v>22</v>
      </c>
      <c r="Q7" s="319"/>
      <c r="R7" s="185">
        <f t="shared" ref="R7:AA7" si="1">SUM(R5:R6)</f>
        <v>35844</v>
      </c>
      <c r="S7" s="186">
        <f t="shared" si="1"/>
        <v>2689</v>
      </c>
      <c r="T7" s="186">
        <f t="shared" si="1"/>
        <v>3183</v>
      </c>
      <c r="U7" s="186">
        <f t="shared" si="1"/>
        <v>213</v>
      </c>
      <c r="V7" s="187">
        <f t="shared" si="1"/>
        <v>3838</v>
      </c>
      <c r="W7" s="13">
        <f t="shared" si="1"/>
        <v>45767</v>
      </c>
      <c r="X7" s="191">
        <f t="shared" si="1"/>
        <v>4451</v>
      </c>
      <c r="Y7" s="186">
        <f t="shared" si="1"/>
        <v>12798</v>
      </c>
      <c r="Z7" s="187">
        <f t="shared" si="1"/>
        <v>1146</v>
      </c>
      <c r="AA7" s="13">
        <f t="shared" si="1"/>
        <v>18395</v>
      </c>
      <c r="AB7" s="6"/>
      <c r="AC7" s="326"/>
      <c r="AD7" s="318" t="s">
        <v>22</v>
      </c>
      <c r="AE7" s="319"/>
      <c r="AF7" s="185">
        <f t="shared" ref="AF7:AO7" si="2">SUM(AF5:AF6)</f>
        <v>44897</v>
      </c>
      <c r="AG7" s="186">
        <f t="shared" si="2"/>
        <v>4142</v>
      </c>
      <c r="AH7" s="186">
        <f t="shared" si="2"/>
        <v>2765</v>
      </c>
      <c r="AI7" s="186">
        <f t="shared" si="2"/>
        <v>130</v>
      </c>
      <c r="AJ7" s="187">
        <f t="shared" si="2"/>
        <v>4887</v>
      </c>
      <c r="AK7" s="13">
        <f t="shared" si="2"/>
        <v>56821</v>
      </c>
      <c r="AL7" s="191">
        <f t="shared" si="2"/>
        <v>3143</v>
      </c>
      <c r="AM7" s="186">
        <f t="shared" si="2"/>
        <v>16700</v>
      </c>
      <c r="AN7" s="187">
        <f t="shared" si="2"/>
        <v>30</v>
      </c>
      <c r="AO7" s="13">
        <f t="shared" si="2"/>
        <v>19873</v>
      </c>
      <c r="AP7" s="6"/>
      <c r="AQ7" s="326"/>
      <c r="AR7" s="318" t="s">
        <v>22</v>
      </c>
      <c r="AS7" s="319"/>
      <c r="AT7" s="185">
        <f t="shared" ref="AT7:BC7" si="3">SUM(AT5:AT6)</f>
        <v>31294</v>
      </c>
      <c r="AU7" s="186">
        <f t="shared" si="3"/>
        <v>3094</v>
      </c>
      <c r="AV7" s="186">
        <f t="shared" si="3"/>
        <v>3126</v>
      </c>
      <c r="AW7" s="186">
        <f t="shared" si="3"/>
        <v>208</v>
      </c>
      <c r="AX7" s="187">
        <f t="shared" si="3"/>
        <v>4631</v>
      </c>
      <c r="AY7" s="13">
        <f t="shared" si="3"/>
        <v>42353</v>
      </c>
      <c r="AZ7" s="191">
        <f t="shared" si="3"/>
        <v>2817</v>
      </c>
      <c r="BA7" s="186">
        <f t="shared" si="3"/>
        <v>10460</v>
      </c>
      <c r="BB7" s="187">
        <f t="shared" si="3"/>
        <v>1134</v>
      </c>
      <c r="BC7" s="13">
        <f t="shared" si="3"/>
        <v>14411</v>
      </c>
      <c r="BD7" s="6"/>
      <c r="BE7" s="326"/>
      <c r="BF7" s="318" t="s">
        <v>22</v>
      </c>
      <c r="BG7" s="319"/>
      <c r="BH7" s="185">
        <f t="shared" ref="BH7:BQ7" si="4">SUM(BH5:BH6)</f>
        <v>33249</v>
      </c>
      <c r="BI7" s="186">
        <f t="shared" si="4"/>
        <v>2961</v>
      </c>
      <c r="BJ7" s="186">
        <f t="shared" si="4"/>
        <v>3398</v>
      </c>
      <c r="BK7" s="186">
        <f t="shared" si="4"/>
        <v>143</v>
      </c>
      <c r="BL7" s="187">
        <f t="shared" si="4"/>
        <v>5231</v>
      </c>
      <c r="BM7" s="13">
        <f t="shared" si="4"/>
        <v>44982</v>
      </c>
      <c r="BN7" s="191">
        <f t="shared" si="4"/>
        <v>3291</v>
      </c>
      <c r="BO7" s="186">
        <f t="shared" si="4"/>
        <v>13140</v>
      </c>
      <c r="BP7" s="187">
        <f t="shared" si="4"/>
        <v>62</v>
      </c>
      <c r="BQ7" s="13">
        <f t="shared" si="4"/>
        <v>16493</v>
      </c>
      <c r="BR7" s="6"/>
      <c r="BS7" s="326"/>
      <c r="BT7" s="318" t="s">
        <v>22</v>
      </c>
      <c r="BU7" s="319"/>
      <c r="BV7" s="185">
        <f t="shared" ref="BV7:CE7" si="5">SUM(BV5:BV6)</f>
        <v>35754</v>
      </c>
      <c r="BW7" s="186">
        <f t="shared" si="5"/>
        <v>2759</v>
      </c>
      <c r="BX7" s="186">
        <f t="shared" si="5"/>
        <v>1898</v>
      </c>
      <c r="BY7" s="186">
        <f t="shared" si="5"/>
        <v>127</v>
      </c>
      <c r="BZ7" s="187">
        <f t="shared" si="5"/>
        <v>4357</v>
      </c>
      <c r="CA7" s="13">
        <f t="shared" si="5"/>
        <v>44895</v>
      </c>
      <c r="CB7" s="191">
        <f t="shared" si="5"/>
        <v>2344</v>
      </c>
      <c r="CC7" s="186">
        <f t="shared" si="5"/>
        <v>14128</v>
      </c>
      <c r="CD7" s="187">
        <f t="shared" si="5"/>
        <v>20</v>
      </c>
      <c r="CE7" s="13">
        <f t="shared" si="5"/>
        <v>16492</v>
      </c>
      <c r="CF7" s="6"/>
      <c r="CG7" s="326"/>
      <c r="CH7" s="318" t="s">
        <v>22</v>
      </c>
      <c r="CI7" s="319"/>
      <c r="CJ7" s="185">
        <f t="shared" ref="CJ7:CS7" si="6">SUM(CJ5:CJ6)</f>
        <v>29101</v>
      </c>
      <c r="CK7" s="186">
        <f t="shared" si="6"/>
        <v>5549</v>
      </c>
      <c r="CL7" s="186">
        <f t="shared" si="6"/>
        <v>3045</v>
      </c>
      <c r="CM7" s="186">
        <f t="shared" si="6"/>
        <v>189</v>
      </c>
      <c r="CN7" s="187">
        <f t="shared" si="6"/>
        <v>5161</v>
      </c>
      <c r="CO7" s="13">
        <f t="shared" si="6"/>
        <v>43045</v>
      </c>
      <c r="CP7" s="191">
        <f t="shared" si="6"/>
        <v>3162</v>
      </c>
      <c r="CQ7" s="186">
        <f t="shared" si="6"/>
        <v>14424</v>
      </c>
      <c r="CR7" s="187">
        <f t="shared" si="6"/>
        <v>1041</v>
      </c>
      <c r="CS7" s="13">
        <f t="shared" si="6"/>
        <v>18627</v>
      </c>
      <c r="CT7" s="6"/>
      <c r="CU7" s="326"/>
      <c r="CV7" s="318" t="s">
        <v>22</v>
      </c>
      <c r="CW7" s="319"/>
      <c r="CX7" s="185">
        <f t="shared" ref="CX7:DG7" si="7">SUM(CX5:CX6)</f>
        <v>37301</v>
      </c>
      <c r="CY7" s="186">
        <f t="shared" si="7"/>
        <v>2990</v>
      </c>
      <c r="CZ7" s="186">
        <f t="shared" si="7"/>
        <v>2474</v>
      </c>
      <c r="DA7" s="186">
        <f t="shared" si="7"/>
        <v>382</v>
      </c>
      <c r="DB7" s="187">
        <f t="shared" si="7"/>
        <v>4375</v>
      </c>
      <c r="DC7" s="13">
        <f t="shared" si="7"/>
        <v>47522</v>
      </c>
      <c r="DD7" s="191">
        <f t="shared" si="7"/>
        <v>4020</v>
      </c>
      <c r="DE7" s="186">
        <f t="shared" si="7"/>
        <v>22861</v>
      </c>
      <c r="DF7" s="187">
        <f t="shared" si="7"/>
        <v>20</v>
      </c>
      <c r="DG7" s="13">
        <f t="shared" si="7"/>
        <v>26901</v>
      </c>
      <c r="DH7" s="6"/>
      <c r="DI7" s="326"/>
      <c r="DJ7" s="318" t="s">
        <v>22</v>
      </c>
      <c r="DK7" s="319"/>
      <c r="DL7" s="185">
        <f t="shared" ref="DL7:DU7" si="8">SUM(DL5:DL6)</f>
        <v>30785</v>
      </c>
      <c r="DM7" s="186">
        <f t="shared" si="8"/>
        <v>1851</v>
      </c>
      <c r="DN7" s="186">
        <f t="shared" si="8"/>
        <v>2479</v>
      </c>
      <c r="DO7" s="186">
        <f t="shared" si="8"/>
        <v>289</v>
      </c>
      <c r="DP7" s="187">
        <f t="shared" si="8"/>
        <v>5091</v>
      </c>
      <c r="DQ7" s="13">
        <f t="shared" si="8"/>
        <v>40495</v>
      </c>
      <c r="DR7" s="191">
        <f t="shared" si="8"/>
        <v>2010</v>
      </c>
      <c r="DS7" s="186">
        <f t="shared" si="8"/>
        <v>8825</v>
      </c>
      <c r="DT7" s="187">
        <f t="shared" si="8"/>
        <v>187</v>
      </c>
      <c r="DU7" s="13">
        <f t="shared" si="8"/>
        <v>11022</v>
      </c>
      <c r="DV7" s="6"/>
      <c r="DW7" s="326"/>
      <c r="DX7" s="318" t="s">
        <v>22</v>
      </c>
      <c r="DY7" s="319"/>
      <c r="DZ7" s="185">
        <f t="shared" ref="DZ7:EI7" si="9">SUM(DZ5:DZ6)</f>
        <v>30158</v>
      </c>
      <c r="EA7" s="186">
        <f t="shared" si="9"/>
        <v>1743</v>
      </c>
      <c r="EB7" s="186">
        <f t="shared" si="9"/>
        <v>2472</v>
      </c>
      <c r="EC7" s="186">
        <f t="shared" si="9"/>
        <v>75</v>
      </c>
      <c r="ED7" s="187">
        <f t="shared" si="9"/>
        <v>4463</v>
      </c>
      <c r="EE7" s="13">
        <f t="shared" si="9"/>
        <v>38911</v>
      </c>
      <c r="EF7" s="191">
        <f t="shared" si="9"/>
        <v>2891</v>
      </c>
      <c r="EG7" s="186">
        <f t="shared" si="9"/>
        <v>12367</v>
      </c>
      <c r="EH7" s="187">
        <f t="shared" si="9"/>
        <v>989</v>
      </c>
      <c r="EI7" s="13">
        <f t="shared" si="9"/>
        <v>16247</v>
      </c>
      <c r="EJ7" s="6"/>
      <c r="EK7" s="326"/>
      <c r="EL7" s="318" t="s">
        <v>22</v>
      </c>
      <c r="EM7" s="319"/>
      <c r="EN7" s="185">
        <f t="shared" ref="EN7:EW7" si="10">SUM(EN5:EN6)</f>
        <v>0</v>
      </c>
      <c r="EO7" s="186">
        <f t="shared" si="10"/>
        <v>0</v>
      </c>
      <c r="EP7" s="186">
        <f t="shared" si="10"/>
        <v>0</v>
      </c>
      <c r="EQ7" s="186">
        <f t="shared" si="10"/>
        <v>0</v>
      </c>
      <c r="ER7" s="187">
        <f t="shared" si="10"/>
        <v>0</v>
      </c>
      <c r="ES7" s="13">
        <f t="shared" si="10"/>
        <v>0</v>
      </c>
      <c r="ET7" s="191">
        <f t="shared" si="10"/>
        <v>0</v>
      </c>
      <c r="EU7" s="186">
        <f t="shared" si="10"/>
        <v>0</v>
      </c>
      <c r="EV7" s="187">
        <f t="shared" si="10"/>
        <v>0</v>
      </c>
      <c r="EW7" s="13">
        <f t="shared" si="10"/>
        <v>0</v>
      </c>
      <c r="EX7" s="6"/>
      <c r="EY7" s="326"/>
      <c r="EZ7" s="318" t="s">
        <v>22</v>
      </c>
      <c r="FA7" s="319"/>
      <c r="FB7" s="185">
        <f t="shared" ref="FB7:FK7" si="11">SUM(FB5:FB6)</f>
        <v>0</v>
      </c>
      <c r="FC7" s="186">
        <f t="shared" si="11"/>
        <v>0</v>
      </c>
      <c r="FD7" s="186">
        <f t="shared" si="11"/>
        <v>0</v>
      </c>
      <c r="FE7" s="186">
        <f t="shared" si="11"/>
        <v>0</v>
      </c>
      <c r="FF7" s="187">
        <f t="shared" si="11"/>
        <v>0</v>
      </c>
      <c r="FG7" s="13">
        <f t="shared" si="11"/>
        <v>0</v>
      </c>
      <c r="FH7" s="191">
        <f t="shared" si="11"/>
        <v>0</v>
      </c>
      <c r="FI7" s="186">
        <f t="shared" si="11"/>
        <v>0</v>
      </c>
      <c r="FJ7" s="187">
        <f t="shared" si="11"/>
        <v>0</v>
      </c>
      <c r="FK7" s="13">
        <f t="shared" si="11"/>
        <v>0</v>
      </c>
      <c r="FL7" s="6"/>
      <c r="FM7" s="326"/>
      <c r="FN7" s="318" t="s">
        <v>22</v>
      </c>
      <c r="FO7" s="319"/>
      <c r="FP7" s="185">
        <f t="shared" ref="FP7:FY7" si="12">SUM(FP5:FP6)</f>
        <v>337864</v>
      </c>
      <c r="FQ7" s="186">
        <f t="shared" si="12"/>
        <v>33935</v>
      </c>
      <c r="FR7" s="186">
        <f t="shared" si="12"/>
        <v>27493</v>
      </c>
      <c r="FS7" s="186">
        <f t="shared" si="12"/>
        <v>1859</v>
      </c>
      <c r="FT7" s="187">
        <f t="shared" si="12"/>
        <v>46782</v>
      </c>
      <c r="FU7" s="13">
        <f t="shared" si="12"/>
        <v>447933</v>
      </c>
      <c r="FV7" s="191">
        <f t="shared" si="12"/>
        <v>31741</v>
      </c>
      <c r="FW7" s="186">
        <f t="shared" si="12"/>
        <v>134122</v>
      </c>
      <c r="FX7" s="187">
        <f t="shared" si="12"/>
        <v>5619</v>
      </c>
      <c r="FY7" s="13">
        <f t="shared" si="12"/>
        <v>171482</v>
      </c>
      <c r="FZ7" s="6"/>
    </row>
    <row r="8" spans="1:182" ht="20.100000000000001" customHeight="1" x14ac:dyDescent="0.2">
      <c r="A8" s="326"/>
      <c r="B8" s="330" t="s">
        <v>23</v>
      </c>
      <c r="C8" s="9" t="s">
        <v>20</v>
      </c>
      <c r="D8" s="22">
        <f>'مراجعي العيادات'!D96</f>
        <v>3403</v>
      </c>
      <c r="E8" s="24">
        <f>'مراجعي العيادات'!E96</f>
        <v>753</v>
      </c>
      <c r="F8" s="24">
        <f>'مراجعي العيادات'!F96</f>
        <v>0</v>
      </c>
      <c r="G8" s="24">
        <f>'مراجعي العيادات'!G96</f>
        <v>0</v>
      </c>
      <c r="H8" s="23">
        <f>'مراجعي العيادات'!H96</f>
        <v>841</v>
      </c>
      <c r="I8" s="190">
        <f>SUM(D8:H8)</f>
        <v>4997</v>
      </c>
      <c r="J8" s="22">
        <f>'مراجعي العيادات'!J96</f>
        <v>401</v>
      </c>
      <c r="K8" s="24">
        <f>'مراجعي العيادات'!K96</f>
        <v>447</v>
      </c>
      <c r="L8" s="23">
        <f>'مراجعي العيادات'!L96</f>
        <v>10</v>
      </c>
      <c r="M8" s="32">
        <f>SUM(J8:L8)</f>
        <v>858</v>
      </c>
      <c r="N8" s="6"/>
      <c r="O8" s="326"/>
      <c r="P8" s="330" t="s">
        <v>23</v>
      </c>
      <c r="Q8" s="9" t="s">
        <v>20</v>
      </c>
      <c r="R8" s="22">
        <f>'مراجعي العيادات'!R96</f>
        <v>2891</v>
      </c>
      <c r="S8" s="24">
        <f>'مراجعي العيادات'!S96</f>
        <v>663</v>
      </c>
      <c r="T8" s="24">
        <f>'مراجعي العيادات'!T96</f>
        <v>0</v>
      </c>
      <c r="U8" s="24">
        <f>'مراجعي العيادات'!U96</f>
        <v>0</v>
      </c>
      <c r="V8" s="23">
        <f>'مراجعي العيادات'!V96</f>
        <v>621</v>
      </c>
      <c r="W8" s="190">
        <f>SUM(R8:V8)</f>
        <v>4175</v>
      </c>
      <c r="X8" s="22">
        <f>'مراجعي العيادات'!X96</f>
        <v>576</v>
      </c>
      <c r="Y8" s="24">
        <f>'مراجعي العيادات'!Y96</f>
        <v>509</v>
      </c>
      <c r="Z8" s="23">
        <f>'مراجعي العيادات'!Z96</f>
        <v>54</v>
      </c>
      <c r="AA8" s="32">
        <f>SUM(X8:Z8)</f>
        <v>1139</v>
      </c>
      <c r="AB8" s="6"/>
      <c r="AC8" s="326"/>
      <c r="AD8" s="330" t="s">
        <v>23</v>
      </c>
      <c r="AE8" s="9" t="s">
        <v>20</v>
      </c>
      <c r="AF8" s="22">
        <f>'مراجعي العيادات'!AF96</f>
        <v>5718</v>
      </c>
      <c r="AG8" s="24">
        <f>'مراجعي العيادات'!AG96</f>
        <v>473</v>
      </c>
      <c r="AH8" s="24">
        <f>'مراجعي العيادات'!AH96</f>
        <v>0</v>
      </c>
      <c r="AI8" s="24">
        <f>'مراجعي العيادات'!AI96</f>
        <v>0</v>
      </c>
      <c r="AJ8" s="23">
        <f>'مراجعي العيادات'!AJ96</f>
        <v>385</v>
      </c>
      <c r="AK8" s="190">
        <f>SUM(AF8:AJ8)</f>
        <v>6576</v>
      </c>
      <c r="AL8" s="22">
        <f>'مراجعي العيادات'!AL96</f>
        <v>165</v>
      </c>
      <c r="AM8" s="24">
        <f>'مراجعي العيادات'!AM96</f>
        <v>734</v>
      </c>
      <c r="AN8" s="23">
        <f>'مراجعي العيادات'!AN96</f>
        <v>0</v>
      </c>
      <c r="AO8" s="32">
        <f>SUM(AL8:AN8)</f>
        <v>899</v>
      </c>
      <c r="AP8" s="6"/>
      <c r="AQ8" s="326"/>
      <c r="AR8" s="330" t="s">
        <v>23</v>
      </c>
      <c r="AS8" s="9" t="s">
        <v>20</v>
      </c>
      <c r="AT8" s="22">
        <f>'مراجعي العيادات'!AT96</f>
        <v>2008</v>
      </c>
      <c r="AU8" s="24">
        <f>'مراجعي العيادات'!AU96</f>
        <v>504</v>
      </c>
      <c r="AV8" s="24">
        <f>'مراجعي العيادات'!AV96</f>
        <v>52</v>
      </c>
      <c r="AW8" s="24">
        <f>'مراجعي العيادات'!AW96</f>
        <v>0</v>
      </c>
      <c r="AX8" s="23">
        <f>'مراجعي العيادات'!AX96</f>
        <v>639</v>
      </c>
      <c r="AY8" s="190">
        <f>SUM(AT8:AX8)</f>
        <v>3203</v>
      </c>
      <c r="AZ8" s="22">
        <f>'مراجعي العيادات'!AZ96</f>
        <v>370</v>
      </c>
      <c r="BA8" s="24">
        <f>'مراجعي العيادات'!BA96</f>
        <v>975</v>
      </c>
      <c r="BB8" s="23">
        <f>'مراجعي العيادات'!BB96</f>
        <v>60</v>
      </c>
      <c r="BC8" s="32">
        <f>SUM(AZ8:BB8)</f>
        <v>1405</v>
      </c>
      <c r="BD8" s="6"/>
      <c r="BE8" s="326"/>
      <c r="BF8" s="330" t="s">
        <v>23</v>
      </c>
      <c r="BG8" s="9" t="s">
        <v>20</v>
      </c>
      <c r="BH8" s="22">
        <f>'مراجعي العيادات'!BH96</f>
        <v>2911</v>
      </c>
      <c r="BI8" s="24">
        <f>'مراجعي العيادات'!BI96</f>
        <v>278</v>
      </c>
      <c r="BJ8" s="24">
        <f>'مراجعي العيادات'!BJ96</f>
        <v>0</v>
      </c>
      <c r="BK8" s="24">
        <f>'مراجعي العيادات'!BK96</f>
        <v>0</v>
      </c>
      <c r="BL8" s="23">
        <f>'مراجعي العيادات'!BL96</f>
        <v>375</v>
      </c>
      <c r="BM8" s="190">
        <f>SUM(BH8:BL8)</f>
        <v>3564</v>
      </c>
      <c r="BN8" s="22">
        <f>'مراجعي العيادات'!BN96</f>
        <v>406</v>
      </c>
      <c r="BO8" s="24">
        <f>'مراجعي العيادات'!BO96</f>
        <v>1411</v>
      </c>
      <c r="BP8" s="23">
        <f>'مراجعي العيادات'!BP96</f>
        <v>0</v>
      </c>
      <c r="BQ8" s="32">
        <f>SUM(BN8:BP8)</f>
        <v>1817</v>
      </c>
      <c r="BR8" s="6"/>
      <c r="BS8" s="326"/>
      <c r="BT8" s="330" t="s">
        <v>23</v>
      </c>
      <c r="BU8" s="9" t="s">
        <v>20</v>
      </c>
      <c r="BV8" s="22">
        <f>'مراجعي العيادات'!BV96</f>
        <v>3848</v>
      </c>
      <c r="BW8" s="24">
        <f>'مراجعي العيادات'!BW96</f>
        <v>319</v>
      </c>
      <c r="BX8" s="24">
        <f>'مراجعي العيادات'!BX96</f>
        <v>0</v>
      </c>
      <c r="BY8" s="24">
        <f>'مراجعي العيادات'!BY96</f>
        <v>0</v>
      </c>
      <c r="BZ8" s="23">
        <f>'مراجعي العيادات'!BZ96</f>
        <v>645</v>
      </c>
      <c r="CA8" s="190">
        <f>SUM(BV8:BZ8)</f>
        <v>4812</v>
      </c>
      <c r="CB8" s="22">
        <f>'مراجعي العيادات'!CB96</f>
        <v>392</v>
      </c>
      <c r="CC8" s="24">
        <f>'مراجعي العيادات'!CC96</f>
        <v>850</v>
      </c>
      <c r="CD8" s="23">
        <f>'مراجعي العيادات'!CD96</f>
        <v>0</v>
      </c>
      <c r="CE8" s="32">
        <f>SUM(CB8:CD8)</f>
        <v>1242</v>
      </c>
      <c r="CF8" s="6"/>
      <c r="CG8" s="326"/>
      <c r="CH8" s="330" t="s">
        <v>23</v>
      </c>
      <c r="CI8" s="9" t="s">
        <v>20</v>
      </c>
      <c r="CJ8" s="22">
        <f>'مراجعي العيادات'!CJ96</f>
        <v>3433</v>
      </c>
      <c r="CK8" s="24">
        <f>'مراجعي العيادات'!CK96</f>
        <v>495</v>
      </c>
      <c r="CL8" s="24">
        <f>'مراجعي العيادات'!CL96</f>
        <v>0</v>
      </c>
      <c r="CM8" s="24">
        <f>'مراجعي العيادات'!CM96</f>
        <v>0</v>
      </c>
      <c r="CN8" s="23">
        <f>'مراجعي العيادات'!CN96</f>
        <v>951</v>
      </c>
      <c r="CO8" s="190">
        <f>SUM(CJ8:CN8)</f>
        <v>4879</v>
      </c>
      <c r="CP8" s="22">
        <f>'مراجعي العيادات'!CP96</f>
        <v>330</v>
      </c>
      <c r="CQ8" s="24">
        <f>'مراجعي العيادات'!CQ96</f>
        <v>687</v>
      </c>
      <c r="CR8" s="23">
        <f>'مراجعي العيادات'!CR96</f>
        <v>31</v>
      </c>
      <c r="CS8" s="32">
        <f>SUM(CP8:CR8)</f>
        <v>1048</v>
      </c>
      <c r="CT8" s="6"/>
      <c r="CU8" s="326"/>
      <c r="CV8" s="330" t="s">
        <v>23</v>
      </c>
      <c r="CW8" s="9" t="s">
        <v>20</v>
      </c>
      <c r="CX8" s="22">
        <f>'مراجعي العيادات'!CX96</f>
        <v>3818</v>
      </c>
      <c r="CY8" s="24">
        <f>'مراجعي العيادات'!CY96</f>
        <v>397</v>
      </c>
      <c r="CZ8" s="24">
        <f>'مراجعي العيادات'!CZ96</f>
        <v>0</v>
      </c>
      <c r="DA8" s="24">
        <f>'مراجعي العيادات'!DA96</f>
        <v>0</v>
      </c>
      <c r="DB8" s="23">
        <f>'مراجعي العيادات'!DB96</f>
        <v>667</v>
      </c>
      <c r="DC8" s="190">
        <f>SUM(CX8:DB8)</f>
        <v>4882</v>
      </c>
      <c r="DD8" s="22">
        <f>'مراجعي العيادات'!DD96</f>
        <v>721</v>
      </c>
      <c r="DE8" s="24">
        <f>'مراجعي العيادات'!DE96</f>
        <v>856</v>
      </c>
      <c r="DF8" s="23">
        <f>'مراجعي العيادات'!DF96</f>
        <v>0</v>
      </c>
      <c r="DG8" s="32">
        <f>SUM(DD8:DF8)</f>
        <v>1577</v>
      </c>
      <c r="DH8" s="6"/>
      <c r="DI8" s="326"/>
      <c r="DJ8" s="330" t="s">
        <v>23</v>
      </c>
      <c r="DK8" s="9" t="s">
        <v>20</v>
      </c>
      <c r="DL8" s="22">
        <f>'مراجعي العيادات'!DL96</f>
        <v>2731</v>
      </c>
      <c r="DM8" s="24">
        <f>'مراجعي العيادات'!DM96</f>
        <v>138</v>
      </c>
      <c r="DN8" s="24">
        <f>'مراجعي العيادات'!DN96</f>
        <v>17</v>
      </c>
      <c r="DO8" s="24">
        <f>'مراجعي العيادات'!DO96</f>
        <v>0</v>
      </c>
      <c r="DP8" s="23">
        <f>'مراجعي العيادات'!DP96</f>
        <v>582</v>
      </c>
      <c r="DQ8" s="190">
        <f>SUM(DL8:DP8)</f>
        <v>3468</v>
      </c>
      <c r="DR8" s="22">
        <f>'مراجعي العيادات'!DR96</f>
        <v>350</v>
      </c>
      <c r="DS8" s="24">
        <f>'مراجعي العيادات'!DS96</f>
        <v>872</v>
      </c>
      <c r="DT8" s="23">
        <f>'مراجعي العيادات'!DT96</f>
        <v>25</v>
      </c>
      <c r="DU8" s="32">
        <f>SUM(DR8:DT8)</f>
        <v>1247</v>
      </c>
      <c r="DV8" s="6"/>
      <c r="DW8" s="326"/>
      <c r="DX8" s="330" t="s">
        <v>23</v>
      </c>
      <c r="DY8" s="9" t="s">
        <v>20</v>
      </c>
      <c r="DZ8" s="22">
        <f>'مراجعي العيادات'!DZ96</f>
        <v>2259</v>
      </c>
      <c r="EA8" s="24">
        <f>'مراجعي العيادات'!EA96</f>
        <v>160</v>
      </c>
      <c r="EB8" s="24">
        <f>'مراجعي العيادات'!EB96</f>
        <v>0</v>
      </c>
      <c r="EC8" s="24">
        <f>'مراجعي العيادات'!EC96</f>
        <v>0</v>
      </c>
      <c r="ED8" s="23">
        <f>'مراجعي العيادات'!ED96</f>
        <v>693</v>
      </c>
      <c r="EE8" s="190">
        <f>SUM(DZ8:ED8)</f>
        <v>3112</v>
      </c>
      <c r="EF8" s="22">
        <f>'مراجعي العيادات'!EF96</f>
        <v>358</v>
      </c>
      <c r="EG8" s="24">
        <f>'مراجعي العيادات'!EG96</f>
        <v>691</v>
      </c>
      <c r="EH8" s="23">
        <f>'مراجعي العيادات'!EH96</f>
        <v>10</v>
      </c>
      <c r="EI8" s="32">
        <f>SUM(EF8:EH8)</f>
        <v>1059</v>
      </c>
      <c r="EJ8" s="6"/>
      <c r="EK8" s="326"/>
      <c r="EL8" s="330" t="s">
        <v>23</v>
      </c>
      <c r="EM8" s="9" t="s">
        <v>20</v>
      </c>
      <c r="EN8" s="22">
        <f>'مراجعي العيادات'!EN96</f>
        <v>0</v>
      </c>
      <c r="EO8" s="24">
        <f>'مراجعي العيادات'!EO96</f>
        <v>0</v>
      </c>
      <c r="EP8" s="24">
        <f>'مراجعي العيادات'!EP96</f>
        <v>0</v>
      </c>
      <c r="EQ8" s="24">
        <f>'مراجعي العيادات'!EQ96</f>
        <v>0</v>
      </c>
      <c r="ER8" s="23">
        <f>'مراجعي العيادات'!ER96</f>
        <v>0</v>
      </c>
      <c r="ES8" s="190">
        <f>SUM(EN8:ER8)</f>
        <v>0</v>
      </c>
      <c r="ET8" s="22">
        <f>'مراجعي العيادات'!ET96</f>
        <v>0</v>
      </c>
      <c r="EU8" s="24">
        <f>'مراجعي العيادات'!EU96</f>
        <v>0</v>
      </c>
      <c r="EV8" s="23">
        <f>'مراجعي العيادات'!EV96</f>
        <v>0</v>
      </c>
      <c r="EW8" s="32">
        <f>SUM(ET8:EV8)</f>
        <v>0</v>
      </c>
      <c r="EX8" s="6"/>
      <c r="EY8" s="326"/>
      <c r="EZ8" s="330" t="s">
        <v>23</v>
      </c>
      <c r="FA8" s="9" t="s">
        <v>20</v>
      </c>
      <c r="FB8" s="22">
        <f>'مراجعي العيادات'!FB96</f>
        <v>0</v>
      </c>
      <c r="FC8" s="24">
        <f>'مراجعي العيادات'!FC96</f>
        <v>0</v>
      </c>
      <c r="FD8" s="24">
        <f>'مراجعي العيادات'!FD96</f>
        <v>0</v>
      </c>
      <c r="FE8" s="24">
        <f>'مراجعي العيادات'!FE96</f>
        <v>0</v>
      </c>
      <c r="FF8" s="23">
        <f>'مراجعي العيادات'!FF96</f>
        <v>0</v>
      </c>
      <c r="FG8" s="190">
        <f>SUM(FB8:FF8)</f>
        <v>0</v>
      </c>
      <c r="FH8" s="22">
        <f>'مراجعي العيادات'!FH96</f>
        <v>0</v>
      </c>
      <c r="FI8" s="24">
        <f>'مراجعي العيادات'!FI96</f>
        <v>0</v>
      </c>
      <c r="FJ8" s="23">
        <f>'مراجعي العيادات'!FJ96</f>
        <v>0</v>
      </c>
      <c r="FK8" s="32">
        <f>SUM(FH8:FJ8)</f>
        <v>0</v>
      </c>
      <c r="FL8" s="6"/>
      <c r="FM8" s="326"/>
      <c r="FN8" s="330" t="s">
        <v>23</v>
      </c>
      <c r="FO8" s="9" t="s">
        <v>20</v>
      </c>
      <c r="FP8" s="22">
        <f>'مراجعي العيادات'!FP96</f>
        <v>33020</v>
      </c>
      <c r="FQ8" s="24">
        <f>'مراجعي العيادات'!FQ96</f>
        <v>4180</v>
      </c>
      <c r="FR8" s="24">
        <f>'مراجعي العيادات'!FR96</f>
        <v>69</v>
      </c>
      <c r="FS8" s="24">
        <f>'مراجعي العيادات'!FS96</f>
        <v>0</v>
      </c>
      <c r="FT8" s="23">
        <f>'مراجعي العيادات'!FT96</f>
        <v>6399</v>
      </c>
      <c r="FU8" s="190">
        <f>SUM(FP8:FT8)</f>
        <v>43668</v>
      </c>
      <c r="FV8" s="22">
        <f>'مراجعي العيادات'!FV96</f>
        <v>4069</v>
      </c>
      <c r="FW8" s="24">
        <f>'مراجعي العيادات'!FW96</f>
        <v>8032</v>
      </c>
      <c r="FX8" s="23">
        <f>'مراجعي العيادات'!FX96</f>
        <v>190</v>
      </c>
      <c r="FY8" s="32">
        <f>SUM(FV8:FX8)</f>
        <v>12291</v>
      </c>
      <c r="FZ8" s="6"/>
    </row>
    <row r="9" spans="1:182" ht="20.100000000000001" customHeight="1" thickBot="1" x14ac:dyDescent="0.25">
      <c r="A9" s="326"/>
      <c r="B9" s="331"/>
      <c r="C9" s="10" t="s">
        <v>21</v>
      </c>
      <c r="D9" s="179">
        <f>'مراجعي العيادات'!D97</f>
        <v>3158</v>
      </c>
      <c r="E9" s="176">
        <f>'مراجعي العيادات'!E97</f>
        <v>350</v>
      </c>
      <c r="F9" s="176">
        <f>'مراجعي العيادات'!F97</f>
        <v>0</v>
      </c>
      <c r="G9" s="176">
        <f>'مراجعي العيادات'!G97</f>
        <v>15</v>
      </c>
      <c r="H9" s="192">
        <f>'مراجعي العيادات'!H97</f>
        <v>1092</v>
      </c>
      <c r="I9" s="189">
        <f>SUM(D9:H9)</f>
        <v>4615</v>
      </c>
      <c r="J9" s="26">
        <f>'مراجعي العيادات'!J97</f>
        <v>324</v>
      </c>
      <c r="K9" s="28">
        <f>'مراجعي العيادات'!K97</f>
        <v>694</v>
      </c>
      <c r="L9" s="27">
        <f>'مراجعي العيادات'!L97</f>
        <v>9</v>
      </c>
      <c r="M9" s="31">
        <f>SUM(J9:L9)</f>
        <v>1027</v>
      </c>
      <c r="N9" s="6"/>
      <c r="O9" s="326"/>
      <c r="P9" s="331"/>
      <c r="Q9" s="10" t="s">
        <v>21</v>
      </c>
      <c r="R9" s="179">
        <f>'مراجعي العيادات'!R97</f>
        <v>2085</v>
      </c>
      <c r="S9" s="176">
        <f>'مراجعي العيادات'!S97</f>
        <v>371</v>
      </c>
      <c r="T9" s="176">
        <f>'مراجعي العيادات'!T97</f>
        <v>0</v>
      </c>
      <c r="U9" s="176">
        <f>'مراجعي العيادات'!U97</f>
        <v>14</v>
      </c>
      <c r="V9" s="192">
        <f>'مراجعي العيادات'!V97</f>
        <v>1093</v>
      </c>
      <c r="W9" s="189">
        <f>SUM(R9:V9)</f>
        <v>3563</v>
      </c>
      <c r="X9" s="26">
        <f>'مراجعي العيادات'!X97</f>
        <v>542</v>
      </c>
      <c r="Y9" s="28">
        <f>'مراجعي العيادات'!Y97</f>
        <v>723</v>
      </c>
      <c r="Z9" s="27">
        <f>'مراجعي العيادات'!Z97</f>
        <v>18</v>
      </c>
      <c r="AA9" s="31">
        <f>SUM(X9:Z9)</f>
        <v>1283</v>
      </c>
      <c r="AB9" s="6"/>
      <c r="AC9" s="326"/>
      <c r="AD9" s="331"/>
      <c r="AE9" s="10" t="s">
        <v>21</v>
      </c>
      <c r="AF9" s="179">
        <f>'مراجعي العيادات'!AF97</f>
        <v>4137</v>
      </c>
      <c r="AG9" s="176">
        <f>'مراجعي العيادات'!AG97</f>
        <v>406</v>
      </c>
      <c r="AH9" s="176">
        <f>'مراجعي العيادات'!AH97</f>
        <v>0</v>
      </c>
      <c r="AI9" s="176">
        <f>'مراجعي العيادات'!AI97</f>
        <v>10</v>
      </c>
      <c r="AJ9" s="192">
        <f>'مراجعي العيادات'!AJ97</f>
        <v>359</v>
      </c>
      <c r="AK9" s="189">
        <f>SUM(AF9:AJ9)</f>
        <v>4912</v>
      </c>
      <c r="AL9" s="26">
        <f>'مراجعي العيادات'!AL97</f>
        <v>164</v>
      </c>
      <c r="AM9" s="28">
        <f>'مراجعي العيادات'!AM97</f>
        <v>865</v>
      </c>
      <c r="AN9" s="27">
        <f>'مراجعي العيادات'!AN97</f>
        <v>0</v>
      </c>
      <c r="AO9" s="31">
        <f>SUM(AL9:AN9)</f>
        <v>1029</v>
      </c>
      <c r="AP9" s="6"/>
      <c r="AQ9" s="326"/>
      <c r="AR9" s="331"/>
      <c r="AS9" s="10" t="s">
        <v>21</v>
      </c>
      <c r="AT9" s="179">
        <f>'مراجعي العيادات'!AT97</f>
        <v>2039</v>
      </c>
      <c r="AU9" s="176">
        <f>'مراجعي العيادات'!AU97</f>
        <v>410</v>
      </c>
      <c r="AV9" s="176">
        <f>'مراجعي العيادات'!AV97</f>
        <v>4</v>
      </c>
      <c r="AW9" s="176">
        <f>'مراجعي العيادات'!AW97</f>
        <v>25</v>
      </c>
      <c r="AX9" s="192">
        <f>'مراجعي العيادات'!AX97</f>
        <v>561</v>
      </c>
      <c r="AY9" s="189">
        <f>SUM(AT9:AX9)</f>
        <v>3039</v>
      </c>
      <c r="AZ9" s="26">
        <f>'مراجعي العيادات'!AZ97</f>
        <v>323</v>
      </c>
      <c r="BA9" s="28">
        <f>'مراجعي العيادات'!BA97</f>
        <v>1411</v>
      </c>
      <c r="BB9" s="27">
        <f>'مراجعي العيادات'!BB97</f>
        <v>4</v>
      </c>
      <c r="BC9" s="31">
        <f>SUM(AZ9:BB9)</f>
        <v>1738</v>
      </c>
      <c r="BD9" s="6"/>
      <c r="BE9" s="326"/>
      <c r="BF9" s="331"/>
      <c r="BG9" s="10" t="s">
        <v>21</v>
      </c>
      <c r="BH9" s="179">
        <f>'مراجعي العيادات'!BH97</f>
        <v>2559</v>
      </c>
      <c r="BI9" s="176">
        <f>'مراجعي العيادات'!BI97</f>
        <v>160</v>
      </c>
      <c r="BJ9" s="176">
        <f>'مراجعي العيادات'!BJ97</f>
        <v>0</v>
      </c>
      <c r="BK9" s="176">
        <f>'مراجعي العيادات'!BK97</f>
        <v>18</v>
      </c>
      <c r="BL9" s="192">
        <f>'مراجعي العيادات'!BL97</f>
        <v>414</v>
      </c>
      <c r="BM9" s="189">
        <f>SUM(BH9:BL9)</f>
        <v>3151</v>
      </c>
      <c r="BN9" s="26">
        <f>'مراجعي العيادات'!BN97</f>
        <v>333</v>
      </c>
      <c r="BO9" s="28">
        <f>'مراجعي العيادات'!BO97</f>
        <v>1137</v>
      </c>
      <c r="BP9" s="27">
        <f>'مراجعي العيادات'!BP97</f>
        <v>0</v>
      </c>
      <c r="BQ9" s="31">
        <f>SUM(BN9:BP9)</f>
        <v>1470</v>
      </c>
      <c r="BR9" s="6"/>
      <c r="BS9" s="326"/>
      <c r="BT9" s="331"/>
      <c r="BU9" s="10" t="s">
        <v>21</v>
      </c>
      <c r="BV9" s="179">
        <f>'مراجعي العيادات'!BV97</f>
        <v>3310</v>
      </c>
      <c r="BW9" s="176">
        <f>'مراجعي العيادات'!BW97</f>
        <v>265</v>
      </c>
      <c r="BX9" s="176">
        <f>'مراجعي العيادات'!BX97</f>
        <v>0</v>
      </c>
      <c r="BY9" s="176">
        <f>'مراجعي العيادات'!BY97</f>
        <v>15</v>
      </c>
      <c r="BZ9" s="192">
        <f>'مراجعي العيادات'!BZ97</f>
        <v>578</v>
      </c>
      <c r="CA9" s="189">
        <f>SUM(BV9:BZ9)</f>
        <v>4168</v>
      </c>
      <c r="CB9" s="26">
        <f>'مراجعي العيادات'!CB97</f>
        <v>301</v>
      </c>
      <c r="CC9" s="28">
        <f>'مراجعي العيادات'!CC97</f>
        <v>1161</v>
      </c>
      <c r="CD9" s="27">
        <f>'مراجعي العيادات'!CD97</f>
        <v>0</v>
      </c>
      <c r="CE9" s="31">
        <f>SUM(CB9:CD9)</f>
        <v>1462</v>
      </c>
      <c r="CF9" s="6"/>
      <c r="CG9" s="326"/>
      <c r="CH9" s="331"/>
      <c r="CI9" s="10" t="s">
        <v>21</v>
      </c>
      <c r="CJ9" s="179">
        <f>'مراجعي العيادات'!CJ97</f>
        <v>2783</v>
      </c>
      <c r="CK9" s="176">
        <f>'مراجعي العيادات'!CK97</f>
        <v>492</v>
      </c>
      <c r="CL9" s="176">
        <f>'مراجعي العيادات'!CL97</f>
        <v>0</v>
      </c>
      <c r="CM9" s="176">
        <f>'مراجعي العيادات'!CM97</f>
        <v>377</v>
      </c>
      <c r="CN9" s="192">
        <f>'مراجعي العيادات'!CN97</f>
        <v>896</v>
      </c>
      <c r="CO9" s="189">
        <f>SUM(CJ9:CN9)</f>
        <v>4548</v>
      </c>
      <c r="CP9" s="26">
        <f>'مراجعي العيادات'!CP97</f>
        <v>265</v>
      </c>
      <c r="CQ9" s="28">
        <f>'مراجعي العيادات'!CQ97</f>
        <v>1071</v>
      </c>
      <c r="CR9" s="27">
        <f>'مراجعي العيادات'!CR97</f>
        <v>0</v>
      </c>
      <c r="CS9" s="31">
        <f>SUM(CP9:CR9)</f>
        <v>1336</v>
      </c>
      <c r="CT9" s="6"/>
      <c r="CU9" s="326"/>
      <c r="CV9" s="331"/>
      <c r="CW9" s="10" t="s">
        <v>21</v>
      </c>
      <c r="CX9" s="179">
        <f>'مراجعي العيادات'!CX97</f>
        <v>3297</v>
      </c>
      <c r="CY9" s="176">
        <f>'مراجعي العيادات'!CY97</f>
        <v>346</v>
      </c>
      <c r="CZ9" s="176">
        <f>'مراجعي العيادات'!CZ97</f>
        <v>0</v>
      </c>
      <c r="DA9" s="176">
        <f>'مراجعي العيادات'!DA97</f>
        <v>11</v>
      </c>
      <c r="DB9" s="192">
        <f>'مراجعي العيادات'!DB97</f>
        <v>730</v>
      </c>
      <c r="DC9" s="189">
        <f>SUM(CX9:DB9)</f>
        <v>4384</v>
      </c>
      <c r="DD9" s="26">
        <f>'مراجعي العيادات'!DD97</f>
        <v>560</v>
      </c>
      <c r="DE9" s="28">
        <f>'مراجعي العيادات'!DE97</f>
        <v>1152</v>
      </c>
      <c r="DF9" s="27">
        <f>'مراجعي العيادات'!DF97</f>
        <v>0</v>
      </c>
      <c r="DG9" s="31">
        <f>SUM(DD9:DF9)</f>
        <v>1712</v>
      </c>
      <c r="DH9" s="6"/>
      <c r="DI9" s="326"/>
      <c r="DJ9" s="331"/>
      <c r="DK9" s="10" t="s">
        <v>21</v>
      </c>
      <c r="DL9" s="179">
        <f>'مراجعي العيادات'!DL97</f>
        <v>2857</v>
      </c>
      <c r="DM9" s="176">
        <f>'مراجعي العيادات'!DM97</f>
        <v>188</v>
      </c>
      <c r="DN9" s="176">
        <f>'مراجعي العيادات'!DN97</f>
        <v>12</v>
      </c>
      <c r="DO9" s="176">
        <f>'مراجعي العيادات'!DO97</f>
        <v>34</v>
      </c>
      <c r="DP9" s="192">
        <f>'مراجعي العيادات'!DP97</f>
        <v>534</v>
      </c>
      <c r="DQ9" s="189">
        <f>SUM(DL9:DP9)</f>
        <v>3625</v>
      </c>
      <c r="DR9" s="26">
        <f>'مراجعي العيادات'!DR97</f>
        <v>348</v>
      </c>
      <c r="DS9" s="28">
        <f>'مراجعي العيادات'!DS97</f>
        <v>1455</v>
      </c>
      <c r="DT9" s="27">
        <f>'مراجعي العيادات'!DT97</f>
        <v>18</v>
      </c>
      <c r="DU9" s="31">
        <f>SUM(DR9:DT9)</f>
        <v>1821</v>
      </c>
      <c r="DV9" s="6"/>
      <c r="DW9" s="326"/>
      <c r="DX9" s="331"/>
      <c r="DY9" s="10" t="s">
        <v>21</v>
      </c>
      <c r="DZ9" s="179">
        <f>'مراجعي العيادات'!DZ97</f>
        <v>1858</v>
      </c>
      <c r="EA9" s="176">
        <f>'مراجعي العيادات'!EA97</f>
        <v>50</v>
      </c>
      <c r="EB9" s="176">
        <f>'مراجعي العيادات'!EB97</f>
        <v>0</v>
      </c>
      <c r="EC9" s="176">
        <f>'مراجعي العيادات'!EC97</f>
        <v>7</v>
      </c>
      <c r="ED9" s="192">
        <f>'مراجعي العيادات'!ED97</f>
        <v>869</v>
      </c>
      <c r="EE9" s="189">
        <f>SUM(DZ9:ED9)</f>
        <v>2784</v>
      </c>
      <c r="EF9" s="26">
        <f>'مراجعي العيادات'!EF97</f>
        <v>249</v>
      </c>
      <c r="EG9" s="28">
        <f>'مراجعي العيادات'!EG97</f>
        <v>954</v>
      </c>
      <c r="EH9" s="27">
        <f>'مراجعي العيادات'!EH97</f>
        <v>9</v>
      </c>
      <c r="EI9" s="31">
        <f>SUM(EF9:EH9)</f>
        <v>1212</v>
      </c>
      <c r="EJ9" s="6"/>
      <c r="EK9" s="326"/>
      <c r="EL9" s="331"/>
      <c r="EM9" s="10" t="s">
        <v>21</v>
      </c>
      <c r="EN9" s="179">
        <f>'مراجعي العيادات'!EN97</f>
        <v>0</v>
      </c>
      <c r="EO9" s="176">
        <f>'مراجعي العيادات'!EO97</f>
        <v>0</v>
      </c>
      <c r="EP9" s="176">
        <f>'مراجعي العيادات'!EP97</f>
        <v>0</v>
      </c>
      <c r="EQ9" s="176">
        <f>'مراجعي العيادات'!EQ97</f>
        <v>0</v>
      </c>
      <c r="ER9" s="192">
        <f>'مراجعي العيادات'!ER97</f>
        <v>0</v>
      </c>
      <c r="ES9" s="189">
        <f>SUM(EN9:ER9)</f>
        <v>0</v>
      </c>
      <c r="ET9" s="26">
        <f>'مراجعي العيادات'!ET97</f>
        <v>0</v>
      </c>
      <c r="EU9" s="28">
        <f>'مراجعي العيادات'!EU97</f>
        <v>0</v>
      </c>
      <c r="EV9" s="27">
        <f>'مراجعي العيادات'!EV97</f>
        <v>0</v>
      </c>
      <c r="EW9" s="31">
        <f>SUM(ET9:EV9)</f>
        <v>0</v>
      </c>
      <c r="EX9" s="6"/>
      <c r="EY9" s="326"/>
      <c r="EZ9" s="331"/>
      <c r="FA9" s="10" t="s">
        <v>21</v>
      </c>
      <c r="FB9" s="179">
        <f>'مراجعي العيادات'!FB97</f>
        <v>0</v>
      </c>
      <c r="FC9" s="176">
        <f>'مراجعي العيادات'!FC97</f>
        <v>0</v>
      </c>
      <c r="FD9" s="176">
        <f>'مراجعي العيادات'!FD97</f>
        <v>0</v>
      </c>
      <c r="FE9" s="176">
        <f>'مراجعي العيادات'!FE97</f>
        <v>0</v>
      </c>
      <c r="FF9" s="192">
        <f>'مراجعي العيادات'!FF97</f>
        <v>0</v>
      </c>
      <c r="FG9" s="189">
        <f>SUM(FB9:FF9)</f>
        <v>0</v>
      </c>
      <c r="FH9" s="26">
        <f>'مراجعي العيادات'!FH97</f>
        <v>0</v>
      </c>
      <c r="FI9" s="28">
        <f>'مراجعي العيادات'!FI97</f>
        <v>0</v>
      </c>
      <c r="FJ9" s="27">
        <f>'مراجعي العيادات'!FJ97</f>
        <v>0</v>
      </c>
      <c r="FK9" s="31">
        <f>SUM(FH9:FJ9)</f>
        <v>0</v>
      </c>
      <c r="FL9" s="6"/>
      <c r="FM9" s="326"/>
      <c r="FN9" s="331"/>
      <c r="FO9" s="10" t="s">
        <v>21</v>
      </c>
      <c r="FP9" s="179">
        <f>'مراجعي العيادات'!FP97</f>
        <v>28083</v>
      </c>
      <c r="FQ9" s="176">
        <f>'مراجعي العيادات'!FQ97</f>
        <v>3038</v>
      </c>
      <c r="FR9" s="176">
        <f>'مراجعي العيادات'!FR97</f>
        <v>16</v>
      </c>
      <c r="FS9" s="176">
        <f>'مراجعي العيادات'!FS97</f>
        <v>526</v>
      </c>
      <c r="FT9" s="192">
        <f>'مراجعي العيادات'!FT97</f>
        <v>7126</v>
      </c>
      <c r="FU9" s="189">
        <f>SUM(FP9:FT9)</f>
        <v>38789</v>
      </c>
      <c r="FV9" s="26">
        <f>'مراجعي العيادات'!FV97</f>
        <v>3409</v>
      </c>
      <c r="FW9" s="28">
        <f>'مراجعي العيادات'!FW97</f>
        <v>10623</v>
      </c>
      <c r="FX9" s="27">
        <f>'مراجعي العيادات'!FX97</f>
        <v>58</v>
      </c>
      <c r="FY9" s="31">
        <f>SUM(FV9:FX9)</f>
        <v>14090</v>
      </c>
      <c r="FZ9" s="6"/>
    </row>
    <row r="10" spans="1:182" ht="20.100000000000001" customHeight="1" thickBot="1" x14ac:dyDescent="0.25">
      <c r="A10" s="327"/>
      <c r="B10" s="332" t="s">
        <v>24</v>
      </c>
      <c r="C10" s="333"/>
      <c r="D10" s="177">
        <f t="shared" ref="D10:M10" si="13">SUM(D8:D9)</f>
        <v>6561</v>
      </c>
      <c r="E10" s="178">
        <f t="shared" si="13"/>
        <v>1103</v>
      </c>
      <c r="F10" s="178">
        <f t="shared" si="13"/>
        <v>0</v>
      </c>
      <c r="G10" s="178">
        <f t="shared" si="13"/>
        <v>15</v>
      </c>
      <c r="H10" s="193">
        <f t="shared" si="13"/>
        <v>1933</v>
      </c>
      <c r="I10" s="13">
        <f t="shared" si="13"/>
        <v>9612</v>
      </c>
      <c r="J10" s="33">
        <f t="shared" si="13"/>
        <v>725</v>
      </c>
      <c r="K10" s="30">
        <f t="shared" si="13"/>
        <v>1141</v>
      </c>
      <c r="L10" s="29">
        <f t="shared" si="13"/>
        <v>19</v>
      </c>
      <c r="M10" s="13">
        <f t="shared" si="13"/>
        <v>1885</v>
      </c>
      <c r="N10" s="6"/>
      <c r="O10" s="327"/>
      <c r="P10" s="332" t="s">
        <v>24</v>
      </c>
      <c r="Q10" s="333"/>
      <c r="R10" s="177">
        <f t="shared" ref="R10:AA10" si="14">SUM(R8:R9)</f>
        <v>4976</v>
      </c>
      <c r="S10" s="178">
        <f t="shared" si="14"/>
        <v>1034</v>
      </c>
      <c r="T10" s="178">
        <f t="shared" si="14"/>
        <v>0</v>
      </c>
      <c r="U10" s="178">
        <f t="shared" si="14"/>
        <v>14</v>
      </c>
      <c r="V10" s="193">
        <f t="shared" si="14"/>
        <v>1714</v>
      </c>
      <c r="W10" s="13">
        <f t="shared" si="14"/>
        <v>7738</v>
      </c>
      <c r="X10" s="33">
        <f t="shared" si="14"/>
        <v>1118</v>
      </c>
      <c r="Y10" s="30">
        <f t="shared" si="14"/>
        <v>1232</v>
      </c>
      <c r="Z10" s="29">
        <f t="shared" si="14"/>
        <v>72</v>
      </c>
      <c r="AA10" s="13">
        <f t="shared" si="14"/>
        <v>2422</v>
      </c>
      <c r="AB10" s="6"/>
      <c r="AC10" s="327"/>
      <c r="AD10" s="332" t="s">
        <v>24</v>
      </c>
      <c r="AE10" s="333"/>
      <c r="AF10" s="177">
        <f t="shared" ref="AF10:AO10" si="15">SUM(AF8:AF9)</f>
        <v>9855</v>
      </c>
      <c r="AG10" s="178">
        <f t="shared" si="15"/>
        <v>879</v>
      </c>
      <c r="AH10" s="178">
        <f t="shared" si="15"/>
        <v>0</v>
      </c>
      <c r="AI10" s="178">
        <f t="shared" si="15"/>
        <v>10</v>
      </c>
      <c r="AJ10" s="193">
        <f t="shared" si="15"/>
        <v>744</v>
      </c>
      <c r="AK10" s="13">
        <f t="shared" si="15"/>
        <v>11488</v>
      </c>
      <c r="AL10" s="33">
        <f t="shared" si="15"/>
        <v>329</v>
      </c>
      <c r="AM10" s="30">
        <f t="shared" si="15"/>
        <v>1599</v>
      </c>
      <c r="AN10" s="29">
        <f t="shared" si="15"/>
        <v>0</v>
      </c>
      <c r="AO10" s="13">
        <f t="shared" si="15"/>
        <v>1928</v>
      </c>
      <c r="AP10" s="6"/>
      <c r="AQ10" s="327"/>
      <c r="AR10" s="332" t="s">
        <v>24</v>
      </c>
      <c r="AS10" s="333"/>
      <c r="AT10" s="177">
        <f t="shared" ref="AT10:BC10" si="16">SUM(AT8:AT9)</f>
        <v>4047</v>
      </c>
      <c r="AU10" s="178">
        <f t="shared" si="16"/>
        <v>914</v>
      </c>
      <c r="AV10" s="178">
        <f t="shared" si="16"/>
        <v>56</v>
      </c>
      <c r="AW10" s="178">
        <f t="shared" si="16"/>
        <v>25</v>
      </c>
      <c r="AX10" s="193">
        <f t="shared" si="16"/>
        <v>1200</v>
      </c>
      <c r="AY10" s="13">
        <f t="shared" si="16"/>
        <v>6242</v>
      </c>
      <c r="AZ10" s="33">
        <f t="shared" si="16"/>
        <v>693</v>
      </c>
      <c r="BA10" s="30">
        <f t="shared" si="16"/>
        <v>2386</v>
      </c>
      <c r="BB10" s="29">
        <f t="shared" si="16"/>
        <v>64</v>
      </c>
      <c r="BC10" s="13">
        <f t="shared" si="16"/>
        <v>3143</v>
      </c>
      <c r="BD10" s="6"/>
      <c r="BE10" s="327"/>
      <c r="BF10" s="332" t="s">
        <v>24</v>
      </c>
      <c r="BG10" s="333"/>
      <c r="BH10" s="177">
        <f t="shared" ref="BH10:BQ10" si="17">SUM(BH8:BH9)</f>
        <v>5470</v>
      </c>
      <c r="BI10" s="178">
        <f t="shared" si="17"/>
        <v>438</v>
      </c>
      <c r="BJ10" s="178">
        <f t="shared" si="17"/>
        <v>0</v>
      </c>
      <c r="BK10" s="178">
        <f t="shared" si="17"/>
        <v>18</v>
      </c>
      <c r="BL10" s="193">
        <f t="shared" si="17"/>
        <v>789</v>
      </c>
      <c r="BM10" s="13">
        <f t="shared" si="17"/>
        <v>6715</v>
      </c>
      <c r="BN10" s="33">
        <f t="shared" si="17"/>
        <v>739</v>
      </c>
      <c r="BO10" s="30">
        <f t="shared" si="17"/>
        <v>2548</v>
      </c>
      <c r="BP10" s="29">
        <f t="shared" si="17"/>
        <v>0</v>
      </c>
      <c r="BQ10" s="13">
        <f t="shared" si="17"/>
        <v>3287</v>
      </c>
      <c r="BR10" s="6"/>
      <c r="BS10" s="327"/>
      <c r="BT10" s="332" t="s">
        <v>24</v>
      </c>
      <c r="BU10" s="333"/>
      <c r="BV10" s="177">
        <f t="shared" ref="BV10:CE10" si="18">SUM(BV8:BV9)</f>
        <v>7158</v>
      </c>
      <c r="BW10" s="178">
        <f t="shared" si="18"/>
        <v>584</v>
      </c>
      <c r="BX10" s="178">
        <f t="shared" si="18"/>
        <v>0</v>
      </c>
      <c r="BY10" s="178">
        <f t="shared" si="18"/>
        <v>15</v>
      </c>
      <c r="BZ10" s="193">
        <f t="shared" si="18"/>
        <v>1223</v>
      </c>
      <c r="CA10" s="13">
        <f t="shared" si="18"/>
        <v>8980</v>
      </c>
      <c r="CB10" s="33">
        <f t="shared" si="18"/>
        <v>693</v>
      </c>
      <c r="CC10" s="30">
        <f t="shared" si="18"/>
        <v>2011</v>
      </c>
      <c r="CD10" s="29">
        <f t="shared" si="18"/>
        <v>0</v>
      </c>
      <c r="CE10" s="13">
        <f t="shared" si="18"/>
        <v>2704</v>
      </c>
      <c r="CF10" s="6"/>
      <c r="CG10" s="327"/>
      <c r="CH10" s="332" t="s">
        <v>24</v>
      </c>
      <c r="CI10" s="333"/>
      <c r="CJ10" s="177">
        <f t="shared" ref="CJ10:CS10" si="19">SUM(CJ8:CJ9)</f>
        <v>6216</v>
      </c>
      <c r="CK10" s="178">
        <f t="shared" si="19"/>
        <v>987</v>
      </c>
      <c r="CL10" s="178">
        <f t="shared" si="19"/>
        <v>0</v>
      </c>
      <c r="CM10" s="178">
        <f t="shared" si="19"/>
        <v>377</v>
      </c>
      <c r="CN10" s="193">
        <f t="shared" si="19"/>
        <v>1847</v>
      </c>
      <c r="CO10" s="13">
        <f t="shared" si="19"/>
        <v>9427</v>
      </c>
      <c r="CP10" s="33">
        <f t="shared" si="19"/>
        <v>595</v>
      </c>
      <c r="CQ10" s="30">
        <f t="shared" si="19"/>
        <v>1758</v>
      </c>
      <c r="CR10" s="29">
        <f t="shared" si="19"/>
        <v>31</v>
      </c>
      <c r="CS10" s="13">
        <f t="shared" si="19"/>
        <v>2384</v>
      </c>
      <c r="CT10" s="6"/>
      <c r="CU10" s="327"/>
      <c r="CV10" s="332" t="s">
        <v>24</v>
      </c>
      <c r="CW10" s="333"/>
      <c r="CX10" s="177">
        <f t="shared" ref="CX10:DG10" si="20">SUM(CX8:CX9)</f>
        <v>7115</v>
      </c>
      <c r="CY10" s="178">
        <f t="shared" si="20"/>
        <v>743</v>
      </c>
      <c r="CZ10" s="178">
        <f t="shared" si="20"/>
        <v>0</v>
      </c>
      <c r="DA10" s="178">
        <f t="shared" si="20"/>
        <v>11</v>
      </c>
      <c r="DB10" s="193">
        <f t="shared" si="20"/>
        <v>1397</v>
      </c>
      <c r="DC10" s="13">
        <f t="shared" si="20"/>
        <v>9266</v>
      </c>
      <c r="DD10" s="33">
        <f t="shared" si="20"/>
        <v>1281</v>
      </c>
      <c r="DE10" s="30">
        <f t="shared" si="20"/>
        <v>2008</v>
      </c>
      <c r="DF10" s="29">
        <f t="shared" si="20"/>
        <v>0</v>
      </c>
      <c r="DG10" s="13">
        <f t="shared" si="20"/>
        <v>3289</v>
      </c>
      <c r="DH10" s="6"/>
      <c r="DI10" s="327"/>
      <c r="DJ10" s="332" t="s">
        <v>24</v>
      </c>
      <c r="DK10" s="333"/>
      <c r="DL10" s="177">
        <f t="shared" ref="DL10:DU10" si="21">SUM(DL8:DL9)</f>
        <v>5588</v>
      </c>
      <c r="DM10" s="178">
        <f t="shared" si="21"/>
        <v>326</v>
      </c>
      <c r="DN10" s="178">
        <f t="shared" si="21"/>
        <v>29</v>
      </c>
      <c r="DO10" s="178">
        <f t="shared" si="21"/>
        <v>34</v>
      </c>
      <c r="DP10" s="193">
        <f t="shared" si="21"/>
        <v>1116</v>
      </c>
      <c r="DQ10" s="13">
        <f t="shared" si="21"/>
        <v>7093</v>
      </c>
      <c r="DR10" s="33">
        <f t="shared" si="21"/>
        <v>698</v>
      </c>
      <c r="DS10" s="30">
        <f t="shared" si="21"/>
        <v>2327</v>
      </c>
      <c r="DT10" s="29">
        <f t="shared" si="21"/>
        <v>43</v>
      </c>
      <c r="DU10" s="13">
        <f t="shared" si="21"/>
        <v>3068</v>
      </c>
      <c r="DV10" s="6"/>
      <c r="DW10" s="327"/>
      <c r="DX10" s="332" t="s">
        <v>24</v>
      </c>
      <c r="DY10" s="333"/>
      <c r="DZ10" s="177">
        <f t="shared" ref="DZ10:EI10" si="22">SUM(DZ8:DZ9)</f>
        <v>4117</v>
      </c>
      <c r="EA10" s="178">
        <f t="shared" si="22"/>
        <v>210</v>
      </c>
      <c r="EB10" s="178">
        <f t="shared" si="22"/>
        <v>0</v>
      </c>
      <c r="EC10" s="178">
        <f t="shared" si="22"/>
        <v>7</v>
      </c>
      <c r="ED10" s="193">
        <f t="shared" si="22"/>
        <v>1562</v>
      </c>
      <c r="EE10" s="13">
        <f t="shared" si="22"/>
        <v>5896</v>
      </c>
      <c r="EF10" s="33">
        <f t="shared" si="22"/>
        <v>607</v>
      </c>
      <c r="EG10" s="30">
        <f t="shared" si="22"/>
        <v>1645</v>
      </c>
      <c r="EH10" s="29">
        <f t="shared" si="22"/>
        <v>19</v>
      </c>
      <c r="EI10" s="13">
        <f t="shared" si="22"/>
        <v>2271</v>
      </c>
      <c r="EJ10" s="6"/>
      <c r="EK10" s="327"/>
      <c r="EL10" s="332" t="s">
        <v>24</v>
      </c>
      <c r="EM10" s="333"/>
      <c r="EN10" s="177">
        <f t="shared" ref="EN10:EW10" si="23">SUM(EN8:EN9)</f>
        <v>0</v>
      </c>
      <c r="EO10" s="178">
        <f t="shared" si="23"/>
        <v>0</v>
      </c>
      <c r="EP10" s="178">
        <f t="shared" si="23"/>
        <v>0</v>
      </c>
      <c r="EQ10" s="178">
        <f t="shared" si="23"/>
        <v>0</v>
      </c>
      <c r="ER10" s="193">
        <f t="shared" si="23"/>
        <v>0</v>
      </c>
      <c r="ES10" s="13">
        <f t="shared" si="23"/>
        <v>0</v>
      </c>
      <c r="ET10" s="33">
        <f t="shared" si="23"/>
        <v>0</v>
      </c>
      <c r="EU10" s="30">
        <f t="shared" si="23"/>
        <v>0</v>
      </c>
      <c r="EV10" s="29">
        <f t="shared" si="23"/>
        <v>0</v>
      </c>
      <c r="EW10" s="13">
        <f t="shared" si="23"/>
        <v>0</v>
      </c>
      <c r="EX10" s="6"/>
      <c r="EY10" s="327"/>
      <c r="EZ10" s="332" t="s">
        <v>24</v>
      </c>
      <c r="FA10" s="333"/>
      <c r="FB10" s="177">
        <f t="shared" ref="FB10:FK10" si="24">SUM(FB8:FB9)</f>
        <v>0</v>
      </c>
      <c r="FC10" s="178">
        <f t="shared" si="24"/>
        <v>0</v>
      </c>
      <c r="FD10" s="178">
        <f t="shared" si="24"/>
        <v>0</v>
      </c>
      <c r="FE10" s="178">
        <f t="shared" si="24"/>
        <v>0</v>
      </c>
      <c r="FF10" s="193">
        <f t="shared" si="24"/>
        <v>0</v>
      </c>
      <c r="FG10" s="13">
        <f t="shared" si="24"/>
        <v>0</v>
      </c>
      <c r="FH10" s="33">
        <f t="shared" si="24"/>
        <v>0</v>
      </c>
      <c r="FI10" s="30">
        <f t="shared" si="24"/>
        <v>0</v>
      </c>
      <c r="FJ10" s="29">
        <f t="shared" si="24"/>
        <v>0</v>
      </c>
      <c r="FK10" s="13">
        <f t="shared" si="24"/>
        <v>0</v>
      </c>
      <c r="FL10" s="6"/>
      <c r="FM10" s="327"/>
      <c r="FN10" s="332" t="s">
        <v>24</v>
      </c>
      <c r="FO10" s="333"/>
      <c r="FP10" s="177">
        <f t="shared" ref="FP10:FY10" si="25">SUM(FP8:FP9)</f>
        <v>61103</v>
      </c>
      <c r="FQ10" s="178">
        <f t="shared" si="25"/>
        <v>7218</v>
      </c>
      <c r="FR10" s="178">
        <f t="shared" si="25"/>
        <v>85</v>
      </c>
      <c r="FS10" s="178">
        <f t="shared" si="25"/>
        <v>526</v>
      </c>
      <c r="FT10" s="193">
        <f t="shared" si="25"/>
        <v>13525</v>
      </c>
      <c r="FU10" s="13">
        <f t="shared" si="25"/>
        <v>82457</v>
      </c>
      <c r="FV10" s="33">
        <f t="shared" si="25"/>
        <v>7478</v>
      </c>
      <c r="FW10" s="30">
        <f t="shared" si="25"/>
        <v>18655</v>
      </c>
      <c r="FX10" s="29">
        <f t="shared" si="25"/>
        <v>248</v>
      </c>
      <c r="FY10" s="13">
        <f t="shared" si="25"/>
        <v>26381</v>
      </c>
      <c r="FZ10" s="6"/>
    </row>
    <row r="11" spans="1:182" ht="20.100000000000001" customHeight="1" thickBot="1" x14ac:dyDescent="0.25">
      <c r="A11" s="174" t="s">
        <v>25</v>
      </c>
      <c r="B11" s="175"/>
      <c r="C11" s="194"/>
      <c r="D11" s="180">
        <f t="shared" ref="D11:M11" si="26">SUM(D10+D7)</f>
        <v>36042</v>
      </c>
      <c r="E11" s="181">
        <f t="shared" si="26"/>
        <v>7260</v>
      </c>
      <c r="F11" s="181">
        <f t="shared" si="26"/>
        <v>2653</v>
      </c>
      <c r="G11" s="181">
        <f t="shared" si="26"/>
        <v>118</v>
      </c>
      <c r="H11" s="182">
        <f t="shared" si="26"/>
        <v>6681</v>
      </c>
      <c r="I11" s="183">
        <f t="shared" si="26"/>
        <v>52754</v>
      </c>
      <c r="J11" s="184">
        <f t="shared" si="26"/>
        <v>4337</v>
      </c>
      <c r="K11" s="181">
        <f t="shared" si="26"/>
        <v>9560</v>
      </c>
      <c r="L11" s="182">
        <f t="shared" si="26"/>
        <v>1009</v>
      </c>
      <c r="M11" s="183">
        <f t="shared" si="26"/>
        <v>14906</v>
      </c>
      <c r="N11" s="6"/>
      <c r="O11" s="318" t="s">
        <v>25</v>
      </c>
      <c r="P11" s="319"/>
      <c r="Q11" s="319"/>
      <c r="R11" s="180">
        <f t="shared" ref="R11:AA11" si="27">SUM(R10+R7)</f>
        <v>40820</v>
      </c>
      <c r="S11" s="181">
        <f t="shared" si="27"/>
        <v>3723</v>
      </c>
      <c r="T11" s="181">
        <f t="shared" si="27"/>
        <v>3183</v>
      </c>
      <c r="U11" s="182">
        <f t="shared" si="27"/>
        <v>227</v>
      </c>
      <c r="V11" s="196">
        <f t="shared" si="27"/>
        <v>5552</v>
      </c>
      <c r="W11" s="170">
        <f t="shared" si="27"/>
        <v>53505</v>
      </c>
      <c r="X11" s="173">
        <f t="shared" si="27"/>
        <v>5569</v>
      </c>
      <c r="Y11" s="171">
        <f t="shared" si="27"/>
        <v>14030</v>
      </c>
      <c r="Z11" s="172">
        <f t="shared" si="27"/>
        <v>1218</v>
      </c>
      <c r="AA11" s="170">
        <f t="shared" si="27"/>
        <v>20817</v>
      </c>
      <c r="AB11" s="6"/>
      <c r="AC11" s="318" t="s">
        <v>25</v>
      </c>
      <c r="AD11" s="319"/>
      <c r="AE11" s="319"/>
      <c r="AF11" s="180">
        <f t="shared" ref="AF11:AO11" si="28">SUM(AF10+AF7)</f>
        <v>54752</v>
      </c>
      <c r="AG11" s="181">
        <f t="shared" si="28"/>
        <v>5021</v>
      </c>
      <c r="AH11" s="181">
        <f t="shared" si="28"/>
        <v>2765</v>
      </c>
      <c r="AI11" s="182">
        <f t="shared" si="28"/>
        <v>140</v>
      </c>
      <c r="AJ11" s="196">
        <f t="shared" si="28"/>
        <v>5631</v>
      </c>
      <c r="AK11" s="170">
        <f t="shared" si="28"/>
        <v>68309</v>
      </c>
      <c r="AL11" s="173">
        <f t="shared" si="28"/>
        <v>3472</v>
      </c>
      <c r="AM11" s="171">
        <f t="shared" si="28"/>
        <v>18299</v>
      </c>
      <c r="AN11" s="172">
        <f t="shared" si="28"/>
        <v>30</v>
      </c>
      <c r="AO11" s="170">
        <f t="shared" si="28"/>
        <v>21801</v>
      </c>
      <c r="AP11" s="6"/>
      <c r="AQ11" s="318" t="s">
        <v>25</v>
      </c>
      <c r="AR11" s="319"/>
      <c r="AS11" s="319"/>
      <c r="AT11" s="180">
        <f t="shared" ref="AT11:BC11" si="29">SUM(AT10+AT7)</f>
        <v>35341</v>
      </c>
      <c r="AU11" s="181">
        <f t="shared" si="29"/>
        <v>4008</v>
      </c>
      <c r="AV11" s="181">
        <f t="shared" si="29"/>
        <v>3182</v>
      </c>
      <c r="AW11" s="182">
        <f t="shared" si="29"/>
        <v>233</v>
      </c>
      <c r="AX11" s="196">
        <f t="shared" si="29"/>
        <v>5831</v>
      </c>
      <c r="AY11" s="170">
        <f t="shared" si="29"/>
        <v>48595</v>
      </c>
      <c r="AZ11" s="173">
        <f t="shared" si="29"/>
        <v>3510</v>
      </c>
      <c r="BA11" s="171">
        <f t="shared" si="29"/>
        <v>12846</v>
      </c>
      <c r="BB11" s="172">
        <f t="shared" si="29"/>
        <v>1198</v>
      </c>
      <c r="BC11" s="170">
        <f t="shared" si="29"/>
        <v>17554</v>
      </c>
      <c r="BD11" s="6"/>
      <c r="BE11" s="318" t="s">
        <v>25</v>
      </c>
      <c r="BF11" s="319"/>
      <c r="BG11" s="319"/>
      <c r="BH11" s="180">
        <f t="shared" ref="BH11:BQ11" si="30">SUM(BH10+BH7)</f>
        <v>38719</v>
      </c>
      <c r="BI11" s="181">
        <f t="shared" si="30"/>
        <v>3399</v>
      </c>
      <c r="BJ11" s="181">
        <f t="shared" si="30"/>
        <v>3398</v>
      </c>
      <c r="BK11" s="182">
        <f t="shared" si="30"/>
        <v>161</v>
      </c>
      <c r="BL11" s="196">
        <f t="shared" si="30"/>
        <v>6020</v>
      </c>
      <c r="BM11" s="170">
        <f t="shared" si="30"/>
        <v>51697</v>
      </c>
      <c r="BN11" s="173">
        <f t="shared" si="30"/>
        <v>4030</v>
      </c>
      <c r="BO11" s="171">
        <f t="shared" si="30"/>
        <v>15688</v>
      </c>
      <c r="BP11" s="172">
        <f t="shared" si="30"/>
        <v>62</v>
      </c>
      <c r="BQ11" s="170">
        <f t="shared" si="30"/>
        <v>19780</v>
      </c>
      <c r="BR11" s="6"/>
      <c r="BS11" s="318" t="s">
        <v>25</v>
      </c>
      <c r="BT11" s="319"/>
      <c r="BU11" s="319"/>
      <c r="BV11" s="180">
        <f t="shared" ref="BV11:CE11" si="31">SUM(BV10+BV7)</f>
        <v>42912</v>
      </c>
      <c r="BW11" s="181">
        <f t="shared" si="31"/>
        <v>3343</v>
      </c>
      <c r="BX11" s="181">
        <f t="shared" si="31"/>
        <v>1898</v>
      </c>
      <c r="BY11" s="182">
        <f t="shared" si="31"/>
        <v>142</v>
      </c>
      <c r="BZ11" s="196">
        <f t="shared" si="31"/>
        <v>5580</v>
      </c>
      <c r="CA11" s="170">
        <f t="shared" si="31"/>
        <v>53875</v>
      </c>
      <c r="CB11" s="173">
        <f t="shared" si="31"/>
        <v>3037</v>
      </c>
      <c r="CC11" s="171">
        <f t="shared" si="31"/>
        <v>16139</v>
      </c>
      <c r="CD11" s="172">
        <f t="shared" si="31"/>
        <v>20</v>
      </c>
      <c r="CE11" s="170">
        <f t="shared" si="31"/>
        <v>19196</v>
      </c>
      <c r="CF11" s="6"/>
      <c r="CG11" s="318" t="s">
        <v>25</v>
      </c>
      <c r="CH11" s="319"/>
      <c r="CI11" s="319"/>
      <c r="CJ11" s="180">
        <f t="shared" ref="CJ11:CS11" si="32">SUM(CJ10+CJ7)</f>
        <v>35317</v>
      </c>
      <c r="CK11" s="181">
        <f t="shared" si="32"/>
        <v>6536</v>
      </c>
      <c r="CL11" s="181">
        <f t="shared" si="32"/>
        <v>3045</v>
      </c>
      <c r="CM11" s="182">
        <f t="shared" si="32"/>
        <v>566</v>
      </c>
      <c r="CN11" s="196">
        <f t="shared" si="32"/>
        <v>7008</v>
      </c>
      <c r="CO11" s="170">
        <f t="shared" si="32"/>
        <v>52472</v>
      </c>
      <c r="CP11" s="173">
        <f t="shared" si="32"/>
        <v>3757</v>
      </c>
      <c r="CQ11" s="171">
        <f t="shared" si="32"/>
        <v>16182</v>
      </c>
      <c r="CR11" s="172">
        <f t="shared" si="32"/>
        <v>1072</v>
      </c>
      <c r="CS11" s="170">
        <f t="shared" si="32"/>
        <v>21011</v>
      </c>
      <c r="CT11" s="6"/>
      <c r="CU11" s="318" t="s">
        <v>25</v>
      </c>
      <c r="CV11" s="319"/>
      <c r="CW11" s="319"/>
      <c r="CX11" s="180">
        <f t="shared" ref="CX11:DG11" si="33">SUM(CX10+CX7)</f>
        <v>44416</v>
      </c>
      <c r="CY11" s="181">
        <f t="shared" si="33"/>
        <v>3733</v>
      </c>
      <c r="CZ11" s="181">
        <f t="shared" si="33"/>
        <v>2474</v>
      </c>
      <c r="DA11" s="182">
        <f t="shared" si="33"/>
        <v>393</v>
      </c>
      <c r="DB11" s="196">
        <f t="shared" si="33"/>
        <v>5772</v>
      </c>
      <c r="DC11" s="170">
        <f t="shared" si="33"/>
        <v>56788</v>
      </c>
      <c r="DD11" s="173">
        <f t="shared" si="33"/>
        <v>5301</v>
      </c>
      <c r="DE11" s="171">
        <f t="shared" si="33"/>
        <v>24869</v>
      </c>
      <c r="DF11" s="172">
        <f t="shared" si="33"/>
        <v>20</v>
      </c>
      <c r="DG11" s="170">
        <f t="shared" si="33"/>
        <v>30190</v>
      </c>
      <c r="DH11" s="6"/>
      <c r="DI11" s="318" t="s">
        <v>25</v>
      </c>
      <c r="DJ11" s="319"/>
      <c r="DK11" s="319"/>
      <c r="DL11" s="180">
        <f t="shared" ref="DL11:DU11" si="34">SUM(DL10+DL7)</f>
        <v>36373</v>
      </c>
      <c r="DM11" s="181">
        <f t="shared" si="34"/>
        <v>2177</v>
      </c>
      <c r="DN11" s="181">
        <f t="shared" si="34"/>
        <v>2508</v>
      </c>
      <c r="DO11" s="182">
        <f t="shared" si="34"/>
        <v>323</v>
      </c>
      <c r="DP11" s="196">
        <f t="shared" si="34"/>
        <v>6207</v>
      </c>
      <c r="DQ11" s="170">
        <f t="shared" si="34"/>
        <v>47588</v>
      </c>
      <c r="DR11" s="173">
        <f t="shared" si="34"/>
        <v>2708</v>
      </c>
      <c r="DS11" s="171">
        <f t="shared" si="34"/>
        <v>11152</v>
      </c>
      <c r="DT11" s="172">
        <f t="shared" si="34"/>
        <v>230</v>
      </c>
      <c r="DU11" s="170">
        <f t="shared" si="34"/>
        <v>14090</v>
      </c>
      <c r="DV11" s="6"/>
      <c r="DW11" s="318" t="s">
        <v>25</v>
      </c>
      <c r="DX11" s="319"/>
      <c r="DY11" s="319"/>
      <c r="DZ11" s="180">
        <f t="shared" ref="DZ11:EI11" si="35">SUM(DZ10+DZ7)</f>
        <v>34275</v>
      </c>
      <c r="EA11" s="181">
        <f t="shared" si="35"/>
        <v>1953</v>
      </c>
      <c r="EB11" s="181">
        <f t="shared" si="35"/>
        <v>2472</v>
      </c>
      <c r="EC11" s="182">
        <f t="shared" si="35"/>
        <v>82</v>
      </c>
      <c r="ED11" s="196">
        <f t="shared" si="35"/>
        <v>6025</v>
      </c>
      <c r="EE11" s="170">
        <f t="shared" si="35"/>
        <v>44807</v>
      </c>
      <c r="EF11" s="173">
        <f t="shared" si="35"/>
        <v>3498</v>
      </c>
      <c r="EG11" s="171">
        <f t="shared" si="35"/>
        <v>14012</v>
      </c>
      <c r="EH11" s="172">
        <f t="shared" si="35"/>
        <v>1008</v>
      </c>
      <c r="EI11" s="170">
        <f t="shared" si="35"/>
        <v>18518</v>
      </c>
      <c r="EJ11" s="6"/>
      <c r="EK11" s="318" t="s">
        <v>25</v>
      </c>
      <c r="EL11" s="319"/>
      <c r="EM11" s="319"/>
      <c r="EN11" s="180">
        <f t="shared" ref="EN11:EW11" si="36">SUM(EN10+EN7)</f>
        <v>0</v>
      </c>
      <c r="EO11" s="181">
        <f t="shared" si="36"/>
        <v>0</v>
      </c>
      <c r="EP11" s="181">
        <f t="shared" si="36"/>
        <v>0</v>
      </c>
      <c r="EQ11" s="182">
        <f t="shared" si="36"/>
        <v>0</v>
      </c>
      <c r="ER11" s="196">
        <f t="shared" si="36"/>
        <v>0</v>
      </c>
      <c r="ES11" s="170">
        <f t="shared" si="36"/>
        <v>0</v>
      </c>
      <c r="ET11" s="173">
        <f t="shared" si="36"/>
        <v>0</v>
      </c>
      <c r="EU11" s="171">
        <f t="shared" si="36"/>
        <v>0</v>
      </c>
      <c r="EV11" s="172">
        <f t="shared" si="36"/>
        <v>0</v>
      </c>
      <c r="EW11" s="170">
        <f t="shared" si="36"/>
        <v>0</v>
      </c>
      <c r="EX11" s="6"/>
      <c r="EY11" s="318" t="s">
        <v>25</v>
      </c>
      <c r="EZ11" s="319"/>
      <c r="FA11" s="319"/>
      <c r="FB11" s="180">
        <f t="shared" ref="FB11:FK11" si="37">SUM(FB10+FB7)</f>
        <v>0</v>
      </c>
      <c r="FC11" s="181">
        <f t="shared" si="37"/>
        <v>0</v>
      </c>
      <c r="FD11" s="181">
        <f t="shared" si="37"/>
        <v>0</v>
      </c>
      <c r="FE11" s="182">
        <f t="shared" si="37"/>
        <v>0</v>
      </c>
      <c r="FF11" s="196">
        <f t="shared" si="37"/>
        <v>0</v>
      </c>
      <c r="FG11" s="170">
        <f t="shared" si="37"/>
        <v>0</v>
      </c>
      <c r="FH11" s="173">
        <f t="shared" si="37"/>
        <v>0</v>
      </c>
      <c r="FI11" s="171">
        <f t="shared" si="37"/>
        <v>0</v>
      </c>
      <c r="FJ11" s="172">
        <f t="shared" si="37"/>
        <v>0</v>
      </c>
      <c r="FK11" s="170">
        <f t="shared" si="37"/>
        <v>0</v>
      </c>
      <c r="FL11" s="6"/>
      <c r="FM11" s="318" t="s">
        <v>25</v>
      </c>
      <c r="FN11" s="319"/>
      <c r="FO11" s="319"/>
      <c r="FP11" s="180">
        <f t="shared" ref="FP11:FY11" si="38">SUM(FP10+FP7)</f>
        <v>398967</v>
      </c>
      <c r="FQ11" s="181">
        <f t="shared" si="38"/>
        <v>41153</v>
      </c>
      <c r="FR11" s="181">
        <f t="shared" si="38"/>
        <v>27578</v>
      </c>
      <c r="FS11" s="182">
        <f t="shared" si="38"/>
        <v>2385</v>
      </c>
      <c r="FT11" s="196">
        <f t="shared" si="38"/>
        <v>60307</v>
      </c>
      <c r="FU11" s="170">
        <f t="shared" si="38"/>
        <v>530390</v>
      </c>
      <c r="FV11" s="173">
        <f t="shared" si="38"/>
        <v>39219</v>
      </c>
      <c r="FW11" s="171">
        <f t="shared" si="38"/>
        <v>152777</v>
      </c>
      <c r="FX11" s="172">
        <f t="shared" si="38"/>
        <v>5867</v>
      </c>
      <c r="FY11" s="170">
        <f t="shared" si="38"/>
        <v>197863</v>
      </c>
      <c r="FZ11" s="6"/>
    </row>
    <row r="12" spans="1:182" s="3" customFormat="1" ht="42" customHeight="1" thickBot="1" x14ac:dyDescent="0.3">
      <c r="A12" s="11" t="s">
        <v>33</v>
      </c>
      <c r="B12" s="12"/>
      <c r="C12" s="12"/>
      <c r="D12" s="12"/>
      <c r="E12" s="12"/>
      <c r="F12" s="12"/>
      <c r="G12" s="195"/>
      <c r="H12" s="195"/>
      <c r="I12" s="195"/>
      <c r="J12" s="316" t="s">
        <v>44</v>
      </c>
      <c r="K12" s="316"/>
      <c r="L12" s="316"/>
      <c r="M12" s="317"/>
      <c r="O12" s="11" t="s">
        <v>33</v>
      </c>
      <c r="P12" s="12"/>
      <c r="Q12" s="12"/>
      <c r="R12" s="12"/>
      <c r="S12" s="12"/>
      <c r="T12" s="12"/>
      <c r="U12" s="12"/>
      <c r="V12" s="195"/>
      <c r="W12" s="195"/>
      <c r="X12" s="316" t="s">
        <v>44</v>
      </c>
      <c r="Y12" s="316"/>
      <c r="Z12" s="316"/>
      <c r="AA12" s="317"/>
      <c r="AC12" s="11" t="s">
        <v>33</v>
      </c>
      <c r="AD12" s="12"/>
      <c r="AE12" s="12"/>
      <c r="AF12" s="12"/>
      <c r="AG12" s="12"/>
      <c r="AH12" s="12"/>
      <c r="AI12" s="12"/>
      <c r="AJ12" s="195"/>
      <c r="AK12" s="195"/>
      <c r="AL12" s="316" t="s">
        <v>44</v>
      </c>
      <c r="AM12" s="316"/>
      <c r="AN12" s="316"/>
      <c r="AO12" s="317"/>
      <c r="AQ12" s="11" t="s">
        <v>33</v>
      </c>
      <c r="AR12" s="12"/>
      <c r="AS12" s="12"/>
      <c r="AT12" s="12"/>
      <c r="AU12" s="12"/>
      <c r="AV12" s="12"/>
      <c r="AW12" s="12"/>
      <c r="AX12" s="195"/>
      <c r="AY12" s="195"/>
      <c r="AZ12" s="316" t="s">
        <v>44</v>
      </c>
      <c r="BA12" s="316"/>
      <c r="BB12" s="316"/>
      <c r="BC12" s="317"/>
      <c r="BE12" s="11" t="s">
        <v>33</v>
      </c>
      <c r="BF12" s="12"/>
      <c r="BG12" s="12"/>
      <c r="BH12" s="12"/>
      <c r="BI12" s="12"/>
      <c r="BJ12" s="12"/>
      <c r="BK12" s="12"/>
      <c r="BL12" s="195"/>
      <c r="BM12" s="195"/>
      <c r="BN12" s="316" t="s">
        <v>44</v>
      </c>
      <c r="BO12" s="316"/>
      <c r="BP12" s="316"/>
      <c r="BQ12" s="317"/>
      <c r="BS12" s="11" t="s">
        <v>33</v>
      </c>
      <c r="BT12" s="12"/>
      <c r="BU12" s="12"/>
      <c r="BV12" s="12"/>
      <c r="BW12" s="12"/>
      <c r="BX12" s="12"/>
      <c r="BY12" s="12"/>
      <c r="BZ12" s="195"/>
      <c r="CA12" s="195"/>
      <c r="CB12" s="316" t="s">
        <v>44</v>
      </c>
      <c r="CC12" s="316"/>
      <c r="CD12" s="316"/>
      <c r="CE12" s="317"/>
      <c r="CG12" s="11" t="s">
        <v>33</v>
      </c>
      <c r="CH12" s="12"/>
      <c r="CI12" s="12"/>
      <c r="CJ12" s="12"/>
      <c r="CK12" s="12"/>
      <c r="CL12" s="12"/>
      <c r="CM12" s="12"/>
      <c r="CN12" s="195"/>
      <c r="CO12" s="195"/>
      <c r="CP12" s="316" t="s">
        <v>44</v>
      </c>
      <c r="CQ12" s="316"/>
      <c r="CR12" s="316"/>
      <c r="CS12" s="317"/>
      <c r="CU12" s="11" t="s">
        <v>33</v>
      </c>
      <c r="CV12" s="12"/>
      <c r="CW12" s="12"/>
      <c r="CX12" s="12"/>
      <c r="CY12" s="12"/>
      <c r="CZ12" s="12"/>
      <c r="DA12" s="12"/>
      <c r="DB12" s="195"/>
      <c r="DC12" s="195"/>
      <c r="DD12" s="316" t="s">
        <v>44</v>
      </c>
      <c r="DE12" s="316"/>
      <c r="DF12" s="316"/>
      <c r="DG12" s="317"/>
      <c r="DI12" s="11" t="s">
        <v>33</v>
      </c>
      <c r="DJ12" s="12"/>
      <c r="DK12" s="12"/>
      <c r="DL12" s="12"/>
      <c r="DM12" s="12"/>
      <c r="DN12" s="12"/>
      <c r="DO12" s="12"/>
      <c r="DP12" s="195"/>
      <c r="DQ12" s="195"/>
      <c r="DR12" s="316" t="s">
        <v>44</v>
      </c>
      <c r="DS12" s="316"/>
      <c r="DT12" s="316"/>
      <c r="DU12" s="317"/>
      <c r="DW12" s="11" t="s">
        <v>33</v>
      </c>
      <c r="DX12" s="12"/>
      <c r="DY12" s="12"/>
      <c r="DZ12" s="12"/>
      <c r="EA12" s="12"/>
      <c r="EB12" s="12"/>
      <c r="EC12" s="12"/>
      <c r="ED12" s="195"/>
      <c r="EE12" s="195"/>
      <c r="EF12" s="316" t="s">
        <v>44</v>
      </c>
      <c r="EG12" s="316"/>
      <c r="EH12" s="316"/>
      <c r="EI12" s="317"/>
      <c r="EK12" s="11" t="s">
        <v>33</v>
      </c>
      <c r="EL12" s="12"/>
      <c r="EM12" s="12"/>
      <c r="EN12" s="12"/>
      <c r="EO12" s="12"/>
      <c r="EP12" s="12"/>
      <c r="EQ12" s="12"/>
      <c r="ER12" s="195"/>
      <c r="ES12" s="195"/>
      <c r="ET12" s="316" t="s">
        <v>44</v>
      </c>
      <c r="EU12" s="316"/>
      <c r="EV12" s="316"/>
      <c r="EW12" s="317"/>
      <c r="EY12" s="11" t="s">
        <v>33</v>
      </c>
      <c r="EZ12" s="12"/>
      <c r="FA12" s="12"/>
      <c r="FB12" s="12"/>
      <c r="FC12" s="12"/>
      <c r="FD12" s="12"/>
      <c r="FE12" s="12"/>
      <c r="FF12" s="195"/>
      <c r="FG12" s="195"/>
      <c r="FH12" s="316" t="s">
        <v>44</v>
      </c>
      <c r="FI12" s="316"/>
      <c r="FJ12" s="316"/>
      <c r="FK12" s="317"/>
      <c r="FM12" s="11" t="s">
        <v>33</v>
      </c>
      <c r="FN12" s="12"/>
      <c r="FO12" s="12"/>
      <c r="FP12" s="12"/>
      <c r="FQ12" s="12"/>
      <c r="FR12" s="12"/>
      <c r="FS12" s="12"/>
      <c r="FT12" s="195"/>
      <c r="FU12" s="195"/>
      <c r="FV12" s="316" t="s">
        <v>44</v>
      </c>
      <c r="FW12" s="316"/>
      <c r="FX12" s="316"/>
      <c r="FY12" s="317"/>
    </row>
  </sheetData>
  <mergeCells count="142">
    <mergeCell ref="FW2:FX2"/>
    <mergeCell ref="FM3:FM4"/>
    <mergeCell ref="FN3:FN4"/>
    <mergeCell ref="FO3:FO4"/>
    <mergeCell ref="FM11:FO11"/>
    <mergeCell ref="FM5:FM10"/>
    <mergeCell ref="FN5:FN6"/>
    <mergeCell ref="FN7:FO7"/>
    <mergeCell ref="FN8:FN9"/>
    <mergeCell ref="FN10:FO10"/>
    <mergeCell ref="FI2:FJ2"/>
    <mergeCell ref="EY3:EY4"/>
    <mergeCell ref="EZ3:EZ4"/>
    <mergeCell ref="FA3:FA4"/>
    <mergeCell ref="EY11:FA11"/>
    <mergeCell ref="EY5:EY10"/>
    <mergeCell ref="EZ5:EZ6"/>
    <mergeCell ref="EZ7:FA7"/>
    <mergeCell ref="EZ8:EZ9"/>
    <mergeCell ref="EZ10:FA10"/>
    <mergeCell ref="EU2:EV2"/>
    <mergeCell ref="EK3:EK4"/>
    <mergeCell ref="EL3:EL4"/>
    <mergeCell ref="EM3:EM4"/>
    <mergeCell ref="EK11:EM11"/>
    <mergeCell ref="EK5:EK10"/>
    <mergeCell ref="EL5:EL6"/>
    <mergeCell ref="EL7:EM7"/>
    <mergeCell ref="EL8:EL9"/>
    <mergeCell ref="EL10:EM10"/>
    <mergeCell ref="DX5:DX6"/>
    <mergeCell ref="EG2:EH2"/>
    <mergeCell ref="DW3:DW4"/>
    <mergeCell ref="DX3:DX4"/>
    <mergeCell ref="DY3:DY4"/>
    <mergeCell ref="DW11:DY11"/>
    <mergeCell ref="DW5:DW10"/>
    <mergeCell ref="DX7:DY7"/>
    <mergeCell ref="DX8:DX9"/>
    <mergeCell ref="DX10:DY10"/>
    <mergeCell ref="CV10:CW10"/>
    <mergeCell ref="DS2:DT2"/>
    <mergeCell ref="DI3:DI4"/>
    <mergeCell ref="DJ3:DJ4"/>
    <mergeCell ref="DK3:DK4"/>
    <mergeCell ref="DI11:DK11"/>
    <mergeCell ref="DI5:DI10"/>
    <mergeCell ref="DJ5:DJ6"/>
    <mergeCell ref="DJ7:DK7"/>
    <mergeCell ref="DJ8:DJ9"/>
    <mergeCell ref="DJ10:DK10"/>
    <mergeCell ref="BT3:BT4"/>
    <mergeCell ref="BU3:BU4"/>
    <mergeCell ref="BS11:BU11"/>
    <mergeCell ref="BS5:BS10"/>
    <mergeCell ref="BT5:BT6"/>
    <mergeCell ref="BT7:BU7"/>
    <mergeCell ref="BT8:BT9"/>
    <mergeCell ref="BT10:BU10"/>
    <mergeCell ref="CQ2:CR2"/>
    <mergeCell ref="CG3:CG4"/>
    <mergeCell ref="CH3:CH4"/>
    <mergeCell ref="CI3:CI4"/>
    <mergeCell ref="CG11:CI11"/>
    <mergeCell ref="CG5:CG10"/>
    <mergeCell ref="CH5:CH6"/>
    <mergeCell ref="CH7:CI7"/>
    <mergeCell ref="CH8:CH9"/>
    <mergeCell ref="CH10:CI10"/>
    <mergeCell ref="AQ11:AS11"/>
    <mergeCell ref="AQ5:AQ10"/>
    <mergeCell ref="AR5:AR6"/>
    <mergeCell ref="AR7:AS7"/>
    <mergeCell ref="AR8:AR9"/>
    <mergeCell ref="AR10:AS10"/>
    <mergeCell ref="BO2:BP2"/>
    <mergeCell ref="BE3:BE4"/>
    <mergeCell ref="BF3:BF4"/>
    <mergeCell ref="BG3:BG4"/>
    <mergeCell ref="BE5:BE10"/>
    <mergeCell ref="BF5:BF6"/>
    <mergeCell ref="BF7:BG7"/>
    <mergeCell ref="BF8:BF9"/>
    <mergeCell ref="BF10:BG10"/>
    <mergeCell ref="BE11:BG11"/>
    <mergeCell ref="K2:L2"/>
    <mergeCell ref="A3:A4"/>
    <mergeCell ref="B3:B4"/>
    <mergeCell ref="C3:C4"/>
    <mergeCell ref="A5:A10"/>
    <mergeCell ref="B5:B6"/>
    <mergeCell ref="B7:C7"/>
    <mergeCell ref="B8:B9"/>
    <mergeCell ref="B10:C10"/>
    <mergeCell ref="AC5:AC10"/>
    <mergeCell ref="AD5:AD6"/>
    <mergeCell ref="AD7:AE7"/>
    <mergeCell ref="AD8:AD9"/>
    <mergeCell ref="AD10:AE10"/>
    <mergeCell ref="O11:Q11"/>
    <mergeCell ref="Y2:Z2"/>
    <mergeCell ref="O3:O4"/>
    <mergeCell ref="P3:P4"/>
    <mergeCell ref="Q3:Q4"/>
    <mergeCell ref="O5:O10"/>
    <mergeCell ref="P5:P6"/>
    <mergeCell ref="P7:Q7"/>
    <mergeCell ref="P8:P9"/>
    <mergeCell ref="P10:Q10"/>
    <mergeCell ref="EF12:EI12"/>
    <mergeCell ref="ET12:EW12"/>
    <mergeCell ref="FH12:FK12"/>
    <mergeCell ref="FV12:FY12"/>
    <mergeCell ref="AC11:AE11"/>
    <mergeCell ref="BA2:BB2"/>
    <mergeCell ref="AQ3:AQ4"/>
    <mergeCell ref="AR3:AR4"/>
    <mergeCell ref="AS3:AS4"/>
    <mergeCell ref="CC2:CD2"/>
    <mergeCell ref="BS3:BS4"/>
    <mergeCell ref="DE2:DF2"/>
    <mergeCell ref="CU3:CU4"/>
    <mergeCell ref="CV3:CV4"/>
    <mergeCell ref="CW3:CW4"/>
    <mergeCell ref="CU11:CW11"/>
    <mergeCell ref="CU5:CU10"/>
    <mergeCell ref="CV5:CV6"/>
    <mergeCell ref="CV7:CW7"/>
    <mergeCell ref="CV8:CV9"/>
    <mergeCell ref="AM2:AN2"/>
    <mergeCell ref="AC3:AC4"/>
    <mergeCell ref="AD3:AD4"/>
    <mergeCell ref="AE3:AE4"/>
    <mergeCell ref="J12:M12"/>
    <mergeCell ref="X12:AA12"/>
    <mergeCell ref="AL12:AO12"/>
    <mergeCell ref="AZ12:BC12"/>
    <mergeCell ref="BN12:BQ12"/>
    <mergeCell ref="CB12:CE12"/>
    <mergeCell ref="CP12:CS12"/>
    <mergeCell ref="DD12:DG12"/>
    <mergeCell ref="DR12:DU12"/>
  </mergeCells>
  <phoneticPr fontId="0" type="noConversion"/>
  <printOptions horizontalCentered="1" verticalCentered="1"/>
  <pageMargins left="0.35433070866141736" right="0.55118110236220474" top="0.19685039370078741" bottom="0.19685039370078741" header="0.51181102362204722" footer="0.51181102362204722"/>
  <pageSetup paperSize="9" scale="1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مراجعي العيادات</vt:lpstr>
      <vt:lpstr>إجمالي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2016-11-01T06:45:04Z</cp:lastPrinted>
  <dcterms:created xsi:type="dcterms:W3CDTF">2001-04-09T05:16:56Z</dcterms:created>
  <dcterms:modified xsi:type="dcterms:W3CDTF">2026-04-16T07:24:37Z</dcterms:modified>
</cp:coreProperties>
</file>