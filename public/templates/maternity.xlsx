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15375" windowHeight="8760" tabRatio="757"/>
  </bookViews>
  <sheets>
    <sheet name="رعاية أمومة" sheetId="1" r:id="rId1"/>
    <sheet name="إجمالية" sheetId="2" r:id="rId2"/>
  </sheets>
  <definedNames>
    <definedName name="_xlnm.Print_Titles" localSheetId="0">'رعاية أمومة'!$1:$3</definedName>
  </definedNames>
  <calcPr calcId="152511"/>
</workbook>
</file>

<file path=xl/calcChain.xml><?xml version="1.0" encoding="utf-8"?>
<calcChain xmlns="http://schemas.openxmlformats.org/spreadsheetml/2006/main">
  <c r="DI47" i="1" l="1"/>
  <c r="DI43" i="1"/>
  <c r="DI39" i="1"/>
  <c r="DI35" i="1"/>
  <c r="DI31" i="1"/>
  <c r="DI27" i="1"/>
  <c r="DI23" i="1"/>
  <c r="DI19" i="1"/>
  <c r="DI15" i="1"/>
  <c r="DI11" i="1"/>
  <c r="DI7" i="1"/>
  <c r="CY47" i="1"/>
  <c r="CY43" i="1"/>
  <c r="CY39" i="1"/>
  <c r="CY35" i="1"/>
  <c r="CY31" i="1"/>
  <c r="CY27" i="1"/>
  <c r="CY23" i="1"/>
  <c r="CY19" i="1"/>
  <c r="CY15" i="1"/>
  <c r="CY11" i="1"/>
  <c r="CY7" i="1"/>
  <c r="CO47" i="1"/>
  <c r="CO43" i="1"/>
  <c r="CO39" i="1"/>
  <c r="CO35" i="1"/>
  <c r="CO31" i="1"/>
  <c r="CO27" i="1"/>
  <c r="CO23" i="1"/>
  <c r="CO19" i="1"/>
  <c r="CO15" i="1"/>
  <c r="CO11" i="1"/>
  <c r="CO7" i="1"/>
  <c r="CE47" i="1"/>
  <c r="CE43" i="1"/>
  <c r="CE39" i="1"/>
  <c r="CE35" i="1"/>
  <c r="CE31" i="1"/>
  <c r="CE27" i="1"/>
  <c r="CE23" i="1"/>
  <c r="CE19" i="1"/>
  <c r="CE15" i="1"/>
  <c r="CE11" i="1"/>
  <c r="CE7" i="1"/>
  <c r="BU47" i="1"/>
  <c r="BU43" i="1"/>
  <c r="BU39" i="1"/>
  <c r="BU35" i="1"/>
  <c r="BU31" i="1"/>
  <c r="BU27" i="1"/>
  <c r="BU23" i="1"/>
  <c r="BU19" i="1"/>
  <c r="BU15" i="1"/>
  <c r="BU11" i="1"/>
  <c r="BU7" i="1"/>
  <c r="BK47" i="1"/>
  <c r="BK43" i="1"/>
  <c r="BK39" i="1"/>
  <c r="BK35" i="1"/>
  <c r="BK31" i="1"/>
  <c r="BK27" i="1"/>
  <c r="BK23" i="1"/>
  <c r="BK19" i="1"/>
  <c r="BK15" i="1"/>
  <c r="BK11" i="1"/>
  <c r="BK7" i="1"/>
  <c r="BA47" i="1"/>
  <c r="BA43" i="1"/>
  <c r="BA39" i="1"/>
  <c r="BA35" i="1"/>
  <c r="BA31" i="1"/>
  <c r="BA27" i="1"/>
  <c r="BA23" i="1"/>
  <c r="BA19" i="1"/>
  <c r="BA15" i="1"/>
  <c r="BA11" i="1"/>
  <c r="BA7" i="1"/>
  <c r="AQ47" i="1"/>
  <c r="AQ43" i="1"/>
  <c r="AQ39" i="1"/>
  <c r="AQ35" i="1"/>
  <c r="AQ31" i="1"/>
  <c r="AQ27" i="1"/>
  <c r="AQ23" i="1"/>
  <c r="AQ19" i="1"/>
  <c r="AQ15" i="1"/>
  <c r="AQ11" i="1"/>
  <c r="AQ7" i="1"/>
  <c r="AG47" i="1"/>
  <c r="AG43" i="1"/>
  <c r="AG39" i="1"/>
  <c r="AG35" i="1"/>
  <c r="AG31" i="1"/>
  <c r="AG27" i="1"/>
  <c r="AG23" i="1"/>
  <c r="AG19" i="1"/>
  <c r="AG15" i="1"/>
  <c r="AG11" i="1"/>
  <c r="AG7" i="1"/>
  <c r="W47" i="1"/>
  <c r="W43" i="1"/>
  <c r="W39" i="1"/>
  <c r="W35" i="1"/>
  <c r="W31" i="1"/>
  <c r="W27" i="1"/>
  <c r="W23" i="1"/>
  <c r="W19" i="1"/>
  <c r="W15" i="1"/>
  <c r="W11" i="1"/>
  <c r="W7" i="1"/>
  <c r="M47" i="1"/>
  <c r="M43" i="1"/>
  <c r="M39" i="1"/>
  <c r="M35" i="1"/>
  <c r="M31" i="1"/>
  <c r="M27" i="1"/>
  <c r="M23" i="1"/>
  <c r="M19" i="1"/>
  <c r="M15" i="1"/>
  <c r="M11" i="1"/>
  <c r="M7" i="1"/>
  <c r="C35" i="1" l="1"/>
  <c r="C31" i="1"/>
  <c r="C27" i="1"/>
  <c r="C23" i="1"/>
  <c r="C19" i="1"/>
  <c r="C15" i="1"/>
  <c r="C11" i="1"/>
  <c r="C7" i="1"/>
  <c r="DX49" i="1" l="1"/>
  <c r="DX45" i="1"/>
  <c r="DX41" i="1"/>
  <c r="DX37" i="1"/>
  <c r="DZ37" i="1" s="1"/>
  <c r="DX33" i="1"/>
  <c r="DX29" i="1"/>
  <c r="DX25" i="1"/>
  <c r="DZ25" i="1" s="1"/>
  <c r="DX21" i="1"/>
  <c r="DZ21" i="1" s="1"/>
  <c r="DX17" i="1"/>
  <c r="DX13" i="1"/>
  <c r="DX9" i="1"/>
  <c r="DZ9" i="1" s="1"/>
  <c r="DX5" i="1"/>
  <c r="DZ49" i="1"/>
  <c r="DZ45" i="1"/>
  <c r="DZ41" i="1"/>
  <c r="DZ33" i="1"/>
  <c r="DZ29" i="1"/>
  <c r="DZ17" i="1"/>
  <c r="DZ13" i="1"/>
  <c r="DN56" i="1"/>
  <c r="DP56" i="1" s="1"/>
  <c r="DP49" i="1"/>
  <c r="DP45" i="1"/>
  <c r="DP41" i="1"/>
  <c r="DP37" i="1"/>
  <c r="DP33" i="1"/>
  <c r="DP29" i="1"/>
  <c r="DP25" i="1"/>
  <c r="DP21" i="1"/>
  <c r="DP17" i="1"/>
  <c r="DP13" i="1"/>
  <c r="DP9" i="1"/>
  <c r="DP5" i="1"/>
  <c r="DD56" i="1"/>
  <c r="DF56" i="1" s="1"/>
  <c r="DF49" i="1"/>
  <c r="DF45" i="1"/>
  <c r="DF41" i="1"/>
  <c r="DF37" i="1"/>
  <c r="DF33" i="1"/>
  <c r="DF29" i="1"/>
  <c r="DF25" i="1"/>
  <c r="DF21" i="1"/>
  <c r="DF17" i="1"/>
  <c r="DF13" i="1"/>
  <c r="DF9" i="1"/>
  <c r="DF5" i="1"/>
  <c r="CT56" i="1"/>
  <c r="CV56" i="1" s="1"/>
  <c r="CV49" i="1"/>
  <c r="CV45" i="1"/>
  <c r="CV41" i="1"/>
  <c r="CV37" i="1"/>
  <c r="CV33" i="1"/>
  <c r="CV29" i="1"/>
  <c r="CV25" i="1"/>
  <c r="CV21" i="1"/>
  <c r="CV17" i="1"/>
  <c r="CV13" i="1"/>
  <c r="CV9" i="1"/>
  <c r="CV5" i="1"/>
  <c r="CJ56" i="1"/>
  <c r="CL56" i="1" s="1"/>
  <c r="CL49" i="1"/>
  <c r="CL45" i="1"/>
  <c r="CL41" i="1"/>
  <c r="CL37" i="1"/>
  <c r="CL33" i="1"/>
  <c r="CL29" i="1"/>
  <c r="CL25" i="1"/>
  <c r="CL21" i="1"/>
  <c r="CL17" i="1"/>
  <c r="CL13" i="1"/>
  <c r="CL9" i="1"/>
  <c r="CL5" i="1"/>
  <c r="BZ56" i="1"/>
  <c r="BY2" i="2" s="1"/>
  <c r="CB49" i="1"/>
  <c r="CB45" i="1"/>
  <c r="CB41" i="1"/>
  <c r="CB37" i="1"/>
  <c r="CB33" i="1"/>
  <c r="CB29" i="1"/>
  <c r="CB25" i="1"/>
  <c r="CB21" i="1"/>
  <c r="CB17" i="1"/>
  <c r="CB13" i="1"/>
  <c r="CB9" i="1"/>
  <c r="CB5" i="1"/>
  <c r="BP56" i="1"/>
  <c r="BO2" i="2" s="1"/>
  <c r="BR49" i="1"/>
  <c r="BR45" i="1"/>
  <c r="BR41" i="1"/>
  <c r="BR37" i="1"/>
  <c r="BR33" i="1"/>
  <c r="BR29" i="1"/>
  <c r="BR25" i="1"/>
  <c r="BR21" i="1"/>
  <c r="BR17" i="1"/>
  <c r="BR13" i="1"/>
  <c r="BR9" i="1"/>
  <c r="BR5" i="1"/>
  <c r="BF56" i="1"/>
  <c r="BH56" i="1" s="1"/>
  <c r="BH49" i="1"/>
  <c r="BH45" i="1"/>
  <c r="BH41" i="1"/>
  <c r="BH37" i="1"/>
  <c r="BH33" i="1"/>
  <c r="BH29" i="1"/>
  <c r="BH25" i="1"/>
  <c r="BH21" i="1"/>
  <c r="BH17" i="1"/>
  <c r="BH13" i="1"/>
  <c r="BH9" i="1"/>
  <c r="BH5" i="1"/>
  <c r="AV56" i="1"/>
  <c r="AX56" i="1" s="1"/>
  <c r="AX49" i="1"/>
  <c r="AX45" i="1"/>
  <c r="AX41" i="1"/>
  <c r="AX37" i="1"/>
  <c r="AX33" i="1"/>
  <c r="AX29" i="1"/>
  <c r="AX25" i="1"/>
  <c r="AX21" i="1"/>
  <c r="AX17" i="1"/>
  <c r="AX13" i="1"/>
  <c r="AX9" i="1"/>
  <c r="AX5" i="1"/>
  <c r="AL56" i="1"/>
  <c r="AN56" i="1" s="1"/>
  <c r="AN49" i="1"/>
  <c r="AN45" i="1"/>
  <c r="AN41" i="1"/>
  <c r="AN37" i="1"/>
  <c r="AN33" i="1"/>
  <c r="AN29" i="1"/>
  <c r="AN25" i="1"/>
  <c r="AN21" i="1"/>
  <c r="AN17" i="1"/>
  <c r="AN13" i="1"/>
  <c r="AN9" i="1"/>
  <c r="AN5" i="1"/>
  <c r="AB56" i="1"/>
  <c r="AA2" i="2" s="1"/>
  <c r="AD49" i="1"/>
  <c r="AD45" i="1"/>
  <c r="AD41" i="1"/>
  <c r="AD37" i="1"/>
  <c r="AD33" i="1"/>
  <c r="AD29" i="1"/>
  <c r="AD25" i="1"/>
  <c r="AD21" i="1"/>
  <c r="AD17" i="1"/>
  <c r="AD13" i="1"/>
  <c r="AD9" i="1"/>
  <c r="AD5" i="1"/>
  <c r="R56" i="1"/>
  <c r="T56" i="1" s="1"/>
  <c r="T49" i="1"/>
  <c r="T45" i="1"/>
  <c r="T41" i="1"/>
  <c r="T37" i="1"/>
  <c r="T33" i="1"/>
  <c r="T29" i="1"/>
  <c r="T25" i="1"/>
  <c r="T21" i="1"/>
  <c r="T17" i="1"/>
  <c r="T13" i="1"/>
  <c r="T9" i="1"/>
  <c r="T5" i="1"/>
  <c r="H56" i="1"/>
  <c r="J56" i="1" s="1"/>
  <c r="J49" i="1"/>
  <c r="J45" i="1"/>
  <c r="J41" i="1"/>
  <c r="J37" i="1"/>
  <c r="J33" i="1"/>
  <c r="J29" i="1"/>
  <c r="J25" i="1"/>
  <c r="J21" i="1"/>
  <c r="J17" i="1"/>
  <c r="J13" i="1"/>
  <c r="J9" i="1"/>
  <c r="J5" i="1"/>
  <c r="CB56" i="1" l="1"/>
  <c r="AK2" i="2"/>
  <c r="AU2" i="2"/>
  <c r="CI2" i="2"/>
  <c r="BR56" i="1"/>
  <c r="BE2" i="2"/>
  <c r="CS2" i="2"/>
  <c r="DC2" i="2"/>
  <c r="AD56" i="1"/>
  <c r="Q2" i="2"/>
  <c r="G2" i="2"/>
  <c r="DM2" i="2"/>
  <c r="DX56" i="1"/>
  <c r="DZ5" i="1"/>
  <c r="DL57" i="1"/>
  <c r="DK57" i="1"/>
  <c r="DJ57" i="1"/>
  <c r="DI57" i="1"/>
  <c r="DL56" i="1"/>
  <c r="DL58" i="1" s="1"/>
  <c r="DK56" i="1"/>
  <c r="DK58" i="1" s="1"/>
  <c r="DJ56" i="1"/>
  <c r="DI56" i="1"/>
  <c r="DL53" i="1"/>
  <c r="DK53" i="1"/>
  <c r="DL51" i="1"/>
  <c r="DK51" i="1"/>
  <c r="DJ51" i="1"/>
  <c r="DI51" i="1"/>
  <c r="DL47" i="1"/>
  <c r="DK47" i="1"/>
  <c r="DJ47" i="1"/>
  <c r="DL43" i="1"/>
  <c r="DK43" i="1"/>
  <c r="DJ43" i="1"/>
  <c r="DL39" i="1"/>
  <c r="DK39" i="1"/>
  <c r="DJ39" i="1"/>
  <c r="DL35" i="1"/>
  <c r="DK35" i="1"/>
  <c r="DJ35" i="1"/>
  <c r="DL31" i="1"/>
  <c r="DK31" i="1"/>
  <c r="DJ31" i="1"/>
  <c r="DL27" i="1"/>
  <c r="DK27" i="1"/>
  <c r="DJ27" i="1"/>
  <c r="DL23" i="1"/>
  <c r="DK23" i="1"/>
  <c r="DJ23" i="1"/>
  <c r="DL19" i="1"/>
  <c r="DK19" i="1"/>
  <c r="DJ19" i="1"/>
  <c r="DL15" i="1"/>
  <c r="DK15" i="1"/>
  <c r="DJ15" i="1"/>
  <c r="DL11" i="1"/>
  <c r="DK11" i="1"/>
  <c r="DJ11" i="1"/>
  <c r="DL7" i="1"/>
  <c r="DK7" i="1"/>
  <c r="DJ7" i="1"/>
  <c r="DB57" i="1"/>
  <c r="DA57" i="1"/>
  <c r="CZ57" i="1"/>
  <c r="CY57" i="1"/>
  <c r="DB56" i="1"/>
  <c r="DB58" i="1" s="1"/>
  <c r="DA56" i="1"/>
  <c r="CZ56" i="1"/>
  <c r="CY56" i="1"/>
  <c r="CY58" i="1" s="1"/>
  <c r="DB53" i="1"/>
  <c r="DA53" i="1"/>
  <c r="DB51" i="1"/>
  <c r="DA51" i="1"/>
  <c r="CZ51" i="1"/>
  <c r="CY51" i="1"/>
  <c r="DB47" i="1"/>
  <c r="DA47" i="1"/>
  <c r="CZ47" i="1"/>
  <c r="DB43" i="1"/>
  <c r="DA43" i="1"/>
  <c r="CZ43" i="1"/>
  <c r="DB39" i="1"/>
  <c r="DA39" i="1"/>
  <c r="CZ39" i="1"/>
  <c r="DB35" i="1"/>
  <c r="DA35" i="1"/>
  <c r="CZ35" i="1"/>
  <c r="DB31" i="1"/>
  <c r="DA31" i="1"/>
  <c r="CZ31" i="1"/>
  <c r="DB27" i="1"/>
  <c r="DA27" i="1"/>
  <c r="CZ27" i="1"/>
  <c r="DB23" i="1"/>
  <c r="DA23" i="1"/>
  <c r="CZ23" i="1"/>
  <c r="DB19" i="1"/>
  <c r="DA19" i="1"/>
  <c r="CZ19" i="1"/>
  <c r="DB15" i="1"/>
  <c r="DA15" i="1"/>
  <c r="CZ15" i="1"/>
  <c r="DB11" i="1"/>
  <c r="DA11" i="1"/>
  <c r="CZ11" i="1"/>
  <c r="DB7" i="1"/>
  <c r="DA7" i="1"/>
  <c r="CZ7" i="1"/>
  <c r="CR57" i="1"/>
  <c r="CQ57" i="1"/>
  <c r="CP57" i="1"/>
  <c r="CO57" i="1"/>
  <c r="CR56" i="1"/>
  <c r="CQ56" i="1"/>
  <c r="CQ58" i="1" s="1"/>
  <c r="CP56" i="1"/>
  <c r="CP58" i="1" s="1"/>
  <c r="CO56" i="1"/>
  <c r="CR53" i="1"/>
  <c r="CQ53" i="1"/>
  <c r="CR51" i="1"/>
  <c r="CQ51" i="1"/>
  <c r="CP51" i="1"/>
  <c r="CO51" i="1"/>
  <c r="CR47" i="1"/>
  <c r="CQ47" i="1"/>
  <c r="CP47" i="1"/>
  <c r="CR43" i="1"/>
  <c r="CQ43" i="1"/>
  <c r="CP43" i="1"/>
  <c r="CR39" i="1"/>
  <c r="CQ39" i="1"/>
  <c r="CP39" i="1"/>
  <c r="CR35" i="1"/>
  <c r="CQ35" i="1"/>
  <c r="CP35" i="1"/>
  <c r="CR31" i="1"/>
  <c r="CQ31" i="1"/>
  <c r="CP31" i="1"/>
  <c r="CR27" i="1"/>
  <c r="CQ27" i="1"/>
  <c r="CP27" i="1"/>
  <c r="CR23" i="1"/>
  <c r="CQ23" i="1"/>
  <c r="CP23" i="1"/>
  <c r="CR19" i="1"/>
  <c r="CQ19" i="1"/>
  <c r="CP19" i="1"/>
  <c r="CR15" i="1"/>
  <c r="CQ15" i="1"/>
  <c r="CP15" i="1"/>
  <c r="CR11" i="1"/>
  <c r="CQ11" i="1"/>
  <c r="CP11" i="1"/>
  <c r="CR7" i="1"/>
  <c r="CQ7" i="1"/>
  <c r="CP7" i="1"/>
  <c r="CH57" i="1"/>
  <c r="CG57" i="1"/>
  <c r="CF57" i="1"/>
  <c r="CE57" i="1"/>
  <c r="CH56" i="1"/>
  <c r="CG56" i="1"/>
  <c r="CG58" i="1" s="1"/>
  <c r="CF56" i="1"/>
  <c r="CF58" i="1" s="1"/>
  <c r="CE56" i="1"/>
  <c r="CE58" i="1" s="1"/>
  <c r="CH53" i="1"/>
  <c r="CG53" i="1"/>
  <c r="CH51" i="1"/>
  <c r="CG51" i="1"/>
  <c r="CF51" i="1"/>
  <c r="CE51" i="1"/>
  <c r="CH47" i="1"/>
  <c r="CG47" i="1"/>
  <c r="CF47" i="1"/>
  <c r="CH43" i="1"/>
  <c r="CG43" i="1"/>
  <c r="CF43" i="1"/>
  <c r="CH39" i="1"/>
  <c r="CG39" i="1"/>
  <c r="CF39" i="1"/>
  <c r="CH35" i="1"/>
  <c r="CG35" i="1"/>
  <c r="CF35" i="1"/>
  <c r="CH31" i="1"/>
  <c r="CG31" i="1"/>
  <c r="CF31" i="1"/>
  <c r="CH27" i="1"/>
  <c r="CG27" i="1"/>
  <c r="CF27" i="1"/>
  <c r="CH23" i="1"/>
  <c r="CG23" i="1"/>
  <c r="CF23" i="1"/>
  <c r="CH19" i="1"/>
  <c r="CG19" i="1"/>
  <c r="CF19" i="1"/>
  <c r="CH15" i="1"/>
  <c r="CG15" i="1"/>
  <c r="CF15" i="1"/>
  <c r="CH11" i="1"/>
  <c r="CG11" i="1"/>
  <c r="CF11" i="1"/>
  <c r="CH7" i="1"/>
  <c r="CG7" i="1"/>
  <c r="CF7" i="1"/>
  <c r="BX57" i="1"/>
  <c r="BW57" i="1"/>
  <c r="BV57" i="1"/>
  <c r="BU57" i="1"/>
  <c r="BX56" i="1"/>
  <c r="BW56" i="1"/>
  <c r="BV56" i="1"/>
  <c r="BV58" i="1" s="1"/>
  <c r="BU56" i="1"/>
  <c r="BX53" i="1"/>
  <c r="BW53" i="1"/>
  <c r="BX51" i="1"/>
  <c r="BW51" i="1"/>
  <c r="BV51" i="1"/>
  <c r="BU51" i="1"/>
  <c r="BX47" i="1"/>
  <c r="BW47" i="1"/>
  <c r="BV47" i="1"/>
  <c r="BX43" i="1"/>
  <c r="BW43" i="1"/>
  <c r="BV43" i="1"/>
  <c r="BX39" i="1"/>
  <c r="BW39" i="1"/>
  <c r="BV39" i="1"/>
  <c r="BX35" i="1"/>
  <c r="BW35" i="1"/>
  <c r="BV35" i="1"/>
  <c r="BX31" i="1"/>
  <c r="BW31" i="1"/>
  <c r="BV31" i="1"/>
  <c r="BX27" i="1"/>
  <c r="BW27" i="1"/>
  <c r="BV27" i="1"/>
  <c r="BX23" i="1"/>
  <c r="BW23" i="1"/>
  <c r="BV23" i="1"/>
  <c r="BX19" i="1"/>
  <c r="BW19" i="1"/>
  <c r="BV19" i="1"/>
  <c r="BX15" i="1"/>
  <c r="BW15" i="1"/>
  <c r="BV15" i="1"/>
  <c r="BX11" i="1"/>
  <c r="BW11" i="1"/>
  <c r="BV11" i="1"/>
  <c r="BX7" i="1"/>
  <c r="BW7" i="1"/>
  <c r="BV7" i="1"/>
  <c r="BN57" i="1"/>
  <c r="BM57" i="1"/>
  <c r="BL57" i="1"/>
  <c r="BK57" i="1"/>
  <c r="BN56" i="1"/>
  <c r="BN58" i="1" s="1"/>
  <c r="BM56" i="1"/>
  <c r="BL56" i="1"/>
  <c r="BL58" i="1" s="1"/>
  <c r="BK56" i="1"/>
  <c r="BK58" i="1" s="1"/>
  <c r="BN53" i="1"/>
  <c r="BM53" i="1"/>
  <c r="BN51" i="1"/>
  <c r="BM51" i="1"/>
  <c r="BL51" i="1"/>
  <c r="BK51" i="1"/>
  <c r="BN47" i="1"/>
  <c r="BM47" i="1"/>
  <c r="BL47" i="1"/>
  <c r="BN43" i="1"/>
  <c r="BM43" i="1"/>
  <c r="BL43" i="1"/>
  <c r="BN39" i="1"/>
  <c r="BM39" i="1"/>
  <c r="BL39" i="1"/>
  <c r="BN35" i="1"/>
  <c r="BM35" i="1"/>
  <c r="BL35" i="1"/>
  <c r="BN31" i="1"/>
  <c r="BM31" i="1"/>
  <c r="BL31" i="1"/>
  <c r="BN27" i="1"/>
  <c r="BM27" i="1"/>
  <c r="BL27" i="1"/>
  <c r="BN23" i="1"/>
  <c r="BM23" i="1"/>
  <c r="BL23" i="1"/>
  <c r="BN19" i="1"/>
  <c r="BM19" i="1"/>
  <c r="BL19" i="1"/>
  <c r="BN15" i="1"/>
  <c r="BM15" i="1"/>
  <c r="BL15" i="1"/>
  <c r="BN11" i="1"/>
  <c r="BM11" i="1"/>
  <c r="BL11" i="1"/>
  <c r="BN7" i="1"/>
  <c r="BM7" i="1"/>
  <c r="BL7" i="1"/>
  <c r="BD57" i="1"/>
  <c r="BC57" i="1"/>
  <c r="BB57" i="1"/>
  <c r="BA57" i="1"/>
  <c r="BD56" i="1"/>
  <c r="BC56" i="1"/>
  <c r="BC58" i="1" s="1"/>
  <c r="BB56" i="1"/>
  <c r="BB58" i="1" s="1"/>
  <c r="BA56" i="1"/>
  <c r="BD53" i="1"/>
  <c r="BC53" i="1"/>
  <c r="BD51" i="1"/>
  <c r="BC51" i="1"/>
  <c r="BB51" i="1"/>
  <c r="BA51" i="1"/>
  <c r="BD47" i="1"/>
  <c r="BC47" i="1"/>
  <c r="BB47" i="1"/>
  <c r="BD43" i="1"/>
  <c r="BC43" i="1"/>
  <c r="BB43" i="1"/>
  <c r="BD39" i="1"/>
  <c r="BC39" i="1"/>
  <c r="BB39" i="1"/>
  <c r="BD35" i="1"/>
  <c r="BC35" i="1"/>
  <c r="BB35" i="1"/>
  <c r="BD31" i="1"/>
  <c r="BC31" i="1"/>
  <c r="BB31" i="1"/>
  <c r="BD27" i="1"/>
  <c r="BC27" i="1"/>
  <c r="BB27" i="1"/>
  <c r="BD23" i="1"/>
  <c r="BC23" i="1"/>
  <c r="BB23" i="1"/>
  <c r="BD19" i="1"/>
  <c r="BC19" i="1"/>
  <c r="BB19" i="1"/>
  <c r="BD15" i="1"/>
  <c r="BC15" i="1"/>
  <c r="BB15" i="1"/>
  <c r="BD11" i="1"/>
  <c r="BC11" i="1"/>
  <c r="BB11" i="1"/>
  <c r="BD7" i="1"/>
  <c r="BC7" i="1"/>
  <c r="BB7" i="1"/>
  <c r="AT57" i="1"/>
  <c r="AS57" i="1"/>
  <c r="AR57" i="1"/>
  <c r="AQ57" i="1"/>
  <c r="AT56" i="1"/>
  <c r="AS56" i="1"/>
  <c r="AS58" i="1" s="1"/>
  <c r="AR56" i="1"/>
  <c r="AR58" i="1" s="1"/>
  <c r="AQ56" i="1"/>
  <c r="AQ58" i="1" s="1"/>
  <c r="AT53" i="1"/>
  <c r="AS53" i="1"/>
  <c r="AT51" i="1"/>
  <c r="AS51" i="1"/>
  <c r="AR51" i="1"/>
  <c r="AQ51" i="1"/>
  <c r="AT47" i="1"/>
  <c r="AS47" i="1"/>
  <c r="AR47" i="1"/>
  <c r="AT43" i="1"/>
  <c r="AS43" i="1"/>
  <c r="AR43" i="1"/>
  <c r="AT39" i="1"/>
  <c r="AS39" i="1"/>
  <c r="AR39" i="1"/>
  <c r="AT35" i="1"/>
  <c r="AS35" i="1"/>
  <c r="AR35" i="1"/>
  <c r="AT31" i="1"/>
  <c r="AS31" i="1"/>
  <c r="AR31" i="1"/>
  <c r="AT27" i="1"/>
  <c r="AS27" i="1"/>
  <c r="AR27" i="1"/>
  <c r="AT23" i="1"/>
  <c r="AS23" i="1"/>
  <c r="AR23" i="1"/>
  <c r="AT19" i="1"/>
  <c r="AS19" i="1"/>
  <c r="AR19" i="1"/>
  <c r="AT15" i="1"/>
  <c r="AS15" i="1"/>
  <c r="AR15" i="1"/>
  <c r="AT11" i="1"/>
  <c r="AS11" i="1"/>
  <c r="AR11" i="1"/>
  <c r="AT7" i="1"/>
  <c r="AS7" i="1"/>
  <c r="AR7" i="1"/>
  <c r="AJ57" i="1"/>
  <c r="AI57" i="1"/>
  <c r="AH57" i="1"/>
  <c r="AG57" i="1"/>
  <c r="AJ56" i="1"/>
  <c r="AI56" i="1"/>
  <c r="AI58" i="1" s="1"/>
  <c r="AH56" i="1"/>
  <c r="AH58" i="1" s="1"/>
  <c r="AG56" i="1"/>
  <c r="AJ53" i="1"/>
  <c r="AI53" i="1"/>
  <c r="AJ51" i="1"/>
  <c r="AI51" i="1"/>
  <c r="AH51" i="1"/>
  <c r="AG51" i="1"/>
  <c r="AJ47" i="1"/>
  <c r="AI47" i="1"/>
  <c r="AH47" i="1"/>
  <c r="AJ43" i="1"/>
  <c r="AI43" i="1"/>
  <c r="AH43" i="1"/>
  <c r="AJ39" i="1"/>
  <c r="AI39" i="1"/>
  <c r="AH39" i="1"/>
  <c r="AJ35" i="1"/>
  <c r="AI35" i="1"/>
  <c r="AH35" i="1"/>
  <c r="AJ31" i="1"/>
  <c r="AI31" i="1"/>
  <c r="AH31" i="1"/>
  <c r="AJ27" i="1"/>
  <c r="AI27" i="1"/>
  <c r="AH27" i="1"/>
  <c r="AJ23" i="1"/>
  <c r="AI23" i="1"/>
  <c r="AH23" i="1"/>
  <c r="AJ19" i="1"/>
  <c r="AI19" i="1"/>
  <c r="AH19" i="1"/>
  <c r="AJ15" i="1"/>
  <c r="AI15" i="1"/>
  <c r="AH15" i="1"/>
  <c r="AJ11" i="1"/>
  <c r="AI11" i="1"/>
  <c r="AH11" i="1"/>
  <c r="AJ7" i="1"/>
  <c r="AI7" i="1"/>
  <c r="AH7" i="1"/>
  <c r="Z57" i="1"/>
  <c r="Y57" i="1"/>
  <c r="X57" i="1"/>
  <c r="W57" i="1"/>
  <c r="Z56" i="1"/>
  <c r="Y56" i="1"/>
  <c r="X56" i="1"/>
  <c r="X58" i="1" s="1"/>
  <c r="W56" i="1"/>
  <c r="W58" i="1" s="1"/>
  <c r="Z53" i="1"/>
  <c r="Y53" i="1"/>
  <c r="Z51" i="1"/>
  <c r="Y51" i="1"/>
  <c r="X51" i="1"/>
  <c r="W51" i="1"/>
  <c r="Z47" i="1"/>
  <c r="Y47" i="1"/>
  <c r="X47" i="1"/>
  <c r="Z43" i="1"/>
  <c r="Y43" i="1"/>
  <c r="X43" i="1"/>
  <c r="Z39" i="1"/>
  <c r="Y39" i="1"/>
  <c r="X39" i="1"/>
  <c r="Z35" i="1"/>
  <c r="Y35" i="1"/>
  <c r="X35" i="1"/>
  <c r="Z31" i="1"/>
  <c r="Y31" i="1"/>
  <c r="X31" i="1"/>
  <c r="Z27" i="1"/>
  <c r="Y27" i="1"/>
  <c r="X27" i="1"/>
  <c r="Z23" i="1"/>
  <c r="Y23" i="1"/>
  <c r="X23" i="1"/>
  <c r="Z19" i="1"/>
  <c r="Y19" i="1"/>
  <c r="X19" i="1"/>
  <c r="Z15" i="1"/>
  <c r="Y15" i="1"/>
  <c r="X15" i="1"/>
  <c r="Z11" i="1"/>
  <c r="Y11" i="1"/>
  <c r="X11" i="1"/>
  <c r="Z7" i="1"/>
  <c r="Y7" i="1"/>
  <c r="X7" i="1"/>
  <c r="P57" i="1"/>
  <c r="O57" i="1"/>
  <c r="N57" i="1"/>
  <c r="M57" i="1"/>
  <c r="P56" i="1"/>
  <c r="O56" i="1"/>
  <c r="N56" i="1"/>
  <c r="M56" i="1"/>
  <c r="P53" i="1"/>
  <c r="O53" i="1"/>
  <c r="P51" i="1"/>
  <c r="O51" i="1"/>
  <c r="N51" i="1"/>
  <c r="M51" i="1"/>
  <c r="P47" i="1"/>
  <c r="O47" i="1"/>
  <c r="N47" i="1"/>
  <c r="P43" i="1"/>
  <c r="O43" i="1"/>
  <c r="N43" i="1"/>
  <c r="P39" i="1"/>
  <c r="O39" i="1"/>
  <c r="N39" i="1"/>
  <c r="P35" i="1"/>
  <c r="O35" i="1"/>
  <c r="N35" i="1"/>
  <c r="P31" i="1"/>
  <c r="O31" i="1"/>
  <c r="N31" i="1"/>
  <c r="P27" i="1"/>
  <c r="O27" i="1"/>
  <c r="N27" i="1"/>
  <c r="P23" i="1"/>
  <c r="O23" i="1"/>
  <c r="N23" i="1"/>
  <c r="P19" i="1"/>
  <c r="O19" i="1"/>
  <c r="N19" i="1"/>
  <c r="P15" i="1"/>
  <c r="O15" i="1"/>
  <c r="N15" i="1"/>
  <c r="P11" i="1"/>
  <c r="O11" i="1"/>
  <c r="N11" i="1"/>
  <c r="C57" i="1"/>
  <c r="D57" i="1"/>
  <c r="E57" i="1"/>
  <c r="F57" i="1"/>
  <c r="D56" i="1"/>
  <c r="E56" i="1"/>
  <c r="F56" i="1"/>
  <c r="C56" i="1"/>
  <c r="CR58" i="1" l="1"/>
  <c r="CH58" i="1"/>
  <c r="BU58" i="1"/>
  <c r="BW58" i="1"/>
  <c r="CO58" i="1"/>
  <c r="CZ58" i="1"/>
  <c r="BM58" i="1"/>
  <c r="BX58" i="1"/>
  <c r="DA58" i="1"/>
  <c r="BA58" i="1"/>
  <c r="BD58" i="1"/>
  <c r="AT58" i="1"/>
  <c r="AG58" i="1"/>
  <c r="AJ58" i="1"/>
  <c r="Z58" i="1"/>
  <c r="Y58" i="1"/>
  <c r="O58" i="1"/>
  <c r="M58" i="1"/>
  <c r="P58" i="1"/>
  <c r="N58" i="1"/>
  <c r="DZ56" i="1"/>
  <c r="DW2" i="2"/>
  <c r="DY2" i="2" s="1"/>
  <c r="DJ58" i="1"/>
  <c r="DI58" i="1"/>
  <c r="F58" i="1"/>
  <c r="E58" i="1"/>
  <c r="D58" i="1"/>
  <c r="C58" i="1"/>
  <c r="DR4" i="1" l="1"/>
  <c r="DT5" i="1"/>
  <c r="DU5" i="1"/>
  <c r="DV5" i="1"/>
  <c r="DT6" i="1"/>
  <c r="DU6" i="1"/>
  <c r="DV6" i="1"/>
  <c r="DR8" i="1"/>
  <c r="DT9" i="1"/>
  <c r="DS9" i="1" s="1"/>
  <c r="DU9" i="1"/>
  <c r="DV9" i="1"/>
  <c r="DT10" i="1"/>
  <c r="DS10" i="1" s="1"/>
  <c r="DU10" i="1"/>
  <c r="DV10" i="1"/>
  <c r="DR12" i="1"/>
  <c r="DT13" i="1"/>
  <c r="DS13" i="1" s="1"/>
  <c r="DU13" i="1"/>
  <c r="DV13" i="1"/>
  <c r="DT14" i="1"/>
  <c r="DS14" i="1" s="1"/>
  <c r="DU14" i="1"/>
  <c r="DV14" i="1"/>
  <c r="DR16" i="1"/>
  <c r="DT17" i="1"/>
  <c r="DS17" i="1" s="1"/>
  <c r="DU17" i="1"/>
  <c r="DV17" i="1"/>
  <c r="DT18" i="1"/>
  <c r="DS18" i="1" s="1"/>
  <c r="DU18" i="1"/>
  <c r="DV18" i="1"/>
  <c r="DR20" i="1"/>
  <c r="DT21" i="1"/>
  <c r="DU21" i="1"/>
  <c r="DV21" i="1"/>
  <c r="DT22" i="1"/>
  <c r="DS22" i="1" s="1"/>
  <c r="DU22" i="1"/>
  <c r="DV22" i="1"/>
  <c r="DR24" i="1"/>
  <c r="DT25" i="1"/>
  <c r="DS25" i="1" s="1"/>
  <c r="DU25" i="1"/>
  <c r="DV25" i="1"/>
  <c r="DT26" i="1"/>
  <c r="DS26" i="1" s="1"/>
  <c r="DU26" i="1"/>
  <c r="DV26" i="1"/>
  <c r="DR28" i="1"/>
  <c r="DT29" i="1"/>
  <c r="DS29" i="1" s="1"/>
  <c r="DU29" i="1"/>
  <c r="DV29" i="1"/>
  <c r="DT30" i="1"/>
  <c r="DS30" i="1" s="1"/>
  <c r="DU30" i="1"/>
  <c r="DV30" i="1"/>
  <c r="DR32" i="1"/>
  <c r="DT33" i="1"/>
  <c r="DS33" i="1" s="1"/>
  <c r="DU33" i="1"/>
  <c r="DV33" i="1"/>
  <c r="DT34" i="1"/>
  <c r="DS34" i="1" s="1"/>
  <c r="DU34" i="1"/>
  <c r="DV34" i="1"/>
  <c r="DR36" i="1"/>
  <c r="DT37" i="1"/>
  <c r="DS37" i="1" s="1"/>
  <c r="DU37" i="1"/>
  <c r="DV37" i="1"/>
  <c r="DT38" i="1"/>
  <c r="DS38" i="1" s="1"/>
  <c r="DU38" i="1"/>
  <c r="DV38" i="1"/>
  <c r="DR40" i="1"/>
  <c r="DT41" i="1"/>
  <c r="DS41" i="1" s="1"/>
  <c r="DU41" i="1"/>
  <c r="DV41" i="1"/>
  <c r="DT42" i="1"/>
  <c r="DS42" i="1" s="1"/>
  <c r="DU42" i="1"/>
  <c r="DV42" i="1"/>
  <c r="DR44" i="1"/>
  <c r="DT45" i="1"/>
  <c r="DS45" i="1" s="1"/>
  <c r="DU45" i="1"/>
  <c r="DV45" i="1"/>
  <c r="DT46" i="1"/>
  <c r="DS46" i="1" s="1"/>
  <c r="DU46" i="1"/>
  <c r="DV46" i="1"/>
  <c r="DR48" i="1"/>
  <c r="DT49" i="1"/>
  <c r="DU49" i="1"/>
  <c r="DV49" i="1"/>
  <c r="DT50" i="1"/>
  <c r="DU50" i="1"/>
  <c r="DV50" i="1"/>
  <c r="DJ2" i="2"/>
  <c r="CZ2" i="2"/>
  <c r="CP2" i="2"/>
  <c r="CF2" i="2"/>
  <c r="BV2" i="2"/>
  <c r="BL2" i="2"/>
  <c r="BB2" i="2"/>
  <c r="AR2" i="2"/>
  <c r="AH2" i="2"/>
  <c r="X2" i="2"/>
  <c r="N2" i="2"/>
  <c r="DK6" i="2"/>
  <c r="DJ6" i="2"/>
  <c r="DI6" i="2"/>
  <c r="DH6" i="2"/>
  <c r="DK5" i="2"/>
  <c r="DJ5" i="2"/>
  <c r="DI5" i="2"/>
  <c r="DH5" i="2"/>
  <c r="DO2" i="2"/>
  <c r="DI2" i="2"/>
  <c r="DA6" i="2"/>
  <c r="CZ6" i="2"/>
  <c r="CY6" i="2"/>
  <c r="CX6" i="2"/>
  <c r="DA5" i="2"/>
  <c r="DA7" i="2" s="1"/>
  <c r="CZ5" i="2"/>
  <c r="CY5" i="2"/>
  <c r="CX5" i="2"/>
  <c r="CY2" i="2"/>
  <c r="CQ6" i="2"/>
  <c r="CP6" i="2"/>
  <c r="CO6" i="2"/>
  <c r="CN6" i="2"/>
  <c r="CQ5" i="2"/>
  <c r="CP5" i="2"/>
  <c r="CO5" i="2"/>
  <c r="CN5" i="2"/>
  <c r="CO2" i="2"/>
  <c r="CG6" i="2"/>
  <c r="CF6" i="2"/>
  <c r="CE6" i="2"/>
  <c r="CD6" i="2"/>
  <c r="CG5" i="2"/>
  <c r="CF5" i="2"/>
  <c r="CE5" i="2"/>
  <c r="CD5" i="2"/>
  <c r="CE2" i="2"/>
  <c r="BW6" i="2"/>
  <c r="BV6" i="2"/>
  <c r="BU6" i="2"/>
  <c r="BT6" i="2"/>
  <c r="BW5" i="2"/>
  <c r="BV5" i="2"/>
  <c r="BU5" i="2"/>
  <c r="BT5" i="2"/>
  <c r="BU2" i="2"/>
  <c r="BM6" i="2"/>
  <c r="BL6" i="2"/>
  <c r="BK6" i="2"/>
  <c r="BJ6" i="2"/>
  <c r="BM5" i="2"/>
  <c r="BL5" i="2"/>
  <c r="BK5" i="2"/>
  <c r="BJ5" i="2"/>
  <c r="BK2" i="2"/>
  <c r="BC6" i="2"/>
  <c r="BB6" i="2"/>
  <c r="BA6" i="2"/>
  <c r="AZ6" i="2"/>
  <c r="BC5" i="2"/>
  <c r="BC7" i="2" s="1"/>
  <c r="BB5" i="2"/>
  <c r="BA5" i="2"/>
  <c r="AZ5" i="2"/>
  <c r="BA2" i="2"/>
  <c r="AS6" i="2"/>
  <c r="AR6" i="2"/>
  <c r="AQ6" i="2"/>
  <c r="AP6" i="2"/>
  <c r="AS5" i="2"/>
  <c r="AR5" i="2"/>
  <c r="AQ5" i="2"/>
  <c r="AP5" i="2"/>
  <c r="AQ2" i="2"/>
  <c r="AI6" i="2"/>
  <c r="AH6" i="2"/>
  <c r="AG6" i="2"/>
  <c r="AF6" i="2"/>
  <c r="AI5" i="2"/>
  <c r="AH5" i="2"/>
  <c r="AG5" i="2"/>
  <c r="AF5" i="2"/>
  <c r="AG2" i="2"/>
  <c r="Y6" i="2"/>
  <c r="X6" i="2"/>
  <c r="W6" i="2"/>
  <c r="V6" i="2"/>
  <c r="Y5" i="2"/>
  <c r="X5" i="2"/>
  <c r="W5" i="2"/>
  <c r="V5" i="2"/>
  <c r="W2" i="2"/>
  <c r="O6" i="2"/>
  <c r="N6" i="2"/>
  <c r="M6" i="2"/>
  <c r="L6" i="2"/>
  <c r="O5" i="2"/>
  <c r="N5" i="2"/>
  <c r="M5" i="2"/>
  <c r="L5" i="2"/>
  <c r="S2" i="2"/>
  <c r="M2" i="2"/>
  <c r="F51" i="1"/>
  <c r="E51" i="1"/>
  <c r="D51" i="1"/>
  <c r="C51" i="1"/>
  <c r="F47" i="1"/>
  <c r="E47" i="1"/>
  <c r="D47" i="1"/>
  <c r="C47" i="1"/>
  <c r="DU56" i="1" l="1"/>
  <c r="DU57" i="1"/>
  <c r="DS5" i="1"/>
  <c r="DT56" i="1"/>
  <c r="DS6" i="1"/>
  <c r="DT57" i="1"/>
  <c r="DV57" i="1"/>
  <c r="DV56" i="1"/>
  <c r="DS50" i="1"/>
  <c r="DS49" i="1"/>
  <c r="DS21" i="1"/>
  <c r="CQ7" i="2"/>
  <c r="BM7" i="2"/>
  <c r="AS7" i="2"/>
  <c r="DU23" i="1"/>
  <c r="DU15" i="1"/>
  <c r="DU47" i="1"/>
  <c r="DU43" i="1"/>
  <c r="CG7" i="2"/>
  <c r="BW7" i="2"/>
  <c r="DU31" i="1"/>
  <c r="DU19" i="1"/>
  <c r="DU35" i="1"/>
  <c r="DT23" i="1"/>
  <c r="AI7" i="2"/>
  <c r="DU11" i="1"/>
  <c r="DV39" i="1"/>
  <c r="DV31" i="1"/>
  <c r="DU39" i="1"/>
  <c r="DT31" i="1"/>
  <c r="DV35" i="1"/>
  <c r="DV15" i="1"/>
  <c r="DS11" i="1"/>
  <c r="DV11" i="1"/>
  <c r="DV7" i="1"/>
  <c r="DT7" i="1"/>
  <c r="DS31" i="1"/>
  <c r="DT51" i="1"/>
  <c r="DV51" i="1"/>
  <c r="DV47" i="1"/>
  <c r="DT43" i="1"/>
  <c r="DT39" i="1"/>
  <c r="DU27" i="1"/>
  <c r="DT47" i="1"/>
  <c r="DT27" i="1"/>
  <c r="DV23" i="1"/>
  <c r="DU51" i="1"/>
  <c r="DV19" i="1"/>
  <c r="DS15" i="1"/>
  <c r="DS43" i="1"/>
  <c r="DS39" i="1"/>
  <c r="DT19" i="1"/>
  <c r="DT15" i="1"/>
  <c r="DU7" i="1"/>
  <c r="DS47" i="1"/>
  <c r="DV27" i="1"/>
  <c r="DV43" i="1"/>
  <c r="DS19" i="1"/>
  <c r="DT11" i="1"/>
  <c r="DS27" i="1"/>
  <c r="DS35" i="1"/>
  <c r="DT35" i="1"/>
  <c r="DJ7" i="2"/>
  <c r="DE2" i="2"/>
  <c r="CZ7" i="2"/>
  <c r="CU2" i="2"/>
  <c r="CP7" i="2"/>
  <c r="CK2" i="2"/>
  <c r="CF7" i="2"/>
  <c r="BV7" i="2"/>
  <c r="CA2" i="2"/>
  <c r="BQ2" i="2"/>
  <c r="BL7" i="2"/>
  <c r="BG2" i="2"/>
  <c r="BB7" i="2"/>
  <c r="AW2" i="2"/>
  <c r="AR7" i="2"/>
  <c r="AH7" i="2"/>
  <c r="AM2" i="2"/>
  <c r="AC2" i="2"/>
  <c r="X7" i="2"/>
  <c r="Y7" i="2"/>
  <c r="O7" i="2"/>
  <c r="DK7" i="2"/>
  <c r="DI7" i="2"/>
  <c r="DH7" i="2"/>
  <c r="CY7" i="2"/>
  <c r="CX7" i="2"/>
  <c r="CO7" i="2"/>
  <c r="CN7" i="2"/>
  <c r="CE7" i="2"/>
  <c r="CD7" i="2"/>
  <c r="BU7" i="2"/>
  <c r="BT7" i="2"/>
  <c r="BK7" i="2"/>
  <c r="BJ7" i="2"/>
  <c r="BA7" i="2"/>
  <c r="AZ7" i="2"/>
  <c r="AQ7" i="2"/>
  <c r="AP7" i="2"/>
  <c r="AG7" i="2"/>
  <c r="AF7" i="2"/>
  <c r="W7" i="2"/>
  <c r="V7" i="2"/>
  <c r="N7" i="2"/>
  <c r="M7" i="2"/>
  <c r="L7" i="2"/>
  <c r="DV58" i="1" l="1"/>
  <c r="DS7" i="1"/>
  <c r="DT58" i="1"/>
  <c r="DS56" i="1"/>
  <c r="DS57" i="1"/>
  <c r="DU58" i="1"/>
  <c r="DS51" i="1"/>
  <c r="DS23" i="1"/>
  <c r="DS58" i="1" l="1"/>
  <c r="F43" i="1"/>
  <c r="E43" i="1"/>
  <c r="D43" i="1"/>
  <c r="C43" i="1"/>
  <c r="F39" i="1"/>
  <c r="E39" i="1"/>
  <c r="D39" i="1"/>
  <c r="C39" i="1"/>
  <c r="F35" i="1"/>
  <c r="E35" i="1"/>
  <c r="D35" i="1"/>
  <c r="F31" i="1"/>
  <c r="E31" i="1"/>
  <c r="D31" i="1"/>
  <c r="F27" i="1"/>
  <c r="E27" i="1"/>
  <c r="D27" i="1"/>
  <c r="F23" i="1"/>
  <c r="E23" i="1"/>
  <c r="D23" i="1"/>
  <c r="F19" i="1"/>
  <c r="E19" i="1"/>
  <c r="D19" i="1"/>
  <c r="F15" i="1"/>
  <c r="E15" i="1"/>
  <c r="D15" i="1"/>
  <c r="F11" i="1"/>
  <c r="E11" i="1"/>
  <c r="D11" i="1"/>
  <c r="F7" i="1"/>
  <c r="E7" i="1"/>
  <c r="D7" i="1"/>
  <c r="E6" i="2" l="1"/>
  <c r="D6" i="2"/>
  <c r="C6" i="2"/>
  <c r="B6" i="2"/>
  <c r="F53" i="1"/>
  <c r="E53" i="1"/>
  <c r="C2" i="2" s="1"/>
  <c r="I2" i="2" l="1"/>
  <c r="E5" i="2"/>
  <c r="D5" i="2"/>
  <c r="C5" i="2"/>
  <c r="B5" i="2"/>
  <c r="DS6" i="2"/>
  <c r="DU5" i="2"/>
  <c r="DU6" i="2"/>
  <c r="DT5" i="2"/>
  <c r="DR6" i="2"/>
  <c r="DT6" i="2"/>
  <c r="DS5" i="2" l="1"/>
  <c r="DS7" i="2" s="1"/>
  <c r="DU7" i="2"/>
  <c r="DT7" i="2"/>
  <c r="DR5" i="2" l="1"/>
  <c r="DR7" i="2" l="1"/>
  <c r="D2" i="2" l="1"/>
  <c r="D7" i="2" l="1"/>
  <c r="C7" i="2"/>
  <c r="E7" i="2"/>
  <c r="DY1" i="1" l="1"/>
  <c r="DT2" i="2" s="1"/>
  <c r="B7" i="2"/>
  <c r="DV53" i="1" l="1"/>
</calcChain>
</file>

<file path=xl/sharedStrings.xml><?xml version="1.0" encoding="utf-8"?>
<sst xmlns="http://schemas.openxmlformats.org/spreadsheetml/2006/main" count="1448" uniqueCount="33">
  <si>
    <t>رعاية الأمومة</t>
  </si>
  <si>
    <t>شهر</t>
  </si>
  <si>
    <t>العدد</t>
  </si>
  <si>
    <t>إجمالي الحوامل المسجلات</t>
  </si>
  <si>
    <t>الحوامل الجدد</t>
  </si>
  <si>
    <t>المعرضات للخطر</t>
  </si>
  <si>
    <t>زيارات الحوامل خلال الشهر</t>
  </si>
  <si>
    <t>وفيات الأمهات خلال الشهر</t>
  </si>
  <si>
    <t>الجنسية</t>
  </si>
  <si>
    <t>الإســم</t>
  </si>
  <si>
    <t>العمر</t>
  </si>
  <si>
    <t>سبب الوفاة</t>
  </si>
  <si>
    <t>عدد النساء في سن الإنجاب</t>
  </si>
  <si>
    <t>المتزوجات</t>
  </si>
  <si>
    <t>سعودي</t>
  </si>
  <si>
    <t>غ.سعودي</t>
  </si>
  <si>
    <t>المجموع</t>
  </si>
  <si>
    <t xml:space="preserve">خدمات رعاية الأمومة </t>
  </si>
  <si>
    <t>عام</t>
  </si>
  <si>
    <t>زيارات الحوامل خلال العام</t>
  </si>
  <si>
    <t>هـ</t>
  </si>
  <si>
    <t>محمد الزهراني</t>
  </si>
  <si>
    <t>الربيع والتوفيق</t>
  </si>
  <si>
    <t>الجامعة</t>
  </si>
  <si>
    <t>السليمانية</t>
  </si>
  <si>
    <t>المطار القديم</t>
  </si>
  <si>
    <t>الروابي</t>
  </si>
  <si>
    <t>قويزة</t>
  </si>
  <si>
    <t>الرغامة</t>
  </si>
  <si>
    <t>إجمالي مراكز شرق جدة</t>
  </si>
  <si>
    <t>إجمالي مراكز شرق جدة لشهر</t>
  </si>
  <si>
    <t>ادارة الاحصاء</t>
  </si>
  <si>
    <t>الواحة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</si>
</sst>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  <charset val="178"/>
    </font>
    <font>
      <b/>
      <sz val="10"/>
      <name val="Arial"/>
      <family val="2"/>
      <charset val="178"/>
    </font>
    <font>
      <b/>
      <sz val="10"/>
      <color indexed="10"/>
      <name val="Arial"/>
      <family val="2"/>
      <charset val="178"/>
    </font>
    <font>
      <b/>
      <sz val="8"/>
      <name val="Arial"/>
      <family val="2"/>
      <charset val="178"/>
    </font>
    <font>
      <sz val="8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7" xfId="0" applyFont="1" applyFill="1" applyBorder="1" applyAlignment="1">
      <alignment horizontal="center" vertical="center" readingOrder="2"/>
    </xf>
    <xf numFmtId="0" fontId="1" fillId="2" borderId="8" xfId="0" applyFont="1" applyFill="1" applyBorder="1" applyAlignment="1">
      <alignment horizontal="center" vertical="center" readingOrder="2"/>
    </xf>
    <xf numFmtId="0" fontId="1" fillId="2" borderId="5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readingOrder="2"/>
    </xf>
    <xf numFmtId="0" fontId="1" fillId="2" borderId="9" xfId="0" applyFont="1" applyFill="1" applyBorder="1" applyAlignment="1">
      <alignment horizontal="center" vertical="center" readingOrder="2"/>
    </xf>
    <xf numFmtId="0" fontId="1" fillId="2" borderId="14" xfId="0" applyFont="1" applyFill="1" applyBorder="1" applyAlignment="1">
      <alignment horizontal="center" vertical="center" readingOrder="2"/>
    </xf>
    <xf numFmtId="0" fontId="1" fillId="2" borderId="15" xfId="0" applyFont="1" applyFill="1" applyBorder="1" applyAlignment="1">
      <alignment horizontal="center" vertical="center" readingOrder="2"/>
    </xf>
    <xf numFmtId="0" fontId="0" fillId="4" borderId="0" xfId="0" applyFill="1" applyAlignment="1">
      <alignment vertical="center" readingOrder="2"/>
    </xf>
    <xf numFmtId="0" fontId="0" fillId="0" borderId="0" xfId="0" applyAlignment="1">
      <alignment vertical="center" readingOrder="2"/>
    </xf>
    <xf numFmtId="0" fontId="0" fillId="2" borderId="0" xfId="0" applyFill="1" applyAlignment="1">
      <alignment vertical="center" readingOrder="2"/>
    </xf>
    <xf numFmtId="0" fontId="9" fillId="2" borderId="0" xfId="0" applyFont="1" applyFill="1" applyAlignment="1">
      <alignment horizontal="center" vertical="center" readingOrder="2"/>
    </xf>
    <xf numFmtId="0" fontId="7" fillId="2" borderId="0" xfId="0" applyFont="1" applyFill="1" applyAlignment="1">
      <alignment horizontal="center" vertical="center" readingOrder="2"/>
    </xf>
    <xf numFmtId="0" fontId="2" fillId="2" borderId="0" xfId="0" applyFont="1" applyFill="1" applyAlignment="1">
      <alignment vertical="center" readingOrder="2"/>
    </xf>
    <xf numFmtId="0" fontId="1" fillId="2" borderId="2" xfId="0" applyFont="1" applyFill="1" applyBorder="1" applyAlignment="1">
      <alignment vertical="center" readingOrder="2"/>
    </xf>
    <xf numFmtId="0" fontId="1" fillId="2" borderId="12" xfId="0" applyFont="1" applyFill="1" applyBorder="1" applyAlignment="1">
      <alignment vertical="center" readingOrder="2"/>
    </xf>
    <xf numFmtId="0" fontId="1" fillId="2" borderId="7" xfId="0" applyFont="1" applyFill="1" applyBorder="1" applyAlignment="1">
      <alignment vertical="center" readingOrder="2"/>
    </xf>
    <xf numFmtId="0" fontId="1" fillId="2" borderId="4" xfId="0" applyFont="1" applyFill="1" applyBorder="1" applyAlignment="1">
      <alignment vertical="center" readingOrder="2"/>
    </xf>
    <xf numFmtId="0" fontId="1" fillId="2" borderId="13" xfId="0" applyFont="1" applyFill="1" applyBorder="1" applyAlignment="1">
      <alignment vertical="center" readingOrder="2"/>
    </xf>
    <xf numFmtId="0" fontId="1" fillId="2" borderId="8" xfId="0" applyFont="1" applyFill="1" applyBorder="1" applyAlignment="1">
      <alignment vertical="center" readingOrder="2"/>
    </xf>
    <xf numFmtId="0" fontId="2" fillId="2" borderId="6" xfId="0" applyFont="1" applyFill="1" applyBorder="1" applyAlignment="1">
      <alignment vertical="center" readingOrder="2"/>
    </xf>
    <xf numFmtId="0" fontId="2" fillId="2" borderId="10" xfId="0" applyFont="1" applyFill="1" applyBorder="1" applyAlignment="1">
      <alignment vertical="center" readingOrder="2"/>
    </xf>
    <xf numFmtId="0" fontId="6" fillId="4" borderId="16" xfId="0" applyFont="1" applyFill="1" applyBorder="1" applyAlignment="1">
      <alignment vertical="center" readingOrder="2"/>
    </xf>
    <xf numFmtId="0" fontId="0" fillId="4" borderId="17" xfId="0" applyFill="1" applyBorder="1" applyAlignment="1">
      <alignment vertical="center" readingOrder="2"/>
    </xf>
    <xf numFmtId="0" fontId="0" fillId="4" borderId="12" xfId="0" applyFill="1" applyBorder="1" applyAlignment="1">
      <alignment vertical="center" readingOrder="2"/>
    </xf>
    <xf numFmtId="0" fontId="5" fillId="2" borderId="18" xfId="0" applyFont="1" applyFill="1" applyBorder="1" applyAlignment="1">
      <alignment vertical="center" readingOrder="2"/>
    </xf>
    <xf numFmtId="0" fontId="0" fillId="2" borderId="18" xfId="0" applyFill="1" applyBorder="1" applyAlignment="1">
      <alignment vertical="center" readingOrder="2"/>
    </xf>
    <xf numFmtId="0" fontId="0" fillId="2" borderId="13" xfId="0" applyFill="1" applyBorder="1" applyAlignment="1">
      <alignment vertical="center" readingOrder="2"/>
    </xf>
    <xf numFmtId="1" fontId="1" fillId="2" borderId="5" xfId="0" applyNumberFormat="1" applyFont="1" applyFill="1" applyBorder="1" applyAlignment="1">
      <alignment horizontal="center" vertical="center" readingOrder="2"/>
    </xf>
    <xf numFmtId="0" fontId="8" fillId="2" borderId="9" xfId="0" applyFont="1" applyFill="1" applyBorder="1" applyAlignment="1">
      <alignment vertical="center" readingOrder="2"/>
    </xf>
    <xf numFmtId="0" fontId="8" fillId="2" borderId="19" xfId="0" applyFont="1" applyFill="1" applyBorder="1" applyAlignment="1">
      <alignment vertical="center" readingOrder="2"/>
    </xf>
    <xf numFmtId="0" fontId="8" fillId="2" borderId="10" xfId="0" applyFont="1" applyFill="1" applyBorder="1" applyAlignment="1">
      <alignment horizontal="left" vertical="center" readingOrder="2"/>
    </xf>
    <xf numFmtId="0" fontId="8" fillId="2" borderId="0" xfId="0" applyFont="1" applyFill="1" applyAlignment="1">
      <alignment vertical="center" readingOrder="2"/>
    </xf>
    <xf numFmtId="0" fontId="8" fillId="0" borderId="0" xfId="0" applyFont="1" applyAlignment="1">
      <alignment vertical="center" readingOrder="2"/>
    </xf>
    <xf numFmtId="1" fontId="11" fillId="0" borderId="1" xfId="0" applyNumberFormat="1" applyFont="1" applyBorder="1" applyAlignment="1">
      <alignment vertical="center" readingOrder="2"/>
    </xf>
    <xf numFmtId="1" fontId="11" fillId="0" borderId="3" xfId="0" applyNumberFormat="1" applyFont="1" applyBorder="1" applyAlignment="1">
      <alignment vertical="center" readingOrder="2"/>
    </xf>
    <xf numFmtId="1" fontId="10" fillId="0" borderId="6" xfId="0" applyNumberFormat="1" applyFont="1" applyBorder="1" applyAlignment="1">
      <alignment vertical="center" readingOrder="2"/>
    </xf>
    <xf numFmtId="1" fontId="11" fillId="6" borderId="0" xfId="0" applyNumberFormat="1" applyFont="1" applyFill="1" applyAlignment="1">
      <alignment readingOrder="2"/>
    </xf>
    <xf numFmtId="1" fontId="10" fillId="6" borderId="0" xfId="0" applyNumberFormat="1" applyFont="1" applyFill="1" applyAlignment="1">
      <alignment readingOrder="2"/>
    </xf>
    <xf numFmtId="1" fontId="11" fillId="6" borderId="0" xfId="0" applyNumberFormat="1" applyFont="1" applyFill="1" applyAlignment="1">
      <alignment horizontal="center" vertical="center" wrapText="1" readingOrder="2"/>
    </xf>
    <xf numFmtId="1" fontId="11" fillId="0" borderId="0" xfId="0" applyNumberFormat="1" applyFont="1" applyAlignment="1">
      <alignment readingOrder="2"/>
    </xf>
    <xf numFmtId="1" fontId="10" fillId="0" borderId="0" xfId="0" applyNumberFormat="1" applyFont="1" applyAlignment="1">
      <alignment horizontal="center" readingOrder="2"/>
    </xf>
    <xf numFmtId="1" fontId="10" fillId="2" borderId="0" xfId="0" applyNumberFormat="1" applyFont="1" applyFill="1" applyAlignment="1">
      <alignment horizontal="center" readingOrder="2"/>
    </xf>
    <xf numFmtId="1" fontId="11" fillId="0" borderId="1" xfId="0" applyNumberFormat="1" applyFont="1" applyBorder="1" applyAlignment="1">
      <alignment readingOrder="2"/>
    </xf>
    <xf numFmtId="1" fontId="11" fillId="2" borderId="0" xfId="0" applyNumberFormat="1" applyFont="1" applyFill="1" applyAlignment="1">
      <alignment readingOrder="2"/>
    </xf>
    <xf numFmtId="1" fontId="10" fillId="0" borderId="21" xfId="0" applyNumberFormat="1" applyFont="1" applyBorder="1" applyAlignment="1">
      <alignment horizontal="center" readingOrder="2"/>
    </xf>
    <xf numFmtId="1" fontId="11" fillId="8" borderId="0" xfId="0" applyNumberFormat="1" applyFont="1" applyFill="1" applyAlignment="1">
      <alignment readingOrder="2"/>
    </xf>
    <xf numFmtId="1" fontId="11" fillId="0" borderId="7" xfId="0" applyNumberFormat="1" applyFont="1" applyBorder="1" applyAlignment="1">
      <alignment readingOrder="2"/>
    </xf>
    <xf numFmtId="1" fontId="11" fillId="8" borderId="21" xfId="0" applyNumberFormat="1" applyFont="1" applyFill="1" applyBorder="1" applyAlignment="1">
      <alignment readingOrder="2"/>
    </xf>
    <xf numFmtId="0" fontId="13" fillId="0" borderId="5" xfId="0" applyFont="1" applyBorder="1" applyAlignment="1">
      <alignment horizontal="center" vertical="center" readingOrder="2"/>
    </xf>
    <xf numFmtId="0" fontId="1" fillId="2" borderId="26" xfId="0" applyFont="1" applyFill="1" applyBorder="1" applyAlignment="1">
      <alignment vertical="center" readingOrder="2"/>
    </xf>
    <xf numFmtId="0" fontId="1" fillId="2" borderId="27" xfId="0" applyFont="1" applyFill="1" applyBorder="1" applyAlignment="1">
      <alignment vertical="center" readingOrder="2"/>
    </xf>
    <xf numFmtId="0" fontId="1" fillId="2" borderId="28" xfId="0" applyFont="1" applyFill="1" applyBorder="1" applyAlignment="1">
      <alignment vertical="center" readingOrder="2"/>
    </xf>
    <xf numFmtId="0" fontId="1" fillId="2" borderId="29" xfId="0" applyFont="1" applyFill="1" applyBorder="1" applyAlignment="1">
      <alignment vertical="center" readingOrder="2"/>
    </xf>
    <xf numFmtId="0" fontId="1" fillId="2" borderId="30" xfId="0" applyFont="1" applyFill="1" applyBorder="1" applyAlignment="1">
      <alignment vertical="center" readingOrder="2"/>
    </xf>
    <xf numFmtId="0" fontId="1" fillId="2" borderId="31" xfId="0" applyFont="1" applyFill="1" applyBorder="1" applyAlignment="1">
      <alignment vertical="center" readingOrder="2"/>
    </xf>
    <xf numFmtId="1" fontId="10" fillId="0" borderId="0" xfId="0" applyNumberFormat="1" applyFont="1" applyAlignment="1">
      <alignment readingOrder="2"/>
    </xf>
    <xf numFmtId="1" fontId="11" fillId="0" borderId="0" xfId="0" applyNumberFormat="1" applyFont="1" applyAlignment="1">
      <alignment horizontal="left" readingOrder="2"/>
    </xf>
    <xf numFmtId="1" fontId="11" fillId="0" borderId="0" xfId="0" applyNumberFormat="1" applyFont="1" applyAlignment="1">
      <alignment horizontal="center" readingOrder="2"/>
    </xf>
    <xf numFmtId="1" fontId="12" fillId="6" borderId="0" xfId="0" applyNumberFormat="1" applyFont="1" applyFill="1" applyAlignment="1">
      <alignment readingOrder="2"/>
    </xf>
    <xf numFmtId="1" fontId="11" fillId="6" borderId="0" xfId="0" applyNumberFormat="1" applyFont="1" applyFill="1" applyAlignment="1">
      <alignment horizontal="center" readingOrder="2"/>
    </xf>
    <xf numFmtId="1" fontId="11" fillId="2" borderId="7" xfId="0" applyNumberFormat="1" applyFont="1" applyFill="1" applyBorder="1" applyAlignment="1">
      <alignment horizontal="center" readingOrder="2"/>
    </xf>
    <xf numFmtId="1" fontId="11" fillId="2" borderId="6" xfId="0" applyNumberFormat="1" applyFont="1" applyFill="1" applyBorder="1" applyAlignment="1">
      <alignment horizontal="center" readingOrder="2"/>
    </xf>
    <xf numFmtId="1" fontId="10" fillId="0" borderId="0" xfId="0" applyNumberFormat="1" applyFont="1" applyAlignment="1">
      <alignment horizontal="right" readingOrder="2"/>
    </xf>
    <xf numFmtId="1" fontId="11" fillId="0" borderId="0" xfId="0" applyNumberFormat="1" applyFont="1" applyAlignment="1">
      <alignment horizontal="right" readingOrder="2"/>
    </xf>
    <xf numFmtId="1" fontId="11" fillId="2" borderId="1" xfId="0" applyNumberFormat="1" applyFont="1" applyFill="1" applyBorder="1" applyAlignment="1">
      <alignment horizontal="center" readingOrder="2"/>
    </xf>
    <xf numFmtId="1" fontId="11" fillId="0" borderId="2" xfId="0" applyNumberFormat="1" applyFont="1" applyBorder="1" applyAlignment="1">
      <alignment horizontal="right" readingOrder="2"/>
    </xf>
    <xf numFmtId="1" fontId="11" fillId="2" borderId="1" xfId="0" applyNumberFormat="1" applyFont="1" applyFill="1" applyBorder="1" applyAlignment="1">
      <alignment horizontal="center" vertical="center" readingOrder="2"/>
    </xf>
    <xf numFmtId="1" fontId="11" fillId="0" borderId="1" xfId="0" applyNumberFormat="1" applyFont="1" applyBorder="1" applyAlignment="1">
      <alignment horizontal="right" vertical="center" readingOrder="2"/>
    </xf>
    <xf numFmtId="1" fontId="11" fillId="0" borderId="24" xfId="0" applyNumberFormat="1" applyFont="1" applyBorder="1" applyAlignment="1">
      <alignment vertical="center" readingOrder="2"/>
    </xf>
    <xf numFmtId="1" fontId="11" fillId="0" borderId="2" xfId="0" applyNumberFormat="1" applyFont="1" applyBorder="1" applyAlignment="1">
      <alignment vertical="center" readingOrder="2"/>
    </xf>
    <xf numFmtId="1" fontId="11" fillId="2" borderId="3" xfId="0" applyNumberFormat="1" applyFont="1" applyFill="1" applyBorder="1" applyAlignment="1">
      <alignment horizontal="center" readingOrder="2"/>
    </xf>
    <xf numFmtId="1" fontId="11" fillId="0" borderId="4" xfId="0" applyNumberFormat="1" applyFont="1" applyBorder="1" applyAlignment="1">
      <alignment horizontal="right" readingOrder="2"/>
    </xf>
    <xf numFmtId="1" fontId="11" fillId="0" borderId="3" xfId="0" applyNumberFormat="1" applyFont="1" applyBorder="1" applyAlignment="1">
      <alignment readingOrder="2"/>
    </xf>
    <xf numFmtId="1" fontId="11" fillId="2" borderId="3" xfId="0" applyNumberFormat="1" applyFont="1" applyFill="1" applyBorder="1" applyAlignment="1">
      <alignment horizontal="center" vertical="center" readingOrder="2"/>
    </xf>
    <xf numFmtId="1" fontId="11" fillId="0" borderId="3" xfId="0" applyNumberFormat="1" applyFont="1" applyBorder="1" applyAlignment="1">
      <alignment horizontal="right" vertical="center" readingOrder="2"/>
    </xf>
    <xf numFmtId="1" fontId="11" fillId="0" borderId="25" xfId="0" applyNumberFormat="1" applyFont="1" applyBorder="1" applyAlignment="1">
      <alignment vertical="center" readingOrder="2"/>
    </xf>
    <xf numFmtId="1" fontId="11" fillId="0" borderId="4" xfId="0" applyNumberFormat="1" applyFont="1" applyBorder="1" applyAlignment="1">
      <alignment vertical="center" readingOrder="2"/>
    </xf>
    <xf numFmtId="1" fontId="11" fillId="3" borderId="5" xfId="0" applyNumberFormat="1" applyFont="1" applyFill="1" applyBorder="1" applyAlignment="1">
      <alignment horizontal="center" readingOrder="2"/>
    </xf>
    <xf numFmtId="1" fontId="10" fillId="3" borderId="6" xfId="0" applyNumberFormat="1" applyFont="1" applyFill="1" applyBorder="1" applyAlignment="1">
      <alignment readingOrder="2"/>
    </xf>
    <xf numFmtId="1" fontId="11" fillId="2" borderId="5" xfId="0" applyNumberFormat="1" applyFont="1" applyFill="1" applyBorder="1" applyAlignment="1">
      <alignment horizontal="center" vertical="center" readingOrder="2"/>
    </xf>
    <xf numFmtId="1" fontId="10" fillId="0" borderId="9" xfId="0" applyNumberFormat="1" applyFont="1" applyBorder="1" applyAlignment="1">
      <alignment vertical="center" readingOrder="2"/>
    </xf>
    <xf numFmtId="1" fontId="10" fillId="0" borderId="10" xfId="0" applyNumberFormat="1" applyFont="1" applyBorder="1" applyAlignment="1">
      <alignment vertical="center" readingOrder="2"/>
    </xf>
    <xf numFmtId="1" fontId="11" fillId="2" borderId="0" xfId="0" applyNumberFormat="1" applyFont="1" applyFill="1" applyAlignment="1">
      <alignment horizontal="center" readingOrder="2"/>
    </xf>
    <xf numFmtId="1" fontId="10" fillId="2" borderId="0" xfId="0" applyNumberFormat="1" applyFont="1" applyFill="1" applyAlignment="1">
      <alignment horizontal="right" readingOrder="2"/>
    </xf>
    <xf numFmtId="1" fontId="11" fillId="2" borderId="0" xfId="0" applyNumberFormat="1" applyFont="1" applyFill="1" applyAlignment="1">
      <alignment horizontal="right" readingOrder="2"/>
    </xf>
    <xf numFmtId="1" fontId="10" fillId="0" borderId="20" xfId="0" applyNumberFormat="1" applyFont="1" applyBorder="1" applyAlignment="1">
      <alignment readingOrder="2"/>
    </xf>
    <xf numFmtId="1" fontId="11" fillId="0" borderId="21" xfId="0" applyNumberFormat="1" applyFont="1" applyBorder="1" applyAlignment="1">
      <alignment readingOrder="2"/>
    </xf>
    <xf numFmtId="1" fontId="11" fillId="0" borderId="21" xfId="0" applyNumberFormat="1" applyFont="1" applyBorder="1" applyAlignment="1">
      <alignment horizontal="center" readingOrder="2"/>
    </xf>
    <xf numFmtId="1" fontId="11" fillId="2" borderId="14" xfId="0" applyNumberFormat="1" applyFont="1" applyFill="1" applyBorder="1" applyAlignment="1">
      <alignment horizontal="center" readingOrder="2"/>
    </xf>
    <xf numFmtId="1" fontId="11" fillId="2" borderId="15" xfId="0" applyNumberFormat="1" applyFont="1" applyFill="1" applyBorder="1" applyAlignment="1">
      <alignment horizontal="center" readingOrder="2"/>
    </xf>
    <xf numFmtId="1" fontId="11" fillId="2" borderId="5" xfId="0" applyNumberFormat="1" applyFont="1" applyFill="1" applyBorder="1" applyAlignment="1">
      <alignment horizontal="center" readingOrder="2"/>
    </xf>
    <xf numFmtId="1" fontId="11" fillId="8" borderId="20" xfId="0" applyNumberFormat="1" applyFont="1" applyFill="1" applyBorder="1" applyAlignment="1">
      <alignment readingOrder="2"/>
    </xf>
    <xf numFmtId="1" fontId="11" fillId="8" borderId="22" xfId="0" applyNumberFormat="1" applyFont="1" applyFill="1" applyBorder="1" applyAlignment="1">
      <alignment readingOrder="2"/>
    </xf>
    <xf numFmtId="1" fontId="11" fillId="7" borderId="0" xfId="0" applyNumberFormat="1" applyFont="1" applyFill="1" applyAlignment="1">
      <alignment readingOrder="2"/>
    </xf>
    <xf numFmtId="1" fontId="11" fillId="5" borderId="0" xfId="0" applyNumberFormat="1" applyFont="1" applyFill="1" applyAlignment="1">
      <alignment readingOrder="2"/>
    </xf>
    <xf numFmtId="1" fontId="10" fillId="6" borderId="0" xfId="0" applyNumberFormat="1" applyFont="1" applyFill="1" applyAlignment="1">
      <alignment horizontal="center" readingOrder="2"/>
    </xf>
    <xf numFmtId="1" fontId="10" fillId="0" borderId="32" xfId="0" applyNumberFormat="1" applyFont="1" applyBorder="1" applyAlignment="1">
      <alignment readingOrder="2"/>
    </xf>
    <xf numFmtId="1" fontId="10" fillId="0" borderId="21" xfId="0" applyNumberFormat="1" applyFont="1" applyBorder="1" applyAlignment="1">
      <alignment readingOrder="2"/>
    </xf>
    <xf numFmtId="1" fontId="10" fillId="0" borderId="22" xfId="0" applyNumberFormat="1" applyFont="1" applyBorder="1" applyAlignment="1">
      <alignment readingOrder="2"/>
    </xf>
    <xf numFmtId="1" fontId="14" fillId="0" borderId="21" xfId="0" applyNumberFormat="1" applyFont="1" applyBorder="1" applyAlignment="1">
      <alignment readingOrder="2"/>
    </xf>
    <xf numFmtId="1" fontId="14" fillId="0" borderId="22" xfId="0" applyNumberFormat="1" applyFont="1" applyBorder="1" applyAlignment="1">
      <alignment readingOrder="2"/>
    </xf>
    <xf numFmtId="0" fontId="11" fillId="0" borderId="33" xfId="0" applyFont="1" applyBorder="1" applyAlignment="1">
      <alignment horizontal="right" wrapText="1" readingOrder="2"/>
    </xf>
    <xf numFmtId="0" fontId="11" fillId="0" borderId="34" xfId="0" applyFont="1" applyBorder="1" applyAlignment="1">
      <alignment horizontal="right" wrapText="1" readingOrder="2"/>
    </xf>
    <xf numFmtId="0" fontId="11" fillId="0" borderId="35" xfId="0" applyFont="1" applyBorder="1" applyAlignment="1">
      <alignment horizontal="right" wrapText="1" readingOrder="2"/>
    </xf>
    <xf numFmtId="0" fontId="11" fillId="0" borderId="36" xfId="0" applyFont="1" applyBorder="1" applyAlignment="1">
      <alignment horizontal="right" wrapText="1" readingOrder="2"/>
    </xf>
    <xf numFmtId="0" fontId="11" fillId="0" borderId="37" xfId="0" applyFont="1" applyBorder="1" applyAlignment="1">
      <alignment horizontal="right" wrapText="1" readingOrder="2"/>
    </xf>
    <xf numFmtId="0" fontId="11" fillId="0" borderId="38" xfId="0" applyFont="1" applyBorder="1" applyAlignment="1">
      <alignment horizontal="right" wrapText="1" readingOrder="2"/>
    </xf>
    <xf numFmtId="0" fontId="11" fillId="0" borderId="39" xfId="0" applyFont="1" applyBorder="1" applyAlignment="1">
      <alignment horizontal="right" wrapText="1" readingOrder="2"/>
    </xf>
    <xf numFmtId="0" fontId="11" fillId="0" borderId="40" xfId="0" applyFont="1" applyBorder="1" applyAlignment="1">
      <alignment horizontal="right" wrapText="1" readingOrder="2"/>
    </xf>
    <xf numFmtId="0" fontId="11" fillId="0" borderId="41" xfId="0" applyFont="1" applyBorder="1" applyAlignment="1">
      <alignment horizontal="right" wrapText="1" readingOrder="2"/>
    </xf>
    <xf numFmtId="0" fontId="11" fillId="0" borderId="42" xfId="0" applyFont="1" applyBorder="1" applyAlignment="1">
      <alignment horizontal="right" wrapText="1" readingOrder="2"/>
    </xf>
    <xf numFmtId="1" fontId="10" fillId="0" borderId="7" xfId="0" applyNumberFormat="1" applyFont="1" applyBorder="1" applyAlignment="1">
      <alignment horizontal="center" vertical="center" readingOrder="2"/>
    </xf>
    <xf numFmtId="1" fontId="10" fillId="0" borderId="8" xfId="0" applyNumberFormat="1" applyFont="1" applyBorder="1" applyAlignment="1">
      <alignment horizontal="center" vertical="center" readingOrder="2"/>
    </xf>
    <xf numFmtId="1" fontId="10" fillId="0" borderId="6" xfId="0" applyNumberFormat="1" applyFont="1" applyBorder="1" applyAlignment="1">
      <alignment horizontal="center" vertical="center" readingOrder="2"/>
    </xf>
    <xf numFmtId="1" fontId="14" fillId="0" borderId="7" xfId="0" applyNumberFormat="1" applyFont="1" applyBorder="1" applyAlignment="1">
      <alignment horizontal="center" vertical="center" readingOrder="2"/>
    </xf>
    <xf numFmtId="1" fontId="14" fillId="0" borderId="8" xfId="0" applyNumberFormat="1" applyFont="1" applyBorder="1" applyAlignment="1">
      <alignment horizontal="center" vertical="center" readingOrder="2"/>
    </xf>
    <xf numFmtId="1" fontId="14" fillId="0" borderId="6" xfId="0" applyNumberFormat="1" applyFont="1" applyBorder="1" applyAlignment="1">
      <alignment horizontal="center" vertical="center" readingOrder="2"/>
    </xf>
    <xf numFmtId="1" fontId="14" fillId="0" borderId="16" xfId="0" applyNumberFormat="1" applyFont="1" applyBorder="1" applyAlignment="1">
      <alignment horizontal="center" vertical="center" readingOrder="2"/>
    </xf>
    <xf numFmtId="1" fontId="14" fillId="0" borderId="17" xfId="0" applyNumberFormat="1" applyFont="1" applyBorder="1" applyAlignment="1">
      <alignment horizontal="center" vertical="center" readingOrder="2"/>
    </xf>
    <xf numFmtId="1" fontId="14" fillId="0" borderId="12" xfId="0" applyNumberFormat="1" applyFont="1" applyBorder="1" applyAlignment="1">
      <alignment horizontal="center" vertical="center" readingOrder="2"/>
    </xf>
    <xf numFmtId="1" fontId="14" fillId="0" borderId="9" xfId="0" applyNumberFormat="1" applyFont="1" applyBorder="1" applyAlignment="1">
      <alignment horizontal="center" vertical="center" readingOrder="2"/>
    </xf>
    <xf numFmtId="1" fontId="14" fillId="0" borderId="19" xfId="0" applyNumberFormat="1" applyFont="1" applyBorder="1" applyAlignment="1">
      <alignment horizontal="center" vertical="center" readingOrder="2"/>
    </xf>
    <xf numFmtId="1" fontId="14" fillId="0" borderId="10" xfId="0" applyNumberFormat="1" applyFont="1" applyBorder="1" applyAlignment="1">
      <alignment horizontal="center" vertical="center" readingOrder="2"/>
    </xf>
    <xf numFmtId="1" fontId="10" fillId="2" borderId="21" xfId="0" applyNumberFormat="1" applyFont="1" applyFill="1" applyBorder="1" applyAlignment="1">
      <alignment horizontal="right" readingOrder="2"/>
    </xf>
    <xf numFmtId="1" fontId="11" fillId="2" borderId="12" xfId="0" applyNumberFormat="1" applyFont="1" applyFill="1" applyBorder="1" applyAlignment="1">
      <alignment horizontal="center" wrapText="1" readingOrder="2"/>
    </xf>
    <xf numFmtId="1" fontId="11" fillId="0" borderId="10" xfId="0" applyNumberFormat="1" applyFont="1" applyBorder="1" applyAlignment="1">
      <alignment horizontal="center" wrapText="1" readingOrder="2"/>
    </xf>
    <xf numFmtId="1" fontId="11" fillId="2" borderId="7" xfId="0" applyNumberFormat="1" applyFont="1" applyFill="1" applyBorder="1" applyAlignment="1">
      <alignment horizontal="center" vertical="center" wrapText="1" readingOrder="2"/>
    </xf>
    <xf numFmtId="1" fontId="11" fillId="0" borderId="6" xfId="0" applyNumberFormat="1" applyFont="1" applyBorder="1" applyAlignment="1">
      <alignment horizontal="center" vertical="center" wrapText="1" readingOrder="2"/>
    </xf>
    <xf numFmtId="1" fontId="11" fillId="2" borderId="8" xfId="0" applyNumberFormat="1" applyFont="1" applyFill="1" applyBorder="1" applyAlignment="1">
      <alignment horizontal="center" vertical="center" wrapText="1" readingOrder="2"/>
    </xf>
    <xf numFmtId="1" fontId="11" fillId="2" borderId="7" xfId="0" applyNumberFormat="1" applyFont="1" applyFill="1" applyBorder="1" applyAlignment="1">
      <alignment horizontal="center" wrapText="1" readingOrder="2"/>
    </xf>
    <xf numFmtId="1" fontId="11" fillId="2" borderId="8" xfId="0" applyNumberFormat="1" applyFont="1" applyFill="1" applyBorder="1" applyAlignment="1">
      <alignment horizontal="center" wrapText="1" readingOrder="2"/>
    </xf>
    <xf numFmtId="1" fontId="11" fillId="0" borderId="6" xfId="0" applyNumberFormat="1" applyFont="1" applyBorder="1" applyAlignment="1">
      <alignment horizontal="center" wrapText="1" readingOrder="2"/>
    </xf>
    <xf numFmtId="1" fontId="11" fillId="2" borderId="6" xfId="0" applyNumberFormat="1" applyFont="1" applyFill="1" applyBorder="1" applyAlignment="1">
      <alignment horizontal="center" wrapText="1" readingOrder="2"/>
    </xf>
    <xf numFmtId="1" fontId="11" fillId="2" borderId="6" xfId="0" applyNumberFormat="1" applyFont="1" applyFill="1" applyBorder="1" applyAlignment="1">
      <alignment horizontal="center" vertical="center" wrapText="1" readingOrder="2"/>
    </xf>
    <xf numFmtId="0" fontId="1" fillId="2" borderId="20" xfId="0" applyFont="1" applyFill="1" applyBorder="1" applyAlignment="1">
      <alignment horizontal="center" vertical="center" readingOrder="2"/>
    </xf>
    <xf numFmtId="0" fontId="1" fillId="2" borderId="21" xfId="0" applyFont="1" applyFill="1" applyBorder="1" applyAlignment="1">
      <alignment horizontal="center" vertical="center" readingOrder="2"/>
    </xf>
    <xf numFmtId="0" fontId="1" fillId="2" borderId="22" xfId="0" applyFont="1" applyFill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center" vertical="center" wrapText="1" readingOrder="2"/>
    </xf>
    <xf numFmtId="0" fontId="4" fillId="2" borderId="23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4" fillId="2" borderId="1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H565"/>
  <sheetViews>
    <sheetView rightToLeft="1" tabSelected="1" topLeftCell="CH1" zoomScale="110" zoomScaleNormal="110" workbookViewId="0">
      <pane ySplit="3" topLeftCell="A17" activePane="bottomLeft" state="frozen"/>
      <selection activeCell="R1" sqref="R1"/>
      <selection pane="bottomLeft" activeCell="CR35" sqref="CR35"/>
    </sheetView>
  </sheetViews>
  <sheetFormatPr defaultColWidth="9.140625" defaultRowHeight="15" customHeight="1" x14ac:dyDescent="0.2"/>
  <cols>
    <col min="1" max="1" width="3" style="38" customWidth="1"/>
    <col min="2" max="2" width="10.28515625" style="41" customWidth="1"/>
    <col min="3" max="3" width="7.5703125" style="41" customWidth="1"/>
    <col min="4" max="5" width="8.28515625" style="41" customWidth="1"/>
    <col min="6" max="6" width="8" style="41" customWidth="1"/>
    <col min="7" max="7" width="17.42578125" style="41" customWidth="1"/>
    <col min="8" max="9" width="8.28515625" style="41" customWidth="1"/>
    <col min="10" max="10" width="7.85546875" style="41" customWidth="1"/>
    <col min="11" max="11" width="2.5703125" style="60" customWidth="1"/>
    <col min="12" max="12" width="10.28515625" style="41" customWidth="1"/>
    <col min="13" max="13" width="9" style="41" customWidth="1"/>
    <col min="14" max="15" width="8.28515625" style="41" customWidth="1"/>
    <col min="16" max="16" width="8" style="41" customWidth="1"/>
    <col min="17" max="17" width="17.42578125" style="41" customWidth="1"/>
    <col min="18" max="19" width="8.28515625" style="41" customWidth="1"/>
    <col min="20" max="20" width="7.85546875" style="41" customWidth="1"/>
    <col min="21" max="21" width="2.7109375" style="60" customWidth="1"/>
    <col min="22" max="22" width="10.28515625" style="41" customWidth="1"/>
    <col min="23" max="23" width="9" style="41" customWidth="1"/>
    <col min="24" max="25" width="8.28515625" style="41" customWidth="1"/>
    <col min="26" max="26" width="8" style="41" customWidth="1"/>
    <col min="27" max="27" width="17.42578125" style="41" customWidth="1"/>
    <col min="28" max="29" width="8.28515625" style="41" customWidth="1"/>
    <col min="30" max="30" width="8" style="41" customWidth="1"/>
    <col min="31" max="31" width="2.7109375" style="60" customWidth="1"/>
    <col min="32" max="32" width="10.28515625" style="41" customWidth="1"/>
    <col min="33" max="33" width="9" style="41" customWidth="1"/>
    <col min="34" max="35" width="8.28515625" style="41" customWidth="1"/>
    <col min="36" max="36" width="8" style="41" customWidth="1"/>
    <col min="37" max="37" width="17.42578125" style="41" customWidth="1"/>
    <col min="38" max="39" width="8.28515625" style="41" customWidth="1"/>
    <col min="40" max="40" width="7.85546875" style="41" customWidth="1"/>
    <col min="41" max="41" width="2.7109375" style="60" customWidth="1"/>
    <col min="42" max="42" width="10.28515625" style="41" customWidth="1"/>
    <col min="43" max="43" width="9" style="41" customWidth="1"/>
    <col min="44" max="45" width="8.28515625" style="41" customWidth="1"/>
    <col min="46" max="46" width="8" style="41" customWidth="1"/>
    <col min="47" max="47" width="17.42578125" style="41" customWidth="1"/>
    <col min="48" max="49" width="8.28515625" style="41" customWidth="1"/>
    <col min="50" max="50" width="7.85546875" style="41" customWidth="1"/>
    <col min="51" max="51" width="2.7109375" style="60" customWidth="1"/>
    <col min="52" max="52" width="10.28515625" style="41" customWidth="1"/>
    <col min="53" max="53" width="9" style="41" customWidth="1"/>
    <col min="54" max="55" width="8.28515625" style="41" customWidth="1"/>
    <col min="56" max="56" width="8" style="41" customWidth="1"/>
    <col min="57" max="57" width="17.42578125" style="41" customWidth="1"/>
    <col min="58" max="59" width="8.28515625" style="41" customWidth="1"/>
    <col min="60" max="60" width="7.85546875" style="41" customWidth="1"/>
    <col min="61" max="61" width="2.7109375" style="60" customWidth="1"/>
    <col min="62" max="62" width="10.28515625" style="41" customWidth="1"/>
    <col min="63" max="63" width="9" style="41" customWidth="1"/>
    <col min="64" max="65" width="8.28515625" style="41" customWidth="1"/>
    <col min="66" max="66" width="8" style="41" customWidth="1"/>
    <col min="67" max="67" width="17.42578125" style="41" customWidth="1"/>
    <col min="68" max="69" width="8.28515625" style="41" customWidth="1"/>
    <col min="70" max="70" width="7.85546875" style="41" customWidth="1"/>
    <col min="71" max="71" width="2.7109375" style="60" customWidth="1"/>
    <col min="72" max="72" width="10.28515625" style="41" customWidth="1"/>
    <col min="73" max="73" width="9" style="41" customWidth="1"/>
    <col min="74" max="75" width="8.28515625" style="41" customWidth="1"/>
    <col min="76" max="76" width="8" style="41" customWidth="1"/>
    <col min="77" max="77" width="17.42578125" style="41" customWidth="1"/>
    <col min="78" max="79" width="8.28515625" style="41" customWidth="1"/>
    <col min="80" max="80" width="7.85546875" style="41" customWidth="1"/>
    <col min="81" max="81" width="2.7109375" style="60" customWidth="1"/>
    <col min="82" max="82" width="10.28515625" style="41" customWidth="1"/>
    <col min="83" max="83" width="9" style="41" customWidth="1"/>
    <col min="84" max="85" width="8.28515625" style="41" customWidth="1"/>
    <col min="86" max="86" width="8" style="41" customWidth="1"/>
    <col min="87" max="87" width="17.42578125" style="41" customWidth="1"/>
    <col min="88" max="89" width="8.28515625" style="41" customWidth="1"/>
    <col min="90" max="90" width="7.85546875" style="41" customWidth="1"/>
    <col min="91" max="91" width="2.7109375" style="60" customWidth="1"/>
    <col min="92" max="92" width="10.28515625" style="41" customWidth="1"/>
    <col min="93" max="93" width="9" style="41" customWidth="1"/>
    <col min="94" max="95" width="8.28515625" style="41" customWidth="1"/>
    <col min="96" max="96" width="8" style="41" customWidth="1"/>
    <col min="97" max="97" width="17.42578125" style="41" customWidth="1"/>
    <col min="98" max="99" width="8.28515625" style="41" customWidth="1"/>
    <col min="100" max="100" width="7.85546875" style="41" customWidth="1"/>
    <col min="101" max="101" width="2.7109375" style="60" customWidth="1"/>
    <col min="102" max="102" width="10.28515625" style="41" customWidth="1"/>
    <col min="103" max="103" width="9" style="41" customWidth="1"/>
    <col min="104" max="105" width="8.28515625" style="41" customWidth="1"/>
    <col min="106" max="106" width="8" style="41" customWidth="1"/>
    <col min="107" max="107" width="17.42578125" style="41" customWidth="1"/>
    <col min="108" max="109" width="8.28515625" style="41" customWidth="1"/>
    <col min="110" max="110" width="7.85546875" style="41" customWidth="1"/>
    <col min="111" max="111" width="2.7109375" style="60" customWidth="1"/>
    <col min="112" max="112" width="10.28515625" style="41" customWidth="1"/>
    <col min="113" max="113" width="9" style="41" customWidth="1"/>
    <col min="114" max="115" width="8.28515625" style="41" customWidth="1"/>
    <col min="116" max="116" width="8" style="41" customWidth="1"/>
    <col min="117" max="117" width="17.42578125" style="41" customWidth="1"/>
    <col min="118" max="119" width="8.28515625" style="41" customWidth="1"/>
    <col min="120" max="120" width="7.85546875" style="41" customWidth="1"/>
    <col min="121" max="121" width="2.7109375" style="60" customWidth="1"/>
    <col min="122" max="122" width="10.28515625" style="41" customWidth="1"/>
    <col min="123" max="123" width="7.5703125" style="41" customWidth="1"/>
    <col min="124" max="125" width="7" style="41" customWidth="1"/>
    <col min="126" max="126" width="8" style="41" customWidth="1"/>
    <col min="127" max="127" width="16.140625" style="41" customWidth="1"/>
    <col min="128" max="129" width="8.28515625" style="41" customWidth="1"/>
    <col min="130" max="130" width="7.85546875" style="41" customWidth="1"/>
    <col min="131" max="131" width="2.7109375" style="60" customWidth="1"/>
    <col min="132" max="16384" width="9.140625" style="41"/>
  </cols>
  <sheetData>
    <row r="1" spans="1:130" ht="15" customHeight="1" thickBot="1" x14ac:dyDescent="0.25">
      <c r="A1" s="39"/>
      <c r="B1" s="57" t="s">
        <v>0</v>
      </c>
      <c r="G1" s="58" t="s">
        <v>1</v>
      </c>
      <c r="H1" s="42">
        <v>1</v>
      </c>
      <c r="I1" s="59">
        <v>1447</v>
      </c>
      <c r="J1" s="41" t="s">
        <v>20</v>
      </c>
      <c r="L1" s="57" t="s">
        <v>0</v>
      </c>
      <c r="Q1" s="58" t="s">
        <v>1</v>
      </c>
      <c r="R1" s="42">
        <v>2</v>
      </c>
      <c r="S1" s="59">
        <v>1447</v>
      </c>
      <c r="T1" s="41" t="s">
        <v>20</v>
      </c>
      <c r="V1" s="57" t="s">
        <v>0</v>
      </c>
      <c r="AA1" s="58" t="s">
        <v>1</v>
      </c>
      <c r="AB1" s="42">
        <v>3</v>
      </c>
      <c r="AC1" s="59">
        <v>1447</v>
      </c>
      <c r="AD1" s="41" t="s">
        <v>20</v>
      </c>
      <c r="AF1" s="57" t="s">
        <v>0</v>
      </c>
      <c r="AK1" s="58" t="s">
        <v>1</v>
      </c>
      <c r="AL1" s="42">
        <v>4</v>
      </c>
      <c r="AM1" s="59">
        <v>1447</v>
      </c>
      <c r="AN1" s="41" t="s">
        <v>20</v>
      </c>
      <c r="AP1" s="57" t="s">
        <v>0</v>
      </c>
      <c r="AU1" s="58" t="s">
        <v>1</v>
      </c>
      <c r="AV1" s="42">
        <v>5</v>
      </c>
      <c r="AW1" s="59">
        <v>1447</v>
      </c>
      <c r="AX1" s="41" t="s">
        <v>20</v>
      </c>
      <c r="AZ1" s="57" t="s">
        <v>0</v>
      </c>
      <c r="BE1" s="58" t="s">
        <v>1</v>
      </c>
      <c r="BF1" s="42">
        <v>6</v>
      </c>
      <c r="BG1" s="59">
        <v>1447</v>
      </c>
      <c r="BH1" s="41" t="s">
        <v>20</v>
      </c>
      <c r="BJ1" s="57" t="s">
        <v>0</v>
      </c>
      <c r="BO1" s="58" t="s">
        <v>1</v>
      </c>
      <c r="BP1" s="42">
        <v>7</v>
      </c>
      <c r="BQ1" s="59">
        <v>1447</v>
      </c>
      <c r="BR1" s="41" t="s">
        <v>20</v>
      </c>
      <c r="BT1" s="57" t="s">
        <v>0</v>
      </c>
      <c r="BY1" s="58" t="s">
        <v>1</v>
      </c>
      <c r="BZ1" s="42">
        <v>8</v>
      </c>
      <c r="CA1" s="59">
        <v>1447</v>
      </c>
      <c r="CB1" s="41" t="s">
        <v>20</v>
      </c>
      <c r="CD1" s="57" t="s">
        <v>0</v>
      </c>
      <c r="CI1" s="58" t="s">
        <v>1</v>
      </c>
      <c r="CJ1" s="42">
        <v>9</v>
      </c>
      <c r="CK1" s="59">
        <v>1447</v>
      </c>
      <c r="CL1" s="41" t="s">
        <v>20</v>
      </c>
      <c r="CN1" s="57" t="s">
        <v>0</v>
      </c>
      <c r="CS1" s="58" t="s">
        <v>1</v>
      </c>
      <c r="CT1" s="42">
        <v>10</v>
      </c>
      <c r="CU1" s="59">
        <v>1447</v>
      </c>
      <c r="CV1" s="41" t="s">
        <v>20</v>
      </c>
      <c r="CX1" s="57" t="s">
        <v>0</v>
      </c>
      <c r="DC1" s="58" t="s">
        <v>1</v>
      </c>
      <c r="DD1" s="42">
        <v>11</v>
      </c>
      <c r="DE1" s="59">
        <v>1447</v>
      </c>
      <c r="DF1" s="41" t="s">
        <v>20</v>
      </c>
      <c r="DH1" s="57" t="s">
        <v>0</v>
      </c>
      <c r="DM1" s="58" t="s">
        <v>1</v>
      </c>
      <c r="DN1" s="42">
        <v>12</v>
      </c>
      <c r="DO1" s="59">
        <v>1447</v>
      </c>
      <c r="DP1" s="41" t="s">
        <v>20</v>
      </c>
      <c r="DR1" s="57" t="s">
        <v>0</v>
      </c>
      <c r="DW1" s="58"/>
      <c r="DX1" s="42" t="s">
        <v>18</v>
      </c>
      <c r="DY1" s="59">
        <f>SUM(DO1)</f>
        <v>1447</v>
      </c>
    </row>
    <row r="2" spans="1:130" ht="15" customHeight="1" x14ac:dyDescent="0.2">
      <c r="A2" s="61"/>
      <c r="B2" s="62" t="s">
        <v>2</v>
      </c>
      <c r="C2" s="126" t="s">
        <v>3</v>
      </c>
      <c r="D2" s="128" t="s">
        <v>4</v>
      </c>
      <c r="E2" s="131" t="s">
        <v>5</v>
      </c>
      <c r="F2" s="128" t="s">
        <v>6</v>
      </c>
      <c r="G2" s="119" t="s">
        <v>12</v>
      </c>
      <c r="H2" s="120"/>
      <c r="I2" s="120"/>
      <c r="J2" s="121"/>
      <c r="L2" s="62" t="s">
        <v>2</v>
      </c>
      <c r="M2" s="126" t="s">
        <v>3</v>
      </c>
      <c r="N2" s="128" t="s">
        <v>4</v>
      </c>
      <c r="O2" s="131" t="s">
        <v>5</v>
      </c>
      <c r="P2" s="128" t="s">
        <v>6</v>
      </c>
      <c r="Q2" s="119" t="s">
        <v>12</v>
      </c>
      <c r="R2" s="120"/>
      <c r="S2" s="120"/>
      <c r="T2" s="121"/>
      <c r="V2" s="62" t="s">
        <v>2</v>
      </c>
      <c r="W2" s="126" t="s">
        <v>3</v>
      </c>
      <c r="X2" s="128" t="s">
        <v>4</v>
      </c>
      <c r="Y2" s="131" t="s">
        <v>5</v>
      </c>
      <c r="Z2" s="128" t="s">
        <v>6</v>
      </c>
      <c r="AA2" s="119" t="s">
        <v>12</v>
      </c>
      <c r="AB2" s="120"/>
      <c r="AC2" s="120"/>
      <c r="AD2" s="121"/>
      <c r="AF2" s="62" t="s">
        <v>2</v>
      </c>
      <c r="AG2" s="126" t="s">
        <v>3</v>
      </c>
      <c r="AH2" s="128" t="s">
        <v>4</v>
      </c>
      <c r="AI2" s="131" t="s">
        <v>5</v>
      </c>
      <c r="AJ2" s="128" t="s">
        <v>6</v>
      </c>
      <c r="AK2" s="119" t="s">
        <v>12</v>
      </c>
      <c r="AL2" s="120"/>
      <c r="AM2" s="120"/>
      <c r="AN2" s="121"/>
      <c r="AP2" s="62" t="s">
        <v>2</v>
      </c>
      <c r="AQ2" s="126" t="s">
        <v>3</v>
      </c>
      <c r="AR2" s="128" t="s">
        <v>4</v>
      </c>
      <c r="AS2" s="131" t="s">
        <v>5</v>
      </c>
      <c r="AT2" s="128" t="s">
        <v>6</v>
      </c>
      <c r="AU2" s="119" t="s">
        <v>12</v>
      </c>
      <c r="AV2" s="120"/>
      <c r="AW2" s="120"/>
      <c r="AX2" s="121"/>
      <c r="AZ2" s="62" t="s">
        <v>2</v>
      </c>
      <c r="BA2" s="126" t="s">
        <v>3</v>
      </c>
      <c r="BB2" s="128" t="s">
        <v>4</v>
      </c>
      <c r="BC2" s="131" t="s">
        <v>5</v>
      </c>
      <c r="BD2" s="128" t="s">
        <v>6</v>
      </c>
      <c r="BE2" s="119" t="s">
        <v>12</v>
      </c>
      <c r="BF2" s="120"/>
      <c r="BG2" s="120"/>
      <c r="BH2" s="121"/>
      <c r="BJ2" s="62" t="s">
        <v>2</v>
      </c>
      <c r="BK2" s="126" t="s">
        <v>3</v>
      </c>
      <c r="BL2" s="128" t="s">
        <v>4</v>
      </c>
      <c r="BM2" s="131" t="s">
        <v>5</v>
      </c>
      <c r="BN2" s="128" t="s">
        <v>6</v>
      </c>
      <c r="BO2" s="119" t="s">
        <v>12</v>
      </c>
      <c r="BP2" s="120"/>
      <c r="BQ2" s="120"/>
      <c r="BR2" s="121"/>
      <c r="BT2" s="62" t="s">
        <v>2</v>
      </c>
      <c r="BU2" s="126" t="s">
        <v>3</v>
      </c>
      <c r="BV2" s="128" t="s">
        <v>4</v>
      </c>
      <c r="BW2" s="131" t="s">
        <v>5</v>
      </c>
      <c r="BX2" s="128" t="s">
        <v>6</v>
      </c>
      <c r="BY2" s="119" t="s">
        <v>12</v>
      </c>
      <c r="BZ2" s="120"/>
      <c r="CA2" s="120"/>
      <c r="CB2" s="121"/>
      <c r="CD2" s="62" t="s">
        <v>2</v>
      </c>
      <c r="CE2" s="126" t="s">
        <v>3</v>
      </c>
      <c r="CF2" s="128" t="s">
        <v>4</v>
      </c>
      <c r="CG2" s="131" t="s">
        <v>5</v>
      </c>
      <c r="CH2" s="128" t="s">
        <v>6</v>
      </c>
      <c r="CI2" s="119" t="s">
        <v>12</v>
      </c>
      <c r="CJ2" s="120"/>
      <c r="CK2" s="120"/>
      <c r="CL2" s="121"/>
      <c r="CN2" s="62" t="s">
        <v>2</v>
      </c>
      <c r="CO2" s="126" t="s">
        <v>3</v>
      </c>
      <c r="CP2" s="128" t="s">
        <v>4</v>
      </c>
      <c r="CQ2" s="131" t="s">
        <v>5</v>
      </c>
      <c r="CR2" s="128" t="s">
        <v>6</v>
      </c>
      <c r="CS2" s="119" t="s">
        <v>12</v>
      </c>
      <c r="CT2" s="120"/>
      <c r="CU2" s="120"/>
      <c r="CV2" s="121"/>
      <c r="CX2" s="62" t="s">
        <v>2</v>
      </c>
      <c r="CY2" s="126" t="s">
        <v>3</v>
      </c>
      <c r="CZ2" s="128" t="s">
        <v>4</v>
      </c>
      <c r="DA2" s="131" t="s">
        <v>5</v>
      </c>
      <c r="DB2" s="128" t="s">
        <v>6</v>
      </c>
      <c r="DC2" s="119" t="s">
        <v>12</v>
      </c>
      <c r="DD2" s="120"/>
      <c r="DE2" s="120"/>
      <c r="DF2" s="121"/>
      <c r="DH2" s="62" t="s">
        <v>2</v>
      </c>
      <c r="DI2" s="126" t="s">
        <v>3</v>
      </c>
      <c r="DJ2" s="128" t="s">
        <v>4</v>
      </c>
      <c r="DK2" s="131" t="s">
        <v>5</v>
      </c>
      <c r="DL2" s="128" t="s">
        <v>6</v>
      </c>
      <c r="DM2" s="119" t="s">
        <v>12</v>
      </c>
      <c r="DN2" s="120"/>
      <c r="DO2" s="120"/>
      <c r="DP2" s="121"/>
      <c r="DR2" s="62" t="s">
        <v>2</v>
      </c>
      <c r="DS2" s="131" t="s">
        <v>3</v>
      </c>
      <c r="DT2" s="128" t="s">
        <v>4</v>
      </c>
      <c r="DU2" s="131" t="s">
        <v>5</v>
      </c>
      <c r="DV2" s="128" t="s">
        <v>19</v>
      </c>
      <c r="DW2" s="119" t="s">
        <v>12</v>
      </c>
      <c r="DX2" s="120"/>
      <c r="DY2" s="120"/>
      <c r="DZ2" s="121"/>
    </row>
    <row r="3" spans="1:130" ht="26.25" customHeight="1" thickBot="1" x14ac:dyDescent="0.25">
      <c r="A3" s="61"/>
      <c r="B3" s="63" t="s">
        <v>8</v>
      </c>
      <c r="C3" s="127"/>
      <c r="D3" s="129"/>
      <c r="E3" s="133"/>
      <c r="F3" s="129"/>
      <c r="G3" s="122"/>
      <c r="H3" s="123"/>
      <c r="I3" s="123"/>
      <c r="J3" s="124"/>
      <c r="L3" s="63" t="s">
        <v>8</v>
      </c>
      <c r="M3" s="127"/>
      <c r="N3" s="129"/>
      <c r="O3" s="133"/>
      <c r="P3" s="129"/>
      <c r="Q3" s="122"/>
      <c r="R3" s="123"/>
      <c r="S3" s="123"/>
      <c r="T3" s="124"/>
      <c r="V3" s="63" t="s">
        <v>8</v>
      </c>
      <c r="W3" s="127"/>
      <c r="X3" s="129"/>
      <c r="Y3" s="133"/>
      <c r="Z3" s="129"/>
      <c r="AA3" s="122"/>
      <c r="AB3" s="123"/>
      <c r="AC3" s="123"/>
      <c r="AD3" s="124"/>
      <c r="AF3" s="63" t="s">
        <v>8</v>
      </c>
      <c r="AG3" s="127"/>
      <c r="AH3" s="129"/>
      <c r="AI3" s="133"/>
      <c r="AJ3" s="129"/>
      <c r="AK3" s="122"/>
      <c r="AL3" s="123"/>
      <c r="AM3" s="123"/>
      <c r="AN3" s="124"/>
      <c r="AP3" s="63" t="s">
        <v>8</v>
      </c>
      <c r="AQ3" s="127"/>
      <c r="AR3" s="129"/>
      <c r="AS3" s="133"/>
      <c r="AT3" s="129"/>
      <c r="AU3" s="122"/>
      <c r="AV3" s="123"/>
      <c r="AW3" s="123"/>
      <c r="AX3" s="124"/>
      <c r="AZ3" s="63" t="s">
        <v>8</v>
      </c>
      <c r="BA3" s="127"/>
      <c r="BB3" s="129"/>
      <c r="BC3" s="133"/>
      <c r="BD3" s="129"/>
      <c r="BE3" s="122"/>
      <c r="BF3" s="123"/>
      <c r="BG3" s="123"/>
      <c r="BH3" s="124"/>
      <c r="BJ3" s="63" t="s">
        <v>8</v>
      </c>
      <c r="BK3" s="127"/>
      <c r="BL3" s="129"/>
      <c r="BM3" s="133"/>
      <c r="BN3" s="129"/>
      <c r="BO3" s="122"/>
      <c r="BP3" s="123"/>
      <c r="BQ3" s="123"/>
      <c r="BR3" s="124"/>
      <c r="BT3" s="63" t="s">
        <v>8</v>
      </c>
      <c r="BU3" s="127"/>
      <c r="BV3" s="129"/>
      <c r="BW3" s="133"/>
      <c r="BX3" s="129"/>
      <c r="BY3" s="122"/>
      <c r="BZ3" s="123"/>
      <c r="CA3" s="123"/>
      <c r="CB3" s="124"/>
      <c r="CD3" s="63" t="s">
        <v>8</v>
      </c>
      <c r="CE3" s="127"/>
      <c r="CF3" s="129"/>
      <c r="CG3" s="133"/>
      <c r="CH3" s="129"/>
      <c r="CI3" s="122"/>
      <c r="CJ3" s="123"/>
      <c r="CK3" s="123"/>
      <c r="CL3" s="124"/>
      <c r="CN3" s="63" t="s">
        <v>8</v>
      </c>
      <c r="CO3" s="127"/>
      <c r="CP3" s="129"/>
      <c r="CQ3" s="133"/>
      <c r="CR3" s="129"/>
      <c r="CS3" s="122"/>
      <c r="CT3" s="123"/>
      <c r="CU3" s="123"/>
      <c r="CV3" s="124"/>
      <c r="CX3" s="63" t="s">
        <v>8</v>
      </c>
      <c r="CY3" s="127"/>
      <c r="CZ3" s="129"/>
      <c r="DA3" s="133"/>
      <c r="DB3" s="129"/>
      <c r="DC3" s="122"/>
      <c r="DD3" s="123"/>
      <c r="DE3" s="123"/>
      <c r="DF3" s="124"/>
      <c r="DH3" s="63" t="s">
        <v>8</v>
      </c>
      <c r="DI3" s="127"/>
      <c r="DJ3" s="129"/>
      <c r="DK3" s="133"/>
      <c r="DL3" s="129"/>
      <c r="DM3" s="122"/>
      <c r="DN3" s="123"/>
      <c r="DO3" s="123"/>
      <c r="DP3" s="124"/>
      <c r="DR3" s="63" t="s">
        <v>8</v>
      </c>
      <c r="DS3" s="134"/>
      <c r="DT3" s="135"/>
      <c r="DU3" s="134"/>
      <c r="DV3" s="135"/>
      <c r="DW3" s="122"/>
      <c r="DX3" s="123"/>
      <c r="DY3" s="123"/>
      <c r="DZ3" s="124"/>
    </row>
    <row r="4" spans="1:130" ht="15" customHeight="1" thickBot="1" x14ac:dyDescent="0.25">
      <c r="A4" s="39"/>
      <c r="B4" s="125" t="s">
        <v>22</v>
      </c>
      <c r="C4" s="125"/>
      <c r="D4" s="59"/>
      <c r="E4" s="42"/>
      <c r="F4" s="59"/>
      <c r="G4" s="98"/>
      <c r="H4" s="99"/>
      <c r="I4" s="99"/>
      <c r="J4" s="100"/>
      <c r="L4" s="125" t="s">
        <v>22</v>
      </c>
      <c r="M4" s="125"/>
      <c r="N4" s="59"/>
      <c r="O4" s="42"/>
      <c r="P4" s="59"/>
      <c r="Q4" s="98"/>
      <c r="R4" s="99"/>
      <c r="S4" s="99"/>
      <c r="T4" s="100"/>
      <c r="V4" s="125" t="s">
        <v>22</v>
      </c>
      <c r="W4" s="125"/>
      <c r="X4" s="59"/>
      <c r="Y4" s="42"/>
      <c r="Z4" s="59"/>
      <c r="AA4" s="98"/>
      <c r="AB4" s="99"/>
      <c r="AC4" s="99"/>
      <c r="AD4" s="100"/>
      <c r="AF4" s="125" t="s">
        <v>22</v>
      </c>
      <c r="AG4" s="125"/>
      <c r="AH4" s="59"/>
      <c r="AI4" s="42"/>
      <c r="AJ4" s="59"/>
      <c r="AK4" s="98"/>
      <c r="AL4" s="99"/>
      <c r="AM4" s="99"/>
      <c r="AN4" s="100"/>
      <c r="AP4" s="125" t="s">
        <v>22</v>
      </c>
      <c r="AQ4" s="125"/>
      <c r="AR4" s="59"/>
      <c r="AS4" s="42"/>
      <c r="AT4" s="59"/>
      <c r="AU4" s="98"/>
      <c r="AV4" s="99"/>
      <c r="AW4" s="99"/>
      <c r="AX4" s="100"/>
      <c r="AZ4" s="125" t="s">
        <v>22</v>
      </c>
      <c r="BA4" s="125"/>
      <c r="BB4" s="59"/>
      <c r="BC4" s="42"/>
      <c r="BD4" s="59"/>
      <c r="BE4" s="98"/>
      <c r="BF4" s="99"/>
      <c r="BG4" s="99"/>
      <c r="BH4" s="100"/>
      <c r="BJ4" s="125" t="s">
        <v>22</v>
      </c>
      <c r="BK4" s="125"/>
      <c r="BL4" s="59"/>
      <c r="BM4" s="42"/>
      <c r="BN4" s="59"/>
      <c r="BO4" s="98"/>
      <c r="BP4" s="99"/>
      <c r="BQ4" s="99"/>
      <c r="BR4" s="100"/>
      <c r="BT4" s="125" t="s">
        <v>22</v>
      </c>
      <c r="BU4" s="125"/>
      <c r="BV4" s="59"/>
      <c r="BW4" s="42"/>
      <c r="BX4" s="59"/>
      <c r="BY4" s="98"/>
      <c r="BZ4" s="99"/>
      <c r="CA4" s="99"/>
      <c r="CB4" s="100"/>
      <c r="CD4" s="125" t="s">
        <v>22</v>
      </c>
      <c r="CE4" s="125"/>
      <c r="CF4" s="59"/>
      <c r="CG4" s="42"/>
      <c r="CH4" s="59"/>
      <c r="CI4" s="98"/>
      <c r="CJ4" s="99"/>
      <c r="CK4" s="99"/>
      <c r="CL4" s="100"/>
      <c r="CN4" s="125" t="s">
        <v>22</v>
      </c>
      <c r="CO4" s="125"/>
      <c r="CP4" s="59"/>
      <c r="CQ4" s="42"/>
      <c r="CR4" s="59"/>
      <c r="CS4" s="98"/>
      <c r="CT4" s="99"/>
      <c r="CU4" s="99"/>
      <c r="CV4" s="100"/>
      <c r="CX4" s="125" t="s">
        <v>22</v>
      </c>
      <c r="CY4" s="125"/>
      <c r="CZ4" s="59"/>
      <c r="DA4" s="42"/>
      <c r="DB4" s="59"/>
      <c r="DC4" s="98"/>
      <c r="DD4" s="99"/>
      <c r="DE4" s="99"/>
      <c r="DF4" s="100"/>
      <c r="DH4" s="125" t="s">
        <v>22</v>
      </c>
      <c r="DI4" s="125"/>
      <c r="DJ4" s="59"/>
      <c r="DK4" s="42"/>
      <c r="DL4" s="59"/>
      <c r="DM4" s="98"/>
      <c r="DN4" s="99"/>
      <c r="DO4" s="99"/>
      <c r="DP4" s="100"/>
      <c r="DR4" s="64" t="str">
        <f>(DH4)</f>
        <v>الربيع والتوفيق</v>
      </c>
      <c r="DS4" s="65"/>
      <c r="DT4" s="59"/>
      <c r="DU4" s="42"/>
      <c r="DV4" s="59"/>
      <c r="DW4" s="98"/>
      <c r="DX4" s="99"/>
      <c r="DY4" s="99"/>
      <c r="DZ4" s="100"/>
    </row>
    <row r="5" spans="1:130" ht="15" customHeight="1" thickTop="1" thickBot="1" x14ac:dyDescent="0.25">
      <c r="A5" s="61"/>
      <c r="B5" s="66" t="s">
        <v>14</v>
      </c>
      <c r="C5" s="103">
        <v>16</v>
      </c>
      <c r="D5" s="104">
        <v>2</v>
      </c>
      <c r="E5" s="104">
        <v>0</v>
      </c>
      <c r="F5" s="104">
        <v>5</v>
      </c>
      <c r="G5" s="113" t="s">
        <v>12</v>
      </c>
      <c r="H5" s="116">
        <v>8976</v>
      </c>
      <c r="I5" s="116" t="s">
        <v>13</v>
      </c>
      <c r="J5" s="116">
        <f>H5*38/100</f>
        <v>3410.88</v>
      </c>
      <c r="L5" s="66" t="s">
        <v>14</v>
      </c>
      <c r="M5" s="67">
        <v>13</v>
      </c>
      <c r="N5" s="44">
        <v>5</v>
      </c>
      <c r="O5" s="44">
        <v>3</v>
      </c>
      <c r="P5" s="44">
        <v>5</v>
      </c>
      <c r="Q5" s="113" t="s">
        <v>12</v>
      </c>
      <c r="R5" s="116">
        <v>7899</v>
      </c>
      <c r="S5" s="116" t="s">
        <v>13</v>
      </c>
      <c r="T5" s="116">
        <f>R5*38/100</f>
        <v>3001.62</v>
      </c>
      <c r="V5" s="66" t="s">
        <v>14</v>
      </c>
      <c r="W5" s="67">
        <v>24</v>
      </c>
      <c r="X5" s="44">
        <v>1</v>
      </c>
      <c r="Y5" s="44">
        <v>9</v>
      </c>
      <c r="Z5" s="44">
        <v>2</v>
      </c>
      <c r="AA5" s="113" t="s">
        <v>12</v>
      </c>
      <c r="AB5" s="116">
        <v>8976</v>
      </c>
      <c r="AC5" s="116" t="s">
        <v>13</v>
      </c>
      <c r="AD5" s="116">
        <f>AB5*38/100</f>
        <v>3410.88</v>
      </c>
      <c r="AF5" s="66" t="s">
        <v>14</v>
      </c>
      <c r="AG5" s="103">
        <v>24</v>
      </c>
      <c r="AH5" s="104">
        <v>5</v>
      </c>
      <c r="AI5" s="104">
        <v>10</v>
      </c>
      <c r="AJ5" s="104">
        <v>24</v>
      </c>
      <c r="AK5" s="113" t="s">
        <v>12</v>
      </c>
      <c r="AL5" s="116">
        <v>8976</v>
      </c>
      <c r="AM5" s="116" t="s">
        <v>13</v>
      </c>
      <c r="AN5" s="116">
        <f>AL5*38/100</f>
        <v>3410.88</v>
      </c>
      <c r="AP5" s="66" t="s">
        <v>14</v>
      </c>
      <c r="AQ5" s="67">
        <v>24</v>
      </c>
      <c r="AR5" s="44">
        <v>3</v>
      </c>
      <c r="AS5" s="44">
        <v>2</v>
      </c>
      <c r="AT5" s="44">
        <v>3</v>
      </c>
      <c r="AU5" s="113" t="s">
        <v>12</v>
      </c>
      <c r="AV5" s="116">
        <v>8976</v>
      </c>
      <c r="AW5" s="116" t="s">
        <v>13</v>
      </c>
      <c r="AX5" s="116">
        <f>AV5*38/100</f>
        <v>3410.88</v>
      </c>
      <c r="AZ5" s="66" t="s">
        <v>14</v>
      </c>
      <c r="BA5" s="67">
        <v>24</v>
      </c>
      <c r="BB5" s="44">
        <v>0</v>
      </c>
      <c r="BC5" s="44">
        <v>4</v>
      </c>
      <c r="BD5" s="44">
        <v>1</v>
      </c>
      <c r="BE5" s="113" t="s">
        <v>12</v>
      </c>
      <c r="BF5" s="116">
        <v>8976</v>
      </c>
      <c r="BG5" s="116" t="s">
        <v>13</v>
      </c>
      <c r="BH5" s="116">
        <f>BF5*38/100</f>
        <v>3410.88</v>
      </c>
      <c r="BJ5" s="66" t="s">
        <v>14</v>
      </c>
      <c r="BK5" s="67">
        <v>24</v>
      </c>
      <c r="BL5" s="44">
        <v>0</v>
      </c>
      <c r="BM5" s="44">
        <v>0</v>
      </c>
      <c r="BN5" s="44">
        <v>0</v>
      </c>
      <c r="BO5" s="113" t="s">
        <v>12</v>
      </c>
      <c r="BP5" s="116">
        <v>8976</v>
      </c>
      <c r="BQ5" s="116" t="s">
        <v>13</v>
      </c>
      <c r="BR5" s="116">
        <f>BP5*38/100</f>
        <v>3410.88</v>
      </c>
      <c r="BT5" s="66" t="s">
        <v>14</v>
      </c>
      <c r="BU5" s="67">
        <v>24</v>
      </c>
      <c r="BV5" s="44">
        <v>0</v>
      </c>
      <c r="BW5" s="44">
        <v>0</v>
      </c>
      <c r="BX5" s="44">
        <v>1</v>
      </c>
      <c r="BY5" s="113" t="s">
        <v>12</v>
      </c>
      <c r="BZ5" s="116">
        <v>8976</v>
      </c>
      <c r="CA5" s="116" t="s">
        <v>13</v>
      </c>
      <c r="CB5" s="116">
        <f>BZ5*38/100</f>
        <v>3410.88</v>
      </c>
      <c r="CD5" s="66" t="s">
        <v>14</v>
      </c>
      <c r="CE5" s="67">
        <v>24</v>
      </c>
      <c r="CF5" s="44">
        <v>0</v>
      </c>
      <c r="CG5" s="44">
        <v>0</v>
      </c>
      <c r="CH5" s="44">
        <v>19</v>
      </c>
      <c r="CI5" s="113" t="s">
        <v>12</v>
      </c>
      <c r="CJ5" s="116">
        <v>8976</v>
      </c>
      <c r="CK5" s="116" t="s">
        <v>13</v>
      </c>
      <c r="CL5" s="116">
        <f>CJ5*38/100</f>
        <v>3410.88</v>
      </c>
      <c r="CN5" s="66" t="s">
        <v>14</v>
      </c>
      <c r="CO5" s="67">
        <v>23</v>
      </c>
      <c r="CP5" s="44">
        <v>0</v>
      </c>
      <c r="CQ5" s="44">
        <v>0</v>
      </c>
      <c r="CR5" s="44">
        <v>2</v>
      </c>
      <c r="CS5" s="113" t="s">
        <v>12</v>
      </c>
      <c r="CT5" s="116">
        <v>8976</v>
      </c>
      <c r="CU5" s="116" t="s">
        <v>13</v>
      </c>
      <c r="CV5" s="116">
        <f>CT5*38/100</f>
        <v>3410.88</v>
      </c>
      <c r="CX5" s="66" t="s">
        <v>14</v>
      </c>
      <c r="CY5" s="67">
        <v>0</v>
      </c>
      <c r="CZ5" s="44">
        <v>0</v>
      </c>
      <c r="DA5" s="44">
        <v>0</v>
      </c>
      <c r="DB5" s="44">
        <v>0</v>
      </c>
      <c r="DC5" s="113" t="s">
        <v>12</v>
      </c>
      <c r="DD5" s="116">
        <v>0</v>
      </c>
      <c r="DE5" s="116" t="s">
        <v>13</v>
      </c>
      <c r="DF5" s="116">
        <f>DD5*38/100</f>
        <v>0</v>
      </c>
      <c r="DH5" s="66" t="s">
        <v>14</v>
      </c>
      <c r="DI5" s="67">
        <v>0</v>
      </c>
      <c r="DJ5" s="44">
        <v>0</v>
      </c>
      <c r="DK5" s="44">
        <v>0</v>
      </c>
      <c r="DL5" s="44">
        <v>0</v>
      </c>
      <c r="DM5" s="113" t="s">
        <v>12</v>
      </c>
      <c r="DN5" s="116">
        <v>0</v>
      </c>
      <c r="DO5" s="116" t="s">
        <v>13</v>
      </c>
      <c r="DP5" s="116">
        <f>DN5*38/100</f>
        <v>0</v>
      </c>
      <c r="DR5" s="68" t="s">
        <v>14</v>
      </c>
      <c r="DS5" s="69">
        <f>C5+DT5-D5</f>
        <v>30</v>
      </c>
      <c r="DT5" s="70">
        <f>D5+N5+X5+AH5+AR5+BB5+BL5+BV5+CF5+CP5+CZ5+DJ5</f>
        <v>16</v>
      </c>
      <c r="DU5" s="35">
        <f>(E5+O5+Y5+AI5+AS5+BC5+BM5+BW5+CG5+CQ5+DA5+DK5)/12</f>
        <v>2.3333333333333335</v>
      </c>
      <c r="DV5" s="71">
        <f>F5+P5+Z5+AJ5+AT5+BD5+BN5+BX5+CH5+CR5+DB5+DL5</f>
        <v>62</v>
      </c>
      <c r="DW5" s="113" t="s">
        <v>12</v>
      </c>
      <c r="DX5" s="116">
        <f>DN5</f>
        <v>0</v>
      </c>
      <c r="DY5" s="116" t="s">
        <v>13</v>
      </c>
      <c r="DZ5" s="116">
        <f>DX5*38/100</f>
        <v>0</v>
      </c>
    </row>
    <row r="6" spans="1:130" ht="15" customHeight="1" thickBot="1" x14ac:dyDescent="0.25">
      <c r="A6" s="61"/>
      <c r="B6" s="72" t="s">
        <v>15</v>
      </c>
      <c r="C6" s="105">
        <v>9</v>
      </c>
      <c r="D6" s="106">
        <v>0</v>
      </c>
      <c r="E6" s="106">
        <v>0</v>
      </c>
      <c r="F6" s="106">
        <v>0</v>
      </c>
      <c r="G6" s="114"/>
      <c r="H6" s="117"/>
      <c r="I6" s="117"/>
      <c r="J6" s="117"/>
      <c r="L6" s="72" t="s">
        <v>15</v>
      </c>
      <c r="M6" s="73">
        <v>4</v>
      </c>
      <c r="N6" s="74">
        <v>1</v>
      </c>
      <c r="O6" s="74">
        <v>0</v>
      </c>
      <c r="P6" s="74">
        <v>1</v>
      </c>
      <c r="Q6" s="114"/>
      <c r="R6" s="117"/>
      <c r="S6" s="117"/>
      <c r="T6" s="117"/>
      <c r="V6" s="72" t="s">
        <v>15</v>
      </c>
      <c r="W6" s="73">
        <v>4</v>
      </c>
      <c r="X6" s="74">
        <v>0</v>
      </c>
      <c r="Y6" s="74">
        <v>2</v>
      </c>
      <c r="Z6" s="74">
        <v>0</v>
      </c>
      <c r="AA6" s="114"/>
      <c r="AB6" s="117"/>
      <c r="AC6" s="117"/>
      <c r="AD6" s="117"/>
      <c r="AF6" s="72" t="s">
        <v>15</v>
      </c>
      <c r="AG6" s="105">
        <v>4</v>
      </c>
      <c r="AH6" s="106">
        <v>0</v>
      </c>
      <c r="AI6" s="106">
        <v>2</v>
      </c>
      <c r="AJ6" s="106">
        <v>2</v>
      </c>
      <c r="AK6" s="114"/>
      <c r="AL6" s="117"/>
      <c r="AM6" s="117"/>
      <c r="AN6" s="117"/>
      <c r="AP6" s="72" t="s">
        <v>15</v>
      </c>
      <c r="AQ6" s="73">
        <v>4</v>
      </c>
      <c r="AR6" s="74">
        <v>0</v>
      </c>
      <c r="AS6" s="74">
        <v>0</v>
      </c>
      <c r="AT6" s="74">
        <v>0</v>
      </c>
      <c r="AU6" s="114"/>
      <c r="AV6" s="117"/>
      <c r="AW6" s="117"/>
      <c r="AX6" s="117"/>
      <c r="AZ6" s="72" t="s">
        <v>15</v>
      </c>
      <c r="BA6" s="73">
        <v>4</v>
      </c>
      <c r="BB6" s="74">
        <v>1</v>
      </c>
      <c r="BC6" s="74">
        <v>2</v>
      </c>
      <c r="BD6" s="74">
        <v>1</v>
      </c>
      <c r="BE6" s="114"/>
      <c r="BF6" s="117"/>
      <c r="BG6" s="117"/>
      <c r="BH6" s="117"/>
      <c r="BJ6" s="72" t="s">
        <v>15</v>
      </c>
      <c r="BK6" s="73">
        <v>4</v>
      </c>
      <c r="BL6" s="74">
        <v>0</v>
      </c>
      <c r="BM6" s="74">
        <v>0</v>
      </c>
      <c r="BN6" s="74">
        <v>0</v>
      </c>
      <c r="BO6" s="114"/>
      <c r="BP6" s="117"/>
      <c r="BQ6" s="117"/>
      <c r="BR6" s="117"/>
      <c r="BT6" s="72" t="s">
        <v>15</v>
      </c>
      <c r="BU6" s="73">
        <v>4</v>
      </c>
      <c r="BV6" s="74">
        <v>0</v>
      </c>
      <c r="BW6" s="74">
        <v>0</v>
      </c>
      <c r="BX6" s="74">
        <v>1</v>
      </c>
      <c r="BY6" s="114"/>
      <c r="BZ6" s="117"/>
      <c r="CA6" s="117"/>
      <c r="CB6" s="117"/>
      <c r="CD6" s="72" t="s">
        <v>15</v>
      </c>
      <c r="CE6" s="73">
        <v>2</v>
      </c>
      <c r="CF6" s="74">
        <v>0</v>
      </c>
      <c r="CG6" s="74">
        <v>0</v>
      </c>
      <c r="CH6" s="74">
        <v>2</v>
      </c>
      <c r="CI6" s="114"/>
      <c r="CJ6" s="117"/>
      <c r="CK6" s="117"/>
      <c r="CL6" s="117"/>
      <c r="CN6" s="72" t="s">
        <v>15</v>
      </c>
      <c r="CO6" s="73">
        <v>2</v>
      </c>
      <c r="CP6" s="74">
        <v>0</v>
      </c>
      <c r="CQ6" s="74">
        <v>0</v>
      </c>
      <c r="CR6" s="74">
        <v>1</v>
      </c>
      <c r="CS6" s="114"/>
      <c r="CT6" s="117"/>
      <c r="CU6" s="117"/>
      <c r="CV6" s="117"/>
      <c r="CX6" s="72" t="s">
        <v>15</v>
      </c>
      <c r="CY6" s="73">
        <v>0</v>
      </c>
      <c r="CZ6" s="74">
        <v>0</v>
      </c>
      <c r="DA6" s="74">
        <v>0</v>
      </c>
      <c r="DB6" s="74">
        <v>0</v>
      </c>
      <c r="DC6" s="114"/>
      <c r="DD6" s="117"/>
      <c r="DE6" s="117"/>
      <c r="DF6" s="117"/>
      <c r="DH6" s="72" t="s">
        <v>15</v>
      </c>
      <c r="DI6" s="73">
        <v>0</v>
      </c>
      <c r="DJ6" s="74">
        <v>0</v>
      </c>
      <c r="DK6" s="74">
        <v>0</v>
      </c>
      <c r="DL6" s="74">
        <v>0</v>
      </c>
      <c r="DM6" s="114"/>
      <c r="DN6" s="117"/>
      <c r="DO6" s="117"/>
      <c r="DP6" s="117"/>
      <c r="DR6" s="75" t="s">
        <v>15</v>
      </c>
      <c r="DS6" s="76">
        <f>C6+DT6-D6</f>
        <v>11</v>
      </c>
      <c r="DT6" s="77">
        <f>D6+N6+X6+AH6+AR6+BB6+BL6+BV6+CF6+CP6+CZ6+DJ6</f>
        <v>2</v>
      </c>
      <c r="DU6" s="36">
        <f>(E6+O6+Y6+AI6+AS6+BC6+BM6+BW6+CG6+CQ6+DA6+DK6)/12</f>
        <v>0.5</v>
      </c>
      <c r="DV6" s="78">
        <f>F6+P6+Z6+AJ6+AT6+BD6+BN6+BX6+CH6+CR6+DB6+DL6</f>
        <v>8</v>
      </c>
      <c r="DW6" s="114"/>
      <c r="DX6" s="117"/>
      <c r="DY6" s="117"/>
      <c r="DZ6" s="117"/>
    </row>
    <row r="7" spans="1:130" ht="15" customHeight="1" thickBot="1" x14ac:dyDescent="0.25">
      <c r="A7" s="61"/>
      <c r="B7" s="79" t="s">
        <v>16</v>
      </c>
      <c r="C7" s="80">
        <f>SUM(C5:C6)</f>
        <v>25</v>
      </c>
      <c r="D7" s="80">
        <f>SUM(D5:D6)</f>
        <v>2</v>
      </c>
      <c r="E7" s="80">
        <f>SUM(E5:E6)</f>
        <v>0</v>
      </c>
      <c r="F7" s="80">
        <f>SUM(F5:F6)</f>
        <v>5</v>
      </c>
      <c r="G7" s="115"/>
      <c r="H7" s="118"/>
      <c r="I7" s="118"/>
      <c r="J7" s="118"/>
      <c r="L7" s="79" t="s">
        <v>16</v>
      </c>
      <c r="M7" s="80">
        <f>SUM(M5:M6)</f>
        <v>17</v>
      </c>
      <c r="N7" s="80">
        <v>6</v>
      </c>
      <c r="O7" s="80">
        <v>3</v>
      </c>
      <c r="P7" s="80">
        <v>6</v>
      </c>
      <c r="Q7" s="115"/>
      <c r="R7" s="118"/>
      <c r="S7" s="118"/>
      <c r="T7" s="118"/>
      <c r="V7" s="79" t="s">
        <v>16</v>
      </c>
      <c r="W7" s="80">
        <f>SUM(W5:W6)</f>
        <v>28</v>
      </c>
      <c r="X7" s="80">
        <f>SUM(X5:X6)</f>
        <v>1</v>
      </c>
      <c r="Y7" s="80">
        <f>SUM(Y5:Y6)</f>
        <v>11</v>
      </c>
      <c r="Z7" s="80">
        <f>SUM(Z5:Z6)</f>
        <v>2</v>
      </c>
      <c r="AA7" s="115"/>
      <c r="AB7" s="118"/>
      <c r="AC7" s="118"/>
      <c r="AD7" s="118"/>
      <c r="AF7" s="79" t="s">
        <v>16</v>
      </c>
      <c r="AG7" s="80">
        <f>SUM(AG5:AG6)</f>
        <v>28</v>
      </c>
      <c r="AH7" s="80">
        <f>SUM(AH5:AH6)</f>
        <v>5</v>
      </c>
      <c r="AI7" s="80">
        <f>SUM(AI5:AI6)</f>
        <v>12</v>
      </c>
      <c r="AJ7" s="80">
        <f>SUM(AJ5:AJ6)</f>
        <v>26</v>
      </c>
      <c r="AK7" s="115"/>
      <c r="AL7" s="118"/>
      <c r="AM7" s="118"/>
      <c r="AN7" s="118"/>
      <c r="AP7" s="79" t="s">
        <v>16</v>
      </c>
      <c r="AQ7" s="80">
        <f>SUM(AQ5:AQ6)</f>
        <v>28</v>
      </c>
      <c r="AR7" s="80">
        <f>SUM(AR5:AR6)</f>
        <v>3</v>
      </c>
      <c r="AS7" s="80">
        <f>SUM(AS5:AS6)</f>
        <v>2</v>
      </c>
      <c r="AT7" s="80">
        <f>SUM(AT5:AT6)</f>
        <v>3</v>
      </c>
      <c r="AU7" s="115"/>
      <c r="AV7" s="118"/>
      <c r="AW7" s="118"/>
      <c r="AX7" s="118"/>
      <c r="AZ7" s="79" t="s">
        <v>16</v>
      </c>
      <c r="BA7" s="80">
        <f>SUM(BA5:BA6)</f>
        <v>28</v>
      </c>
      <c r="BB7" s="80">
        <f>SUM(BB5:BB6)</f>
        <v>1</v>
      </c>
      <c r="BC7" s="80">
        <f>SUM(BC5:BC6)</f>
        <v>6</v>
      </c>
      <c r="BD7" s="80">
        <f>SUM(BD5:BD6)</f>
        <v>2</v>
      </c>
      <c r="BE7" s="115"/>
      <c r="BF7" s="118"/>
      <c r="BG7" s="118"/>
      <c r="BH7" s="118"/>
      <c r="BJ7" s="79" t="s">
        <v>16</v>
      </c>
      <c r="BK7" s="80">
        <f>SUM(BK5:BK6)</f>
        <v>28</v>
      </c>
      <c r="BL7" s="80">
        <f>SUM(BL5:BL6)</f>
        <v>0</v>
      </c>
      <c r="BM7" s="80">
        <f>SUM(BM5:BM6)</f>
        <v>0</v>
      </c>
      <c r="BN7" s="80">
        <f>SUM(BN5:BN6)</f>
        <v>0</v>
      </c>
      <c r="BO7" s="115"/>
      <c r="BP7" s="118"/>
      <c r="BQ7" s="118"/>
      <c r="BR7" s="118"/>
      <c r="BT7" s="79" t="s">
        <v>16</v>
      </c>
      <c r="BU7" s="80">
        <f>SUM(BU5:BU6)</f>
        <v>28</v>
      </c>
      <c r="BV7" s="80">
        <f>SUM(BV5:BV6)</f>
        <v>0</v>
      </c>
      <c r="BW7" s="80">
        <f>SUM(BW5:BW6)</f>
        <v>0</v>
      </c>
      <c r="BX7" s="80">
        <f>SUM(BX5:BX6)</f>
        <v>2</v>
      </c>
      <c r="BY7" s="115"/>
      <c r="BZ7" s="118"/>
      <c r="CA7" s="118"/>
      <c r="CB7" s="118"/>
      <c r="CD7" s="79" t="s">
        <v>16</v>
      </c>
      <c r="CE7" s="80">
        <f>SUM(CE5:CE6)</f>
        <v>26</v>
      </c>
      <c r="CF7" s="80">
        <f>SUM(CF5:CF6)</f>
        <v>0</v>
      </c>
      <c r="CG7" s="80">
        <f>SUM(CG5:CG6)</f>
        <v>0</v>
      </c>
      <c r="CH7" s="80">
        <f>SUM(CH5:CH6)</f>
        <v>21</v>
      </c>
      <c r="CI7" s="115"/>
      <c r="CJ7" s="118"/>
      <c r="CK7" s="118"/>
      <c r="CL7" s="118"/>
      <c r="CN7" s="79" t="s">
        <v>16</v>
      </c>
      <c r="CO7" s="80">
        <f>SUM(CO5:CO6)</f>
        <v>25</v>
      </c>
      <c r="CP7" s="80">
        <f>SUM(CP5:CP6)</f>
        <v>0</v>
      </c>
      <c r="CQ7" s="80">
        <f>SUM(CQ5:CQ6)</f>
        <v>0</v>
      </c>
      <c r="CR7" s="80">
        <f>SUM(CR5:CR6)</f>
        <v>3</v>
      </c>
      <c r="CS7" s="115"/>
      <c r="CT7" s="118"/>
      <c r="CU7" s="118"/>
      <c r="CV7" s="118"/>
      <c r="CX7" s="79" t="s">
        <v>16</v>
      </c>
      <c r="CY7" s="80">
        <f>SUM(CY5:CY6)</f>
        <v>0</v>
      </c>
      <c r="CZ7" s="80">
        <f>SUM(CZ5:CZ6)</f>
        <v>0</v>
      </c>
      <c r="DA7" s="80">
        <f>SUM(DA5:DA6)</f>
        <v>0</v>
      </c>
      <c r="DB7" s="80">
        <f>SUM(DB5:DB6)</f>
        <v>0</v>
      </c>
      <c r="DC7" s="115"/>
      <c r="DD7" s="118"/>
      <c r="DE7" s="118"/>
      <c r="DF7" s="118"/>
      <c r="DH7" s="79" t="s">
        <v>16</v>
      </c>
      <c r="DI7" s="80">
        <f>SUM(DI5:DI6)</f>
        <v>0</v>
      </c>
      <c r="DJ7" s="80">
        <f>SUM(DJ5:DJ6)</f>
        <v>0</v>
      </c>
      <c r="DK7" s="80">
        <f>SUM(DK5:DK6)</f>
        <v>0</v>
      </c>
      <c r="DL7" s="80">
        <f>SUM(DL5:DL6)</f>
        <v>0</v>
      </c>
      <c r="DM7" s="115"/>
      <c r="DN7" s="118"/>
      <c r="DO7" s="118"/>
      <c r="DP7" s="118"/>
      <c r="DR7" s="81" t="s">
        <v>16</v>
      </c>
      <c r="DS7" s="37">
        <f>SUM(DS5:DS6)</f>
        <v>41</v>
      </c>
      <c r="DT7" s="82">
        <f>SUM(DT5:DT6)</f>
        <v>18</v>
      </c>
      <c r="DU7" s="37">
        <f>SUM(DU5:DU6)</f>
        <v>2.8333333333333335</v>
      </c>
      <c r="DV7" s="83">
        <f>SUM(DV5:DV6)</f>
        <v>70</v>
      </c>
      <c r="DW7" s="115"/>
      <c r="DX7" s="118"/>
      <c r="DY7" s="118"/>
      <c r="DZ7" s="118"/>
    </row>
    <row r="8" spans="1:130" ht="15" customHeight="1" thickBot="1" x14ac:dyDescent="0.25">
      <c r="A8" s="39"/>
      <c r="B8" s="125" t="s">
        <v>23</v>
      </c>
      <c r="C8" s="125"/>
      <c r="D8" s="59"/>
      <c r="E8" s="42"/>
      <c r="F8" s="59"/>
      <c r="G8" s="98"/>
      <c r="H8" s="101"/>
      <c r="I8" s="101"/>
      <c r="J8" s="102"/>
      <c r="L8" s="125" t="s">
        <v>23</v>
      </c>
      <c r="M8" s="125"/>
      <c r="N8" s="59"/>
      <c r="O8" s="42"/>
      <c r="P8" s="59"/>
      <c r="Q8" s="98"/>
      <c r="R8" s="101"/>
      <c r="S8" s="101"/>
      <c r="T8" s="102"/>
      <c r="V8" s="125" t="s">
        <v>23</v>
      </c>
      <c r="W8" s="125"/>
      <c r="X8" s="59"/>
      <c r="Y8" s="42"/>
      <c r="Z8" s="59"/>
      <c r="AA8" s="98"/>
      <c r="AB8" s="101"/>
      <c r="AC8" s="101"/>
      <c r="AD8" s="102"/>
      <c r="AF8" s="125" t="s">
        <v>23</v>
      </c>
      <c r="AG8" s="125"/>
      <c r="AH8" s="59"/>
      <c r="AI8" s="42"/>
      <c r="AJ8" s="59"/>
      <c r="AK8" s="98"/>
      <c r="AL8" s="101"/>
      <c r="AM8" s="101"/>
      <c r="AN8" s="102"/>
      <c r="AP8" s="125" t="s">
        <v>23</v>
      </c>
      <c r="AQ8" s="125"/>
      <c r="AR8" s="59"/>
      <c r="AS8" s="42"/>
      <c r="AT8" s="59"/>
      <c r="AU8" s="98"/>
      <c r="AV8" s="101"/>
      <c r="AW8" s="101"/>
      <c r="AX8" s="102"/>
      <c r="AZ8" s="125" t="s">
        <v>23</v>
      </c>
      <c r="BA8" s="125"/>
      <c r="BB8" s="59"/>
      <c r="BC8" s="42"/>
      <c r="BD8" s="59"/>
      <c r="BE8" s="98"/>
      <c r="BF8" s="101"/>
      <c r="BG8" s="101"/>
      <c r="BH8" s="102"/>
      <c r="BJ8" s="125" t="s">
        <v>23</v>
      </c>
      <c r="BK8" s="125"/>
      <c r="BL8" s="59"/>
      <c r="BM8" s="42"/>
      <c r="BN8" s="59"/>
      <c r="BO8" s="98"/>
      <c r="BP8" s="101"/>
      <c r="BQ8" s="101"/>
      <c r="BR8" s="102"/>
      <c r="BT8" s="125" t="s">
        <v>23</v>
      </c>
      <c r="BU8" s="125"/>
      <c r="BV8" s="59"/>
      <c r="BW8" s="42"/>
      <c r="BX8" s="59"/>
      <c r="BY8" s="98"/>
      <c r="BZ8" s="101"/>
      <c r="CA8" s="101"/>
      <c r="CB8" s="102"/>
      <c r="CD8" s="125" t="s">
        <v>23</v>
      </c>
      <c r="CE8" s="125"/>
      <c r="CF8" s="59"/>
      <c r="CG8" s="42"/>
      <c r="CH8" s="59"/>
      <c r="CI8" s="98"/>
      <c r="CJ8" s="101"/>
      <c r="CK8" s="101"/>
      <c r="CL8" s="102"/>
      <c r="CN8" s="125" t="s">
        <v>23</v>
      </c>
      <c r="CO8" s="125"/>
      <c r="CP8" s="59"/>
      <c r="CQ8" s="42"/>
      <c r="CR8" s="59"/>
      <c r="CS8" s="98"/>
      <c r="CT8" s="101"/>
      <c r="CU8" s="101"/>
      <c r="CV8" s="102"/>
      <c r="CX8" s="125" t="s">
        <v>23</v>
      </c>
      <c r="CY8" s="125"/>
      <c r="CZ8" s="59"/>
      <c r="DA8" s="42"/>
      <c r="DB8" s="59"/>
      <c r="DC8" s="98"/>
      <c r="DD8" s="101"/>
      <c r="DE8" s="101"/>
      <c r="DF8" s="102"/>
      <c r="DH8" s="125" t="s">
        <v>23</v>
      </c>
      <c r="DI8" s="125"/>
      <c r="DJ8" s="59"/>
      <c r="DK8" s="42"/>
      <c r="DL8" s="59"/>
      <c r="DM8" s="98"/>
      <c r="DN8" s="101"/>
      <c r="DO8" s="101"/>
      <c r="DP8" s="102"/>
      <c r="DR8" s="64" t="str">
        <f>(DH8)</f>
        <v>الجامعة</v>
      </c>
      <c r="DS8" s="65"/>
      <c r="DT8" s="59"/>
      <c r="DU8" s="42"/>
      <c r="DV8" s="59"/>
      <c r="DW8" s="98"/>
      <c r="DX8" s="101"/>
      <c r="DY8" s="101"/>
      <c r="DZ8" s="102"/>
    </row>
    <row r="9" spans="1:130" ht="15" customHeight="1" thickTop="1" thickBot="1" x14ac:dyDescent="0.25">
      <c r="A9" s="61"/>
      <c r="B9" s="66" t="s">
        <v>14</v>
      </c>
      <c r="C9" s="103">
        <v>13</v>
      </c>
      <c r="D9" s="104">
        <v>2</v>
      </c>
      <c r="E9" s="104">
        <v>2</v>
      </c>
      <c r="F9" s="104">
        <v>25</v>
      </c>
      <c r="G9" s="113" t="s">
        <v>12</v>
      </c>
      <c r="H9" s="116">
        <v>12800</v>
      </c>
      <c r="I9" s="116" t="s">
        <v>13</v>
      </c>
      <c r="J9" s="116">
        <f>H9*38/100</f>
        <v>4864</v>
      </c>
      <c r="L9" s="66" t="s">
        <v>14</v>
      </c>
      <c r="M9" s="67">
        <v>15</v>
      </c>
      <c r="N9" s="44">
        <v>3</v>
      </c>
      <c r="O9" s="44">
        <v>7</v>
      </c>
      <c r="P9" s="44">
        <v>20</v>
      </c>
      <c r="Q9" s="113" t="s">
        <v>12</v>
      </c>
      <c r="R9" s="116">
        <v>12800</v>
      </c>
      <c r="S9" s="116" t="s">
        <v>13</v>
      </c>
      <c r="T9" s="116">
        <f>R9*38/100</f>
        <v>4864</v>
      </c>
      <c r="V9" s="66" t="s">
        <v>14</v>
      </c>
      <c r="W9" s="67">
        <v>19</v>
      </c>
      <c r="X9" s="44">
        <v>4</v>
      </c>
      <c r="Y9" s="44">
        <v>2</v>
      </c>
      <c r="Z9" s="44">
        <v>19</v>
      </c>
      <c r="AA9" s="113" t="s">
        <v>12</v>
      </c>
      <c r="AB9" s="116">
        <v>12800</v>
      </c>
      <c r="AC9" s="116" t="s">
        <v>13</v>
      </c>
      <c r="AD9" s="116">
        <f>AB9*38/100</f>
        <v>4864</v>
      </c>
      <c r="AF9" s="66" t="s">
        <v>14</v>
      </c>
      <c r="AG9" s="103">
        <v>22</v>
      </c>
      <c r="AH9" s="104">
        <v>16</v>
      </c>
      <c r="AI9" s="104">
        <v>1</v>
      </c>
      <c r="AJ9" s="104">
        <v>22</v>
      </c>
      <c r="AK9" s="113" t="s">
        <v>12</v>
      </c>
      <c r="AL9" s="116">
        <v>12800</v>
      </c>
      <c r="AM9" s="116" t="s">
        <v>13</v>
      </c>
      <c r="AN9" s="116">
        <f>AL9*38/100</f>
        <v>4864</v>
      </c>
      <c r="AP9" s="66" t="s">
        <v>14</v>
      </c>
      <c r="AQ9" s="67">
        <v>22</v>
      </c>
      <c r="AR9" s="44">
        <v>0</v>
      </c>
      <c r="AS9" s="44">
        <v>0</v>
      </c>
      <c r="AT9" s="44">
        <v>18</v>
      </c>
      <c r="AU9" s="113" t="s">
        <v>12</v>
      </c>
      <c r="AV9" s="116">
        <v>12800</v>
      </c>
      <c r="AW9" s="116" t="s">
        <v>13</v>
      </c>
      <c r="AX9" s="116">
        <f>AV9*38/100</f>
        <v>4864</v>
      </c>
      <c r="AZ9" s="66" t="s">
        <v>14</v>
      </c>
      <c r="BA9" s="67">
        <v>22</v>
      </c>
      <c r="BB9" s="44">
        <v>4</v>
      </c>
      <c r="BC9" s="44">
        <v>3</v>
      </c>
      <c r="BD9" s="44">
        <v>33</v>
      </c>
      <c r="BE9" s="113" t="s">
        <v>12</v>
      </c>
      <c r="BF9" s="116">
        <v>12800</v>
      </c>
      <c r="BG9" s="116" t="s">
        <v>13</v>
      </c>
      <c r="BH9" s="116">
        <f>BF9*38/100</f>
        <v>4864</v>
      </c>
      <c r="BJ9" s="66" t="s">
        <v>14</v>
      </c>
      <c r="BK9" s="67">
        <v>22</v>
      </c>
      <c r="BL9" s="44">
        <v>0</v>
      </c>
      <c r="BM9" s="44">
        <v>0</v>
      </c>
      <c r="BN9" s="44">
        <v>18</v>
      </c>
      <c r="BO9" s="113" t="s">
        <v>12</v>
      </c>
      <c r="BP9" s="116">
        <v>12800</v>
      </c>
      <c r="BQ9" s="116" t="s">
        <v>13</v>
      </c>
      <c r="BR9" s="116">
        <f>BP9*38/100</f>
        <v>4864</v>
      </c>
      <c r="BT9" s="66" t="s">
        <v>14</v>
      </c>
      <c r="BU9" s="67">
        <v>22</v>
      </c>
      <c r="BV9" s="44">
        <v>0</v>
      </c>
      <c r="BW9" s="44">
        <v>0</v>
      </c>
      <c r="BX9" s="44">
        <v>33</v>
      </c>
      <c r="BY9" s="113" t="s">
        <v>12</v>
      </c>
      <c r="BZ9" s="116">
        <v>12800</v>
      </c>
      <c r="CA9" s="116" t="s">
        <v>13</v>
      </c>
      <c r="CB9" s="116">
        <f>BZ9*38/100</f>
        <v>4864</v>
      </c>
      <c r="CD9" s="66" t="s">
        <v>14</v>
      </c>
      <c r="CE9" s="67">
        <v>22</v>
      </c>
      <c r="CF9" s="44">
        <v>0</v>
      </c>
      <c r="CG9" s="44">
        <v>0</v>
      </c>
      <c r="CH9" s="44">
        <v>18</v>
      </c>
      <c r="CI9" s="113" t="s">
        <v>12</v>
      </c>
      <c r="CJ9" s="116">
        <v>12800</v>
      </c>
      <c r="CK9" s="116" t="s">
        <v>13</v>
      </c>
      <c r="CL9" s="116">
        <f>CJ9*38/100</f>
        <v>4864</v>
      </c>
      <c r="CN9" s="66" t="s">
        <v>14</v>
      </c>
      <c r="CO9" s="67">
        <v>0</v>
      </c>
      <c r="CP9" s="44">
        <v>0</v>
      </c>
      <c r="CQ9" s="44">
        <v>0</v>
      </c>
      <c r="CR9" s="44">
        <v>0</v>
      </c>
      <c r="CS9" s="113" t="s">
        <v>12</v>
      </c>
      <c r="CT9" s="116">
        <v>0</v>
      </c>
      <c r="CU9" s="116" t="s">
        <v>13</v>
      </c>
      <c r="CV9" s="116">
        <f>CT9*38/100</f>
        <v>0</v>
      </c>
      <c r="CX9" s="66" t="s">
        <v>14</v>
      </c>
      <c r="CY9" s="67">
        <v>0</v>
      </c>
      <c r="CZ9" s="44">
        <v>0</v>
      </c>
      <c r="DA9" s="44">
        <v>0</v>
      </c>
      <c r="DB9" s="44">
        <v>0</v>
      </c>
      <c r="DC9" s="113" t="s">
        <v>12</v>
      </c>
      <c r="DD9" s="116">
        <v>0</v>
      </c>
      <c r="DE9" s="116" t="s">
        <v>13</v>
      </c>
      <c r="DF9" s="116">
        <f>DD9*38/100</f>
        <v>0</v>
      </c>
      <c r="DH9" s="66" t="s">
        <v>14</v>
      </c>
      <c r="DI9" s="67">
        <v>0</v>
      </c>
      <c r="DJ9" s="44">
        <v>0</v>
      </c>
      <c r="DK9" s="44">
        <v>0</v>
      </c>
      <c r="DL9" s="44">
        <v>0</v>
      </c>
      <c r="DM9" s="113" t="s">
        <v>12</v>
      </c>
      <c r="DN9" s="116">
        <v>0</v>
      </c>
      <c r="DO9" s="116" t="s">
        <v>13</v>
      </c>
      <c r="DP9" s="116">
        <f>DN9*38/100</f>
        <v>0</v>
      </c>
      <c r="DR9" s="68" t="s">
        <v>14</v>
      </c>
      <c r="DS9" s="69">
        <f>C9+DT9-D9</f>
        <v>40</v>
      </c>
      <c r="DT9" s="70">
        <f>D9+N9+X9+AH9+AR9+BB9+BL9+BV9+CF9+CP9+CZ9+DJ9</f>
        <v>29</v>
      </c>
      <c r="DU9" s="35">
        <f>(E9+O9+Y9+AI9+AS9+BC9+BM9+BW9+CG9+CQ9+DA9+DK9)/12</f>
        <v>1.25</v>
      </c>
      <c r="DV9" s="71">
        <f>F9+P9+Z9+AJ9+AT9+BD9+BN9+BX9+CH9+CR9+DB9+DL9</f>
        <v>206</v>
      </c>
      <c r="DW9" s="113" t="s">
        <v>12</v>
      </c>
      <c r="DX9" s="116">
        <f>DN9</f>
        <v>0</v>
      </c>
      <c r="DY9" s="116" t="s">
        <v>13</v>
      </c>
      <c r="DZ9" s="116">
        <f>DX9*38/100</f>
        <v>0</v>
      </c>
    </row>
    <row r="10" spans="1:130" ht="15" customHeight="1" thickBot="1" x14ac:dyDescent="0.25">
      <c r="A10" s="61"/>
      <c r="B10" s="72" t="s">
        <v>15</v>
      </c>
      <c r="C10" s="105">
        <v>3</v>
      </c>
      <c r="D10" s="106">
        <v>0</v>
      </c>
      <c r="E10" s="106">
        <v>0</v>
      </c>
      <c r="F10" s="106">
        <v>5</v>
      </c>
      <c r="G10" s="114"/>
      <c r="H10" s="117"/>
      <c r="I10" s="117"/>
      <c r="J10" s="117"/>
      <c r="L10" s="72" t="s">
        <v>15</v>
      </c>
      <c r="M10" s="73">
        <v>6</v>
      </c>
      <c r="N10" s="74">
        <v>0</v>
      </c>
      <c r="O10" s="74">
        <v>4</v>
      </c>
      <c r="P10" s="74">
        <v>5</v>
      </c>
      <c r="Q10" s="114"/>
      <c r="R10" s="117"/>
      <c r="S10" s="117"/>
      <c r="T10" s="117"/>
      <c r="V10" s="72" t="s">
        <v>15</v>
      </c>
      <c r="W10" s="73">
        <v>5</v>
      </c>
      <c r="X10" s="74">
        <v>0</v>
      </c>
      <c r="Y10" s="74">
        <v>0</v>
      </c>
      <c r="Z10" s="74">
        <v>5</v>
      </c>
      <c r="AA10" s="114"/>
      <c r="AB10" s="117"/>
      <c r="AC10" s="117"/>
      <c r="AD10" s="117"/>
      <c r="AF10" s="72" t="s">
        <v>15</v>
      </c>
      <c r="AG10" s="105">
        <v>12</v>
      </c>
      <c r="AH10" s="106">
        <v>10</v>
      </c>
      <c r="AI10" s="106">
        <v>1</v>
      </c>
      <c r="AJ10" s="106">
        <v>12</v>
      </c>
      <c r="AK10" s="114"/>
      <c r="AL10" s="117"/>
      <c r="AM10" s="117"/>
      <c r="AN10" s="117"/>
      <c r="AP10" s="72" t="s">
        <v>15</v>
      </c>
      <c r="AQ10" s="73">
        <v>12</v>
      </c>
      <c r="AR10" s="74">
        <v>0</v>
      </c>
      <c r="AS10" s="74">
        <v>0</v>
      </c>
      <c r="AT10" s="74">
        <v>4</v>
      </c>
      <c r="AU10" s="114"/>
      <c r="AV10" s="117"/>
      <c r="AW10" s="117"/>
      <c r="AX10" s="117"/>
      <c r="AZ10" s="72" t="s">
        <v>15</v>
      </c>
      <c r="BA10" s="73">
        <v>12</v>
      </c>
      <c r="BB10" s="74">
        <v>0</v>
      </c>
      <c r="BC10" s="74">
        <v>0</v>
      </c>
      <c r="BD10" s="74">
        <v>13</v>
      </c>
      <c r="BE10" s="114"/>
      <c r="BF10" s="117"/>
      <c r="BG10" s="117"/>
      <c r="BH10" s="117"/>
      <c r="BJ10" s="72" t="s">
        <v>15</v>
      </c>
      <c r="BK10" s="73">
        <v>12</v>
      </c>
      <c r="BL10" s="74">
        <v>0</v>
      </c>
      <c r="BM10" s="74">
        <v>0</v>
      </c>
      <c r="BN10" s="74">
        <v>4</v>
      </c>
      <c r="BO10" s="114"/>
      <c r="BP10" s="117"/>
      <c r="BQ10" s="117"/>
      <c r="BR10" s="117"/>
      <c r="BT10" s="72" t="s">
        <v>15</v>
      </c>
      <c r="BU10" s="73">
        <v>12</v>
      </c>
      <c r="BV10" s="74">
        <v>0</v>
      </c>
      <c r="BW10" s="74">
        <v>0</v>
      </c>
      <c r="BX10" s="74">
        <v>13</v>
      </c>
      <c r="BY10" s="114"/>
      <c r="BZ10" s="117"/>
      <c r="CA10" s="117"/>
      <c r="CB10" s="117"/>
      <c r="CD10" s="72" t="s">
        <v>15</v>
      </c>
      <c r="CE10" s="73">
        <v>12</v>
      </c>
      <c r="CF10" s="74">
        <v>0</v>
      </c>
      <c r="CG10" s="74">
        <v>0</v>
      </c>
      <c r="CH10" s="74">
        <v>4</v>
      </c>
      <c r="CI10" s="114"/>
      <c r="CJ10" s="117"/>
      <c r="CK10" s="117"/>
      <c r="CL10" s="117"/>
      <c r="CN10" s="72" t="s">
        <v>15</v>
      </c>
      <c r="CO10" s="73">
        <v>0</v>
      </c>
      <c r="CP10" s="74">
        <v>0</v>
      </c>
      <c r="CQ10" s="74">
        <v>0</v>
      </c>
      <c r="CR10" s="74">
        <v>0</v>
      </c>
      <c r="CS10" s="114"/>
      <c r="CT10" s="117"/>
      <c r="CU10" s="117"/>
      <c r="CV10" s="117"/>
      <c r="CX10" s="72" t="s">
        <v>15</v>
      </c>
      <c r="CY10" s="73">
        <v>0</v>
      </c>
      <c r="CZ10" s="74">
        <v>0</v>
      </c>
      <c r="DA10" s="74">
        <v>0</v>
      </c>
      <c r="DB10" s="74">
        <v>0</v>
      </c>
      <c r="DC10" s="114"/>
      <c r="DD10" s="117"/>
      <c r="DE10" s="117"/>
      <c r="DF10" s="117"/>
      <c r="DH10" s="72" t="s">
        <v>15</v>
      </c>
      <c r="DI10" s="73">
        <v>0</v>
      </c>
      <c r="DJ10" s="74">
        <v>0</v>
      </c>
      <c r="DK10" s="74">
        <v>0</v>
      </c>
      <c r="DL10" s="74">
        <v>0</v>
      </c>
      <c r="DM10" s="114"/>
      <c r="DN10" s="117"/>
      <c r="DO10" s="117"/>
      <c r="DP10" s="117"/>
      <c r="DR10" s="75" t="s">
        <v>15</v>
      </c>
      <c r="DS10" s="76">
        <f>C10+DT10-D10</f>
        <v>13</v>
      </c>
      <c r="DT10" s="77">
        <f>D10+N10+X10+AH10+AR10+BB10+BL10+BV10+CF10+CP10+CZ10+DJ10</f>
        <v>10</v>
      </c>
      <c r="DU10" s="36">
        <f>(E10+O10+Y10+AI10+AS10+BC10+BM10+BW10+CG10+CQ10+DA10+DK10)/12</f>
        <v>0.41666666666666669</v>
      </c>
      <c r="DV10" s="78">
        <f>F10+P10+Z10+AJ10+AT10+BD10+BN10+BX10+CH10+CR10+DB10+DL10</f>
        <v>65</v>
      </c>
      <c r="DW10" s="114"/>
      <c r="DX10" s="117"/>
      <c r="DY10" s="117"/>
      <c r="DZ10" s="117"/>
    </row>
    <row r="11" spans="1:130" ht="15" customHeight="1" thickBot="1" x14ac:dyDescent="0.25">
      <c r="A11" s="61"/>
      <c r="B11" s="79" t="s">
        <v>16</v>
      </c>
      <c r="C11" s="80">
        <f>SUM(C9:C10)</f>
        <v>16</v>
      </c>
      <c r="D11" s="80">
        <f>SUM(D9:D10)</f>
        <v>2</v>
      </c>
      <c r="E11" s="80">
        <f>SUM(E9:E10)</f>
        <v>2</v>
      </c>
      <c r="F11" s="80">
        <f>SUM(F9:F10)</f>
        <v>30</v>
      </c>
      <c r="G11" s="115"/>
      <c r="H11" s="118"/>
      <c r="I11" s="118"/>
      <c r="J11" s="118"/>
      <c r="L11" s="79" t="s">
        <v>16</v>
      </c>
      <c r="M11" s="80">
        <f>SUM(M9:M10)</f>
        <v>21</v>
      </c>
      <c r="N11" s="80">
        <f>SUM(N9:N10)</f>
        <v>3</v>
      </c>
      <c r="O11" s="80">
        <f>SUM(O9:O10)</f>
        <v>11</v>
      </c>
      <c r="P11" s="80">
        <f>SUM(P9:P10)</f>
        <v>25</v>
      </c>
      <c r="Q11" s="115"/>
      <c r="R11" s="118"/>
      <c r="S11" s="118"/>
      <c r="T11" s="118"/>
      <c r="V11" s="79" t="s">
        <v>16</v>
      </c>
      <c r="W11" s="80">
        <f>SUM(W9:W10)</f>
        <v>24</v>
      </c>
      <c r="X11" s="80">
        <f>SUM(X9:X10)</f>
        <v>4</v>
      </c>
      <c r="Y11" s="80">
        <f>SUM(Y9:Y10)</f>
        <v>2</v>
      </c>
      <c r="Z11" s="80">
        <f>SUM(Z9:Z10)</f>
        <v>24</v>
      </c>
      <c r="AA11" s="115"/>
      <c r="AB11" s="118"/>
      <c r="AC11" s="118"/>
      <c r="AD11" s="118"/>
      <c r="AF11" s="79" t="s">
        <v>16</v>
      </c>
      <c r="AG11" s="80">
        <f>SUM(AG9:AG10)</f>
        <v>34</v>
      </c>
      <c r="AH11" s="80">
        <f>SUM(AH9:AH10)</f>
        <v>26</v>
      </c>
      <c r="AI11" s="80">
        <f>SUM(AI9:AI10)</f>
        <v>2</v>
      </c>
      <c r="AJ11" s="80">
        <f>SUM(AJ9:AJ10)</f>
        <v>34</v>
      </c>
      <c r="AK11" s="115"/>
      <c r="AL11" s="118"/>
      <c r="AM11" s="118"/>
      <c r="AN11" s="118"/>
      <c r="AP11" s="79" t="s">
        <v>16</v>
      </c>
      <c r="AQ11" s="80">
        <f>SUM(AQ9:AQ10)</f>
        <v>34</v>
      </c>
      <c r="AR11" s="80">
        <f>SUM(AR9:AR10)</f>
        <v>0</v>
      </c>
      <c r="AS11" s="80">
        <f>SUM(AS9:AS10)</f>
        <v>0</v>
      </c>
      <c r="AT11" s="80">
        <f>SUM(AT9:AT10)</f>
        <v>22</v>
      </c>
      <c r="AU11" s="115"/>
      <c r="AV11" s="118"/>
      <c r="AW11" s="118"/>
      <c r="AX11" s="118"/>
      <c r="AZ11" s="79" t="s">
        <v>16</v>
      </c>
      <c r="BA11" s="80">
        <f>SUM(BA9:BA10)</f>
        <v>34</v>
      </c>
      <c r="BB11" s="80">
        <f>SUM(BB9:BB10)</f>
        <v>4</v>
      </c>
      <c r="BC11" s="80">
        <f>SUM(BC9:BC10)</f>
        <v>3</v>
      </c>
      <c r="BD11" s="80">
        <f>SUM(BD9:BD10)</f>
        <v>46</v>
      </c>
      <c r="BE11" s="115"/>
      <c r="BF11" s="118"/>
      <c r="BG11" s="118"/>
      <c r="BH11" s="118"/>
      <c r="BJ11" s="79" t="s">
        <v>16</v>
      </c>
      <c r="BK11" s="80">
        <f>SUM(BK9:BK10)</f>
        <v>34</v>
      </c>
      <c r="BL11" s="80">
        <f>SUM(BL9:BL10)</f>
        <v>0</v>
      </c>
      <c r="BM11" s="80">
        <f>SUM(BM9:BM10)</f>
        <v>0</v>
      </c>
      <c r="BN11" s="80">
        <f>SUM(BN9:BN10)</f>
        <v>22</v>
      </c>
      <c r="BO11" s="115"/>
      <c r="BP11" s="118"/>
      <c r="BQ11" s="118"/>
      <c r="BR11" s="118"/>
      <c r="BT11" s="79" t="s">
        <v>16</v>
      </c>
      <c r="BU11" s="80">
        <f>SUM(BU9:BU10)</f>
        <v>34</v>
      </c>
      <c r="BV11" s="80">
        <f>SUM(BV9:BV10)</f>
        <v>0</v>
      </c>
      <c r="BW11" s="80">
        <f>SUM(BW9:BW10)</f>
        <v>0</v>
      </c>
      <c r="BX11" s="80">
        <f>SUM(BX9:BX10)</f>
        <v>46</v>
      </c>
      <c r="BY11" s="115"/>
      <c r="BZ11" s="118"/>
      <c r="CA11" s="118"/>
      <c r="CB11" s="118"/>
      <c r="CD11" s="79" t="s">
        <v>16</v>
      </c>
      <c r="CE11" s="80">
        <f>SUM(CE9:CE10)</f>
        <v>34</v>
      </c>
      <c r="CF11" s="80">
        <f>SUM(CF9:CF10)</f>
        <v>0</v>
      </c>
      <c r="CG11" s="80">
        <f>SUM(CG9:CG10)</f>
        <v>0</v>
      </c>
      <c r="CH11" s="80">
        <f>SUM(CH9:CH10)</f>
        <v>22</v>
      </c>
      <c r="CI11" s="115"/>
      <c r="CJ11" s="118"/>
      <c r="CK11" s="118"/>
      <c r="CL11" s="118"/>
      <c r="CN11" s="79" t="s">
        <v>16</v>
      </c>
      <c r="CO11" s="80">
        <f>SUM(CO9:CO10)</f>
        <v>0</v>
      </c>
      <c r="CP11" s="80">
        <f>SUM(CP9:CP10)</f>
        <v>0</v>
      </c>
      <c r="CQ11" s="80">
        <f>SUM(CQ9:CQ10)</f>
        <v>0</v>
      </c>
      <c r="CR11" s="80">
        <f>SUM(CR9:CR10)</f>
        <v>0</v>
      </c>
      <c r="CS11" s="115"/>
      <c r="CT11" s="118"/>
      <c r="CU11" s="118"/>
      <c r="CV11" s="118"/>
      <c r="CX11" s="79" t="s">
        <v>16</v>
      </c>
      <c r="CY11" s="80">
        <f>SUM(CY9:CY10)</f>
        <v>0</v>
      </c>
      <c r="CZ11" s="80">
        <f>SUM(CZ9:CZ10)</f>
        <v>0</v>
      </c>
      <c r="DA11" s="80">
        <f>SUM(DA9:DA10)</f>
        <v>0</v>
      </c>
      <c r="DB11" s="80">
        <f>SUM(DB9:DB10)</f>
        <v>0</v>
      </c>
      <c r="DC11" s="115"/>
      <c r="DD11" s="118"/>
      <c r="DE11" s="118"/>
      <c r="DF11" s="118"/>
      <c r="DH11" s="79" t="s">
        <v>16</v>
      </c>
      <c r="DI11" s="80">
        <f>SUM(DI9:DI10)</f>
        <v>0</v>
      </c>
      <c r="DJ11" s="80">
        <f>SUM(DJ9:DJ10)</f>
        <v>0</v>
      </c>
      <c r="DK11" s="80">
        <f>SUM(DK9:DK10)</f>
        <v>0</v>
      </c>
      <c r="DL11" s="80">
        <f>SUM(DL9:DL10)</f>
        <v>0</v>
      </c>
      <c r="DM11" s="115"/>
      <c r="DN11" s="118"/>
      <c r="DO11" s="118"/>
      <c r="DP11" s="118"/>
      <c r="DR11" s="81" t="s">
        <v>16</v>
      </c>
      <c r="DS11" s="37">
        <f>SUM(DS9:DS10)</f>
        <v>53</v>
      </c>
      <c r="DT11" s="82">
        <f>SUM(DT9:DT10)</f>
        <v>39</v>
      </c>
      <c r="DU11" s="37">
        <f>SUM(DU9:DU10)</f>
        <v>1.6666666666666667</v>
      </c>
      <c r="DV11" s="83">
        <f>SUM(DV9:DV10)</f>
        <v>271</v>
      </c>
      <c r="DW11" s="115"/>
      <c r="DX11" s="118"/>
      <c r="DY11" s="118"/>
      <c r="DZ11" s="118"/>
    </row>
    <row r="12" spans="1:130" ht="15" customHeight="1" thickBot="1" x14ac:dyDescent="0.25">
      <c r="A12" s="39"/>
      <c r="B12" s="125" t="s">
        <v>24</v>
      </c>
      <c r="C12" s="125"/>
      <c r="D12" s="84"/>
      <c r="E12" s="43"/>
      <c r="F12" s="84"/>
      <c r="G12" s="98"/>
      <c r="H12" s="101"/>
      <c r="I12" s="101"/>
      <c r="J12" s="102"/>
      <c r="L12" s="125" t="s">
        <v>24</v>
      </c>
      <c r="M12" s="125"/>
      <c r="N12" s="84"/>
      <c r="O12" s="43"/>
      <c r="P12" s="84"/>
      <c r="Q12" s="98"/>
      <c r="R12" s="101"/>
      <c r="S12" s="101"/>
      <c r="T12" s="102"/>
      <c r="V12" s="125" t="s">
        <v>24</v>
      </c>
      <c r="W12" s="125"/>
      <c r="X12" s="84"/>
      <c r="Y12" s="43"/>
      <c r="Z12" s="84"/>
      <c r="AA12" s="98"/>
      <c r="AB12" s="101"/>
      <c r="AC12" s="101"/>
      <c r="AD12" s="102"/>
      <c r="AF12" s="125" t="s">
        <v>24</v>
      </c>
      <c r="AG12" s="125"/>
      <c r="AH12" s="84"/>
      <c r="AI12" s="43"/>
      <c r="AJ12" s="84"/>
      <c r="AK12" s="98"/>
      <c r="AL12" s="101"/>
      <c r="AM12" s="101"/>
      <c r="AN12" s="102"/>
      <c r="AP12" s="125" t="s">
        <v>24</v>
      </c>
      <c r="AQ12" s="125"/>
      <c r="AR12" s="84"/>
      <c r="AS12" s="43"/>
      <c r="AT12" s="84"/>
      <c r="AU12" s="98"/>
      <c r="AV12" s="101"/>
      <c r="AW12" s="101"/>
      <c r="AX12" s="102"/>
      <c r="AZ12" s="125" t="s">
        <v>24</v>
      </c>
      <c r="BA12" s="125"/>
      <c r="BB12" s="84"/>
      <c r="BC12" s="43"/>
      <c r="BD12" s="84"/>
      <c r="BE12" s="98"/>
      <c r="BF12" s="101"/>
      <c r="BG12" s="101"/>
      <c r="BH12" s="102"/>
      <c r="BJ12" s="125" t="s">
        <v>24</v>
      </c>
      <c r="BK12" s="125"/>
      <c r="BL12" s="84"/>
      <c r="BM12" s="43"/>
      <c r="BN12" s="84"/>
      <c r="BO12" s="98"/>
      <c r="BP12" s="101"/>
      <c r="BQ12" s="101"/>
      <c r="BR12" s="102"/>
      <c r="BT12" s="125" t="s">
        <v>24</v>
      </c>
      <c r="BU12" s="125"/>
      <c r="BV12" s="84"/>
      <c r="BW12" s="43"/>
      <c r="BX12" s="84"/>
      <c r="BY12" s="98"/>
      <c r="BZ12" s="101"/>
      <c r="CA12" s="101"/>
      <c r="CB12" s="102"/>
      <c r="CD12" s="125" t="s">
        <v>24</v>
      </c>
      <c r="CE12" s="125"/>
      <c r="CF12" s="84"/>
      <c r="CG12" s="43"/>
      <c r="CH12" s="84"/>
      <c r="CI12" s="98"/>
      <c r="CJ12" s="101"/>
      <c r="CK12" s="101"/>
      <c r="CL12" s="102"/>
      <c r="CN12" s="125" t="s">
        <v>24</v>
      </c>
      <c r="CO12" s="125"/>
      <c r="CP12" s="84"/>
      <c r="CQ12" s="43"/>
      <c r="CR12" s="84"/>
      <c r="CS12" s="98"/>
      <c r="CT12" s="101"/>
      <c r="CU12" s="101"/>
      <c r="CV12" s="102"/>
      <c r="CX12" s="125" t="s">
        <v>24</v>
      </c>
      <c r="CY12" s="125"/>
      <c r="CZ12" s="84"/>
      <c r="DA12" s="43"/>
      <c r="DB12" s="84"/>
      <c r="DC12" s="98"/>
      <c r="DD12" s="101"/>
      <c r="DE12" s="101"/>
      <c r="DF12" s="102"/>
      <c r="DH12" s="125" t="s">
        <v>24</v>
      </c>
      <c r="DI12" s="125"/>
      <c r="DJ12" s="84"/>
      <c r="DK12" s="43"/>
      <c r="DL12" s="84"/>
      <c r="DM12" s="98"/>
      <c r="DN12" s="101"/>
      <c r="DO12" s="101"/>
      <c r="DP12" s="102"/>
      <c r="DR12" s="85" t="str">
        <f>(DH12)</f>
        <v>السليمانية</v>
      </c>
      <c r="DS12" s="86"/>
      <c r="DT12" s="84"/>
      <c r="DU12" s="43"/>
      <c r="DV12" s="84"/>
      <c r="DW12" s="98"/>
      <c r="DX12" s="101"/>
      <c r="DY12" s="101"/>
      <c r="DZ12" s="102"/>
    </row>
    <row r="13" spans="1:130" ht="15" customHeight="1" thickTop="1" thickBot="1" x14ac:dyDescent="0.25">
      <c r="A13" s="61"/>
      <c r="B13" s="66" t="s">
        <v>14</v>
      </c>
      <c r="C13" s="107">
        <v>25</v>
      </c>
      <c r="D13" s="108">
        <v>2</v>
      </c>
      <c r="E13" s="108">
        <v>3</v>
      </c>
      <c r="F13" s="109">
        <v>7</v>
      </c>
      <c r="G13" s="113" t="s">
        <v>12</v>
      </c>
      <c r="H13" s="116">
        <v>9766</v>
      </c>
      <c r="I13" s="116" t="s">
        <v>13</v>
      </c>
      <c r="J13" s="116">
        <f>H13*38/100</f>
        <v>3711.08</v>
      </c>
      <c r="L13" s="66" t="s">
        <v>14</v>
      </c>
      <c r="M13" s="67">
        <v>36</v>
      </c>
      <c r="N13" s="44">
        <v>5</v>
      </c>
      <c r="O13" s="44">
        <v>0</v>
      </c>
      <c r="P13" s="44">
        <v>20</v>
      </c>
      <c r="Q13" s="113" t="s">
        <v>12</v>
      </c>
      <c r="R13" s="116">
        <v>8544</v>
      </c>
      <c r="S13" s="116" t="s">
        <v>13</v>
      </c>
      <c r="T13" s="116">
        <f>R13*38/100</f>
        <v>3246.72</v>
      </c>
      <c r="V13" s="66" t="s">
        <v>14</v>
      </c>
      <c r="W13" s="67">
        <v>0</v>
      </c>
      <c r="X13" s="44">
        <v>0</v>
      </c>
      <c r="Y13" s="44">
        <v>0</v>
      </c>
      <c r="Z13" s="44">
        <v>0</v>
      </c>
      <c r="AA13" s="113" t="s">
        <v>12</v>
      </c>
      <c r="AB13" s="116">
        <v>0</v>
      </c>
      <c r="AC13" s="116" t="s">
        <v>13</v>
      </c>
      <c r="AD13" s="116">
        <f>AB13*38/100</f>
        <v>0</v>
      </c>
      <c r="AF13" s="66" t="s">
        <v>14</v>
      </c>
      <c r="AG13" s="67">
        <v>0</v>
      </c>
      <c r="AH13" s="44">
        <v>0</v>
      </c>
      <c r="AI13" s="44">
        <v>0</v>
      </c>
      <c r="AJ13" s="44">
        <v>16</v>
      </c>
      <c r="AK13" s="113" t="s">
        <v>12</v>
      </c>
      <c r="AL13" s="116">
        <v>8544</v>
      </c>
      <c r="AM13" s="116" t="s">
        <v>13</v>
      </c>
      <c r="AN13" s="116">
        <f>AL13*38/100</f>
        <v>3246.72</v>
      </c>
      <c r="AP13" s="66" t="s">
        <v>14</v>
      </c>
      <c r="AQ13" s="67">
        <v>0</v>
      </c>
      <c r="AR13" s="44">
        <v>0</v>
      </c>
      <c r="AS13" s="44">
        <v>0</v>
      </c>
      <c r="AT13" s="44">
        <v>1</v>
      </c>
      <c r="AU13" s="113" t="s">
        <v>12</v>
      </c>
      <c r="AV13" s="116">
        <v>8544</v>
      </c>
      <c r="AW13" s="116" t="s">
        <v>13</v>
      </c>
      <c r="AX13" s="116">
        <f>AV13*38/100</f>
        <v>3246.72</v>
      </c>
      <c r="AZ13" s="66" t="s">
        <v>14</v>
      </c>
      <c r="BA13" s="67">
        <v>73</v>
      </c>
      <c r="BB13" s="44">
        <v>0</v>
      </c>
      <c r="BC13" s="44">
        <v>3</v>
      </c>
      <c r="BD13" s="44">
        <v>0</v>
      </c>
      <c r="BE13" s="113" t="s">
        <v>12</v>
      </c>
      <c r="BF13" s="116">
        <v>8544</v>
      </c>
      <c r="BG13" s="116" t="s">
        <v>13</v>
      </c>
      <c r="BH13" s="116">
        <f>BF13*38/100</f>
        <v>3246.72</v>
      </c>
      <c r="BJ13" s="66" t="s">
        <v>14</v>
      </c>
      <c r="BK13" s="67">
        <v>74</v>
      </c>
      <c r="BL13" s="44">
        <v>0</v>
      </c>
      <c r="BM13" s="44">
        <v>0</v>
      </c>
      <c r="BN13" s="44">
        <v>22</v>
      </c>
      <c r="BO13" s="113" t="s">
        <v>12</v>
      </c>
      <c r="BP13" s="116">
        <v>8544</v>
      </c>
      <c r="BQ13" s="116" t="s">
        <v>13</v>
      </c>
      <c r="BR13" s="116">
        <f>BP13*38/100</f>
        <v>3246.72</v>
      </c>
      <c r="BT13" s="66" t="s">
        <v>14</v>
      </c>
      <c r="BU13" s="67">
        <v>74</v>
      </c>
      <c r="BV13" s="44">
        <v>0</v>
      </c>
      <c r="BW13" s="44">
        <v>0</v>
      </c>
      <c r="BX13" s="44">
        <v>0</v>
      </c>
      <c r="BY13" s="113" t="s">
        <v>12</v>
      </c>
      <c r="BZ13" s="116">
        <v>8544</v>
      </c>
      <c r="CA13" s="116" t="s">
        <v>13</v>
      </c>
      <c r="CB13" s="116">
        <f>BZ13*38/100</f>
        <v>3246.72</v>
      </c>
      <c r="CD13" s="66" t="s">
        <v>14</v>
      </c>
      <c r="CE13" s="67">
        <v>74</v>
      </c>
      <c r="CF13" s="44">
        <v>0</v>
      </c>
      <c r="CG13" s="44">
        <v>0</v>
      </c>
      <c r="CH13" s="44">
        <v>35</v>
      </c>
      <c r="CI13" s="113" t="s">
        <v>12</v>
      </c>
      <c r="CJ13" s="116">
        <v>8544</v>
      </c>
      <c r="CK13" s="116" t="s">
        <v>13</v>
      </c>
      <c r="CL13" s="116">
        <f>CJ13*38/100</f>
        <v>3246.72</v>
      </c>
      <c r="CN13" s="66" t="s">
        <v>14</v>
      </c>
      <c r="CO13" s="67">
        <v>0</v>
      </c>
      <c r="CP13" s="44">
        <v>0</v>
      </c>
      <c r="CQ13" s="44">
        <v>0</v>
      </c>
      <c r="CR13" s="44">
        <v>25</v>
      </c>
      <c r="CS13" s="113" t="s">
        <v>12</v>
      </c>
      <c r="CT13" s="116">
        <v>8544</v>
      </c>
      <c r="CU13" s="116" t="s">
        <v>13</v>
      </c>
      <c r="CV13" s="116">
        <f>CT13*38/100</f>
        <v>3246.72</v>
      </c>
      <c r="CX13" s="66" t="s">
        <v>14</v>
      </c>
      <c r="CY13" s="67">
        <v>0</v>
      </c>
      <c r="CZ13" s="44">
        <v>0</v>
      </c>
      <c r="DA13" s="44">
        <v>0</v>
      </c>
      <c r="DB13" s="44">
        <v>0</v>
      </c>
      <c r="DC13" s="113" t="s">
        <v>12</v>
      </c>
      <c r="DD13" s="116">
        <v>0</v>
      </c>
      <c r="DE13" s="116" t="s">
        <v>13</v>
      </c>
      <c r="DF13" s="116">
        <f>DD13*38/100</f>
        <v>0</v>
      </c>
      <c r="DH13" s="66" t="s">
        <v>14</v>
      </c>
      <c r="DI13" s="67">
        <v>0</v>
      </c>
      <c r="DJ13" s="44">
        <v>0</v>
      </c>
      <c r="DK13" s="44">
        <v>0</v>
      </c>
      <c r="DL13" s="44">
        <v>0</v>
      </c>
      <c r="DM13" s="113" t="s">
        <v>12</v>
      </c>
      <c r="DN13" s="116">
        <v>0</v>
      </c>
      <c r="DO13" s="116" t="s">
        <v>13</v>
      </c>
      <c r="DP13" s="116">
        <f>DN13*38/100</f>
        <v>0</v>
      </c>
      <c r="DR13" s="68" t="s">
        <v>14</v>
      </c>
      <c r="DS13" s="69">
        <f>C13+DT13-D13</f>
        <v>30</v>
      </c>
      <c r="DT13" s="70">
        <f>D13+N13+X13+AH13+AR13+BB13+BL13+BV13+CF13+CP13+CZ13+DJ13</f>
        <v>7</v>
      </c>
      <c r="DU13" s="35">
        <f>(E13+O13+Y13+AI13+AS13+BC13+BM13+BW13+CG13+CQ13+DA13+DK13)/12</f>
        <v>0.5</v>
      </c>
      <c r="DV13" s="71">
        <f>F13+P13+Z13+AJ13+AT13+BD13+BN13+BX13+CH13+CR13+DB13+DL13</f>
        <v>126</v>
      </c>
      <c r="DW13" s="113" t="s">
        <v>12</v>
      </c>
      <c r="DX13" s="116">
        <f>DN13</f>
        <v>0</v>
      </c>
      <c r="DY13" s="116" t="s">
        <v>13</v>
      </c>
      <c r="DZ13" s="116">
        <f>DX13*38/100</f>
        <v>0</v>
      </c>
    </row>
    <row r="14" spans="1:130" ht="15" customHeight="1" thickBot="1" x14ac:dyDescent="0.25">
      <c r="A14" s="61"/>
      <c r="B14" s="72" t="s">
        <v>15</v>
      </c>
      <c r="C14" s="110">
        <v>0</v>
      </c>
      <c r="D14" s="111">
        <v>0</v>
      </c>
      <c r="E14" s="111">
        <v>0</v>
      </c>
      <c r="F14" s="112">
        <v>0</v>
      </c>
      <c r="G14" s="114"/>
      <c r="H14" s="117"/>
      <c r="I14" s="117"/>
      <c r="J14" s="117"/>
      <c r="L14" s="72" t="s">
        <v>15</v>
      </c>
      <c r="M14" s="73">
        <v>0</v>
      </c>
      <c r="N14" s="74">
        <v>0</v>
      </c>
      <c r="O14" s="74">
        <v>0</v>
      </c>
      <c r="P14" s="74">
        <v>0</v>
      </c>
      <c r="Q14" s="114"/>
      <c r="R14" s="117"/>
      <c r="S14" s="117"/>
      <c r="T14" s="117"/>
      <c r="V14" s="72" t="s">
        <v>15</v>
      </c>
      <c r="W14" s="73">
        <v>0</v>
      </c>
      <c r="X14" s="74">
        <v>0</v>
      </c>
      <c r="Y14" s="74">
        <v>0</v>
      </c>
      <c r="Z14" s="74">
        <v>0</v>
      </c>
      <c r="AA14" s="114"/>
      <c r="AB14" s="117"/>
      <c r="AC14" s="117"/>
      <c r="AD14" s="117"/>
      <c r="AF14" s="72" t="s">
        <v>15</v>
      </c>
      <c r="AG14" s="73">
        <v>0</v>
      </c>
      <c r="AH14" s="74">
        <v>0</v>
      </c>
      <c r="AI14" s="74">
        <v>0</v>
      </c>
      <c r="AJ14" s="74">
        <v>1</v>
      </c>
      <c r="AK14" s="114"/>
      <c r="AL14" s="117"/>
      <c r="AM14" s="117"/>
      <c r="AN14" s="117"/>
      <c r="AP14" s="72" t="s">
        <v>15</v>
      </c>
      <c r="AQ14" s="73">
        <v>0</v>
      </c>
      <c r="AR14" s="74">
        <v>0</v>
      </c>
      <c r="AS14" s="74">
        <v>0</v>
      </c>
      <c r="AT14" s="74">
        <v>0</v>
      </c>
      <c r="AU14" s="114"/>
      <c r="AV14" s="117"/>
      <c r="AW14" s="117"/>
      <c r="AX14" s="117"/>
      <c r="AZ14" s="72" t="s">
        <v>15</v>
      </c>
      <c r="BA14" s="73">
        <v>21</v>
      </c>
      <c r="BB14" s="74">
        <v>0</v>
      </c>
      <c r="BC14" s="74">
        <v>4</v>
      </c>
      <c r="BD14" s="74">
        <v>0</v>
      </c>
      <c r="BE14" s="114"/>
      <c r="BF14" s="117"/>
      <c r="BG14" s="117"/>
      <c r="BH14" s="117"/>
      <c r="BJ14" s="72" t="s">
        <v>15</v>
      </c>
      <c r="BK14" s="73">
        <v>22</v>
      </c>
      <c r="BL14" s="74">
        <v>0</v>
      </c>
      <c r="BM14" s="74">
        <v>0</v>
      </c>
      <c r="BN14" s="74">
        <v>0</v>
      </c>
      <c r="BO14" s="114"/>
      <c r="BP14" s="117"/>
      <c r="BQ14" s="117"/>
      <c r="BR14" s="117"/>
      <c r="BT14" s="72" t="s">
        <v>15</v>
      </c>
      <c r="BU14" s="73">
        <v>22</v>
      </c>
      <c r="BV14" s="74">
        <v>0</v>
      </c>
      <c r="BW14" s="74">
        <v>0</v>
      </c>
      <c r="BX14" s="74">
        <v>0</v>
      </c>
      <c r="BY14" s="114"/>
      <c r="BZ14" s="117"/>
      <c r="CA14" s="117"/>
      <c r="CB14" s="117"/>
      <c r="CD14" s="72" t="s">
        <v>15</v>
      </c>
      <c r="CE14" s="73">
        <v>22</v>
      </c>
      <c r="CF14" s="74">
        <v>0</v>
      </c>
      <c r="CG14" s="74">
        <v>0</v>
      </c>
      <c r="CH14" s="74">
        <v>5</v>
      </c>
      <c r="CI14" s="114"/>
      <c r="CJ14" s="117"/>
      <c r="CK14" s="117"/>
      <c r="CL14" s="117"/>
      <c r="CN14" s="72" t="s">
        <v>15</v>
      </c>
      <c r="CO14" s="73">
        <v>0</v>
      </c>
      <c r="CP14" s="74">
        <v>0</v>
      </c>
      <c r="CQ14" s="74">
        <v>0</v>
      </c>
      <c r="CR14" s="74">
        <v>0</v>
      </c>
      <c r="CS14" s="114"/>
      <c r="CT14" s="117"/>
      <c r="CU14" s="117"/>
      <c r="CV14" s="117"/>
      <c r="CX14" s="72" t="s">
        <v>15</v>
      </c>
      <c r="CY14" s="73">
        <v>0</v>
      </c>
      <c r="CZ14" s="74">
        <v>0</v>
      </c>
      <c r="DA14" s="74">
        <v>0</v>
      </c>
      <c r="DB14" s="74">
        <v>0</v>
      </c>
      <c r="DC14" s="114"/>
      <c r="DD14" s="117"/>
      <c r="DE14" s="117"/>
      <c r="DF14" s="117"/>
      <c r="DH14" s="72" t="s">
        <v>15</v>
      </c>
      <c r="DI14" s="73">
        <v>0</v>
      </c>
      <c r="DJ14" s="74">
        <v>0</v>
      </c>
      <c r="DK14" s="74">
        <v>0</v>
      </c>
      <c r="DL14" s="74">
        <v>0</v>
      </c>
      <c r="DM14" s="114"/>
      <c r="DN14" s="117"/>
      <c r="DO14" s="117"/>
      <c r="DP14" s="117"/>
      <c r="DR14" s="75" t="s">
        <v>15</v>
      </c>
      <c r="DS14" s="76">
        <f>C14+DT14-D14</f>
        <v>0</v>
      </c>
      <c r="DT14" s="77">
        <f>D14+N14+X14+AH14+AR14+BB14+BL14+BV14+CF14+CP14+CZ14+DJ14</f>
        <v>0</v>
      </c>
      <c r="DU14" s="36">
        <f>(E14+O14+Y14+AI14+AS14+BC14+BM14+BW14+CG14+CQ14+DA14+DK14)/12</f>
        <v>0.33333333333333331</v>
      </c>
      <c r="DV14" s="78">
        <f>F14+P14+Z14+AJ14+AT14+BD14+BN14+BX14+CH14+CR14+DB14+DL14</f>
        <v>6</v>
      </c>
      <c r="DW14" s="114"/>
      <c r="DX14" s="117"/>
      <c r="DY14" s="117"/>
      <c r="DZ14" s="117"/>
    </row>
    <row r="15" spans="1:130" ht="15" customHeight="1" thickBot="1" x14ac:dyDescent="0.25">
      <c r="A15" s="61"/>
      <c r="B15" s="79" t="s">
        <v>16</v>
      </c>
      <c r="C15" s="80">
        <f>SUM(C13:C14)</f>
        <v>25</v>
      </c>
      <c r="D15" s="80">
        <f>SUM(D13:D14)</f>
        <v>2</v>
      </c>
      <c r="E15" s="80">
        <f>SUM(E13:E14)</f>
        <v>3</v>
      </c>
      <c r="F15" s="80">
        <f>SUM(F13:F14)</f>
        <v>7</v>
      </c>
      <c r="G15" s="115"/>
      <c r="H15" s="118"/>
      <c r="I15" s="118"/>
      <c r="J15" s="118"/>
      <c r="L15" s="79" t="s">
        <v>16</v>
      </c>
      <c r="M15" s="80">
        <f>SUM(M13:M14)</f>
        <v>36</v>
      </c>
      <c r="N15" s="80">
        <f>SUM(N13:N14)</f>
        <v>5</v>
      </c>
      <c r="O15" s="80">
        <f>SUM(O13:O14)</f>
        <v>0</v>
      </c>
      <c r="P15" s="80">
        <f>SUM(P13:P14)</f>
        <v>20</v>
      </c>
      <c r="Q15" s="115"/>
      <c r="R15" s="118"/>
      <c r="S15" s="118"/>
      <c r="T15" s="118"/>
      <c r="V15" s="79" t="s">
        <v>16</v>
      </c>
      <c r="W15" s="80">
        <f>SUM(W13:W14)</f>
        <v>0</v>
      </c>
      <c r="X15" s="80">
        <f>SUM(X13:X14)</f>
        <v>0</v>
      </c>
      <c r="Y15" s="80">
        <f>SUM(Y13:Y14)</f>
        <v>0</v>
      </c>
      <c r="Z15" s="80">
        <f>SUM(Z13:Z14)</f>
        <v>0</v>
      </c>
      <c r="AA15" s="115"/>
      <c r="AB15" s="118"/>
      <c r="AC15" s="118"/>
      <c r="AD15" s="118"/>
      <c r="AF15" s="79" t="s">
        <v>16</v>
      </c>
      <c r="AG15" s="80">
        <f>SUM(AG13:AG14)</f>
        <v>0</v>
      </c>
      <c r="AH15" s="80">
        <f>SUM(AH13:AH14)</f>
        <v>0</v>
      </c>
      <c r="AI15" s="80">
        <f>SUM(AI13:AI14)</f>
        <v>0</v>
      </c>
      <c r="AJ15" s="80">
        <f>SUM(AJ13:AJ14)</f>
        <v>17</v>
      </c>
      <c r="AK15" s="115"/>
      <c r="AL15" s="118"/>
      <c r="AM15" s="118"/>
      <c r="AN15" s="118"/>
      <c r="AP15" s="79" t="s">
        <v>16</v>
      </c>
      <c r="AQ15" s="80">
        <f>SUM(AQ13:AQ14)</f>
        <v>0</v>
      </c>
      <c r="AR15" s="80">
        <f>SUM(AR13:AR14)</f>
        <v>0</v>
      </c>
      <c r="AS15" s="80">
        <f>SUM(AS13:AS14)</f>
        <v>0</v>
      </c>
      <c r="AT15" s="80">
        <f>SUM(AT13:AT14)</f>
        <v>1</v>
      </c>
      <c r="AU15" s="115"/>
      <c r="AV15" s="118"/>
      <c r="AW15" s="118"/>
      <c r="AX15" s="118"/>
      <c r="AZ15" s="79" t="s">
        <v>16</v>
      </c>
      <c r="BA15" s="80">
        <f>SUM(BA13:BA14)</f>
        <v>94</v>
      </c>
      <c r="BB15" s="80">
        <f>SUM(BB13:BB14)</f>
        <v>0</v>
      </c>
      <c r="BC15" s="80">
        <f>SUM(BC13:BC14)</f>
        <v>7</v>
      </c>
      <c r="BD15" s="80">
        <f>SUM(BD13:BD14)</f>
        <v>0</v>
      </c>
      <c r="BE15" s="115"/>
      <c r="BF15" s="118"/>
      <c r="BG15" s="118"/>
      <c r="BH15" s="118"/>
      <c r="BJ15" s="79" t="s">
        <v>16</v>
      </c>
      <c r="BK15" s="80">
        <f>SUM(BK13:BK14)</f>
        <v>96</v>
      </c>
      <c r="BL15" s="80">
        <f>SUM(BL13:BL14)</f>
        <v>0</v>
      </c>
      <c r="BM15" s="80">
        <f>SUM(BM13:BM14)</f>
        <v>0</v>
      </c>
      <c r="BN15" s="80">
        <f>SUM(BN13:BN14)</f>
        <v>22</v>
      </c>
      <c r="BO15" s="115"/>
      <c r="BP15" s="118"/>
      <c r="BQ15" s="118"/>
      <c r="BR15" s="118"/>
      <c r="BT15" s="79" t="s">
        <v>16</v>
      </c>
      <c r="BU15" s="80">
        <f>SUM(BU13:BU14)</f>
        <v>96</v>
      </c>
      <c r="BV15" s="80">
        <f>SUM(BV13:BV14)</f>
        <v>0</v>
      </c>
      <c r="BW15" s="80">
        <f>SUM(BW13:BW14)</f>
        <v>0</v>
      </c>
      <c r="BX15" s="80">
        <f>SUM(BX13:BX14)</f>
        <v>0</v>
      </c>
      <c r="BY15" s="115"/>
      <c r="BZ15" s="118"/>
      <c r="CA15" s="118"/>
      <c r="CB15" s="118"/>
      <c r="CD15" s="79" t="s">
        <v>16</v>
      </c>
      <c r="CE15" s="80">
        <f>SUM(CE13:CE14)</f>
        <v>96</v>
      </c>
      <c r="CF15" s="80">
        <f>SUM(CF13:CF14)</f>
        <v>0</v>
      </c>
      <c r="CG15" s="80">
        <f>SUM(CG13:CG14)</f>
        <v>0</v>
      </c>
      <c r="CH15" s="80">
        <f>SUM(CH13:CH14)</f>
        <v>40</v>
      </c>
      <c r="CI15" s="115"/>
      <c r="CJ15" s="118"/>
      <c r="CK15" s="118"/>
      <c r="CL15" s="118"/>
      <c r="CN15" s="79" t="s">
        <v>16</v>
      </c>
      <c r="CO15" s="80">
        <f>SUM(CO13:CO14)</f>
        <v>0</v>
      </c>
      <c r="CP15" s="80">
        <f>SUM(CP13:CP14)</f>
        <v>0</v>
      </c>
      <c r="CQ15" s="80">
        <f>SUM(CQ13:CQ14)</f>
        <v>0</v>
      </c>
      <c r="CR15" s="80">
        <f>SUM(CR13:CR14)</f>
        <v>25</v>
      </c>
      <c r="CS15" s="115"/>
      <c r="CT15" s="118"/>
      <c r="CU15" s="118"/>
      <c r="CV15" s="118"/>
      <c r="CX15" s="79" t="s">
        <v>16</v>
      </c>
      <c r="CY15" s="80">
        <f>SUM(CY13:CY14)</f>
        <v>0</v>
      </c>
      <c r="CZ15" s="80">
        <f>SUM(CZ13:CZ14)</f>
        <v>0</v>
      </c>
      <c r="DA15" s="80">
        <f>SUM(DA13:DA14)</f>
        <v>0</v>
      </c>
      <c r="DB15" s="80">
        <f>SUM(DB13:DB14)</f>
        <v>0</v>
      </c>
      <c r="DC15" s="115"/>
      <c r="DD15" s="118"/>
      <c r="DE15" s="118"/>
      <c r="DF15" s="118"/>
      <c r="DH15" s="79" t="s">
        <v>16</v>
      </c>
      <c r="DI15" s="80">
        <f>SUM(DI13:DI14)</f>
        <v>0</v>
      </c>
      <c r="DJ15" s="80">
        <f>SUM(DJ13:DJ14)</f>
        <v>0</v>
      </c>
      <c r="DK15" s="80">
        <f>SUM(DK13:DK14)</f>
        <v>0</v>
      </c>
      <c r="DL15" s="80">
        <f>SUM(DL13:DL14)</f>
        <v>0</v>
      </c>
      <c r="DM15" s="115"/>
      <c r="DN15" s="118"/>
      <c r="DO15" s="118"/>
      <c r="DP15" s="118"/>
      <c r="DR15" s="81" t="s">
        <v>16</v>
      </c>
      <c r="DS15" s="37">
        <f>SUM(DS13:DS14)</f>
        <v>30</v>
      </c>
      <c r="DT15" s="82">
        <f>SUM(DT13:DT14)</f>
        <v>7</v>
      </c>
      <c r="DU15" s="37">
        <f>SUM(DU13:DU14)</f>
        <v>0.83333333333333326</v>
      </c>
      <c r="DV15" s="83">
        <f>SUM(DV13:DV14)</f>
        <v>132</v>
      </c>
      <c r="DW15" s="115"/>
      <c r="DX15" s="118"/>
      <c r="DY15" s="118"/>
      <c r="DZ15" s="118"/>
    </row>
    <row r="16" spans="1:130" ht="15" customHeight="1" thickBot="1" x14ac:dyDescent="0.25">
      <c r="A16" s="39"/>
      <c r="B16" s="125" t="s">
        <v>25</v>
      </c>
      <c r="C16" s="125"/>
      <c r="D16" s="59"/>
      <c r="E16" s="42"/>
      <c r="F16" s="59"/>
      <c r="G16" s="98"/>
      <c r="H16" s="101"/>
      <c r="I16" s="101"/>
      <c r="J16" s="102"/>
      <c r="L16" s="125" t="s">
        <v>25</v>
      </c>
      <c r="M16" s="125"/>
      <c r="N16" s="59"/>
      <c r="O16" s="42"/>
      <c r="P16" s="59"/>
      <c r="Q16" s="98"/>
      <c r="R16" s="101"/>
      <c r="S16" s="101"/>
      <c r="T16" s="102"/>
      <c r="V16" s="125" t="s">
        <v>25</v>
      </c>
      <c r="W16" s="125"/>
      <c r="X16" s="59"/>
      <c r="Y16" s="42"/>
      <c r="Z16" s="59"/>
      <c r="AA16" s="98"/>
      <c r="AB16" s="101"/>
      <c r="AC16" s="101"/>
      <c r="AD16" s="102"/>
      <c r="AF16" s="125" t="s">
        <v>25</v>
      </c>
      <c r="AG16" s="125"/>
      <c r="AH16" s="59"/>
      <c r="AI16" s="42"/>
      <c r="AJ16" s="59"/>
      <c r="AK16" s="98"/>
      <c r="AL16" s="101"/>
      <c r="AM16" s="101"/>
      <c r="AN16" s="102"/>
      <c r="AP16" s="125" t="s">
        <v>25</v>
      </c>
      <c r="AQ16" s="125"/>
      <c r="AR16" s="59"/>
      <c r="AS16" s="42"/>
      <c r="AT16" s="59"/>
      <c r="AU16" s="98"/>
      <c r="AV16" s="101"/>
      <c r="AW16" s="101"/>
      <c r="AX16" s="102"/>
      <c r="AZ16" s="125" t="s">
        <v>25</v>
      </c>
      <c r="BA16" s="125"/>
      <c r="BB16" s="59"/>
      <c r="BC16" s="42"/>
      <c r="BD16" s="59"/>
      <c r="BE16" s="98"/>
      <c r="BF16" s="101"/>
      <c r="BG16" s="101"/>
      <c r="BH16" s="102"/>
      <c r="BJ16" s="125" t="s">
        <v>25</v>
      </c>
      <c r="BK16" s="125"/>
      <c r="BL16" s="59"/>
      <c r="BM16" s="42"/>
      <c r="BN16" s="59"/>
      <c r="BO16" s="98"/>
      <c r="BP16" s="101"/>
      <c r="BQ16" s="101"/>
      <c r="BR16" s="102"/>
      <c r="BT16" s="125" t="s">
        <v>25</v>
      </c>
      <c r="BU16" s="125"/>
      <c r="BV16" s="59"/>
      <c r="BW16" s="42"/>
      <c r="BX16" s="59"/>
      <c r="BY16" s="98"/>
      <c r="BZ16" s="101"/>
      <c r="CA16" s="101"/>
      <c r="CB16" s="102"/>
      <c r="CD16" s="125" t="s">
        <v>25</v>
      </c>
      <c r="CE16" s="125"/>
      <c r="CF16" s="59"/>
      <c r="CG16" s="42"/>
      <c r="CH16" s="59"/>
      <c r="CI16" s="98"/>
      <c r="CJ16" s="101"/>
      <c r="CK16" s="101"/>
      <c r="CL16" s="102"/>
      <c r="CN16" s="125" t="s">
        <v>25</v>
      </c>
      <c r="CO16" s="125"/>
      <c r="CP16" s="59"/>
      <c r="CQ16" s="42"/>
      <c r="CR16" s="59"/>
      <c r="CS16" s="98"/>
      <c r="CT16" s="101"/>
      <c r="CU16" s="101"/>
      <c r="CV16" s="102"/>
      <c r="CX16" s="125" t="s">
        <v>25</v>
      </c>
      <c r="CY16" s="125"/>
      <c r="CZ16" s="59"/>
      <c r="DA16" s="42"/>
      <c r="DB16" s="59"/>
      <c r="DC16" s="98"/>
      <c r="DD16" s="101"/>
      <c r="DE16" s="101"/>
      <c r="DF16" s="102"/>
      <c r="DH16" s="125" t="s">
        <v>25</v>
      </c>
      <c r="DI16" s="125"/>
      <c r="DJ16" s="59"/>
      <c r="DK16" s="42"/>
      <c r="DL16" s="59"/>
      <c r="DM16" s="98"/>
      <c r="DN16" s="101"/>
      <c r="DO16" s="101"/>
      <c r="DP16" s="102"/>
      <c r="DR16" s="64" t="str">
        <f>(DH16)</f>
        <v>المطار القديم</v>
      </c>
      <c r="DS16" s="65"/>
      <c r="DT16" s="59"/>
      <c r="DU16" s="42"/>
      <c r="DV16" s="59"/>
      <c r="DW16" s="98"/>
      <c r="DX16" s="101"/>
      <c r="DY16" s="101"/>
      <c r="DZ16" s="102"/>
    </row>
    <row r="17" spans="1:130" ht="15" customHeight="1" thickTop="1" thickBot="1" x14ac:dyDescent="0.25">
      <c r="A17" s="61"/>
      <c r="B17" s="66" t="s">
        <v>14</v>
      </c>
      <c r="C17" s="103">
        <v>13</v>
      </c>
      <c r="D17" s="104">
        <v>1</v>
      </c>
      <c r="E17" s="104">
        <v>0</v>
      </c>
      <c r="F17" s="104">
        <v>3</v>
      </c>
      <c r="G17" s="113" t="s">
        <v>12</v>
      </c>
      <c r="H17" s="116">
        <v>7977</v>
      </c>
      <c r="I17" s="116" t="s">
        <v>13</v>
      </c>
      <c r="J17" s="116">
        <f>H17*38/100</f>
        <v>3031.26</v>
      </c>
      <c r="L17" s="66" t="s">
        <v>14</v>
      </c>
      <c r="M17" s="67">
        <v>13</v>
      </c>
      <c r="N17" s="44">
        <v>1</v>
      </c>
      <c r="O17" s="44">
        <v>0</v>
      </c>
      <c r="P17" s="44">
        <v>3</v>
      </c>
      <c r="Q17" s="113" t="s">
        <v>12</v>
      </c>
      <c r="R17" s="116">
        <v>7977</v>
      </c>
      <c r="S17" s="116" t="s">
        <v>13</v>
      </c>
      <c r="T17" s="116">
        <f>R17*38/100</f>
        <v>3031.26</v>
      </c>
      <c r="V17" s="66" t="s">
        <v>14</v>
      </c>
      <c r="W17" s="67">
        <v>19</v>
      </c>
      <c r="X17" s="44">
        <v>10</v>
      </c>
      <c r="Y17" s="44">
        <v>0</v>
      </c>
      <c r="Z17" s="44">
        <v>28</v>
      </c>
      <c r="AA17" s="113" t="s">
        <v>12</v>
      </c>
      <c r="AB17" s="116">
        <v>7977</v>
      </c>
      <c r="AC17" s="116" t="s">
        <v>13</v>
      </c>
      <c r="AD17" s="116">
        <f>AB17*38/100</f>
        <v>3031.26</v>
      </c>
      <c r="AF17" s="66" t="s">
        <v>14</v>
      </c>
      <c r="AG17" s="67">
        <v>19</v>
      </c>
      <c r="AH17" s="44">
        <v>0</v>
      </c>
      <c r="AI17" s="44">
        <v>0</v>
      </c>
      <c r="AJ17" s="44">
        <v>19</v>
      </c>
      <c r="AK17" s="113" t="s">
        <v>12</v>
      </c>
      <c r="AL17" s="116">
        <v>7977</v>
      </c>
      <c r="AM17" s="116" t="s">
        <v>13</v>
      </c>
      <c r="AN17" s="116">
        <f>AL17*38/100</f>
        <v>3031.26</v>
      </c>
      <c r="AP17" s="66" t="s">
        <v>14</v>
      </c>
      <c r="AQ17" s="67">
        <v>19</v>
      </c>
      <c r="AR17" s="44">
        <v>0</v>
      </c>
      <c r="AS17" s="44">
        <v>0</v>
      </c>
      <c r="AT17" s="44">
        <v>7</v>
      </c>
      <c r="AU17" s="113" t="s">
        <v>12</v>
      </c>
      <c r="AV17" s="116">
        <v>7977</v>
      </c>
      <c r="AW17" s="116" t="s">
        <v>13</v>
      </c>
      <c r="AX17" s="116">
        <f>AV17*38/100</f>
        <v>3031.26</v>
      </c>
      <c r="AZ17" s="66" t="s">
        <v>14</v>
      </c>
      <c r="BA17" s="67">
        <v>0</v>
      </c>
      <c r="BB17" s="44">
        <v>0</v>
      </c>
      <c r="BC17" s="44">
        <v>0</v>
      </c>
      <c r="BD17" s="44">
        <v>0</v>
      </c>
      <c r="BE17" s="113" t="s">
        <v>12</v>
      </c>
      <c r="BF17" s="116">
        <v>7977</v>
      </c>
      <c r="BG17" s="116" t="s">
        <v>13</v>
      </c>
      <c r="BH17" s="116">
        <f>BF17*38/100</f>
        <v>3031.26</v>
      </c>
      <c r="BJ17" s="66" t="s">
        <v>14</v>
      </c>
      <c r="BK17" s="67">
        <v>0</v>
      </c>
      <c r="BL17" s="44">
        <v>0</v>
      </c>
      <c r="BM17" s="44">
        <v>0</v>
      </c>
      <c r="BN17" s="44">
        <v>5</v>
      </c>
      <c r="BO17" s="113" t="s">
        <v>12</v>
      </c>
      <c r="BP17" s="116">
        <v>7977</v>
      </c>
      <c r="BQ17" s="116" t="s">
        <v>13</v>
      </c>
      <c r="BR17" s="116">
        <f>BP17*38/100</f>
        <v>3031.26</v>
      </c>
      <c r="BT17" s="66" t="s">
        <v>14</v>
      </c>
      <c r="BU17" s="67">
        <v>0</v>
      </c>
      <c r="BV17" s="44">
        <v>0</v>
      </c>
      <c r="BW17" s="44">
        <v>0</v>
      </c>
      <c r="BX17" s="44">
        <v>0</v>
      </c>
      <c r="BY17" s="113" t="s">
        <v>12</v>
      </c>
      <c r="BZ17" s="116">
        <v>7977</v>
      </c>
      <c r="CA17" s="116" t="s">
        <v>13</v>
      </c>
      <c r="CB17" s="116">
        <f>BZ17*38/100</f>
        <v>3031.26</v>
      </c>
      <c r="CD17" s="66" t="s">
        <v>14</v>
      </c>
      <c r="CE17" s="67">
        <v>0</v>
      </c>
      <c r="CF17" s="44">
        <v>0</v>
      </c>
      <c r="CG17" s="44">
        <v>0</v>
      </c>
      <c r="CH17" s="44">
        <v>8</v>
      </c>
      <c r="CI17" s="113" t="s">
        <v>12</v>
      </c>
      <c r="CJ17" s="116">
        <v>7977</v>
      </c>
      <c r="CK17" s="116" t="s">
        <v>13</v>
      </c>
      <c r="CL17" s="116">
        <f>CJ17*38/100</f>
        <v>3031.26</v>
      </c>
      <c r="CN17" s="66" t="s">
        <v>14</v>
      </c>
      <c r="CO17" s="67">
        <v>0</v>
      </c>
      <c r="CP17" s="44">
        <v>0</v>
      </c>
      <c r="CQ17" s="44">
        <v>0</v>
      </c>
      <c r="CR17" s="44">
        <v>5</v>
      </c>
      <c r="CS17" s="113" t="s">
        <v>12</v>
      </c>
      <c r="CT17" s="116">
        <v>7977</v>
      </c>
      <c r="CU17" s="116" t="s">
        <v>13</v>
      </c>
      <c r="CV17" s="116">
        <f>CT17*38/100</f>
        <v>3031.26</v>
      </c>
      <c r="CX17" s="66" t="s">
        <v>14</v>
      </c>
      <c r="CY17" s="67">
        <v>0</v>
      </c>
      <c r="CZ17" s="44">
        <v>0</v>
      </c>
      <c r="DA17" s="44">
        <v>0</v>
      </c>
      <c r="DB17" s="44">
        <v>0</v>
      </c>
      <c r="DC17" s="113" t="s">
        <v>12</v>
      </c>
      <c r="DD17" s="116">
        <v>0</v>
      </c>
      <c r="DE17" s="116" t="s">
        <v>13</v>
      </c>
      <c r="DF17" s="116">
        <f>DD17*38/100</f>
        <v>0</v>
      </c>
      <c r="DH17" s="66" t="s">
        <v>14</v>
      </c>
      <c r="DI17" s="67">
        <v>0</v>
      </c>
      <c r="DJ17" s="44">
        <v>0</v>
      </c>
      <c r="DK17" s="44">
        <v>0</v>
      </c>
      <c r="DL17" s="44">
        <v>0</v>
      </c>
      <c r="DM17" s="113" t="s">
        <v>12</v>
      </c>
      <c r="DN17" s="116">
        <v>0</v>
      </c>
      <c r="DO17" s="116" t="s">
        <v>13</v>
      </c>
      <c r="DP17" s="116">
        <f>DN17*38/100</f>
        <v>0</v>
      </c>
      <c r="DR17" s="68" t="s">
        <v>14</v>
      </c>
      <c r="DS17" s="69">
        <f>C17+DT17-D17</f>
        <v>24</v>
      </c>
      <c r="DT17" s="70">
        <f>D17+N17+X17+AH17+AR17+BB17+BL17+BV17+CF17+CP17+CZ17+DJ17</f>
        <v>12</v>
      </c>
      <c r="DU17" s="35">
        <f>(E17+O17+Y17+AI17+AS17+BC17+BM17+BW17+CG17+CQ17+DA17+DK17)/12</f>
        <v>0</v>
      </c>
      <c r="DV17" s="71">
        <f>F17+P17+Z17+AJ17+AT17+BD17+BN17+BX17+CH17+CR17+DB17+DL17</f>
        <v>78</v>
      </c>
      <c r="DW17" s="113" t="s">
        <v>12</v>
      </c>
      <c r="DX17" s="116">
        <f>DN17</f>
        <v>0</v>
      </c>
      <c r="DY17" s="116" t="s">
        <v>13</v>
      </c>
      <c r="DZ17" s="116">
        <f>DX17*38/100</f>
        <v>0</v>
      </c>
    </row>
    <row r="18" spans="1:130" ht="15" customHeight="1" thickBot="1" x14ac:dyDescent="0.25">
      <c r="A18" s="61"/>
      <c r="B18" s="72" t="s">
        <v>15</v>
      </c>
      <c r="C18" s="105">
        <v>8</v>
      </c>
      <c r="D18" s="106">
        <v>0</v>
      </c>
      <c r="E18" s="106">
        <v>0</v>
      </c>
      <c r="F18" s="106">
        <v>0</v>
      </c>
      <c r="G18" s="114"/>
      <c r="H18" s="117"/>
      <c r="I18" s="117"/>
      <c r="J18" s="117"/>
      <c r="L18" s="72" t="s">
        <v>15</v>
      </c>
      <c r="M18" s="73">
        <v>8</v>
      </c>
      <c r="N18" s="74">
        <v>0</v>
      </c>
      <c r="O18" s="74">
        <v>0</v>
      </c>
      <c r="P18" s="74">
        <v>0</v>
      </c>
      <c r="Q18" s="114"/>
      <c r="R18" s="117"/>
      <c r="S18" s="117"/>
      <c r="T18" s="117"/>
      <c r="V18" s="72" t="s">
        <v>15</v>
      </c>
      <c r="W18" s="73">
        <v>5</v>
      </c>
      <c r="X18" s="74">
        <v>0</v>
      </c>
      <c r="Y18" s="74">
        <v>0</v>
      </c>
      <c r="Z18" s="74">
        <v>0</v>
      </c>
      <c r="AA18" s="114"/>
      <c r="AB18" s="117"/>
      <c r="AC18" s="117"/>
      <c r="AD18" s="117"/>
      <c r="AF18" s="72" t="s">
        <v>15</v>
      </c>
      <c r="AG18" s="73">
        <v>5</v>
      </c>
      <c r="AH18" s="74">
        <v>0</v>
      </c>
      <c r="AI18" s="74">
        <v>0</v>
      </c>
      <c r="AJ18" s="74">
        <v>0</v>
      </c>
      <c r="AK18" s="114"/>
      <c r="AL18" s="117"/>
      <c r="AM18" s="117"/>
      <c r="AN18" s="117"/>
      <c r="AP18" s="72" t="s">
        <v>15</v>
      </c>
      <c r="AQ18" s="73">
        <v>5</v>
      </c>
      <c r="AR18" s="74">
        <v>0</v>
      </c>
      <c r="AS18" s="74">
        <v>0</v>
      </c>
      <c r="AT18" s="74">
        <v>0</v>
      </c>
      <c r="AU18" s="114"/>
      <c r="AV18" s="117"/>
      <c r="AW18" s="117"/>
      <c r="AX18" s="117"/>
      <c r="AZ18" s="72" t="s">
        <v>15</v>
      </c>
      <c r="BA18" s="73">
        <v>0</v>
      </c>
      <c r="BB18" s="74">
        <v>0</v>
      </c>
      <c r="BC18" s="74">
        <v>0</v>
      </c>
      <c r="BD18" s="74">
        <v>0</v>
      </c>
      <c r="BE18" s="114"/>
      <c r="BF18" s="117"/>
      <c r="BG18" s="117"/>
      <c r="BH18" s="117"/>
      <c r="BJ18" s="72" t="s">
        <v>15</v>
      </c>
      <c r="BK18" s="73">
        <v>0</v>
      </c>
      <c r="BL18" s="74">
        <v>0</v>
      </c>
      <c r="BM18" s="74">
        <v>0</v>
      </c>
      <c r="BN18" s="74">
        <v>0</v>
      </c>
      <c r="BO18" s="114"/>
      <c r="BP18" s="117"/>
      <c r="BQ18" s="117"/>
      <c r="BR18" s="117"/>
      <c r="BT18" s="72" t="s">
        <v>15</v>
      </c>
      <c r="BU18" s="73">
        <v>0</v>
      </c>
      <c r="BV18" s="74">
        <v>0</v>
      </c>
      <c r="BW18" s="74">
        <v>0</v>
      </c>
      <c r="BX18" s="74">
        <v>0</v>
      </c>
      <c r="BY18" s="114"/>
      <c r="BZ18" s="117"/>
      <c r="CA18" s="117"/>
      <c r="CB18" s="117"/>
      <c r="CD18" s="72" t="s">
        <v>15</v>
      </c>
      <c r="CE18" s="73">
        <v>0</v>
      </c>
      <c r="CF18" s="74">
        <v>0</v>
      </c>
      <c r="CG18" s="74">
        <v>0</v>
      </c>
      <c r="CH18" s="74">
        <v>1</v>
      </c>
      <c r="CI18" s="114"/>
      <c r="CJ18" s="117"/>
      <c r="CK18" s="117"/>
      <c r="CL18" s="117"/>
      <c r="CN18" s="72" t="s">
        <v>15</v>
      </c>
      <c r="CO18" s="73">
        <v>0</v>
      </c>
      <c r="CP18" s="74">
        <v>0</v>
      </c>
      <c r="CQ18" s="74">
        <v>0</v>
      </c>
      <c r="CR18" s="74">
        <v>0</v>
      </c>
      <c r="CS18" s="114"/>
      <c r="CT18" s="117"/>
      <c r="CU18" s="117"/>
      <c r="CV18" s="117"/>
      <c r="CX18" s="72" t="s">
        <v>15</v>
      </c>
      <c r="CY18" s="73">
        <v>0</v>
      </c>
      <c r="CZ18" s="74">
        <v>0</v>
      </c>
      <c r="DA18" s="74">
        <v>0</v>
      </c>
      <c r="DB18" s="74">
        <v>0</v>
      </c>
      <c r="DC18" s="114"/>
      <c r="DD18" s="117"/>
      <c r="DE18" s="117"/>
      <c r="DF18" s="117"/>
      <c r="DH18" s="72" t="s">
        <v>15</v>
      </c>
      <c r="DI18" s="73">
        <v>0</v>
      </c>
      <c r="DJ18" s="74">
        <v>0</v>
      </c>
      <c r="DK18" s="74">
        <v>0</v>
      </c>
      <c r="DL18" s="74">
        <v>0</v>
      </c>
      <c r="DM18" s="114"/>
      <c r="DN18" s="117"/>
      <c r="DO18" s="117"/>
      <c r="DP18" s="117"/>
      <c r="DR18" s="75" t="s">
        <v>15</v>
      </c>
      <c r="DS18" s="76">
        <f>C18+DT18-D18</f>
        <v>8</v>
      </c>
      <c r="DT18" s="77">
        <f>D18+N18+X18+AH18+AR18+BB18+BL18+BV18+CF18+CP18+CZ18+DJ18</f>
        <v>0</v>
      </c>
      <c r="DU18" s="36">
        <f>(E18+O18+Y18+AI18+AS18+BC18+BM18+BW18+CG18+CQ18+DA18+DK18)/12</f>
        <v>0</v>
      </c>
      <c r="DV18" s="78">
        <f>F18+P18+Z18+AJ18+AT18+BD18+BN18+BX18+CH18+CR18+DB18+DL18</f>
        <v>1</v>
      </c>
      <c r="DW18" s="114"/>
      <c r="DX18" s="117"/>
      <c r="DY18" s="117"/>
      <c r="DZ18" s="117"/>
    </row>
    <row r="19" spans="1:130" ht="15" customHeight="1" thickBot="1" x14ac:dyDescent="0.25">
      <c r="A19" s="61"/>
      <c r="B19" s="79" t="s">
        <v>16</v>
      </c>
      <c r="C19" s="80">
        <f>SUM(C17:C18)</f>
        <v>21</v>
      </c>
      <c r="D19" s="80">
        <f>SUM(D17:D18)</f>
        <v>1</v>
      </c>
      <c r="E19" s="80">
        <f>SUM(E17:E18)</f>
        <v>0</v>
      </c>
      <c r="F19" s="80">
        <f>SUM(F17:F18)</f>
        <v>3</v>
      </c>
      <c r="G19" s="115"/>
      <c r="H19" s="118"/>
      <c r="I19" s="118"/>
      <c r="J19" s="118"/>
      <c r="L19" s="79" t="s">
        <v>16</v>
      </c>
      <c r="M19" s="80">
        <f>SUM(M17:M18)</f>
        <v>21</v>
      </c>
      <c r="N19" s="80">
        <f>SUM(N17:N18)</f>
        <v>1</v>
      </c>
      <c r="O19" s="80">
        <f>SUM(O17:O18)</f>
        <v>0</v>
      </c>
      <c r="P19" s="80">
        <f>SUM(P17:P18)</f>
        <v>3</v>
      </c>
      <c r="Q19" s="115"/>
      <c r="R19" s="118"/>
      <c r="S19" s="118"/>
      <c r="T19" s="118"/>
      <c r="V19" s="79" t="s">
        <v>16</v>
      </c>
      <c r="W19" s="80">
        <f>SUM(W17:W18)</f>
        <v>24</v>
      </c>
      <c r="X19" s="80">
        <f>SUM(X17:X18)</f>
        <v>10</v>
      </c>
      <c r="Y19" s="80">
        <f>SUM(Y17:Y18)</f>
        <v>0</v>
      </c>
      <c r="Z19" s="80">
        <f>SUM(Z17:Z18)</f>
        <v>28</v>
      </c>
      <c r="AA19" s="115"/>
      <c r="AB19" s="118"/>
      <c r="AC19" s="118"/>
      <c r="AD19" s="118"/>
      <c r="AF19" s="79" t="s">
        <v>16</v>
      </c>
      <c r="AG19" s="80">
        <f>SUM(AG17:AG18)</f>
        <v>24</v>
      </c>
      <c r="AH19" s="80">
        <f>SUM(AH17:AH18)</f>
        <v>0</v>
      </c>
      <c r="AI19" s="80">
        <f>SUM(AI17:AI18)</f>
        <v>0</v>
      </c>
      <c r="AJ19" s="80">
        <f>SUM(AJ17:AJ18)</f>
        <v>19</v>
      </c>
      <c r="AK19" s="115"/>
      <c r="AL19" s="118"/>
      <c r="AM19" s="118"/>
      <c r="AN19" s="118"/>
      <c r="AP19" s="79" t="s">
        <v>16</v>
      </c>
      <c r="AQ19" s="80">
        <f>SUM(AQ17:AQ18)</f>
        <v>24</v>
      </c>
      <c r="AR19" s="80">
        <f>SUM(AR17:AR18)</f>
        <v>0</v>
      </c>
      <c r="AS19" s="80">
        <f>SUM(AS17:AS18)</f>
        <v>0</v>
      </c>
      <c r="AT19" s="80">
        <f>SUM(AT17:AT18)</f>
        <v>7</v>
      </c>
      <c r="AU19" s="115"/>
      <c r="AV19" s="118"/>
      <c r="AW19" s="118"/>
      <c r="AX19" s="118"/>
      <c r="AZ19" s="79" t="s">
        <v>16</v>
      </c>
      <c r="BA19" s="80">
        <f>SUM(BA17:BA18)</f>
        <v>0</v>
      </c>
      <c r="BB19" s="80">
        <f>SUM(BB17:BB18)</f>
        <v>0</v>
      </c>
      <c r="BC19" s="80">
        <f>SUM(BC17:BC18)</f>
        <v>0</v>
      </c>
      <c r="BD19" s="80">
        <f>SUM(BD17:BD18)</f>
        <v>0</v>
      </c>
      <c r="BE19" s="115"/>
      <c r="BF19" s="118"/>
      <c r="BG19" s="118"/>
      <c r="BH19" s="118"/>
      <c r="BJ19" s="79" t="s">
        <v>16</v>
      </c>
      <c r="BK19" s="80">
        <f>SUM(BK17:BK18)</f>
        <v>0</v>
      </c>
      <c r="BL19" s="80">
        <f>SUM(BL17:BL18)</f>
        <v>0</v>
      </c>
      <c r="BM19" s="80">
        <f>SUM(BM17:BM18)</f>
        <v>0</v>
      </c>
      <c r="BN19" s="80">
        <f>SUM(BN17:BN18)</f>
        <v>5</v>
      </c>
      <c r="BO19" s="115"/>
      <c r="BP19" s="118"/>
      <c r="BQ19" s="118"/>
      <c r="BR19" s="118"/>
      <c r="BT19" s="79" t="s">
        <v>16</v>
      </c>
      <c r="BU19" s="80">
        <f>SUM(BU17:BU18)</f>
        <v>0</v>
      </c>
      <c r="BV19" s="80">
        <f>SUM(BV17:BV18)</f>
        <v>0</v>
      </c>
      <c r="BW19" s="80">
        <f>SUM(BW17:BW18)</f>
        <v>0</v>
      </c>
      <c r="BX19" s="80">
        <f>SUM(BX17:BX18)</f>
        <v>0</v>
      </c>
      <c r="BY19" s="115"/>
      <c r="BZ19" s="118"/>
      <c r="CA19" s="118"/>
      <c r="CB19" s="118"/>
      <c r="CD19" s="79" t="s">
        <v>16</v>
      </c>
      <c r="CE19" s="80">
        <f>SUM(CE17:CE18)</f>
        <v>0</v>
      </c>
      <c r="CF19" s="80">
        <f>SUM(CF17:CF18)</f>
        <v>0</v>
      </c>
      <c r="CG19" s="80">
        <f>SUM(CG17:CG18)</f>
        <v>0</v>
      </c>
      <c r="CH19" s="80">
        <f>SUM(CH17:CH18)</f>
        <v>9</v>
      </c>
      <c r="CI19" s="115"/>
      <c r="CJ19" s="118"/>
      <c r="CK19" s="118"/>
      <c r="CL19" s="118"/>
      <c r="CN19" s="79" t="s">
        <v>16</v>
      </c>
      <c r="CO19" s="80">
        <f>SUM(CO17:CO18)</f>
        <v>0</v>
      </c>
      <c r="CP19" s="80">
        <f>SUM(CP17:CP18)</f>
        <v>0</v>
      </c>
      <c r="CQ19" s="80">
        <f>SUM(CQ17:CQ18)</f>
        <v>0</v>
      </c>
      <c r="CR19" s="80">
        <f>SUM(CR17:CR18)</f>
        <v>5</v>
      </c>
      <c r="CS19" s="115"/>
      <c r="CT19" s="118"/>
      <c r="CU19" s="118"/>
      <c r="CV19" s="118"/>
      <c r="CX19" s="79" t="s">
        <v>16</v>
      </c>
      <c r="CY19" s="80">
        <f>SUM(CY17:CY18)</f>
        <v>0</v>
      </c>
      <c r="CZ19" s="80">
        <f>SUM(CZ17:CZ18)</f>
        <v>0</v>
      </c>
      <c r="DA19" s="80">
        <f>SUM(DA17:DA18)</f>
        <v>0</v>
      </c>
      <c r="DB19" s="80">
        <f>SUM(DB17:DB18)</f>
        <v>0</v>
      </c>
      <c r="DC19" s="115"/>
      <c r="DD19" s="118"/>
      <c r="DE19" s="118"/>
      <c r="DF19" s="118"/>
      <c r="DH19" s="79" t="s">
        <v>16</v>
      </c>
      <c r="DI19" s="80">
        <f>SUM(DI17:DI18)</f>
        <v>0</v>
      </c>
      <c r="DJ19" s="80">
        <f>SUM(DJ17:DJ18)</f>
        <v>0</v>
      </c>
      <c r="DK19" s="80">
        <f>SUM(DK17:DK18)</f>
        <v>0</v>
      </c>
      <c r="DL19" s="80">
        <f>SUM(DL17:DL18)</f>
        <v>0</v>
      </c>
      <c r="DM19" s="115"/>
      <c r="DN19" s="118"/>
      <c r="DO19" s="118"/>
      <c r="DP19" s="118"/>
      <c r="DR19" s="81" t="s">
        <v>16</v>
      </c>
      <c r="DS19" s="37">
        <f>SUM(DS17:DS18)</f>
        <v>32</v>
      </c>
      <c r="DT19" s="82">
        <f>SUM(DT17:DT18)</f>
        <v>12</v>
      </c>
      <c r="DU19" s="37">
        <f>SUM(DU17:DU18)</f>
        <v>0</v>
      </c>
      <c r="DV19" s="83">
        <f>SUM(DV17:DV18)</f>
        <v>79</v>
      </c>
      <c r="DW19" s="115"/>
      <c r="DX19" s="118"/>
      <c r="DY19" s="118"/>
      <c r="DZ19" s="118"/>
    </row>
    <row r="20" spans="1:130" ht="15" customHeight="1" thickBot="1" x14ac:dyDescent="0.25">
      <c r="A20" s="39"/>
      <c r="B20" s="125" t="s">
        <v>26</v>
      </c>
      <c r="C20" s="125"/>
      <c r="D20" s="84"/>
      <c r="E20" s="43"/>
      <c r="F20" s="84"/>
      <c r="G20" s="98"/>
      <c r="H20" s="101"/>
      <c r="I20" s="101"/>
      <c r="J20" s="102"/>
      <c r="L20" s="125" t="s">
        <v>26</v>
      </c>
      <c r="M20" s="125"/>
      <c r="N20" s="84"/>
      <c r="O20" s="43"/>
      <c r="P20" s="84"/>
      <c r="Q20" s="98"/>
      <c r="R20" s="101"/>
      <c r="S20" s="101"/>
      <c r="T20" s="102"/>
      <c r="V20" s="125" t="s">
        <v>26</v>
      </c>
      <c r="W20" s="125"/>
      <c r="X20" s="84"/>
      <c r="Y20" s="43"/>
      <c r="Z20" s="84"/>
      <c r="AA20" s="98"/>
      <c r="AB20" s="101"/>
      <c r="AC20" s="101"/>
      <c r="AD20" s="102"/>
      <c r="AF20" s="125" t="s">
        <v>26</v>
      </c>
      <c r="AG20" s="125"/>
      <c r="AH20" s="84"/>
      <c r="AI20" s="43"/>
      <c r="AJ20" s="84"/>
      <c r="AK20" s="98"/>
      <c r="AL20" s="101"/>
      <c r="AM20" s="101"/>
      <c r="AN20" s="102"/>
      <c r="AP20" s="125" t="s">
        <v>26</v>
      </c>
      <c r="AQ20" s="125"/>
      <c r="AR20" s="84"/>
      <c r="AS20" s="43"/>
      <c r="AT20" s="84"/>
      <c r="AU20" s="98"/>
      <c r="AV20" s="101"/>
      <c r="AW20" s="101"/>
      <c r="AX20" s="102"/>
      <c r="AZ20" s="125" t="s">
        <v>26</v>
      </c>
      <c r="BA20" s="125"/>
      <c r="BB20" s="84"/>
      <c r="BC20" s="43"/>
      <c r="BD20" s="84"/>
      <c r="BE20" s="98"/>
      <c r="BF20" s="101"/>
      <c r="BG20" s="101"/>
      <c r="BH20" s="102"/>
      <c r="BJ20" s="125" t="s">
        <v>26</v>
      </c>
      <c r="BK20" s="125"/>
      <c r="BL20" s="84"/>
      <c r="BM20" s="43"/>
      <c r="BN20" s="84"/>
      <c r="BO20" s="98"/>
      <c r="BP20" s="101"/>
      <c r="BQ20" s="101"/>
      <c r="BR20" s="102"/>
      <c r="BT20" s="125" t="s">
        <v>26</v>
      </c>
      <c r="BU20" s="125"/>
      <c r="BV20" s="84"/>
      <c r="BW20" s="43"/>
      <c r="BX20" s="84"/>
      <c r="BY20" s="98"/>
      <c r="BZ20" s="101"/>
      <c r="CA20" s="101"/>
      <c r="CB20" s="102"/>
      <c r="CD20" s="125" t="s">
        <v>26</v>
      </c>
      <c r="CE20" s="125"/>
      <c r="CF20" s="84"/>
      <c r="CG20" s="43"/>
      <c r="CH20" s="84"/>
      <c r="CI20" s="98"/>
      <c r="CJ20" s="101"/>
      <c r="CK20" s="101"/>
      <c r="CL20" s="102"/>
      <c r="CN20" s="125" t="s">
        <v>26</v>
      </c>
      <c r="CO20" s="125"/>
      <c r="CP20" s="84"/>
      <c r="CQ20" s="43"/>
      <c r="CR20" s="84"/>
      <c r="CS20" s="98"/>
      <c r="CT20" s="101"/>
      <c r="CU20" s="101"/>
      <c r="CV20" s="102"/>
      <c r="CX20" s="125" t="s">
        <v>26</v>
      </c>
      <c r="CY20" s="125"/>
      <c r="CZ20" s="84"/>
      <c r="DA20" s="43"/>
      <c r="DB20" s="84"/>
      <c r="DC20" s="98"/>
      <c r="DD20" s="101"/>
      <c r="DE20" s="101"/>
      <c r="DF20" s="102"/>
      <c r="DH20" s="125" t="s">
        <v>26</v>
      </c>
      <c r="DI20" s="125"/>
      <c r="DJ20" s="84"/>
      <c r="DK20" s="43"/>
      <c r="DL20" s="84"/>
      <c r="DM20" s="98"/>
      <c r="DN20" s="101"/>
      <c r="DO20" s="101"/>
      <c r="DP20" s="102"/>
      <c r="DR20" s="85" t="str">
        <f>(DH20)</f>
        <v>الروابي</v>
      </c>
      <c r="DS20" s="86"/>
      <c r="DT20" s="84"/>
      <c r="DU20" s="43"/>
      <c r="DV20" s="84"/>
      <c r="DW20" s="98"/>
      <c r="DX20" s="101"/>
      <c r="DY20" s="101"/>
      <c r="DZ20" s="102"/>
    </row>
    <row r="21" spans="1:130" ht="15" customHeight="1" x14ac:dyDescent="0.2">
      <c r="A21" s="61"/>
      <c r="B21" s="66" t="s">
        <v>14</v>
      </c>
      <c r="C21" s="67">
        <v>0</v>
      </c>
      <c r="D21" s="44">
        <v>0</v>
      </c>
      <c r="E21" s="44">
        <v>0</v>
      </c>
      <c r="F21" s="44">
        <v>0</v>
      </c>
      <c r="G21" s="113" t="s">
        <v>12</v>
      </c>
      <c r="H21" s="116">
        <v>0</v>
      </c>
      <c r="I21" s="116" t="s">
        <v>13</v>
      </c>
      <c r="J21" s="116">
        <f>H21*38/100</f>
        <v>0</v>
      </c>
      <c r="L21" s="66" t="s">
        <v>14</v>
      </c>
      <c r="M21" s="67">
        <v>0</v>
      </c>
      <c r="N21" s="44">
        <v>0</v>
      </c>
      <c r="O21" s="44">
        <v>0</v>
      </c>
      <c r="P21" s="44">
        <v>0</v>
      </c>
      <c r="Q21" s="113" t="s">
        <v>12</v>
      </c>
      <c r="R21" s="116">
        <v>0</v>
      </c>
      <c r="S21" s="116" t="s">
        <v>13</v>
      </c>
      <c r="T21" s="116">
        <f>R21*38/100</f>
        <v>0</v>
      </c>
      <c r="V21" s="66" t="s">
        <v>14</v>
      </c>
      <c r="W21" s="67">
        <v>0</v>
      </c>
      <c r="X21" s="44">
        <v>0</v>
      </c>
      <c r="Y21" s="44">
        <v>0</v>
      </c>
      <c r="Z21" s="44">
        <v>0</v>
      </c>
      <c r="AA21" s="113" t="s">
        <v>12</v>
      </c>
      <c r="AB21" s="116">
        <v>0</v>
      </c>
      <c r="AC21" s="116" t="s">
        <v>13</v>
      </c>
      <c r="AD21" s="116">
        <f>AB21*38/100</f>
        <v>0</v>
      </c>
      <c r="AF21" s="66" t="s">
        <v>14</v>
      </c>
      <c r="AG21" s="67">
        <v>0</v>
      </c>
      <c r="AH21" s="44">
        <v>0</v>
      </c>
      <c r="AI21" s="44">
        <v>0</v>
      </c>
      <c r="AJ21" s="44">
        <v>0</v>
      </c>
      <c r="AK21" s="113" t="s">
        <v>12</v>
      </c>
      <c r="AL21" s="116">
        <v>0</v>
      </c>
      <c r="AM21" s="116" t="s">
        <v>13</v>
      </c>
      <c r="AN21" s="116">
        <f>AL21*38/100</f>
        <v>0</v>
      </c>
      <c r="AP21" s="66" t="s">
        <v>14</v>
      </c>
      <c r="AQ21" s="67">
        <v>0</v>
      </c>
      <c r="AR21" s="44">
        <v>0</v>
      </c>
      <c r="AS21" s="44">
        <v>0</v>
      </c>
      <c r="AT21" s="44">
        <v>0</v>
      </c>
      <c r="AU21" s="113" t="s">
        <v>12</v>
      </c>
      <c r="AV21" s="116">
        <v>0</v>
      </c>
      <c r="AW21" s="116" t="s">
        <v>13</v>
      </c>
      <c r="AX21" s="116">
        <f>AV21*38/100</f>
        <v>0</v>
      </c>
      <c r="AZ21" s="66" t="s">
        <v>14</v>
      </c>
      <c r="BA21" s="67">
        <v>0</v>
      </c>
      <c r="BB21" s="44">
        <v>0</v>
      </c>
      <c r="BC21" s="44">
        <v>0</v>
      </c>
      <c r="BD21" s="44">
        <v>0</v>
      </c>
      <c r="BE21" s="113" t="s">
        <v>12</v>
      </c>
      <c r="BF21" s="116">
        <v>0</v>
      </c>
      <c r="BG21" s="116" t="s">
        <v>13</v>
      </c>
      <c r="BH21" s="116">
        <f>BF21*38/100</f>
        <v>0</v>
      </c>
      <c r="BJ21" s="66" t="s">
        <v>14</v>
      </c>
      <c r="BK21" s="67">
        <v>0</v>
      </c>
      <c r="BL21" s="44">
        <v>0</v>
      </c>
      <c r="BM21" s="44">
        <v>0</v>
      </c>
      <c r="BN21" s="44">
        <v>0</v>
      </c>
      <c r="BO21" s="113" t="s">
        <v>12</v>
      </c>
      <c r="BP21" s="116">
        <v>0</v>
      </c>
      <c r="BQ21" s="116" t="s">
        <v>13</v>
      </c>
      <c r="BR21" s="116">
        <f>BP21*38/100</f>
        <v>0</v>
      </c>
      <c r="BT21" s="66" t="s">
        <v>14</v>
      </c>
      <c r="BU21" s="67">
        <v>0</v>
      </c>
      <c r="BV21" s="44">
        <v>0</v>
      </c>
      <c r="BW21" s="44">
        <v>0</v>
      </c>
      <c r="BX21" s="44">
        <v>0</v>
      </c>
      <c r="BY21" s="113" t="s">
        <v>12</v>
      </c>
      <c r="BZ21" s="116">
        <v>0</v>
      </c>
      <c r="CA21" s="116" t="s">
        <v>13</v>
      </c>
      <c r="CB21" s="116">
        <f>BZ21*38/100</f>
        <v>0</v>
      </c>
      <c r="CD21" s="66" t="s">
        <v>14</v>
      </c>
      <c r="CE21" s="67">
        <v>0</v>
      </c>
      <c r="CF21" s="44">
        <v>0</v>
      </c>
      <c r="CG21" s="44">
        <v>0</v>
      </c>
      <c r="CH21" s="44">
        <v>0</v>
      </c>
      <c r="CI21" s="113" t="s">
        <v>12</v>
      </c>
      <c r="CJ21" s="116">
        <v>0</v>
      </c>
      <c r="CK21" s="116" t="s">
        <v>13</v>
      </c>
      <c r="CL21" s="116">
        <f>CJ21*38/100</f>
        <v>0</v>
      </c>
      <c r="CN21" s="66" t="s">
        <v>14</v>
      </c>
      <c r="CO21" s="67">
        <v>0</v>
      </c>
      <c r="CP21" s="44">
        <v>0</v>
      </c>
      <c r="CQ21" s="44">
        <v>0</v>
      </c>
      <c r="CR21" s="44">
        <v>0</v>
      </c>
      <c r="CS21" s="113" t="s">
        <v>12</v>
      </c>
      <c r="CT21" s="116">
        <v>0</v>
      </c>
      <c r="CU21" s="116" t="s">
        <v>13</v>
      </c>
      <c r="CV21" s="116">
        <f>CT21*38/100</f>
        <v>0</v>
      </c>
      <c r="CX21" s="66" t="s">
        <v>14</v>
      </c>
      <c r="CY21" s="67">
        <v>0</v>
      </c>
      <c r="CZ21" s="44">
        <v>0</v>
      </c>
      <c r="DA21" s="44">
        <v>0</v>
      </c>
      <c r="DB21" s="44">
        <v>0</v>
      </c>
      <c r="DC21" s="113" t="s">
        <v>12</v>
      </c>
      <c r="DD21" s="116">
        <v>0</v>
      </c>
      <c r="DE21" s="116" t="s">
        <v>13</v>
      </c>
      <c r="DF21" s="116">
        <f>DD21*38/100</f>
        <v>0</v>
      </c>
      <c r="DH21" s="66" t="s">
        <v>14</v>
      </c>
      <c r="DI21" s="67">
        <v>0</v>
      </c>
      <c r="DJ21" s="44">
        <v>0</v>
      </c>
      <c r="DK21" s="44">
        <v>0</v>
      </c>
      <c r="DL21" s="44">
        <v>0</v>
      </c>
      <c r="DM21" s="113" t="s">
        <v>12</v>
      </c>
      <c r="DN21" s="116">
        <v>0</v>
      </c>
      <c r="DO21" s="116" t="s">
        <v>13</v>
      </c>
      <c r="DP21" s="116">
        <f>DN21*38/100</f>
        <v>0</v>
      </c>
      <c r="DR21" s="68" t="s">
        <v>14</v>
      </c>
      <c r="DS21" s="69">
        <f>C21+DT21-D21</f>
        <v>0</v>
      </c>
      <c r="DT21" s="70">
        <f>D21+N21+X21+AH21+AR21+BB21+BL21+BV21+CF21+CP21+CZ21+DJ21</f>
        <v>0</v>
      </c>
      <c r="DU21" s="35">
        <f>(E21+O21+Y21+AI21+AS21+BC21+BM21+BW21+CG21+CQ21+DA21+DK21)/12</f>
        <v>0</v>
      </c>
      <c r="DV21" s="71">
        <f>F21+P21+Z21+AJ21+AT21+BD21+BN21+BX21+CH21+CR21+DB21+DL21</f>
        <v>0</v>
      </c>
      <c r="DW21" s="113" t="s">
        <v>12</v>
      </c>
      <c r="DX21" s="116">
        <f>DN21</f>
        <v>0</v>
      </c>
      <c r="DY21" s="116" t="s">
        <v>13</v>
      </c>
      <c r="DZ21" s="116">
        <f>DX21*38/100</f>
        <v>0</v>
      </c>
    </row>
    <row r="22" spans="1:130" ht="15" customHeight="1" thickBot="1" x14ac:dyDescent="0.25">
      <c r="A22" s="61"/>
      <c r="B22" s="72" t="s">
        <v>15</v>
      </c>
      <c r="C22" s="73">
        <v>0</v>
      </c>
      <c r="D22" s="74">
        <v>0</v>
      </c>
      <c r="E22" s="74">
        <v>0</v>
      </c>
      <c r="F22" s="74">
        <v>0</v>
      </c>
      <c r="G22" s="114"/>
      <c r="H22" s="117"/>
      <c r="I22" s="117"/>
      <c r="J22" s="117"/>
      <c r="L22" s="72" t="s">
        <v>15</v>
      </c>
      <c r="M22" s="73">
        <v>0</v>
      </c>
      <c r="N22" s="74">
        <v>0</v>
      </c>
      <c r="O22" s="74">
        <v>0</v>
      </c>
      <c r="P22" s="74">
        <v>0</v>
      </c>
      <c r="Q22" s="114"/>
      <c r="R22" s="117"/>
      <c r="S22" s="117"/>
      <c r="T22" s="117"/>
      <c r="V22" s="72" t="s">
        <v>15</v>
      </c>
      <c r="W22" s="73">
        <v>0</v>
      </c>
      <c r="X22" s="74">
        <v>0</v>
      </c>
      <c r="Y22" s="74">
        <v>0</v>
      </c>
      <c r="Z22" s="74">
        <v>0</v>
      </c>
      <c r="AA22" s="114"/>
      <c r="AB22" s="117"/>
      <c r="AC22" s="117"/>
      <c r="AD22" s="117"/>
      <c r="AF22" s="72" t="s">
        <v>15</v>
      </c>
      <c r="AG22" s="73">
        <v>0</v>
      </c>
      <c r="AH22" s="74">
        <v>0</v>
      </c>
      <c r="AI22" s="74">
        <v>0</v>
      </c>
      <c r="AJ22" s="74">
        <v>0</v>
      </c>
      <c r="AK22" s="114"/>
      <c r="AL22" s="117"/>
      <c r="AM22" s="117"/>
      <c r="AN22" s="117"/>
      <c r="AP22" s="72" t="s">
        <v>15</v>
      </c>
      <c r="AQ22" s="73">
        <v>0</v>
      </c>
      <c r="AR22" s="74">
        <v>0</v>
      </c>
      <c r="AS22" s="74">
        <v>0</v>
      </c>
      <c r="AT22" s="74">
        <v>0</v>
      </c>
      <c r="AU22" s="114"/>
      <c r="AV22" s="117"/>
      <c r="AW22" s="117"/>
      <c r="AX22" s="117"/>
      <c r="AZ22" s="72" t="s">
        <v>15</v>
      </c>
      <c r="BA22" s="73">
        <v>0</v>
      </c>
      <c r="BB22" s="74">
        <v>0</v>
      </c>
      <c r="BC22" s="74">
        <v>0</v>
      </c>
      <c r="BD22" s="74">
        <v>0</v>
      </c>
      <c r="BE22" s="114"/>
      <c r="BF22" s="117"/>
      <c r="BG22" s="117"/>
      <c r="BH22" s="117"/>
      <c r="BJ22" s="72" t="s">
        <v>15</v>
      </c>
      <c r="BK22" s="73">
        <v>0</v>
      </c>
      <c r="BL22" s="74">
        <v>0</v>
      </c>
      <c r="BM22" s="74">
        <v>0</v>
      </c>
      <c r="BN22" s="74">
        <v>0</v>
      </c>
      <c r="BO22" s="114"/>
      <c r="BP22" s="117"/>
      <c r="BQ22" s="117"/>
      <c r="BR22" s="117"/>
      <c r="BT22" s="72" t="s">
        <v>15</v>
      </c>
      <c r="BU22" s="73">
        <v>0</v>
      </c>
      <c r="BV22" s="74">
        <v>0</v>
      </c>
      <c r="BW22" s="74">
        <v>0</v>
      </c>
      <c r="BX22" s="74">
        <v>0</v>
      </c>
      <c r="BY22" s="114"/>
      <c r="BZ22" s="117"/>
      <c r="CA22" s="117"/>
      <c r="CB22" s="117"/>
      <c r="CD22" s="72" t="s">
        <v>15</v>
      </c>
      <c r="CE22" s="73">
        <v>0</v>
      </c>
      <c r="CF22" s="74">
        <v>0</v>
      </c>
      <c r="CG22" s="74">
        <v>0</v>
      </c>
      <c r="CH22" s="74">
        <v>0</v>
      </c>
      <c r="CI22" s="114"/>
      <c r="CJ22" s="117"/>
      <c r="CK22" s="117"/>
      <c r="CL22" s="117"/>
      <c r="CN22" s="72" t="s">
        <v>15</v>
      </c>
      <c r="CO22" s="73">
        <v>0</v>
      </c>
      <c r="CP22" s="74">
        <v>0</v>
      </c>
      <c r="CQ22" s="74">
        <v>0</v>
      </c>
      <c r="CR22" s="74">
        <v>0</v>
      </c>
      <c r="CS22" s="114"/>
      <c r="CT22" s="117"/>
      <c r="CU22" s="117"/>
      <c r="CV22" s="117"/>
      <c r="CX22" s="72" t="s">
        <v>15</v>
      </c>
      <c r="CY22" s="73">
        <v>0</v>
      </c>
      <c r="CZ22" s="74">
        <v>0</v>
      </c>
      <c r="DA22" s="74">
        <v>0</v>
      </c>
      <c r="DB22" s="74">
        <v>0</v>
      </c>
      <c r="DC22" s="114"/>
      <c r="DD22" s="117"/>
      <c r="DE22" s="117"/>
      <c r="DF22" s="117"/>
      <c r="DH22" s="72" t="s">
        <v>15</v>
      </c>
      <c r="DI22" s="73">
        <v>0</v>
      </c>
      <c r="DJ22" s="74">
        <v>0</v>
      </c>
      <c r="DK22" s="74">
        <v>0</v>
      </c>
      <c r="DL22" s="74">
        <v>0</v>
      </c>
      <c r="DM22" s="114"/>
      <c r="DN22" s="117"/>
      <c r="DO22" s="117"/>
      <c r="DP22" s="117"/>
      <c r="DR22" s="75" t="s">
        <v>15</v>
      </c>
      <c r="DS22" s="76">
        <f>C22+DT22-D22</f>
        <v>0</v>
      </c>
      <c r="DT22" s="77">
        <f>D22+N22+X22+AH22+AR22+BB22+BL22+BV22+CF22+CP22+CZ22+DJ22</f>
        <v>0</v>
      </c>
      <c r="DU22" s="36">
        <f>(E22+O22+Y22+AI22+AS22+BC22+BM22+BW22+CG22+CQ22+DA22+DK22)/12</f>
        <v>0</v>
      </c>
      <c r="DV22" s="78">
        <f>F22+P22+Z22+AJ22+AT22+BD22+BN22+BX22+CH22+CR22+DB22+DL22</f>
        <v>0</v>
      </c>
      <c r="DW22" s="114"/>
      <c r="DX22" s="117"/>
      <c r="DY22" s="117"/>
      <c r="DZ22" s="117"/>
    </row>
    <row r="23" spans="1:130" ht="15" customHeight="1" thickBot="1" x14ac:dyDescent="0.25">
      <c r="A23" s="61"/>
      <c r="B23" s="79" t="s">
        <v>16</v>
      </c>
      <c r="C23" s="80">
        <f>SUM(C21:C22)</f>
        <v>0</v>
      </c>
      <c r="D23" s="80">
        <f>SUM(D21:D22)</f>
        <v>0</v>
      </c>
      <c r="E23" s="80">
        <f>SUM(E21:E22)</f>
        <v>0</v>
      </c>
      <c r="F23" s="80">
        <f>SUM(F21:F22)</f>
        <v>0</v>
      </c>
      <c r="G23" s="115"/>
      <c r="H23" s="118"/>
      <c r="I23" s="118"/>
      <c r="J23" s="118"/>
      <c r="L23" s="79" t="s">
        <v>16</v>
      </c>
      <c r="M23" s="80">
        <f>SUM(M21:M22)</f>
        <v>0</v>
      </c>
      <c r="N23" s="80">
        <f>SUM(N21:N22)</f>
        <v>0</v>
      </c>
      <c r="O23" s="80">
        <f>SUM(O21:O22)</f>
        <v>0</v>
      </c>
      <c r="P23" s="80">
        <f>SUM(P21:P22)</f>
        <v>0</v>
      </c>
      <c r="Q23" s="115"/>
      <c r="R23" s="118"/>
      <c r="S23" s="118"/>
      <c r="T23" s="118"/>
      <c r="V23" s="79" t="s">
        <v>16</v>
      </c>
      <c r="W23" s="80">
        <f>SUM(W21:W22)</f>
        <v>0</v>
      </c>
      <c r="X23" s="80">
        <f>SUM(X21:X22)</f>
        <v>0</v>
      </c>
      <c r="Y23" s="80">
        <f>SUM(Y21:Y22)</f>
        <v>0</v>
      </c>
      <c r="Z23" s="80">
        <f>SUM(Z21:Z22)</f>
        <v>0</v>
      </c>
      <c r="AA23" s="115"/>
      <c r="AB23" s="118"/>
      <c r="AC23" s="118"/>
      <c r="AD23" s="118"/>
      <c r="AF23" s="79" t="s">
        <v>16</v>
      </c>
      <c r="AG23" s="80">
        <f>SUM(AG21:AG22)</f>
        <v>0</v>
      </c>
      <c r="AH23" s="80">
        <f>SUM(AH21:AH22)</f>
        <v>0</v>
      </c>
      <c r="AI23" s="80">
        <f>SUM(AI21:AI22)</f>
        <v>0</v>
      </c>
      <c r="AJ23" s="80">
        <f>SUM(AJ21:AJ22)</f>
        <v>0</v>
      </c>
      <c r="AK23" s="115"/>
      <c r="AL23" s="118"/>
      <c r="AM23" s="118"/>
      <c r="AN23" s="118"/>
      <c r="AP23" s="79" t="s">
        <v>16</v>
      </c>
      <c r="AQ23" s="80">
        <f>SUM(AQ21:AQ22)</f>
        <v>0</v>
      </c>
      <c r="AR23" s="80">
        <f>SUM(AR21:AR22)</f>
        <v>0</v>
      </c>
      <c r="AS23" s="80">
        <f>SUM(AS21:AS22)</f>
        <v>0</v>
      </c>
      <c r="AT23" s="80">
        <f>SUM(AT21:AT22)</f>
        <v>0</v>
      </c>
      <c r="AU23" s="115"/>
      <c r="AV23" s="118"/>
      <c r="AW23" s="118"/>
      <c r="AX23" s="118"/>
      <c r="AZ23" s="79" t="s">
        <v>16</v>
      </c>
      <c r="BA23" s="80">
        <f>SUM(BA21:BA22)</f>
        <v>0</v>
      </c>
      <c r="BB23" s="80">
        <f>SUM(BB21:BB22)</f>
        <v>0</v>
      </c>
      <c r="BC23" s="80">
        <f>SUM(BC21:BC22)</f>
        <v>0</v>
      </c>
      <c r="BD23" s="80">
        <f>SUM(BD21:BD22)</f>
        <v>0</v>
      </c>
      <c r="BE23" s="115"/>
      <c r="BF23" s="118"/>
      <c r="BG23" s="118"/>
      <c r="BH23" s="118"/>
      <c r="BJ23" s="79" t="s">
        <v>16</v>
      </c>
      <c r="BK23" s="80">
        <f>SUM(BK21:BK22)</f>
        <v>0</v>
      </c>
      <c r="BL23" s="80">
        <f>SUM(BL21:BL22)</f>
        <v>0</v>
      </c>
      <c r="BM23" s="80">
        <f>SUM(BM21:BM22)</f>
        <v>0</v>
      </c>
      <c r="BN23" s="80">
        <f>SUM(BN21:BN22)</f>
        <v>0</v>
      </c>
      <c r="BO23" s="115"/>
      <c r="BP23" s="118"/>
      <c r="BQ23" s="118"/>
      <c r="BR23" s="118"/>
      <c r="BT23" s="79" t="s">
        <v>16</v>
      </c>
      <c r="BU23" s="80">
        <f>SUM(BU21:BU22)</f>
        <v>0</v>
      </c>
      <c r="BV23" s="80">
        <f>SUM(BV21:BV22)</f>
        <v>0</v>
      </c>
      <c r="BW23" s="80">
        <f>SUM(BW21:BW22)</f>
        <v>0</v>
      </c>
      <c r="BX23" s="80">
        <f>SUM(BX21:BX22)</f>
        <v>0</v>
      </c>
      <c r="BY23" s="115"/>
      <c r="BZ23" s="118"/>
      <c r="CA23" s="118"/>
      <c r="CB23" s="118"/>
      <c r="CD23" s="79" t="s">
        <v>16</v>
      </c>
      <c r="CE23" s="80">
        <f>SUM(CE21:CE22)</f>
        <v>0</v>
      </c>
      <c r="CF23" s="80">
        <f>SUM(CF21:CF22)</f>
        <v>0</v>
      </c>
      <c r="CG23" s="80">
        <f>SUM(CG21:CG22)</f>
        <v>0</v>
      </c>
      <c r="CH23" s="80">
        <f>SUM(CH21:CH22)</f>
        <v>0</v>
      </c>
      <c r="CI23" s="115"/>
      <c r="CJ23" s="118"/>
      <c r="CK23" s="118"/>
      <c r="CL23" s="118"/>
      <c r="CN23" s="79" t="s">
        <v>16</v>
      </c>
      <c r="CO23" s="80">
        <f>SUM(CO21:CO22)</f>
        <v>0</v>
      </c>
      <c r="CP23" s="80">
        <f>SUM(CP21:CP22)</f>
        <v>0</v>
      </c>
      <c r="CQ23" s="80">
        <f>SUM(CQ21:CQ22)</f>
        <v>0</v>
      </c>
      <c r="CR23" s="80">
        <f>SUM(CR21:CR22)</f>
        <v>0</v>
      </c>
      <c r="CS23" s="115"/>
      <c r="CT23" s="118"/>
      <c r="CU23" s="118"/>
      <c r="CV23" s="118"/>
      <c r="CX23" s="79" t="s">
        <v>16</v>
      </c>
      <c r="CY23" s="80">
        <f>SUM(CY21:CY22)</f>
        <v>0</v>
      </c>
      <c r="CZ23" s="80">
        <f>SUM(CZ21:CZ22)</f>
        <v>0</v>
      </c>
      <c r="DA23" s="80">
        <f>SUM(DA21:DA22)</f>
        <v>0</v>
      </c>
      <c r="DB23" s="80">
        <f>SUM(DB21:DB22)</f>
        <v>0</v>
      </c>
      <c r="DC23" s="115"/>
      <c r="DD23" s="118"/>
      <c r="DE23" s="118"/>
      <c r="DF23" s="118"/>
      <c r="DH23" s="79" t="s">
        <v>16</v>
      </c>
      <c r="DI23" s="80">
        <f>SUM(DI21:DI22)</f>
        <v>0</v>
      </c>
      <c r="DJ23" s="80">
        <f>SUM(DJ21:DJ22)</f>
        <v>0</v>
      </c>
      <c r="DK23" s="80">
        <f>SUM(DK21:DK22)</f>
        <v>0</v>
      </c>
      <c r="DL23" s="80">
        <f>SUM(DL21:DL22)</f>
        <v>0</v>
      </c>
      <c r="DM23" s="115"/>
      <c r="DN23" s="118"/>
      <c r="DO23" s="118"/>
      <c r="DP23" s="118"/>
      <c r="DR23" s="81" t="s">
        <v>16</v>
      </c>
      <c r="DS23" s="37">
        <f>SUM(DS21:DS22)</f>
        <v>0</v>
      </c>
      <c r="DT23" s="82">
        <f>SUM(DT21:DT22)</f>
        <v>0</v>
      </c>
      <c r="DU23" s="37">
        <f>SUM(DU21:DU22)</f>
        <v>0</v>
      </c>
      <c r="DV23" s="83">
        <f>SUM(DV21:DV22)</f>
        <v>0</v>
      </c>
      <c r="DW23" s="115"/>
      <c r="DX23" s="118"/>
      <c r="DY23" s="118"/>
      <c r="DZ23" s="118"/>
    </row>
    <row r="24" spans="1:130" ht="15" customHeight="1" thickBot="1" x14ac:dyDescent="0.25">
      <c r="A24" s="39"/>
      <c r="B24" s="125" t="s">
        <v>27</v>
      </c>
      <c r="C24" s="125"/>
      <c r="D24" s="84"/>
      <c r="E24" s="43"/>
      <c r="F24" s="84"/>
      <c r="G24" s="98"/>
      <c r="H24" s="101"/>
      <c r="I24" s="101"/>
      <c r="J24" s="102"/>
      <c r="L24" s="125" t="s">
        <v>27</v>
      </c>
      <c r="M24" s="125"/>
      <c r="N24" s="84"/>
      <c r="O24" s="43"/>
      <c r="P24" s="84"/>
      <c r="Q24" s="98"/>
      <c r="R24" s="101"/>
      <c r="S24" s="101"/>
      <c r="T24" s="102"/>
      <c r="V24" s="125" t="s">
        <v>27</v>
      </c>
      <c r="W24" s="125"/>
      <c r="X24" s="84"/>
      <c r="Y24" s="43"/>
      <c r="Z24" s="84"/>
      <c r="AA24" s="98"/>
      <c r="AB24" s="101"/>
      <c r="AC24" s="101"/>
      <c r="AD24" s="102"/>
      <c r="AF24" s="125" t="s">
        <v>27</v>
      </c>
      <c r="AG24" s="125"/>
      <c r="AH24" s="84"/>
      <c r="AI24" s="43"/>
      <c r="AJ24" s="84"/>
      <c r="AK24" s="98"/>
      <c r="AL24" s="101"/>
      <c r="AM24" s="101"/>
      <c r="AN24" s="102"/>
      <c r="AP24" s="125" t="s">
        <v>27</v>
      </c>
      <c r="AQ24" s="125"/>
      <c r="AR24" s="84"/>
      <c r="AS24" s="43"/>
      <c r="AT24" s="84"/>
      <c r="AU24" s="98"/>
      <c r="AV24" s="101"/>
      <c r="AW24" s="101"/>
      <c r="AX24" s="102"/>
      <c r="AZ24" s="125" t="s">
        <v>27</v>
      </c>
      <c r="BA24" s="125"/>
      <c r="BB24" s="84"/>
      <c r="BC24" s="43"/>
      <c r="BD24" s="84"/>
      <c r="BE24" s="98"/>
      <c r="BF24" s="101"/>
      <c r="BG24" s="101"/>
      <c r="BH24" s="102"/>
      <c r="BJ24" s="125" t="s">
        <v>27</v>
      </c>
      <c r="BK24" s="125"/>
      <c r="BL24" s="84"/>
      <c r="BM24" s="43"/>
      <c r="BN24" s="84"/>
      <c r="BO24" s="98"/>
      <c r="BP24" s="101"/>
      <c r="BQ24" s="101"/>
      <c r="BR24" s="102"/>
      <c r="BT24" s="125" t="s">
        <v>27</v>
      </c>
      <c r="BU24" s="125"/>
      <c r="BV24" s="84"/>
      <c r="BW24" s="43"/>
      <c r="BX24" s="84"/>
      <c r="BY24" s="98"/>
      <c r="BZ24" s="101"/>
      <c r="CA24" s="101"/>
      <c r="CB24" s="102"/>
      <c r="CD24" s="125" t="s">
        <v>27</v>
      </c>
      <c r="CE24" s="125"/>
      <c r="CF24" s="84"/>
      <c r="CG24" s="43"/>
      <c r="CH24" s="84"/>
      <c r="CI24" s="98"/>
      <c r="CJ24" s="101"/>
      <c r="CK24" s="101"/>
      <c r="CL24" s="102"/>
      <c r="CN24" s="125" t="s">
        <v>27</v>
      </c>
      <c r="CO24" s="125"/>
      <c r="CP24" s="84"/>
      <c r="CQ24" s="43"/>
      <c r="CR24" s="84"/>
      <c r="CS24" s="98"/>
      <c r="CT24" s="101"/>
      <c r="CU24" s="101"/>
      <c r="CV24" s="102"/>
      <c r="CX24" s="125" t="s">
        <v>27</v>
      </c>
      <c r="CY24" s="125"/>
      <c r="CZ24" s="84"/>
      <c r="DA24" s="43"/>
      <c r="DB24" s="84"/>
      <c r="DC24" s="98"/>
      <c r="DD24" s="101"/>
      <c r="DE24" s="101"/>
      <c r="DF24" s="102"/>
      <c r="DH24" s="125" t="s">
        <v>27</v>
      </c>
      <c r="DI24" s="125"/>
      <c r="DJ24" s="84"/>
      <c r="DK24" s="43"/>
      <c r="DL24" s="84"/>
      <c r="DM24" s="98"/>
      <c r="DN24" s="101"/>
      <c r="DO24" s="101"/>
      <c r="DP24" s="102"/>
      <c r="DR24" s="85" t="str">
        <f>(DH24)</f>
        <v>قويزة</v>
      </c>
      <c r="DS24" s="86"/>
      <c r="DT24" s="84"/>
      <c r="DU24" s="43"/>
      <c r="DV24" s="84"/>
      <c r="DW24" s="98"/>
      <c r="DX24" s="101"/>
      <c r="DY24" s="101"/>
      <c r="DZ24" s="102"/>
    </row>
    <row r="25" spans="1:130" ht="15" customHeight="1" thickTop="1" thickBot="1" x14ac:dyDescent="0.25">
      <c r="A25" s="61"/>
      <c r="B25" s="66" t="s">
        <v>14</v>
      </c>
      <c r="C25" s="103">
        <v>32</v>
      </c>
      <c r="D25" s="104">
        <v>1</v>
      </c>
      <c r="E25" s="104">
        <v>0</v>
      </c>
      <c r="F25" s="104">
        <v>16</v>
      </c>
      <c r="G25" s="113" t="s">
        <v>12</v>
      </c>
      <c r="H25" s="116">
        <v>6901</v>
      </c>
      <c r="I25" s="116" t="s">
        <v>13</v>
      </c>
      <c r="J25" s="116">
        <f>H25*38/100</f>
        <v>2622.38</v>
      </c>
      <c r="L25" s="66" t="s">
        <v>14</v>
      </c>
      <c r="M25" s="67">
        <v>35</v>
      </c>
      <c r="N25" s="44">
        <v>1</v>
      </c>
      <c r="O25" s="44">
        <v>0</v>
      </c>
      <c r="P25" s="44">
        <v>19</v>
      </c>
      <c r="Q25" s="113" t="s">
        <v>12</v>
      </c>
      <c r="R25" s="116">
        <v>6901</v>
      </c>
      <c r="S25" s="116" t="s">
        <v>13</v>
      </c>
      <c r="T25" s="116">
        <f>R25*38/100</f>
        <v>2622.38</v>
      </c>
      <c r="V25" s="66" t="s">
        <v>14</v>
      </c>
      <c r="W25" s="67">
        <v>37</v>
      </c>
      <c r="X25" s="44">
        <v>1</v>
      </c>
      <c r="Y25" s="44">
        <v>0</v>
      </c>
      <c r="Z25" s="44">
        <v>19</v>
      </c>
      <c r="AA25" s="113" t="s">
        <v>12</v>
      </c>
      <c r="AB25" s="116">
        <v>6901</v>
      </c>
      <c r="AC25" s="116" t="s">
        <v>13</v>
      </c>
      <c r="AD25" s="116">
        <f>AB25*38/100</f>
        <v>2622.38</v>
      </c>
      <c r="AF25" s="66" t="s">
        <v>14</v>
      </c>
      <c r="AG25" s="103">
        <v>36</v>
      </c>
      <c r="AH25" s="104">
        <v>1</v>
      </c>
      <c r="AI25" s="104">
        <v>0</v>
      </c>
      <c r="AJ25" s="104">
        <v>30</v>
      </c>
      <c r="AK25" s="113" t="s">
        <v>12</v>
      </c>
      <c r="AL25" s="116">
        <v>6901</v>
      </c>
      <c r="AM25" s="116" t="s">
        <v>13</v>
      </c>
      <c r="AN25" s="116">
        <f>AL25*38/100</f>
        <v>2622.38</v>
      </c>
      <c r="AP25" s="66" t="s">
        <v>14</v>
      </c>
      <c r="AQ25" s="67">
        <v>37</v>
      </c>
      <c r="AR25" s="44">
        <v>1</v>
      </c>
      <c r="AS25" s="44">
        <v>0</v>
      </c>
      <c r="AT25" s="44">
        <v>18</v>
      </c>
      <c r="AU25" s="113" t="s">
        <v>12</v>
      </c>
      <c r="AV25" s="116">
        <v>6901</v>
      </c>
      <c r="AW25" s="116" t="s">
        <v>13</v>
      </c>
      <c r="AX25" s="116">
        <f>AV25*38/100</f>
        <v>2622.38</v>
      </c>
      <c r="AZ25" s="66" t="s">
        <v>14</v>
      </c>
      <c r="BA25" s="67">
        <v>38</v>
      </c>
      <c r="BB25" s="44">
        <v>1</v>
      </c>
      <c r="BC25" s="44">
        <v>0</v>
      </c>
      <c r="BD25" s="44">
        <v>15</v>
      </c>
      <c r="BE25" s="113" t="s">
        <v>12</v>
      </c>
      <c r="BF25" s="116">
        <v>6901</v>
      </c>
      <c r="BG25" s="116" t="s">
        <v>13</v>
      </c>
      <c r="BH25" s="116">
        <f>BF25*38/100</f>
        <v>2622.38</v>
      </c>
      <c r="BJ25" s="66" t="s">
        <v>14</v>
      </c>
      <c r="BK25" s="67">
        <v>39</v>
      </c>
      <c r="BL25" s="44">
        <v>0</v>
      </c>
      <c r="BM25" s="44">
        <v>0</v>
      </c>
      <c r="BN25" s="44">
        <v>13</v>
      </c>
      <c r="BO25" s="113" t="s">
        <v>12</v>
      </c>
      <c r="BP25" s="116">
        <v>6901</v>
      </c>
      <c r="BQ25" s="116" t="s">
        <v>13</v>
      </c>
      <c r="BR25" s="116">
        <f>BP25*38/100</f>
        <v>2622.38</v>
      </c>
      <c r="BT25" s="66" t="s">
        <v>14</v>
      </c>
      <c r="BU25" s="67">
        <v>39</v>
      </c>
      <c r="BV25" s="44">
        <v>0</v>
      </c>
      <c r="BW25" s="44">
        <v>0</v>
      </c>
      <c r="BX25" s="44">
        <v>15</v>
      </c>
      <c r="BY25" s="113" t="s">
        <v>12</v>
      </c>
      <c r="BZ25" s="116">
        <v>6901</v>
      </c>
      <c r="CA25" s="116" t="s">
        <v>13</v>
      </c>
      <c r="CB25" s="116">
        <f>BZ25*38/100</f>
        <v>2622.38</v>
      </c>
      <c r="CD25" s="66" t="s">
        <v>14</v>
      </c>
      <c r="CE25" s="67">
        <v>39</v>
      </c>
      <c r="CF25" s="44">
        <v>0</v>
      </c>
      <c r="CG25" s="44">
        <v>0</v>
      </c>
      <c r="CH25" s="44">
        <v>23</v>
      </c>
      <c r="CI25" s="113" t="s">
        <v>12</v>
      </c>
      <c r="CJ25" s="116">
        <v>6901</v>
      </c>
      <c r="CK25" s="116" t="s">
        <v>13</v>
      </c>
      <c r="CL25" s="116">
        <f>CJ25*38/100</f>
        <v>2622.38</v>
      </c>
      <c r="CN25" s="66" t="s">
        <v>14</v>
      </c>
      <c r="CO25" s="67">
        <v>39</v>
      </c>
      <c r="CP25" s="44">
        <v>0</v>
      </c>
      <c r="CQ25" s="44">
        <v>0</v>
      </c>
      <c r="CR25" s="44">
        <v>16</v>
      </c>
      <c r="CS25" s="113" t="s">
        <v>12</v>
      </c>
      <c r="CT25" s="116">
        <v>6901</v>
      </c>
      <c r="CU25" s="116" t="s">
        <v>13</v>
      </c>
      <c r="CV25" s="116">
        <f>CT25*38/100</f>
        <v>2622.38</v>
      </c>
      <c r="CX25" s="66" t="s">
        <v>14</v>
      </c>
      <c r="CY25" s="67">
        <v>0</v>
      </c>
      <c r="CZ25" s="44">
        <v>0</v>
      </c>
      <c r="DA25" s="44">
        <v>0</v>
      </c>
      <c r="DB25" s="44">
        <v>0</v>
      </c>
      <c r="DC25" s="113" t="s">
        <v>12</v>
      </c>
      <c r="DD25" s="116">
        <v>0</v>
      </c>
      <c r="DE25" s="116" t="s">
        <v>13</v>
      </c>
      <c r="DF25" s="116">
        <f>DD25*38/100</f>
        <v>0</v>
      </c>
      <c r="DH25" s="66" t="s">
        <v>14</v>
      </c>
      <c r="DI25" s="67">
        <v>0</v>
      </c>
      <c r="DJ25" s="44">
        <v>0</v>
      </c>
      <c r="DK25" s="44">
        <v>0</v>
      </c>
      <c r="DL25" s="44">
        <v>0</v>
      </c>
      <c r="DM25" s="113" t="s">
        <v>12</v>
      </c>
      <c r="DN25" s="116">
        <v>0</v>
      </c>
      <c r="DO25" s="116" t="s">
        <v>13</v>
      </c>
      <c r="DP25" s="116">
        <f>DN25*38/100</f>
        <v>0</v>
      </c>
      <c r="DR25" s="68" t="s">
        <v>14</v>
      </c>
      <c r="DS25" s="69">
        <f>C25+DT25-D25</f>
        <v>37</v>
      </c>
      <c r="DT25" s="70">
        <f>D25+N25+X25+AH25+AR25+BB25+BL25+BV25+CF25+CP25+CZ25+DJ25</f>
        <v>6</v>
      </c>
      <c r="DU25" s="35">
        <f>(E25+O25+Y25+AI25+AS25+BC25+BM25+BW25+CG25+CQ25+DA25+DK25)/12</f>
        <v>0</v>
      </c>
      <c r="DV25" s="71">
        <f>F25+P25+Z25+AJ25+AT25+BD25+BN25+BX25+CH25+CR25+DB25+DL25</f>
        <v>184</v>
      </c>
      <c r="DW25" s="113" t="s">
        <v>12</v>
      </c>
      <c r="DX25" s="116">
        <f>DN25</f>
        <v>0</v>
      </c>
      <c r="DY25" s="116" t="s">
        <v>13</v>
      </c>
      <c r="DZ25" s="116">
        <f>DX25*38/100</f>
        <v>0</v>
      </c>
    </row>
    <row r="26" spans="1:130" ht="15" customHeight="1" thickBot="1" x14ac:dyDescent="0.25">
      <c r="A26" s="61"/>
      <c r="B26" s="72" t="s">
        <v>15</v>
      </c>
      <c r="C26" s="105">
        <v>0</v>
      </c>
      <c r="D26" s="106">
        <v>0</v>
      </c>
      <c r="E26" s="106">
        <v>0</v>
      </c>
      <c r="F26" s="106">
        <v>0</v>
      </c>
      <c r="G26" s="114"/>
      <c r="H26" s="117"/>
      <c r="I26" s="117"/>
      <c r="J26" s="117"/>
      <c r="L26" s="72" t="s">
        <v>15</v>
      </c>
      <c r="M26" s="73">
        <v>0</v>
      </c>
      <c r="N26" s="74">
        <v>0</v>
      </c>
      <c r="O26" s="74">
        <v>0</v>
      </c>
      <c r="P26" s="74">
        <v>0</v>
      </c>
      <c r="Q26" s="114"/>
      <c r="R26" s="117"/>
      <c r="S26" s="117"/>
      <c r="T26" s="117"/>
      <c r="V26" s="72" t="s">
        <v>15</v>
      </c>
      <c r="W26" s="73">
        <v>0</v>
      </c>
      <c r="X26" s="74">
        <v>0</v>
      </c>
      <c r="Y26" s="74">
        <v>0</v>
      </c>
      <c r="Z26" s="74">
        <v>0</v>
      </c>
      <c r="AA26" s="114"/>
      <c r="AB26" s="117"/>
      <c r="AC26" s="117"/>
      <c r="AD26" s="117"/>
      <c r="AF26" s="72" t="s">
        <v>15</v>
      </c>
      <c r="AG26" s="105">
        <v>0</v>
      </c>
      <c r="AH26" s="106">
        <v>0</v>
      </c>
      <c r="AI26" s="106">
        <v>0</v>
      </c>
      <c r="AJ26" s="106">
        <v>0</v>
      </c>
      <c r="AK26" s="114"/>
      <c r="AL26" s="117"/>
      <c r="AM26" s="117"/>
      <c r="AN26" s="117"/>
      <c r="AP26" s="72" t="s">
        <v>15</v>
      </c>
      <c r="AQ26" s="73">
        <v>0</v>
      </c>
      <c r="AR26" s="74">
        <v>0</v>
      </c>
      <c r="AS26" s="74">
        <v>0</v>
      </c>
      <c r="AT26" s="74">
        <v>0</v>
      </c>
      <c r="AU26" s="114"/>
      <c r="AV26" s="117"/>
      <c r="AW26" s="117"/>
      <c r="AX26" s="117"/>
      <c r="AZ26" s="72" t="s">
        <v>15</v>
      </c>
      <c r="BA26" s="73">
        <v>0</v>
      </c>
      <c r="BB26" s="74">
        <v>0</v>
      </c>
      <c r="BC26" s="74">
        <v>0</v>
      </c>
      <c r="BD26" s="74">
        <v>0</v>
      </c>
      <c r="BE26" s="114"/>
      <c r="BF26" s="117"/>
      <c r="BG26" s="117"/>
      <c r="BH26" s="117"/>
      <c r="BJ26" s="72" t="s">
        <v>15</v>
      </c>
      <c r="BK26" s="73">
        <v>0</v>
      </c>
      <c r="BL26" s="74">
        <v>0</v>
      </c>
      <c r="BM26" s="74">
        <v>0</v>
      </c>
      <c r="BN26" s="74">
        <v>0</v>
      </c>
      <c r="BO26" s="114"/>
      <c r="BP26" s="117"/>
      <c r="BQ26" s="117"/>
      <c r="BR26" s="117"/>
      <c r="BT26" s="72" t="s">
        <v>15</v>
      </c>
      <c r="BU26" s="73">
        <v>0</v>
      </c>
      <c r="BV26" s="74">
        <v>0</v>
      </c>
      <c r="BW26" s="74">
        <v>0</v>
      </c>
      <c r="BX26" s="74">
        <v>0</v>
      </c>
      <c r="BY26" s="114"/>
      <c r="BZ26" s="117"/>
      <c r="CA26" s="117"/>
      <c r="CB26" s="117"/>
      <c r="CD26" s="72" t="s">
        <v>15</v>
      </c>
      <c r="CE26" s="73">
        <v>0</v>
      </c>
      <c r="CF26" s="74">
        <v>0</v>
      </c>
      <c r="CG26" s="74">
        <v>0</v>
      </c>
      <c r="CH26" s="74">
        <v>0</v>
      </c>
      <c r="CI26" s="114"/>
      <c r="CJ26" s="117"/>
      <c r="CK26" s="117"/>
      <c r="CL26" s="117"/>
      <c r="CN26" s="72" t="s">
        <v>15</v>
      </c>
      <c r="CO26" s="73">
        <v>1</v>
      </c>
      <c r="CP26" s="74">
        <v>0</v>
      </c>
      <c r="CQ26" s="74">
        <v>0</v>
      </c>
      <c r="CR26" s="74">
        <v>0</v>
      </c>
      <c r="CS26" s="114"/>
      <c r="CT26" s="117"/>
      <c r="CU26" s="117"/>
      <c r="CV26" s="117"/>
      <c r="CX26" s="72" t="s">
        <v>15</v>
      </c>
      <c r="CY26" s="73">
        <v>0</v>
      </c>
      <c r="CZ26" s="74">
        <v>0</v>
      </c>
      <c r="DA26" s="74">
        <v>0</v>
      </c>
      <c r="DB26" s="74">
        <v>0</v>
      </c>
      <c r="DC26" s="114"/>
      <c r="DD26" s="117"/>
      <c r="DE26" s="117"/>
      <c r="DF26" s="117"/>
      <c r="DH26" s="72" t="s">
        <v>15</v>
      </c>
      <c r="DI26" s="73">
        <v>0</v>
      </c>
      <c r="DJ26" s="74">
        <v>0</v>
      </c>
      <c r="DK26" s="74">
        <v>0</v>
      </c>
      <c r="DL26" s="74">
        <v>0</v>
      </c>
      <c r="DM26" s="114"/>
      <c r="DN26" s="117"/>
      <c r="DO26" s="117"/>
      <c r="DP26" s="117"/>
      <c r="DR26" s="75" t="s">
        <v>15</v>
      </c>
      <c r="DS26" s="76">
        <f>C26+DT26-D26</f>
        <v>0</v>
      </c>
      <c r="DT26" s="77">
        <f>D26+N26+X26+AH26+AR26+BB26+BL26+BV26+CF26+CP26+CZ26+DJ26</f>
        <v>0</v>
      </c>
      <c r="DU26" s="36">
        <f>(E26+O26+Y26+AI26+AS26+BC26+BM26+BW26+CG26+CQ26+DA26+DK26)/12</f>
        <v>0</v>
      </c>
      <c r="DV26" s="78">
        <f>F26+P26+Z26+AJ26+AT26+BD26+BN26+BX26+CH26+CR26+DB26+DL26</f>
        <v>0</v>
      </c>
      <c r="DW26" s="114"/>
      <c r="DX26" s="117"/>
      <c r="DY26" s="117"/>
      <c r="DZ26" s="117"/>
    </row>
    <row r="27" spans="1:130" ht="15" customHeight="1" thickBot="1" x14ac:dyDescent="0.25">
      <c r="A27" s="61"/>
      <c r="B27" s="79" t="s">
        <v>16</v>
      </c>
      <c r="C27" s="80">
        <f>SUM(C25:C26)</f>
        <v>32</v>
      </c>
      <c r="D27" s="80">
        <f>SUM(D25:D26)</f>
        <v>1</v>
      </c>
      <c r="E27" s="80">
        <f>SUM(E25:E26)</f>
        <v>0</v>
      </c>
      <c r="F27" s="80">
        <f>SUM(F25:F26)</f>
        <v>16</v>
      </c>
      <c r="G27" s="115"/>
      <c r="H27" s="118"/>
      <c r="I27" s="118"/>
      <c r="J27" s="118"/>
      <c r="L27" s="79" t="s">
        <v>16</v>
      </c>
      <c r="M27" s="80">
        <f>SUM(M25:M26)</f>
        <v>35</v>
      </c>
      <c r="N27" s="80">
        <f>SUM(N25:N26)</f>
        <v>1</v>
      </c>
      <c r="O27" s="80">
        <f>SUM(O25:O26)</f>
        <v>0</v>
      </c>
      <c r="P27" s="80">
        <f>SUM(P25:P26)</f>
        <v>19</v>
      </c>
      <c r="Q27" s="115"/>
      <c r="R27" s="118"/>
      <c r="S27" s="118"/>
      <c r="T27" s="118"/>
      <c r="V27" s="79" t="s">
        <v>16</v>
      </c>
      <c r="W27" s="80">
        <f>SUM(W25:W26)</f>
        <v>37</v>
      </c>
      <c r="X27" s="80">
        <f>SUM(X25:X26)</f>
        <v>1</v>
      </c>
      <c r="Y27" s="80">
        <f>SUM(Y25:Y26)</f>
        <v>0</v>
      </c>
      <c r="Z27" s="80">
        <f>SUM(Z25:Z26)</f>
        <v>19</v>
      </c>
      <c r="AA27" s="115"/>
      <c r="AB27" s="118"/>
      <c r="AC27" s="118"/>
      <c r="AD27" s="118"/>
      <c r="AF27" s="79" t="s">
        <v>16</v>
      </c>
      <c r="AG27" s="80">
        <f>SUM(AG25:AG26)</f>
        <v>36</v>
      </c>
      <c r="AH27" s="80">
        <f>SUM(AH25:AH26)</f>
        <v>1</v>
      </c>
      <c r="AI27" s="80">
        <f>SUM(AI25:AI26)</f>
        <v>0</v>
      </c>
      <c r="AJ27" s="80">
        <f>SUM(AJ25:AJ26)</f>
        <v>30</v>
      </c>
      <c r="AK27" s="115"/>
      <c r="AL27" s="118"/>
      <c r="AM27" s="118"/>
      <c r="AN27" s="118"/>
      <c r="AP27" s="79" t="s">
        <v>16</v>
      </c>
      <c r="AQ27" s="80">
        <f>SUM(AQ25:AQ26)</f>
        <v>37</v>
      </c>
      <c r="AR27" s="80">
        <f>SUM(AR25:AR26)</f>
        <v>1</v>
      </c>
      <c r="AS27" s="80">
        <f>SUM(AS25:AS26)</f>
        <v>0</v>
      </c>
      <c r="AT27" s="80">
        <f>SUM(AT25:AT26)</f>
        <v>18</v>
      </c>
      <c r="AU27" s="115"/>
      <c r="AV27" s="118"/>
      <c r="AW27" s="118"/>
      <c r="AX27" s="118"/>
      <c r="AZ27" s="79" t="s">
        <v>16</v>
      </c>
      <c r="BA27" s="80">
        <f>SUM(BA25:BA26)</f>
        <v>38</v>
      </c>
      <c r="BB27" s="80">
        <f>SUM(BB25:BB26)</f>
        <v>1</v>
      </c>
      <c r="BC27" s="80">
        <f>SUM(BC25:BC26)</f>
        <v>0</v>
      </c>
      <c r="BD27" s="80">
        <f>SUM(BD25:BD26)</f>
        <v>15</v>
      </c>
      <c r="BE27" s="115"/>
      <c r="BF27" s="118"/>
      <c r="BG27" s="118"/>
      <c r="BH27" s="118"/>
      <c r="BJ27" s="79" t="s">
        <v>16</v>
      </c>
      <c r="BK27" s="80">
        <f>SUM(BK25:BK26)</f>
        <v>39</v>
      </c>
      <c r="BL27" s="80">
        <f>SUM(BL25:BL26)</f>
        <v>0</v>
      </c>
      <c r="BM27" s="80">
        <f>SUM(BM25:BM26)</f>
        <v>0</v>
      </c>
      <c r="BN27" s="80">
        <f>SUM(BN25:BN26)</f>
        <v>13</v>
      </c>
      <c r="BO27" s="115"/>
      <c r="BP27" s="118"/>
      <c r="BQ27" s="118"/>
      <c r="BR27" s="118"/>
      <c r="BT27" s="79" t="s">
        <v>16</v>
      </c>
      <c r="BU27" s="80">
        <f>SUM(BU25:BU26)</f>
        <v>39</v>
      </c>
      <c r="BV27" s="80">
        <f>SUM(BV25:BV26)</f>
        <v>0</v>
      </c>
      <c r="BW27" s="80">
        <f>SUM(BW25:BW26)</f>
        <v>0</v>
      </c>
      <c r="BX27" s="80">
        <f>SUM(BX25:BX26)</f>
        <v>15</v>
      </c>
      <c r="BY27" s="115"/>
      <c r="BZ27" s="118"/>
      <c r="CA27" s="118"/>
      <c r="CB27" s="118"/>
      <c r="CD27" s="79" t="s">
        <v>16</v>
      </c>
      <c r="CE27" s="80">
        <f>SUM(CE25:CE26)</f>
        <v>39</v>
      </c>
      <c r="CF27" s="80">
        <f>SUM(CF25:CF26)</f>
        <v>0</v>
      </c>
      <c r="CG27" s="80">
        <f>SUM(CG25:CG26)</f>
        <v>0</v>
      </c>
      <c r="CH27" s="80">
        <f>SUM(CH25:CH26)</f>
        <v>23</v>
      </c>
      <c r="CI27" s="115"/>
      <c r="CJ27" s="118"/>
      <c r="CK27" s="118"/>
      <c r="CL27" s="118"/>
      <c r="CN27" s="79" t="s">
        <v>16</v>
      </c>
      <c r="CO27" s="80">
        <f>SUM(CO25:CO26)</f>
        <v>40</v>
      </c>
      <c r="CP27" s="80">
        <f>SUM(CP25:CP26)</f>
        <v>0</v>
      </c>
      <c r="CQ27" s="80">
        <f>SUM(CQ25:CQ26)</f>
        <v>0</v>
      </c>
      <c r="CR27" s="80">
        <f>SUM(CR25:CR26)</f>
        <v>16</v>
      </c>
      <c r="CS27" s="115"/>
      <c r="CT27" s="118"/>
      <c r="CU27" s="118"/>
      <c r="CV27" s="118"/>
      <c r="CX27" s="79" t="s">
        <v>16</v>
      </c>
      <c r="CY27" s="80">
        <f>SUM(CY25:CY26)</f>
        <v>0</v>
      </c>
      <c r="CZ27" s="80">
        <f>SUM(CZ25:CZ26)</f>
        <v>0</v>
      </c>
      <c r="DA27" s="80">
        <f>SUM(DA25:DA26)</f>
        <v>0</v>
      </c>
      <c r="DB27" s="80">
        <f>SUM(DB25:DB26)</f>
        <v>0</v>
      </c>
      <c r="DC27" s="115"/>
      <c r="DD27" s="118"/>
      <c r="DE27" s="118"/>
      <c r="DF27" s="118"/>
      <c r="DH27" s="79" t="s">
        <v>16</v>
      </c>
      <c r="DI27" s="80">
        <f>SUM(DI25:DI26)</f>
        <v>0</v>
      </c>
      <c r="DJ27" s="80">
        <f>SUM(DJ25:DJ26)</f>
        <v>0</v>
      </c>
      <c r="DK27" s="80">
        <f>SUM(DK25:DK26)</f>
        <v>0</v>
      </c>
      <c r="DL27" s="80">
        <f>SUM(DL25:DL26)</f>
        <v>0</v>
      </c>
      <c r="DM27" s="115"/>
      <c r="DN27" s="118"/>
      <c r="DO27" s="118"/>
      <c r="DP27" s="118"/>
      <c r="DR27" s="81" t="s">
        <v>16</v>
      </c>
      <c r="DS27" s="37">
        <f>SUM(DS25:DS26)</f>
        <v>37</v>
      </c>
      <c r="DT27" s="82">
        <f>SUM(DT25:DT26)</f>
        <v>6</v>
      </c>
      <c r="DU27" s="37">
        <f>SUM(DU25:DU26)</f>
        <v>0</v>
      </c>
      <c r="DV27" s="83">
        <f>SUM(DV25:DV26)</f>
        <v>184</v>
      </c>
      <c r="DW27" s="115"/>
      <c r="DX27" s="118"/>
      <c r="DY27" s="118"/>
      <c r="DZ27" s="118"/>
    </row>
    <row r="28" spans="1:130" ht="15" customHeight="1" thickBot="1" x14ac:dyDescent="0.25">
      <c r="A28" s="39"/>
      <c r="B28" s="125" t="s">
        <v>28</v>
      </c>
      <c r="C28" s="125"/>
      <c r="D28" s="84"/>
      <c r="E28" s="43"/>
      <c r="F28" s="84"/>
      <c r="G28" s="98"/>
      <c r="H28" s="101"/>
      <c r="I28" s="101"/>
      <c r="J28" s="102"/>
      <c r="L28" s="125" t="s">
        <v>28</v>
      </c>
      <c r="M28" s="125"/>
      <c r="N28" s="84"/>
      <c r="O28" s="43"/>
      <c r="P28" s="84"/>
      <c r="Q28" s="98"/>
      <c r="R28" s="101"/>
      <c r="S28" s="101"/>
      <c r="T28" s="102"/>
      <c r="V28" s="125" t="s">
        <v>28</v>
      </c>
      <c r="W28" s="125"/>
      <c r="X28" s="84"/>
      <c r="Y28" s="43"/>
      <c r="Z28" s="84"/>
      <c r="AA28" s="98"/>
      <c r="AB28" s="101"/>
      <c r="AC28" s="101"/>
      <c r="AD28" s="102"/>
      <c r="AF28" s="125" t="s">
        <v>28</v>
      </c>
      <c r="AG28" s="125"/>
      <c r="AH28" s="84"/>
      <c r="AI28" s="43"/>
      <c r="AJ28" s="84"/>
      <c r="AK28" s="98"/>
      <c r="AL28" s="101"/>
      <c r="AM28" s="101"/>
      <c r="AN28" s="102"/>
      <c r="AP28" s="125" t="s">
        <v>28</v>
      </c>
      <c r="AQ28" s="125"/>
      <c r="AR28" s="84"/>
      <c r="AS28" s="43"/>
      <c r="AT28" s="84"/>
      <c r="AU28" s="98"/>
      <c r="AV28" s="101"/>
      <c r="AW28" s="101"/>
      <c r="AX28" s="102"/>
      <c r="AZ28" s="125" t="s">
        <v>28</v>
      </c>
      <c r="BA28" s="125"/>
      <c r="BB28" s="84"/>
      <c r="BC28" s="43"/>
      <c r="BD28" s="84"/>
      <c r="BE28" s="98"/>
      <c r="BF28" s="101"/>
      <c r="BG28" s="101"/>
      <c r="BH28" s="102"/>
      <c r="BJ28" s="125" t="s">
        <v>28</v>
      </c>
      <c r="BK28" s="125"/>
      <c r="BL28" s="84"/>
      <c r="BM28" s="43"/>
      <c r="BN28" s="84"/>
      <c r="BO28" s="98"/>
      <c r="BP28" s="101"/>
      <c r="BQ28" s="101"/>
      <c r="BR28" s="102"/>
      <c r="BT28" s="125" t="s">
        <v>28</v>
      </c>
      <c r="BU28" s="125"/>
      <c r="BV28" s="84"/>
      <c r="BW28" s="43"/>
      <c r="BX28" s="84"/>
      <c r="BY28" s="98"/>
      <c r="BZ28" s="101"/>
      <c r="CA28" s="101"/>
      <c r="CB28" s="102"/>
      <c r="CD28" s="125" t="s">
        <v>28</v>
      </c>
      <c r="CE28" s="125"/>
      <c r="CF28" s="84"/>
      <c r="CG28" s="43"/>
      <c r="CH28" s="84"/>
      <c r="CI28" s="98"/>
      <c r="CJ28" s="101"/>
      <c r="CK28" s="101"/>
      <c r="CL28" s="102"/>
      <c r="CN28" s="125" t="s">
        <v>28</v>
      </c>
      <c r="CO28" s="125"/>
      <c r="CP28" s="84"/>
      <c r="CQ28" s="43"/>
      <c r="CR28" s="84"/>
      <c r="CS28" s="98"/>
      <c r="CT28" s="101"/>
      <c r="CU28" s="101"/>
      <c r="CV28" s="102"/>
      <c r="CX28" s="125" t="s">
        <v>28</v>
      </c>
      <c r="CY28" s="125"/>
      <c r="CZ28" s="84"/>
      <c r="DA28" s="43"/>
      <c r="DB28" s="84"/>
      <c r="DC28" s="98"/>
      <c r="DD28" s="101"/>
      <c r="DE28" s="101"/>
      <c r="DF28" s="102"/>
      <c r="DH28" s="125" t="s">
        <v>28</v>
      </c>
      <c r="DI28" s="125"/>
      <c r="DJ28" s="84"/>
      <c r="DK28" s="43"/>
      <c r="DL28" s="84"/>
      <c r="DM28" s="98"/>
      <c r="DN28" s="101"/>
      <c r="DO28" s="101"/>
      <c r="DP28" s="102"/>
      <c r="DR28" s="85" t="str">
        <f>(DH28)</f>
        <v>الرغامة</v>
      </c>
      <c r="DS28" s="86"/>
      <c r="DT28" s="84"/>
      <c r="DU28" s="43"/>
      <c r="DV28" s="84"/>
      <c r="DW28" s="98"/>
      <c r="DX28" s="101"/>
      <c r="DY28" s="101"/>
      <c r="DZ28" s="102"/>
    </row>
    <row r="29" spans="1:130" ht="15" customHeight="1" thickTop="1" thickBot="1" x14ac:dyDescent="0.25">
      <c r="A29" s="61"/>
      <c r="B29" s="66" t="s">
        <v>14</v>
      </c>
      <c r="C29" s="67">
        <v>11</v>
      </c>
      <c r="D29" s="44">
        <v>0</v>
      </c>
      <c r="E29" s="44">
        <v>0</v>
      </c>
      <c r="F29" s="44">
        <v>9</v>
      </c>
      <c r="G29" s="113" t="s">
        <v>12</v>
      </c>
      <c r="H29" s="116">
        <v>6901</v>
      </c>
      <c r="I29" s="116" t="s">
        <v>13</v>
      </c>
      <c r="J29" s="116">
        <f>H29*38/100</f>
        <v>2622.38</v>
      </c>
      <c r="L29" s="66" t="s">
        <v>14</v>
      </c>
      <c r="M29" s="67">
        <v>61</v>
      </c>
      <c r="N29" s="44">
        <v>14</v>
      </c>
      <c r="O29" s="44">
        <v>0</v>
      </c>
      <c r="P29" s="44">
        <v>14</v>
      </c>
      <c r="Q29" s="113" t="s">
        <v>12</v>
      </c>
      <c r="R29" s="116">
        <v>6901</v>
      </c>
      <c r="S29" s="116" t="s">
        <v>13</v>
      </c>
      <c r="T29" s="116">
        <f>R29*38/100</f>
        <v>2622.38</v>
      </c>
      <c r="V29" s="66" t="s">
        <v>14</v>
      </c>
      <c r="W29" s="67">
        <v>70</v>
      </c>
      <c r="X29" s="44">
        <v>0</v>
      </c>
      <c r="Y29" s="44">
        <v>19</v>
      </c>
      <c r="Z29" s="44">
        <v>11</v>
      </c>
      <c r="AA29" s="113" t="s">
        <v>12</v>
      </c>
      <c r="AB29" s="116">
        <v>6901</v>
      </c>
      <c r="AC29" s="116" t="s">
        <v>13</v>
      </c>
      <c r="AD29" s="116">
        <f>AB29*38/100</f>
        <v>2622.38</v>
      </c>
      <c r="AF29" s="66" t="s">
        <v>14</v>
      </c>
      <c r="AG29" s="103">
        <v>77</v>
      </c>
      <c r="AH29" s="104">
        <v>0</v>
      </c>
      <c r="AI29" s="104">
        <v>19</v>
      </c>
      <c r="AJ29" s="104">
        <v>17</v>
      </c>
      <c r="AK29" s="113" t="s">
        <v>12</v>
      </c>
      <c r="AL29" s="116">
        <v>6901</v>
      </c>
      <c r="AM29" s="116" t="s">
        <v>13</v>
      </c>
      <c r="AN29" s="116">
        <f>AL29*38/100</f>
        <v>2622.38</v>
      </c>
      <c r="AP29" s="66" t="s">
        <v>14</v>
      </c>
      <c r="AQ29" s="67">
        <v>77</v>
      </c>
      <c r="AR29" s="44">
        <v>0</v>
      </c>
      <c r="AS29" s="44">
        <v>0</v>
      </c>
      <c r="AT29" s="44">
        <v>7</v>
      </c>
      <c r="AU29" s="113" t="s">
        <v>12</v>
      </c>
      <c r="AV29" s="116">
        <v>6901</v>
      </c>
      <c r="AW29" s="116" t="s">
        <v>13</v>
      </c>
      <c r="AX29" s="116">
        <f>AV29*38/100</f>
        <v>2622.38</v>
      </c>
      <c r="AZ29" s="66" t="s">
        <v>14</v>
      </c>
      <c r="BA29" s="67">
        <v>77</v>
      </c>
      <c r="BB29" s="44">
        <v>0</v>
      </c>
      <c r="BC29" s="44">
        <v>17</v>
      </c>
      <c r="BD29" s="44">
        <v>22</v>
      </c>
      <c r="BE29" s="113" t="s">
        <v>12</v>
      </c>
      <c r="BF29" s="116">
        <v>6901</v>
      </c>
      <c r="BG29" s="116" t="s">
        <v>13</v>
      </c>
      <c r="BH29" s="116">
        <f>BF29*38/100</f>
        <v>2622.38</v>
      </c>
      <c r="BJ29" s="66" t="s">
        <v>14</v>
      </c>
      <c r="BK29" s="67">
        <v>77</v>
      </c>
      <c r="BL29" s="44">
        <v>0</v>
      </c>
      <c r="BM29" s="44">
        <v>2</v>
      </c>
      <c r="BN29" s="44">
        <v>22</v>
      </c>
      <c r="BO29" s="113" t="s">
        <v>12</v>
      </c>
      <c r="BP29" s="116">
        <v>6901</v>
      </c>
      <c r="BQ29" s="116" t="s">
        <v>13</v>
      </c>
      <c r="BR29" s="116">
        <f>BP29*38/100</f>
        <v>2622.38</v>
      </c>
      <c r="BT29" s="66" t="s">
        <v>14</v>
      </c>
      <c r="BU29" s="67">
        <v>77</v>
      </c>
      <c r="BV29" s="44">
        <v>0</v>
      </c>
      <c r="BW29" s="44">
        <v>0</v>
      </c>
      <c r="BX29" s="44">
        <v>22</v>
      </c>
      <c r="BY29" s="113" t="s">
        <v>12</v>
      </c>
      <c r="BZ29" s="116">
        <v>6901</v>
      </c>
      <c r="CA29" s="116" t="s">
        <v>13</v>
      </c>
      <c r="CB29" s="116">
        <f>BZ29*38/100</f>
        <v>2622.38</v>
      </c>
      <c r="CD29" s="66" t="s">
        <v>14</v>
      </c>
      <c r="CE29" s="67">
        <v>71</v>
      </c>
      <c r="CF29" s="44">
        <v>0</v>
      </c>
      <c r="CG29" s="44">
        <v>0</v>
      </c>
      <c r="CH29" s="44">
        <v>9</v>
      </c>
      <c r="CI29" s="113" t="s">
        <v>12</v>
      </c>
      <c r="CJ29" s="116">
        <v>6901</v>
      </c>
      <c r="CK29" s="116" t="s">
        <v>13</v>
      </c>
      <c r="CL29" s="116">
        <f>CJ29*38/100</f>
        <v>2622.38</v>
      </c>
      <c r="CN29" s="66" t="s">
        <v>14</v>
      </c>
      <c r="CO29" s="67">
        <v>71</v>
      </c>
      <c r="CP29" s="44">
        <v>0</v>
      </c>
      <c r="CQ29" s="44">
        <v>0</v>
      </c>
      <c r="CR29" s="44">
        <v>9</v>
      </c>
      <c r="CS29" s="113" t="s">
        <v>12</v>
      </c>
      <c r="CT29" s="116">
        <v>6901</v>
      </c>
      <c r="CU29" s="116" t="s">
        <v>13</v>
      </c>
      <c r="CV29" s="116">
        <f>CT29*38/100</f>
        <v>2622.38</v>
      </c>
      <c r="CX29" s="66" t="s">
        <v>14</v>
      </c>
      <c r="CY29" s="67">
        <v>0</v>
      </c>
      <c r="CZ29" s="44">
        <v>0</v>
      </c>
      <c r="DA29" s="44">
        <v>0</v>
      </c>
      <c r="DB29" s="44">
        <v>0</v>
      </c>
      <c r="DC29" s="113" t="s">
        <v>12</v>
      </c>
      <c r="DD29" s="116">
        <v>0</v>
      </c>
      <c r="DE29" s="116" t="s">
        <v>13</v>
      </c>
      <c r="DF29" s="116">
        <f>DD29*38/100</f>
        <v>0</v>
      </c>
      <c r="DH29" s="66" t="s">
        <v>14</v>
      </c>
      <c r="DI29" s="67">
        <v>0</v>
      </c>
      <c r="DJ29" s="44">
        <v>0</v>
      </c>
      <c r="DK29" s="44">
        <v>0</v>
      </c>
      <c r="DL29" s="44">
        <v>0</v>
      </c>
      <c r="DM29" s="113" t="s">
        <v>12</v>
      </c>
      <c r="DN29" s="116">
        <v>0</v>
      </c>
      <c r="DO29" s="116" t="s">
        <v>13</v>
      </c>
      <c r="DP29" s="116">
        <f>DN29*38/100</f>
        <v>0</v>
      </c>
      <c r="DR29" s="68" t="s">
        <v>14</v>
      </c>
      <c r="DS29" s="69">
        <f>C29+DT29-D29</f>
        <v>25</v>
      </c>
      <c r="DT29" s="70">
        <f>D29+N29+X29+AH29+AR29+BB29+BL29+BV29+CF29+CP29+CZ29+DJ29</f>
        <v>14</v>
      </c>
      <c r="DU29" s="35">
        <f>(E29+O29+Y29+AI29+AS29+BC29+BM29+BW29+CG29+CQ29+DA29+DK29)/12</f>
        <v>4.75</v>
      </c>
      <c r="DV29" s="71">
        <f>F29+P29+Z29+AJ29+AT29+BD29+BN29+BX29+CH29+CR29+DB29+DL29</f>
        <v>142</v>
      </c>
      <c r="DW29" s="113" t="s">
        <v>12</v>
      </c>
      <c r="DX29" s="116">
        <f>DN29</f>
        <v>0</v>
      </c>
      <c r="DY29" s="116" t="s">
        <v>13</v>
      </c>
      <c r="DZ29" s="116">
        <f>DX29*38/100</f>
        <v>0</v>
      </c>
    </row>
    <row r="30" spans="1:130" ht="15" customHeight="1" thickBot="1" x14ac:dyDescent="0.25">
      <c r="A30" s="61"/>
      <c r="B30" s="72" t="s">
        <v>15</v>
      </c>
      <c r="C30" s="73">
        <v>0</v>
      </c>
      <c r="D30" s="74">
        <v>0</v>
      </c>
      <c r="E30" s="74">
        <v>0</v>
      </c>
      <c r="F30" s="74">
        <v>0</v>
      </c>
      <c r="G30" s="114"/>
      <c r="H30" s="117"/>
      <c r="I30" s="117"/>
      <c r="J30" s="117"/>
      <c r="L30" s="72" t="s">
        <v>15</v>
      </c>
      <c r="M30" s="73">
        <v>0</v>
      </c>
      <c r="N30" s="74">
        <v>0</v>
      </c>
      <c r="O30" s="74">
        <v>0</v>
      </c>
      <c r="P30" s="74">
        <v>0</v>
      </c>
      <c r="Q30" s="114"/>
      <c r="R30" s="117"/>
      <c r="S30" s="117"/>
      <c r="T30" s="117"/>
      <c r="V30" s="72" t="s">
        <v>15</v>
      </c>
      <c r="W30" s="73">
        <v>7</v>
      </c>
      <c r="X30" s="74">
        <v>0</v>
      </c>
      <c r="Y30" s="74">
        <v>1</v>
      </c>
      <c r="Z30" s="74">
        <v>0</v>
      </c>
      <c r="AA30" s="114"/>
      <c r="AB30" s="117"/>
      <c r="AC30" s="117"/>
      <c r="AD30" s="117"/>
      <c r="AF30" s="72" t="s">
        <v>15</v>
      </c>
      <c r="AG30" s="105">
        <v>9</v>
      </c>
      <c r="AH30" s="106">
        <v>0</v>
      </c>
      <c r="AI30" s="106">
        <v>1</v>
      </c>
      <c r="AJ30" s="106">
        <v>9</v>
      </c>
      <c r="AK30" s="114"/>
      <c r="AL30" s="117"/>
      <c r="AM30" s="117"/>
      <c r="AN30" s="117"/>
      <c r="AP30" s="72" t="s">
        <v>15</v>
      </c>
      <c r="AQ30" s="73">
        <v>9</v>
      </c>
      <c r="AR30" s="74">
        <v>0</v>
      </c>
      <c r="AS30" s="74">
        <v>0</v>
      </c>
      <c r="AT30" s="74">
        <v>0</v>
      </c>
      <c r="AU30" s="114"/>
      <c r="AV30" s="117"/>
      <c r="AW30" s="117"/>
      <c r="AX30" s="117"/>
      <c r="AZ30" s="72" t="s">
        <v>15</v>
      </c>
      <c r="BA30" s="73">
        <v>5</v>
      </c>
      <c r="BB30" s="74">
        <v>0</v>
      </c>
      <c r="BC30" s="74">
        <v>1</v>
      </c>
      <c r="BD30" s="74">
        <v>0</v>
      </c>
      <c r="BE30" s="114"/>
      <c r="BF30" s="117"/>
      <c r="BG30" s="117"/>
      <c r="BH30" s="117"/>
      <c r="BJ30" s="72" t="s">
        <v>15</v>
      </c>
      <c r="BK30" s="73">
        <v>5</v>
      </c>
      <c r="BL30" s="74">
        <v>0</v>
      </c>
      <c r="BM30" s="74">
        <v>0</v>
      </c>
      <c r="BN30" s="74">
        <v>0</v>
      </c>
      <c r="BO30" s="114"/>
      <c r="BP30" s="117"/>
      <c r="BQ30" s="117"/>
      <c r="BR30" s="117"/>
      <c r="BT30" s="72" t="s">
        <v>15</v>
      </c>
      <c r="BU30" s="73">
        <v>5</v>
      </c>
      <c r="BV30" s="74">
        <v>0</v>
      </c>
      <c r="BW30" s="74">
        <v>0</v>
      </c>
      <c r="BX30" s="74">
        <v>0</v>
      </c>
      <c r="BY30" s="114"/>
      <c r="BZ30" s="117"/>
      <c r="CA30" s="117"/>
      <c r="CB30" s="117"/>
      <c r="CD30" s="72" t="s">
        <v>15</v>
      </c>
      <c r="CE30" s="73">
        <v>5</v>
      </c>
      <c r="CF30" s="74">
        <v>0</v>
      </c>
      <c r="CG30" s="74">
        <v>0</v>
      </c>
      <c r="CH30" s="74">
        <v>1</v>
      </c>
      <c r="CI30" s="114"/>
      <c r="CJ30" s="117"/>
      <c r="CK30" s="117"/>
      <c r="CL30" s="117"/>
      <c r="CN30" s="72" t="s">
        <v>15</v>
      </c>
      <c r="CO30" s="73">
        <v>5</v>
      </c>
      <c r="CP30" s="74">
        <v>0</v>
      </c>
      <c r="CQ30" s="74">
        <v>0</v>
      </c>
      <c r="CR30" s="74">
        <v>0</v>
      </c>
      <c r="CS30" s="114"/>
      <c r="CT30" s="117"/>
      <c r="CU30" s="117"/>
      <c r="CV30" s="117"/>
      <c r="CX30" s="72" t="s">
        <v>15</v>
      </c>
      <c r="CY30" s="73">
        <v>0</v>
      </c>
      <c r="CZ30" s="74">
        <v>0</v>
      </c>
      <c r="DA30" s="74">
        <v>0</v>
      </c>
      <c r="DB30" s="74">
        <v>0</v>
      </c>
      <c r="DC30" s="114"/>
      <c r="DD30" s="117"/>
      <c r="DE30" s="117"/>
      <c r="DF30" s="117"/>
      <c r="DH30" s="72" t="s">
        <v>15</v>
      </c>
      <c r="DI30" s="73">
        <v>0</v>
      </c>
      <c r="DJ30" s="74">
        <v>0</v>
      </c>
      <c r="DK30" s="74">
        <v>0</v>
      </c>
      <c r="DL30" s="74">
        <v>0</v>
      </c>
      <c r="DM30" s="114"/>
      <c r="DN30" s="117"/>
      <c r="DO30" s="117"/>
      <c r="DP30" s="117"/>
      <c r="DR30" s="75" t="s">
        <v>15</v>
      </c>
      <c r="DS30" s="76">
        <f>C30+DT30-D30</f>
        <v>0</v>
      </c>
      <c r="DT30" s="77">
        <f>D30+N30+X30+AH30+AR30+BB30+BL30+BV30+CF30+CP30+CZ30+DJ30</f>
        <v>0</v>
      </c>
      <c r="DU30" s="36">
        <f>(E30+O30+Y30+AI30+AS30+BC30+BM30+BW30+CG30+CQ30+DA30+DK30)/12</f>
        <v>0.25</v>
      </c>
      <c r="DV30" s="78">
        <f>F30+P30+Z30+AJ30+AT30+BD30+BN30+BX30+CH30+CR30+DB30+DL30</f>
        <v>10</v>
      </c>
      <c r="DW30" s="114"/>
      <c r="DX30" s="117"/>
      <c r="DY30" s="117"/>
      <c r="DZ30" s="117"/>
    </row>
    <row r="31" spans="1:130" ht="15" customHeight="1" thickBot="1" x14ac:dyDescent="0.25">
      <c r="A31" s="61"/>
      <c r="B31" s="79" t="s">
        <v>16</v>
      </c>
      <c r="C31" s="80">
        <f>SUM(C29:C30)</f>
        <v>11</v>
      </c>
      <c r="D31" s="80">
        <f>SUM(D29:D30)</f>
        <v>0</v>
      </c>
      <c r="E31" s="80">
        <f>SUM(E29:E30)</f>
        <v>0</v>
      </c>
      <c r="F31" s="80">
        <f>SUM(F29:F30)</f>
        <v>9</v>
      </c>
      <c r="G31" s="115"/>
      <c r="H31" s="118"/>
      <c r="I31" s="118"/>
      <c r="J31" s="118"/>
      <c r="L31" s="79" t="s">
        <v>16</v>
      </c>
      <c r="M31" s="80">
        <f>SUM(M29:M30)</f>
        <v>61</v>
      </c>
      <c r="N31" s="80">
        <f>SUM(N29:N30)</f>
        <v>14</v>
      </c>
      <c r="O31" s="80">
        <f>SUM(O29:O30)</f>
        <v>0</v>
      </c>
      <c r="P31" s="80">
        <f>SUM(P29:P30)</f>
        <v>14</v>
      </c>
      <c r="Q31" s="115"/>
      <c r="R31" s="118"/>
      <c r="S31" s="118"/>
      <c r="T31" s="118"/>
      <c r="V31" s="79" t="s">
        <v>16</v>
      </c>
      <c r="W31" s="80">
        <f>SUM(W29:W30)</f>
        <v>77</v>
      </c>
      <c r="X31" s="80">
        <f>SUM(X29:X30)</f>
        <v>0</v>
      </c>
      <c r="Y31" s="80">
        <f>SUM(Y29:Y30)</f>
        <v>20</v>
      </c>
      <c r="Z31" s="80">
        <f>SUM(Z29:Z30)</f>
        <v>11</v>
      </c>
      <c r="AA31" s="115"/>
      <c r="AB31" s="118"/>
      <c r="AC31" s="118"/>
      <c r="AD31" s="118"/>
      <c r="AF31" s="79" t="s">
        <v>16</v>
      </c>
      <c r="AG31" s="80">
        <f>SUM(AG29:AG30)</f>
        <v>86</v>
      </c>
      <c r="AH31" s="80">
        <f>SUM(AH29:AH30)</f>
        <v>0</v>
      </c>
      <c r="AI31" s="80">
        <f>SUM(AI29:AI30)</f>
        <v>20</v>
      </c>
      <c r="AJ31" s="80">
        <f>SUM(AJ29:AJ30)</f>
        <v>26</v>
      </c>
      <c r="AK31" s="115"/>
      <c r="AL31" s="118"/>
      <c r="AM31" s="118"/>
      <c r="AN31" s="118"/>
      <c r="AP31" s="79" t="s">
        <v>16</v>
      </c>
      <c r="AQ31" s="80">
        <f>SUM(AQ29:AQ30)</f>
        <v>86</v>
      </c>
      <c r="AR31" s="80">
        <f>SUM(AR29:AR30)</f>
        <v>0</v>
      </c>
      <c r="AS31" s="80">
        <f>SUM(AS29:AS30)</f>
        <v>0</v>
      </c>
      <c r="AT31" s="80">
        <f>SUM(AT29:AT30)</f>
        <v>7</v>
      </c>
      <c r="AU31" s="115"/>
      <c r="AV31" s="118"/>
      <c r="AW31" s="118"/>
      <c r="AX31" s="118"/>
      <c r="AZ31" s="79" t="s">
        <v>16</v>
      </c>
      <c r="BA31" s="80">
        <f>SUM(BA29:BA30)</f>
        <v>82</v>
      </c>
      <c r="BB31" s="80">
        <f>SUM(BB29:BB30)</f>
        <v>0</v>
      </c>
      <c r="BC31" s="80">
        <f>SUM(BC29:BC30)</f>
        <v>18</v>
      </c>
      <c r="BD31" s="80">
        <f>SUM(BD29:BD30)</f>
        <v>22</v>
      </c>
      <c r="BE31" s="115"/>
      <c r="BF31" s="118"/>
      <c r="BG31" s="118"/>
      <c r="BH31" s="118"/>
      <c r="BJ31" s="79" t="s">
        <v>16</v>
      </c>
      <c r="BK31" s="80">
        <f>SUM(BK29:BK30)</f>
        <v>82</v>
      </c>
      <c r="BL31" s="80">
        <f>SUM(BL29:BL30)</f>
        <v>0</v>
      </c>
      <c r="BM31" s="80">
        <f>SUM(BM29:BM30)</f>
        <v>2</v>
      </c>
      <c r="BN31" s="80">
        <f>SUM(BN29:BN30)</f>
        <v>22</v>
      </c>
      <c r="BO31" s="115"/>
      <c r="BP31" s="118"/>
      <c r="BQ31" s="118"/>
      <c r="BR31" s="118"/>
      <c r="BT31" s="79" t="s">
        <v>16</v>
      </c>
      <c r="BU31" s="80">
        <f>SUM(BU29:BU30)</f>
        <v>82</v>
      </c>
      <c r="BV31" s="80">
        <f>SUM(BV29:BV30)</f>
        <v>0</v>
      </c>
      <c r="BW31" s="80">
        <f>SUM(BW29:BW30)</f>
        <v>0</v>
      </c>
      <c r="BX31" s="80">
        <f>SUM(BX29:BX30)</f>
        <v>22</v>
      </c>
      <c r="BY31" s="115"/>
      <c r="BZ31" s="118"/>
      <c r="CA31" s="118"/>
      <c r="CB31" s="118"/>
      <c r="CD31" s="79" t="s">
        <v>16</v>
      </c>
      <c r="CE31" s="80">
        <f>SUM(CE29:CE30)</f>
        <v>76</v>
      </c>
      <c r="CF31" s="80">
        <f>SUM(CF29:CF30)</f>
        <v>0</v>
      </c>
      <c r="CG31" s="80">
        <f>SUM(CG29:CG30)</f>
        <v>0</v>
      </c>
      <c r="CH31" s="80">
        <f>SUM(CH29:CH30)</f>
        <v>10</v>
      </c>
      <c r="CI31" s="115"/>
      <c r="CJ31" s="118"/>
      <c r="CK31" s="118"/>
      <c r="CL31" s="118"/>
      <c r="CN31" s="79" t="s">
        <v>16</v>
      </c>
      <c r="CO31" s="80">
        <f>SUM(CO29:CO30)</f>
        <v>76</v>
      </c>
      <c r="CP31" s="80">
        <f>SUM(CP29:CP30)</f>
        <v>0</v>
      </c>
      <c r="CQ31" s="80">
        <f>SUM(CQ29:CQ30)</f>
        <v>0</v>
      </c>
      <c r="CR31" s="80">
        <f>SUM(CR29:CR30)</f>
        <v>9</v>
      </c>
      <c r="CS31" s="115"/>
      <c r="CT31" s="118"/>
      <c r="CU31" s="118"/>
      <c r="CV31" s="118"/>
      <c r="CX31" s="79" t="s">
        <v>16</v>
      </c>
      <c r="CY31" s="80">
        <f>SUM(CY29:CY30)</f>
        <v>0</v>
      </c>
      <c r="CZ31" s="80">
        <f>SUM(CZ29:CZ30)</f>
        <v>0</v>
      </c>
      <c r="DA31" s="80">
        <f>SUM(DA29:DA30)</f>
        <v>0</v>
      </c>
      <c r="DB31" s="80">
        <f>SUM(DB29:DB30)</f>
        <v>0</v>
      </c>
      <c r="DC31" s="115"/>
      <c r="DD31" s="118"/>
      <c r="DE31" s="118"/>
      <c r="DF31" s="118"/>
      <c r="DH31" s="79" t="s">
        <v>16</v>
      </c>
      <c r="DI31" s="80">
        <f>SUM(DI29:DI30)</f>
        <v>0</v>
      </c>
      <c r="DJ31" s="80">
        <f>SUM(DJ29:DJ30)</f>
        <v>0</v>
      </c>
      <c r="DK31" s="80">
        <f>SUM(DK29:DK30)</f>
        <v>0</v>
      </c>
      <c r="DL31" s="80">
        <f>SUM(DL29:DL30)</f>
        <v>0</v>
      </c>
      <c r="DM31" s="115"/>
      <c r="DN31" s="118"/>
      <c r="DO31" s="118"/>
      <c r="DP31" s="118"/>
      <c r="DR31" s="81" t="s">
        <v>16</v>
      </c>
      <c r="DS31" s="37">
        <f>SUM(DS29:DS30)</f>
        <v>25</v>
      </c>
      <c r="DT31" s="82">
        <f>SUM(DT29:DT30)</f>
        <v>14</v>
      </c>
      <c r="DU31" s="37">
        <f>SUM(DU29:DU30)</f>
        <v>5</v>
      </c>
      <c r="DV31" s="83">
        <f>SUM(DV29:DV30)</f>
        <v>152</v>
      </c>
      <c r="DW31" s="115"/>
      <c r="DX31" s="118"/>
      <c r="DY31" s="118"/>
      <c r="DZ31" s="118"/>
    </row>
    <row r="32" spans="1:130" ht="15" customHeight="1" thickBot="1" x14ac:dyDescent="0.25">
      <c r="A32" s="39"/>
      <c r="B32" s="125" t="s">
        <v>32</v>
      </c>
      <c r="C32" s="125"/>
      <c r="D32" s="84"/>
      <c r="E32" s="43"/>
      <c r="F32" s="84"/>
      <c r="G32" s="98"/>
      <c r="H32" s="101"/>
      <c r="I32" s="101"/>
      <c r="J32" s="102"/>
      <c r="L32" s="125" t="s">
        <v>32</v>
      </c>
      <c r="M32" s="125"/>
      <c r="N32" s="84"/>
      <c r="O32" s="43"/>
      <c r="P32" s="84"/>
      <c r="Q32" s="98"/>
      <c r="R32" s="101"/>
      <c r="S32" s="101"/>
      <c r="T32" s="102"/>
      <c r="V32" s="125" t="s">
        <v>32</v>
      </c>
      <c r="W32" s="125"/>
      <c r="X32" s="84"/>
      <c r="Y32" s="43"/>
      <c r="Z32" s="84"/>
      <c r="AA32" s="98"/>
      <c r="AB32" s="101"/>
      <c r="AC32" s="101"/>
      <c r="AD32" s="102"/>
      <c r="AF32" s="125" t="s">
        <v>32</v>
      </c>
      <c r="AG32" s="125"/>
      <c r="AH32" s="84"/>
      <c r="AI32" s="43"/>
      <c r="AJ32" s="84"/>
      <c r="AK32" s="98"/>
      <c r="AL32" s="101"/>
      <c r="AM32" s="101"/>
      <c r="AN32" s="102"/>
      <c r="AP32" s="125" t="s">
        <v>32</v>
      </c>
      <c r="AQ32" s="125"/>
      <c r="AR32" s="84"/>
      <c r="AS32" s="43"/>
      <c r="AT32" s="84"/>
      <c r="AU32" s="98"/>
      <c r="AV32" s="101"/>
      <c r="AW32" s="101"/>
      <c r="AX32" s="102"/>
      <c r="AZ32" s="125" t="s">
        <v>32</v>
      </c>
      <c r="BA32" s="125"/>
      <c r="BB32" s="84"/>
      <c r="BC32" s="43"/>
      <c r="BD32" s="84"/>
      <c r="BE32" s="98"/>
      <c r="BF32" s="101"/>
      <c r="BG32" s="101"/>
      <c r="BH32" s="102"/>
      <c r="BJ32" s="125" t="s">
        <v>32</v>
      </c>
      <c r="BK32" s="125"/>
      <c r="BL32" s="84"/>
      <c r="BM32" s="43"/>
      <c r="BN32" s="84"/>
      <c r="BO32" s="98"/>
      <c r="BP32" s="101"/>
      <c r="BQ32" s="101"/>
      <c r="BR32" s="102"/>
      <c r="BT32" s="125" t="s">
        <v>32</v>
      </c>
      <c r="BU32" s="125"/>
      <c r="BV32" s="84"/>
      <c r="BW32" s="43"/>
      <c r="BX32" s="84"/>
      <c r="BY32" s="98"/>
      <c r="BZ32" s="101"/>
      <c r="CA32" s="101"/>
      <c r="CB32" s="102"/>
      <c r="CD32" s="125" t="s">
        <v>32</v>
      </c>
      <c r="CE32" s="125"/>
      <c r="CF32" s="84"/>
      <c r="CG32" s="43"/>
      <c r="CH32" s="84"/>
      <c r="CI32" s="98"/>
      <c r="CJ32" s="101"/>
      <c r="CK32" s="101"/>
      <c r="CL32" s="102"/>
      <c r="CN32" s="125" t="s">
        <v>32</v>
      </c>
      <c r="CO32" s="125"/>
      <c r="CP32" s="84"/>
      <c r="CQ32" s="43"/>
      <c r="CR32" s="84"/>
      <c r="CS32" s="98"/>
      <c r="CT32" s="101"/>
      <c r="CU32" s="101"/>
      <c r="CV32" s="102"/>
      <c r="CX32" s="125" t="s">
        <v>32</v>
      </c>
      <c r="CY32" s="125"/>
      <c r="CZ32" s="84"/>
      <c r="DA32" s="43"/>
      <c r="DB32" s="84"/>
      <c r="DC32" s="98"/>
      <c r="DD32" s="101"/>
      <c r="DE32" s="101"/>
      <c r="DF32" s="102"/>
      <c r="DH32" s="125" t="s">
        <v>32</v>
      </c>
      <c r="DI32" s="125"/>
      <c r="DJ32" s="84"/>
      <c r="DK32" s="43"/>
      <c r="DL32" s="84"/>
      <c r="DM32" s="98"/>
      <c r="DN32" s="101"/>
      <c r="DO32" s="101"/>
      <c r="DP32" s="102"/>
      <c r="DR32" s="85" t="str">
        <f>(DH32)</f>
        <v>الواحة</v>
      </c>
      <c r="DS32" s="86"/>
      <c r="DT32" s="84"/>
      <c r="DU32" s="43"/>
      <c r="DV32" s="84"/>
      <c r="DW32" s="98"/>
      <c r="DX32" s="101"/>
      <c r="DY32" s="101"/>
      <c r="DZ32" s="102"/>
    </row>
    <row r="33" spans="1:130" ht="15" customHeight="1" x14ac:dyDescent="0.2">
      <c r="A33" s="61"/>
      <c r="B33" s="66" t="s">
        <v>14</v>
      </c>
      <c r="C33" s="67">
        <v>39</v>
      </c>
      <c r="D33" s="44">
        <v>24</v>
      </c>
      <c r="E33" s="44">
        <v>0</v>
      </c>
      <c r="F33" s="44">
        <v>43</v>
      </c>
      <c r="G33" s="113" t="s">
        <v>12</v>
      </c>
      <c r="H33" s="116">
        <v>18482</v>
      </c>
      <c r="I33" s="116" t="s">
        <v>13</v>
      </c>
      <c r="J33" s="116">
        <f>H33*38/100</f>
        <v>7023.16</v>
      </c>
      <c r="L33" s="66" t="s">
        <v>14</v>
      </c>
      <c r="M33" s="67">
        <v>54</v>
      </c>
      <c r="N33" s="44">
        <v>36</v>
      </c>
      <c r="O33" s="44">
        <v>10</v>
      </c>
      <c r="P33" s="44">
        <v>54</v>
      </c>
      <c r="Q33" s="113" t="s">
        <v>12</v>
      </c>
      <c r="R33" s="116">
        <v>18482</v>
      </c>
      <c r="S33" s="116" t="s">
        <v>13</v>
      </c>
      <c r="T33" s="116">
        <f>R33*38/100</f>
        <v>7023.16</v>
      </c>
      <c r="V33" s="66" t="s">
        <v>14</v>
      </c>
      <c r="W33" s="67">
        <v>40</v>
      </c>
      <c r="X33" s="44">
        <v>23</v>
      </c>
      <c r="Y33" s="44">
        <v>0</v>
      </c>
      <c r="Z33" s="44">
        <v>40</v>
      </c>
      <c r="AA33" s="113" t="s">
        <v>12</v>
      </c>
      <c r="AB33" s="116">
        <v>18482</v>
      </c>
      <c r="AC33" s="116" t="s">
        <v>13</v>
      </c>
      <c r="AD33" s="116">
        <f>AB33*38/100</f>
        <v>7023.16</v>
      </c>
      <c r="AF33" s="66" t="s">
        <v>14</v>
      </c>
      <c r="AG33" s="67">
        <v>40</v>
      </c>
      <c r="AH33" s="44">
        <v>0</v>
      </c>
      <c r="AI33" s="44">
        <v>0</v>
      </c>
      <c r="AJ33" s="44">
        <v>13</v>
      </c>
      <c r="AK33" s="113" t="s">
        <v>12</v>
      </c>
      <c r="AL33" s="116">
        <v>18482</v>
      </c>
      <c r="AM33" s="116" t="s">
        <v>13</v>
      </c>
      <c r="AN33" s="116">
        <f>AL33*38/100</f>
        <v>7023.16</v>
      </c>
      <c r="AP33" s="66" t="s">
        <v>14</v>
      </c>
      <c r="AQ33" s="67">
        <v>41</v>
      </c>
      <c r="AR33" s="44">
        <v>1</v>
      </c>
      <c r="AS33" s="44">
        <v>19</v>
      </c>
      <c r="AT33" s="44">
        <v>91</v>
      </c>
      <c r="AU33" s="113" t="s">
        <v>12</v>
      </c>
      <c r="AV33" s="116">
        <v>18482</v>
      </c>
      <c r="AW33" s="116" t="s">
        <v>13</v>
      </c>
      <c r="AX33" s="116">
        <f>AV33*38/100</f>
        <v>7023.16</v>
      </c>
      <c r="AZ33" s="66" t="s">
        <v>14</v>
      </c>
      <c r="BA33" s="67">
        <v>41</v>
      </c>
      <c r="BB33" s="44">
        <v>0</v>
      </c>
      <c r="BC33" s="44">
        <v>0</v>
      </c>
      <c r="BD33" s="44">
        <v>25</v>
      </c>
      <c r="BE33" s="113" t="s">
        <v>12</v>
      </c>
      <c r="BF33" s="116">
        <v>18482</v>
      </c>
      <c r="BG33" s="116" t="s">
        <v>13</v>
      </c>
      <c r="BH33" s="116">
        <f>BF33*38/100</f>
        <v>7023.16</v>
      </c>
      <c r="BJ33" s="66" t="s">
        <v>14</v>
      </c>
      <c r="BK33" s="67">
        <v>41</v>
      </c>
      <c r="BL33" s="44">
        <v>0</v>
      </c>
      <c r="BM33" s="44">
        <v>0</v>
      </c>
      <c r="BN33" s="44">
        <v>30</v>
      </c>
      <c r="BO33" s="113" t="s">
        <v>12</v>
      </c>
      <c r="BP33" s="116">
        <v>18482</v>
      </c>
      <c r="BQ33" s="116" t="s">
        <v>13</v>
      </c>
      <c r="BR33" s="116">
        <f>BP33*38/100</f>
        <v>7023.16</v>
      </c>
      <c r="BT33" s="66" t="s">
        <v>14</v>
      </c>
      <c r="BU33" s="67">
        <v>41</v>
      </c>
      <c r="BV33" s="44">
        <v>0</v>
      </c>
      <c r="BW33" s="44">
        <v>0</v>
      </c>
      <c r="BX33" s="44">
        <v>25</v>
      </c>
      <c r="BY33" s="113" t="s">
        <v>12</v>
      </c>
      <c r="BZ33" s="116">
        <v>18482</v>
      </c>
      <c r="CA33" s="116" t="s">
        <v>13</v>
      </c>
      <c r="CB33" s="116">
        <f>BZ33*38/100</f>
        <v>7023.16</v>
      </c>
      <c r="CD33" s="66" t="s">
        <v>14</v>
      </c>
      <c r="CE33" s="67">
        <v>41</v>
      </c>
      <c r="CF33" s="44">
        <v>0</v>
      </c>
      <c r="CG33" s="44">
        <v>0</v>
      </c>
      <c r="CH33" s="44">
        <v>3</v>
      </c>
      <c r="CI33" s="113" t="s">
        <v>12</v>
      </c>
      <c r="CJ33" s="116">
        <v>18482</v>
      </c>
      <c r="CK33" s="116" t="s">
        <v>13</v>
      </c>
      <c r="CL33" s="116">
        <f>CJ33*38/100</f>
        <v>7023.16</v>
      </c>
      <c r="CN33" s="66" t="s">
        <v>14</v>
      </c>
      <c r="CO33" s="67">
        <v>41</v>
      </c>
      <c r="CP33" s="44">
        <v>0</v>
      </c>
      <c r="CQ33" s="44">
        <v>0</v>
      </c>
      <c r="CR33" s="44">
        <v>13</v>
      </c>
      <c r="CS33" s="113" t="s">
        <v>12</v>
      </c>
      <c r="CT33" s="116">
        <v>18482</v>
      </c>
      <c r="CU33" s="116" t="s">
        <v>13</v>
      </c>
      <c r="CV33" s="116">
        <f>CT33*38/100</f>
        <v>7023.16</v>
      </c>
      <c r="CX33" s="66" t="s">
        <v>14</v>
      </c>
      <c r="CY33" s="67">
        <v>0</v>
      </c>
      <c r="CZ33" s="44">
        <v>0</v>
      </c>
      <c r="DA33" s="44">
        <v>0</v>
      </c>
      <c r="DB33" s="44">
        <v>0</v>
      </c>
      <c r="DC33" s="113" t="s">
        <v>12</v>
      </c>
      <c r="DD33" s="116">
        <v>0</v>
      </c>
      <c r="DE33" s="116" t="s">
        <v>13</v>
      </c>
      <c r="DF33" s="116">
        <f>DD33*38/100</f>
        <v>0</v>
      </c>
      <c r="DH33" s="66" t="s">
        <v>14</v>
      </c>
      <c r="DI33" s="67">
        <v>0</v>
      </c>
      <c r="DJ33" s="44">
        <v>0</v>
      </c>
      <c r="DK33" s="44">
        <v>0</v>
      </c>
      <c r="DL33" s="44">
        <v>0</v>
      </c>
      <c r="DM33" s="113" t="s">
        <v>12</v>
      </c>
      <c r="DN33" s="116">
        <v>0</v>
      </c>
      <c r="DO33" s="116" t="s">
        <v>13</v>
      </c>
      <c r="DP33" s="116">
        <f>DN33*38/100</f>
        <v>0</v>
      </c>
      <c r="DR33" s="68" t="s">
        <v>14</v>
      </c>
      <c r="DS33" s="69">
        <f>C33+DT33-D33</f>
        <v>99</v>
      </c>
      <c r="DT33" s="70">
        <f>D33+N33+X33+AH33+AR33+BB33+BL33+BV33+CF33+CP33+CZ33+DJ33</f>
        <v>84</v>
      </c>
      <c r="DU33" s="35">
        <f>(E33+O33+Y33+AI33+AS33+BC33+BM33+BW33+CG33+CQ33+DA33+DK33)/12</f>
        <v>2.4166666666666665</v>
      </c>
      <c r="DV33" s="71">
        <f>F33+P33+Z33+AJ33+AT33+BD33+BN33+BX33+CH33+CR33+DB33+DL33</f>
        <v>337</v>
      </c>
      <c r="DW33" s="113" t="s">
        <v>12</v>
      </c>
      <c r="DX33" s="116">
        <f>DN33</f>
        <v>0</v>
      </c>
      <c r="DY33" s="116" t="s">
        <v>13</v>
      </c>
      <c r="DZ33" s="116">
        <f>DX33*38/100</f>
        <v>0</v>
      </c>
    </row>
    <row r="34" spans="1:130" ht="15" customHeight="1" thickBot="1" x14ac:dyDescent="0.25">
      <c r="A34" s="61"/>
      <c r="B34" s="72" t="s">
        <v>15</v>
      </c>
      <c r="C34" s="73">
        <v>0</v>
      </c>
      <c r="D34" s="74">
        <v>0</v>
      </c>
      <c r="E34" s="74">
        <v>0</v>
      </c>
      <c r="F34" s="74">
        <v>6</v>
      </c>
      <c r="G34" s="114"/>
      <c r="H34" s="117"/>
      <c r="I34" s="117"/>
      <c r="J34" s="117"/>
      <c r="L34" s="72" t="s">
        <v>15</v>
      </c>
      <c r="M34" s="73">
        <v>3</v>
      </c>
      <c r="N34" s="74">
        <v>2</v>
      </c>
      <c r="O34" s="74">
        <v>2</v>
      </c>
      <c r="P34" s="74">
        <v>3</v>
      </c>
      <c r="Q34" s="114"/>
      <c r="R34" s="117"/>
      <c r="S34" s="117"/>
      <c r="T34" s="117"/>
      <c r="V34" s="72" t="s">
        <v>15</v>
      </c>
      <c r="W34" s="73">
        <v>0</v>
      </c>
      <c r="X34" s="74">
        <v>0</v>
      </c>
      <c r="Y34" s="74">
        <v>0</v>
      </c>
      <c r="Z34" s="74">
        <v>0</v>
      </c>
      <c r="AA34" s="114"/>
      <c r="AB34" s="117"/>
      <c r="AC34" s="117"/>
      <c r="AD34" s="117"/>
      <c r="AF34" s="72" t="s">
        <v>15</v>
      </c>
      <c r="AG34" s="73">
        <v>0</v>
      </c>
      <c r="AH34" s="74">
        <v>0</v>
      </c>
      <c r="AI34" s="74">
        <v>0</v>
      </c>
      <c r="AJ34" s="74">
        <v>2</v>
      </c>
      <c r="AK34" s="114"/>
      <c r="AL34" s="117"/>
      <c r="AM34" s="117"/>
      <c r="AN34" s="117"/>
      <c r="AP34" s="72" t="s">
        <v>15</v>
      </c>
      <c r="AQ34" s="73">
        <v>0</v>
      </c>
      <c r="AR34" s="74">
        <v>0</v>
      </c>
      <c r="AS34" s="74">
        <v>0</v>
      </c>
      <c r="AT34" s="74">
        <v>9</v>
      </c>
      <c r="AU34" s="114"/>
      <c r="AV34" s="117"/>
      <c r="AW34" s="117"/>
      <c r="AX34" s="117"/>
      <c r="AZ34" s="72" t="s">
        <v>15</v>
      </c>
      <c r="BA34" s="73">
        <v>1</v>
      </c>
      <c r="BB34" s="74">
        <v>0</v>
      </c>
      <c r="BC34" s="74">
        <v>0</v>
      </c>
      <c r="BD34" s="74">
        <v>1</v>
      </c>
      <c r="BE34" s="114"/>
      <c r="BF34" s="117"/>
      <c r="BG34" s="117"/>
      <c r="BH34" s="117"/>
      <c r="BJ34" s="72" t="s">
        <v>15</v>
      </c>
      <c r="BK34" s="73">
        <v>1</v>
      </c>
      <c r="BL34" s="74">
        <v>0</v>
      </c>
      <c r="BM34" s="74">
        <v>0</v>
      </c>
      <c r="BN34" s="74">
        <v>0</v>
      </c>
      <c r="BO34" s="114"/>
      <c r="BP34" s="117"/>
      <c r="BQ34" s="117"/>
      <c r="BR34" s="117"/>
      <c r="BT34" s="72" t="s">
        <v>15</v>
      </c>
      <c r="BU34" s="73">
        <v>1</v>
      </c>
      <c r="BV34" s="74">
        <v>0</v>
      </c>
      <c r="BW34" s="74">
        <v>0</v>
      </c>
      <c r="BX34" s="74">
        <v>1</v>
      </c>
      <c r="BY34" s="114"/>
      <c r="BZ34" s="117"/>
      <c r="CA34" s="117"/>
      <c r="CB34" s="117"/>
      <c r="CD34" s="72" t="s">
        <v>15</v>
      </c>
      <c r="CE34" s="73">
        <v>1</v>
      </c>
      <c r="CF34" s="74">
        <v>0</v>
      </c>
      <c r="CG34" s="74">
        <v>0</v>
      </c>
      <c r="CH34" s="74">
        <v>0</v>
      </c>
      <c r="CI34" s="114"/>
      <c r="CJ34" s="117"/>
      <c r="CK34" s="117"/>
      <c r="CL34" s="117"/>
      <c r="CN34" s="72" t="s">
        <v>15</v>
      </c>
      <c r="CO34" s="73">
        <v>1</v>
      </c>
      <c r="CP34" s="74">
        <v>0</v>
      </c>
      <c r="CQ34" s="74">
        <v>0</v>
      </c>
      <c r="CR34" s="74">
        <v>6</v>
      </c>
      <c r="CS34" s="114"/>
      <c r="CT34" s="117"/>
      <c r="CU34" s="117"/>
      <c r="CV34" s="117"/>
      <c r="CX34" s="72" t="s">
        <v>15</v>
      </c>
      <c r="CY34" s="73">
        <v>0</v>
      </c>
      <c r="CZ34" s="74">
        <v>0</v>
      </c>
      <c r="DA34" s="74">
        <v>0</v>
      </c>
      <c r="DB34" s="74">
        <v>0</v>
      </c>
      <c r="DC34" s="114"/>
      <c r="DD34" s="117"/>
      <c r="DE34" s="117"/>
      <c r="DF34" s="117"/>
      <c r="DH34" s="72" t="s">
        <v>15</v>
      </c>
      <c r="DI34" s="73">
        <v>0</v>
      </c>
      <c r="DJ34" s="74">
        <v>0</v>
      </c>
      <c r="DK34" s="74">
        <v>0</v>
      </c>
      <c r="DL34" s="74">
        <v>0</v>
      </c>
      <c r="DM34" s="114"/>
      <c r="DN34" s="117"/>
      <c r="DO34" s="117"/>
      <c r="DP34" s="117"/>
      <c r="DR34" s="75" t="s">
        <v>15</v>
      </c>
      <c r="DS34" s="76">
        <f>C34+DT34-D34</f>
        <v>2</v>
      </c>
      <c r="DT34" s="77">
        <f>D34+N34+X34+AH34+AR34+BB34+BL34+BV34+CF34+CP34+CZ34+DJ34</f>
        <v>2</v>
      </c>
      <c r="DU34" s="36">
        <f>(E34+O34+Y34+AI34+AS34+BC34+BM34+BW34+CG34+CQ34+DA34+DK34)/12</f>
        <v>0.16666666666666666</v>
      </c>
      <c r="DV34" s="78">
        <f>F34+P34+Z34+AJ34+AT34+BD34+BN34+BX34+CH34+CR34+DB34+DL34</f>
        <v>28</v>
      </c>
      <c r="DW34" s="114"/>
      <c r="DX34" s="117"/>
      <c r="DY34" s="117"/>
      <c r="DZ34" s="117"/>
    </row>
    <row r="35" spans="1:130" ht="15" customHeight="1" thickBot="1" x14ac:dyDescent="0.25">
      <c r="A35" s="61"/>
      <c r="B35" s="79" t="s">
        <v>16</v>
      </c>
      <c r="C35" s="80">
        <f>SUM(C33:C34)</f>
        <v>39</v>
      </c>
      <c r="D35" s="80">
        <f>SUM(D33:D34)</f>
        <v>24</v>
      </c>
      <c r="E35" s="80">
        <f>SUM(E33:E34)</f>
        <v>0</v>
      </c>
      <c r="F35" s="80">
        <f>SUM(F33:F34)</f>
        <v>49</v>
      </c>
      <c r="G35" s="115"/>
      <c r="H35" s="118"/>
      <c r="I35" s="118"/>
      <c r="J35" s="118"/>
      <c r="L35" s="79" t="s">
        <v>16</v>
      </c>
      <c r="M35" s="80">
        <f>SUM(M33:M34)</f>
        <v>57</v>
      </c>
      <c r="N35" s="80">
        <f>SUM(N33:N34)</f>
        <v>38</v>
      </c>
      <c r="O35" s="80">
        <f>SUM(O33:O34)</f>
        <v>12</v>
      </c>
      <c r="P35" s="80">
        <f>SUM(P33:P34)</f>
        <v>57</v>
      </c>
      <c r="Q35" s="115"/>
      <c r="R35" s="118"/>
      <c r="S35" s="118"/>
      <c r="T35" s="118"/>
      <c r="V35" s="79" t="s">
        <v>16</v>
      </c>
      <c r="W35" s="80">
        <f>SUM(W33:W34)</f>
        <v>40</v>
      </c>
      <c r="X35" s="80">
        <f>SUM(X33:X34)</f>
        <v>23</v>
      </c>
      <c r="Y35" s="80">
        <f>SUM(Y33:Y34)</f>
        <v>0</v>
      </c>
      <c r="Z35" s="80">
        <f>SUM(Z33:Z34)</f>
        <v>40</v>
      </c>
      <c r="AA35" s="115"/>
      <c r="AB35" s="118"/>
      <c r="AC35" s="118"/>
      <c r="AD35" s="118"/>
      <c r="AF35" s="79" t="s">
        <v>16</v>
      </c>
      <c r="AG35" s="80">
        <f>SUM(AG33:AG34)</f>
        <v>40</v>
      </c>
      <c r="AH35" s="80">
        <f>SUM(AH33:AH34)</f>
        <v>0</v>
      </c>
      <c r="AI35" s="80">
        <f>SUM(AI33:AI34)</f>
        <v>0</v>
      </c>
      <c r="AJ35" s="80">
        <f>SUM(AJ33:AJ34)</f>
        <v>15</v>
      </c>
      <c r="AK35" s="115"/>
      <c r="AL35" s="118"/>
      <c r="AM35" s="118"/>
      <c r="AN35" s="118"/>
      <c r="AP35" s="79" t="s">
        <v>16</v>
      </c>
      <c r="AQ35" s="80">
        <f>SUM(AQ33:AQ34)</f>
        <v>41</v>
      </c>
      <c r="AR35" s="80">
        <f>SUM(AR33:AR34)</f>
        <v>1</v>
      </c>
      <c r="AS35" s="80">
        <f>SUM(AS33:AS34)</f>
        <v>19</v>
      </c>
      <c r="AT35" s="80">
        <f>SUM(AT33:AT34)</f>
        <v>100</v>
      </c>
      <c r="AU35" s="115"/>
      <c r="AV35" s="118"/>
      <c r="AW35" s="118"/>
      <c r="AX35" s="118"/>
      <c r="AZ35" s="79" t="s">
        <v>16</v>
      </c>
      <c r="BA35" s="80">
        <f>SUM(BA33:BA34)</f>
        <v>42</v>
      </c>
      <c r="BB35" s="80">
        <f>SUM(BB33:BB34)</f>
        <v>0</v>
      </c>
      <c r="BC35" s="80">
        <f>SUM(BC33:BC34)</f>
        <v>0</v>
      </c>
      <c r="BD35" s="80">
        <f>SUM(BD33:BD34)</f>
        <v>26</v>
      </c>
      <c r="BE35" s="115"/>
      <c r="BF35" s="118"/>
      <c r="BG35" s="118"/>
      <c r="BH35" s="118"/>
      <c r="BJ35" s="79" t="s">
        <v>16</v>
      </c>
      <c r="BK35" s="80">
        <f>SUM(BK33:BK34)</f>
        <v>42</v>
      </c>
      <c r="BL35" s="80">
        <f>SUM(BL33:BL34)</f>
        <v>0</v>
      </c>
      <c r="BM35" s="80">
        <f>SUM(BM33:BM34)</f>
        <v>0</v>
      </c>
      <c r="BN35" s="80">
        <f>SUM(BN33:BN34)</f>
        <v>30</v>
      </c>
      <c r="BO35" s="115"/>
      <c r="BP35" s="118"/>
      <c r="BQ35" s="118"/>
      <c r="BR35" s="118"/>
      <c r="BT35" s="79" t="s">
        <v>16</v>
      </c>
      <c r="BU35" s="80">
        <f>SUM(BU33:BU34)</f>
        <v>42</v>
      </c>
      <c r="BV35" s="80">
        <f>SUM(BV33:BV34)</f>
        <v>0</v>
      </c>
      <c r="BW35" s="80">
        <f>SUM(BW33:BW34)</f>
        <v>0</v>
      </c>
      <c r="BX35" s="80">
        <f>SUM(BX33:BX34)</f>
        <v>26</v>
      </c>
      <c r="BY35" s="115"/>
      <c r="BZ35" s="118"/>
      <c r="CA35" s="118"/>
      <c r="CB35" s="118"/>
      <c r="CD35" s="79" t="s">
        <v>16</v>
      </c>
      <c r="CE35" s="80">
        <f>SUM(CE33:CE34)</f>
        <v>42</v>
      </c>
      <c r="CF35" s="80">
        <f>SUM(CF33:CF34)</f>
        <v>0</v>
      </c>
      <c r="CG35" s="80">
        <f>SUM(CG33:CG34)</f>
        <v>0</v>
      </c>
      <c r="CH35" s="80">
        <f>SUM(CH33:CH34)</f>
        <v>3</v>
      </c>
      <c r="CI35" s="115"/>
      <c r="CJ35" s="118"/>
      <c r="CK35" s="118"/>
      <c r="CL35" s="118"/>
      <c r="CN35" s="79" t="s">
        <v>16</v>
      </c>
      <c r="CO35" s="80">
        <f>SUM(CO33:CO34)</f>
        <v>42</v>
      </c>
      <c r="CP35" s="80">
        <f>SUM(CP33:CP34)</f>
        <v>0</v>
      </c>
      <c r="CQ35" s="80">
        <f>SUM(CQ33:CQ34)</f>
        <v>0</v>
      </c>
      <c r="CR35" s="80">
        <f>SUM(CR33:CR34)</f>
        <v>19</v>
      </c>
      <c r="CS35" s="115"/>
      <c r="CT35" s="118"/>
      <c r="CU35" s="118"/>
      <c r="CV35" s="118"/>
      <c r="CX35" s="79" t="s">
        <v>16</v>
      </c>
      <c r="CY35" s="80">
        <f>SUM(CY33:CY34)</f>
        <v>0</v>
      </c>
      <c r="CZ35" s="80">
        <f>SUM(CZ33:CZ34)</f>
        <v>0</v>
      </c>
      <c r="DA35" s="80">
        <f>SUM(DA33:DA34)</f>
        <v>0</v>
      </c>
      <c r="DB35" s="80">
        <f>SUM(DB33:DB34)</f>
        <v>0</v>
      </c>
      <c r="DC35" s="115"/>
      <c r="DD35" s="118"/>
      <c r="DE35" s="118"/>
      <c r="DF35" s="118"/>
      <c r="DH35" s="79" t="s">
        <v>16</v>
      </c>
      <c r="DI35" s="80">
        <f>SUM(DI33:DI34)</f>
        <v>0</v>
      </c>
      <c r="DJ35" s="80">
        <f>SUM(DJ33:DJ34)</f>
        <v>0</v>
      </c>
      <c r="DK35" s="80">
        <f>SUM(DK33:DK34)</f>
        <v>0</v>
      </c>
      <c r="DL35" s="80">
        <f>SUM(DL33:DL34)</f>
        <v>0</v>
      </c>
      <c r="DM35" s="115"/>
      <c r="DN35" s="118"/>
      <c r="DO35" s="118"/>
      <c r="DP35" s="118"/>
      <c r="DR35" s="81" t="s">
        <v>16</v>
      </c>
      <c r="DS35" s="37">
        <f>SUM(DS33:DS34)</f>
        <v>101</v>
      </c>
      <c r="DT35" s="82">
        <f>SUM(DT33:DT34)</f>
        <v>86</v>
      </c>
      <c r="DU35" s="37">
        <f>SUM(DU33:DU34)</f>
        <v>2.583333333333333</v>
      </c>
      <c r="DV35" s="83">
        <f>SUM(DV33:DV34)</f>
        <v>365</v>
      </c>
      <c r="DW35" s="115"/>
      <c r="DX35" s="118"/>
      <c r="DY35" s="118"/>
      <c r="DZ35" s="118"/>
    </row>
    <row r="36" spans="1:130" ht="15" customHeight="1" thickBot="1" x14ac:dyDescent="0.25">
      <c r="A36" s="39"/>
      <c r="B36" s="125">
        <v>0</v>
      </c>
      <c r="C36" s="125"/>
      <c r="D36" s="84"/>
      <c r="E36" s="43"/>
      <c r="F36" s="84"/>
      <c r="G36" s="98"/>
      <c r="H36" s="101"/>
      <c r="I36" s="101"/>
      <c r="J36" s="102"/>
      <c r="L36" s="125">
        <v>0</v>
      </c>
      <c r="M36" s="125"/>
      <c r="N36" s="84"/>
      <c r="O36" s="43"/>
      <c r="P36" s="84"/>
      <c r="Q36" s="98"/>
      <c r="R36" s="101"/>
      <c r="S36" s="101"/>
      <c r="T36" s="102"/>
      <c r="V36" s="125">
        <v>0</v>
      </c>
      <c r="W36" s="125"/>
      <c r="X36" s="84"/>
      <c r="Y36" s="43"/>
      <c r="Z36" s="84"/>
      <c r="AA36" s="98"/>
      <c r="AB36" s="101"/>
      <c r="AC36" s="101"/>
      <c r="AD36" s="102"/>
      <c r="AF36" s="125">
        <v>0</v>
      </c>
      <c r="AG36" s="125"/>
      <c r="AH36" s="84"/>
      <c r="AI36" s="43"/>
      <c r="AJ36" s="84"/>
      <c r="AK36" s="98"/>
      <c r="AL36" s="101"/>
      <c r="AM36" s="101"/>
      <c r="AN36" s="102"/>
      <c r="AP36" s="125">
        <v>0</v>
      </c>
      <c r="AQ36" s="125"/>
      <c r="AR36" s="84"/>
      <c r="AS36" s="43"/>
      <c r="AT36" s="84"/>
      <c r="AU36" s="98"/>
      <c r="AV36" s="101"/>
      <c r="AW36" s="101"/>
      <c r="AX36" s="102"/>
      <c r="AZ36" s="125">
        <v>0</v>
      </c>
      <c r="BA36" s="125"/>
      <c r="BB36" s="84"/>
      <c r="BC36" s="43"/>
      <c r="BD36" s="84"/>
      <c r="BE36" s="98"/>
      <c r="BF36" s="101"/>
      <c r="BG36" s="101"/>
      <c r="BH36" s="102"/>
      <c r="BJ36" s="125">
        <v>0</v>
      </c>
      <c r="BK36" s="125"/>
      <c r="BL36" s="84"/>
      <c r="BM36" s="43"/>
      <c r="BN36" s="84"/>
      <c r="BO36" s="98"/>
      <c r="BP36" s="101"/>
      <c r="BQ36" s="101"/>
      <c r="BR36" s="102"/>
      <c r="BT36" s="125">
        <v>0</v>
      </c>
      <c r="BU36" s="125"/>
      <c r="BV36" s="84"/>
      <c r="BW36" s="43"/>
      <c r="BX36" s="84"/>
      <c r="BY36" s="98"/>
      <c r="BZ36" s="101"/>
      <c r="CA36" s="101"/>
      <c r="CB36" s="102"/>
      <c r="CD36" s="125">
        <v>0</v>
      </c>
      <c r="CE36" s="125"/>
      <c r="CF36" s="84"/>
      <c r="CG36" s="43"/>
      <c r="CH36" s="84"/>
      <c r="CI36" s="98"/>
      <c r="CJ36" s="101"/>
      <c r="CK36" s="101"/>
      <c r="CL36" s="102"/>
      <c r="CN36" s="125">
        <v>0</v>
      </c>
      <c r="CO36" s="125"/>
      <c r="CP36" s="84"/>
      <c r="CQ36" s="43"/>
      <c r="CR36" s="84"/>
      <c r="CS36" s="98"/>
      <c r="CT36" s="101"/>
      <c r="CU36" s="101"/>
      <c r="CV36" s="102"/>
      <c r="CX36" s="125">
        <v>0</v>
      </c>
      <c r="CY36" s="125"/>
      <c r="CZ36" s="84"/>
      <c r="DA36" s="43"/>
      <c r="DB36" s="84"/>
      <c r="DC36" s="98"/>
      <c r="DD36" s="101"/>
      <c r="DE36" s="101"/>
      <c r="DF36" s="102"/>
      <c r="DH36" s="125">
        <v>0</v>
      </c>
      <c r="DI36" s="125"/>
      <c r="DJ36" s="84"/>
      <c r="DK36" s="43"/>
      <c r="DL36" s="84"/>
      <c r="DM36" s="98"/>
      <c r="DN36" s="101"/>
      <c r="DO36" s="101"/>
      <c r="DP36" s="102"/>
      <c r="DR36" s="85">
        <f>(DH36)</f>
        <v>0</v>
      </c>
      <c r="DS36" s="86"/>
      <c r="DT36" s="84"/>
      <c r="DU36" s="43"/>
      <c r="DV36" s="84"/>
      <c r="DW36" s="98"/>
      <c r="DX36" s="101"/>
      <c r="DY36" s="101"/>
      <c r="DZ36" s="102"/>
    </row>
    <row r="37" spans="1:130" ht="15" customHeight="1" x14ac:dyDescent="0.2">
      <c r="A37" s="61"/>
      <c r="B37" s="66" t="s">
        <v>14</v>
      </c>
      <c r="C37" s="67">
        <v>0</v>
      </c>
      <c r="D37" s="44">
        <v>0</v>
      </c>
      <c r="E37" s="44">
        <v>0</v>
      </c>
      <c r="F37" s="44">
        <v>0</v>
      </c>
      <c r="G37" s="113" t="s">
        <v>12</v>
      </c>
      <c r="H37" s="116">
        <v>0</v>
      </c>
      <c r="I37" s="116" t="s">
        <v>13</v>
      </c>
      <c r="J37" s="116">
        <f>H37*38/100</f>
        <v>0</v>
      </c>
      <c r="L37" s="66" t="s">
        <v>14</v>
      </c>
      <c r="M37" s="67">
        <v>0</v>
      </c>
      <c r="N37" s="44">
        <v>0</v>
      </c>
      <c r="O37" s="44">
        <v>0</v>
      </c>
      <c r="P37" s="44">
        <v>0</v>
      </c>
      <c r="Q37" s="113" t="s">
        <v>12</v>
      </c>
      <c r="R37" s="116">
        <v>0</v>
      </c>
      <c r="S37" s="116" t="s">
        <v>13</v>
      </c>
      <c r="T37" s="116">
        <f>R37*38/100</f>
        <v>0</v>
      </c>
      <c r="V37" s="66" t="s">
        <v>14</v>
      </c>
      <c r="W37" s="67">
        <v>0</v>
      </c>
      <c r="X37" s="44">
        <v>0</v>
      </c>
      <c r="Y37" s="44">
        <v>0</v>
      </c>
      <c r="Z37" s="44">
        <v>0</v>
      </c>
      <c r="AA37" s="113" t="s">
        <v>12</v>
      </c>
      <c r="AB37" s="116">
        <v>0</v>
      </c>
      <c r="AC37" s="116" t="s">
        <v>13</v>
      </c>
      <c r="AD37" s="116">
        <f>AB37*38/100</f>
        <v>0</v>
      </c>
      <c r="AF37" s="66" t="s">
        <v>14</v>
      </c>
      <c r="AG37" s="67">
        <v>0</v>
      </c>
      <c r="AH37" s="44">
        <v>0</v>
      </c>
      <c r="AI37" s="44">
        <v>0</v>
      </c>
      <c r="AJ37" s="44">
        <v>0</v>
      </c>
      <c r="AK37" s="113" t="s">
        <v>12</v>
      </c>
      <c r="AL37" s="116">
        <v>0</v>
      </c>
      <c r="AM37" s="116" t="s">
        <v>13</v>
      </c>
      <c r="AN37" s="116">
        <f>AL37*38/100</f>
        <v>0</v>
      </c>
      <c r="AP37" s="66" t="s">
        <v>14</v>
      </c>
      <c r="AQ37" s="67">
        <v>0</v>
      </c>
      <c r="AR37" s="44">
        <v>0</v>
      </c>
      <c r="AS37" s="44">
        <v>0</v>
      </c>
      <c r="AT37" s="44">
        <v>0</v>
      </c>
      <c r="AU37" s="113" t="s">
        <v>12</v>
      </c>
      <c r="AV37" s="116">
        <v>0</v>
      </c>
      <c r="AW37" s="116" t="s">
        <v>13</v>
      </c>
      <c r="AX37" s="116">
        <f>AV37*38/100</f>
        <v>0</v>
      </c>
      <c r="AZ37" s="66" t="s">
        <v>14</v>
      </c>
      <c r="BA37" s="67">
        <v>0</v>
      </c>
      <c r="BB37" s="44">
        <v>0</v>
      </c>
      <c r="BC37" s="44">
        <v>0</v>
      </c>
      <c r="BD37" s="44">
        <v>0</v>
      </c>
      <c r="BE37" s="113" t="s">
        <v>12</v>
      </c>
      <c r="BF37" s="116">
        <v>0</v>
      </c>
      <c r="BG37" s="116" t="s">
        <v>13</v>
      </c>
      <c r="BH37" s="116">
        <f>BF37*38/100</f>
        <v>0</v>
      </c>
      <c r="BJ37" s="66" t="s">
        <v>14</v>
      </c>
      <c r="BK37" s="67">
        <v>0</v>
      </c>
      <c r="BL37" s="44">
        <v>0</v>
      </c>
      <c r="BM37" s="44">
        <v>0</v>
      </c>
      <c r="BN37" s="44">
        <v>0</v>
      </c>
      <c r="BO37" s="113" t="s">
        <v>12</v>
      </c>
      <c r="BP37" s="116">
        <v>0</v>
      </c>
      <c r="BQ37" s="116" t="s">
        <v>13</v>
      </c>
      <c r="BR37" s="116">
        <f>BP37*38/100</f>
        <v>0</v>
      </c>
      <c r="BT37" s="66" t="s">
        <v>14</v>
      </c>
      <c r="BU37" s="67">
        <v>0</v>
      </c>
      <c r="BV37" s="44">
        <v>0</v>
      </c>
      <c r="BW37" s="44">
        <v>0</v>
      </c>
      <c r="BX37" s="44">
        <v>0</v>
      </c>
      <c r="BY37" s="113" t="s">
        <v>12</v>
      </c>
      <c r="BZ37" s="116">
        <v>0</v>
      </c>
      <c r="CA37" s="116" t="s">
        <v>13</v>
      </c>
      <c r="CB37" s="116">
        <f>BZ37*38/100</f>
        <v>0</v>
      </c>
      <c r="CD37" s="66" t="s">
        <v>14</v>
      </c>
      <c r="CE37" s="67">
        <v>0</v>
      </c>
      <c r="CF37" s="44">
        <v>0</v>
      </c>
      <c r="CG37" s="44">
        <v>0</v>
      </c>
      <c r="CH37" s="44">
        <v>0</v>
      </c>
      <c r="CI37" s="113" t="s">
        <v>12</v>
      </c>
      <c r="CJ37" s="116">
        <v>0</v>
      </c>
      <c r="CK37" s="116" t="s">
        <v>13</v>
      </c>
      <c r="CL37" s="116">
        <f>CJ37*38/100</f>
        <v>0</v>
      </c>
      <c r="CN37" s="66" t="s">
        <v>14</v>
      </c>
      <c r="CO37" s="67">
        <v>0</v>
      </c>
      <c r="CP37" s="44">
        <v>0</v>
      </c>
      <c r="CQ37" s="44">
        <v>0</v>
      </c>
      <c r="CR37" s="44">
        <v>0</v>
      </c>
      <c r="CS37" s="113" t="s">
        <v>12</v>
      </c>
      <c r="CT37" s="116">
        <v>0</v>
      </c>
      <c r="CU37" s="116" t="s">
        <v>13</v>
      </c>
      <c r="CV37" s="116">
        <f>CT37*38/100</f>
        <v>0</v>
      </c>
      <c r="CX37" s="66" t="s">
        <v>14</v>
      </c>
      <c r="CY37" s="67">
        <v>0</v>
      </c>
      <c r="CZ37" s="44">
        <v>0</v>
      </c>
      <c r="DA37" s="44">
        <v>0</v>
      </c>
      <c r="DB37" s="44">
        <v>0</v>
      </c>
      <c r="DC37" s="113" t="s">
        <v>12</v>
      </c>
      <c r="DD37" s="116">
        <v>0</v>
      </c>
      <c r="DE37" s="116" t="s">
        <v>13</v>
      </c>
      <c r="DF37" s="116">
        <f>DD37*38/100</f>
        <v>0</v>
      </c>
      <c r="DH37" s="66" t="s">
        <v>14</v>
      </c>
      <c r="DI37" s="67">
        <v>0</v>
      </c>
      <c r="DJ37" s="44">
        <v>0</v>
      </c>
      <c r="DK37" s="44">
        <v>0</v>
      </c>
      <c r="DL37" s="44">
        <v>0</v>
      </c>
      <c r="DM37" s="113" t="s">
        <v>12</v>
      </c>
      <c r="DN37" s="116">
        <v>0</v>
      </c>
      <c r="DO37" s="116" t="s">
        <v>13</v>
      </c>
      <c r="DP37" s="116">
        <f>DN37*38/100</f>
        <v>0</v>
      </c>
      <c r="DR37" s="68" t="s">
        <v>14</v>
      </c>
      <c r="DS37" s="69">
        <f>C37+DT37-D37</f>
        <v>0</v>
      </c>
      <c r="DT37" s="70">
        <f>D37+N37+X37+AH37+AR37+BB37+BL37+BV37+CF37+CP37+CZ37+DJ37</f>
        <v>0</v>
      </c>
      <c r="DU37" s="35">
        <f>(E37+O37+Y37+AI37+AS37+BC37+BM37+BW37+CG37+CQ37+DA37+DK37)/12</f>
        <v>0</v>
      </c>
      <c r="DV37" s="71">
        <f>F37+P37+Z37+AJ37+AT37+BD37+BN37+BX37+CH37+CR37+DB37+DL37</f>
        <v>0</v>
      </c>
      <c r="DW37" s="113" t="s">
        <v>12</v>
      </c>
      <c r="DX37" s="116">
        <f>DN37</f>
        <v>0</v>
      </c>
      <c r="DY37" s="116" t="s">
        <v>13</v>
      </c>
      <c r="DZ37" s="116">
        <f>DX37*38/100</f>
        <v>0</v>
      </c>
    </row>
    <row r="38" spans="1:130" ht="15" customHeight="1" thickBot="1" x14ac:dyDescent="0.25">
      <c r="A38" s="61"/>
      <c r="B38" s="72" t="s">
        <v>15</v>
      </c>
      <c r="C38" s="73">
        <v>0</v>
      </c>
      <c r="D38" s="74">
        <v>0</v>
      </c>
      <c r="E38" s="74">
        <v>0</v>
      </c>
      <c r="F38" s="74">
        <v>0</v>
      </c>
      <c r="G38" s="114"/>
      <c r="H38" s="117"/>
      <c r="I38" s="117"/>
      <c r="J38" s="117"/>
      <c r="L38" s="72" t="s">
        <v>15</v>
      </c>
      <c r="M38" s="73">
        <v>0</v>
      </c>
      <c r="N38" s="74">
        <v>0</v>
      </c>
      <c r="O38" s="74">
        <v>0</v>
      </c>
      <c r="P38" s="74">
        <v>0</v>
      </c>
      <c r="Q38" s="114"/>
      <c r="R38" s="117"/>
      <c r="S38" s="117"/>
      <c r="T38" s="117"/>
      <c r="V38" s="72" t="s">
        <v>15</v>
      </c>
      <c r="W38" s="73">
        <v>0</v>
      </c>
      <c r="X38" s="74">
        <v>0</v>
      </c>
      <c r="Y38" s="74">
        <v>0</v>
      </c>
      <c r="Z38" s="74">
        <v>0</v>
      </c>
      <c r="AA38" s="114"/>
      <c r="AB38" s="117"/>
      <c r="AC38" s="117"/>
      <c r="AD38" s="117"/>
      <c r="AF38" s="72" t="s">
        <v>15</v>
      </c>
      <c r="AG38" s="73">
        <v>0</v>
      </c>
      <c r="AH38" s="74">
        <v>0</v>
      </c>
      <c r="AI38" s="74">
        <v>0</v>
      </c>
      <c r="AJ38" s="74">
        <v>0</v>
      </c>
      <c r="AK38" s="114"/>
      <c r="AL38" s="117"/>
      <c r="AM38" s="117"/>
      <c r="AN38" s="117"/>
      <c r="AP38" s="72" t="s">
        <v>15</v>
      </c>
      <c r="AQ38" s="73">
        <v>0</v>
      </c>
      <c r="AR38" s="74">
        <v>0</v>
      </c>
      <c r="AS38" s="74">
        <v>0</v>
      </c>
      <c r="AT38" s="74">
        <v>0</v>
      </c>
      <c r="AU38" s="114"/>
      <c r="AV38" s="117"/>
      <c r="AW38" s="117"/>
      <c r="AX38" s="117"/>
      <c r="AZ38" s="72" t="s">
        <v>15</v>
      </c>
      <c r="BA38" s="73">
        <v>0</v>
      </c>
      <c r="BB38" s="74">
        <v>0</v>
      </c>
      <c r="BC38" s="74">
        <v>0</v>
      </c>
      <c r="BD38" s="74">
        <v>0</v>
      </c>
      <c r="BE38" s="114"/>
      <c r="BF38" s="117"/>
      <c r="BG38" s="117"/>
      <c r="BH38" s="117"/>
      <c r="BJ38" s="72" t="s">
        <v>15</v>
      </c>
      <c r="BK38" s="73">
        <v>0</v>
      </c>
      <c r="BL38" s="74">
        <v>0</v>
      </c>
      <c r="BM38" s="74">
        <v>0</v>
      </c>
      <c r="BN38" s="74">
        <v>0</v>
      </c>
      <c r="BO38" s="114"/>
      <c r="BP38" s="117"/>
      <c r="BQ38" s="117"/>
      <c r="BR38" s="117"/>
      <c r="BT38" s="72" t="s">
        <v>15</v>
      </c>
      <c r="BU38" s="73">
        <v>0</v>
      </c>
      <c r="BV38" s="74">
        <v>0</v>
      </c>
      <c r="BW38" s="74">
        <v>0</v>
      </c>
      <c r="BX38" s="74">
        <v>0</v>
      </c>
      <c r="BY38" s="114"/>
      <c r="BZ38" s="117"/>
      <c r="CA38" s="117"/>
      <c r="CB38" s="117"/>
      <c r="CD38" s="72" t="s">
        <v>15</v>
      </c>
      <c r="CE38" s="73">
        <v>0</v>
      </c>
      <c r="CF38" s="74">
        <v>0</v>
      </c>
      <c r="CG38" s="74">
        <v>0</v>
      </c>
      <c r="CH38" s="74">
        <v>0</v>
      </c>
      <c r="CI38" s="114"/>
      <c r="CJ38" s="117"/>
      <c r="CK38" s="117"/>
      <c r="CL38" s="117"/>
      <c r="CN38" s="72" t="s">
        <v>15</v>
      </c>
      <c r="CO38" s="73">
        <v>0</v>
      </c>
      <c r="CP38" s="74">
        <v>0</v>
      </c>
      <c r="CQ38" s="74">
        <v>0</v>
      </c>
      <c r="CR38" s="74">
        <v>0</v>
      </c>
      <c r="CS38" s="114"/>
      <c r="CT38" s="117"/>
      <c r="CU38" s="117"/>
      <c r="CV38" s="117"/>
      <c r="CX38" s="72" t="s">
        <v>15</v>
      </c>
      <c r="CY38" s="73">
        <v>0</v>
      </c>
      <c r="CZ38" s="74">
        <v>0</v>
      </c>
      <c r="DA38" s="74">
        <v>0</v>
      </c>
      <c r="DB38" s="74">
        <v>0</v>
      </c>
      <c r="DC38" s="114"/>
      <c r="DD38" s="117"/>
      <c r="DE38" s="117"/>
      <c r="DF38" s="117"/>
      <c r="DH38" s="72" t="s">
        <v>15</v>
      </c>
      <c r="DI38" s="73">
        <v>0</v>
      </c>
      <c r="DJ38" s="74">
        <v>0</v>
      </c>
      <c r="DK38" s="74">
        <v>0</v>
      </c>
      <c r="DL38" s="74">
        <v>0</v>
      </c>
      <c r="DM38" s="114"/>
      <c r="DN38" s="117"/>
      <c r="DO38" s="117"/>
      <c r="DP38" s="117"/>
      <c r="DR38" s="75" t="s">
        <v>15</v>
      </c>
      <c r="DS38" s="76">
        <f>C38+DT38-D38</f>
        <v>0</v>
      </c>
      <c r="DT38" s="77">
        <f>D38+N38+X38+AH38+AR38+BB38+BL38+BV38+CF38+CP38+CZ38+DJ38</f>
        <v>0</v>
      </c>
      <c r="DU38" s="36">
        <f>(E38+O38+Y38+AI38+AS38+BC38+BM38+BW38+CG38+CQ38+DA38+DK38)/12</f>
        <v>0</v>
      </c>
      <c r="DV38" s="78">
        <f>F38+P38+Z38+AJ38+AT38+BD38+BN38+BX38+CH38+CR38+DB38+DL38</f>
        <v>0</v>
      </c>
      <c r="DW38" s="114"/>
      <c r="DX38" s="117"/>
      <c r="DY38" s="117"/>
      <c r="DZ38" s="117"/>
    </row>
    <row r="39" spans="1:130" ht="15" customHeight="1" thickBot="1" x14ac:dyDescent="0.25">
      <c r="A39" s="61"/>
      <c r="B39" s="79" t="s">
        <v>16</v>
      </c>
      <c r="C39" s="80">
        <f>SUM(C37:C38)</f>
        <v>0</v>
      </c>
      <c r="D39" s="80">
        <f>SUM(D37:D38)</f>
        <v>0</v>
      </c>
      <c r="E39" s="80">
        <f>SUM(E37:E38)</f>
        <v>0</v>
      </c>
      <c r="F39" s="80">
        <f>SUM(F37:F38)</f>
        <v>0</v>
      </c>
      <c r="G39" s="115"/>
      <c r="H39" s="118"/>
      <c r="I39" s="118"/>
      <c r="J39" s="118"/>
      <c r="L39" s="79" t="s">
        <v>16</v>
      </c>
      <c r="M39" s="80">
        <f>SUM(M37:M38)</f>
        <v>0</v>
      </c>
      <c r="N39" s="80">
        <f>SUM(N37:N38)</f>
        <v>0</v>
      </c>
      <c r="O39" s="80">
        <f>SUM(O37:O38)</f>
        <v>0</v>
      </c>
      <c r="P39" s="80">
        <f>SUM(P37:P38)</f>
        <v>0</v>
      </c>
      <c r="Q39" s="115"/>
      <c r="R39" s="118"/>
      <c r="S39" s="118"/>
      <c r="T39" s="118"/>
      <c r="V39" s="79" t="s">
        <v>16</v>
      </c>
      <c r="W39" s="80">
        <f>SUM(W37:W38)</f>
        <v>0</v>
      </c>
      <c r="X39" s="80">
        <f>SUM(X37:X38)</f>
        <v>0</v>
      </c>
      <c r="Y39" s="80">
        <f>SUM(Y37:Y38)</f>
        <v>0</v>
      </c>
      <c r="Z39" s="80">
        <f>SUM(Z37:Z38)</f>
        <v>0</v>
      </c>
      <c r="AA39" s="115"/>
      <c r="AB39" s="118"/>
      <c r="AC39" s="118"/>
      <c r="AD39" s="118"/>
      <c r="AF39" s="79" t="s">
        <v>16</v>
      </c>
      <c r="AG39" s="80">
        <f>SUM(AG37:AG38)</f>
        <v>0</v>
      </c>
      <c r="AH39" s="80">
        <f>SUM(AH37:AH38)</f>
        <v>0</v>
      </c>
      <c r="AI39" s="80">
        <f>SUM(AI37:AI38)</f>
        <v>0</v>
      </c>
      <c r="AJ39" s="80">
        <f>SUM(AJ37:AJ38)</f>
        <v>0</v>
      </c>
      <c r="AK39" s="115"/>
      <c r="AL39" s="118"/>
      <c r="AM39" s="118"/>
      <c r="AN39" s="118"/>
      <c r="AP39" s="79" t="s">
        <v>16</v>
      </c>
      <c r="AQ39" s="80">
        <f>SUM(AQ37:AQ38)</f>
        <v>0</v>
      </c>
      <c r="AR39" s="80">
        <f>SUM(AR37:AR38)</f>
        <v>0</v>
      </c>
      <c r="AS39" s="80">
        <f>SUM(AS37:AS38)</f>
        <v>0</v>
      </c>
      <c r="AT39" s="80">
        <f>SUM(AT37:AT38)</f>
        <v>0</v>
      </c>
      <c r="AU39" s="115"/>
      <c r="AV39" s="118"/>
      <c r="AW39" s="118"/>
      <c r="AX39" s="118"/>
      <c r="AZ39" s="79" t="s">
        <v>16</v>
      </c>
      <c r="BA39" s="80">
        <f>SUM(BA37:BA38)</f>
        <v>0</v>
      </c>
      <c r="BB39" s="80">
        <f>SUM(BB37:BB38)</f>
        <v>0</v>
      </c>
      <c r="BC39" s="80">
        <f>SUM(BC37:BC38)</f>
        <v>0</v>
      </c>
      <c r="BD39" s="80">
        <f>SUM(BD37:BD38)</f>
        <v>0</v>
      </c>
      <c r="BE39" s="115"/>
      <c r="BF39" s="118"/>
      <c r="BG39" s="118"/>
      <c r="BH39" s="118"/>
      <c r="BJ39" s="79" t="s">
        <v>16</v>
      </c>
      <c r="BK39" s="80">
        <f>SUM(BK37:BK38)</f>
        <v>0</v>
      </c>
      <c r="BL39" s="80">
        <f>SUM(BL37:BL38)</f>
        <v>0</v>
      </c>
      <c r="BM39" s="80">
        <f>SUM(BM37:BM38)</f>
        <v>0</v>
      </c>
      <c r="BN39" s="80">
        <f>SUM(BN37:BN38)</f>
        <v>0</v>
      </c>
      <c r="BO39" s="115"/>
      <c r="BP39" s="118"/>
      <c r="BQ39" s="118"/>
      <c r="BR39" s="118"/>
      <c r="BT39" s="79" t="s">
        <v>16</v>
      </c>
      <c r="BU39" s="80">
        <f>SUM(BU37:BU38)</f>
        <v>0</v>
      </c>
      <c r="BV39" s="80">
        <f>SUM(BV37:BV38)</f>
        <v>0</v>
      </c>
      <c r="BW39" s="80">
        <f>SUM(BW37:BW38)</f>
        <v>0</v>
      </c>
      <c r="BX39" s="80">
        <f>SUM(BX37:BX38)</f>
        <v>0</v>
      </c>
      <c r="BY39" s="115"/>
      <c r="BZ39" s="118"/>
      <c r="CA39" s="118"/>
      <c r="CB39" s="118"/>
      <c r="CD39" s="79" t="s">
        <v>16</v>
      </c>
      <c r="CE39" s="80">
        <f>SUM(CE37:CE38)</f>
        <v>0</v>
      </c>
      <c r="CF39" s="80">
        <f>SUM(CF37:CF38)</f>
        <v>0</v>
      </c>
      <c r="CG39" s="80">
        <f>SUM(CG37:CG38)</f>
        <v>0</v>
      </c>
      <c r="CH39" s="80">
        <f>SUM(CH37:CH38)</f>
        <v>0</v>
      </c>
      <c r="CI39" s="115"/>
      <c r="CJ39" s="118"/>
      <c r="CK39" s="118"/>
      <c r="CL39" s="118"/>
      <c r="CN39" s="79" t="s">
        <v>16</v>
      </c>
      <c r="CO39" s="80">
        <f>SUM(CO37:CO38)</f>
        <v>0</v>
      </c>
      <c r="CP39" s="80">
        <f>SUM(CP37:CP38)</f>
        <v>0</v>
      </c>
      <c r="CQ39" s="80">
        <f>SUM(CQ37:CQ38)</f>
        <v>0</v>
      </c>
      <c r="CR39" s="80">
        <f>SUM(CR37:CR38)</f>
        <v>0</v>
      </c>
      <c r="CS39" s="115"/>
      <c r="CT39" s="118"/>
      <c r="CU39" s="118"/>
      <c r="CV39" s="118"/>
      <c r="CX39" s="79" t="s">
        <v>16</v>
      </c>
      <c r="CY39" s="80">
        <f>SUM(CY37:CY38)</f>
        <v>0</v>
      </c>
      <c r="CZ39" s="80">
        <f>SUM(CZ37:CZ38)</f>
        <v>0</v>
      </c>
      <c r="DA39" s="80">
        <f>SUM(DA37:DA38)</f>
        <v>0</v>
      </c>
      <c r="DB39" s="80">
        <f>SUM(DB37:DB38)</f>
        <v>0</v>
      </c>
      <c r="DC39" s="115"/>
      <c r="DD39" s="118"/>
      <c r="DE39" s="118"/>
      <c r="DF39" s="118"/>
      <c r="DH39" s="79" t="s">
        <v>16</v>
      </c>
      <c r="DI39" s="80">
        <f>SUM(DI37:DI38)</f>
        <v>0</v>
      </c>
      <c r="DJ39" s="80">
        <f>SUM(DJ37:DJ38)</f>
        <v>0</v>
      </c>
      <c r="DK39" s="80">
        <f>SUM(DK37:DK38)</f>
        <v>0</v>
      </c>
      <c r="DL39" s="80">
        <f>SUM(DL37:DL38)</f>
        <v>0</v>
      </c>
      <c r="DM39" s="115"/>
      <c r="DN39" s="118"/>
      <c r="DO39" s="118"/>
      <c r="DP39" s="118"/>
      <c r="DR39" s="81" t="s">
        <v>16</v>
      </c>
      <c r="DS39" s="37">
        <f>SUM(DS37:DS38)</f>
        <v>0</v>
      </c>
      <c r="DT39" s="82">
        <f>SUM(DT37:DT38)</f>
        <v>0</v>
      </c>
      <c r="DU39" s="37">
        <f>SUM(DU37:DU38)</f>
        <v>0</v>
      </c>
      <c r="DV39" s="83">
        <f>SUM(DV37:DV38)</f>
        <v>0</v>
      </c>
      <c r="DW39" s="115"/>
      <c r="DX39" s="118"/>
      <c r="DY39" s="118"/>
      <c r="DZ39" s="118"/>
    </row>
    <row r="40" spans="1:130" ht="15" customHeight="1" thickBot="1" x14ac:dyDescent="0.25">
      <c r="A40" s="39"/>
      <c r="B40" s="125">
        <v>0</v>
      </c>
      <c r="C40" s="125"/>
      <c r="D40" s="84"/>
      <c r="E40" s="43"/>
      <c r="F40" s="84"/>
      <c r="G40" s="98"/>
      <c r="H40" s="101"/>
      <c r="I40" s="101"/>
      <c r="J40" s="102"/>
      <c r="L40" s="125">
        <v>0</v>
      </c>
      <c r="M40" s="125"/>
      <c r="N40" s="84"/>
      <c r="O40" s="43"/>
      <c r="P40" s="84"/>
      <c r="Q40" s="98"/>
      <c r="R40" s="101"/>
      <c r="S40" s="101"/>
      <c r="T40" s="102"/>
      <c r="V40" s="125">
        <v>0</v>
      </c>
      <c r="W40" s="125"/>
      <c r="X40" s="84"/>
      <c r="Y40" s="43"/>
      <c r="Z40" s="84"/>
      <c r="AA40" s="98"/>
      <c r="AB40" s="101"/>
      <c r="AC40" s="101"/>
      <c r="AD40" s="102"/>
      <c r="AF40" s="125">
        <v>0</v>
      </c>
      <c r="AG40" s="125"/>
      <c r="AH40" s="84"/>
      <c r="AI40" s="43"/>
      <c r="AJ40" s="84"/>
      <c r="AK40" s="98"/>
      <c r="AL40" s="101"/>
      <c r="AM40" s="101"/>
      <c r="AN40" s="102"/>
      <c r="AP40" s="125">
        <v>0</v>
      </c>
      <c r="AQ40" s="125"/>
      <c r="AR40" s="84"/>
      <c r="AS40" s="43"/>
      <c r="AT40" s="84"/>
      <c r="AU40" s="98"/>
      <c r="AV40" s="101"/>
      <c r="AW40" s="101"/>
      <c r="AX40" s="102"/>
      <c r="AZ40" s="125">
        <v>0</v>
      </c>
      <c r="BA40" s="125"/>
      <c r="BB40" s="84"/>
      <c r="BC40" s="43"/>
      <c r="BD40" s="84"/>
      <c r="BE40" s="98"/>
      <c r="BF40" s="101"/>
      <c r="BG40" s="101"/>
      <c r="BH40" s="102"/>
      <c r="BJ40" s="125">
        <v>0</v>
      </c>
      <c r="BK40" s="125"/>
      <c r="BL40" s="84"/>
      <c r="BM40" s="43"/>
      <c r="BN40" s="84"/>
      <c r="BO40" s="98"/>
      <c r="BP40" s="101"/>
      <c r="BQ40" s="101"/>
      <c r="BR40" s="102"/>
      <c r="BT40" s="125">
        <v>0</v>
      </c>
      <c r="BU40" s="125"/>
      <c r="BV40" s="84"/>
      <c r="BW40" s="43"/>
      <c r="BX40" s="84"/>
      <c r="BY40" s="98"/>
      <c r="BZ40" s="101"/>
      <c r="CA40" s="101"/>
      <c r="CB40" s="102"/>
      <c r="CD40" s="125">
        <v>0</v>
      </c>
      <c r="CE40" s="125"/>
      <c r="CF40" s="84"/>
      <c r="CG40" s="43"/>
      <c r="CH40" s="84"/>
      <c r="CI40" s="98"/>
      <c r="CJ40" s="101"/>
      <c r="CK40" s="101"/>
      <c r="CL40" s="102"/>
      <c r="CN40" s="125">
        <v>0</v>
      </c>
      <c r="CO40" s="125"/>
      <c r="CP40" s="84"/>
      <c r="CQ40" s="43"/>
      <c r="CR40" s="84"/>
      <c r="CS40" s="98"/>
      <c r="CT40" s="101"/>
      <c r="CU40" s="101"/>
      <c r="CV40" s="102"/>
      <c r="CX40" s="125">
        <v>0</v>
      </c>
      <c r="CY40" s="125"/>
      <c r="CZ40" s="84"/>
      <c r="DA40" s="43"/>
      <c r="DB40" s="84"/>
      <c r="DC40" s="98"/>
      <c r="DD40" s="101"/>
      <c r="DE40" s="101"/>
      <c r="DF40" s="102"/>
      <c r="DH40" s="125">
        <v>0</v>
      </c>
      <c r="DI40" s="125"/>
      <c r="DJ40" s="84"/>
      <c r="DK40" s="43"/>
      <c r="DL40" s="84"/>
      <c r="DM40" s="98"/>
      <c r="DN40" s="101"/>
      <c r="DO40" s="101"/>
      <c r="DP40" s="102"/>
      <c r="DR40" s="85">
        <f>(DH40)</f>
        <v>0</v>
      </c>
      <c r="DS40" s="86"/>
      <c r="DT40" s="84"/>
      <c r="DU40" s="43"/>
      <c r="DV40" s="84"/>
      <c r="DW40" s="98"/>
      <c r="DX40" s="101"/>
      <c r="DY40" s="101"/>
      <c r="DZ40" s="102"/>
    </row>
    <row r="41" spans="1:130" ht="15" customHeight="1" x14ac:dyDescent="0.2">
      <c r="A41" s="61"/>
      <c r="B41" s="66" t="s">
        <v>14</v>
      </c>
      <c r="C41" s="67">
        <v>0</v>
      </c>
      <c r="D41" s="44">
        <v>0</v>
      </c>
      <c r="E41" s="44">
        <v>0</v>
      </c>
      <c r="F41" s="44">
        <v>0</v>
      </c>
      <c r="G41" s="113" t="s">
        <v>12</v>
      </c>
      <c r="H41" s="116">
        <v>0</v>
      </c>
      <c r="I41" s="116" t="s">
        <v>13</v>
      </c>
      <c r="J41" s="116">
        <f>H41*38/100</f>
        <v>0</v>
      </c>
      <c r="L41" s="66" t="s">
        <v>14</v>
      </c>
      <c r="M41" s="67">
        <v>0</v>
      </c>
      <c r="N41" s="44">
        <v>0</v>
      </c>
      <c r="O41" s="44">
        <v>0</v>
      </c>
      <c r="P41" s="44">
        <v>0</v>
      </c>
      <c r="Q41" s="113" t="s">
        <v>12</v>
      </c>
      <c r="R41" s="116">
        <v>0</v>
      </c>
      <c r="S41" s="116" t="s">
        <v>13</v>
      </c>
      <c r="T41" s="116">
        <f>R41*38/100</f>
        <v>0</v>
      </c>
      <c r="V41" s="66" t="s">
        <v>14</v>
      </c>
      <c r="W41" s="67">
        <v>0</v>
      </c>
      <c r="X41" s="44">
        <v>0</v>
      </c>
      <c r="Y41" s="44">
        <v>0</v>
      </c>
      <c r="Z41" s="44">
        <v>0</v>
      </c>
      <c r="AA41" s="113" t="s">
        <v>12</v>
      </c>
      <c r="AB41" s="116">
        <v>0</v>
      </c>
      <c r="AC41" s="116" t="s">
        <v>13</v>
      </c>
      <c r="AD41" s="116">
        <f>AB41*38/100</f>
        <v>0</v>
      </c>
      <c r="AF41" s="66" t="s">
        <v>14</v>
      </c>
      <c r="AG41" s="67">
        <v>0</v>
      </c>
      <c r="AH41" s="44">
        <v>0</v>
      </c>
      <c r="AI41" s="44">
        <v>0</v>
      </c>
      <c r="AJ41" s="44">
        <v>0</v>
      </c>
      <c r="AK41" s="113" t="s">
        <v>12</v>
      </c>
      <c r="AL41" s="116">
        <v>0</v>
      </c>
      <c r="AM41" s="116" t="s">
        <v>13</v>
      </c>
      <c r="AN41" s="116">
        <f>AL41*38/100</f>
        <v>0</v>
      </c>
      <c r="AP41" s="66" t="s">
        <v>14</v>
      </c>
      <c r="AQ41" s="67">
        <v>0</v>
      </c>
      <c r="AR41" s="44">
        <v>0</v>
      </c>
      <c r="AS41" s="44">
        <v>0</v>
      </c>
      <c r="AT41" s="44">
        <v>0</v>
      </c>
      <c r="AU41" s="113" t="s">
        <v>12</v>
      </c>
      <c r="AV41" s="116">
        <v>0</v>
      </c>
      <c r="AW41" s="116" t="s">
        <v>13</v>
      </c>
      <c r="AX41" s="116">
        <f>AV41*38/100</f>
        <v>0</v>
      </c>
      <c r="AZ41" s="66" t="s">
        <v>14</v>
      </c>
      <c r="BA41" s="67">
        <v>0</v>
      </c>
      <c r="BB41" s="44">
        <v>0</v>
      </c>
      <c r="BC41" s="44">
        <v>0</v>
      </c>
      <c r="BD41" s="44">
        <v>0</v>
      </c>
      <c r="BE41" s="113" t="s">
        <v>12</v>
      </c>
      <c r="BF41" s="116">
        <v>0</v>
      </c>
      <c r="BG41" s="116" t="s">
        <v>13</v>
      </c>
      <c r="BH41" s="116">
        <f>BF41*38/100</f>
        <v>0</v>
      </c>
      <c r="BJ41" s="66" t="s">
        <v>14</v>
      </c>
      <c r="BK41" s="67">
        <v>0</v>
      </c>
      <c r="BL41" s="44">
        <v>0</v>
      </c>
      <c r="BM41" s="44">
        <v>0</v>
      </c>
      <c r="BN41" s="44">
        <v>0</v>
      </c>
      <c r="BO41" s="113" t="s">
        <v>12</v>
      </c>
      <c r="BP41" s="116">
        <v>0</v>
      </c>
      <c r="BQ41" s="116" t="s">
        <v>13</v>
      </c>
      <c r="BR41" s="116">
        <f>BP41*38/100</f>
        <v>0</v>
      </c>
      <c r="BT41" s="66" t="s">
        <v>14</v>
      </c>
      <c r="BU41" s="67">
        <v>0</v>
      </c>
      <c r="BV41" s="44">
        <v>0</v>
      </c>
      <c r="BW41" s="44">
        <v>0</v>
      </c>
      <c r="BX41" s="44">
        <v>0</v>
      </c>
      <c r="BY41" s="113" t="s">
        <v>12</v>
      </c>
      <c r="BZ41" s="116">
        <v>0</v>
      </c>
      <c r="CA41" s="116" t="s">
        <v>13</v>
      </c>
      <c r="CB41" s="116">
        <f>BZ41*38/100</f>
        <v>0</v>
      </c>
      <c r="CD41" s="66" t="s">
        <v>14</v>
      </c>
      <c r="CE41" s="67">
        <v>0</v>
      </c>
      <c r="CF41" s="44">
        <v>0</v>
      </c>
      <c r="CG41" s="44">
        <v>0</v>
      </c>
      <c r="CH41" s="44">
        <v>0</v>
      </c>
      <c r="CI41" s="113" t="s">
        <v>12</v>
      </c>
      <c r="CJ41" s="116">
        <v>0</v>
      </c>
      <c r="CK41" s="116" t="s">
        <v>13</v>
      </c>
      <c r="CL41" s="116">
        <f>CJ41*38/100</f>
        <v>0</v>
      </c>
      <c r="CN41" s="66" t="s">
        <v>14</v>
      </c>
      <c r="CO41" s="67">
        <v>0</v>
      </c>
      <c r="CP41" s="44">
        <v>0</v>
      </c>
      <c r="CQ41" s="44">
        <v>0</v>
      </c>
      <c r="CR41" s="44">
        <v>0</v>
      </c>
      <c r="CS41" s="113" t="s">
        <v>12</v>
      </c>
      <c r="CT41" s="116">
        <v>0</v>
      </c>
      <c r="CU41" s="116" t="s">
        <v>13</v>
      </c>
      <c r="CV41" s="116">
        <f>CT41*38/100</f>
        <v>0</v>
      </c>
      <c r="CX41" s="66" t="s">
        <v>14</v>
      </c>
      <c r="CY41" s="67">
        <v>0</v>
      </c>
      <c r="CZ41" s="44">
        <v>0</v>
      </c>
      <c r="DA41" s="44">
        <v>0</v>
      </c>
      <c r="DB41" s="44">
        <v>0</v>
      </c>
      <c r="DC41" s="113" t="s">
        <v>12</v>
      </c>
      <c r="DD41" s="116">
        <v>0</v>
      </c>
      <c r="DE41" s="116" t="s">
        <v>13</v>
      </c>
      <c r="DF41" s="116">
        <f>DD41*38/100</f>
        <v>0</v>
      </c>
      <c r="DH41" s="66" t="s">
        <v>14</v>
      </c>
      <c r="DI41" s="67">
        <v>0</v>
      </c>
      <c r="DJ41" s="44">
        <v>0</v>
      </c>
      <c r="DK41" s="44">
        <v>0</v>
      </c>
      <c r="DL41" s="44">
        <v>0</v>
      </c>
      <c r="DM41" s="113" t="s">
        <v>12</v>
      </c>
      <c r="DN41" s="116">
        <v>0</v>
      </c>
      <c r="DO41" s="116" t="s">
        <v>13</v>
      </c>
      <c r="DP41" s="116">
        <f>DN41*38/100</f>
        <v>0</v>
      </c>
      <c r="DR41" s="68" t="s">
        <v>14</v>
      </c>
      <c r="DS41" s="69">
        <f>C41+DT41-D41</f>
        <v>0</v>
      </c>
      <c r="DT41" s="70">
        <f>D41+N41+X41+AH41+AR41+BB41+BL41+BV41+CF41+CP41+CZ41+DJ41</f>
        <v>0</v>
      </c>
      <c r="DU41" s="35">
        <f>(E41+O41+Y41+AI41+AS41+BC41+BM41+BW41+CG41+CQ41+DA41+DK41)/12</f>
        <v>0</v>
      </c>
      <c r="DV41" s="71">
        <f>F41+P41+Z41+AJ41+AT41+BD41+BN41+BX41+CH41+CR41+DB41+DL41</f>
        <v>0</v>
      </c>
      <c r="DW41" s="113" t="s">
        <v>12</v>
      </c>
      <c r="DX41" s="116">
        <f>DN41</f>
        <v>0</v>
      </c>
      <c r="DY41" s="116" t="s">
        <v>13</v>
      </c>
      <c r="DZ41" s="116">
        <f>DX41*38/100</f>
        <v>0</v>
      </c>
    </row>
    <row r="42" spans="1:130" ht="15" customHeight="1" thickBot="1" x14ac:dyDescent="0.25">
      <c r="A42" s="61"/>
      <c r="B42" s="72" t="s">
        <v>15</v>
      </c>
      <c r="C42" s="73">
        <v>0</v>
      </c>
      <c r="D42" s="74">
        <v>0</v>
      </c>
      <c r="E42" s="74">
        <v>0</v>
      </c>
      <c r="F42" s="74">
        <v>0</v>
      </c>
      <c r="G42" s="114"/>
      <c r="H42" s="117"/>
      <c r="I42" s="117"/>
      <c r="J42" s="117"/>
      <c r="L42" s="72" t="s">
        <v>15</v>
      </c>
      <c r="M42" s="73">
        <v>0</v>
      </c>
      <c r="N42" s="74">
        <v>0</v>
      </c>
      <c r="O42" s="74">
        <v>0</v>
      </c>
      <c r="P42" s="74">
        <v>0</v>
      </c>
      <c r="Q42" s="114"/>
      <c r="R42" s="117"/>
      <c r="S42" s="117"/>
      <c r="T42" s="117"/>
      <c r="V42" s="72" t="s">
        <v>15</v>
      </c>
      <c r="W42" s="73">
        <v>0</v>
      </c>
      <c r="X42" s="74">
        <v>0</v>
      </c>
      <c r="Y42" s="74">
        <v>0</v>
      </c>
      <c r="Z42" s="74">
        <v>0</v>
      </c>
      <c r="AA42" s="114"/>
      <c r="AB42" s="117"/>
      <c r="AC42" s="117"/>
      <c r="AD42" s="117"/>
      <c r="AF42" s="72" t="s">
        <v>15</v>
      </c>
      <c r="AG42" s="73">
        <v>0</v>
      </c>
      <c r="AH42" s="74">
        <v>0</v>
      </c>
      <c r="AI42" s="74">
        <v>0</v>
      </c>
      <c r="AJ42" s="74">
        <v>0</v>
      </c>
      <c r="AK42" s="114"/>
      <c r="AL42" s="117"/>
      <c r="AM42" s="117"/>
      <c r="AN42" s="117"/>
      <c r="AP42" s="72" t="s">
        <v>15</v>
      </c>
      <c r="AQ42" s="73">
        <v>0</v>
      </c>
      <c r="AR42" s="74">
        <v>0</v>
      </c>
      <c r="AS42" s="74">
        <v>0</v>
      </c>
      <c r="AT42" s="74">
        <v>0</v>
      </c>
      <c r="AU42" s="114"/>
      <c r="AV42" s="117"/>
      <c r="AW42" s="117"/>
      <c r="AX42" s="117"/>
      <c r="AZ42" s="72" t="s">
        <v>15</v>
      </c>
      <c r="BA42" s="73">
        <v>0</v>
      </c>
      <c r="BB42" s="74">
        <v>0</v>
      </c>
      <c r="BC42" s="74">
        <v>0</v>
      </c>
      <c r="BD42" s="74">
        <v>0</v>
      </c>
      <c r="BE42" s="114"/>
      <c r="BF42" s="117"/>
      <c r="BG42" s="117"/>
      <c r="BH42" s="117"/>
      <c r="BJ42" s="72" t="s">
        <v>15</v>
      </c>
      <c r="BK42" s="73">
        <v>0</v>
      </c>
      <c r="BL42" s="74">
        <v>0</v>
      </c>
      <c r="BM42" s="74">
        <v>0</v>
      </c>
      <c r="BN42" s="74">
        <v>0</v>
      </c>
      <c r="BO42" s="114"/>
      <c r="BP42" s="117"/>
      <c r="BQ42" s="117"/>
      <c r="BR42" s="117"/>
      <c r="BT42" s="72" t="s">
        <v>15</v>
      </c>
      <c r="BU42" s="73">
        <v>0</v>
      </c>
      <c r="BV42" s="74">
        <v>0</v>
      </c>
      <c r="BW42" s="74">
        <v>0</v>
      </c>
      <c r="BX42" s="74">
        <v>0</v>
      </c>
      <c r="BY42" s="114"/>
      <c r="BZ42" s="117"/>
      <c r="CA42" s="117"/>
      <c r="CB42" s="117"/>
      <c r="CD42" s="72" t="s">
        <v>15</v>
      </c>
      <c r="CE42" s="73">
        <v>0</v>
      </c>
      <c r="CF42" s="74">
        <v>0</v>
      </c>
      <c r="CG42" s="74">
        <v>0</v>
      </c>
      <c r="CH42" s="74">
        <v>0</v>
      </c>
      <c r="CI42" s="114"/>
      <c r="CJ42" s="117"/>
      <c r="CK42" s="117"/>
      <c r="CL42" s="117"/>
      <c r="CN42" s="72" t="s">
        <v>15</v>
      </c>
      <c r="CO42" s="73">
        <v>0</v>
      </c>
      <c r="CP42" s="74">
        <v>0</v>
      </c>
      <c r="CQ42" s="74">
        <v>0</v>
      </c>
      <c r="CR42" s="74">
        <v>0</v>
      </c>
      <c r="CS42" s="114"/>
      <c r="CT42" s="117"/>
      <c r="CU42" s="117"/>
      <c r="CV42" s="117"/>
      <c r="CX42" s="72" t="s">
        <v>15</v>
      </c>
      <c r="CY42" s="73">
        <v>0</v>
      </c>
      <c r="CZ42" s="74">
        <v>0</v>
      </c>
      <c r="DA42" s="74">
        <v>0</v>
      </c>
      <c r="DB42" s="74">
        <v>0</v>
      </c>
      <c r="DC42" s="114"/>
      <c r="DD42" s="117"/>
      <c r="DE42" s="117"/>
      <c r="DF42" s="117"/>
      <c r="DH42" s="72" t="s">
        <v>15</v>
      </c>
      <c r="DI42" s="73">
        <v>0</v>
      </c>
      <c r="DJ42" s="74">
        <v>0</v>
      </c>
      <c r="DK42" s="74">
        <v>0</v>
      </c>
      <c r="DL42" s="74">
        <v>0</v>
      </c>
      <c r="DM42" s="114"/>
      <c r="DN42" s="117"/>
      <c r="DO42" s="117"/>
      <c r="DP42" s="117"/>
      <c r="DR42" s="75" t="s">
        <v>15</v>
      </c>
      <c r="DS42" s="76">
        <f>C42+DT42-D42</f>
        <v>0</v>
      </c>
      <c r="DT42" s="77">
        <f>D42+N42+X42+AH42+AR42+BB42+BL42+BV42+CF42+CP42+CZ42+DJ42</f>
        <v>0</v>
      </c>
      <c r="DU42" s="36">
        <f>(E42+O42+Y42+AI42+AS42+BC42+BM42+BW42+CG42+CQ42+DA42+DK42)/12</f>
        <v>0</v>
      </c>
      <c r="DV42" s="78">
        <f>F42+P42+Z42+AJ42+AT42+BD42+BN42+BX42+CH42+CR42+DB42+DL42</f>
        <v>0</v>
      </c>
      <c r="DW42" s="114"/>
      <c r="DX42" s="117"/>
      <c r="DY42" s="117"/>
      <c r="DZ42" s="117"/>
    </row>
    <row r="43" spans="1:130" ht="15" customHeight="1" thickBot="1" x14ac:dyDescent="0.25">
      <c r="A43" s="61"/>
      <c r="B43" s="79" t="s">
        <v>16</v>
      </c>
      <c r="C43" s="80">
        <f>SUM(C41:C42)</f>
        <v>0</v>
      </c>
      <c r="D43" s="80">
        <f>SUM(D41:D42)</f>
        <v>0</v>
      </c>
      <c r="E43" s="80">
        <f>SUM(E41:E42)</f>
        <v>0</v>
      </c>
      <c r="F43" s="80">
        <f>SUM(F41:F42)</f>
        <v>0</v>
      </c>
      <c r="G43" s="115"/>
      <c r="H43" s="118"/>
      <c r="I43" s="118"/>
      <c r="J43" s="118"/>
      <c r="L43" s="79" t="s">
        <v>16</v>
      </c>
      <c r="M43" s="80">
        <f>SUM(M41:M42)</f>
        <v>0</v>
      </c>
      <c r="N43" s="80">
        <f>SUM(N41:N42)</f>
        <v>0</v>
      </c>
      <c r="O43" s="80">
        <f>SUM(O41:O42)</f>
        <v>0</v>
      </c>
      <c r="P43" s="80">
        <f>SUM(P41:P42)</f>
        <v>0</v>
      </c>
      <c r="Q43" s="115"/>
      <c r="R43" s="118"/>
      <c r="S43" s="118"/>
      <c r="T43" s="118"/>
      <c r="V43" s="79" t="s">
        <v>16</v>
      </c>
      <c r="W43" s="80">
        <f>SUM(W41:W42)</f>
        <v>0</v>
      </c>
      <c r="X43" s="80">
        <f>SUM(X41:X42)</f>
        <v>0</v>
      </c>
      <c r="Y43" s="80">
        <f>SUM(Y41:Y42)</f>
        <v>0</v>
      </c>
      <c r="Z43" s="80">
        <f>SUM(Z41:Z42)</f>
        <v>0</v>
      </c>
      <c r="AA43" s="115"/>
      <c r="AB43" s="118"/>
      <c r="AC43" s="118"/>
      <c r="AD43" s="118"/>
      <c r="AF43" s="79" t="s">
        <v>16</v>
      </c>
      <c r="AG43" s="80">
        <f>SUM(AG41:AG42)</f>
        <v>0</v>
      </c>
      <c r="AH43" s="80">
        <f>SUM(AH41:AH42)</f>
        <v>0</v>
      </c>
      <c r="AI43" s="80">
        <f>SUM(AI41:AI42)</f>
        <v>0</v>
      </c>
      <c r="AJ43" s="80">
        <f>SUM(AJ41:AJ42)</f>
        <v>0</v>
      </c>
      <c r="AK43" s="115"/>
      <c r="AL43" s="118"/>
      <c r="AM43" s="118"/>
      <c r="AN43" s="118"/>
      <c r="AP43" s="79" t="s">
        <v>16</v>
      </c>
      <c r="AQ43" s="80">
        <f>SUM(AQ41:AQ42)</f>
        <v>0</v>
      </c>
      <c r="AR43" s="80">
        <f>SUM(AR41:AR42)</f>
        <v>0</v>
      </c>
      <c r="AS43" s="80">
        <f>SUM(AS41:AS42)</f>
        <v>0</v>
      </c>
      <c r="AT43" s="80">
        <f>SUM(AT41:AT42)</f>
        <v>0</v>
      </c>
      <c r="AU43" s="115"/>
      <c r="AV43" s="118"/>
      <c r="AW43" s="118"/>
      <c r="AX43" s="118"/>
      <c r="AZ43" s="79" t="s">
        <v>16</v>
      </c>
      <c r="BA43" s="80">
        <f>SUM(BA41:BA42)</f>
        <v>0</v>
      </c>
      <c r="BB43" s="80">
        <f>SUM(BB41:BB42)</f>
        <v>0</v>
      </c>
      <c r="BC43" s="80">
        <f>SUM(BC41:BC42)</f>
        <v>0</v>
      </c>
      <c r="BD43" s="80">
        <f>SUM(BD41:BD42)</f>
        <v>0</v>
      </c>
      <c r="BE43" s="115"/>
      <c r="BF43" s="118"/>
      <c r="BG43" s="118"/>
      <c r="BH43" s="118"/>
      <c r="BJ43" s="79" t="s">
        <v>16</v>
      </c>
      <c r="BK43" s="80">
        <f>SUM(BK41:BK42)</f>
        <v>0</v>
      </c>
      <c r="BL43" s="80">
        <f>SUM(BL41:BL42)</f>
        <v>0</v>
      </c>
      <c r="BM43" s="80">
        <f>SUM(BM41:BM42)</f>
        <v>0</v>
      </c>
      <c r="BN43" s="80">
        <f>SUM(BN41:BN42)</f>
        <v>0</v>
      </c>
      <c r="BO43" s="115"/>
      <c r="BP43" s="118"/>
      <c r="BQ43" s="118"/>
      <c r="BR43" s="118"/>
      <c r="BT43" s="79" t="s">
        <v>16</v>
      </c>
      <c r="BU43" s="80">
        <f>SUM(BU41:BU42)</f>
        <v>0</v>
      </c>
      <c r="BV43" s="80">
        <f>SUM(BV41:BV42)</f>
        <v>0</v>
      </c>
      <c r="BW43" s="80">
        <f>SUM(BW41:BW42)</f>
        <v>0</v>
      </c>
      <c r="BX43" s="80">
        <f>SUM(BX41:BX42)</f>
        <v>0</v>
      </c>
      <c r="BY43" s="115"/>
      <c r="BZ43" s="118"/>
      <c r="CA43" s="118"/>
      <c r="CB43" s="118"/>
      <c r="CD43" s="79" t="s">
        <v>16</v>
      </c>
      <c r="CE43" s="80">
        <f>SUM(CE41:CE42)</f>
        <v>0</v>
      </c>
      <c r="CF43" s="80">
        <f>SUM(CF41:CF42)</f>
        <v>0</v>
      </c>
      <c r="CG43" s="80">
        <f>SUM(CG41:CG42)</f>
        <v>0</v>
      </c>
      <c r="CH43" s="80">
        <f>SUM(CH41:CH42)</f>
        <v>0</v>
      </c>
      <c r="CI43" s="115"/>
      <c r="CJ43" s="118"/>
      <c r="CK43" s="118"/>
      <c r="CL43" s="118"/>
      <c r="CN43" s="79" t="s">
        <v>16</v>
      </c>
      <c r="CO43" s="80">
        <f>SUM(CO41:CO42)</f>
        <v>0</v>
      </c>
      <c r="CP43" s="80">
        <f>SUM(CP41:CP42)</f>
        <v>0</v>
      </c>
      <c r="CQ43" s="80">
        <f>SUM(CQ41:CQ42)</f>
        <v>0</v>
      </c>
      <c r="CR43" s="80">
        <f>SUM(CR41:CR42)</f>
        <v>0</v>
      </c>
      <c r="CS43" s="115"/>
      <c r="CT43" s="118"/>
      <c r="CU43" s="118"/>
      <c r="CV43" s="118"/>
      <c r="CX43" s="79" t="s">
        <v>16</v>
      </c>
      <c r="CY43" s="80">
        <f>SUM(CY41:CY42)</f>
        <v>0</v>
      </c>
      <c r="CZ43" s="80">
        <f>SUM(CZ41:CZ42)</f>
        <v>0</v>
      </c>
      <c r="DA43" s="80">
        <f>SUM(DA41:DA42)</f>
        <v>0</v>
      </c>
      <c r="DB43" s="80">
        <f>SUM(DB41:DB42)</f>
        <v>0</v>
      </c>
      <c r="DC43" s="115"/>
      <c r="DD43" s="118"/>
      <c r="DE43" s="118"/>
      <c r="DF43" s="118"/>
      <c r="DH43" s="79" t="s">
        <v>16</v>
      </c>
      <c r="DI43" s="80">
        <f>SUM(DI41:DI42)</f>
        <v>0</v>
      </c>
      <c r="DJ43" s="80">
        <f>SUM(DJ41:DJ42)</f>
        <v>0</v>
      </c>
      <c r="DK43" s="80">
        <f>SUM(DK41:DK42)</f>
        <v>0</v>
      </c>
      <c r="DL43" s="80">
        <f>SUM(DL41:DL42)</f>
        <v>0</v>
      </c>
      <c r="DM43" s="115"/>
      <c r="DN43" s="118"/>
      <c r="DO43" s="118"/>
      <c r="DP43" s="118"/>
      <c r="DR43" s="81" t="s">
        <v>16</v>
      </c>
      <c r="DS43" s="37">
        <f>SUM(DS41:DS42)</f>
        <v>0</v>
      </c>
      <c r="DT43" s="82">
        <f>SUM(DT41:DT42)</f>
        <v>0</v>
      </c>
      <c r="DU43" s="37">
        <f>SUM(DU41:DU42)</f>
        <v>0</v>
      </c>
      <c r="DV43" s="83">
        <f>SUM(DV41:DV42)</f>
        <v>0</v>
      </c>
      <c r="DW43" s="115"/>
      <c r="DX43" s="118"/>
      <c r="DY43" s="118"/>
      <c r="DZ43" s="118"/>
    </row>
    <row r="44" spans="1:130" ht="15" customHeight="1" thickBot="1" x14ac:dyDescent="0.25">
      <c r="A44" s="39"/>
      <c r="B44" s="125">
        <v>0</v>
      </c>
      <c r="C44" s="125"/>
      <c r="D44" s="84"/>
      <c r="E44" s="43"/>
      <c r="F44" s="84"/>
      <c r="G44" s="98"/>
      <c r="H44" s="101"/>
      <c r="I44" s="101"/>
      <c r="J44" s="102"/>
      <c r="L44" s="125">
        <v>0</v>
      </c>
      <c r="M44" s="125"/>
      <c r="N44" s="84"/>
      <c r="O44" s="43"/>
      <c r="P44" s="84"/>
      <c r="Q44" s="98"/>
      <c r="R44" s="101"/>
      <c r="S44" s="101"/>
      <c r="T44" s="102"/>
      <c r="V44" s="125">
        <v>0</v>
      </c>
      <c r="W44" s="125"/>
      <c r="X44" s="84"/>
      <c r="Y44" s="43"/>
      <c r="Z44" s="84"/>
      <c r="AA44" s="98"/>
      <c r="AB44" s="101"/>
      <c r="AC44" s="101"/>
      <c r="AD44" s="102"/>
      <c r="AF44" s="125">
        <v>0</v>
      </c>
      <c r="AG44" s="125"/>
      <c r="AH44" s="84"/>
      <c r="AI44" s="43"/>
      <c r="AJ44" s="84"/>
      <c r="AK44" s="98"/>
      <c r="AL44" s="101"/>
      <c r="AM44" s="101"/>
      <c r="AN44" s="102"/>
      <c r="AP44" s="125">
        <v>0</v>
      </c>
      <c r="AQ44" s="125"/>
      <c r="AR44" s="84"/>
      <c r="AS44" s="43"/>
      <c r="AT44" s="84"/>
      <c r="AU44" s="98"/>
      <c r="AV44" s="101"/>
      <c r="AW44" s="101"/>
      <c r="AX44" s="102"/>
      <c r="AZ44" s="125">
        <v>0</v>
      </c>
      <c r="BA44" s="125"/>
      <c r="BB44" s="84"/>
      <c r="BC44" s="43"/>
      <c r="BD44" s="84"/>
      <c r="BE44" s="98"/>
      <c r="BF44" s="101"/>
      <c r="BG44" s="101"/>
      <c r="BH44" s="102"/>
      <c r="BJ44" s="125">
        <v>0</v>
      </c>
      <c r="BK44" s="125"/>
      <c r="BL44" s="84"/>
      <c r="BM44" s="43"/>
      <c r="BN44" s="84"/>
      <c r="BO44" s="98"/>
      <c r="BP44" s="101"/>
      <c r="BQ44" s="101"/>
      <c r="BR44" s="102"/>
      <c r="BT44" s="125">
        <v>0</v>
      </c>
      <c r="BU44" s="125"/>
      <c r="BV44" s="84"/>
      <c r="BW44" s="43"/>
      <c r="BX44" s="84"/>
      <c r="BY44" s="98"/>
      <c r="BZ44" s="101"/>
      <c r="CA44" s="101"/>
      <c r="CB44" s="102"/>
      <c r="CD44" s="125">
        <v>0</v>
      </c>
      <c r="CE44" s="125"/>
      <c r="CF44" s="84"/>
      <c r="CG44" s="43"/>
      <c r="CH44" s="84"/>
      <c r="CI44" s="98"/>
      <c r="CJ44" s="101"/>
      <c r="CK44" s="101"/>
      <c r="CL44" s="102"/>
      <c r="CN44" s="125">
        <v>0</v>
      </c>
      <c r="CO44" s="125"/>
      <c r="CP44" s="84"/>
      <c r="CQ44" s="43"/>
      <c r="CR44" s="84"/>
      <c r="CS44" s="98"/>
      <c r="CT44" s="101"/>
      <c r="CU44" s="101"/>
      <c r="CV44" s="102"/>
      <c r="CX44" s="125">
        <v>0</v>
      </c>
      <c r="CY44" s="125"/>
      <c r="CZ44" s="84"/>
      <c r="DA44" s="43"/>
      <c r="DB44" s="84"/>
      <c r="DC44" s="98"/>
      <c r="DD44" s="101"/>
      <c r="DE44" s="101"/>
      <c r="DF44" s="102"/>
      <c r="DH44" s="125">
        <v>0</v>
      </c>
      <c r="DI44" s="125"/>
      <c r="DJ44" s="84"/>
      <c r="DK44" s="43"/>
      <c r="DL44" s="84"/>
      <c r="DM44" s="98"/>
      <c r="DN44" s="101"/>
      <c r="DO44" s="101"/>
      <c r="DP44" s="102"/>
      <c r="DR44" s="85">
        <f>(DH44)</f>
        <v>0</v>
      </c>
      <c r="DS44" s="86"/>
      <c r="DT44" s="84"/>
      <c r="DU44" s="43"/>
      <c r="DV44" s="84"/>
      <c r="DW44" s="98"/>
      <c r="DX44" s="101"/>
      <c r="DY44" s="101"/>
      <c r="DZ44" s="102"/>
    </row>
    <row r="45" spans="1:130" ht="15" customHeight="1" x14ac:dyDescent="0.2">
      <c r="A45" s="61"/>
      <c r="B45" s="66" t="s">
        <v>14</v>
      </c>
      <c r="C45" s="67">
        <v>0</v>
      </c>
      <c r="D45" s="44">
        <v>0</v>
      </c>
      <c r="E45" s="44">
        <v>0</v>
      </c>
      <c r="F45" s="44">
        <v>0</v>
      </c>
      <c r="G45" s="113" t="s">
        <v>12</v>
      </c>
      <c r="H45" s="116">
        <v>0</v>
      </c>
      <c r="I45" s="116" t="s">
        <v>13</v>
      </c>
      <c r="J45" s="116">
        <f>H45*38/100</f>
        <v>0</v>
      </c>
      <c r="L45" s="66" t="s">
        <v>14</v>
      </c>
      <c r="M45" s="67">
        <v>0</v>
      </c>
      <c r="N45" s="44">
        <v>0</v>
      </c>
      <c r="O45" s="44">
        <v>0</v>
      </c>
      <c r="P45" s="44">
        <v>0</v>
      </c>
      <c r="Q45" s="113" t="s">
        <v>12</v>
      </c>
      <c r="R45" s="116">
        <v>0</v>
      </c>
      <c r="S45" s="116" t="s">
        <v>13</v>
      </c>
      <c r="T45" s="116">
        <f>R45*38/100</f>
        <v>0</v>
      </c>
      <c r="V45" s="66" t="s">
        <v>14</v>
      </c>
      <c r="W45" s="67">
        <v>0</v>
      </c>
      <c r="X45" s="44">
        <v>0</v>
      </c>
      <c r="Y45" s="44">
        <v>0</v>
      </c>
      <c r="Z45" s="44">
        <v>0</v>
      </c>
      <c r="AA45" s="113" t="s">
        <v>12</v>
      </c>
      <c r="AB45" s="116">
        <v>0</v>
      </c>
      <c r="AC45" s="116" t="s">
        <v>13</v>
      </c>
      <c r="AD45" s="116">
        <f>AB45*38/100</f>
        <v>0</v>
      </c>
      <c r="AF45" s="66" t="s">
        <v>14</v>
      </c>
      <c r="AG45" s="67">
        <v>0</v>
      </c>
      <c r="AH45" s="44">
        <v>0</v>
      </c>
      <c r="AI45" s="44">
        <v>0</v>
      </c>
      <c r="AJ45" s="44">
        <v>0</v>
      </c>
      <c r="AK45" s="113" t="s">
        <v>12</v>
      </c>
      <c r="AL45" s="116">
        <v>0</v>
      </c>
      <c r="AM45" s="116" t="s">
        <v>13</v>
      </c>
      <c r="AN45" s="116">
        <f>AL45*38/100</f>
        <v>0</v>
      </c>
      <c r="AP45" s="66" t="s">
        <v>14</v>
      </c>
      <c r="AQ45" s="67">
        <v>0</v>
      </c>
      <c r="AR45" s="44">
        <v>0</v>
      </c>
      <c r="AS45" s="44">
        <v>0</v>
      </c>
      <c r="AT45" s="44">
        <v>0</v>
      </c>
      <c r="AU45" s="113" t="s">
        <v>12</v>
      </c>
      <c r="AV45" s="116">
        <v>0</v>
      </c>
      <c r="AW45" s="116" t="s">
        <v>13</v>
      </c>
      <c r="AX45" s="116">
        <f>AV45*38/100</f>
        <v>0</v>
      </c>
      <c r="AZ45" s="66" t="s">
        <v>14</v>
      </c>
      <c r="BA45" s="67">
        <v>0</v>
      </c>
      <c r="BB45" s="44">
        <v>0</v>
      </c>
      <c r="BC45" s="44">
        <v>0</v>
      </c>
      <c r="BD45" s="44">
        <v>0</v>
      </c>
      <c r="BE45" s="113" t="s">
        <v>12</v>
      </c>
      <c r="BF45" s="116">
        <v>0</v>
      </c>
      <c r="BG45" s="116" t="s">
        <v>13</v>
      </c>
      <c r="BH45" s="116">
        <f>BF45*38/100</f>
        <v>0</v>
      </c>
      <c r="BJ45" s="66" t="s">
        <v>14</v>
      </c>
      <c r="BK45" s="67">
        <v>0</v>
      </c>
      <c r="BL45" s="44">
        <v>0</v>
      </c>
      <c r="BM45" s="44">
        <v>0</v>
      </c>
      <c r="BN45" s="44">
        <v>0</v>
      </c>
      <c r="BO45" s="113" t="s">
        <v>12</v>
      </c>
      <c r="BP45" s="116">
        <v>0</v>
      </c>
      <c r="BQ45" s="116" t="s">
        <v>13</v>
      </c>
      <c r="BR45" s="116">
        <f>BP45*38/100</f>
        <v>0</v>
      </c>
      <c r="BT45" s="66" t="s">
        <v>14</v>
      </c>
      <c r="BU45" s="67">
        <v>0</v>
      </c>
      <c r="BV45" s="44">
        <v>0</v>
      </c>
      <c r="BW45" s="44">
        <v>0</v>
      </c>
      <c r="BX45" s="44">
        <v>0</v>
      </c>
      <c r="BY45" s="113" t="s">
        <v>12</v>
      </c>
      <c r="BZ45" s="116">
        <v>0</v>
      </c>
      <c r="CA45" s="116" t="s">
        <v>13</v>
      </c>
      <c r="CB45" s="116">
        <f>BZ45*38/100</f>
        <v>0</v>
      </c>
      <c r="CD45" s="66" t="s">
        <v>14</v>
      </c>
      <c r="CE45" s="67">
        <v>0</v>
      </c>
      <c r="CF45" s="44">
        <v>0</v>
      </c>
      <c r="CG45" s="44">
        <v>0</v>
      </c>
      <c r="CH45" s="44">
        <v>0</v>
      </c>
      <c r="CI45" s="113" t="s">
        <v>12</v>
      </c>
      <c r="CJ45" s="116">
        <v>0</v>
      </c>
      <c r="CK45" s="116" t="s">
        <v>13</v>
      </c>
      <c r="CL45" s="116">
        <f>CJ45*38/100</f>
        <v>0</v>
      </c>
      <c r="CN45" s="66" t="s">
        <v>14</v>
      </c>
      <c r="CO45" s="67">
        <v>0</v>
      </c>
      <c r="CP45" s="44">
        <v>0</v>
      </c>
      <c r="CQ45" s="44">
        <v>0</v>
      </c>
      <c r="CR45" s="44">
        <v>0</v>
      </c>
      <c r="CS45" s="113" t="s">
        <v>12</v>
      </c>
      <c r="CT45" s="116">
        <v>0</v>
      </c>
      <c r="CU45" s="116" t="s">
        <v>13</v>
      </c>
      <c r="CV45" s="116">
        <f>CT45*38/100</f>
        <v>0</v>
      </c>
      <c r="CX45" s="66" t="s">
        <v>14</v>
      </c>
      <c r="CY45" s="67">
        <v>0</v>
      </c>
      <c r="CZ45" s="44">
        <v>0</v>
      </c>
      <c r="DA45" s="44">
        <v>0</v>
      </c>
      <c r="DB45" s="44">
        <v>0</v>
      </c>
      <c r="DC45" s="113" t="s">
        <v>12</v>
      </c>
      <c r="DD45" s="116">
        <v>0</v>
      </c>
      <c r="DE45" s="116" t="s">
        <v>13</v>
      </c>
      <c r="DF45" s="116">
        <f>DD45*38/100</f>
        <v>0</v>
      </c>
      <c r="DH45" s="66" t="s">
        <v>14</v>
      </c>
      <c r="DI45" s="67">
        <v>0</v>
      </c>
      <c r="DJ45" s="44">
        <v>0</v>
      </c>
      <c r="DK45" s="44">
        <v>0</v>
      </c>
      <c r="DL45" s="44">
        <v>0</v>
      </c>
      <c r="DM45" s="113" t="s">
        <v>12</v>
      </c>
      <c r="DN45" s="116">
        <v>0</v>
      </c>
      <c r="DO45" s="116" t="s">
        <v>13</v>
      </c>
      <c r="DP45" s="116">
        <f>DN45*38/100</f>
        <v>0</v>
      </c>
      <c r="DR45" s="68" t="s">
        <v>14</v>
      </c>
      <c r="DS45" s="69">
        <f>C45+DT45-D45</f>
        <v>0</v>
      </c>
      <c r="DT45" s="70">
        <f>D45+N45+X45+AH45+AR45+BB45+BL45+BV45+CF45+CP45+CZ45+DJ45</f>
        <v>0</v>
      </c>
      <c r="DU45" s="35">
        <f>(E45+O45+Y45+AI45+AS45+BC45+BM45+BW45+CG45+CQ45+DA45+DK45)/12</f>
        <v>0</v>
      </c>
      <c r="DV45" s="71">
        <f>F45+P45+Z45+AJ45+AT45+BD45+BN45+BX45+CH45+CR45+DB45+DL45</f>
        <v>0</v>
      </c>
      <c r="DW45" s="113" t="s">
        <v>12</v>
      </c>
      <c r="DX45" s="116">
        <f>DN45</f>
        <v>0</v>
      </c>
      <c r="DY45" s="116" t="s">
        <v>13</v>
      </c>
      <c r="DZ45" s="116">
        <f>DX45*38/100</f>
        <v>0</v>
      </c>
    </row>
    <row r="46" spans="1:130" ht="15" customHeight="1" thickBot="1" x14ac:dyDescent="0.25">
      <c r="A46" s="61"/>
      <c r="B46" s="72" t="s">
        <v>15</v>
      </c>
      <c r="C46" s="73">
        <v>0</v>
      </c>
      <c r="D46" s="74">
        <v>0</v>
      </c>
      <c r="E46" s="74">
        <v>0</v>
      </c>
      <c r="F46" s="74">
        <v>0</v>
      </c>
      <c r="G46" s="114"/>
      <c r="H46" s="117"/>
      <c r="I46" s="117"/>
      <c r="J46" s="117"/>
      <c r="L46" s="72" t="s">
        <v>15</v>
      </c>
      <c r="M46" s="73">
        <v>0</v>
      </c>
      <c r="N46" s="74">
        <v>0</v>
      </c>
      <c r="O46" s="74">
        <v>0</v>
      </c>
      <c r="P46" s="74">
        <v>0</v>
      </c>
      <c r="Q46" s="114"/>
      <c r="R46" s="117"/>
      <c r="S46" s="117"/>
      <c r="T46" s="117"/>
      <c r="V46" s="72" t="s">
        <v>15</v>
      </c>
      <c r="W46" s="73">
        <v>0</v>
      </c>
      <c r="X46" s="74">
        <v>0</v>
      </c>
      <c r="Y46" s="74">
        <v>0</v>
      </c>
      <c r="Z46" s="74">
        <v>0</v>
      </c>
      <c r="AA46" s="114"/>
      <c r="AB46" s="117"/>
      <c r="AC46" s="117"/>
      <c r="AD46" s="117"/>
      <c r="AF46" s="72" t="s">
        <v>15</v>
      </c>
      <c r="AG46" s="73">
        <v>0</v>
      </c>
      <c r="AH46" s="74">
        <v>0</v>
      </c>
      <c r="AI46" s="74">
        <v>0</v>
      </c>
      <c r="AJ46" s="74">
        <v>0</v>
      </c>
      <c r="AK46" s="114"/>
      <c r="AL46" s="117"/>
      <c r="AM46" s="117"/>
      <c r="AN46" s="117"/>
      <c r="AP46" s="72" t="s">
        <v>15</v>
      </c>
      <c r="AQ46" s="73">
        <v>0</v>
      </c>
      <c r="AR46" s="74">
        <v>0</v>
      </c>
      <c r="AS46" s="74">
        <v>0</v>
      </c>
      <c r="AT46" s="74">
        <v>0</v>
      </c>
      <c r="AU46" s="114"/>
      <c r="AV46" s="117"/>
      <c r="AW46" s="117"/>
      <c r="AX46" s="117"/>
      <c r="AZ46" s="72" t="s">
        <v>15</v>
      </c>
      <c r="BA46" s="73">
        <v>0</v>
      </c>
      <c r="BB46" s="74">
        <v>0</v>
      </c>
      <c r="BC46" s="74">
        <v>0</v>
      </c>
      <c r="BD46" s="74">
        <v>0</v>
      </c>
      <c r="BE46" s="114"/>
      <c r="BF46" s="117"/>
      <c r="BG46" s="117"/>
      <c r="BH46" s="117"/>
      <c r="BJ46" s="72" t="s">
        <v>15</v>
      </c>
      <c r="BK46" s="73">
        <v>0</v>
      </c>
      <c r="BL46" s="74">
        <v>0</v>
      </c>
      <c r="BM46" s="74">
        <v>0</v>
      </c>
      <c r="BN46" s="74">
        <v>0</v>
      </c>
      <c r="BO46" s="114"/>
      <c r="BP46" s="117"/>
      <c r="BQ46" s="117"/>
      <c r="BR46" s="117"/>
      <c r="BT46" s="72" t="s">
        <v>15</v>
      </c>
      <c r="BU46" s="73">
        <v>0</v>
      </c>
      <c r="BV46" s="74">
        <v>0</v>
      </c>
      <c r="BW46" s="74">
        <v>0</v>
      </c>
      <c r="BX46" s="74">
        <v>0</v>
      </c>
      <c r="BY46" s="114"/>
      <c r="BZ46" s="117"/>
      <c r="CA46" s="117"/>
      <c r="CB46" s="117"/>
      <c r="CD46" s="72" t="s">
        <v>15</v>
      </c>
      <c r="CE46" s="73">
        <v>0</v>
      </c>
      <c r="CF46" s="74">
        <v>0</v>
      </c>
      <c r="CG46" s="74">
        <v>0</v>
      </c>
      <c r="CH46" s="74">
        <v>0</v>
      </c>
      <c r="CI46" s="114"/>
      <c r="CJ46" s="117"/>
      <c r="CK46" s="117"/>
      <c r="CL46" s="117"/>
      <c r="CN46" s="72" t="s">
        <v>15</v>
      </c>
      <c r="CO46" s="73">
        <v>0</v>
      </c>
      <c r="CP46" s="74">
        <v>0</v>
      </c>
      <c r="CQ46" s="74">
        <v>0</v>
      </c>
      <c r="CR46" s="74">
        <v>0</v>
      </c>
      <c r="CS46" s="114"/>
      <c r="CT46" s="117"/>
      <c r="CU46" s="117"/>
      <c r="CV46" s="117"/>
      <c r="CX46" s="72" t="s">
        <v>15</v>
      </c>
      <c r="CY46" s="73">
        <v>0</v>
      </c>
      <c r="CZ46" s="74">
        <v>0</v>
      </c>
      <c r="DA46" s="74">
        <v>0</v>
      </c>
      <c r="DB46" s="74">
        <v>0</v>
      </c>
      <c r="DC46" s="114"/>
      <c r="DD46" s="117"/>
      <c r="DE46" s="117"/>
      <c r="DF46" s="117"/>
      <c r="DH46" s="72" t="s">
        <v>15</v>
      </c>
      <c r="DI46" s="73">
        <v>0</v>
      </c>
      <c r="DJ46" s="74">
        <v>0</v>
      </c>
      <c r="DK46" s="74">
        <v>0</v>
      </c>
      <c r="DL46" s="74">
        <v>0</v>
      </c>
      <c r="DM46" s="114"/>
      <c r="DN46" s="117"/>
      <c r="DO46" s="117"/>
      <c r="DP46" s="117"/>
      <c r="DR46" s="75" t="s">
        <v>15</v>
      </c>
      <c r="DS46" s="76">
        <f>C46+DT46-D46</f>
        <v>0</v>
      </c>
      <c r="DT46" s="77">
        <f>D46+N46+X46+AH46+AR46+BB46+BL46+BV46+CF46+CP46+CZ46+DJ46</f>
        <v>0</v>
      </c>
      <c r="DU46" s="36">
        <f>(E46+O46+Y46+AI46+AS46+BC46+BM46+BW46+CG46+CQ46+DA46+DK46)/12</f>
        <v>0</v>
      </c>
      <c r="DV46" s="78">
        <f>F46+P46+Z46+AJ46+AT46+BD46+BN46+BX46+CH46+CR46+DB46+DL46</f>
        <v>0</v>
      </c>
      <c r="DW46" s="114"/>
      <c r="DX46" s="117"/>
      <c r="DY46" s="117"/>
      <c r="DZ46" s="117"/>
    </row>
    <row r="47" spans="1:130" ht="15" customHeight="1" thickBot="1" x14ac:dyDescent="0.25">
      <c r="A47" s="61"/>
      <c r="B47" s="79" t="s">
        <v>16</v>
      </c>
      <c r="C47" s="80">
        <f>SUM(C45:C46)</f>
        <v>0</v>
      </c>
      <c r="D47" s="80">
        <f>SUM(D45:D46)</f>
        <v>0</v>
      </c>
      <c r="E47" s="80">
        <f>SUM(E45:E46)</f>
        <v>0</v>
      </c>
      <c r="F47" s="80">
        <f>SUM(F45:F46)</f>
        <v>0</v>
      </c>
      <c r="G47" s="115"/>
      <c r="H47" s="118"/>
      <c r="I47" s="118"/>
      <c r="J47" s="118"/>
      <c r="L47" s="79" t="s">
        <v>16</v>
      </c>
      <c r="M47" s="80">
        <f>SUM(M45:M46)</f>
        <v>0</v>
      </c>
      <c r="N47" s="80">
        <f>SUM(N45:N46)</f>
        <v>0</v>
      </c>
      <c r="O47" s="80">
        <f>SUM(O45:O46)</f>
        <v>0</v>
      </c>
      <c r="P47" s="80">
        <f>SUM(P45:P46)</f>
        <v>0</v>
      </c>
      <c r="Q47" s="115"/>
      <c r="R47" s="118"/>
      <c r="S47" s="118"/>
      <c r="T47" s="118"/>
      <c r="V47" s="79" t="s">
        <v>16</v>
      </c>
      <c r="W47" s="80">
        <f>SUM(W45:W46)</f>
        <v>0</v>
      </c>
      <c r="X47" s="80">
        <f>SUM(X45:X46)</f>
        <v>0</v>
      </c>
      <c r="Y47" s="80">
        <f>SUM(Y45:Y46)</f>
        <v>0</v>
      </c>
      <c r="Z47" s="80">
        <f>SUM(Z45:Z46)</f>
        <v>0</v>
      </c>
      <c r="AA47" s="115"/>
      <c r="AB47" s="118"/>
      <c r="AC47" s="118"/>
      <c r="AD47" s="118"/>
      <c r="AF47" s="79" t="s">
        <v>16</v>
      </c>
      <c r="AG47" s="80">
        <f>SUM(AG45:AG46)</f>
        <v>0</v>
      </c>
      <c r="AH47" s="80">
        <f>SUM(AH45:AH46)</f>
        <v>0</v>
      </c>
      <c r="AI47" s="80">
        <f>SUM(AI45:AI46)</f>
        <v>0</v>
      </c>
      <c r="AJ47" s="80">
        <f>SUM(AJ45:AJ46)</f>
        <v>0</v>
      </c>
      <c r="AK47" s="115"/>
      <c r="AL47" s="118"/>
      <c r="AM47" s="118"/>
      <c r="AN47" s="118"/>
      <c r="AP47" s="79" t="s">
        <v>16</v>
      </c>
      <c r="AQ47" s="80">
        <f>SUM(AQ45:AQ46)</f>
        <v>0</v>
      </c>
      <c r="AR47" s="80">
        <f>SUM(AR45:AR46)</f>
        <v>0</v>
      </c>
      <c r="AS47" s="80">
        <f>SUM(AS45:AS46)</f>
        <v>0</v>
      </c>
      <c r="AT47" s="80">
        <f>SUM(AT45:AT46)</f>
        <v>0</v>
      </c>
      <c r="AU47" s="115"/>
      <c r="AV47" s="118"/>
      <c r="AW47" s="118"/>
      <c r="AX47" s="118"/>
      <c r="AZ47" s="79" t="s">
        <v>16</v>
      </c>
      <c r="BA47" s="80">
        <f>SUM(BA45:BA46)</f>
        <v>0</v>
      </c>
      <c r="BB47" s="80">
        <f>SUM(BB45:BB46)</f>
        <v>0</v>
      </c>
      <c r="BC47" s="80">
        <f>SUM(BC45:BC46)</f>
        <v>0</v>
      </c>
      <c r="BD47" s="80">
        <f>SUM(BD45:BD46)</f>
        <v>0</v>
      </c>
      <c r="BE47" s="115"/>
      <c r="BF47" s="118"/>
      <c r="BG47" s="118"/>
      <c r="BH47" s="118"/>
      <c r="BJ47" s="79" t="s">
        <v>16</v>
      </c>
      <c r="BK47" s="80">
        <f>SUM(BK45:BK46)</f>
        <v>0</v>
      </c>
      <c r="BL47" s="80">
        <f>SUM(BL45:BL46)</f>
        <v>0</v>
      </c>
      <c r="BM47" s="80">
        <f>SUM(BM45:BM46)</f>
        <v>0</v>
      </c>
      <c r="BN47" s="80">
        <f>SUM(BN45:BN46)</f>
        <v>0</v>
      </c>
      <c r="BO47" s="115"/>
      <c r="BP47" s="118"/>
      <c r="BQ47" s="118"/>
      <c r="BR47" s="118"/>
      <c r="BT47" s="79" t="s">
        <v>16</v>
      </c>
      <c r="BU47" s="80">
        <f>SUM(BU45:BU46)</f>
        <v>0</v>
      </c>
      <c r="BV47" s="80">
        <f>SUM(BV45:BV46)</f>
        <v>0</v>
      </c>
      <c r="BW47" s="80">
        <f>SUM(BW45:BW46)</f>
        <v>0</v>
      </c>
      <c r="BX47" s="80">
        <f>SUM(BX45:BX46)</f>
        <v>0</v>
      </c>
      <c r="BY47" s="115"/>
      <c r="BZ47" s="118"/>
      <c r="CA47" s="118"/>
      <c r="CB47" s="118"/>
      <c r="CD47" s="79" t="s">
        <v>16</v>
      </c>
      <c r="CE47" s="80">
        <f>SUM(CE45:CE46)</f>
        <v>0</v>
      </c>
      <c r="CF47" s="80">
        <f>SUM(CF45:CF46)</f>
        <v>0</v>
      </c>
      <c r="CG47" s="80">
        <f>SUM(CG45:CG46)</f>
        <v>0</v>
      </c>
      <c r="CH47" s="80">
        <f>SUM(CH45:CH46)</f>
        <v>0</v>
      </c>
      <c r="CI47" s="115"/>
      <c r="CJ47" s="118"/>
      <c r="CK47" s="118"/>
      <c r="CL47" s="118"/>
      <c r="CN47" s="79" t="s">
        <v>16</v>
      </c>
      <c r="CO47" s="80">
        <f>SUM(CO45:CO46)</f>
        <v>0</v>
      </c>
      <c r="CP47" s="80">
        <f>SUM(CP45:CP46)</f>
        <v>0</v>
      </c>
      <c r="CQ47" s="80">
        <f>SUM(CQ45:CQ46)</f>
        <v>0</v>
      </c>
      <c r="CR47" s="80">
        <f>SUM(CR45:CR46)</f>
        <v>0</v>
      </c>
      <c r="CS47" s="115"/>
      <c r="CT47" s="118"/>
      <c r="CU47" s="118"/>
      <c r="CV47" s="118"/>
      <c r="CX47" s="79" t="s">
        <v>16</v>
      </c>
      <c r="CY47" s="80">
        <f>SUM(CY45:CY46)</f>
        <v>0</v>
      </c>
      <c r="CZ47" s="80">
        <f>SUM(CZ45:CZ46)</f>
        <v>0</v>
      </c>
      <c r="DA47" s="80">
        <f>SUM(DA45:DA46)</f>
        <v>0</v>
      </c>
      <c r="DB47" s="80">
        <f>SUM(DB45:DB46)</f>
        <v>0</v>
      </c>
      <c r="DC47" s="115"/>
      <c r="DD47" s="118"/>
      <c r="DE47" s="118"/>
      <c r="DF47" s="118"/>
      <c r="DH47" s="79" t="s">
        <v>16</v>
      </c>
      <c r="DI47" s="80">
        <f>SUM(DI45:DI46)</f>
        <v>0</v>
      </c>
      <c r="DJ47" s="80">
        <f>SUM(DJ45:DJ46)</f>
        <v>0</v>
      </c>
      <c r="DK47" s="80">
        <f>SUM(DK45:DK46)</f>
        <v>0</v>
      </c>
      <c r="DL47" s="80">
        <f>SUM(DL45:DL46)</f>
        <v>0</v>
      </c>
      <c r="DM47" s="115"/>
      <c r="DN47" s="118"/>
      <c r="DO47" s="118"/>
      <c r="DP47" s="118"/>
      <c r="DR47" s="81" t="s">
        <v>16</v>
      </c>
      <c r="DS47" s="37">
        <f>SUM(DS45:DS46)</f>
        <v>0</v>
      </c>
      <c r="DT47" s="82">
        <f>SUM(DT45:DT46)</f>
        <v>0</v>
      </c>
      <c r="DU47" s="37">
        <f>SUM(DU45:DU46)</f>
        <v>0</v>
      </c>
      <c r="DV47" s="83">
        <f>SUM(DV45:DV46)</f>
        <v>0</v>
      </c>
      <c r="DW47" s="115"/>
      <c r="DX47" s="118"/>
      <c r="DY47" s="118"/>
      <c r="DZ47" s="118"/>
    </row>
    <row r="48" spans="1:130" ht="15" customHeight="1" thickBot="1" x14ac:dyDescent="0.25">
      <c r="A48" s="39"/>
      <c r="B48" s="125"/>
      <c r="C48" s="125"/>
      <c r="D48" s="84"/>
      <c r="E48" s="43"/>
      <c r="F48" s="84"/>
      <c r="G48" s="98"/>
      <c r="H48" s="101"/>
      <c r="I48" s="101"/>
      <c r="J48" s="102"/>
      <c r="L48" s="125"/>
      <c r="M48" s="125"/>
      <c r="N48" s="84"/>
      <c r="O48" s="43"/>
      <c r="P48" s="84"/>
      <c r="Q48" s="98"/>
      <c r="R48" s="101"/>
      <c r="S48" s="101"/>
      <c r="T48" s="102"/>
      <c r="V48" s="125"/>
      <c r="W48" s="125"/>
      <c r="X48" s="84"/>
      <c r="Y48" s="43"/>
      <c r="Z48" s="84"/>
      <c r="AA48" s="98"/>
      <c r="AB48" s="101"/>
      <c r="AC48" s="101"/>
      <c r="AD48" s="102"/>
      <c r="AF48" s="125"/>
      <c r="AG48" s="125"/>
      <c r="AH48" s="84"/>
      <c r="AI48" s="43"/>
      <c r="AJ48" s="84"/>
      <c r="AK48" s="98"/>
      <c r="AL48" s="101"/>
      <c r="AM48" s="101"/>
      <c r="AN48" s="102"/>
      <c r="AP48" s="125"/>
      <c r="AQ48" s="125"/>
      <c r="AR48" s="84"/>
      <c r="AS48" s="43"/>
      <c r="AT48" s="84"/>
      <c r="AU48" s="98"/>
      <c r="AV48" s="101"/>
      <c r="AW48" s="101"/>
      <c r="AX48" s="102"/>
      <c r="AZ48" s="125"/>
      <c r="BA48" s="125"/>
      <c r="BB48" s="84"/>
      <c r="BC48" s="43"/>
      <c r="BD48" s="84"/>
      <c r="BE48" s="98"/>
      <c r="BF48" s="101"/>
      <c r="BG48" s="101"/>
      <c r="BH48" s="102"/>
      <c r="BJ48" s="125"/>
      <c r="BK48" s="125"/>
      <c r="BL48" s="84"/>
      <c r="BM48" s="43"/>
      <c r="BN48" s="84"/>
      <c r="BO48" s="98"/>
      <c r="BP48" s="101"/>
      <c r="BQ48" s="101"/>
      <c r="BR48" s="102"/>
      <c r="BT48" s="125"/>
      <c r="BU48" s="125"/>
      <c r="BV48" s="84"/>
      <c r="BW48" s="43"/>
      <c r="BX48" s="84"/>
      <c r="BY48" s="98"/>
      <c r="BZ48" s="101"/>
      <c r="CA48" s="101"/>
      <c r="CB48" s="102"/>
      <c r="CD48" s="125"/>
      <c r="CE48" s="125"/>
      <c r="CF48" s="84"/>
      <c r="CG48" s="43"/>
      <c r="CH48" s="84"/>
      <c r="CI48" s="98"/>
      <c r="CJ48" s="101"/>
      <c r="CK48" s="101"/>
      <c r="CL48" s="102"/>
      <c r="CN48" s="125"/>
      <c r="CO48" s="125"/>
      <c r="CP48" s="84"/>
      <c r="CQ48" s="43"/>
      <c r="CR48" s="84"/>
      <c r="CS48" s="98"/>
      <c r="CT48" s="101"/>
      <c r="CU48" s="101"/>
      <c r="CV48" s="102"/>
      <c r="CX48" s="125"/>
      <c r="CY48" s="125"/>
      <c r="CZ48" s="84"/>
      <c r="DA48" s="43"/>
      <c r="DB48" s="84"/>
      <c r="DC48" s="98"/>
      <c r="DD48" s="101"/>
      <c r="DE48" s="101"/>
      <c r="DF48" s="102"/>
      <c r="DH48" s="125"/>
      <c r="DI48" s="125"/>
      <c r="DJ48" s="84"/>
      <c r="DK48" s="43"/>
      <c r="DL48" s="84"/>
      <c r="DM48" s="98"/>
      <c r="DN48" s="101"/>
      <c r="DO48" s="101"/>
      <c r="DP48" s="102"/>
      <c r="DR48" s="85">
        <f>(DH48)</f>
        <v>0</v>
      </c>
      <c r="DS48" s="86"/>
      <c r="DT48" s="84"/>
      <c r="DU48" s="43"/>
      <c r="DV48" s="84"/>
      <c r="DW48" s="98"/>
      <c r="DX48" s="101"/>
      <c r="DY48" s="101"/>
      <c r="DZ48" s="102"/>
    </row>
    <row r="49" spans="1:164" ht="15" customHeight="1" x14ac:dyDescent="0.2">
      <c r="A49" s="61"/>
      <c r="B49" s="66" t="s">
        <v>14</v>
      </c>
      <c r="C49" s="67">
        <v>0</v>
      </c>
      <c r="D49" s="44">
        <v>0</v>
      </c>
      <c r="E49" s="44">
        <v>0</v>
      </c>
      <c r="F49" s="44">
        <v>0</v>
      </c>
      <c r="G49" s="113" t="s">
        <v>12</v>
      </c>
      <c r="H49" s="116">
        <v>0</v>
      </c>
      <c r="I49" s="116" t="s">
        <v>13</v>
      </c>
      <c r="J49" s="116">
        <f>H49*38/100</f>
        <v>0</v>
      </c>
      <c r="L49" s="66" t="s">
        <v>14</v>
      </c>
      <c r="M49" s="67">
        <v>0</v>
      </c>
      <c r="N49" s="44">
        <v>0</v>
      </c>
      <c r="O49" s="44">
        <v>0</v>
      </c>
      <c r="P49" s="44">
        <v>0</v>
      </c>
      <c r="Q49" s="113" t="s">
        <v>12</v>
      </c>
      <c r="R49" s="116">
        <v>0</v>
      </c>
      <c r="S49" s="116" t="s">
        <v>13</v>
      </c>
      <c r="T49" s="116">
        <f>R49*38/100</f>
        <v>0</v>
      </c>
      <c r="V49" s="66" t="s">
        <v>14</v>
      </c>
      <c r="W49" s="67">
        <v>0</v>
      </c>
      <c r="X49" s="44">
        <v>0</v>
      </c>
      <c r="Y49" s="44">
        <v>0</v>
      </c>
      <c r="Z49" s="44">
        <v>0</v>
      </c>
      <c r="AA49" s="113" t="s">
        <v>12</v>
      </c>
      <c r="AB49" s="116">
        <v>0</v>
      </c>
      <c r="AC49" s="116" t="s">
        <v>13</v>
      </c>
      <c r="AD49" s="116">
        <f>AB49*38/100</f>
        <v>0</v>
      </c>
      <c r="AF49" s="66" t="s">
        <v>14</v>
      </c>
      <c r="AG49" s="67">
        <v>0</v>
      </c>
      <c r="AH49" s="44">
        <v>0</v>
      </c>
      <c r="AI49" s="44">
        <v>0</v>
      </c>
      <c r="AJ49" s="44">
        <v>0</v>
      </c>
      <c r="AK49" s="113" t="s">
        <v>12</v>
      </c>
      <c r="AL49" s="116">
        <v>0</v>
      </c>
      <c r="AM49" s="116" t="s">
        <v>13</v>
      </c>
      <c r="AN49" s="116">
        <f>AL49*38/100</f>
        <v>0</v>
      </c>
      <c r="AP49" s="66" t="s">
        <v>14</v>
      </c>
      <c r="AQ49" s="67">
        <v>0</v>
      </c>
      <c r="AR49" s="44">
        <v>0</v>
      </c>
      <c r="AS49" s="44">
        <v>0</v>
      </c>
      <c r="AT49" s="44">
        <v>0</v>
      </c>
      <c r="AU49" s="113" t="s">
        <v>12</v>
      </c>
      <c r="AV49" s="116">
        <v>0</v>
      </c>
      <c r="AW49" s="116" t="s">
        <v>13</v>
      </c>
      <c r="AX49" s="116">
        <f>AV49*38/100</f>
        <v>0</v>
      </c>
      <c r="AZ49" s="66" t="s">
        <v>14</v>
      </c>
      <c r="BA49" s="67">
        <v>0</v>
      </c>
      <c r="BB49" s="44">
        <v>0</v>
      </c>
      <c r="BC49" s="44">
        <v>0</v>
      </c>
      <c r="BD49" s="44">
        <v>0</v>
      </c>
      <c r="BE49" s="113" t="s">
        <v>12</v>
      </c>
      <c r="BF49" s="116">
        <v>0</v>
      </c>
      <c r="BG49" s="116" t="s">
        <v>13</v>
      </c>
      <c r="BH49" s="116">
        <f>BF49*38/100</f>
        <v>0</v>
      </c>
      <c r="BJ49" s="66" t="s">
        <v>14</v>
      </c>
      <c r="BK49" s="67">
        <v>0</v>
      </c>
      <c r="BL49" s="44">
        <v>0</v>
      </c>
      <c r="BM49" s="44">
        <v>0</v>
      </c>
      <c r="BN49" s="44">
        <v>0</v>
      </c>
      <c r="BO49" s="113" t="s">
        <v>12</v>
      </c>
      <c r="BP49" s="116">
        <v>0</v>
      </c>
      <c r="BQ49" s="116" t="s">
        <v>13</v>
      </c>
      <c r="BR49" s="116">
        <f>BP49*38/100</f>
        <v>0</v>
      </c>
      <c r="BT49" s="66" t="s">
        <v>14</v>
      </c>
      <c r="BU49" s="67">
        <v>0</v>
      </c>
      <c r="BV49" s="44">
        <v>0</v>
      </c>
      <c r="BW49" s="44">
        <v>0</v>
      </c>
      <c r="BX49" s="44">
        <v>0</v>
      </c>
      <c r="BY49" s="113" t="s">
        <v>12</v>
      </c>
      <c r="BZ49" s="116">
        <v>0</v>
      </c>
      <c r="CA49" s="116" t="s">
        <v>13</v>
      </c>
      <c r="CB49" s="116">
        <f>BZ49*38/100</f>
        <v>0</v>
      </c>
      <c r="CD49" s="66" t="s">
        <v>14</v>
      </c>
      <c r="CE49" s="67">
        <v>0</v>
      </c>
      <c r="CF49" s="44">
        <v>0</v>
      </c>
      <c r="CG49" s="44">
        <v>0</v>
      </c>
      <c r="CH49" s="44">
        <v>0</v>
      </c>
      <c r="CI49" s="113" t="s">
        <v>12</v>
      </c>
      <c r="CJ49" s="116">
        <v>0</v>
      </c>
      <c r="CK49" s="116" t="s">
        <v>13</v>
      </c>
      <c r="CL49" s="116">
        <f>CJ49*38/100</f>
        <v>0</v>
      </c>
      <c r="CN49" s="66" t="s">
        <v>14</v>
      </c>
      <c r="CO49" s="67">
        <v>0</v>
      </c>
      <c r="CP49" s="44">
        <v>0</v>
      </c>
      <c r="CQ49" s="44">
        <v>0</v>
      </c>
      <c r="CR49" s="44">
        <v>0</v>
      </c>
      <c r="CS49" s="113" t="s">
        <v>12</v>
      </c>
      <c r="CT49" s="116">
        <v>0</v>
      </c>
      <c r="CU49" s="116" t="s">
        <v>13</v>
      </c>
      <c r="CV49" s="116">
        <f>CT49*38/100</f>
        <v>0</v>
      </c>
      <c r="CX49" s="66" t="s">
        <v>14</v>
      </c>
      <c r="CY49" s="67">
        <v>0</v>
      </c>
      <c r="CZ49" s="44">
        <v>0</v>
      </c>
      <c r="DA49" s="44">
        <v>0</v>
      </c>
      <c r="DB49" s="44">
        <v>0</v>
      </c>
      <c r="DC49" s="113" t="s">
        <v>12</v>
      </c>
      <c r="DD49" s="116">
        <v>0</v>
      </c>
      <c r="DE49" s="116" t="s">
        <v>13</v>
      </c>
      <c r="DF49" s="116">
        <f>DD49*38/100</f>
        <v>0</v>
      </c>
      <c r="DH49" s="66" t="s">
        <v>14</v>
      </c>
      <c r="DI49" s="67">
        <v>0</v>
      </c>
      <c r="DJ49" s="44">
        <v>0</v>
      </c>
      <c r="DK49" s="44">
        <v>0</v>
      </c>
      <c r="DL49" s="44">
        <v>0</v>
      </c>
      <c r="DM49" s="113" t="s">
        <v>12</v>
      </c>
      <c r="DN49" s="116">
        <v>0</v>
      </c>
      <c r="DO49" s="116" t="s">
        <v>13</v>
      </c>
      <c r="DP49" s="116">
        <f>DN49*38/100</f>
        <v>0</v>
      </c>
      <c r="DR49" s="68" t="s">
        <v>14</v>
      </c>
      <c r="DS49" s="69">
        <f>C49+DT49-D49</f>
        <v>0</v>
      </c>
      <c r="DT49" s="70">
        <f>D49+N49+X49+AH49+AR49+BB49+BL49+BV49+CF49+CP49+CZ49+DJ49</f>
        <v>0</v>
      </c>
      <c r="DU49" s="35">
        <f>(E49+O49+Y49+AI49+AS49+BC49+BM49+BW49+CG49+CQ49+DA49+DK49)/12</f>
        <v>0</v>
      </c>
      <c r="DV49" s="71">
        <f>F49+P49+Z49+AJ49+AT49+BD49+BN49+BX49+CH49+CR49+DB49+DL49</f>
        <v>0</v>
      </c>
      <c r="DW49" s="113" t="s">
        <v>12</v>
      </c>
      <c r="DX49" s="116">
        <f>DN49</f>
        <v>0</v>
      </c>
      <c r="DY49" s="116" t="s">
        <v>13</v>
      </c>
      <c r="DZ49" s="116">
        <f>DX49*38/100</f>
        <v>0</v>
      </c>
    </row>
    <row r="50" spans="1:164" ht="15" customHeight="1" thickBot="1" x14ac:dyDescent="0.25">
      <c r="A50" s="61"/>
      <c r="B50" s="72" t="s">
        <v>15</v>
      </c>
      <c r="C50" s="73">
        <v>0</v>
      </c>
      <c r="D50" s="74">
        <v>0</v>
      </c>
      <c r="E50" s="74">
        <v>0</v>
      </c>
      <c r="F50" s="74">
        <v>0</v>
      </c>
      <c r="G50" s="114"/>
      <c r="H50" s="117"/>
      <c r="I50" s="117"/>
      <c r="J50" s="117"/>
      <c r="L50" s="72" t="s">
        <v>15</v>
      </c>
      <c r="M50" s="73">
        <v>0</v>
      </c>
      <c r="N50" s="74">
        <v>0</v>
      </c>
      <c r="O50" s="74">
        <v>0</v>
      </c>
      <c r="P50" s="74">
        <v>0</v>
      </c>
      <c r="Q50" s="114"/>
      <c r="R50" s="117"/>
      <c r="S50" s="117"/>
      <c r="T50" s="117"/>
      <c r="V50" s="72" t="s">
        <v>15</v>
      </c>
      <c r="W50" s="73">
        <v>0</v>
      </c>
      <c r="X50" s="74">
        <v>0</v>
      </c>
      <c r="Y50" s="74">
        <v>0</v>
      </c>
      <c r="Z50" s="74">
        <v>0</v>
      </c>
      <c r="AA50" s="114"/>
      <c r="AB50" s="117"/>
      <c r="AC50" s="117"/>
      <c r="AD50" s="117"/>
      <c r="AF50" s="72" t="s">
        <v>15</v>
      </c>
      <c r="AG50" s="73">
        <v>0</v>
      </c>
      <c r="AH50" s="74">
        <v>0</v>
      </c>
      <c r="AI50" s="74">
        <v>0</v>
      </c>
      <c r="AJ50" s="74">
        <v>0</v>
      </c>
      <c r="AK50" s="114"/>
      <c r="AL50" s="117"/>
      <c r="AM50" s="117"/>
      <c r="AN50" s="117"/>
      <c r="AP50" s="72" t="s">
        <v>15</v>
      </c>
      <c r="AQ50" s="73">
        <v>0</v>
      </c>
      <c r="AR50" s="74">
        <v>0</v>
      </c>
      <c r="AS50" s="74">
        <v>0</v>
      </c>
      <c r="AT50" s="74">
        <v>0</v>
      </c>
      <c r="AU50" s="114"/>
      <c r="AV50" s="117"/>
      <c r="AW50" s="117"/>
      <c r="AX50" s="117"/>
      <c r="AZ50" s="72" t="s">
        <v>15</v>
      </c>
      <c r="BA50" s="73">
        <v>0</v>
      </c>
      <c r="BB50" s="74">
        <v>0</v>
      </c>
      <c r="BC50" s="74">
        <v>0</v>
      </c>
      <c r="BD50" s="74">
        <v>0</v>
      </c>
      <c r="BE50" s="114"/>
      <c r="BF50" s="117"/>
      <c r="BG50" s="117"/>
      <c r="BH50" s="117"/>
      <c r="BJ50" s="72" t="s">
        <v>15</v>
      </c>
      <c r="BK50" s="73">
        <v>0</v>
      </c>
      <c r="BL50" s="74">
        <v>0</v>
      </c>
      <c r="BM50" s="74">
        <v>0</v>
      </c>
      <c r="BN50" s="74">
        <v>0</v>
      </c>
      <c r="BO50" s="114"/>
      <c r="BP50" s="117"/>
      <c r="BQ50" s="117"/>
      <c r="BR50" s="117"/>
      <c r="BT50" s="72" t="s">
        <v>15</v>
      </c>
      <c r="BU50" s="73">
        <v>0</v>
      </c>
      <c r="BV50" s="74">
        <v>0</v>
      </c>
      <c r="BW50" s="74">
        <v>0</v>
      </c>
      <c r="BX50" s="74">
        <v>0</v>
      </c>
      <c r="BY50" s="114"/>
      <c r="BZ50" s="117"/>
      <c r="CA50" s="117"/>
      <c r="CB50" s="117"/>
      <c r="CD50" s="72" t="s">
        <v>15</v>
      </c>
      <c r="CE50" s="73">
        <v>0</v>
      </c>
      <c r="CF50" s="74">
        <v>0</v>
      </c>
      <c r="CG50" s="74">
        <v>0</v>
      </c>
      <c r="CH50" s="74">
        <v>0</v>
      </c>
      <c r="CI50" s="114"/>
      <c r="CJ50" s="117"/>
      <c r="CK50" s="117"/>
      <c r="CL50" s="117"/>
      <c r="CN50" s="72" t="s">
        <v>15</v>
      </c>
      <c r="CO50" s="73">
        <v>0</v>
      </c>
      <c r="CP50" s="74">
        <v>0</v>
      </c>
      <c r="CQ50" s="74">
        <v>0</v>
      </c>
      <c r="CR50" s="74">
        <v>0</v>
      </c>
      <c r="CS50" s="114"/>
      <c r="CT50" s="117"/>
      <c r="CU50" s="117"/>
      <c r="CV50" s="117"/>
      <c r="CX50" s="72" t="s">
        <v>15</v>
      </c>
      <c r="CY50" s="73">
        <v>0</v>
      </c>
      <c r="CZ50" s="74">
        <v>0</v>
      </c>
      <c r="DA50" s="74">
        <v>0</v>
      </c>
      <c r="DB50" s="74">
        <v>0</v>
      </c>
      <c r="DC50" s="114"/>
      <c r="DD50" s="117"/>
      <c r="DE50" s="117"/>
      <c r="DF50" s="117"/>
      <c r="DH50" s="72" t="s">
        <v>15</v>
      </c>
      <c r="DI50" s="73">
        <v>0</v>
      </c>
      <c r="DJ50" s="74">
        <v>0</v>
      </c>
      <c r="DK50" s="74">
        <v>0</v>
      </c>
      <c r="DL50" s="74">
        <v>0</v>
      </c>
      <c r="DM50" s="114"/>
      <c r="DN50" s="117"/>
      <c r="DO50" s="117"/>
      <c r="DP50" s="117"/>
      <c r="DR50" s="75" t="s">
        <v>15</v>
      </c>
      <c r="DS50" s="76">
        <f>C50+DT50-D50</f>
        <v>0</v>
      </c>
      <c r="DT50" s="77">
        <f>D50+N50+X50+AH50+AR50+BB50+BL50+BV50+CF50+CP50+CZ50+DJ50</f>
        <v>0</v>
      </c>
      <c r="DU50" s="36">
        <f>(E50+O50+Y50+AI50+AS50+BC50+BM50+BW50+CG50+CQ50+DA50+DK50)/12</f>
        <v>0</v>
      </c>
      <c r="DV50" s="78">
        <f>F50+P50+Z50+AJ50+AT50+BD50+BN50+BX50+CH50+CR50+DB50+DL50</f>
        <v>0</v>
      </c>
      <c r="DW50" s="114"/>
      <c r="DX50" s="117"/>
      <c r="DY50" s="117"/>
      <c r="DZ50" s="117"/>
    </row>
    <row r="51" spans="1:164" ht="15" customHeight="1" thickBot="1" x14ac:dyDescent="0.25">
      <c r="A51" s="61"/>
      <c r="B51" s="79" t="s">
        <v>16</v>
      </c>
      <c r="C51" s="80">
        <f>SUM(C49:C50)</f>
        <v>0</v>
      </c>
      <c r="D51" s="80">
        <f>SUM(D49:D50)</f>
        <v>0</v>
      </c>
      <c r="E51" s="80">
        <f>SUM(E49:E50)</f>
        <v>0</v>
      </c>
      <c r="F51" s="80">
        <f>SUM(F49:F50)</f>
        <v>0</v>
      </c>
      <c r="G51" s="115"/>
      <c r="H51" s="118"/>
      <c r="I51" s="118"/>
      <c r="J51" s="118"/>
      <c r="L51" s="79" t="s">
        <v>16</v>
      </c>
      <c r="M51" s="80">
        <f>SUM(M49:M50)</f>
        <v>0</v>
      </c>
      <c r="N51" s="80">
        <f>SUM(N49:N50)</f>
        <v>0</v>
      </c>
      <c r="O51" s="80">
        <f>SUM(O49:O50)</f>
        <v>0</v>
      </c>
      <c r="P51" s="80">
        <f>SUM(P49:P50)</f>
        <v>0</v>
      </c>
      <c r="Q51" s="115"/>
      <c r="R51" s="118"/>
      <c r="S51" s="118"/>
      <c r="T51" s="118"/>
      <c r="V51" s="79" t="s">
        <v>16</v>
      </c>
      <c r="W51" s="80">
        <f>SUM(W49:W50)</f>
        <v>0</v>
      </c>
      <c r="X51" s="80">
        <f>SUM(X49:X50)</f>
        <v>0</v>
      </c>
      <c r="Y51" s="80">
        <f>SUM(Y49:Y50)</f>
        <v>0</v>
      </c>
      <c r="Z51" s="80">
        <f>SUM(Z49:Z50)</f>
        <v>0</v>
      </c>
      <c r="AA51" s="115"/>
      <c r="AB51" s="118"/>
      <c r="AC51" s="118"/>
      <c r="AD51" s="118"/>
      <c r="AF51" s="79" t="s">
        <v>16</v>
      </c>
      <c r="AG51" s="80">
        <f>SUM(AG49:AG50)</f>
        <v>0</v>
      </c>
      <c r="AH51" s="80">
        <f>SUM(AH49:AH50)</f>
        <v>0</v>
      </c>
      <c r="AI51" s="80">
        <f>SUM(AI49:AI50)</f>
        <v>0</v>
      </c>
      <c r="AJ51" s="80">
        <f>SUM(AJ49:AJ50)</f>
        <v>0</v>
      </c>
      <c r="AK51" s="115"/>
      <c r="AL51" s="118"/>
      <c r="AM51" s="118"/>
      <c r="AN51" s="118"/>
      <c r="AP51" s="79" t="s">
        <v>16</v>
      </c>
      <c r="AQ51" s="80">
        <f>SUM(AQ49:AQ50)</f>
        <v>0</v>
      </c>
      <c r="AR51" s="80">
        <f>SUM(AR49:AR50)</f>
        <v>0</v>
      </c>
      <c r="AS51" s="80">
        <f>SUM(AS49:AS50)</f>
        <v>0</v>
      </c>
      <c r="AT51" s="80">
        <f>SUM(AT49:AT50)</f>
        <v>0</v>
      </c>
      <c r="AU51" s="115"/>
      <c r="AV51" s="118"/>
      <c r="AW51" s="118"/>
      <c r="AX51" s="118"/>
      <c r="AZ51" s="79" t="s">
        <v>16</v>
      </c>
      <c r="BA51" s="80">
        <f>SUM(BA49:BA50)</f>
        <v>0</v>
      </c>
      <c r="BB51" s="80">
        <f>SUM(BB49:BB50)</f>
        <v>0</v>
      </c>
      <c r="BC51" s="80">
        <f>SUM(BC49:BC50)</f>
        <v>0</v>
      </c>
      <c r="BD51" s="80">
        <f>SUM(BD49:BD50)</f>
        <v>0</v>
      </c>
      <c r="BE51" s="115"/>
      <c r="BF51" s="118"/>
      <c r="BG51" s="118"/>
      <c r="BH51" s="118"/>
      <c r="BJ51" s="79" t="s">
        <v>16</v>
      </c>
      <c r="BK51" s="80">
        <f>SUM(BK49:BK50)</f>
        <v>0</v>
      </c>
      <c r="BL51" s="80">
        <f>SUM(BL49:BL50)</f>
        <v>0</v>
      </c>
      <c r="BM51" s="80">
        <f>SUM(BM49:BM50)</f>
        <v>0</v>
      </c>
      <c r="BN51" s="80">
        <f>SUM(BN49:BN50)</f>
        <v>0</v>
      </c>
      <c r="BO51" s="115"/>
      <c r="BP51" s="118"/>
      <c r="BQ51" s="118"/>
      <c r="BR51" s="118"/>
      <c r="BT51" s="79" t="s">
        <v>16</v>
      </c>
      <c r="BU51" s="80">
        <f>SUM(BU49:BU50)</f>
        <v>0</v>
      </c>
      <c r="BV51" s="80">
        <f>SUM(BV49:BV50)</f>
        <v>0</v>
      </c>
      <c r="BW51" s="80">
        <f>SUM(BW49:BW50)</f>
        <v>0</v>
      </c>
      <c r="BX51" s="80">
        <f>SUM(BX49:BX50)</f>
        <v>0</v>
      </c>
      <c r="BY51" s="115"/>
      <c r="BZ51" s="118"/>
      <c r="CA51" s="118"/>
      <c r="CB51" s="118"/>
      <c r="CD51" s="79" t="s">
        <v>16</v>
      </c>
      <c r="CE51" s="80">
        <f>SUM(CE49:CE50)</f>
        <v>0</v>
      </c>
      <c r="CF51" s="80">
        <f>SUM(CF49:CF50)</f>
        <v>0</v>
      </c>
      <c r="CG51" s="80">
        <f>SUM(CG49:CG50)</f>
        <v>0</v>
      </c>
      <c r="CH51" s="80">
        <f>SUM(CH49:CH50)</f>
        <v>0</v>
      </c>
      <c r="CI51" s="115"/>
      <c r="CJ51" s="118"/>
      <c r="CK51" s="118"/>
      <c r="CL51" s="118"/>
      <c r="CN51" s="79" t="s">
        <v>16</v>
      </c>
      <c r="CO51" s="80">
        <f>SUM(CO49:CO50)</f>
        <v>0</v>
      </c>
      <c r="CP51" s="80">
        <f>SUM(CP49:CP50)</f>
        <v>0</v>
      </c>
      <c r="CQ51" s="80">
        <f>SUM(CQ49:CQ50)</f>
        <v>0</v>
      </c>
      <c r="CR51" s="80">
        <f>SUM(CR49:CR50)</f>
        <v>0</v>
      </c>
      <c r="CS51" s="115"/>
      <c r="CT51" s="118"/>
      <c r="CU51" s="118"/>
      <c r="CV51" s="118"/>
      <c r="CX51" s="79" t="s">
        <v>16</v>
      </c>
      <c r="CY51" s="80">
        <f>SUM(CY49:CY50)</f>
        <v>0</v>
      </c>
      <c r="CZ51" s="80">
        <f>SUM(CZ49:CZ50)</f>
        <v>0</v>
      </c>
      <c r="DA51" s="80">
        <f>SUM(DA49:DA50)</f>
        <v>0</v>
      </c>
      <c r="DB51" s="80">
        <f>SUM(DB49:DB50)</f>
        <v>0</v>
      </c>
      <c r="DC51" s="115"/>
      <c r="DD51" s="118"/>
      <c r="DE51" s="118"/>
      <c r="DF51" s="118"/>
      <c r="DH51" s="79" t="s">
        <v>16</v>
      </c>
      <c r="DI51" s="80">
        <f>SUM(DI49:DI50)</f>
        <v>0</v>
      </c>
      <c r="DJ51" s="80">
        <f>SUM(DJ49:DJ50)</f>
        <v>0</v>
      </c>
      <c r="DK51" s="80">
        <f>SUM(DK49:DK50)</f>
        <v>0</v>
      </c>
      <c r="DL51" s="80">
        <f>SUM(DL49:DL50)</f>
        <v>0</v>
      </c>
      <c r="DM51" s="115"/>
      <c r="DN51" s="118"/>
      <c r="DO51" s="118"/>
      <c r="DP51" s="118"/>
      <c r="DR51" s="81" t="s">
        <v>16</v>
      </c>
      <c r="DS51" s="37">
        <f>SUM(DS49:DS50)</f>
        <v>0</v>
      </c>
      <c r="DT51" s="82">
        <f>SUM(DT49:DT50)</f>
        <v>0</v>
      </c>
      <c r="DU51" s="37">
        <f>SUM(DU49:DU50)</f>
        <v>0</v>
      </c>
      <c r="DV51" s="83">
        <f>SUM(DV49:DV50)</f>
        <v>0</v>
      </c>
      <c r="DW51" s="115"/>
      <c r="DX51" s="118"/>
      <c r="DY51" s="118"/>
      <c r="DZ51" s="118"/>
    </row>
    <row r="52" spans="1:164" ht="15" customHeight="1" thickBot="1" x14ac:dyDescent="0.25">
      <c r="B52" s="47"/>
      <c r="C52" s="47"/>
      <c r="D52" s="47"/>
      <c r="E52" s="47"/>
      <c r="F52" s="47"/>
      <c r="G52" s="47"/>
      <c r="H52" s="47"/>
      <c r="I52" s="47"/>
      <c r="J52" s="47"/>
      <c r="L52" s="47"/>
      <c r="M52" s="47"/>
      <c r="N52" s="47"/>
      <c r="O52" s="47"/>
      <c r="P52" s="47"/>
      <c r="Q52" s="47"/>
      <c r="R52" s="47"/>
      <c r="S52" s="47"/>
      <c r="T52" s="47"/>
      <c r="V52" s="47"/>
      <c r="W52" s="47"/>
      <c r="X52" s="47"/>
      <c r="Y52" s="47"/>
      <c r="Z52" s="47"/>
      <c r="AA52" s="47"/>
      <c r="AB52" s="47"/>
      <c r="AC52" s="47"/>
      <c r="AD52" s="47"/>
      <c r="AF52" s="47"/>
      <c r="AG52" s="47"/>
      <c r="AH52" s="47"/>
      <c r="AI52" s="47"/>
      <c r="AJ52" s="47"/>
      <c r="AK52" s="47"/>
      <c r="AL52" s="47"/>
      <c r="AM52" s="47"/>
      <c r="AN52" s="47"/>
      <c r="AP52" s="47"/>
      <c r="AQ52" s="47"/>
      <c r="AR52" s="47"/>
      <c r="AS52" s="47"/>
      <c r="AT52" s="47"/>
      <c r="AU52" s="47"/>
      <c r="AV52" s="47"/>
      <c r="AW52" s="47"/>
      <c r="AX52" s="47"/>
      <c r="AZ52" s="47"/>
      <c r="BA52" s="47"/>
      <c r="BB52" s="47"/>
      <c r="BC52" s="47"/>
      <c r="BD52" s="47"/>
      <c r="BE52" s="47"/>
      <c r="BF52" s="47"/>
      <c r="BG52" s="47"/>
      <c r="BH52" s="47"/>
      <c r="BJ52" s="47"/>
      <c r="BK52" s="47"/>
      <c r="BL52" s="47"/>
      <c r="BM52" s="47"/>
      <c r="BN52" s="47"/>
      <c r="BO52" s="47"/>
      <c r="BP52" s="47"/>
      <c r="BQ52" s="47"/>
      <c r="BR52" s="47"/>
      <c r="BT52" s="47"/>
      <c r="BU52" s="47"/>
      <c r="BV52" s="47"/>
      <c r="BW52" s="47"/>
      <c r="BX52" s="47"/>
      <c r="BY52" s="47"/>
      <c r="BZ52" s="47"/>
      <c r="CA52" s="47"/>
      <c r="CB52" s="47"/>
      <c r="CD52" s="47"/>
      <c r="CE52" s="47"/>
      <c r="CF52" s="47"/>
      <c r="CG52" s="47"/>
      <c r="CH52" s="47"/>
      <c r="CI52" s="47"/>
      <c r="CJ52" s="47"/>
      <c r="CK52" s="47"/>
      <c r="CL52" s="47"/>
      <c r="CN52" s="47"/>
      <c r="CO52" s="47"/>
      <c r="CP52" s="47"/>
      <c r="CQ52" s="47"/>
      <c r="CR52" s="47"/>
      <c r="CS52" s="47"/>
      <c r="CT52" s="47"/>
      <c r="CU52" s="47"/>
      <c r="CV52" s="47"/>
      <c r="CX52" s="47"/>
      <c r="CY52" s="47"/>
      <c r="CZ52" s="47"/>
      <c r="DA52" s="47"/>
      <c r="DB52" s="47"/>
      <c r="DC52" s="47"/>
      <c r="DD52" s="47"/>
      <c r="DE52" s="47"/>
      <c r="DF52" s="47"/>
      <c r="DH52" s="47"/>
      <c r="DI52" s="47"/>
      <c r="DJ52" s="47"/>
      <c r="DK52" s="47"/>
      <c r="DL52" s="47"/>
      <c r="DM52" s="47"/>
      <c r="DN52" s="47"/>
      <c r="DO52" s="47"/>
      <c r="DP52" s="47"/>
      <c r="DR52" s="47"/>
      <c r="DS52" s="47"/>
      <c r="DT52" s="47"/>
      <c r="DU52" s="47"/>
      <c r="DV52" s="47"/>
      <c r="DW52" s="47"/>
      <c r="DX52" s="47"/>
      <c r="DY52" s="47"/>
      <c r="DZ52" s="47"/>
    </row>
    <row r="53" spans="1:164" ht="15" customHeight="1" thickBot="1" x14ac:dyDescent="0.25">
      <c r="A53" s="39"/>
      <c r="B53" s="87" t="s">
        <v>29</v>
      </c>
      <c r="C53" s="88"/>
      <c r="D53" s="46" t="s">
        <v>1</v>
      </c>
      <c r="E53" s="46">
        <f>SUM(H1)</f>
        <v>1</v>
      </c>
      <c r="F53" s="89">
        <f>SUM(I1)</f>
        <v>1447</v>
      </c>
      <c r="G53" s="98"/>
      <c r="H53" s="99"/>
      <c r="I53" s="99"/>
      <c r="J53" s="100"/>
      <c r="K53" s="39"/>
      <c r="L53" s="87" t="s">
        <v>29</v>
      </c>
      <c r="M53" s="88"/>
      <c r="N53" s="46" t="s">
        <v>1</v>
      </c>
      <c r="O53" s="46">
        <f>SUM(R1)</f>
        <v>2</v>
      </c>
      <c r="P53" s="89">
        <f>SUM(S1)</f>
        <v>1447</v>
      </c>
      <c r="Q53" s="98"/>
      <c r="R53" s="99"/>
      <c r="S53" s="99"/>
      <c r="T53" s="100"/>
      <c r="U53" s="39"/>
      <c r="V53" s="87" t="s">
        <v>29</v>
      </c>
      <c r="W53" s="88"/>
      <c r="X53" s="46" t="s">
        <v>1</v>
      </c>
      <c r="Y53" s="46">
        <f>SUM(AB1)</f>
        <v>3</v>
      </c>
      <c r="Z53" s="89">
        <f>SUM(AC1)</f>
        <v>1447</v>
      </c>
      <c r="AA53" s="98"/>
      <c r="AB53" s="99"/>
      <c r="AC53" s="99"/>
      <c r="AD53" s="100"/>
      <c r="AE53" s="39"/>
      <c r="AF53" s="87" t="s">
        <v>29</v>
      </c>
      <c r="AG53" s="88"/>
      <c r="AH53" s="46" t="s">
        <v>1</v>
      </c>
      <c r="AI53" s="46">
        <f>SUM(AL1)</f>
        <v>4</v>
      </c>
      <c r="AJ53" s="89">
        <f>SUM(AM1)</f>
        <v>1447</v>
      </c>
      <c r="AK53" s="98"/>
      <c r="AL53" s="99"/>
      <c r="AM53" s="99"/>
      <c r="AN53" s="100"/>
      <c r="AO53" s="39"/>
      <c r="AP53" s="87" t="s">
        <v>29</v>
      </c>
      <c r="AQ53" s="88"/>
      <c r="AR53" s="46" t="s">
        <v>1</v>
      </c>
      <c r="AS53" s="46">
        <f>SUM(AV1)</f>
        <v>5</v>
      </c>
      <c r="AT53" s="89">
        <f>SUM(AW1)</f>
        <v>1447</v>
      </c>
      <c r="AU53" s="98"/>
      <c r="AV53" s="99"/>
      <c r="AW53" s="99"/>
      <c r="AX53" s="100"/>
      <c r="AY53" s="39"/>
      <c r="AZ53" s="87" t="s">
        <v>29</v>
      </c>
      <c r="BA53" s="88"/>
      <c r="BB53" s="46" t="s">
        <v>1</v>
      </c>
      <c r="BC53" s="46">
        <f>SUM(BF1)</f>
        <v>6</v>
      </c>
      <c r="BD53" s="89">
        <f>SUM(BG1)</f>
        <v>1447</v>
      </c>
      <c r="BE53" s="98"/>
      <c r="BF53" s="99"/>
      <c r="BG53" s="99"/>
      <c r="BH53" s="100"/>
      <c r="BI53" s="39"/>
      <c r="BJ53" s="87" t="s">
        <v>29</v>
      </c>
      <c r="BK53" s="88"/>
      <c r="BL53" s="46" t="s">
        <v>1</v>
      </c>
      <c r="BM53" s="46">
        <f>SUM(BP1)</f>
        <v>7</v>
      </c>
      <c r="BN53" s="89">
        <f>SUM(BQ1)</f>
        <v>1447</v>
      </c>
      <c r="BO53" s="98"/>
      <c r="BP53" s="99"/>
      <c r="BQ53" s="99"/>
      <c r="BR53" s="100"/>
      <c r="BS53" s="39"/>
      <c r="BT53" s="87" t="s">
        <v>29</v>
      </c>
      <c r="BU53" s="88"/>
      <c r="BV53" s="46" t="s">
        <v>1</v>
      </c>
      <c r="BW53" s="46">
        <f>SUM(BZ1)</f>
        <v>8</v>
      </c>
      <c r="BX53" s="89">
        <f>SUM(CA1)</f>
        <v>1447</v>
      </c>
      <c r="BY53" s="98"/>
      <c r="BZ53" s="99"/>
      <c r="CA53" s="99"/>
      <c r="CB53" s="100"/>
      <c r="CC53" s="39"/>
      <c r="CD53" s="87" t="s">
        <v>29</v>
      </c>
      <c r="CE53" s="88"/>
      <c r="CF53" s="46" t="s">
        <v>1</v>
      </c>
      <c r="CG53" s="46">
        <f>SUM(CJ1)</f>
        <v>9</v>
      </c>
      <c r="CH53" s="89">
        <f>SUM(CK1)</f>
        <v>1447</v>
      </c>
      <c r="CI53" s="98"/>
      <c r="CJ53" s="99"/>
      <c r="CK53" s="99"/>
      <c r="CL53" s="100"/>
      <c r="CM53" s="39"/>
      <c r="CN53" s="87" t="s">
        <v>29</v>
      </c>
      <c r="CO53" s="88"/>
      <c r="CP53" s="46" t="s">
        <v>1</v>
      </c>
      <c r="CQ53" s="46">
        <f>SUM(CT1)</f>
        <v>10</v>
      </c>
      <c r="CR53" s="89">
        <f>SUM(CU1)</f>
        <v>1447</v>
      </c>
      <c r="CS53" s="98"/>
      <c r="CT53" s="99"/>
      <c r="CU53" s="99"/>
      <c r="CV53" s="100"/>
      <c r="CW53" s="39"/>
      <c r="CX53" s="87" t="s">
        <v>29</v>
      </c>
      <c r="CY53" s="88"/>
      <c r="CZ53" s="46" t="s">
        <v>1</v>
      </c>
      <c r="DA53" s="46">
        <f>SUM(DD1)</f>
        <v>11</v>
      </c>
      <c r="DB53" s="89">
        <f>SUM(DE1)</f>
        <v>1447</v>
      </c>
      <c r="DC53" s="98"/>
      <c r="DD53" s="99"/>
      <c r="DE53" s="99"/>
      <c r="DF53" s="100"/>
      <c r="DG53" s="39"/>
      <c r="DH53" s="87" t="s">
        <v>29</v>
      </c>
      <c r="DI53" s="88"/>
      <c r="DJ53" s="46" t="s">
        <v>1</v>
      </c>
      <c r="DK53" s="46">
        <f>SUM(DN1)</f>
        <v>12</v>
      </c>
      <c r="DL53" s="89">
        <f>SUM(DO1)</f>
        <v>1447</v>
      </c>
      <c r="DM53" s="98"/>
      <c r="DN53" s="99"/>
      <c r="DO53" s="99"/>
      <c r="DP53" s="100"/>
      <c r="DQ53" s="39"/>
      <c r="DR53" s="87" t="s">
        <v>29</v>
      </c>
      <c r="DS53" s="88"/>
      <c r="DT53" s="46"/>
      <c r="DU53" s="46" t="s">
        <v>18</v>
      </c>
      <c r="DV53" s="89">
        <f>SUM(DY1)</f>
        <v>1447</v>
      </c>
      <c r="DW53" s="98"/>
      <c r="DX53" s="99"/>
      <c r="DY53" s="99"/>
      <c r="DZ53" s="100"/>
      <c r="EA53" s="39"/>
    </row>
    <row r="54" spans="1:164" ht="25.5" customHeight="1" x14ac:dyDescent="0.2">
      <c r="A54" s="61"/>
      <c r="B54" s="62" t="s">
        <v>2</v>
      </c>
      <c r="C54" s="131" t="s">
        <v>3</v>
      </c>
      <c r="D54" s="128" t="s">
        <v>4</v>
      </c>
      <c r="E54" s="128" t="s">
        <v>5</v>
      </c>
      <c r="F54" s="128" t="s">
        <v>6</v>
      </c>
      <c r="G54" s="119" t="s">
        <v>12</v>
      </c>
      <c r="H54" s="120"/>
      <c r="I54" s="120"/>
      <c r="J54" s="121"/>
      <c r="K54" s="61"/>
      <c r="L54" s="62" t="s">
        <v>2</v>
      </c>
      <c r="M54" s="131" t="s">
        <v>3</v>
      </c>
      <c r="N54" s="128" t="s">
        <v>4</v>
      </c>
      <c r="O54" s="128" t="s">
        <v>5</v>
      </c>
      <c r="P54" s="128" t="s">
        <v>6</v>
      </c>
      <c r="Q54" s="119" t="s">
        <v>12</v>
      </c>
      <c r="R54" s="120"/>
      <c r="S54" s="120"/>
      <c r="T54" s="121"/>
      <c r="U54" s="61"/>
      <c r="V54" s="62" t="s">
        <v>2</v>
      </c>
      <c r="W54" s="131" t="s">
        <v>3</v>
      </c>
      <c r="X54" s="128" t="s">
        <v>4</v>
      </c>
      <c r="Y54" s="128" t="s">
        <v>5</v>
      </c>
      <c r="Z54" s="128" t="s">
        <v>6</v>
      </c>
      <c r="AA54" s="119" t="s">
        <v>12</v>
      </c>
      <c r="AB54" s="120"/>
      <c r="AC54" s="120"/>
      <c r="AD54" s="121"/>
      <c r="AE54" s="61"/>
      <c r="AF54" s="62" t="s">
        <v>2</v>
      </c>
      <c r="AG54" s="131" t="s">
        <v>3</v>
      </c>
      <c r="AH54" s="128" t="s">
        <v>4</v>
      </c>
      <c r="AI54" s="128" t="s">
        <v>5</v>
      </c>
      <c r="AJ54" s="128" t="s">
        <v>6</v>
      </c>
      <c r="AK54" s="119" t="s">
        <v>12</v>
      </c>
      <c r="AL54" s="120"/>
      <c r="AM54" s="120"/>
      <c r="AN54" s="121"/>
      <c r="AO54" s="61"/>
      <c r="AP54" s="62" t="s">
        <v>2</v>
      </c>
      <c r="AQ54" s="131" t="s">
        <v>3</v>
      </c>
      <c r="AR54" s="128" t="s">
        <v>4</v>
      </c>
      <c r="AS54" s="128" t="s">
        <v>5</v>
      </c>
      <c r="AT54" s="128" t="s">
        <v>6</v>
      </c>
      <c r="AU54" s="119" t="s">
        <v>12</v>
      </c>
      <c r="AV54" s="120"/>
      <c r="AW54" s="120"/>
      <c r="AX54" s="121"/>
      <c r="AY54" s="61"/>
      <c r="AZ54" s="62" t="s">
        <v>2</v>
      </c>
      <c r="BA54" s="131" t="s">
        <v>3</v>
      </c>
      <c r="BB54" s="128" t="s">
        <v>4</v>
      </c>
      <c r="BC54" s="128" t="s">
        <v>5</v>
      </c>
      <c r="BD54" s="128" t="s">
        <v>6</v>
      </c>
      <c r="BE54" s="119" t="s">
        <v>12</v>
      </c>
      <c r="BF54" s="120"/>
      <c r="BG54" s="120"/>
      <c r="BH54" s="121"/>
      <c r="BI54" s="61"/>
      <c r="BJ54" s="62" t="s">
        <v>2</v>
      </c>
      <c r="BK54" s="131" t="s">
        <v>3</v>
      </c>
      <c r="BL54" s="128" t="s">
        <v>4</v>
      </c>
      <c r="BM54" s="128" t="s">
        <v>5</v>
      </c>
      <c r="BN54" s="128" t="s">
        <v>6</v>
      </c>
      <c r="BO54" s="119" t="s">
        <v>12</v>
      </c>
      <c r="BP54" s="120"/>
      <c r="BQ54" s="120"/>
      <c r="BR54" s="121"/>
      <c r="BS54" s="61"/>
      <c r="BT54" s="62" t="s">
        <v>2</v>
      </c>
      <c r="BU54" s="131" t="s">
        <v>3</v>
      </c>
      <c r="BV54" s="128" t="s">
        <v>4</v>
      </c>
      <c r="BW54" s="128" t="s">
        <v>5</v>
      </c>
      <c r="BX54" s="128" t="s">
        <v>6</v>
      </c>
      <c r="BY54" s="119" t="s">
        <v>12</v>
      </c>
      <c r="BZ54" s="120"/>
      <c r="CA54" s="120"/>
      <c r="CB54" s="121"/>
      <c r="CC54" s="61"/>
      <c r="CD54" s="62" t="s">
        <v>2</v>
      </c>
      <c r="CE54" s="131" t="s">
        <v>3</v>
      </c>
      <c r="CF54" s="128" t="s">
        <v>4</v>
      </c>
      <c r="CG54" s="128" t="s">
        <v>5</v>
      </c>
      <c r="CH54" s="128" t="s">
        <v>6</v>
      </c>
      <c r="CI54" s="119" t="s">
        <v>12</v>
      </c>
      <c r="CJ54" s="120"/>
      <c r="CK54" s="120"/>
      <c r="CL54" s="121"/>
      <c r="CM54" s="61"/>
      <c r="CN54" s="62" t="s">
        <v>2</v>
      </c>
      <c r="CO54" s="131" t="s">
        <v>3</v>
      </c>
      <c r="CP54" s="128" t="s">
        <v>4</v>
      </c>
      <c r="CQ54" s="128" t="s">
        <v>5</v>
      </c>
      <c r="CR54" s="128" t="s">
        <v>6</v>
      </c>
      <c r="CS54" s="119" t="s">
        <v>12</v>
      </c>
      <c r="CT54" s="120"/>
      <c r="CU54" s="120"/>
      <c r="CV54" s="121"/>
      <c r="CW54" s="61"/>
      <c r="CX54" s="62" t="s">
        <v>2</v>
      </c>
      <c r="CY54" s="131" t="s">
        <v>3</v>
      </c>
      <c r="CZ54" s="128" t="s">
        <v>4</v>
      </c>
      <c r="DA54" s="128" t="s">
        <v>5</v>
      </c>
      <c r="DB54" s="128" t="s">
        <v>6</v>
      </c>
      <c r="DC54" s="119" t="s">
        <v>12</v>
      </c>
      <c r="DD54" s="120"/>
      <c r="DE54" s="120"/>
      <c r="DF54" s="121"/>
      <c r="DG54" s="61"/>
      <c r="DH54" s="62" t="s">
        <v>2</v>
      </c>
      <c r="DI54" s="131" t="s">
        <v>3</v>
      </c>
      <c r="DJ54" s="128" t="s">
        <v>4</v>
      </c>
      <c r="DK54" s="128" t="s">
        <v>5</v>
      </c>
      <c r="DL54" s="128" t="s">
        <v>6</v>
      </c>
      <c r="DM54" s="119" t="s">
        <v>12</v>
      </c>
      <c r="DN54" s="120"/>
      <c r="DO54" s="120"/>
      <c r="DP54" s="121"/>
      <c r="DQ54" s="61"/>
      <c r="DR54" s="62" t="s">
        <v>2</v>
      </c>
      <c r="DS54" s="131" t="s">
        <v>3</v>
      </c>
      <c r="DT54" s="128" t="s">
        <v>4</v>
      </c>
      <c r="DU54" s="128" t="s">
        <v>5</v>
      </c>
      <c r="DV54" s="128" t="s">
        <v>19</v>
      </c>
      <c r="DW54" s="119" t="s">
        <v>12</v>
      </c>
      <c r="DX54" s="120"/>
      <c r="DY54" s="120"/>
      <c r="DZ54" s="121"/>
      <c r="EA54" s="61"/>
    </row>
    <row r="55" spans="1:164" ht="15" customHeight="1" thickBot="1" x14ac:dyDescent="0.25">
      <c r="A55" s="61"/>
      <c r="B55" s="63" t="s">
        <v>8</v>
      </c>
      <c r="C55" s="132"/>
      <c r="D55" s="130"/>
      <c r="E55" s="130"/>
      <c r="F55" s="130"/>
      <c r="G55" s="122"/>
      <c r="H55" s="123"/>
      <c r="I55" s="123"/>
      <c r="J55" s="124"/>
      <c r="K55" s="61"/>
      <c r="L55" s="63" t="s">
        <v>8</v>
      </c>
      <c r="M55" s="132"/>
      <c r="N55" s="130"/>
      <c r="O55" s="130"/>
      <c r="P55" s="130"/>
      <c r="Q55" s="122"/>
      <c r="R55" s="123"/>
      <c r="S55" s="123"/>
      <c r="T55" s="124"/>
      <c r="U55" s="61"/>
      <c r="V55" s="63" t="s">
        <v>8</v>
      </c>
      <c r="W55" s="132"/>
      <c r="X55" s="130"/>
      <c r="Y55" s="130"/>
      <c r="Z55" s="130"/>
      <c r="AA55" s="122"/>
      <c r="AB55" s="123"/>
      <c r="AC55" s="123"/>
      <c r="AD55" s="124"/>
      <c r="AE55" s="61"/>
      <c r="AF55" s="63" t="s">
        <v>8</v>
      </c>
      <c r="AG55" s="132"/>
      <c r="AH55" s="130"/>
      <c r="AI55" s="130"/>
      <c r="AJ55" s="130"/>
      <c r="AK55" s="122"/>
      <c r="AL55" s="123"/>
      <c r="AM55" s="123"/>
      <c r="AN55" s="124"/>
      <c r="AO55" s="61"/>
      <c r="AP55" s="63" t="s">
        <v>8</v>
      </c>
      <c r="AQ55" s="132"/>
      <c r="AR55" s="130"/>
      <c r="AS55" s="130"/>
      <c r="AT55" s="130"/>
      <c r="AU55" s="122"/>
      <c r="AV55" s="123"/>
      <c r="AW55" s="123"/>
      <c r="AX55" s="124"/>
      <c r="AY55" s="61"/>
      <c r="AZ55" s="63" t="s">
        <v>8</v>
      </c>
      <c r="BA55" s="132"/>
      <c r="BB55" s="130"/>
      <c r="BC55" s="130"/>
      <c r="BD55" s="130"/>
      <c r="BE55" s="122"/>
      <c r="BF55" s="123"/>
      <c r="BG55" s="123"/>
      <c r="BH55" s="124"/>
      <c r="BI55" s="61"/>
      <c r="BJ55" s="63" t="s">
        <v>8</v>
      </c>
      <c r="BK55" s="132"/>
      <c r="BL55" s="130"/>
      <c r="BM55" s="130"/>
      <c r="BN55" s="130"/>
      <c r="BO55" s="122"/>
      <c r="BP55" s="123"/>
      <c r="BQ55" s="123"/>
      <c r="BR55" s="124"/>
      <c r="BS55" s="61"/>
      <c r="BT55" s="63" t="s">
        <v>8</v>
      </c>
      <c r="BU55" s="132"/>
      <c r="BV55" s="130"/>
      <c r="BW55" s="130"/>
      <c r="BX55" s="130"/>
      <c r="BY55" s="122"/>
      <c r="BZ55" s="123"/>
      <c r="CA55" s="123"/>
      <c r="CB55" s="124"/>
      <c r="CC55" s="61"/>
      <c r="CD55" s="63" t="s">
        <v>8</v>
      </c>
      <c r="CE55" s="132"/>
      <c r="CF55" s="130"/>
      <c r="CG55" s="130"/>
      <c r="CH55" s="130"/>
      <c r="CI55" s="122"/>
      <c r="CJ55" s="123"/>
      <c r="CK55" s="123"/>
      <c r="CL55" s="124"/>
      <c r="CM55" s="61"/>
      <c r="CN55" s="63" t="s">
        <v>8</v>
      </c>
      <c r="CO55" s="132"/>
      <c r="CP55" s="130"/>
      <c r="CQ55" s="130"/>
      <c r="CR55" s="130"/>
      <c r="CS55" s="122"/>
      <c r="CT55" s="123"/>
      <c r="CU55" s="123"/>
      <c r="CV55" s="124"/>
      <c r="CW55" s="61"/>
      <c r="CX55" s="63" t="s">
        <v>8</v>
      </c>
      <c r="CY55" s="132"/>
      <c r="CZ55" s="130"/>
      <c r="DA55" s="130"/>
      <c r="DB55" s="130"/>
      <c r="DC55" s="122"/>
      <c r="DD55" s="123"/>
      <c r="DE55" s="123"/>
      <c r="DF55" s="124"/>
      <c r="DG55" s="61"/>
      <c r="DH55" s="63" t="s">
        <v>8</v>
      </c>
      <c r="DI55" s="132"/>
      <c r="DJ55" s="130"/>
      <c r="DK55" s="130"/>
      <c r="DL55" s="130"/>
      <c r="DM55" s="122"/>
      <c r="DN55" s="123"/>
      <c r="DO55" s="123"/>
      <c r="DP55" s="124"/>
      <c r="DQ55" s="61"/>
      <c r="DR55" s="63" t="s">
        <v>8</v>
      </c>
      <c r="DS55" s="134"/>
      <c r="DT55" s="135"/>
      <c r="DU55" s="135"/>
      <c r="DV55" s="135"/>
      <c r="DW55" s="122"/>
      <c r="DX55" s="123"/>
      <c r="DY55" s="123"/>
      <c r="DZ55" s="124"/>
      <c r="EA55" s="61"/>
    </row>
    <row r="56" spans="1:164" ht="15" customHeight="1" thickBot="1" x14ac:dyDescent="0.25">
      <c r="A56" s="61"/>
      <c r="B56" s="90" t="s">
        <v>14</v>
      </c>
      <c r="C56" s="44">
        <f>C5+C9+C13+C17+C21+C25+C29+C33+C37+C41+C45+C49</f>
        <v>149</v>
      </c>
      <c r="D56" s="44">
        <f t="shared" ref="D56:F57" si="0">D5+D9+D13+D17+D21+D25+D29+D33+D37+D41+D45+D49</f>
        <v>32</v>
      </c>
      <c r="E56" s="44">
        <f t="shared" si="0"/>
        <v>5</v>
      </c>
      <c r="F56" s="44">
        <f t="shared" si="0"/>
        <v>108</v>
      </c>
      <c r="G56" s="113" t="s">
        <v>12</v>
      </c>
      <c r="H56" s="116">
        <f>H5+H9+H13+H17+H21+H25+H29+H33+H37+H41+H45+H49</f>
        <v>71803</v>
      </c>
      <c r="I56" s="113" t="s">
        <v>13</v>
      </c>
      <c r="J56" s="116">
        <f>H56*38/100</f>
        <v>27285.14</v>
      </c>
      <c r="K56" s="61"/>
      <c r="L56" s="90" t="s">
        <v>14</v>
      </c>
      <c r="M56" s="44">
        <f>M5+M9+M13+M17+M21+M25+M29+M33+M37+M41+M45+M49</f>
        <v>227</v>
      </c>
      <c r="N56" s="44">
        <f t="shared" ref="N56:P56" si="1">N5+N9+N13+N17+N21+N25+N29+N33+N37+N41+N45+N49</f>
        <v>65</v>
      </c>
      <c r="O56" s="44">
        <f t="shared" si="1"/>
        <v>20</v>
      </c>
      <c r="P56" s="44">
        <f t="shared" si="1"/>
        <v>135</v>
      </c>
      <c r="Q56" s="113" t="s">
        <v>12</v>
      </c>
      <c r="R56" s="116">
        <f>R5+R9+R13+R17+R21+R25+R29+R33+R37+R41+R45+R49</f>
        <v>69504</v>
      </c>
      <c r="S56" s="113" t="s">
        <v>13</v>
      </c>
      <c r="T56" s="116">
        <f>R56*38/100</f>
        <v>26411.52</v>
      </c>
      <c r="U56" s="61"/>
      <c r="V56" s="90" t="s">
        <v>14</v>
      </c>
      <c r="W56" s="44">
        <f>W5+W9+W13+W17+W21+W25+W29+W33+W37+W41+W45+W49</f>
        <v>209</v>
      </c>
      <c r="X56" s="44">
        <f t="shared" ref="X56:Z56" si="2">X5+X9+X13+X17+X21+X25+X29+X33+X37+X41+X45+X49</f>
        <v>39</v>
      </c>
      <c r="Y56" s="44">
        <f t="shared" si="2"/>
        <v>30</v>
      </c>
      <c r="Z56" s="44">
        <f t="shared" si="2"/>
        <v>119</v>
      </c>
      <c r="AA56" s="113" t="s">
        <v>12</v>
      </c>
      <c r="AB56" s="116">
        <f>AB5+AB9+AB13+AB17+AB21+AB25+AB29+AB33+AB37+AB41+AB45+AB49</f>
        <v>62037</v>
      </c>
      <c r="AC56" s="113" t="s">
        <v>13</v>
      </c>
      <c r="AD56" s="116">
        <f>AB56*38/100</f>
        <v>23574.06</v>
      </c>
      <c r="AE56" s="61"/>
      <c r="AF56" s="90" t="s">
        <v>14</v>
      </c>
      <c r="AG56" s="44">
        <f>AG5+AG9+AG13+AG17+AG21+AG25+AG29+AG33+AG37+AG41+AG45+AG49</f>
        <v>218</v>
      </c>
      <c r="AH56" s="44">
        <f t="shared" ref="AH56:AJ56" si="3">AH5+AH9+AH13+AH17+AH21+AH25+AH29+AH33+AH37+AH41+AH45+AH49</f>
        <v>22</v>
      </c>
      <c r="AI56" s="44">
        <f t="shared" si="3"/>
        <v>30</v>
      </c>
      <c r="AJ56" s="44">
        <f t="shared" si="3"/>
        <v>141</v>
      </c>
      <c r="AK56" s="113" t="s">
        <v>12</v>
      </c>
      <c r="AL56" s="116">
        <f>AL5+AL9+AL13+AL17+AL21+AL25+AL29+AL33+AL37+AL41+AL45+AL49</f>
        <v>70581</v>
      </c>
      <c r="AM56" s="113" t="s">
        <v>13</v>
      </c>
      <c r="AN56" s="116">
        <f>AL56*38/100</f>
        <v>26820.78</v>
      </c>
      <c r="AO56" s="61"/>
      <c r="AP56" s="90" t="s">
        <v>14</v>
      </c>
      <c r="AQ56" s="44">
        <f>AQ5+AQ9+AQ13+AQ17+AQ21+AQ25+AQ29+AQ33+AQ37+AQ41+AQ45+AQ49</f>
        <v>220</v>
      </c>
      <c r="AR56" s="44">
        <f t="shared" ref="AR56:AT56" si="4">AR5+AR9+AR13+AR17+AR21+AR25+AR29+AR33+AR37+AR41+AR45+AR49</f>
        <v>5</v>
      </c>
      <c r="AS56" s="44">
        <f t="shared" si="4"/>
        <v>21</v>
      </c>
      <c r="AT56" s="44">
        <f t="shared" si="4"/>
        <v>145</v>
      </c>
      <c r="AU56" s="113" t="s">
        <v>12</v>
      </c>
      <c r="AV56" s="116">
        <f>AV5+AV9+AV13+AV17+AV21+AV25+AV29+AV33+AV37+AV41+AV45+AV49</f>
        <v>70581</v>
      </c>
      <c r="AW56" s="113" t="s">
        <v>13</v>
      </c>
      <c r="AX56" s="116">
        <f>AV56*38/100</f>
        <v>26820.78</v>
      </c>
      <c r="AY56" s="61"/>
      <c r="AZ56" s="90" t="s">
        <v>14</v>
      </c>
      <c r="BA56" s="44">
        <f>BA5+BA9+BA13+BA17+BA21+BA25+BA29+BA33+BA37+BA41+BA45+BA49</f>
        <v>275</v>
      </c>
      <c r="BB56" s="44">
        <f t="shared" ref="BB56:BD56" si="5">BB5+BB9+BB13+BB17+BB21+BB25+BB29+BB33+BB37+BB41+BB45+BB49</f>
        <v>5</v>
      </c>
      <c r="BC56" s="44">
        <f t="shared" si="5"/>
        <v>27</v>
      </c>
      <c r="BD56" s="44">
        <f t="shared" si="5"/>
        <v>96</v>
      </c>
      <c r="BE56" s="113" t="s">
        <v>12</v>
      </c>
      <c r="BF56" s="116">
        <f>BF5+BF9+BF13+BF17+BF21+BF25+BF29+BF33+BF37+BF41+BF45+BF49</f>
        <v>70581</v>
      </c>
      <c r="BG56" s="113" t="s">
        <v>13</v>
      </c>
      <c r="BH56" s="116">
        <f>BF56*38/100</f>
        <v>26820.78</v>
      </c>
      <c r="BI56" s="61"/>
      <c r="BJ56" s="90" t="s">
        <v>14</v>
      </c>
      <c r="BK56" s="44">
        <f>BK5+BK9+BK13+BK17+BK21+BK25+BK29+BK33+BK37+BK41+BK45+BK49</f>
        <v>277</v>
      </c>
      <c r="BL56" s="44">
        <f t="shared" ref="BL56:BN56" si="6">BL5+BL9+BL13+BL17+BL21+BL25+BL29+BL33+BL37+BL41+BL45+BL49</f>
        <v>0</v>
      </c>
      <c r="BM56" s="44">
        <f t="shared" si="6"/>
        <v>2</v>
      </c>
      <c r="BN56" s="44">
        <f t="shared" si="6"/>
        <v>110</v>
      </c>
      <c r="BO56" s="113" t="s">
        <v>12</v>
      </c>
      <c r="BP56" s="116">
        <f>BP5+BP9+BP13+BP17+BP21+BP25+BP29+BP33+BP37+BP41+BP45+BP49</f>
        <v>70581</v>
      </c>
      <c r="BQ56" s="113" t="s">
        <v>13</v>
      </c>
      <c r="BR56" s="116">
        <f>BP56*38/100</f>
        <v>26820.78</v>
      </c>
      <c r="BS56" s="61"/>
      <c r="BT56" s="90" t="s">
        <v>14</v>
      </c>
      <c r="BU56" s="44">
        <f>BU5+BU9+BU13+BU17+BU21+BU25+BU29+BU33+BU37+BU41+BU45+BU49</f>
        <v>277</v>
      </c>
      <c r="BV56" s="44">
        <f t="shared" ref="BV56:BX56" si="7">BV5+BV9+BV13+BV17+BV21+BV25+BV29+BV33+BV37+BV41+BV45+BV49</f>
        <v>0</v>
      </c>
      <c r="BW56" s="44">
        <f t="shared" si="7"/>
        <v>0</v>
      </c>
      <c r="BX56" s="44">
        <f t="shared" si="7"/>
        <v>96</v>
      </c>
      <c r="BY56" s="113" t="s">
        <v>12</v>
      </c>
      <c r="BZ56" s="116">
        <f>BZ5+BZ9+BZ13+BZ17+BZ21+BZ25+BZ29+BZ33+BZ37+BZ41+BZ45+BZ49</f>
        <v>70581</v>
      </c>
      <c r="CA56" s="113" t="s">
        <v>13</v>
      </c>
      <c r="CB56" s="116">
        <f>BZ56*38/100</f>
        <v>26820.78</v>
      </c>
      <c r="CC56" s="61"/>
      <c r="CD56" s="90" t="s">
        <v>14</v>
      </c>
      <c r="CE56" s="44">
        <f>CE5+CE9+CE13+CE17+CE21+CE25+CE29+CE33+CE37+CE41+CE45+CE49</f>
        <v>271</v>
      </c>
      <c r="CF56" s="44">
        <f t="shared" ref="CF56:CH56" si="8">CF5+CF9+CF13+CF17+CF21+CF25+CF29+CF33+CF37+CF41+CF45+CF49</f>
        <v>0</v>
      </c>
      <c r="CG56" s="44">
        <f t="shared" si="8"/>
        <v>0</v>
      </c>
      <c r="CH56" s="44">
        <f t="shared" si="8"/>
        <v>115</v>
      </c>
      <c r="CI56" s="113" t="s">
        <v>12</v>
      </c>
      <c r="CJ56" s="116">
        <f>CJ5+CJ9+CJ13+CJ17+CJ21+CJ25+CJ29+CJ33+CJ37+CJ41+CJ45+CJ49</f>
        <v>70581</v>
      </c>
      <c r="CK56" s="113" t="s">
        <v>13</v>
      </c>
      <c r="CL56" s="116">
        <f>CJ56*38/100</f>
        <v>26820.78</v>
      </c>
      <c r="CM56" s="61"/>
      <c r="CN56" s="90" t="s">
        <v>14</v>
      </c>
      <c r="CO56" s="44">
        <f>CO5+CO9+CO13+CO17+CO21+CO25+CO29+CO33+CO37+CO41+CO45+CO49</f>
        <v>174</v>
      </c>
      <c r="CP56" s="44">
        <f t="shared" ref="CP56:CR56" si="9">CP5+CP9+CP13+CP17+CP21+CP25+CP29+CP33+CP37+CP41+CP45+CP49</f>
        <v>0</v>
      </c>
      <c r="CQ56" s="44">
        <f t="shared" si="9"/>
        <v>0</v>
      </c>
      <c r="CR56" s="44">
        <f t="shared" si="9"/>
        <v>70</v>
      </c>
      <c r="CS56" s="113" t="s">
        <v>12</v>
      </c>
      <c r="CT56" s="116">
        <f>CT5+CT9+CT13+CT17+CT21+CT25+CT29+CT33+CT37+CT41+CT45+CT49</f>
        <v>57781</v>
      </c>
      <c r="CU56" s="113" t="s">
        <v>13</v>
      </c>
      <c r="CV56" s="116">
        <f>CT56*38/100</f>
        <v>21956.78</v>
      </c>
      <c r="CW56" s="61"/>
      <c r="CX56" s="90" t="s">
        <v>14</v>
      </c>
      <c r="CY56" s="44">
        <f>CY5+CY9+CY13+CY17+CY21+CY25+CY29+CY33+CY37+CY41+CY45+CY49</f>
        <v>0</v>
      </c>
      <c r="CZ56" s="44">
        <f t="shared" ref="CZ56:DB56" si="10">CZ5+CZ9+CZ13+CZ17+CZ21+CZ25+CZ29+CZ33+CZ37+CZ41+CZ45+CZ49</f>
        <v>0</v>
      </c>
      <c r="DA56" s="44">
        <f t="shared" si="10"/>
        <v>0</v>
      </c>
      <c r="DB56" s="44">
        <f t="shared" si="10"/>
        <v>0</v>
      </c>
      <c r="DC56" s="113" t="s">
        <v>12</v>
      </c>
      <c r="DD56" s="116">
        <f>DD5+DD9+DD13+DD17+DD21+DD25+DD29+DD33+DD37+DD41+DD45+DD49</f>
        <v>0</v>
      </c>
      <c r="DE56" s="113" t="s">
        <v>13</v>
      </c>
      <c r="DF56" s="116">
        <f>DD56*38/100</f>
        <v>0</v>
      </c>
      <c r="DG56" s="61"/>
      <c r="DH56" s="90" t="s">
        <v>14</v>
      </c>
      <c r="DI56" s="44">
        <f>DI5+DI9+DI13+DI17+DI21+DI25+DI29+DI33+DI37+DI41+DI45+DI49</f>
        <v>0</v>
      </c>
      <c r="DJ56" s="44">
        <f t="shared" ref="DJ56:DL56" si="11">DJ5+DJ9+DJ13+DJ17+DJ21+DJ25+DJ29+DJ33+DJ37+DJ41+DJ45+DJ49</f>
        <v>0</v>
      </c>
      <c r="DK56" s="44">
        <f t="shared" si="11"/>
        <v>0</v>
      </c>
      <c r="DL56" s="44">
        <f t="shared" si="11"/>
        <v>0</v>
      </c>
      <c r="DM56" s="113" t="s">
        <v>12</v>
      </c>
      <c r="DN56" s="116">
        <f>DN5+DN9+DN13+DN17+DN21+DN25+DN29+DN33+DN37+DN41+DN45+DN49</f>
        <v>0</v>
      </c>
      <c r="DO56" s="113" t="s">
        <v>13</v>
      </c>
      <c r="DP56" s="116">
        <f>DN56*38/100</f>
        <v>0</v>
      </c>
      <c r="DQ56" s="61"/>
      <c r="DR56" s="90" t="s">
        <v>14</v>
      </c>
      <c r="DS56" s="44">
        <f>DS5+DS9+DS13+DS17+DS21+DS25+DS29+DS33+DS37+DS41+DS45+DS49</f>
        <v>285</v>
      </c>
      <c r="DT56" s="44">
        <f t="shared" ref="DT56:DV57" si="12">DT5+DT9+DT13+DT17+DT21+DT25+DT29+DT33+DT37+DT41+DT45+DT49</f>
        <v>168</v>
      </c>
      <c r="DU56" s="44">
        <f t="shared" si="12"/>
        <v>11.25</v>
      </c>
      <c r="DV56" s="44">
        <f t="shared" si="12"/>
        <v>1135</v>
      </c>
      <c r="DW56" s="113" t="s">
        <v>12</v>
      </c>
      <c r="DX56" s="116">
        <f>DX5+DX9+DX13+DX17+DX21+DX25+DX29+DX33+DX37+DX41+DX45+DX49</f>
        <v>0</v>
      </c>
      <c r="DY56" s="113" t="s">
        <v>13</v>
      </c>
      <c r="DZ56" s="116">
        <f>DX56*38/100</f>
        <v>0</v>
      </c>
      <c r="EA56" s="61"/>
    </row>
    <row r="57" spans="1:164" ht="15" customHeight="1" thickBot="1" x14ac:dyDescent="0.25">
      <c r="A57" s="61"/>
      <c r="B57" s="91" t="s">
        <v>15</v>
      </c>
      <c r="C57" s="44">
        <f>C6+C10+C14+C18+C22+C26+C30+C34+C38+C42+C46+C50</f>
        <v>20</v>
      </c>
      <c r="D57" s="44">
        <f t="shared" si="0"/>
        <v>0</v>
      </c>
      <c r="E57" s="44">
        <f t="shared" si="0"/>
        <v>0</v>
      </c>
      <c r="F57" s="44">
        <f t="shared" si="0"/>
        <v>11</v>
      </c>
      <c r="G57" s="114"/>
      <c r="H57" s="117"/>
      <c r="I57" s="114"/>
      <c r="J57" s="117"/>
      <c r="K57" s="61"/>
      <c r="L57" s="91" t="s">
        <v>15</v>
      </c>
      <c r="M57" s="44">
        <f>M6+M10+M14+M18+M22+M26+M30+M34+M38+M42+M46+M50</f>
        <v>21</v>
      </c>
      <c r="N57" s="44">
        <f t="shared" ref="N57:P57" si="13">N6+N10+N14+N18+N22+N26+N30+N34+N38+N42+N46+N50</f>
        <v>3</v>
      </c>
      <c r="O57" s="44">
        <f t="shared" si="13"/>
        <v>6</v>
      </c>
      <c r="P57" s="44">
        <f t="shared" si="13"/>
        <v>9</v>
      </c>
      <c r="Q57" s="114"/>
      <c r="R57" s="117"/>
      <c r="S57" s="114"/>
      <c r="T57" s="117"/>
      <c r="U57" s="61"/>
      <c r="V57" s="91" t="s">
        <v>15</v>
      </c>
      <c r="W57" s="44">
        <f>W6+W10+W14+W18+W22+W26+W30+W34+W38+W42+W46+W50</f>
        <v>21</v>
      </c>
      <c r="X57" s="44">
        <f t="shared" ref="X57:Z57" si="14">X6+X10+X14+X18+X22+X26+X30+X34+X38+X42+X46+X50</f>
        <v>0</v>
      </c>
      <c r="Y57" s="44">
        <f t="shared" si="14"/>
        <v>3</v>
      </c>
      <c r="Z57" s="44">
        <f t="shared" si="14"/>
        <v>5</v>
      </c>
      <c r="AA57" s="114"/>
      <c r="AB57" s="117"/>
      <c r="AC57" s="114"/>
      <c r="AD57" s="117"/>
      <c r="AE57" s="61"/>
      <c r="AF57" s="91" t="s">
        <v>15</v>
      </c>
      <c r="AG57" s="44">
        <f>AG6+AG10+AG14+AG18+AG22+AG26+AG30+AG34+AG38+AG42+AG46+AG50</f>
        <v>30</v>
      </c>
      <c r="AH57" s="44">
        <f t="shared" ref="AH57:AJ57" si="15">AH6+AH10+AH14+AH18+AH22+AH26+AH30+AH34+AH38+AH42+AH46+AH50</f>
        <v>10</v>
      </c>
      <c r="AI57" s="44">
        <f t="shared" si="15"/>
        <v>4</v>
      </c>
      <c r="AJ57" s="44">
        <f t="shared" si="15"/>
        <v>26</v>
      </c>
      <c r="AK57" s="114"/>
      <c r="AL57" s="117"/>
      <c r="AM57" s="114"/>
      <c r="AN57" s="117"/>
      <c r="AO57" s="61"/>
      <c r="AP57" s="91" t="s">
        <v>15</v>
      </c>
      <c r="AQ57" s="44">
        <f>AQ6+AQ10+AQ14+AQ18+AQ22+AQ26+AQ30+AQ34+AQ38+AQ42+AQ46+AQ50</f>
        <v>30</v>
      </c>
      <c r="AR57" s="44">
        <f t="shared" ref="AR57:AT57" si="16">AR6+AR10+AR14+AR18+AR22+AR26+AR30+AR34+AR38+AR42+AR46+AR50</f>
        <v>0</v>
      </c>
      <c r="AS57" s="44">
        <f t="shared" si="16"/>
        <v>0</v>
      </c>
      <c r="AT57" s="44">
        <f t="shared" si="16"/>
        <v>13</v>
      </c>
      <c r="AU57" s="114"/>
      <c r="AV57" s="117"/>
      <c r="AW57" s="114"/>
      <c r="AX57" s="117"/>
      <c r="AY57" s="61"/>
      <c r="AZ57" s="91" t="s">
        <v>15</v>
      </c>
      <c r="BA57" s="44">
        <f>BA6+BA10+BA14+BA18+BA22+BA26+BA30+BA34+BA38+BA42+BA46+BA50</f>
        <v>43</v>
      </c>
      <c r="BB57" s="44">
        <f t="shared" ref="BB57:BD57" si="17">BB6+BB10+BB14+BB18+BB22+BB26+BB30+BB34+BB38+BB42+BB46+BB50</f>
        <v>1</v>
      </c>
      <c r="BC57" s="44">
        <f t="shared" si="17"/>
        <v>7</v>
      </c>
      <c r="BD57" s="44">
        <f t="shared" si="17"/>
        <v>15</v>
      </c>
      <c r="BE57" s="114"/>
      <c r="BF57" s="117"/>
      <c r="BG57" s="114"/>
      <c r="BH57" s="117"/>
      <c r="BI57" s="61"/>
      <c r="BJ57" s="91" t="s">
        <v>15</v>
      </c>
      <c r="BK57" s="44">
        <f>BK6+BK10+BK14+BK18+BK22+BK26+BK30+BK34+BK38+BK42+BK46+BK50</f>
        <v>44</v>
      </c>
      <c r="BL57" s="44">
        <f t="shared" ref="BL57:BN57" si="18">BL6+BL10+BL14+BL18+BL22+BL26+BL30+BL34+BL38+BL42+BL46+BL50</f>
        <v>0</v>
      </c>
      <c r="BM57" s="44">
        <f t="shared" si="18"/>
        <v>0</v>
      </c>
      <c r="BN57" s="44">
        <f t="shared" si="18"/>
        <v>4</v>
      </c>
      <c r="BO57" s="114"/>
      <c r="BP57" s="117"/>
      <c r="BQ57" s="114"/>
      <c r="BR57" s="117"/>
      <c r="BS57" s="61"/>
      <c r="BT57" s="91" t="s">
        <v>15</v>
      </c>
      <c r="BU57" s="44">
        <f>BU6+BU10+BU14+BU18+BU22+BU26+BU30+BU34+BU38+BU42+BU46+BU50</f>
        <v>44</v>
      </c>
      <c r="BV57" s="44">
        <f t="shared" ref="BV57:BX57" si="19">BV6+BV10+BV14+BV18+BV22+BV26+BV30+BV34+BV38+BV42+BV46+BV50</f>
        <v>0</v>
      </c>
      <c r="BW57" s="44">
        <f t="shared" si="19"/>
        <v>0</v>
      </c>
      <c r="BX57" s="44">
        <f t="shared" si="19"/>
        <v>15</v>
      </c>
      <c r="BY57" s="114"/>
      <c r="BZ57" s="117"/>
      <c r="CA57" s="114"/>
      <c r="CB57" s="117"/>
      <c r="CC57" s="61"/>
      <c r="CD57" s="91" t="s">
        <v>15</v>
      </c>
      <c r="CE57" s="44">
        <f>CE6+CE10+CE14+CE18+CE22+CE26+CE30+CE34+CE38+CE42+CE46+CE50</f>
        <v>42</v>
      </c>
      <c r="CF57" s="44">
        <f t="shared" ref="CF57:CH57" si="20">CF6+CF10+CF14+CF18+CF22+CF26+CF30+CF34+CF38+CF42+CF46+CF50</f>
        <v>0</v>
      </c>
      <c r="CG57" s="44">
        <f t="shared" si="20"/>
        <v>0</v>
      </c>
      <c r="CH57" s="44">
        <f t="shared" si="20"/>
        <v>13</v>
      </c>
      <c r="CI57" s="114"/>
      <c r="CJ57" s="117"/>
      <c r="CK57" s="114"/>
      <c r="CL57" s="117"/>
      <c r="CM57" s="61"/>
      <c r="CN57" s="91" t="s">
        <v>15</v>
      </c>
      <c r="CO57" s="44">
        <f>CO6+CO10+CO14+CO18+CO22+CO26+CO30+CO34+CO38+CO42+CO46+CO50</f>
        <v>9</v>
      </c>
      <c r="CP57" s="44">
        <f t="shared" ref="CP57:CR57" si="21">CP6+CP10+CP14+CP18+CP22+CP26+CP30+CP34+CP38+CP42+CP46+CP50</f>
        <v>0</v>
      </c>
      <c r="CQ57" s="44">
        <f t="shared" si="21"/>
        <v>0</v>
      </c>
      <c r="CR57" s="44">
        <f t="shared" si="21"/>
        <v>7</v>
      </c>
      <c r="CS57" s="114"/>
      <c r="CT57" s="117"/>
      <c r="CU57" s="114"/>
      <c r="CV57" s="117"/>
      <c r="CW57" s="61"/>
      <c r="CX57" s="91" t="s">
        <v>15</v>
      </c>
      <c r="CY57" s="44">
        <f>CY6+CY10+CY14+CY18+CY22+CY26+CY30+CY34+CY38+CY42+CY46+CY50</f>
        <v>0</v>
      </c>
      <c r="CZ57" s="44">
        <f t="shared" ref="CZ57:DB57" si="22">CZ6+CZ10+CZ14+CZ18+CZ22+CZ26+CZ30+CZ34+CZ38+CZ42+CZ46+CZ50</f>
        <v>0</v>
      </c>
      <c r="DA57" s="44">
        <f t="shared" si="22"/>
        <v>0</v>
      </c>
      <c r="DB57" s="44">
        <f t="shared" si="22"/>
        <v>0</v>
      </c>
      <c r="DC57" s="114"/>
      <c r="DD57" s="117"/>
      <c r="DE57" s="114"/>
      <c r="DF57" s="117"/>
      <c r="DG57" s="61"/>
      <c r="DH57" s="91" t="s">
        <v>15</v>
      </c>
      <c r="DI57" s="44">
        <f>DI6+DI10+DI14+DI18+DI22+DI26+DI30+DI34+DI38+DI42+DI46+DI50</f>
        <v>0</v>
      </c>
      <c r="DJ57" s="44">
        <f t="shared" ref="DJ57:DL57" si="23">DJ6+DJ10+DJ14+DJ18+DJ22+DJ26+DJ30+DJ34+DJ38+DJ42+DJ46+DJ50</f>
        <v>0</v>
      </c>
      <c r="DK57" s="44">
        <f t="shared" si="23"/>
        <v>0</v>
      </c>
      <c r="DL57" s="44">
        <f t="shared" si="23"/>
        <v>0</v>
      </c>
      <c r="DM57" s="114"/>
      <c r="DN57" s="117"/>
      <c r="DO57" s="114"/>
      <c r="DP57" s="117"/>
      <c r="DQ57" s="61"/>
      <c r="DR57" s="91" t="s">
        <v>15</v>
      </c>
      <c r="DS57" s="44">
        <f>DS6+DS10+DS14+DS18+DS22+DS26+DS30+DS34+DS38+DS42+DS46+DS50</f>
        <v>34</v>
      </c>
      <c r="DT57" s="44">
        <f t="shared" si="12"/>
        <v>14</v>
      </c>
      <c r="DU57" s="44">
        <f t="shared" si="12"/>
        <v>1.6666666666666667</v>
      </c>
      <c r="DV57" s="44">
        <f t="shared" si="12"/>
        <v>118</v>
      </c>
      <c r="DW57" s="114"/>
      <c r="DX57" s="117"/>
      <c r="DY57" s="114"/>
      <c r="DZ57" s="117"/>
      <c r="EA57" s="61"/>
    </row>
    <row r="58" spans="1:164" ht="15" customHeight="1" thickBot="1" x14ac:dyDescent="0.25">
      <c r="A58" s="61"/>
      <c r="B58" s="92" t="s">
        <v>16</v>
      </c>
      <c r="C58" s="44">
        <f>SUM(C56:C57)</f>
        <v>169</v>
      </c>
      <c r="D58" s="44">
        <f t="shared" ref="D58:F58" si="24">SUM(D56:D57)</f>
        <v>32</v>
      </c>
      <c r="E58" s="44">
        <f t="shared" si="24"/>
        <v>5</v>
      </c>
      <c r="F58" s="44">
        <f t="shared" si="24"/>
        <v>119</v>
      </c>
      <c r="G58" s="115"/>
      <c r="H58" s="118"/>
      <c r="I58" s="115"/>
      <c r="J58" s="118"/>
      <c r="K58" s="61"/>
      <c r="L58" s="92" t="s">
        <v>16</v>
      </c>
      <c r="M58" s="44">
        <f>SUM(M56:M57)</f>
        <v>248</v>
      </c>
      <c r="N58" s="44">
        <f t="shared" ref="N58:P58" si="25">SUM(N56:N57)</f>
        <v>68</v>
      </c>
      <c r="O58" s="44">
        <f t="shared" si="25"/>
        <v>26</v>
      </c>
      <c r="P58" s="44">
        <f t="shared" si="25"/>
        <v>144</v>
      </c>
      <c r="Q58" s="115"/>
      <c r="R58" s="118"/>
      <c r="S58" s="115"/>
      <c r="T58" s="118"/>
      <c r="U58" s="61"/>
      <c r="V58" s="92" t="s">
        <v>16</v>
      </c>
      <c r="W58" s="44">
        <f>SUM(W56:W57)</f>
        <v>230</v>
      </c>
      <c r="X58" s="44">
        <f t="shared" ref="X58:Z58" si="26">SUM(X56:X57)</f>
        <v>39</v>
      </c>
      <c r="Y58" s="44">
        <f t="shared" si="26"/>
        <v>33</v>
      </c>
      <c r="Z58" s="44">
        <f t="shared" si="26"/>
        <v>124</v>
      </c>
      <c r="AA58" s="115"/>
      <c r="AB58" s="118"/>
      <c r="AC58" s="115"/>
      <c r="AD58" s="118"/>
      <c r="AE58" s="61"/>
      <c r="AF58" s="92" t="s">
        <v>16</v>
      </c>
      <c r="AG58" s="44">
        <f>SUM(AG56:AG57)</f>
        <v>248</v>
      </c>
      <c r="AH58" s="44">
        <f t="shared" ref="AH58:AJ58" si="27">SUM(AH56:AH57)</f>
        <v>32</v>
      </c>
      <c r="AI58" s="44">
        <f t="shared" si="27"/>
        <v>34</v>
      </c>
      <c r="AJ58" s="44">
        <f t="shared" si="27"/>
        <v>167</v>
      </c>
      <c r="AK58" s="115"/>
      <c r="AL58" s="118"/>
      <c r="AM58" s="115"/>
      <c r="AN58" s="118"/>
      <c r="AO58" s="61"/>
      <c r="AP58" s="92" t="s">
        <v>16</v>
      </c>
      <c r="AQ58" s="44">
        <f>SUM(AQ56:AQ57)</f>
        <v>250</v>
      </c>
      <c r="AR58" s="44">
        <f t="shared" ref="AR58:AT58" si="28">SUM(AR56:AR57)</f>
        <v>5</v>
      </c>
      <c r="AS58" s="44">
        <f t="shared" si="28"/>
        <v>21</v>
      </c>
      <c r="AT58" s="44">
        <f t="shared" si="28"/>
        <v>158</v>
      </c>
      <c r="AU58" s="115"/>
      <c r="AV58" s="118"/>
      <c r="AW58" s="115"/>
      <c r="AX58" s="118"/>
      <c r="AY58" s="61"/>
      <c r="AZ58" s="92" t="s">
        <v>16</v>
      </c>
      <c r="BA58" s="44">
        <f>SUM(BA56:BA57)</f>
        <v>318</v>
      </c>
      <c r="BB58" s="44">
        <f t="shared" ref="BB58:BD58" si="29">SUM(BB56:BB57)</f>
        <v>6</v>
      </c>
      <c r="BC58" s="44">
        <f t="shared" si="29"/>
        <v>34</v>
      </c>
      <c r="BD58" s="44">
        <f t="shared" si="29"/>
        <v>111</v>
      </c>
      <c r="BE58" s="115"/>
      <c r="BF58" s="118"/>
      <c r="BG58" s="115"/>
      <c r="BH58" s="118"/>
      <c r="BI58" s="61"/>
      <c r="BJ58" s="92" t="s">
        <v>16</v>
      </c>
      <c r="BK58" s="44">
        <f>SUM(BK56:BK57)</f>
        <v>321</v>
      </c>
      <c r="BL58" s="44">
        <f t="shared" ref="BL58:BN58" si="30">SUM(BL56:BL57)</f>
        <v>0</v>
      </c>
      <c r="BM58" s="44">
        <f t="shared" si="30"/>
        <v>2</v>
      </c>
      <c r="BN58" s="44">
        <f t="shared" si="30"/>
        <v>114</v>
      </c>
      <c r="BO58" s="115"/>
      <c r="BP58" s="118"/>
      <c r="BQ58" s="115"/>
      <c r="BR58" s="118"/>
      <c r="BS58" s="61"/>
      <c r="BT58" s="92" t="s">
        <v>16</v>
      </c>
      <c r="BU58" s="44">
        <f>SUM(BU56:BU57)</f>
        <v>321</v>
      </c>
      <c r="BV58" s="44">
        <f t="shared" ref="BV58:BX58" si="31">SUM(BV56:BV57)</f>
        <v>0</v>
      </c>
      <c r="BW58" s="44">
        <f t="shared" si="31"/>
        <v>0</v>
      </c>
      <c r="BX58" s="44">
        <f t="shared" si="31"/>
        <v>111</v>
      </c>
      <c r="BY58" s="115"/>
      <c r="BZ58" s="118"/>
      <c r="CA58" s="115"/>
      <c r="CB58" s="118"/>
      <c r="CC58" s="61"/>
      <c r="CD58" s="92" t="s">
        <v>16</v>
      </c>
      <c r="CE58" s="44">
        <f>SUM(CE56:CE57)</f>
        <v>313</v>
      </c>
      <c r="CF58" s="44">
        <f t="shared" ref="CF58:CH58" si="32">SUM(CF56:CF57)</f>
        <v>0</v>
      </c>
      <c r="CG58" s="44">
        <f t="shared" si="32"/>
        <v>0</v>
      </c>
      <c r="CH58" s="44">
        <f t="shared" si="32"/>
        <v>128</v>
      </c>
      <c r="CI58" s="115"/>
      <c r="CJ58" s="118"/>
      <c r="CK58" s="115"/>
      <c r="CL58" s="118"/>
      <c r="CM58" s="61"/>
      <c r="CN58" s="92" t="s">
        <v>16</v>
      </c>
      <c r="CO58" s="44">
        <f>SUM(CO56:CO57)</f>
        <v>183</v>
      </c>
      <c r="CP58" s="44">
        <f t="shared" ref="CP58:CR58" si="33">SUM(CP56:CP57)</f>
        <v>0</v>
      </c>
      <c r="CQ58" s="44">
        <f t="shared" si="33"/>
        <v>0</v>
      </c>
      <c r="CR58" s="44">
        <f t="shared" si="33"/>
        <v>77</v>
      </c>
      <c r="CS58" s="115"/>
      <c r="CT58" s="118"/>
      <c r="CU58" s="115"/>
      <c r="CV58" s="118"/>
      <c r="CW58" s="61"/>
      <c r="CX58" s="92" t="s">
        <v>16</v>
      </c>
      <c r="CY58" s="44">
        <f>SUM(CY56:CY57)</f>
        <v>0</v>
      </c>
      <c r="CZ58" s="44">
        <f t="shared" ref="CZ58:DB58" si="34">SUM(CZ56:CZ57)</f>
        <v>0</v>
      </c>
      <c r="DA58" s="44">
        <f t="shared" si="34"/>
        <v>0</v>
      </c>
      <c r="DB58" s="44">
        <f t="shared" si="34"/>
        <v>0</v>
      </c>
      <c r="DC58" s="115"/>
      <c r="DD58" s="118"/>
      <c r="DE58" s="115"/>
      <c r="DF58" s="118"/>
      <c r="DG58" s="61"/>
      <c r="DH58" s="92" t="s">
        <v>16</v>
      </c>
      <c r="DI58" s="44">
        <f>SUM(DI56:DI57)</f>
        <v>0</v>
      </c>
      <c r="DJ58" s="44">
        <f t="shared" ref="DJ58:DL58" si="35">SUM(DJ56:DJ57)</f>
        <v>0</v>
      </c>
      <c r="DK58" s="44">
        <f t="shared" si="35"/>
        <v>0</v>
      </c>
      <c r="DL58" s="44">
        <f t="shared" si="35"/>
        <v>0</v>
      </c>
      <c r="DM58" s="115"/>
      <c r="DN58" s="118"/>
      <c r="DO58" s="115"/>
      <c r="DP58" s="118"/>
      <c r="DQ58" s="61"/>
      <c r="DR58" s="62" t="s">
        <v>16</v>
      </c>
      <c r="DS58" s="48">
        <f>SUM(DS56:DS57)</f>
        <v>319</v>
      </c>
      <c r="DT58" s="48">
        <f t="shared" ref="DT58:DV58" si="36">SUM(DT56:DT57)</f>
        <v>182</v>
      </c>
      <c r="DU58" s="48">
        <f t="shared" si="36"/>
        <v>12.916666666666666</v>
      </c>
      <c r="DV58" s="48">
        <f t="shared" si="36"/>
        <v>1253</v>
      </c>
      <c r="DW58" s="115"/>
      <c r="DX58" s="118"/>
      <c r="DY58" s="115"/>
      <c r="DZ58" s="118"/>
      <c r="EA58" s="61"/>
    </row>
    <row r="59" spans="1:164" s="96" customFormat="1" ht="15" customHeight="1" thickBot="1" x14ac:dyDescent="0.25">
      <c r="A59" s="38"/>
      <c r="B59" s="47"/>
      <c r="C59" s="47"/>
      <c r="D59" s="47"/>
      <c r="E59" s="47"/>
      <c r="F59" s="47"/>
      <c r="G59" s="47"/>
      <c r="H59" s="47"/>
      <c r="I59" s="47"/>
      <c r="J59" s="47"/>
      <c r="K59" s="38"/>
      <c r="L59" s="47"/>
      <c r="M59" s="47"/>
      <c r="N59" s="47"/>
      <c r="O59" s="47"/>
      <c r="P59" s="47"/>
      <c r="Q59" s="47"/>
      <c r="R59" s="47"/>
      <c r="S59" s="47"/>
      <c r="T59" s="47"/>
      <c r="U59" s="38"/>
      <c r="V59" s="47"/>
      <c r="W59" s="47"/>
      <c r="X59" s="47"/>
      <c r="Y59" s="47"/>
      <c r="Z59" s="47"/>
      <c r="AA59" s="47"/>
      <c r="AB59" s="47"/>
      <c r="AC59" s="47"/>
      <c r="AD59" s="47"/>
      <c r="AE59" s="38"/>
      <c r="AF59" s="47"/>
      <c r="AG59" s="47"/>
      <c r="AH59" s="47"/>
      <c r="AI59" s="47"/>
      <c r="AJ59" s="47"/>
      <c r="AK59" s="47"/>
      <c r="AL59" s="47"/>
      <c r="AM59" s="47"/>
      <c r="AN59" s="47"/>
      <c r="AO59" s="38"/>
      <c r="AP59" s="47"/>
      <c r="AQ59" s="47"/>
      <c r="AR59" s="47"/>
      <c r="AS59" s="47"/>
      <c r="AT59" s="47"/>
      <c r="AU59" s="47"/>
      <c r="AV59" s="47"/>
      <c r="AW59" s="47"/>
      <c r="AX59" s="47"/>
      <c r="AY59" s="38"/>
      <c r="AZ59" s="47"/>
      <c r="BA59" s="47"/>
      <c r="BB59" s="47"/>
      <c r="BC59" s="47"/>
      <c r="BD59" s="47"/>
      <c r="BE59" s="47"/>
      <c r="BF59" s="47"/>
      <c r="BG59" s="47"/>
      <c r="BH59" s="47"/>
      <c r="BI59" s="38"/>
      <c r="BJ59" s="47"/>
      <c r="BK59" s="47"/>
      <c r="BL59" s="47"/>
      <c r="BM59" s="47"/>
      <c r="BN59" s="47"/>
      <c r="BO59" s="47"/>
      <c r="BP59" s="47"/>
      <c r="BQ59" s="47"/>
      <c r="BR59" s="47"/>
      <c r="BS59" s="38"/>
      <c r="BT59" s="47"/>
      <c r="BU59" s="47"/>
      <c r="BV59" s="47"/>
      <c r="BW59" s="47"/>
      <c r="BX59" s="47"/>
      <c r="BY59" s="47"/>
      <c r="BZ59" s="47"/>
      <c r="CA59" s="47"/>
      <c r="CB59" s="47"/>
      <c r="CC59" s="38"/>
      <c r="CD59" s="47"/>
      <c r="CE59" s="47"/>
      <c r="CF59" s="47"/>
      <c r="CG59" s="47"/>
      <c r="CH59" s="47"/>
      <c r="CI59" s="47"/>
      <c r="CJ59" s="47"/>
      <c r="CK59" s="47"/>
      <c r="CL59" s="47"/>
      <c r="CM59" s="38"/>
      <c r="CN59" s="47"/>
      <c r="CO59" s="47"/>
      <c r="CP59" s="47"/>
      <c r="CQ59" s="47"/>
      <c r="CR59" s="47"/>
      <c r="CS59" s="47"/>
      <c r="CT59" s="47"/>
      <c r="CU59" s="47"/>
      <c r="CV59" s="47"/>
      <c r="CW59" s="38"/>
      <c r="CX59" s="47"/>
      <c r="CY59" s="47"/>
      <c r="CZ59" s="47"/>
      <c r="DA59" s="47"/>
      <c r="DB59" s="47"/>
      <c r="DC59" s="47"/>
      <c r="DD59" s="47"/>
      <c r="DE59" s="47"/>
      <c r="DF59" s="47"/>
      <c r="DG59" s="38"/>
      <c r="DH59" s="47"/>
      <c r="DI59" s="47"/>
      <c r="DJ59" s="47"/>
      <c r="DK59" s="47"/>
      <c r="DL59" s="47"/>
      <c r="DM59" s="47"/>
      <c r="DN59" s="47"/>
      <c r="DO59" s="47"/>
      <c r="DP59" s="47"/>
      <c r="DQ59" s="38"/>
      <c r="DR59" s="93"/>
      <c r="DS59" s="49"/>
      <c r="DT59" s="49"/>
      <c r="DU59" s="49"/>
      <c r="DV59" s="49"/>
      <c r="DW59" s="49"/>
      <c r="DX59" s="49"/>
      <c r="DY59" s="49"/>
      <c r="DZ59" s="94"/>
      <c r="EA59" s="38"/>
      <c r="EB59" s="95"/>
      <c r="EC59" s="95"/>
      <c r="ED59" s="95"/>
      <c r="EE59" s="95"/>
      <c r="EF59" s="95"/>
      <c r="EG59" s="95"/>
      <c r="EH59" s="95"/>
      <c r="EI59" s="95"/>
      <c r="EJ59" s="95"/>
      <c r="EK59" s="95"/>
      <c r="EL59" s="95"/>
      <c r="EM59" s="95"/>
      <c r="EN59" s="95"/>
      <c r="EO59" s="95"/>
      <c r="EP59" s="95"/>
      <c r="EQ59" s="95"/>
      <c r="ER59" s="95"/>
      <c r="ES59" s="95"/>
      <c r="ET59" s="95"/>
      <c r="EU59" s="95"/>
      <c r="EV59" s="95"/>
      <c r="EW59" s="95"/>
      <c r="EX59" s="95"/>
      <c r="EY59" s="95"/>
      <c r="EZ59" s="95"/>
      <c r="FA59" s="95"/>
      <c r="FB59" s="95"/>
      <c r="FC59" s="95"/>
      <c r="FD59" s="95"/>
      <c r="FE59" s="95"/>
      <c r="FF59" s="95"/>
      <c r="FG59" s="95"/>
      <c r="FH59" s="95"/>
    </row>
    <row r="60" spans="1:164" ht="15" customHeight="1" x14ac:dyDescent="0.2">
      <c r="K60" s="97"/>
      <c r="U60" s="38"/>
      <c r="AE60" s="38"/>
      <c r="AO60" s="38"/>
      <c r="AY60" s="38"/>
      <c r="BI60" s="38"/>
      <c r="BS60" s="38"/>
      <c r="CC60" s="38"/>
      <c r="CM60" s="38"/>
      <c r="CW60" s="38"/>
      <c r="DG60" s="38"/>
      <c r="DQ60" s="38"/>
      <c r="EA60" s="38"/>
    </row>
    <row r="61" spans="1:164" ht="15" customHeight="1" x14ac:dyDescent="0.2">
      <c r="K61" s="97"/>
      <c r="U61" s="38"/>
      <c r="AE61" s="38"/>
      <c r="AO61" s="38"/>
      <c r="AY61" s="38"/>
      <c r="BI61" s="38"/>
      <c r="BS61" s="38"/>
      <c r="CC61" s="38"/>
      <c r="CM61" s="38"/>
      <c r="CW61" s="38"/>
      <c r="DG61" s="38"/>
      <c r="DQ61" s="38"/>
      <c r="EA61" s="38"/>
    </row>
    <row r="62" spans="1:164" ht="15" customHeight="1" x14ac:dyDescent="0.2">
      <c r="K62" s="97"/>
      <c r="U62" s="38"/>
      <c r="AE62" s="38"/>
      <c r="AO62" s="38"/>
      <c r="AY62" s="38"/>
      <c r="BI62" s="38"/>
      <c r="BS62" s="38"/>
      <c r="CC62" s="38"/>
      <c r="CM62" s="38"/>
      <c r="CW62" s="38"/>
      <c r="DG62" s="38"/>
      <c r="DQ62" s="38"/>
      <c r="EA62" s="38"/>
    </row>
    <row r="63" spans="1:164" ht="15" customHeight="1" x14ac:dyDescent="0.2">
      <c r="K63" s="38"/>
      <c r="U63" s="38"/>
      <c r="AE63" s="38"/>
      <c r="AO63" s="38"/>
      <c r="AY63" s="38"/>
      <c r="BI63" s="38"/>
      <c r="BS63" s="38"/>
      <c r="CC63" s="38"/>
      <c r="CM63" s="38"/>
      <c r="CW63" s="38"/>
      <c r="DG63" s="38"/>
      <c r="DQ63" s="38"/>
      <c r="EA63" s="38"/>
    </row>
    <row r="64" spans="1:164" ht="15" customHeight="1" x14ac:dyDescent="0.2">
      <c r="K64" s="38"/>
      <c r="U64" s="38"/>
      <c r="AE64" s="38"/>
      <c r="AO64" s="38"/>
      <c r="AY64" s="38"/>
      <c r="BI64" s="38"/>
      <c r="BS64" s="38"/>
      <c r="CC64" s="38"/>
      <c r="CM64" s="38"/>
      <c r="CW64" s="38"/>
      <c r="DG64" s="38"/>
      <c r="DQ64" s="38"/>
      <c r="EA64" s="38"/>
    </row>
    <row r="65" spans="11:131" ht="15" customHeight="1" x14ac:dyDescent="0.2">
      <c r="K65" s="38"/>
      <c r="U65" s="38"/>
      <c r="AE65" s="38"/>
      <c r="AO65" s="38"/>
      <c r="AY65" s="38"/>
      <c r="BI65" s="38"/>
      <c r="BS65" s="38"/>
      <c r="CC65" s="38"/>
      <c r="CM65" s="38"/>
      <c r="CW65" s="38"/>
      <c r="DG65" s="38"/>
      <c r="DQ65" s="38"/>
      <c r="EA65" s="38"/>
    </row>
    <row r="66" spans="11:131" ht="15" customHeight="1" x14ac:dyDescent="0.2">
      <c r="K66" s="38"/>
      <c r="U66" s="38"/>
      <c r="AE66" s="38"/>
      <c r="AO66" s="38"/>
      <c r="AY66" s="38"/>
      <c r="BI66" s="38"/>
      <c r="BS66" s="38"/>
      <c r="CC66" s="38"/>
      <c r="CM66" s="38"/>
      <c r="CW66" s="38"/>
      <c r="DG66" s="38"/>
      <c r="DQ66" s="38"/>
      <c r="EA66" s="38"/>
    </row>
    <row r="67" spans="11:131" ht="15" customHeight="1" x14ac:dyDescent="0.2">
      <c r="K67" s="38"/>
      <c r="U67" s="38"/>
      <c r="AE67" s="38"/>
      <c r="AO67" s="38"/>
      <c r="AY67" s="38"/>
      <c r="BI67" s="38"/>
      <c r="BS67" s="38"/>
      <c r="CC67" s="38"/>
      <c r="CM67" s="38"/>
      <c r="CW67" s="38"/>
      <c r="DG67" s="38"/>
      <c r="DQ67" s="38"/>
      <c r="EA67" s="38"/>
    </row>
    <row r="68" spans="11:131" ht="15" customHeight="1" x14ac:dyDescent="0.2">
      <c r="K68" s="38"/>
      <c r="U68" s="38"/>
      <c r="AE68" s="38"/>
      <c r="AO68" s="38"/>
      <c r="AY68" s="38"/>
      <c r="BI68" s="38"/>
      <c r="BS68" s="38"/>
      <c r="CC68" s="38"/>
      <c r="CM68" s="38"/>
      <c r="CW68" s="38"/>
      <c r="DG68" s="38"/>
      <c r="DQ68" s="38"/>
      <c r="EA68" s="38"/>
    </row>
    <row r="69" spans="11:131" ht="15" customHeight="1" x14ac:dyDescent="0.2">
      <c r="K69" s="38"/>
      <c r="U69" s="38"/>
      <c r="AE69" s="38"/>
      <c r="AO69" s="38"/>
      <c r="AY69" s="38"/>
      <c r="BI69" s="38"/>
      <c r="BS69" s="38"/>
      <c r="CC69" s="38"/>
      <c r="CM69" s="38"/>
      <c r="CW69" s="38"/>
      <c r="DG69" s="38"/>
      <c r="DQ69" s="38"/>
      <c r="EA69" s="38"/>
    </row>
    <row r="70" spans="11:131" ht="15" customHeight="1" x14ac:dyDescent="0.2">
      <c r="K70" s="38"/>
      <c r="U70" s="38"/>
      <c r="AE70" s="38"/>
      <c r="AO70" s="38"/>
      <c r="AY70" s="38"/>
      <c r="BI70" s="38"/>
      <c r="BS70" s="38"/>
      <c r="CC70" s="38"/>
      <c r="CM70" s="38"/>
      <c r="CW70" s="38"/>
      <c r="DG70" s="38"/>
      <c r="DQ70" s="38"/>
      <c r="EA70" s="38"/>
    </row>
    <row r="71" spans="11:131" ht="15" customHeight="1" x14ac:dyDescent="0.2">
      <c r="K71" s="38"/>
      <c r="U71" s="38"/>
      <c r="AE71" s="38"/>
      <c r="AO71" s="38"/>
      <c r="AY71" s="38"/>
      <c r="BI71" s="38"/>
      <c r="BS71" s="38"/>
      <c r="CC71" s="38"/>
      <c r="CM71" s="38"/>
      <c r="CW71" s="38"/>
      <c r="DG71" s="38"/>
      <c r="DQ71" s="38"/>
      <c r="EA71" s="38"/>
    </row>
    <row r="72" spans="11:131" ht="15" customHeight="1" x14ac:dyDescent="0.2">
      <c r="K72" s="38"/>
      <c r="U72" s="38"/>
      <c r="AE72" s="38"/>
      <c r="AO72" s="38"/>
      <c r="AY72" s="38"/>
      <c r="BI72" s="38"/>
      <c r="BS72" s="38"/>
      <c r="CC72" s="38"/>
      <c r="CM72" s="38"/>
      <c r="CW72" s="38"/>
      <c r="DG72" s="38"/>
      <c r="DQ72" s="38"/>
      <c r="EA72" s="38"/>
    </row>
    <row r="73" spans="11:131" ht="15" customHeight="1" x14ac:dyDescent="0.2">
      <c r="K73" s="38"/>
      <c r="U73" s="38"/>
      <c r="AE73" s="38"/>
      <c r="AO73" s="38"/>
      <c r="AY73" s="38"/>
      <c r="BI73" s="38"/>
      <c r="BS73" s="38"/>
      <c r="CC73" s="38"/>
      <c r="CM73" s="38"/>
      <c r="CW73" s="38"/>
      <c r="DG73" s="38"/>
      <c r="DQ73" s="38"/>
      <c r="EA73" s="38"/>
    </row>
    <row r="74" spans="11:131" ht="15" customHeight="1" x14ac:dyDescent="0.2">
      <c r="K74" s="38"/>
      <c r="U74" s="38"/>
      <c r="AE74" s="38"/>
      <c r="AO74" s="38"/>
      <c r="AY74" s="38"/>
      <c r="BI74" s="38"/>
      <c r="BS74" s="38"/>
      <c r="CC74" s="38"/>
      <c r="CM74" s="38"/>
      <c r="CW74" s="38"/>
      <c r="DG74" s="38"/>
      <c r="DQ74" s="38"/>
      <c r="EA74" s="38"/>
    </row>
    <row r="75" spans="11:131" ht="15" customHeight="1" x14ac:dyDescent="0.2">
      <c r="K75" s="38"/>
      <c r="U75" s="38"/>
      <c r="AE75" s="38"/>
      <c r="AO75" s="38"/>
      <c r="AY75" s="38"/>
      <c r="BI75" s="38"/>
      <c r="BS75" s="38"/>
      <c r="CC75" s="38"/>
      <c r="CM75" s="38"/>
      <c r="CW75" s="38"/>
      <c r="DG75" s="38"/>
      <c r="DQ75" s="38"/>
      <c r="EA75" s="38"/>
    </row>
    <row r="76" spans="11:131" ht="15" customHeight="1" x14ac:dyDescent="0.2">
      <c r="K76" s="38"/>
      <c r="U76" s="38"/>
      <c r="AE76" s="38"/>
      <c r="AO76" s="38"/>
      <c r="AY76" s="38"/>
      <c r="BI76" s="38"/>
      <c r="BS76" s="38"/>
      <c r="CC76" s="38"/>
      <c r="CM76" s="38"/>
      <c r="CW76" s="38"/>
      <c r="DG76" s="38"/>
      <c r="DQ76" s="38"/>
      <c r="EA76" s="38"/>
    </row>
    <row r="77" spans="11:131" ht="15" customHeight="1" x14ac:dyDescent="0.2">
      <c r="K77" s="38"/>
      <c r="U77" s="38"/>
      <c r="AE77" s="38"/>
      <c r="AO77" s="38"/>
      <c r="AY77" s="38"/>
      <c r="BI77" s="38"/>
      <c r="BS77" s="38"/>
      <c r="CC77" s="38"/>
      <c r="CM77" s="38"/>
      <c r="CW77" s="38"/>
      <c r="DG77" s="38"/>
      <c r="DQ77" s="38"/>
      <c r="EA77" s="38"/>
    </row>
    <row r="78" spans="11:131" ht="15" customHeight="1" x14ac:dyDescent="0.2">
      <c r="K78" s="38"/>
      <c r="U78" s="38"/>
      <c r="AE78" s="38"/>
      <c r="AO78" s="38"/>
      <c r="AY78" s="38"/>
      <c r="BI78" s="38"/>
      <c r="BS78" s="38"/>
      <c r="CC78" s="38"/>
      <c r="CM78" s="38"/>
      <c r="CW78" s="38"/>
      <c r="DG78" s="38"/>
      <c r="DQ78" s="38"/>
      <c r="EA78" s="38"/>
    </row>
    <row r="79" spans="11:131" ht="15" customHeight="1" x14ac:dyDescent="0.2">
      <c r="K79" s="38"/>
      <c r="U79" s="38"/>
      <c r="AE79" s="38"/>
      <c r="AO79" s="38"/>
      <c r="AY79" s="38"/>
      <c r="BI79" s="38"/>
      <c r="BS79" s="38"/>
      <c r="CC79" s="38"/>
      <c r="CM79" s="38"/>
      <c r="CW79" s="38"/>
      <c r="DG79" s="38"/>
      <c r="DQ79" s="38"/>
      <c r="EA79" s="38"/>
    </row>
    <row r="80" spans="11:131" ht="15" customHeight="1" x14ac:dyDescent="0.2">
      <c r="K80" s="38"/>
      <c r="U80" s="38"/>
      <c r="AE80" s="38"/>
      <c r="AO80" s="38"/>
      <c r="AY80" s="38"/>
      <c r="BI80" s="38"/>
      <c r="BS80" s="38"/>
      <c r="CC80" s="38"/>
      <c r="CM80" s="38"/>
      <c r="CW80" s="38"/>
      <c r="DG80" s="38"/>
      <c r="DQ80" s="38"/>
      <c r="EA80" s="38"/>
    </row>
    <row r="81" spans="11:131" ht="15" customHeight="1" x14ac:dyDescent="0.2">
      <c r="K81" s="38"/>
      <c r="U81" s="38"/>
      <c r="AE81" s="38"/>
      <c r="AO81" s="38"/>
      <c r="AY81" s="38"/>
      <c r="BI81" s="38"/>
      <c r="BS81" s="38"/>
      <c r="CC81" s="38"/>
      <c r="CM81" s="38"/>
      <c r="CW81" s="38"/>
      <c r="DG81" s="38"/>
      <c r="DQ81" s="38"/>
      <c r="EA81" s="38"/>
    </row>
    <row r="82" spans="11:131" ht="15" customHeight="1" x14ac:dyDescent="0.2">
      <c r="K82" s="38"/>
      <c r="U82" s="38"/>
      <c r="AE82" s="38"/>
      <c r="AO82" s="38"/>
      <c r="AY82" s="38"/>
      <c r="BI82" s="38"/>
      <c r="BS82" s="38"/>
      <c r="CC82" s="38"/>
      <c r="CM82" s="38"/>
      <c r="CW82" s="38"/>
      <c r="DG82" s="38"/>
      <c r="DQ82" s="38"/>
      <c r="EA82" s="38"/>
    </row>
    <row r="83" spans="11:131" ht="15" customHeight="1" x14ac:dyDescent="0.2">
      <c r="K83" s="38"/>
      <c r="U83" s="38"/>
      <c r="AE83" s="38"/>
      <c r="AO83" s="38"/>
      <c r="AY83" s="38"/>
      <c r="BI83" s="38"/>
      <c r="BS83" s="38"/>
      <c r="CC83" s="38"/>
      <c r="CM83" s="38"/>
      <c r="CW83" s="38"/>
      <c r="DG83" s="38"/>
      <c r="DQ83" s="38"/>
      <c r="EA83" s="38"/>
    </row>
    <row r="84" spans="11:131" ht="15" customHeight="1" x14ac:dyDescent="0.2">
      <c r="K84" s="38"/>
      <c r="U84" s="38"/>
      <c r="AE84" s="38"/>
      <c r="AO84" s="38"/>
      <c r="AY84" s="38"/>
      <c r="BI84" s="38"/>
      <c r="BS84" s="38"/>
      <c r="CC84" s="38"/>
      <c r="CM84" s="38"/>
      <c r="CW84" s="38"/>
      <c r="DG84" s="38"/>
      <c r="DQ84" s="38"/>
      <c r="EA84" s="38"/>
    </row>
    <row r="85" spans="11:131" ht="15" customHeight="1" x14ac:dyDescent="0.2">
      <c r="K85" s="38"/>
      <c r="U85" s="38"/>
      <c r="AE85" s="38"/>
      <c r="AO85" s="38"/>
      <c r="AY85" s="38"/>
      <c r="BI85" s="38"/>
      <c r="BS85" s="38"/>
      <c r="CC85" s="38"/>
      <c r="CM85" s="38"/>
      <c r="CW85" s="38"/>
      <c r="DG85" s="38"/>
      <c r="DQ85" s="38"/>
      <c r="EA85" s="38"/>
    </row>
    <row r="86" spans="11:131" ht="15" customHeight="1" x14ac:dyDescent="0.2">
      <c r="K86" s="38"/>
      <c r="U86" s="38"/>
      <c r="AE86" s="38"/>
      <c r="AO86" s="38"/>
      <c r="AY86" s="38"/>
      <c r="BI86" s="38"/>
      <c r="BS86" s="38"/>
      <c r="CC86" s="38"/>
      <c r="CM86" s="38"/>
      <c r="CW86" s="38"/>
      <c r="DG86" s="38"/>
      <c r="DQ86" s="38"/>
      <c r="EA86" s="38"/>
    </row>
    <row r="87" spans="11:131" ht="15" customHeight="1" x14ac:dyDescent="0.2">
      <c r="K87" s="38"/>
      <c r="U87" s="38"/>
      <c r="AE87" s="38"/>
      <c r="AO87" s="38"/>
      <c r="AY87" s="38"/>
      <c r="BI87" s="38"/>
      <c r="BS87" s="38"/>
      <c r="CC87" s="38"/>
      <c r="CM87" s="38"/>
      <c r="CW87" s="38"/>
      <c r="DG87" s="38"/>
      <c r="DQ87" s="38"/>
      <c r="EA87" s="38"/>
    </row>
    <row r="88" spans="11:131" ht="15" customHeight="1" x14ac:dyDescent="0.2">
      <c r="K88" s="38"/>
      <c r="U88" s="38"/>
      <c r="AE88" s="38"/>
      <c r="AO88" s="38"/>
      <c r="AY88" s="38"/>
      <c r="BI88" s="38"/>
      <c r="BS88" s="38"/>
      <c r="CC88" s="38"/>
      <c r="CM88" s="38"/>
      <c r="CW88" s="38"/>
      <c r="DG88" s="38"/>
      <c r="DQ88" s="38"/>
      <c r="EA88" s="38"/>
    </row>
    <row r="89" spans="11:131" ht="15" customHeight="1" x14ac:dyDescent="0.2">
      <c r="K89" s="38"/>
      <c r="U89" s="38"/>
      <c r="AE89" s="38"/>
      <c r="AO89" s="38"/>
      <c r="AY89" s="38"/>
      <c r="BI89" s="38"/>
      <c r="BS89" s="38"/>
      <c r="CC89" s="38"/>
      <c r="CM89" s="38"/>
      <c r="CW89" s="38"/>
      <c r="DG89" s="38"/>
      <c r="DQ89" s="38"/>
      <c r="EA89" s="38"/>
    </row>
    <row r="90" spans="11:131" ht="15" customHeight="1" x14ac:dyDescent="0.2">
      <c r="K90" s="38"/>
      <c r="U90" s="38"/>
      <c r="AE90" s="38"/>
      <c r="AO90" s="38"/>
      <c r="AY90" s="38"/>
      <c r="BI90" s="38"/>
      <c r="BS90" s="38"/>
      <c r="CC90" s="38"/>
      <c r="CM90" s="38"/>
      <c r="CW90" s="38"/>
      <c r="DG90" s="38"/>
      <c r="DQ90" s="38"/>
      <c r="EA90" s="38"/>
    </row>
    <row r="91" spans="11:131" ht="15" customHeight="1" x14ac:dyDescent="0.2">
      <c r="K91" s="38"/>
      <c r="U91" s="38"/>
      <c r="AE91" s="38"/>
      <c r="AO91" s="38"/>
      <c r="AY91" s="38"/>
      <c r="BI91" s="38"/>
      <c r="BS91" s="38"/>
      <c r="CC91" s="38"/>
      <c r="CM91" s="38"/>
      <c r="CW91" s="38"/>
      <c r="DG91" s="38"/>
      <c r="DQ91" s="38"/>
      <c r="EA91" s="38"/>
    </row>
    <row r="92" spans="11:131" ht="15" customHeight="1" x14ac:dyDescent="0.2">
      <c r="K92" s="38"/>
      <c r="U92" s="38"/>
      <c r="AE92" s="38"/>
      <c r="AO92" s="38"/>
      <c r="AY92" s="38"/>
      <c r="BI92" s="38"/>
      <c r="BS92" s="38"/>
      <c r="CC92" s="38"/>
      <c r="CM92" s="38"/>
      <c r="CW92" s="38"/>
      <c r="DG92" s="38"/>
      <c r="DQ92" s="38"/>
      <c r="EA92" s="38"/>
    </row>
    <row r="93" spans="11:131" ht="15" customHeight="1" x14ac:dyDescent="0.2">
      <c r="K93" s="38"/>
      <c r="U93" s="38"/>
      <c r="AE93" s="38"/>
      <c r="AO93" s="38"/>
      <c r="AY93" s="38"/>
      <c r="BI93" s="38"/>
      <c r="BS93" s="38"/>
      <c r="CC93" s="38"/>
      <c r="CM93" s="38"/>
      <c r="CW93" s="38"/>
      <c r="DG93" s="38"/>
      <c r="DQ93" s="38"/>
      <c r="EA93" s="38"/>
    </row>
    <row r="94" spans="11:131" ht="15" customHeight="1" x14ac:dyDescent="0.2">
      <c r="K94" s="38"/>
      <c r="U94" s="38"/>
      <c r="AE94" s="38"/>
      <c r="AO94" s="38"/>
      <c r="AY94" s="38"/>
      <c r="BI94" s="38"/>
      <c r="BS94" s="38"/>
      <c r="CC94" s="38"/>
      <c r="CM94" s="38"/>
      <c r="CW94" s="38"/>
      <c r="DG94" s="38"/>
      <c r="DQ94" s="38"/>
      <c r="EA94" s="38"/>
    </row>
    <row r="95" spans="11:131" ht="15" customHeight="1" x14ac:dyDescent="0.2">
      <c r="K95" s="38"/>
      <c r="U95" s="38"/>
      <c r="AE95" s="38"/>
      <c r="AO95" s="38"/>
      <c r="AY95" s="38"/>
      <c r="BI95" s="38"/>
      <c r="BS95" s="38"/>
      <c r="CC95" s="38"/>
      <c r="CM95" s="38"/>
      <c r="CW95" s="38"/>
      <c r="DG95" s="38"/>
      <c r="DQ95" s="38"/>
      <c r="EA95" s="38"/>
    </row>
    <row r="96" spans="11:131" ht="15" customHeight="1" x14ac:dyDescent="0.2">
      <c r="K96" s="38"/>
      <c r="U96" s="38"/>
      <c r="AE96" s="38"/>
      <c r="AO96" s="38"/>
      <c r="AY96" s="38"/>
      <c r="BI96" s="38"/>
      <c r="BS96" s="38"/>
      <c r="CC96" s="38"/>
      <c r="CM96" s="38"/>
      <c r="CW96" s="38"/>
      <c r="DG96" s="38"/>
      <c r="DQ96" s="38"/>
      <c r="EA96" s="38"/>
    </row>
    <row r="97" spans="1:131" ht="15" customHeight="1" x14ac:dyDescent="0.2">
      <c r="K97" s="38"/>
      <c r="U97" s="38"/>
      <c r="AE97" s="38"/>
      <c r="AO97" s="38"/>
      <c r="AY97" s="38"/>
      <c r="BI97" s="38"/>
      <c r="BS97" s="38"/>
      <c r="CC97" s="38"/>
      <c r="CM97" s="38"/>
      <c r="CW97" s="38"/>
      <c r="DG97" s="38"/>
      <c r="DQ97" s="38"/>
      <c r="EA97" s="38"/>
    </row>
    <row r="98" spans="1:131" ht="15" customHeight="1" x14ac:dyDescent="0.2">
      <c r="K98" s="38"/>
      <c r="U98" s="38"/>
      <c r="AE98" s="38"/>
      <c r="AO98" s="38"/>
      <c r="AY98" s="38"/>
      <c r="BI98" s="38"/>
      <c r="BS98" s="38"/>
      <c r="CC98" s="38"/>
      <c r="CM98" s="38"/>
      <c r="CW98" s="38"/>
      <c r="DG98" s="38"/>
      <c r="DQ98" s="38"/>
      <c r="EA98" s="38"/>
    </row>
    <row r="99" spans="1:131" ht="15" customHeight="1" x14ac:dyDescent="0.2">
      <c r="K99" s="38"/>
      <c r="U99" s="38"/>
      <c r="AE99" s="38"/>
      <c r="AO99" s="38"/>
      <c r="AY99" s="38"/>
      <c r="BI99" s="38"/>
      <c r="BS99" s="38"/>
      <c r="CC99" s="38"/>
      <c r="CM99" s="38"/>
      <c r="CW99" s="38"/>
      <c r="DG99" s="38"/>
      <c r="DQ99" s="38"/>
      <c r="EA99" s="38"/>
    </row>
    <row r="100" spans="1:131" ht="15" customHeight="1" x14ac:dyDescent="0.2">
      <c r="K100" s="38"/>
      <c r="U100" s="38"/>
      <c r="AE100" s="38"/>
      <c r="AO100" s="38"/>
      <c r="AY100" s="38"/>
      <c r="BI100" s="38"/>
      <c r="BS100" s="38"/>
      <c r="CC100" s="38"/>
      <c r="CM100" s="38"/>
      <c r="CW100" s="38"/>
      <c r="DG100" s="38"/>
      <c r="DQ100" s="38"/>
      <c r="EA100" s="38"/>
    </row>
    <row r="101" spans="1:131" ht="15" customHeight="1" x14ac:dyDescent="0.2">
      <c r="K101" s="38"/>
      <c r="U101" s="38"/>
      <c r="AE101" s="38"/>
      <c r="AO101" s="38"/>
      <c r="AY101" s="38"/>
      <c r="BI101" s="38"/>
      <c r="BS101" s="38"/>
      <c r="CC101" s="38"/>
      <c r="CM101" s="38"/>
      <c r="CW101" s="38"/>
      <c r="DG101" s="38"/>
      <c r="DQ101" s="38"/>
      <c r="EA101" s="38"/>
    </row>
    <row r="102" spans="1:131" ht="15" customHeight="1" x14ac:dyDescent="0.2">
      <c r="K102" s="38"/>
      <c r="U102" s="38"/>
      <c r="AE102" s="38"/>
      <c r="AO102" s="38"/>
      <c r="AY102" s="38"/>
      <c r="BI102" s="38"/>
      <c r="BS102" s="38"/>
      <c r="CC102" s="38"/>
      <c r="CM102" s="38"/>
      <c r="CW102" s="38"/>
      <c r="DG102" s="38"/>
      <c r="DQ102" s="38"/>
      <c r="EA102" s="38"/>
    </row>
    <row r="103" spans="1:131" ht="15" customHeight="1" x14ac:dyDescent="0.2">
      <c r="K103" s="39"/>
      <c r="U103" s="39"/>
      <c r="AE103" s="38"/>
      <c r="AO103" s="38"/>
      <c r="AY103" s="38"/>
      <c r="BI103" s="38"/>
      <c r="BS103" s="38"/>
      <c r="CC103" s="38"/>
      <c r="CM103" s="38"/>
      <c r="CW103" s="38"/>
      <c r="DG103" s="38"/>
      <c r="DQ103" s="38"/>
      <c r="EA103" s="38"/>
    </row>
    <row r="104" spans="1:131" s="45" customFormat="1" ht="15" customHeight="1" x14ac:dyDescent="0.2">
      <c r="A104" s="38"/>
      <c r="K104" s="39"/>
      <c r="U104" s="39"/>
      <c r="AE104" s="38"/>
      <c r="AO104" s="38"/>
      <c r="AY104" s="38"/>
      <c r="BI104" s="38"/>
      <c r="BS104" s="38"/>
      <c r="CC104" s="38"/>
      <c r="CM104" s="38"/>
      <c r="CW104" s="38"/>
      <c r="DG104" s="38"/>
      <c r="DQ104" s="38"/>
      <c r="EA104" s="38"/>
    </row>
    <row r="105" spans="1:131" s="45" customFormat="1" ht="15" customHeight="1" x14ac:dyDescent="0.2">
      <c r="A105" s="38"/>
      <c r="K105" s="97"/>
      <c r="U105" s="38"/>
      <c r="AE105" s="38"/>
      <c r="AO105" s="38"/>
      <c r="AY105" s="38"/>
      <c r="BI105" s="38"/>
      <c r="BS105" s="38"/>
      <c r="CC105" s="38"/>
      <c r="CM105" s="38"/>
      <c r="CW105" s="38"/>
      <c r="DG105" s="38"/>
      <c r="DQ105" s="38"/>
      <c r="EA105" s="38"/>
    </row>
    <row r="106" spans="1:131" ht="15" customHeight="1" x14ac:dyDescent="0.2">
      <c r="K106" s="38"/>
      <c r="U106" s="38"/>
      <c r="AE106" s="38"/>
      <c r="AO106" s="38"/>
      <c r="AY106" s="38"/>
      <c r="BI106" s="38"/>
      <c r="BS106" s="38"/>
      <c r="CC106" s="38"/>
      <c r="CM106" s="38"/>
      <c r="CW106" s="38"/>
      <c r="DG106" s="38"/>
      <c r="DQ106" s="38"/>
      <c r="EA106" s="38"/>
    </row>
    <row r="107" spans="1:131" ht="15" customHeight="1" x14ac:dyDescent="0.2">
      <c r="K107" s="38"/>
      <c r="U107" s="38"/>
      <c r="AE107" s="38"/>
      <c r="AO107" s="38"/>
      <c r="AY107" s="38"/>
      <c r="BI107" s="38"/>
      <c r="BS107" s="38"/>
      <c r="CC107" s="38"/>
      <c r="CM107" s="38"/>
      <c r="CW107" s="38"/>
      <c r="DG107" s="38"/>
      <c r="DQ107" s="38"/>
      <c r="EA107" s="38"/>
    </row>
    <row r="108" spans="1:131" ht="15" customHeight="1" x14ac:dyDescent="0.2">
      <c r="K108" s="38"/>
      <c r="U108" s="38"/>
      <c r="AE108" s="38"/>
      <c r="AO108" s="38"/>
      <c r="AY108" s="38"/>
      <c r="BI108" s="38"/>
      <c r="BS108" s="38"/>
      <c r="CC108" s="38"/>
      <c r="CM108" s="38"/>
      <c r="CW108" s="38"/>
      <c r="DG108" s="38"/>
      <c r="DQ108" s="38"/>
      <c r="EA108" s="38"/>
    </row>
    <row r="109" spans="1:131" ht="15" customHeight="1" x14ac:dyDescent="0.2">
      <c r="K109" s="38"/>
      <c r="U109" s="38"/>
      <c r="AE109" s="38"/>
      <c r="AO109" s="38"/>
      <c r="AY109" s="38"/>
      <c r="BI109" s="38"/>
      <c r="BS109" s="38"/>
      <c r="CC109" s="38"/>
      <c r="CM109" s="38"/>
      <c r="CW109" s="38"/>
      <c r="DG109" s="38"/>
      <c r="DQ109" s="38"/>
      <c r="EA109" s="38"/>
    </row>
    <row r="110" spans="1:131" ht="15" customHeight="1" x14ac:dyDescent="0.2">
      <c r="K110" s="38"/>
      <c r="U110" s="38"/>
      <c r="AE110" s="38"/>
      <c r="AO110" s="38"/>
      <c r="AY110" s="38"/>
      <c r="BI110" s="38"/>
      <c r="BS110" s="38"/>
      <c r="CC110" s="38"/>
      <c r="CM110" s="38"/>
      <c r="CW110" s="38"/>
      <c r="DG110" s="38"/>
      <c r="DQ110" s="38"/>
      <c r="EA110" s="38"/>
    </row>
    <row r="111" spans="1:131" ht="15" customHeight="1" x14ac:dyDescent="0.2">
      <c r="K111" s="38"/>
      <c r="U111" s="38"/>
      <c r="AE111" s="38"/>
      <c r="AO111" s="38"/>
      <c r="AY111" s="38"/>
      <c r="BI111" s="38"/>
      <c r="BS111" s="38"/>
      <c r="CC111" s="38"/>
      <c r="CM111" s="38"/>
      <c r="CW111" s="38"/>
      <c r="DG111" s="38"/>
      <c r="DQ111" s="38"/>
      <c r="EA111" s="38"/>
    </row>
    <row r="112" spans="1:131" ht="15" customHeight="1" x14ac:dyDescent="0.2">
      <c r="K112" s="38"/>
      <c r="U112" s="38"/>
      <c r="AE112" s="38"/>
      <c r="AO112" s="38"/>
      <c r="AY112" s="38"/>
      <c r="BI112" s="38"/>
      <c r="BS112" s="38"/>
      <c r="CC112" s="38"/>
      <c r="CM112" s="38"/>
      <c r="CW112" s="38"/>
      <c r="DG112" s="38"/>
      <c r="DQ112" s="38"/>
      <c r="EA112" s="38"/>
    </row>
    <row r="113" spans="11:131" ht="15" customHeight="1" x14ac:dyDescent="0.2">
      <c r="K113" s="38"/>
      <c r="U113" s="38"/>
      <c r="AE113" s="38"/>
      <c r="AO113" s="38"/>
      <c r="AY113" s="38"/>
      <c r="BI113" s="38"/>
      <c r="BS113" s="38"/>
      <c r="CC113" s="38"/>
      <c r="CM113" s="38"/>
      <c r="CW113" s="38"/>
      <c r="DG113" s="38"/>
      <c r="DQ113" s="38"/>
      <c r="EA113" s="38"/>
    </row>
    <row r="114" spans="11:131" ht="15" customHeight="1" x14ac:dyDescent="0.2">
      <c r="K114" s="38"/>
      <c r="U114" s="38"/>
      <c r="AE114" s="38"/>
      <c r="AO114" s="38"/>
      <c r="AY114" s="38"/>
      <c r="BI114" s="38"/>
      <c r="BS114" s="38"/>
      <c r="CC114" s="38"/>
      <c r="CM114" s="38"/>
      <c r="CW114" s="38"/>
      <c r="DG114" s="38"/>
      <c r="DQ114" s="38"/>
      <c r="EA114" s="38"/>
    </row>
    <row r="115" spans="11:131" ht="15" customHeight="1" x14ac:dyDescent="0.2">
      <c r="K115" s="38"/>
      <c r="U115" s="38"/>
      <c r="AE115" s="38"/>
      <c r="AO115" s="38"/>
      <c r="AY115" s="38"/>
      <c r="BI115" s="38"/>
      <c r="BS115" s="38"/>
      <c r="CC115" s="38"/>
      <c r="CM115" s="38"/>
      <c r="CW115" s="38"/>
      <c r="DG115" s="38"/>
      <c r="DQ115" s="38"/>
      <c r="EA115" s="38"/>
    </row>
    <row r="116" spans="11:131" ht="15" customHeight="1" x14ac:dyDescent="0.2">
      <c r="K116" s="38"/>
      <c r="U116" s="38"/>
      <c r="AE116" s="38"/>
      <c r="AO116" s="38"/>
      <c r="AY116" s="38"/>
      <c r="BI116" s="38"/>
      <c r="BS116" s="38"/>
      <c r="CC116" s="38"/>
      <c r="CM116" s="38"/>
      <c r="CW116" s="38"/>
      <c r="DG116" s="38"/>
      <c r="DQ116" s="38"/>
      <c r="EA116" s="38"/>
    </row>
    <row r="117" spans="11:131" ht="15" customHeight="1" x14ac:dyDescent="0.2">
      <c r="K117" s="38"/>
      <c r="U117" s="38"/>
      <c r="AE117" s="38"/>
      <c r="AO117" s="38"/>
      <c r="AY117" s="38"/>
      <c r="BI117" s="38"/>
      <c r="BS117" s="38"/>
      <c r="CC117" s="38"/>
      <c r="CM117" s="38"/>
      <c r="CW117" s="38"/>
      <c r="DG117" s="38"/>
      <c r="DQ117" s="38"/>
      <c r="EA117" s="38"/>
    </row>
    <row r="118" spans="11:131" ht="15" customHeight="1" x14ac:dyDescent="0.2">
      <c r="K118" s="38"/>
      <c r="U118" s="38"/>
      <c r="AE118" s="38"/>
      <c r="AO118" s="38"/>
      <c r="AY118" s="38"/>
      <c r="BI118" s="38"/>
      <c r="BS118" s="38"/>
      <c r="CC118" s="38"/>
      <c r="CM118" s="38"/>
      <c r="CW118" s="38"/>
      <c r="DG118" s="38"/>
      <c r="DQ118" s="38"/>
      <c r="EA118" s="38"/>
    </row>
    <row r="119" spans="11:131" ht="15" customHeight="1" x14ac:dyDescent="0.2">
      <c r="K119" s="38"/>
      <c r="U119" s="38"/>
      <c r="AE119" s="38"/>
      <c r="AO119" s="38"/>
      <c r="AY119" s="38"/>
      <c r="BI119" s="38"/>
      <c r="BS119" s="38"/>
      <c r="CC119" s="38"/>
      <c r="CM119" s="38"/>
      <c r="CW119" s="38"/>
      <c r="DG119" s="38"/>
      <c r="DQ119" s="38"/>
      <c r="EA119" s="38"/>
    </row>
    <row r="120" spans="11:131" ht="15" customHeight="1" x14ac:dyDescent="0.2">
      <c r="K120" s="38"/>
      <c r="U120" s="38"/>
      <c r="AE120" s="38"/>
      <c r="AO120" s="38"/>
      <c r="AY120" s="38"/>
      <c r="BI120" s="38"/>
      <c r="BS120" s="38"/>
      <c r="CC120" s="38"/>
      <c r="CM120" s="38"/>
      <c r="CW120" s="38"/>
      <c r="DG120" s="38"/>
      <c r="DQ120" s="38"/>
      <c r="EA120" s="38"/>
    </row>
    <row r="121" spans="11:131" ht="15" customHeight="1" x14ac:dyDescent="0.2">
      <c r="K121" s="38"/>
      <c r="U121" s="38"/>
      <c r="AE121" s="38"/>
      <c r="AO121" s="38"/>
      <c r="AY121" s="38"/>
      <c r="BI121" s="38"/>
      <c r="BS121" s="38"/>
      <c r="CC121" s="38"/>
      <c r="CM121" s="38"/>
      <c r="CW121" s="38"/>
      <c r="DG121" s="38"/>
      <c r="DQ121" s="38"/>
      <c r="EA121" s="38"/>
    </row>
    <row r="122" spans="11:131" ht="15" customHeight="1" x14ac:dyDescent="0.2">
      <c r="K122" s="38"/>
      <c r="U122" s="38"/>
      <c r="AE122" s="38"/>
      <c r="AO122" s="38"/>
      <c r="AY122" s="38"/>
      <c r="BI122" s="38"/>
      <c r="BS122" s="38"/>
      <c r="CC122" s="38"/>
      <c r="CM122" s="38"/>
      <c r="CW122" s="38"/>
      <c r="DG122" s="38"/>
      <c r="DQ122" s="38"/>
      <c r="EA122" s="38"/>
    </row>
    <row r="123" spans="11:131" ht="15" customHeight="1" x14ac:dyDescent="0.2">
      <c r="K123" s="38"/>
      <c r="U123" s="38"/>
      <c r="AE123" s="38"/>
      <c r="AO123" s="38"/>
      <c r="AY123" s="38"/>
      <c r="BI123" s="38"/>
      <c r="BS123" s="38"/>
      <c r="CC123" s="38"/>
      <c r="CM123" s="38"/>
      <c r="CW123" s="38"/>
      <c r="DG123" s="38"/>
      <c r="DQ123" s="38"/>
      <c r="EA123" s="38"/>
    </row>
    <row r="124" spans="11:131" ht="15" customHeight="1" x14ac:dyDescent="0.2">
      <c r="K124" s="38"/>
      <c r="U124" s="38"/>
      <c r="AE124" s="38"/>
      <c r="AO124" s="38"/>
      <c r="AY124" s="38"/>
      <c r="BI124" s="38"/>
      <c r="BS124" s="38"/>
      <c r="CC124" s="38"/>
      <c r="CM124" s="38"/>
      <c r="CW124" s="38"/>
      <c r="DG124" s="38"/>
      <c r="DQ124" s="38"/>
      <c r="EA124" s="38"/>
    </row>
    <row r="125" spans="11:131" ht="15" customHeight="1" x14ac:dyDescent="0.2">
      <c r="K125" s="38"/>
      <c r="U125" s="38"/>
      <c r="AE125" s="38"/>
      <c r="AO125" s="38"/>
      <c r="AY125" s="38"/>
      <c r="BI125" s="38"/>
      <c r="BS125" s="38"/>
      <c r="CC125" s="38"/>
      <c r="CM125" s="38"/>
      <c r="CW125" s="38"/>
      <c r="DG125" s="38"/>
      <c r="DQ125" s="38"/>
      <c r="EA125" s="38"/>
    </row>
    <row r="126" spans="11:131" ht="15" customHeight="1" x14ac:dyDescent="0.2">
      <c r="K126" s="38"/>
      <c r="U126" s="38"/>
      <c r="AE126" s="38"/>
      <c r="AO126" s="38"/>
      <c r="AY126" s="38"/>
      <c r="BI126" s="38"/>
      <c r="BS126" s="38"/>
      <c r="CC126" s="38"/>
      <c r="CM126" s="38"/>
      <c r="CW126" s="38"/>
      <c r="DG126" s="38"/>
      <c r="DQ126" s="38"/>
      <c r="EA126" s="38"/>
    </row>
    <row r="127" spans="11:131" ht="15" customHeight="1" x14ac:dyDescent="0.2">
      <c r="K127" s="38"/>
      <c r="U127" s="38"/>
      <c r="AE127" s="38"/>
      <c r="AO127" s="38"/>
      <c r="AY127" s="38"/>
      <c r="BI127" s="38"/>
      <c r="BS127" s="38"/>
      <c r="CC127" s="38"/>
      <c r="CM127" s="38"/>
      <c r="CW127" s="38"/>
      <c r="DG127" s="38"/>
      <c r="DQ127" s="38"/>
      <c r="EA127" s="38"/>
    </row>
    <row r="128" spans="11:131" ht="15" customHeight="1" x14ac:dyDescent="0.2">
      <c r="K128" s="38"/>
      <c r="U128" s="38"/>
      <c r="AE128" s="38"/>
      <c r="AO128" s="38"/>
      <c r="AY128" s="38"/>
      <c r="BI128" s="38"/>
      <c r="BS128" s="38"/>
      <c r="CC128" s="38"/>
      <c r="CM128" s="38"/>
      <c r="CW128" s="38"/>
      <c r="DG128" s="38"/>
      <c r="DQ128" s="38"/>
      <c r="EA128" s="38"/>
    </row>
    <row r="129" spans="11:131" ht="15" customHeight="1" x14ac:dyDescent="0.2">
      <c r="K129" s="38"/>
      <c r="U129" s="38"/>
      <c r="AE129" s="38"/>
      <c r="AO129" s="38"/>
      <c r="AY129" s="38"/>
      <c r="BI129" s="38"/>
      <c r="BS129" s="38"/>
      <c r="CC129" s="38"/>
      <c r="CM129" s="38"/>
      <c r="CW129" s="38"/>
      <c r="DG129" s="38"/>
      <c r="DQ129" s="38"/>
      <c r="EA129" s="38"/>
    </row>
    <row r="130" spans="11:131" ht="15" customHeight="1" x14ac:dyDescent="0.2">
      <c r="K130" s="38"/>
      <c r="U130" s="38"/>
      <c r="AE130" s="38"/>
      <c r="AO130" s="38"/>
      <c r="AY130" s="38"/>
      <c r="BI130" s="38"/>
      <c r="BS130" s="38"/>
      <c r="CC130" s="38"/>
      <c r="CM130" s="38"/>
      <c r="CW130" s="38"/>
      <c r="DG130" s="38"/>
      <c r="DQ130" s="38"/>
      <c r="EA130" s="38"/>
    </row>
    <row r="131" spans="11:131" ht="15" customHeight="1" x14ac:dyDescent="0.2">
      <c r="K131" s="39"/>
      <c r="U131" s="39"/>
      <c r="AE131" s="38"/>
      <c r="AO131" s="38"/>
      <c r="AY131" s="38"/>
      <c r="BI131" s="38"/>
      <c r="BS131" s="38"/>
      <c r="CC131" s="38"/>
      <c r="CM131" s="38"/>
      <c r="CW131" s="38"/>
      <c r="DG131" s="38"/>
      <c r="DQ131" s="38"/>
      <c r="EA131" s="38"/>
    </row>
    <row r="132" spans="11:131" ht="15" customHeight="1" x14ac:dyDescent="0.2">
      <c r="K132" s="38"/>
      <c r="U132" s="39"/>
      <c r="AE132" s="38"/>
      <c r="AO132" s="38"/>
      <c r="AY132" s="38"/>
      <c r="BI132" s="38"/>
      <c r="BS132" s="38"/>
      <c r="CC132" s="38"/>
      <c r="CM132" s="38"/>
      <c r="CW132" s="38"/>
      <c r="DG132" s="38"/>
      <c r="DQ132" s="38"/>
      <c r="EA132" s="38"/>
    </row>
    <row r="133" spans="11:131" ht="15" customHeight="1" x14ac:dyDescent="0.2">
      <c r="K133" s="97"/>
      <c r="U133" s="38"/>
      <c r="AE133" s="38"/>
      <c r="AO133" s="38"/>
      <c r="AY133" s="38"/>
      <c r="BI133" s="38"/>
      <c r="BS133" s="38"/>
      <c r="CC133" s="38"/>
      <c r="CM133" s="38"/>
      <c r="CW133" s="38"/>
      <c r="DG133" s="38"/>
      <c r="DQ133" s="38"/>
      <c r="EA133" s="38"/>
    </row>
    <row r="134" spans="11:131" ht="15" customHeight="1" x14ac:dyDescent="0.2">
      <c r="K134" s="40"/>
      <c r="U134" s="40"/>
      <c r="AE134" s="38"/>
      <c r="AO134" s="38"/>
      <c r="AY134" s="38"/>
      <c r="BI134" s="38"/>
      <c r="BS134" s="38"/>
      <c r="CC134" s="38"/>
      <c r="CM134" s="38"/>
      <c r="CW134" s="38"/>
      <c r="DG134" s="38"/>
      <c r="DQ134" s="38"/>
      <c r="EA134" s="38"/>
    </row>
    <row r="135" spans="11:131" ht="15" customHeight="1" x14ac:dyDescent="0.2">
      <c r="K135" s="38"/>
      <c r="U135" s="38"/>
      <c r="AE135" s="38"/>
      <c r="AO135" s="38"/>
      <c r="AY135" s="38"/>
      <c r="BI135" s="38"/>
      <c r="BS135" s="38"/>
      <c r="CC135" s="38"/>
      <c r="CM135" s="38"/>
      <c r="CW135" s="38"/>
      <c r="DG135" s="38"/>
      <c r="DQ135" s="38"/>
      <c r="EA135" s="38"/>
    </row>
    <row r="136" spans="11:131" ht="15" customHeight="1" x14ac:dyDescent="0.2">
      <c r="K136" s="38"/>
      <c r="U136" s="38"/>
      <c r="AE136" s="38"/>
      <c r="AO136" s="38"/>
      <c r="AY136" s="38"/>
      <c r="BI136" s="38"/>
      <c r="BS136" s="38"/>
      <c r="CC136" s="38"/>
      <c r="CM136" s="38"/>
      <c r="CW136" s="38"/>
      <c r="DG136" s="38"/>
      <c r="DQ136" s="38"/>
      <c r="EA136" s="38"/>
    </row>
    <row r="137" spans="11:131" ht="15" customHeight="1" x14ac:dyDescent="0.2">
      <c r="K137" s="38"/>
      <c r="U137" s="38"/>
      <c r="AE137" s="38"/>
      <c r="AO137" s="38"/>
      <c r="AY137" s="38"/>
      <c r="BI137" s="38"/>
      <c r="BS137" s="38"/>
      <c r="CC137" s="38"/>
      <c r="CM137" s="38"/>
      <c r="CW137" s="38"/>
      <c r="DG137" s="38"/>
      <c r="DQ137" s="38"/>
      <c r="EA137" s="38"/>
    </row>
    <row r="138" spans="11:131" ht="15" customHeight="1" x14ac:dyDescent="0.2">
      <c r="K138" s="38"/>
      <c r="U138" s="38"/>
      <c r="AE138" s="38"/>
      <c r="AO138" s="38"/>
      <c r="AY138" s="38"/>
      <c r="BI138" s="38"/>
      <c r="BS138" s="38"/>
      <c r="CC138" s="38"/>
      <c r="CM138" s="38"/>
      <c r="CW138" s="38"/>
      <c r="DG138" s="38"/>
      <c r="DQ138" s="38"/>
      <c r="EA138" s="38"/>
    </row>
    <row r="139" spans="11:131" ht="15" customHeight="1" x14ac:dyDescent="0.2">
      <c r="K139" s="38"/>
      <c r="U139" s="38"/>
      <c r="AE139" s="38"/>
      <c r="AO139" s="38"/>
      <c r="AY139" s="38"/>
      <c r="BI139" s="38"/>
      <c r="BS139" s="38"/>
      <c r="CC139" s="38"/>
      <c r="CM139" s="38"/>
      <c r="CW139" s="38"/>
      <c r="DG139" s="38"/>
      <c r="DQ139" s="38"/>
      <c r="EA139" s="38"/>
    </row>
    <row r="140" spans="11:131" ht="15" customHeight="1" x14ac:dyDescent="0.2">
      <c r="K140" s="38"/>
      <c r="U140" s="38"/>
      <c r="AE140" s="38"/>
      <c r="AO140" s="38"/>
      <c r="AY140" s="38"/>
      <c r="BI140" s="38"/>
      <c r="BS140" s="38"/>
      <c r="CC140" s="38"/>
      <c r="CM140" s="38"/>
      <c r="CW140" s="38"/>
      <c r="DG140" s="38"/>
      <c r="DQ140" s="38"/>
      <c r="EA140" s="38"/>
    </row>
    <row r="141" spans="11:131" ht="15" customHeight="1" x14ac:dyDescent="0.2">
      <c r="K141" s="38"/>
      <c r="U141" s="38"/>
      <c r="AE141" s="38"/>
      <c r="AO141" s="38"/>
      <c r="AY141" s="38"/>
      <c r="BI141" s="38"/>
      <c r="BS141" s="38"/>
      <c r="CC141" s="38"/>
      <c r="CM141" s="38"/>
      <c r="CW141" s="38"/>
      <c r="DG141" s="38"/>
      <c r="DQ141" s="38"/>
      <c r="EA141" s="38"/>
    </row>
    <row r="142" spans="11:131" ht="15" customHeight="1" x14ac:dyDescent="0.2">
      <c r="K142" s="38"/>
      <c r="U142" s="38"/>
      <c r="AE142" s="38"/>
      <c r="AO142" s="38"/>
      <c r="AY142" s="38"/>
      <c r="BI142" s="38"/>
      <c r="BS142" s="38"/>
      <c r="CC142" s="38"/>
      <c r="CM142" s="38"/>
      <c r="CW142" s="38"/>
      <c r="DG142" s="38"/>
      <c r="DQ142" s="38"/>
      <c r="EA142" s="38"/>
    </row>
    <row r="143" spans="11:131" ht="15" customHeight="1" x14ac:dyDescent="0.2">
      <c r="K143" s="38"/>
      <c r="U143" s="38"/>
      <c r="AE143" s="38"/>
      <c r="AO143" s="38"/>
      <c r="AY143" s="38"/>
      <c r="BI143" s="38"/>
      <c r="BS143" s="38"/>
      <c r="CC143" s="38"/>
      <c r="CM143" s="38"/>
      <c r="CW143" s="38"/>
      <c r="DG143" s="38"/>
      <c r="DQ143" s="38"/>
      <c r="EA143" s="38"/>
    </row>
    <row r="144" spans="11:131" ht="15" customHeight="1" x14ac:dyDescent="0.2">
      <c r="K144" s="39"/>
      <c r="U144" s="39"/>
      <c r="AE144" s="38"/>
      <c r="AO144" s="38"/>
      <c r="AY144" s="38"/>
      <c r="BI144" s="38"/>
      <c r="BS144" s="38"/>
      <c r="CC144" s="38"/>
      <c r="CM144" s="38"/>
      <c r="CW144" s="38"/>
      <c r="DG144" s="38"/>
      <c r="DQ144" s="38"/>
      <c r="EA144" s="38"/>
    </row>
    <row r="145" spans="11:131" ht="15" customHeight="1" x14ac:dyDescent="0.2">
      <c r="K145" s="38"/>
      <c r="U145" s="38"/>
      <c r="AE145" s="38"/>
      <c r="AO145" s="38"/>
      <c r="AY145" s="38"/>
      <c r="BI145" s="38"/>
      <c r="BS145" s="38"/>
      <c r="CC145" s="38"/>
      <c r="CM145" s="38"/>
      <c r="CW145" s="38"/>
      <c r="DG145" s="38"/>
      <c r="DQ145" s="38"/>
      <c r="EA145" s="38"/>
    </row>
    <row r="146" spans="11:131" ht="15" customHeight="1" x14ac:dyDescent="0.2">
      <c r="K146" s="38"/>
      <c r="U146" s="38"/>
      <c r="AE146" s="38"/>
      <c r="AO146" s="38"/>
      <c r="AY146" s="38"/>
      <c r="BI146" s="38"/>
      <c r="BS146" s="38"/>
      <c r="CC146" s="38"/>
      <c r="CM146" s="38"/>
      <c r="CW146" s="38"/>
      <c r="DG146" s="38"/>
      <c r="DQ146" s="38"/>
      <c r="EA146" s="38"/>
    </row>
    <row r="147" spans="11:131" ht="15" customHeight="1" x14ac:dyDescent="0.2">
      <c r="K147" s="38"/>
      <c r="U147" s="38"/>
      <c r="AE147" s="38"/>
      <c r="AO147" s="38"/>
      <c r="AY147" s="38"/>
      <c r="BI147" s="38"/>
      <c r="BS147" s="38"/>
      <c r="CC147" s="38"/>
      <c r="CM147" s="38"/>
      <c r="CW147" s="38"/>
      <c r="DG147" s="38"/>
      <c r="DQ147" s="38"/>
      <c r="EA147" s="38"/>
    </row>
    <row r="148" spans="11:131" ht="15" customHeight="1" x14ac:dyDescent="0.2">
      <c r="K148" s="38"/>
      <c r="U148" s="38"/>
      <c r="AE148" s="38"/>
      <c r="AO148" s="38"/>
      <c r="AY148" s="38"/>
      <c r="BI148" s="38"/>
      <c r="BS148" s="38"/>
      <c r="CC148" s="38"/>
      <c r="CM148" s="38"/>
      <c r="CW148" s="38"/>
      <c r="DG148" s="38"/>
      <c r="DQ148" s="38"/>
      <c r="EA148" s="38"/>
    </row>
    <row r="149" spans="11:131" ht="15" customHeight="1" x14ac:dyDescent="0.2">
      <c r="K149" s="38"/>
      <c r="U149" s="38"/>
      <c r="AE149" s="38"/>
      <c r="AO149" s="38"/>
      <c r="AY149" s="38"/>
      <c r="BI149" s="38"/>
      <c r="BS149" s="38"/>
      <c r="CC149" s="38"/>
      <c r="CM149" s="38"/>
      <c r="CW149" s="38"/>
      <c r="DG149" s="38"/>
      <c r="DQ149" s="38"/>
      <c r="EA149" s="38"/>
    </row>
    <row r="150" spans="11:131" ht="15" customHeight="1" x14ac:dyDescent="0.2">
      <c r="K150" s="38"/>
      <c r="U150" s="38"/>
      <c r="AE150" s="38"/>
      <c r="AO150" s="38"/>
      <c r="AY150" s="38"/>
      <c r="BI150" s="38"/>
      <c r="BS150" s="38"/>
      <c r="CC150" s="38"/>
      <c r="CM150" s="38"/>
      <c r="CW150" s="38"/>
      <c r="DG150" s="38"/>
      <c r="DQ150" s="38"/>
      <c r="EA150" s="38"/>
    </row>
    <row r="151" spans="11:131" ht="15" customHeight="1" x14ac:dyDescent="0.2">
      <c r="K151" s="38"/>
      <c r="U151" s="38"/>
      <c r="AE151" s="38"/>
      <c r="AO151" s="38"/>
      <c r="AY151" s="38"/>
      <c r="BI151" s="38"/>
      <c r="BS151" s="38"/>
      <c r="CC151" s="38"/>
      <c r="CM151" s="38"/>
      <c r="CW151" s="38"/>
      <c r="DG151" s="38"/>
      <c r="DQ151" s="38"/>
      <c r="EA151" s="38"/>
    </row>
    <row r="152" spans="11:131" ht="15" customHeight="1" x14ac:dyDescent="0.2">
      <c r="K152" s="38"/>
      <c r="U152" s="38"/>
      <c r="AE152" s="38"/>
      <c r="AO152" s="38"/>
      <c r="AY152" s="38"/>
      <c r="BI152" s="38"/>
      <c r="BS152" s="38"/>
      <c r="CC152" s="38"/>
      <c r="CM152" s="38"/>
      <c r="CW152" s="38"/>
      <c r="DG152" s="38"/>
      <c r="DQ152" s="38"/>
      <c r="EA152" s="38"/>
    </row>
    <row r="153" spans="11:131" ht="15" customHeight="1" x14ac:dyDescent="0.2">
      <c r="K153" s="38"/>
      <c r="U153" s="38"/>
      <c r="AE153" s="38"/>
      <c r="AO153" s="38"/>
      <c r="AY153" s="38"/>
      <c r="BI153" s="38"/>
      <c r="BS153" s="38"/>
      <c r="CC153" s="38"/>
      <c r="CM153" s="38"/>
      <c r="CW153" s="38"/>
      <c r="DG153" s="38"/>
      <c r="DQ153" s="38"/>
      <c r="EA153" s="38"/>
    </row>
    <row r="154" spans="11:131" ht="15" customHeight="1" x14ac:dyDescent="0.2">
      <c r="K154" s="38"/>
      <c r="U154" s="38"/>
      <c r="AE154" s="38"/>
      <c r="AO154" s="38"/>
      <c r="AY154" s="38"/>
      <c r="BI154" s="38"/>
      <c r="BS154" s="38"/>
      <c r="CC154" s="38"/>
      <c r="CM154" s="38"/>
      <c r="CW154" s="38"/>
      <c r="DG154" s="38"/>
      <c r="DQ154" s="38"/>
      <c r="EA154" s="38"/>
    </row>
    <row r="155" spans="11:131" ht="15" customHeight="1" x14ac:dyDescent="0.2">
      <c r="K155" s="38"/>
      <c r="U155" s="38"/>
      <c r="AE155" s="38"/>
      <c r="AO155" s="38"/>
      <c r="AY155" s="38"/>
      <c r="BI155" s="38"/>
      <c r="BS155" s="38"/>
      <c r="CC155" s="38"/>
      <c r="CM155" s="38"/>
      <c r="CW155" s="38"/>
      <c r="DG155" s="38"/>
      <c r="DQ155" s="38"/>
      <c r="EA155" s="38"/>
    </row>
    <row r="156" spans="11:131" ht="15" customHeight="1" x14ac:dyDescent="0.2">
      <c r="K156" s="38"/>
      <c r="U156" s="38"/>
      <c r="AE156" s="38"/>
      <c r="AO156" s="38"/>
      <c r="AY156" s="38"/>
      <c r="BI156" s="38"/>
      <c r="BS156" s="38"/>
      <c r="CC156" s="38"/>
      <c r="CM156" s="38"/>
      <c r="CW156" s="38"/>
      <c r="DG156" s="38"/>
      <c r="DQ156" s="38"/>
      <c r="EA156" s="38"/>
    </row>
    <row r="157" spans="11:131" ht="15" customHeight="1" x14ac:dyDescent="0.2">
      <c r="K157" s="38"/>
      <c r="U157" s="38"/>
      <c r="AE157" s="38"/>
      <c r="AO157" s="38"/>
      <c r="AY157" s="38"/>
      <c r="BI157" s="38"/>
      <c r="BS157" s="38"/>
      <c r="CC157" s="38"/>
      <c r="CM157" s="38"/>
      <c r="CW157" s="38"/>
      <c r="DG157" s="38"/>
      <c r="DQ157" s="38"/>
      <c r="EA157" s="38"/>
    </row>
    <row r="158" spans="11:131" ht="15" customHeight="1" x14ac:dyDescent="0.2">
      <c r="K158" s="38"/>
      <c r="U158" s="38"/>
      <c r="AE158" s="38"/>
      <c r="AO158" s="38"/>
      <c r="AY158" s="38"/>
      <c r="BI158" s="38"/>
      <c r="BS158" s="38"/>
      <c r="CC158" s="38"/>
      <c r="CM158" s="38"/>
      <c r="CW158" s="38"/>
      <c r="DG158" s="38"/>
      <c r="DQ158" s="38"/>
      <c r="EA158" s="38"/>
    </row>
    <row r="159" spans="11:131" ht="15" customHeight="1" x14ac:dyDescent="0.2">
      <c r="K159" s="38"/>
      <c r="U159" s="38"/>
      <c r="AE159" s="38"/>
      <c r="AO159" s="38"/>
      <c r="AY159" s="38"/>
      <c r="BI159" s="38"/>
      <c r="BS159" s="38"/>
      <c r="CC159" s="38"/>
      <c r="CM159" s="38"/>
      <c r="CW159" s="38"/>
      <c r="DG159" s="38"/>
      <c r="DQ159" s="38"/>
      <c r="EA159" s="38"/>
    </row>
    <row r="160" spans="11:131" ht="15" customHeight="1" x14ac:dyDescent="0.2">
      <c r="K160" s="38"/>
      <c r="U160" s="38"/>
      <c r="AE160" s="38"/>
      <c r="AO160" s="38"/>
      <c r="AY160" s="38"/>
      <c r="BI160" s="38"/>
      <c r="BS160" s="38"/>
      <c r="CC160" s="38"/>
      <c r="CM160" s="38"/>
      <c r="CW160" s="38"/>
      <c r="DG160" s="38"/>
      <c r="DQ160" s="38"/>
      <c r="EA160" s="38"/>
    </row>
    <row r="161" spans="11:131" ht="15" customHeight="1" x14ac:dyDescent="0.2">
      <c r="K161" s="38"/>
      <c r="U161" s="38"/>
      <c r="AE161" s="38"/>
      <c r="AO161" s="38"/>
      <c r="AY161" s="38"/>
      <c r="BI161" s="38"/>
      <c r="BS161" s="38"/>
      <c r="CC161" s="38"/>
      <c r="CM161" s="38"/>
      <c r="CW161" s="38"/>
      <c r="DG161" s="38"/>
      <c r="DQ161" s="38"/>
      <c r="EA161" s="38"/>
    </row>
    <row r="162" spans="11:131" ht="15" customHeight="1" x14ac:dyDescent="0.2">
      <c r="K162" s="38"/>
      <c r="U162" s="38"/>
      <c r="AE162" s="38"/>
      <c r="AO162" s="38"/>
      <c r="AY162" s="38"/>
      <c r="BI162" s="38"/>
      <c r="BS162" s="38"/>
      <c r="CC162" s="38"/>
      <c r="CM162" s="38"/>
      <c r="CW162" s="38"/>
      <c r="DG162" s="38"/>
      <c r="DQ162" s="38"/>
      <c r="EA162" s="38"/>
    </row>
    <row r="163" spans="11:131" ht="15" customHeight="1" x14ac:dyDescent="0.2">
      <c r="K163" s="38"/>
      <c r="U163" s="38"/>
      <c r="AE163" s="38"/>
      <c r="AO163" s="38"/>
      <c r="AY163" s="38"/>
      <c r="BI163" s="38"/>
      <c r="BS163" s="38"/>
      <c r="CC163" s="38"/>
      <c r="CM163" s="38"/>
      <c r="CW163" s="38"/>
      <c r="DG163" s="38"/>
      <c r="DQ163" s="38"/>
      <c r="EA163" s="38"/>
    </row>
    <row r="164" spans="11:131" ht="15" customHeight="1" x14ac:dyDescent="0.2">
      <c r="K164" s="38"/>
      <c r="U164" s="38"/>
      <c r="AE164" s="38"/>
      <c r="AO164" s="38"/>
      <c r="AY164" s="38"/>
      <c r="BI164" s="38"/>
      <c r="BS164" s="38"/>
      <c r="CC164" s="38"/>
      <c r="CM164" s="38"/>
      <c r="CW164" s="38"/>
      <c r="DG164" s="38"/>
      <c r="DQ164" s="38"/>
      <c r="EA164" s="38"/>
    </row>
    <row r="165" spans="11:131" ht="15" customHeight="1" x14ac:dyDescent="0.2">
      <c r="K165" s="38"/>
      <c r="U165" s="38"/>
      <c r="AE165" s="38"/>
      <c r="AO165" s="38"/>
      <c r="AY165" s="38"/>
      <c r="BI165" s="38"/>
      <c r="BS165" s="38"/>
      <c r="CC165" s="38"/>
      <c r="CM165" s="38"/>
      <c r="CW165" s="38"/>
      <c r="DG165" s="38"/>
      <c r="DQ165" s="38"/>
      <c r="EA165" s="38"/>
    </row>
    <row r="166" spans="11:131" ht="15" customHeight="1" x14ac:dyDescent="0.2">
      <c r="K166" s="38"/>
      <c r="U166" s="38"/>
      <c r="AE166" s="38"/>
      <c r="AO166" s="38"/>
      <c r="AY166" s="38"/>
      <c r="BI166" s="38"/>
      <c r="BS166" s="38"/>
      <c r="CC166" s="38"/>
      <c r="CM166" s="38"/>
      <c r="CW166" s="38"/>
      <c r="DG166" s="38"/>
      <c r="DQ166" s="38"/>
      <c r="EA166" s="38"/>
    </row>
    <row r="167" spans="11:131" ht="15" customHeight="1" x14ac:dyDescent="0.2">
      <c r="K167" s="38"/>
      <c r="U167" s="38"/>
      <c r="AE167" s="38"/>
      <c r="AO167" s="38"/>
      <c r="AY167" s="38"/>
      <c r="BI167" s="38"/>
      <c r="BS167" s="38"/>
      <c r="CC167" s="38"/>
      <c r="CM167" s="38"/>
      <c r="CW167" s="38"/>
      <c r="DG167" s="38"/>
      <c r="DQ167" s="38"/>
      <c r="EA167" s="38"/>
    </row>
    <row r="168" spans="11:131" ht="15" customHeight="1" x14ac:dyDescent="0.2">
      <c r="K168" s="38"/>
      <c r="U168" s="38"/>
      <c r="AE168" s="38"/>
      <c r="AO168" s="38"/>
      <c r="AY168" s="38"/>
      <c r="BI168" s="38"/>
      <c r="BS168" s="38"/>
      <c r="CC168" s="38"/>
      <c r="CM168" s="38"/>
      <c r="CW168" s="38"/>
      <c r="DG168" s="38"/>
      <c r="DQ168" s="38"/>
      <c r="EA168" s="38"/>
    </row>
    <row r="169" spans="11:131" ht="15" customHeight="1" x14ac:dyDescent="0.2">
      <c r="K169" s="38"/>
      <c r="U169" s="38"/>
      <c r="AE169" s="38"/>
      <c r="AO169" s="38"/>
      <c r="AY169" s="38"/>
      <c r="BI169" s="38"/>
      <c r="BS169" s="38"/>
      <c r="CC169" s="38"/>
      <c r="CM169" s="38"/>
      <c r="CW169" s="38"/>
      <c r="DG169" s="38"/>
      <c r="DQ169" s="38"/>
      <c r="EA169" s="38"/>
    </row>
    <row r="170" spans="11:131" ht="15" customHeight="1" x14ac:dyDescent="0.2">
      <c r="K170" s="38"/>
      <c r="U170" s="38"/>
      <c r="AE170" s="38"/>
      <c r="AO170" s="38"/>
      <c r="AY170" s="38"/>
      <c r="BI170" s="38"/>
      <c r="BS170" s="38"/>
      <c r="CC170" s="38"/>
      <c r="CM170" s="38"/>
      <c r="CW170" s="38"/>
      <c r="DG170" s="38"/>
      <c r="DQ170" s="38"/>
      <c r="EA170" s="38"/>
    </row>
    <row r="171" spans="11:131" ht="15" customHeight="1" x14ac:dyDescent="0.2">
      <c r="K171" s="38"/>
      <c r="U171" s="38"/>
      <c r="AE171" s="38"/>
      <c r="AO171" s="38"/>
      <c r="AY171" s="38"/>
      <c r="BI171" s="38"/>
      <c r="BS171" s="38"/>
      <c r="CC171" s="38"/>
      <c r="CM171" s="38"/>
      <c r="CW171" s="38"/>
      <c r="DG171" s="38"/>
      <c r="DQ171" s="38"/>
      <c r="EA171" s="38"/>
    </row>
    <row r="172" spans="11:131" ht="15" customHeight="1" x14ac:dyDescent="0.2">
      <c r="K172" s="38"/>
      <c r="U172" s="38"/>
      <c r="AE172" s="38"/>
      <c r="AO172" s="38"/>
      <c r="AY172" s="38"/>
      <c r="BI172" s="38"/>
      <c r="BS172" s="38"/>
      <c r="CC172" s="38"/>
      <c r="CM172" s="38"/>
      <c r="CW172" s="38"/>
      <c r="DG172" s="38"/>
      <c r="DQ172" s="38"/>
      <c r="EA172" s="38"/>
    </row>
    <row r="173" spans="11:131" ht="15" customHeight="1" x14ac:dyDescent="0.2">
      <c r="K173" s="38"/>
      <c r="U173" s="38"/>
      <c r="AE173" s="38"/>
      <c r="AO173" s="38"/>
      <c r="AY173" s="38"/>
      <c r="BI173" s="38"/>
      <c r="BS173" s="38"/>
      <c r="CC173" s="38"/>
      <c r="CM173" s="38"/>
      <c r="CW173" s="38"/>
      <c r="DG173" s="38"/>
      <c r="DQ173" s="38"/>
      <c r="EA173" s="38"/>
    </row>
    <row r="174" spans="11:131" ht="15" customHeight="1" x14ac:dyDescent="0.2">
      <c r="K174" s="38"/>
      <c r="U174" s="38"/>
      <c r="AE174" s="38"/>
      <c r="AO174" s="38"/>
      <c r="AY174" s="38"/>
      <c r="BI174" s="38"/>
      <c r="BS174" s="38"/>
      <c r="CC174" s="38"/>
      <c r="CM174" s="38"/>
      <c r="CW174" s="38"/>
      <c r="DG174" s="38"/>
      <c r="DQ174" s="38"/>
      <c r="EA174" s="38"/>
    </row>
    <row r="175" spans="11:131" ht="15" customHeight="1" x14ac:dyDescent="0.2">
      <c r="K175" s="38"/>
      <c r="U175" s="38"/>
      <c r="AE175" s="38"/>
      <c r="AO175" s="38"/>
      <c r="AY175" s="38"/>
      <c r="BI175" s="38"/>
      <c r="BS175" s="38"/>
      <c r="CC175" s="38"/>
      <c r="CM175" s="38"/>
      <c r="CW175" s="38"/>
      <c r="DG175" s="38"/>
      <c r="DQ175" s="38"/>
      <c r="EA175" s="38"/>
    </row>
    <row r="176" spans="11:131" ht="15" customHeight="1" x14ac:dyDescent="0.2">
      <c r="K176" s="38"/>
      <c r="U176" s="38"/>
      <c r="AE176" s="38"/>
      <c r="AO176" s="38"/>
      <c r="AY176" s="38"/>
      <c r="BI176" s="38"/>
      <c r="BS176" s="38"/>
      <c r="CC176" s="38"/>
      <c r="CM176" s="38"/>
      <c r="CW176" s="38"/>
      <c r="DG176" s="38"/>
      <c r="DQ176" s="38"/>
      <c r="EA176" s="38"/>
    </row>
    <row r="177" spans="11:131" ht="15" customHeight="1" x14ac:dyDescent="0.2">
      <c r="K177" s="38"/>
      <c r="U177" s="38"/>
      <c r="AE177" s="38"/>
      <c r="AO177" s="38"/>
      <c r="AY177" s="38"/>
      <c r="BI177" s="38"/>
      <c r="BS177" s="38"/>
      <c r="CC177" s="38"/>
      <c r="CM177" s="38"/>
      <c r="CW177" s="38"/>
      <c r="DG177" s="38"/>
      <c r="DQ177" s="38"/>
      <c r="EA177" s="38"/>
    </row>
    <row r="178" spans="11:131" ht="15" customHeight="1" x14ac:dyDescent="0.2">
      <c r="K178" s="38"/>
      <c r="U178" s="38"/>
      <c r="AE178" s="38"/>
      <c r="AO178" s="38"/>
      <c r="AY178" s="38"/>
      <c r="BI178" s="38"/>
      <c r="BS178" s="38"/>
      <c r="CC178" s="38"/>
      <c r="CM178" s="38"/>
      <c r="CW178" s="38"/>
      <c r="DG178" s="38"/>
      <c r="DQ178" s="38"/>
      <c r="EA178" s="38"/>
    </row>
    <row r="179" spans="11:131" ht="15" customHeight="1" x14ac:dyDescent="0.2">
      <c r="K179" s="38"/>
      <c r="U179" s="38"/>
      <c r="AE179" s="38"/>
      <c r="AO179" s="38"/>
      <c r="AY179" s="38"/>
      <c r="BI179" s="38"/>
      <c r="BS179" s="38"/>
      <c r="CC179" s="38"/>
      <c r="CM179" s="38"/>
      <c r="CW179" s="38"/>
      <c r="DG179" s="38"/>
      <c r="DQ179" s="38"/>
      <c r="EA179" s="38"/>
    </row>
    <row r="180" spans="11:131" ht="15" customHeight="1" x14ac:dyDescent="0.2">
      <c r="K180" s="38"/>
      <c r="U180" s="38"/>
      <c r="AE180" s="38"/>
      <c r="AO180" s="38"/>
      <c r="AY180" s="38"/>
      <c r="BI180" s="38"/>
      <c r="BS180" s="38"/>
      <c r="CC180" s="38"/>
      <c r="CM180" s="38"/>
      <c r="CW180" s="38"/>
      <c r="DG180" s="38"/>
      <c r="DQ180" s="38"/>
      <c r="EA180" s="38"/>
    </row>
    <row r="181" spans="11:131" ht="15" customHeight="1" x14ac:dyDescent="0.2">
      <c r="K181" s="38"/>
      <c r="U181" s="38"/>
      <c r="AE181" s="38"/>
      <c r="AO181" s="38"/>
      <c r="AY181" s="38"/>
      <c r="BI181" s="38"/>
      <c r="BS181" s="38"/>
      <c r="CC181" s="38"/>
      <c r="CM181" s="38"/>
      <c r="CW181" s="38"/>
      <c r="DG181" s="38"/>
      <c r="DQ181" s="38"/>
      <c r="EA181" s="38"/>
    </row>
    <row r="182" spans="11:131" ht="15" customHeight="1" x14ac:dyDescent="0.2">
      <c r="K182" s="38"/>
      <c r="U182" s="38"/>
      <c r="AE182" s="38"/>
      <c r="AO182" s="38"/>
      <c r="AY182" s="38"/>
      <c r="BI182" s="38"/>
      <c r="BS182" s="38"/>
      <c r="CC182" s="38"/>
      <c r="CM182" s="38"/>
      <c r="CW182" s="38"/>
      <c r="DG182" s="38"/>
      <c r="DQ182" s="38"/>
      <c r="EA182" s="38"/>
    </row>
    <row r="183" spans="11:131" ht="15" customHeight="1" x14ac:dyDescent="0.2">
      <c r="K183" s="38"/>
      <c r="U183" s="38"/>
      <c r="AE183" s="38"/>
      <c r="AO183" s="38"/>
      <c r="AY183" s="38"/>
      <c r="BI183" s="38"/>
      <c r="BS183" s="38"/>
      <c r="CC183" s="38"/>
      <c r="CM183" s="38"/>
      <c r="CW183" s="38"/>
      <c r="DG183" s="38"/>
      <c r="DQ183" s="38"/>
      <c r="EA183" s="38"/>
    </row>
    <row r="184" spans="11:131" ht="15" customHeight="1" x14ac:dyDescent="0.2">
      <c r="K184" s="38"/>
      <c r="U184" s="38"/>
      <c r="AE184" s="38"/>
      <c r="AO184" s="38"/>
      <c r="AY184" s="38"/>
      <c r="BI184" s="38"/>
      <c r="BS184" s="38"/>
      <c r="CC184" s="38"/>
      <c r="CM184" s="38"/>
      <c r="CW184" s="38"/>
      <c r="DG184" s="38"/>
      <c r="DQ184" s="38"/>
      <c r="EA184" s="38"/>
    </row>
    <row r="185" spans="11:131" ht="15" customHeight="1" x14ac:dyDescent="0.2">
      <c r="K185" s="38"/>
      <c r="U185" s="38"/>
      <c r="AE185" s="38"/>
      <c r="AO185" s="38"/>
      <c r="AY185" s="38"/>
      <c r="BI185" s="38"/>
      <c r="BS185" s="38"/>
      <c r="CC185" s="38"/>
      <c r="CM185" s="38"/>
      <c r="CW185" s="38"/>
      <c r="DG185" s="38"/>
      <c r="DQ185" s="38"/>
      <c r="EA185" s="38"/>
    </row>
    <row r="186" spans="11:131" ht="15" customHeight="1" x14ac:dyDescent="0.2">
      <c r="K186" s="38"/>
      <c r="U186" s="38"/>
      <c r="AE186" s="38"/>
      <c r="AO186" s="38"/>
      <c r="AY186" s="38"/>
      <c r="BI186" s="38"/>
      <c r="BS186" s="38"/>
      <c r="CC186" s="38"/>
      <c r="CM186" s="38"/>
      <c r="CW186" s="38"/>
      <c r="DG186" s="38"/>
      <c r="DQ186" s="38"/>
      <c r="EA186" s="38"/>
    </row>
    <row r="187" spans="11:131" ht="15" customHeight="1" x14ac:dyDescent="0.2">
      <c r="K187" s="38"/>
      <c r="U187" s="38"/>
      <c r="AE187" s="38"/>
      <c r="AO187" s="38"/>
      <c r="AY187" s="38"/>
      <c r="BI187" s="38"/>
      <c r="BS187" s="38"/>
      <c r="CC187" s="38"/>
      <c r="CM187" s="38"/>
      <c r="CW187" s="38"/>
      <c r="DG187" s="38"/>
      <c r="DQ187" s="38"/>
      <c r="EA187" s="38"/>
    </row>
    <row r="188" spans="11:131" ht="15" customHeight="1" x14ac:dyDescent="0.2">
      <c r="K188" s="38"/>
      <c r="U188" s="38"/>
      <c r="AE188" s="38"/>
      <c r="AO188" s="38"/>
      <c r="AY188" s="38"/>
      <c r="BI188" s="38"/>
      <c r="BS188" s="38"/>
      <c r="CC188" s="38"/>
      <c r="CM188" s="38"/>
      <c r="CW188" s="38"/>
      <c r="DG188" s="38"/>
      <c r="DQ188" s="38"/>
      <c r="EA188" s="38"/>
    </row>
    <row r="189" spans="11:131" ht="15" customHeight="1" x14ac:dyDescent="0.2">
      <c r="K189" s="38"/>
      <c r="U189" s="38"/>
      <c r="AE189" s="38"/>
      <c r="AO189" s="38"/>
      <c r="AY189" s="38"/>
      <c r="BI189" s="38"/>
      <c r="BS189" s="38"/>
      <c r="CC189" s="38"/>
      <c r="CM189" s="38"/>
      <c r="CW189" s="38"/>
      <c r="DG189" s="38"/>
      <c r="DQ189" s="38"/>
      <c r="EA189" s="38"/>
    </row>
    <row r="190" spans="11:131" ht="15" customHeight="1" x14ac:dyDescent="0.2">
      <c r="K190" s="38"/>
      <c r="U190" s="38"/>
      <c r="AE190" s="38"/>
      <c r="AO190" s="38"/>
      <c r="AY190" s="38"/>
      <c r="BI190" s="38"/>
      <c r="BS190" s="38"/>
      <c r="CC190" s="38"/>
      <c r="CM190" s="38"/>
      <c r="CW190" s="38"/>
      <c r="DG190" s="38"/>
      <c r="DQ190" s="38"/>
      <c r="EA190" s="38"/>
    </row>
    <row r="191" spans="11:131" ht="15" customHeight="1" x14ac:dyDescent="0.2">
      <c r="K191" s="38"/>
      <c r="U191" s="38"/>
      <c r="AE191" s="38"/>
      <c r="AO191" s="38"/>
      <c r="AY191" s="38"/>
      <c r="BI191" s="38"/>
      <c r="BS191" s="38"/>
      <c r="CC191" s="38"/>
      <c r="CM191" s="38"/>
      <c r="CW191" s="38"/>
      <c r="DG191" s="38"/>
      <c r="DQ191" s="38"/>
      <c r="EA191" s="38"/>
    </row>
    <row r="192" spans="11:131" ht="15" customHeight="1" x14ac:dyDescent="0.2">
      <c r="K192" s="38"/>
      <c r="U192" s="38"/>
      <c r="AE192" s="38"/>
      <c r="AO192" s="38"/>
      <c r="AY192" s="38"/>
      <c r="BI192" s="38"/>
      <c r="BS192" s="38"/>
      <c r="CC192" s="38"/>
      <c r="CM192" s="38"/>
      <c r="CW192" s="38"/>
      <c r="DG192" s="38"/>
      <c r="DQ192" s="38"/>
      <c r="EA192" s="38"/>
    </row>
    <row r="193" spans="11:131" ht="15" customHeight="1" x14ac:dyDescent="0.2">
      <c r="K193" s="38"/>
      <c r="U193" s="38"/>
      <c r="AE193" s="38"/>
      <c r="AO193" s="38"/>
      <c r="AY193" s="38"/>
      <c r="BI193" s="38"/>
      <c r="BS193" s="38"/>
      <c r="CC193" s="38"/>
      <c r="CM193" s="38"/>
      <c r="CW193" s="38"/>
      <c r="DG193" s="38"/>
      <c r="DQ193" s="38"/>
      <c r="EA193" s="38"/>
    </row>
    <row r="194" spans="11:131" ht="15" customHeight="1" x14ac:dyDescent="0.2">
      <c r="K194" s="38"/>
      <c r="U194" s="38"/>
      <c r="AE194" s="38"/>
      <c r="AO194" s="38"/>
      <c r="AY194" s="38"/>
      <c r="BI194" s="38"/>
      <c r="BS194" s="38"/>
      <c r="CC194" s="38"/>
      <c r="CM194" s="38"/>
      <c r="CW194" s="38"/>
      <c r="DG194" s="38"/>
      <c r="DQ194" s="38"/>
      <c r="EA194" s="38"/>
    </row>
    <row r="195" spans="11:131" ht="15" customHeight="1" x14ac:dyDescent="0.2">
      <c r="K195" s="38"/>
      <c r="U195" s="38"/>
      <c r="AE195" s="38"/>
      <c r="AO195" s="38"/>
      <c r="AY195" s="38"/>
      <c r="BI195" s="38"/>
      <c r="BS195" s="38"/>
      <c r="CC195" s="38"/>
      <c r="CM195" s="38"/>
      <c r="CW195" s="38"/>
      <c r="DG195" s="38"/>
      <c r="DQ195" s="38"/>
      <c r="EA195" s="38"/>
    </row>
    <row r="196" spans="11:131" ht="15" customHeight="1" x14ac:dyDescent="0.2">
      <c r="K196" s="38"/>
      <c r="U196" s="38"/>
      <c r="AE196" s="38"/>
      <c r="AO196" s="38"/>
      <c r="AY196" s="38"/>
      <c r="BI196" s="38"/>
      <c r="BS196" s="38"/>
      <c r="CC196" s="38"/>
      <c r="CM196" s="38"/>
      <c r="CW196" s="38"/>
      <c r="DG196" s="38"/>
      <c r="DQ196" s="38"/>
      <c r="EA196" s="38"/>
    </row>
    <row r="197" spans="11:131" ht="15" customHeight="1" x14ac:dyDescent="0.2">
      <c r="K197" s="38"/>
      <c r="U197" s="38"/>
      <c r="AE197" s="38"/>
      <c r="AO197" s="38"/>
      <c r="AY197" s="38"/>
      <c r="BI197" s="38"/>
      <c r="BS197" s="38"/>
      <c r="CC197" s="38"/>
      <c r="CM197" s="38"/>
      <c r="CW197" s="38"/>
      <c r="DG197" s="38"/>
      <c r="DQ197" s="38"/>
      <c r="EA197" s="38"/>
    </row>
    <row r="198" spans="11:131" ht="15" customHeight="1" x14ac:dyDescent="0.2">
      <c r="K198" s="38"/>
      <c r="U198" s="38"/>
      <c r="AE198" s="38"/>
      <c r="AO198" s="38"/>
      <c r="AY198" s="38"/>
      <c r="BI198" s="38"/>
      <c r="BS198" s="38"/>
      <c r="CC198" s="38"/>
      <c r="CM198" s="38"/>
      <c r="CW198" s="38"/>
      <c r="DG198" s="38"/>
      <c r="DQ198" s="38"/>
      <c r="EA198" s="38"/>
    </row>
    <row r="199" spans="11:131" ht="15" customHeight="1" x14ac:dyDescent="0.2">
      <c r="K199" s="38"/>
      <c r="U199" s="38"/>
      <c r="AE199" s="38"/>
      <c r="AO199" s="38"/>
      <c r="AY199" s="38"/>
      <c r="BI199" s="38"/>
      <c r="BS199" s="38"/>
      <c r="CC199" s="38"/>
      <c r="CM199" s="38"/>
      <c r="CW199" s="38"/>
      <c r="DG199" s="38"/>
      <c r="DQ199" s="38"/>
      <c r="EA199" s="38"/>
    </row>
    <row r="200" spans="11:131" ht="15" customHeight="1" x14ac:dyDescent="0.2">
      <c r="K200" s="38"/>
      <c r="U200" s="38"/>
      <c r="AE200" s="38"/>
      <c r="AO200" s="38"/>
      <c r="AY200" s="38"/>
      <c r="BI200" s="38"/>
      <c r="BS200" s="38"/>
      <c r="CC200" s="38"/>
      <c r="CM200" s="38"/>
      <c r="CW200" s="38"/>
      <c r="DG200" s="38"/>
      <c r="DQ200" s="38"/>
      <c r="EA200" s="38"/>
    </row>
    <row r="201" spans="11:131" ht="15" customHeight="1" x14ac:dyDescent="0.2">
      <c r="K201" s="38"/>
      <c r="U201" s="38"/>
      <c r="AE201" s="38"/>
      <c r="AO201" s="38"/>
      <c r="AY201" s="38"/>
      <c r="BI201" s="38"/>
      <c r="BS201" s="38"/>
      <c r="CC201" s="38"/>
      <c r="CM201" s="38"/>
      <c r="CW201" s="38"/>
      <c r="DG201" s="38"/>
      <c r="DQ201" s="38"/>
      <c r="EA201" s="38"/>
    </row>
    <row r="202" spans="11:131" ht="15" customHeight="1" x14ac:dyDescent="0.2">
      <c r="K202" s="38"/>
      <c r="U202" s="38"/>
      <c r="AE202" s="38"/>
      <c r="AO202" s="38"/>
      <c r="AY202" s="38"/>
      <c r="BI202" s="38"/>
      <c r="BS202" s="38"/>
      <c r="CC202" s="38"/>
      <c r="CM202" s="38"/>
      <c r="CW202" s="38"/>
      <c r="DG202" s="38"/>
      <c r="DQ202" s="38"/>
      <c r="EA202" s="38"/>
    </row>
    <row r="203" spans="11:131" ht="15" customHeight="1" x14ac:dyDescent="0.2">
      <c r="K203" s="38"/>
      <c r="U203" s="38"/>
      <c r="AE203" s="38"/>
      <c r="AO203" s="38"/>
      <c r="AY203" s="38"/>
      <c r="BI203" s="38"/>
      <c r="BS203" s="38"/>
      <c r="CC203" s="38"/>
      <c r="CM203" s="38"/>
      <c r="CW203" s="38"/>
      <c r="DG203" s="38"/>
      <c r="DQ203" s="38"/>
      <c r="EA203" s="38"/>
    </row>
    <row r="204" spans="11:131" ht="15" customHeight="1" x14ac:dyDescent="0.2">
      <c r="K204" s="38"/>
      <c r="U204" s="38"/>
      <c r="AE204" s="38"/>
      <c r="AO204" s="38"/>
      <c r="AY204" s="38"/>
      <c r="BI204" s="38"/>
      <c r="BS204" s="38"/>
      <c r="CC204" s="38"/>
      <c r="CM204" s="38"/>
      <c r="CW204" s="38"/>
      <c r="DG204" s="38"/>
      <c r="DQ204" s="38"/>
      <c r="EA204" s="38"/>
    </row>
    <row r="205" spans="11:131" ht="15" customHeight="1" x14ac:dyDescent="0.2">
      <c r="K205" s="38"/>
      <c r="U205" s="38"/>
      <c r="AE205" s="38"/>
      <c r="AO205" s="38"/>
      <c r="AY205" s="38"/>
      <c r="BI205" s="38"/>
      <c r="BS205" s="38"/>
      <c r="CC205" s="38"/>
      <c r="CM205" s="38"/>
      <c r="CW205" s="38"/>
      <c r="DG205" s="38"/>
      <c r="DQ205" s="38"/>
      <c r="EA205" s="38"/>
    </row>
    <row r="206" spans="11:131" ht="15" customHeight="1" x14ac:dyDescent="0.2">
      <c r="K206" s="38"/>
      <c r="U206" s="38"/>
      <c r="AE206" s="38"/>
      <c r="AO206" s="38"/>
      <c r="AY206" s="38"/>
      <c r="BI206" s="38"/>
      <c r="BS206" s="38"/>
      <c r="CC206" s="38"/>
      <c r="CM206" s="38"/>
      <c r="CW206" s="38"/>
      <c r="DG206" s="38"/>
      <c r="DQ206" s="38"/>
      <c r="EA206" s="38"/>
    </row>
    <row r="207" spans="11:131" ht="15" customHeight="1" x14ac:dyDescent="0.2">
      <c r="K207" s="38"/>
      <c r="U207" s="38"/>
      <c r="AE207" s="38"/>
      <c r="AO207" s="38"/>
      <c r="AY207" s="38"/>
      <c r="BI207" s="38"/>
      <c r="BS207" s="38"/>
      <c r="CC207" s="38"/>
      <c r="CM207" s="38"/>
      <c r="CW207" s="38"/>
      <c r="DG207" s="38"/>
      <c r="DQ207" s="38"/>
      <c r="EA207" s="38"/>
    </row>
    <row r="208" spans="11:131" ht="15" customHeight="1" x14ac:dyDescent="0.2">
      <c r="K208" s="38"/>
      <c r="U208" s="38"/>
      <c r="AE208" s="38"/>
      <c r="AO208" s="38"/>
      <c r="AY208" s="38"/>
      <c r="BI208" s="38"/>
      <c r="BS208" s="38"/>
      <c r="CC208" s="38"/>
      <c r="CM208" s="38"/>
      <c r="CW208" s="38"/>
      <c r="DG208" s="38"/>
      <c r="DQ208" s="38"/>
      <c r="EA208" s="38"/>
    </row>
    <row r="209" spans="11:131" ht="15" customHeight="1" x14ac:dyDescent="0.2">
      <c r="K209" s="38"/>
      <c r="U209" s="38"/>
      <c r="AE209" s="38"/>
      <c r="AO209" s="38"/>
      <c r="AY209" s="38"/>
      <c r="BI209" s="38"/>
      <c r="BS209" s="38"/>
      <c r="CC209" s="38"/>
      <c r="CM209" s="38"/>
      <c r="CW209" s="38"/>
      <c r="DG209" s="38"/>
      <c r="DQ209" s="38"/>
      <c r="EA209" s="38"/>
    </row>
    <row r="210" spans="11:131" ht="15" customHeight="1" x14ac:dyDescent="0.2">
      <c r="K210" s="38"/>
      <c r="U210" s="38"/>
      <c r="AE210" s="38"/>
      <c r="AO210" s="38"/>
      <c r="AY210" s="38"/>
      <c r="BI210" s="38"/>
      <c r="BS210" s="38"/>
      <c r="CC210" s="38"/>
      <c r="CM210" s="38"/>
      <c r="CW210" s="38"/>
      <c r="DG210" s="38"/>
      <c r="DQ210" s="38"/>
      <c r="EA210" s="38"/>
    </row>
    <row r="211" spans="11:131" ht="15" customHeight="1" x14ac:dyDescent="0.2">
      <c r="K211" s="38"/>
      <c r="U211" s="38"/>
      <c r="AE211" s="38"/>
      <c r="AO211" s="38"/>
      <c r="AY211" s="38"/>
      <c r="BI211" s="38"/>
      <c r="BS211" s="38"/>
      <c r="CC211" s="38"/>
      <c r="CM211" s="38"/>
      <c r="CW211" s="38"/>
      <c r="DG211" s="38"/>
      <c r="DQ211" s="38"/>
      <c r="EA211" s="38"/>
    </row>
    <row r="212" spans="11:131" ht="15" customHeight="1" x14ac:dyDescent="0.2">
      <c r="K212" s="38"/>
      <c r="U212" s="38"/>
      <c r="AE212" s="38"/>
      <c r="AO212" s="38"/>
      <c r="AY212" s="38"/>
      <c r="BI212" s="38"/>
      <c r="BS212" s="38"/>
      <c r="CC212" s="38"/>
      <c r="CM212" s="38"/>
      <c r="CW212" s="38"/>
      <c r="DG212" s="38"/>
      <c r="DQ212" s="38"/>
      <c r="EA212" s="38"/>
    </row>
    <row r="213" spans="11:131" ht="15" customHeight="1" x14ac:dyDescent="0.2">
      <c r="K213" s="38"/>
      <c r="U213" s="38"/>
      <c r="AE213" s="38"/>
      <c r="AO213" s="38"/>
      <c r="AY213" s="38"/>
      <c r="BI213" s="38"/>
      <c r="BS213" s="38"/>
      <c r="CC213" s="38"/>
      <c r="CM213" s="38"/>
      <c r="CW213" s="38"/>
      <c r="DG213" s="38"/>
      <c r="DQ213" s="38"/>
      <c r="EA213" s="38"/>
    </row>
    <row r="214" spans="11:131" ht="15" customHeight="1" x14ac:dyDescent="0.2">
      <c r="K214" s="38"/>
      <c r="U214" s="38"/>
      <c r="AE214" s="38"/>
      <c r="AO214" s="38"/>
      <c r="AY214" s="38"/>
      <c r="BI214" s="38"/>
      <c r="BS214" s="38"/>
      <c r="CC214" s="38"/>
      <c r="CM214" s="38"/>
      <c r="CW214" s="38"/>
      <c r="DG214" s="38"/>
      <c r="DQ214" s="38"/>
      <c r="EA214" s="38"/>
    </row>
    <row r="215" spans="11:131" ht="15" customHeight="1" x14ac:dyDescent="0.2">
      <c r="K215" s="38"/>
      <c r="U215" s="38"/>
      <c r="AE215" s="38"/>
      <c r="AO215" s="38"/>
      <c r="AY215" s="38"/>
      <c r="BI215" s="38"/>
      <c r="BS215" s="38"/>
      <c r="CC215" s="38"/>
      <c r="CM215" s="38"/>
      <c r="CW215" s="38"/>
      <c r="DG215" s="38"/>
      <c r="DQ215" s="38"/>
      <c r="EA215" s="38"/>
    </row>
    <row r="216" spans="11:131" ht="15" customHeight="1" x14ac:dyDescent="0.2">
      <c r="K216" s="38"/>
      <c r="U216" s="38"/>
      <c r="AE216" s="38"/>
      <c r="AO216" s="38"/>
      <c r="AY216" s="38"/>
      <c r="BI216" s="38"/>
      <c r="BS216" s="38"/>
      <c r="CC216" s="38"/>
      <c r="CM216" s="38"/>
      <c r="CW216" s="38"/>
      <c r="DG216" s="38"/>
      <c r="DQ216" s="38"/>
      <c r="EA216" s="38"/>
    </row>
    <row r="217" spans="11:131" ht="15" customHeight="1" x14ac:dyDescent="0.2">
      <c r="K217" s="38"/>
      <c r="U217" s="38"/>
      <c r="AE217" s="38"/>
      <c r="AO217" s="38"/>
      <c r="AY217" s="38"/>
      <c r="BI217" s="38"/>
      <c r="BS217" s="38"/>
      <c r="CC217" s="38"/>
      <c r="CM217" s="38"/>
      <c r="CW217" s="38"/>
      <c r="DG217" s="38"/>
      <c r="DQ217" s="38"/>
      <c r="EA217" s="38"/>
    </row>
    <row r="218" spans="11:131" ht="15" customHeight="1" x14ac:dyDescent="0.2">
      <c r="K218" s="38"/>
      <c r="U218" s="38"/>
      <c r="AE218" s="38"/>
      <c r="AO218" s="38"/>
      <c r="AY218" s="38"/>
      <c r="BI218" s="38"/>
      <c r="BS218" s="38"/>
      <c r="CC218" s="38"/>
      <c r="CM218" s="38"/>
      <c r="CW218" s="38"/>
      <c r="DG218" s="38"/>
      <c r="DQ218" s="38"/>
      <c r="EA218" s="38"/>
    </row>
    <row r="219" spans="11:131" ht="15" customHeight="1" x14ac:dyDescent="0.2">
      <c r="K219" s="38"/>
      <c r="U219" s="38"/>
      <c r="AE219" s="38"/>
      <c r="AO219" s="38"/>
      <c r="AY219" s="38"/>
      <c r="BI219" s="38"/>
      <c r="BS219" s="38"/>
      <c r="CC219" s="38"/>
      <c r="CM219" s="38"/>
      <c r="CW219" s="38"/>
      <c r="DG219" s="38"/>
      <c r="DQ219" s="38"/>
      <c r="EA219" s="38"/>
    </row>
    <row r="220" spans="11:131" ht="15" customHeight="1" x14ac:dyDescent="0.2">
      <c r="K220" s="38"/>
      <c r="U220" s="38"/>
      <c r="AE220" s="38"/>
      <c r="AO220" s="38"/>
      <c r="AY220" s="38"/>
      <c r="BI220" s="38"/>
      <c r="BS220" s="38"/>
      <c r="CC220" s="38"/>
      <c r="CM220" s="38"/>
      <c r="CW220" s="38"/>
      <c r="DG220" s="38"/>
      <c r="DQ220" s="38"/>
      <c r="EA220" s="38"/>
    </row>
    <row r="221" spans="11:131" ht="15" customHeight="1" x14ac:dyDescent="0.2">
      <c r="K221" s="38"/>
      <c r="U221" s="38"/>
      <c r="AE221" s="38"/>
      <c r="AO221" s="38"/>
      <c r="AY221" s="38"/>
      <c r="BI221" s="38"/>
      <c r="BS221" s="38"/>
      <c r="CC221" s="38"/>
      <c r="CM221" s="38"/>
      <c r="CW221" s="38"/>
      <c r="DG221" s="38"/>
      <c r="DQ221" s="38"/>
      <c r="EA221" s="38"/>
    </row>
    <row r="222" spans="11:131" ht="15" customHeight="1" x14ac:dyDescent="0.2">
      <c r="K222" s="38"/>
      <c r="U222" s="38"/>
      <c r="AE222" s="38"/>
      <c r="AO222" s="38"/>
      <c r="AY222" s="38"/>
      <c r="BI222" s="38"/>
      <c r="BS222" s="38"/>
      <c r="CC222" s="38"/>
      <c r="CM222" s="38"/>
      <c r="CW222" s="38"/>
      <c r="DG222" s="38"/>
      <c r="DQ222" s="38"/>
      <c r="EA222" s="38"/>
    </row>
    <row r="223" spans="11:131" ht="15" customHeight="1" x14ac:dyDescent="0.2">
      <c r="K223" s="38"/>
      <c r="U223" s="38"/>
      <c r="AE223" s="38"/>
      <c r="AO223" s="38"/>
      <c r="AY223" s="38"/>
      <c r="BI223" s="38"/>
      <c r="BS223" s="38"/>
      <c r="CC223" s="38"/>
      <c r="CM223" s="38"/>
      <c r="CW223" s="38"/>
      <c r="DG223" s="38"/>
      <c r="DQ223" s="38"/>
      <c r="EA223" s="38"/>
    </row>
    <row r="224" spans="11:131" ht="15" customHeight="1" x14ac:dyDescent="0.2">
      <c r="K224" s="38"/>
      <c r="U224" s="38"/>
      <c r="AE224" s="38"/>
      <c r="AO224" s="38"/>
      <c r="AY224" s="38"/>
      <c r="BI224" s="38"/>
      <c r="BS224" s="38"/>
      <c r="CC224" s="38"/>
      <c r="CM224" s="38"/>
      <c r="CW224" s="38"/>
      <c r="DG224" s="38"/>
      <c r="DQ224" s="38"/>
      <c r="EA224" s="38"/>
    </row>
    <row r="225" spans="11:131" ht="15" customHeight="1" x14ac:dyDescent="0.2">
      <c r="K225" s="38"/>
      <c r="U225" s="38"/>
      <c r="AE225" s="38"/>
      <c r="AO225" s="38"/>
      <c r="AY225" s="38"/>
      <c r="BI225" s="38"/>
      <c r="BS225" s="38"/>
      <c r="CC225" s="38"/>
      <c r="CM225" s="38"/>
      <c r="CW225" s="38"/>
      <c r="DG225" s="38"/>
      <c r="DQ225" s="38"/>
      <c r="EA225" s="38"/>
    </row>
    <row r="226" spans="11:131" ht="15" customHeight="1" x14ac:dyDescent="0.2">
      <c r="K226" s="38"/>
      <c r="U226" s="38"/>
      <c r="AE226" s="38"/>
      <c r="AO226" s="38"/>
      <c r="AY226" s="38"/>
      <c r="BI226" s="38"/>
      <c r="BS226" s="38"/>
      <c r="CC226" s="38"/>
      <c r="CM226" s="38"/>
      <c r="CW226" s="38"/>
      <c r="DG226" s="38"/>
      <c r="DQ226" s="38"/>
      <c r="EA226" s="38"/>
    </row>
    <row r="227" spans="11:131" ht="15" customHeight="1" x14ac:dyDescent="0.2">
      <c r="K227" s="38"/>
      <c r="U227" s="38"/>
      <c r="AE227" s="38"/>
      <c r="AO227" s="38"/>
      <c r="AY227" s="38"/>
      <c r="BI227" s="38"/>
      <c r="BS227" s="38"/>
      <c r="CC227" s="38"/>
      <c r="CM227" s="38"/>
      <c r="CW227" s="38"/>
      <c r="DG227" s="38"/>
      <c r="DQ227" s="38"/>
      <c r="EA227" s="38"/>
    </row>
    <row r="228" spans="11:131" ht="15" customHeight="1" x14ac:dyDescent="0.2">
      <c r="K228" s="38"/>
      <c r="U228" s="38"/>
      <c r="AE228" s="38"/>
      <c r="AO228" s="38"/>
      <c r="AY228" s="38"/>
      <c r="BI228" s="38"/>
      <c r="BS228" s="38"/>
      <c r="CC228" s="38"/>
      <c r="CM228" s="38"/>
      <c r="CW228" s="38"/>
      <c r="DG228" s="38"/>
      <c r="DQ228" s="38"/>
      <c r="EA228" s="38"/>
    </row>
    <row r="229" spans="11:131" ht="15" customHeight="1" x14ac:dyDescent="0.2">
      <c r="K229" s="38"/>
      <c r="U229" s="38"/>
      <c r="AE229" s="38"/>
      <c r="AO229" s="38"/>
      <c r="AY229" s="38"/>
      <c r="BI229" s="38"/>
      <c r="BS229" s="38"/>
      <c r="CC229" s="38"/>
      <c r="CM229" s="38"/>
      <c r="CW229" s="38"/>
      <c r="DG229" s="38"/>
      <c r="DQ229" s="38"/>
      <c r="EA229" s="38"/>
    </row>
    <row r="230" spans="11:131" ht="15" customHeight="1" x14ac:dyDescent="0.2">
      <c r="K230" s="38"/>
      <c r="U230" s="38"/>
      <c r="AE230" s="38"/>
      <c r="AO230" s="38"/>
      <c r="AY230" s="38"/>
      <c r="BI230" s="38"/>
      <c r="BS230" s="38"/>
      <c r="CC230" s="38"/>
      <c r="CM230" s="38"/>
      <c r="CW230" s="38"/>
      <c r="DG230" s="38"/>
      <c r="DQ230" s="38"/>
      <c r="EA230" s="38"/>
    </row>
    <row r="231" spans="11:131" ht="15" customHeight="1" x14ac:dyDescent="0.2">
      <c r="K231" s="38"/>
      <c r="U231" s="38"/>
      <c r="AE231" s="38"/>
      <c r="AO231" s="38"/>
      <c r="AY231" s="38"/>
      <c r="BI231" s="38"/>
      <c r="BS231" s="38"/>
      <c r="CC231" s="38"/>
      <c r="CM231" s="38"/>
      <c r="CW231" s="38"/>
      <c r="DG231" s="38"/>
      <c r="DQ231" s="38"/>
      <c r="EA231" s="38"/>
    </row>
    <row r="232" spans="11:131" ht="15" customHeight="1" x14ac:dyDescent="0.2">
      <c r="K232" s="38"/>
      <c r="U232" s="38"/>
      <c r="AE232" s="38"/>
      <c r="AO232" s="38"/>
      <c r="AY232" s="38"/>
      <c r="BI232" s="38"/>
      <c r="BS232" s="38"/>
      <c r="CC232" s="38"/>
      <c r="CM232" s="38"/>
      <c r="CW232" s="38"/>
      <c r="DG232" s="38"/>
      <c r="DQ232" s="38"/>
      <c r="EA232" s="38"/>
    </row>
    <row r="233" spans="11:131" ht="15" customHeight="1" x14ac:dyDescent="0.2">
      <c r="K233" s="38"/>
      <c r="U233" s="38"/>
      <c r="AE233" s="38"/>
      <c r="AO233" s="38"/>
      <c r="AY233" s="38"/>
      <c r="BI233" s="38"/>
      <c r="BS233" s="38"/>
      <c r="CC233" s="38"/>
      <c r="CM233" s="38"/>
      <c r="CW233" s="38"/>
      <c r="DG233" s="38"/>
      <c r="DQ233" s="38"/>
      <c r="EA233" s="38"/>
    </row>
    <row r="234" spans="11:131" ht="15" customHeight="1" x14ac:dyDescent="0.2">
      <c r="K234" s="38"/>
      <c r="U234" s="38"/>
      <c r="AE234" s="38"/>
      <c r="AO234" s="38"/>
      <c r="AY234" s="38"/>
      <c r="BI234" s="38"/>
      <c r="BS234" s="38"/>
      <c r="CC234" s="38"/>
      <c r="CM234" s="38"/>
      <c r="CW234" s="38"/>
      <c r="DG234" s="38"/>
      <c r="DQ234" s="38"/>
      <c r="EA234" s="38"/>
    </row>
    <row r="235" spans="11:131" ht="15" customHeight="1" x14ac:dyDescent="0.2">
      <c r="K235" s="38"/>
      <c r="U235" s="38"/>
      <c r="AE235" s="38"/>
      <c r="AO235" s="38"/>
      <c r="AY235" s="38"/>
      <c r="BI235" s="38"/>
      <c r="BS235" s="38"/>
      <c r="CC235" s="38"/>
      <c r="CM235" s="38"/>
      <c r="CW235" s="38"/>
      <c r="DG235" s="38"/>
      <c r="DQ235" s="38"/>
      <c r="EA235" s="38"/>
    </row>
    <row r="236" spans="11:131" ht="15" customHeight="1" x14ac:dyDescent="0.2">
      <c r="K236" s="38"/>
      <c r="U236" s="38"/>
      <c r="AE236" s="38"/>
      <c r="AO236" s="38"/>
      <c r="AY236" s="38"/>
      <c r="BI236" s="38"/>
      <c r="BS236" s="38"/>
      <c r="CC236" s="38"/>
      <c r="CM236" s="38"/>
      <c r="CW236" s="38"/>
      <c r="DG236" s="38"/>
      <c r="DQ236" s="38"/>
      <c r="EA236" s="38"/>
    </row>
    <row r="237" spans="11:131" ht="15" customHeight="1" x14ac:dyDescent="0.2">
      <c r="K237" s="38"/>
      <c r="U237" s="38"/>
      <c r="AE237" s="38"/>
      <c r="AO237" s="38"/>
      <c r="AY237" s="38"/>
      <c r="BI237" s="38"/>
      <c r="BS237" s="38"/>
      <c r="CC237" s="38"/>
      <c r="CM237" s="38"/>
      <c r="CW237" s="38"/>
      <c r="DG237" s="38"/>
      <c r="DQ237" s="38"/>
      <c r="EA237" s="38"/>
    </row>
    <row r="238" spans="11:131" ht="15" customHeight="1" x14ac:dyDescent="0.2">
      <c r="K238" s="38"/>
      <c r="U238" s="38"/>
      <c r="AE238" s="38"/>
      <c r="AO238" s="38"/>
      <c r="AY238" s="38"/>
      <c r="BI238" s="38"/>
      <c r="BS238" s="38"/>
      <c r="CC238" s="38"/>
      <c r="CM238" s="38"/>
      <c r="CW238" s="38"/>
      <c r="DG238" s="38"/>
      <c r="DQ238" s="38"/>
      <c r="EA238" s="38"/>
    </row>
    <row r="239" spans="11:131" ht="15" customHeight="1" x14ac:dyDescent="0.2">
      <c r="K239" s="38"/>
      <c r="U239" s="38"/>
      <c r="AE239" s="38"/>
      <c r="AO239" s="38"/>
      <c r="AY239" s="38"/>
      <c r="BI239" s="38"/>
      <c r="BS239" s="38"/>
      <c r="CC239" s="38"/>
      <c r="CM239" s="38"/>
      <c r="CW239" s="38"/>
      <c r="DG239" s="38"/>
      <c r="DQ239" s="38"/>
      <c r="EA239" s="38"/>
    </row>
    <row r="240" spans="11:131" ht="15" customHeight="1" x14ac:dyDescent="0.2">
      <c r="K240" s="38"/>
      <c r="U240" s="38"/>
      <c r="AE240" s="38"/>
      <c r="AO240" s="38"/>
      <c r="AY240" s="38"/>
      <c r="BI240" s="38"/>
      <c r="BS240" s="38"/>
      <c r="CC240" s="38"/>
      <c r="CM240" s="38"/>
      <c r="CW240" s="38"/>
      <c r="DG240" s="38"/>
      <c r="DQ240" s="38"/>
      <c r="EA240" s="38"/>
    </row>
    <row r="241" spans="11:131" ht="15" customHeight="1" x14ac:dyDescent="0.2">
      <c r="K241" s="38"/>
      <c r="U241" s="38"/>
      <c r="AE241" s="38"/>
      <c r="AO241" s="38"/>
      <c r="AY241" s="38"/>
      <c r="BI241" s="38"/>
      <c r="BS241" s="38"/>
      <c r="CC241" s="38"/>
      <c r="CM241" s="38"/>
      <c r="CW241" s="38"/>
      <c r="DG241" s="38"/>
      <c r="DQ241" s="38"/>
      <c r="EA241" s="38"/>
    </row>
    <row r="242" spans="11:131" ht="15" customHeight="1" x14ac:dyDescent="0.2">
      <c r="K242" s="38"/>
      <c r="U242" s="38"/>
      <c r="AE242" s="38"/>
      <c r="AO242" s="38"/>
      <c r="AY242" s="38"/>
      <c r="BI242" s="38"/>
      <c r="BS242" s="38"/>
      <c r="CC242" s="38"/>
      <c r="CM242" s="38"/>
      <c r="CW242" s="38"/>
      <c r="DG242" s="38"/>
      <c r="DQ242" s="38"/>
      <c r="EA242" s="38"/>
    </row>
    <row r="243" spans="11:131" ht="15" customHeight="1" x14ac:dyDescent="0.2">
      <c r="K243" s="38"/>
      <c r="U243" s="38"/>
      <c r="AE243" s="38"/>
      <c r="AO243" s="38"/>
      <c r="AY243" s="38"/>
      <c r="BI243" s="38"/>
      <c r="BS243" s="38"/>
      <c r="CC243" s="38"/>
      <c r="CM243" s="38"/>
      <c r="CW243" s="38"/>
      <c r="DG243" s="38"/>
      <c r="DQ243" s="38"/>
      <c r="EA243" s="38"/>
    </row>
    <row r="244" spans="11:131" ht="15" customHeight="1" x14ac:dyDescent="0.2">
      <c r="K244" s="38"/>
      <c r="U244" s="38"/>
      <c r="AE244" s="38"/>
      <c r="AO244" s="38"/>
      <c r="AY244" s="38"/>
      <c r="BI244" s="38"/>
      <c r="BS244" s="38"/>
      <c r="CC244" s="38"/>
      <c r="CM244" s="38"/>
      <c r="CW244" s="38"/>
      <c r="DG244" s="38"/>
      <c r="DQ244" s="38"/>
      <c r="EA244" s="38"/>
    </row>
    <row r="245" spans="11:131" ht="15" customHeight="1" x14ac:dyDescent="0.2">
      <c r="K245" s="38"/>
      <c r="U245" s="38"/>
      <c r="AE245" s="38"/>
      <c r="AO245" s="38"/>
      <c r="AY245" s="38"/>
      <c r="BI245" s="38"/>
      <c r="BS245" s="38"/>
      <c r="CC245" s="38"/>
      <c r="CM245" s="38"/>
      <c r="CW245" s="38"/>
      <c r="DG245" s="38"/>
      <c r="DQ245" s="38"/>
      <c r="EA245" s="38"/>
    </row>
    <row r="246" spans="11:131" ht="15" customHeight="1" x14ac:dyDescent="0.2">
      <c r="K246" s="38"/>
      <c r="U246" s="38"/>
      <c r="AE246" s="38"/>
      <c r="AO246" s="38"/>
      <c r="AY246" s="38"/>
      <c r="BI246" s="38"/>
      <c r="BS246" s="38"/>
      <c r="CC246" s="38"/>
      <c r="CM246" s="38"/>
      <c r="CW246" s="38"/>
      <c r="DG246" s="38"/>
      <c r="DQ246" s="38"/>
      <c r="EA246" s="38"/>
    </row>
    <row r="247" spans="11:131" ht="15" customHeight="1" x14ac:dyDescent="0.2">
      <c r="K247" s="38"/>
      <c r="U247" s="38"/>
      <c r="AE247" s="38"/>
      <c r="AO247" s="38"/>
      <c r="AY247" s="38"/>
      <c r="BI247" s="38"/>
      <c r="BS247" s="38"/>
      <c r="CC247" s="38"/>
      <c r="CM247" s="38"/>
      <c r="CW247" s="38"/>
      <c r="DG247" s="38"/>
      <c r="DQ247" s="38"/>
      <c r="EA247" s="38"/>
    </row>
    <row r="248" spans="11:131" ht="15" customHeight="1" x14ac:dyDescent="0.2">
      <c r="K248" s="38"/>
      <c r="U248" s="38"/>
      <c r="AE248" s="38"/>
      <c r="AO248" s="38"/>
      <c r="AY248" s="38"/>
      <c r="BI248" s="38"/>
      <c r="BS248" s="38"/>
      <c r="CC248" s="38"/>
      <c r="CM248" s="38"/>
      <c r="CW248" s="38"/>
      <c r="DG248" s="38"/>
      <c r="DQ248" s="38"/>
      <c r="EA248" s="38"/>
    </row>
    <row r="249" spans="11:131" ht="15" customHeight="1" x14ac:dyDescent="0.2">
      <c r="K249" s="38"/>
      <c r="U249" s="38"/>
      <c r="AE249" s="38"/>
      <c r="AO249" s="38"/>
      <c r="AY249" s="38"/>
      <c r="BI249" s="38"/>
      <c r="BS249" s="38"/>
      <c r="CC249" s="38"/>
      <c r="CM249" s="38"/>
      <c r="CW249" s="38"/>
      <c r="DG249" s="38"/>
      <c r="DQ249" s="38"/>
      <c r="EA249" s="38"/>
    </row>
    <row r="250" spans="11:131" ht="15" customHeight="1" x14ac:dyDescent="0.2">
      <c r="K250" s="38"/>
      <c r="U250" s="38"/>
      <c r="AE250" s="38"/>
      <c r="AO250" s="38"/>
      <c r="AY250" s="38"/>
      <c r="BI250" s="38"/>
      <c r="BS250" s="38"/>
      <c r="CC250" s="38"/>
      <c r="CM250" s="38"/>
      <c r="CW250" s="38"/>
      <c r="DG250" s="38"/>
      <c r="DQ250" s="38"/>
      <c r="EA250" s="38"/>
    </row>
    <row r="251" spans="11:131" ht="15" customHeight="1" x14ac:dyDescent="0.2">
      <c r="K251" s="38"/>
      <c r="U251" s="38"/>
      <c r="AE251" s="38"/>
      <c r="AO251" s="38"/>
      <c r="AY251" s="38"/>
      <c r="BI251" s="38"/>
      <c r="BS251" s="38"/>
      <c r="CC251" s="38"/>
      <c r="CM251" s="38"/>
      <c r="CW251" s="38"/>
      <c r="DG251" s="38"/>
      <c r="DQ251" s="38"/>
      <c r="EA251" s="38"/>
    </row>
    <row r="252" spans="11:131" ht="15" customHeight="1" x14ac:dyDescent="0.2">
      <c r="K252" s="38"/>
      <c r="U252" s="38"/>
      <c r="AE252" s="38"/>
      <c r="AO252" s="38"/>
      <c r="AY252" s="38"/>
      <c r="BI252" s="38"/>
      <c r="BS252" s="38"/>
      <c r="CC252" s="38"/>
      <c r="CM252" s="38"/>
      <c r="CW252" s="38"/>
      <c r="DG252" s="38"/>
      <c r="DQ252" s="38"/>
      <c r="EA252" s="38"/>
    </row>
    <row r="253" spans="11:131" ht="15" customHeight="1" x14ac:dyDescent="0.2">
      <c r="K253" s="38"/>
      <c r="U253" s="38"/>
      <c r="AE253" s="38"/>
      <c r="AO253" s="38"/>
      <c r="AY253" s="38"/>
      <c r="BI253" s="38"/>
      <c r="BS253" s="38"/>
      <c r="CC253" s="38"/>
      <c r="CM253" s="38"/>
      <c r="CW253" s="38"/>
      <c r="DG253" s="38"/>
      <c r="DQ253" s="38"/>
      <c r="EA253" s="38"/>
    </row>
    <row r="254" spans="11:131" ht="15" customHeight="1" x14ac:dyDescent="0.2">
      <c r="K254" s="38"/>
      <c r="U254" s="38"/>
      <c r="AE254" s="38"/>
      <c r="AO254" s="38"/>
      <c r="AY254" s="38"/>
      <c r="BI254" s="38"/>
      <c r="BS254" s="38"/>
      <c r="CC254" s="38"/>
      <c r="CM254" s="38"/>
      <c r="CW254" s="38"/>
      <c r="DG254" s="38"/>
      <c r="DQ254" s="38"/>
      <c r="EA254" s="38"/>
    </row>
    <row r="255" spans="11:131" ht="15" customHeight="1" x14ac:dyDescent="0.2">
      <c r="K255" s="38"/>
      <c r="U255" s="38"/>
      <c r="AE255" s="38"/>
      <c r="AO255" s="38"/>
      <c r="AY255" s="38"/>
      <c r="BI255" s="38"/>
      <c r="BS255" s="38"/>
      <c r="CC255" s="38"/>
      <c r="CM255" s="38"/>
      <c r="CW255" s="38"/>
      <c r="DG255" s="38"/>
      <c r="DQ255" s="38"/>
      <c r="EA255" s="38"/>
    </row>
    <row r="256" spans="11:131" ht="15" customHeight="1" x14ac:dyDescent="0.2">
      <c r="K256" s="38"/>
      <c r="U256" s="38"/>
      <c r="AE256" s="38"/>
      <c r="AO256" s="38"/>
      <c r="AY256" s="38"/>
      <c r="BI256" s="38"/>
      <c r="BS256" s="38"/>
      <c r="CC256" s="38"/>
      <c r="CM256" s="38"/>
      <c r="CW256" s="38"/>
      <c r="DG256" s="38"/>
      <c r="DQ256" s="38"/>
      <c r="EA256" s="38"/>
    </row>
    <row r="257" spans="11:131" ht="15" customHeight="1" x14ac:dyDescent="0.2">
      <c r="K257" s="38"/>
      <c r="U257" s="38"/>
      <c r="AE257" s="38"/>
      <c r="AO257" s="38"/>
      <c r="AY257" s="38"/>
      <c r="BI257" s="38"/>
      <c r="BS257" s="38"/>
      <c r="CC257" s="38"/>
      <c r="CM257" s="38"/>
      <c r="CW257" s="38"/>
      <c r="DG257" s="38"/>
      <c r="DQ257" s="38"/>
      <c r="EA257" s="38"/>
    </row>
    <row r="258" spans="11:131" ht="15" customHeight="1" x14ac:dyDescent="0.2">
      <c r="K258" s="38"/>
      <c r="U258" s="38"/>
      <c r="AE258" s="38"/>
      <c r="AO258" s="38"/>
      <c r="AY258" s="38"/>
      <c r="BI258" s="38"/>
      <c r="BS258" s="38"/>
      <c r="CC258" s="38"/>
      <c r="CM258" s="38"/>
      <c r="CW258" s="38"/>
      <c r="DG258" s="38"/>
      <c r="DQ258" s="38"/>
      <c r="EA258" s="38"/>
    </row>
    <row r="259" spans="11:131" ht="15" customHeight="1" x14ac:dyDescent="0.2">
      <c r="K259" s="38"/>
      <c r="U259" s="38"/>
      <c r="AE259" s="38"/>
      <c r="AO259" s="38"/>
      <c r="AY259" s="38"/>
      <c r="BI259" s="38"/>
      <c r="BS259" s="38"/>
      <c r="CC259" s="38"/>
      <c r="CM259" s="38"/>
      <c r="CW259" s="38"/>
      <c r="DG259" s="38"/>
      <c r="DQ259" s="38"/>
      <c r="EA259" s="38"/>
    </row>
    <row r="260" spans="11:131" ht="15" customHeight="1" x14ac:dyDescent="0.2">
      <c r="K260" s="38"/>
      <c r="U260" s="38"/>
      <c r="AE260" s="38"/>
      <c r="AO260" s="38"/>
      <c r="AY260" s="38"/>
      <c r="BI260" s="38"/>
      <c r="BS260" s="38"/>
      <c r="CC260" s="38"/>
      <c r="CM260" s="38"/>
      <c r="CW260" s="38"/>
      <c r="DG260" s="38"/>
      <c r="DQ260" s="38"/>
      <c r="EA260" s="38"/>
    </row>
    <row r="261" spans="11:131" ht="15" customHeight="1" x14ac:dyDescent="0.2">
      <c r="K261" s="38"/>
      <c r="U261" s="38"/>
      <c r="AE261" s="38"/>
      <c r="AO261" s="38"/>
      <c r="AY261" s="38"/>
      <c r="BI261" s="38"/>
      <c r="BS261" s="38"/>
      <c r="CC261" s="38"/>
      <c r="CM261" s="38"/>
      <c r="CW261" s="38"/>
      <c r="DG261" s="38"/>
      <c r="DQ261" s="38"/>
      <c r="EA261" s="38"/>
    </row>
    <row r="262" spans="11:131" ht="15" customHeight="1" x14ac:dyDescent="0.2">
      <c r="K262" s="38"/>
      <c r="U262" s="38"/>
      <c r="AE262" s="38"/>
      <c r="AO262" s="38"/>
      <c r="AY262" s="38"/>
      <c r="BI262" s="38"/>
      <c r="BS262" s="38"/>
      <c r="CC262" s="38"/>
      <c r="CM262" s="38"/>
      <c r="CW262" s="38"/>
      <c r="DG262" s="38"/>
      <c r="DQ262" s="38"/>
      <c r="EA262" s="38"/>
    </row>
    <row r="263" spans="11:131" ht="15" customHeight="1" x14ac:dyDescent="0.2">
      <c r="K263" s="38"/>
      <c r="U263" s="38"/>
      <c r="AE263" s="38"/>
      <c r="AO263" s="38"/>
      <c r="AY263" s="38"/>
      <c r="BI263" s="38"/>
      <c r="BS263" s="38"/>
      <c r="CC263" s="38"/>
      <c r="CM263" s="38"/>
      <c r="CW263" s="38"/>
      <c r="DG263" s="38"/>
      <c r="DQ263" s="38"/>
      <c r="EA263" s="38"/>
    </row>
    <row r="264" spans="11:131" ht="15" customHeight="1" x14ac:dyDescent="0.2">
      <c r="K264" s="38"/>
      <c r="U264" s="38"/>
      <c r="AE264" s="38"/>
      <c r="AO264" s="38"/>
      <c r="AY264" s="38"/>
      <c r="BI264" s="38"/>
      <c r="BS264" s="38"/>
      <c r="CC264" s="38"/>
      <c r="CM264" s="38"/>
      <c r="CW264" s="38"/>
      <c r="DG264" s="38"/>
      <c r="DQ264" s="38"/>
      <c r="EA264" s="38"/>
    </row>
    <row r="265" spans="11:131" ht="15" customHeight="1" x14ac:dyDescent="0.2">
      <c r="K265" s="38"/>
      <c r="U265" s="38"/>
      <c r="AE265" s="38"/>
      <c r="AO265" s="38"/>
      <c r="AY265" s="38"/>
      <c r="BI265" s="38"/>
      <c r="BS265" s="38"/>
      <c r="CC265" s="38"/>
      <c r="CM265" s="38"/>
      <c r="CW265" s="38"/>
      <c r="DG265" s="38"/>
      <c r="DQ265" s="38"/>
      <c r="EA265" s="38"/>
    </row>
    <row r="266" spans="11:131" ht="15" customHeight="1" x14ac:dyDescent="0.2">
      <c r="K266" s="38"/>
      <c r="U266" s="38"/>
      <c r="AE266" s="38"/>
      <c r="AO266" s="38"/>
      <c r="AY266" s="38"/>
      <c r="BI266" s="38"/>
      <c r="BS266" s="38"/>
      <c r="CC266" s="38"/>
      <c r="CM266" s="38"/>
      <c r="CW266" s="38"/>
      <c r="DG266" s="38"/>
      <c r="DQ266" s="38"/>
      <c r="EA266" s="38"/>
    </row>
    <row r="267" spans="11:131" ht="15" customHeight="1" x14ac:dyDescent="0.2">
      <c r="K267" s="38"/>
      <c r="U267" s="38"/>
      <c r="AE267" s="38"/>
      <c r="AO267" s="38"/>
      <c r="AY267" s="38"/>
      <c r="BI267" s="38"/>
      <c r="BS267" s="38"/>
      <c r="CC267" s="38"/>
      <c r="CM267" s="38"/>
      <c r="CW267" s="38"/>
      <c r="DG267" s="38"/>
      <c r="DQ267" s="38"/>
      <c r="EA267" s="38"/>
    </row>
    <row r="268" spans="11:131" ht="15" customHeight="1" x14ac:dyDescent="0.2">
      <c r="K268" s="38"/>
      <c r="U268" s="38"/>
      <c r="AE268" s="38"/>
      <c r="AO268" s="38"/>
      <c r="AY268" s="38"/>
      <c r="BI268" s="38"/>
      <c r="BS268" s="38"/>
      <c r="CC268" s="38"/>
      <c r="CM268" s="38"/>
      <c r="CW268" s="38"/>
      <c r="DG268" s="38"/>
      <c r="DQ268" s="38"/>
      <c r="EA268" s="38"/>
    </row>
    <row r="269" spans="11:131" ht="15" customHeight="1" x14ac:dyDescent="0.2">
      <c r="K269" s="38"/>
      <c r="U269" s="38"/>
      <c r="AE269" s="38"/>
      <c r="AO269" s="38"/>
      <c r="AY269" s="38"/>
      <c r="BI269" s="38"/>
      <c r="BS269" s="38"/>
      <c r="CC269" s="38"/>
      <c r="CM269" s="38"/>
      <c r="CW269" s="38"/>
      <c r="DG269" s="38"/>
      <c r="DQ269" s="38"/>
      <c r="EA269" s="38"/>
    </row>
    <row r="270" spans="11:131" ht="15" customHeight="1" x14ac:dyDescent="0.2">
      <c r="K270" s="38"/>
      <c r="U270" s="38"/>
      <c r="AE270" s="38"/>
      <c r="AO270" s="38"/>
      <c r="AY270" s="38"/>
      <c r="BI270" s="38"/>
      <c r="BS270" s="38"/>
      <c r="CC270" s="38"/>
      <c r="CM270" s="38"/>
      <c r="CW270" s="38"/>
      <c r="DG270" s="38"/>
      <c r="DQ270" s="38"/>
      <c r="EA270" s="38"/>
    </row>
    <row r="271" spans="11:131" ht="15" customHeight="1" x14ac:dyDescent="0.2">
      <c r="K271" s="38"/>
      <c r="U271" s="38"/>
      <c r="AE271" s="38"/>
      <c r="AO271" s="38"/>
      <c r="AY271" s="38"/>
      <c r="BI271" s="38"/>
      <c r="BS271" s="38"/>
      <c r="CC271" s="38"/>
      <c r="CM271" s="38"/>
      <c r="CW271" s="38"/>
      <c r="DG271" s="38"/>
      <c r="DQ271" s="38"/>
      <c r="EA271" s="38"/>
    </row>
    <row r="272" spans="11:131" ht="15" customHeight="1" x14ac:dyDescent="0.2">
      <c r="K272" s="38"/>
      <c r="U272" s="38"/>
      <c r="AE272" s="38"/>
      <c r="AO272" s="38"/>
      <c r="AY272" s="38"/>
      <c r="BI272" s="38"/>
      <c r="BS272" s="38"/>
      <c r="CC272" s="38"/>
      <c r="CM272" s="38"/>
      <c r="CW272" s="38"/>
      <c r="DG272" s="38"/>
      <c r="DQ272" s="38"/>
      <c r="EA272" s="38"/>
    </row>
    <row r="273" spans="11:131" ht="15" customHeight="1" x14ac:dyDescent="0.2">
      <c r="K273" s="38"/>
      <c r="U273" s="38"/>
      <c r="AE273" s="38"/>
      <c r="AO273" s="38"/>
      <c r="AY273" s="38"/>
      <c r="BI273" s="38"/>
      <c r="BS273" s="38"/>
      <c r="CC273" s="38"/>
      <c r="CM273" s="38"/>
      <c r="CW273" s="38"/>
      <c r="DG273" s="38"/>
      <c r="DQ273" s="38"/>
      <c r="EA273" s="38"/>
    </row>
    <row r="274" spans="11:131" ht="15" customHeight="1" x14ac:dyDescent="0.2">
      <c r="K274" s="38"/>
      <c r="U274" s="38"/>
      <c r="AE274" s="38"/>
      <c r="AO274" s="38"/>
      <c r="AY274" s="38"/>
      <c r="BI274" s="38"/>
      <c r="BS274" s="38"/>
      <c r="CC274" s="38"/>
      <c r="CM274" s="38"/>
      <c r="CW274" s="38"/>
      <c r="DG274" s="38"/>
      <c r="DQ274" s="38"/>
      <c r="EA274" s="38"/>
    </row>
    <row r="275" spans="11:131" ht="15" customHeight="1" x14ac:dyDescent="0.2">
      <c r="K275" s="38"/>
      <c r="U275" s="38"/>
      <c r="AE275" s="38"/>
      <c r="AO275" s="38"/>
      <c r="AY275" s="38"/>
      <c r="BI275" s="38"/>
      <c r="BS275" s="38"/>
      <c r="CC275" s="38"/>
      <c r="CM275" s="38"/>
      <c r="CW275" s="38"/>
      <c r="DG275" s="38"/>
      <c r="DQ275" s="38"/>
      <c r="EA275" s="38"/>
    </row>
    <row r="276" spans="11:131" ht="15" customHeight="1" x14ac:dyDescent="0.2">
      <c r="K276" s="38"/>
      <c r="U276" s="38"/>
      <c r="AE276" s="38"/>
      <c r="AO276" s="38"/>
      <c r="AY276" s="38"/>
      <c r="BI276" s="38"/>
      <c r="BS276" s="38"/>
      <c r="CC276" s="38"/>
      <c r="CM276" s="38"/>
      <c r="CW276" s="38"/>
      <c r="DG276" s="38"/>
      <c r="DQ276" s="38"/>
      <c r="EA276" s="38"/>
    </row>
    <row r="277" spans="11:131" ht="15" customHeight="1" x14ac:dyDescent="0.2">
      <c r="K277" s="38"/>
      <c r="U277" s="38"/>
      <c r="AE277" s="38"/>
      <c r="AO277" s="38"/>
      <c r="AY277" s="38"/>
      <c r="BI277" s="38"/>
      <c r="BS277" s="38"/>
      <c r="CC277" s="38"/>
      <c r="CM277" s="38"/>
      <c r="CW277" s="38"/>
      <c r="DG277" s="38"/>
      <c r="DQ277" s="38"/>
      <c r="EA277" s="38"/>
    </row>
    <row r="278" spans="11:131" ht="15" customHeight="1" x14ac:dyDescent="0.2">
      <c r="K278" s="38"/>
      <c r="U278" s="38"/>
      <c r="AE278" s="38"/>
      <c r="AO278" s="38"/>
      <c r="AY278" s="38"/>
      <c r="BI278" s="38"/>
      <c r="BS278" s="38"/>
      <c r="CC278" s="38"/>
      <c r="CM278" s="38"/>
      <c r="CW278" s="38"/>
      <c r="DG278" s="38"/>
      <c r="DQ278" s="38"/>
      <c r="EA278" s="38"/>
    </row>
    <row r="279" spans="11:131" ht="15" customHeight="1" x14ac:dyDescent="0.2">
      <c r="K279" s="38"/>
      <c r="U279" s="38"/>
      <c r="AE279" s="38"/>
      <c r="AO279" s="38"/>
      <c r="AY279" s="38"/>
      <c r="BI279" s="38"/>
      <c r="BS279" s="38"/>
      <c r="CC279" s="38"/>
      <c r="CM279" s="38"/>
      <c r="CW279" s="38"/>
      <c r="DG279" s="38"/>
      <c r="DQ279" s="38"/>
      <c r="EA279" s="38"/>
    </row>
    <row r="280" spans="11:131" ht="15" customHeight="1" x14ac:dyDescent="0.2">
      <c r="K280" s="38"/>
      <c r="U280" s="38"/>
      <c r="AE280" s="38"/>
      <c r="AO280" s="38"/>
      <c r="AY280" s="38"/>
      <c r="BI280" s="38"/>
      <c r="BS280" s="38"/>
      <c r="CC280" s="38"/>
      <c r="CM280" s="38"/>
      <c r="CW280" s="38"/>
      <c r="DG280" s="38"/>
      <c r="DQ280" s="38"/>
      <c r="EA280" s="38"/>
    </row>
    <row r="281" spans="11:131" ht="15" customHeight="1" x14ac:dyDescent="0.2">
      <c r="K281" s="38"/>
      <c r="U281" s="38"/>
      <c r="AE281" s="38"/>
      <c r="AO281" s="38"/>
      <c r="AY281" s="38"/>
      <c r="BI281" s="38"/>
      <c r="BS281" s="38"/>
      <c r="CC281" s="38"/>
      <c r="CM281" s="38"/>
      <c r="CW281" s="38"/>
      <c r="DG281" s="38"/>
      <c r="DQ281" s="38"/>
      <c r="EA281" s="38"/>
    </row>
    <row r="282" spans="11:131" ht="15" customHeight="1" x14ac:dyDescent="0.2">
      <c r="K282" s="38"/>
      <c r="U282" s="38"/>
      <c r="AE282" s="38"/>
      <c r="AO282" s="38"/>
      <c r="AY282" s="38"/>
      <c r="BI282" s="38"/>
      <c r="BS282" s="38"/>
      <c r="CC282" s="38"/>
      <c r="CM282" s="38"/>
      <c r="CW282" s="38"/>
      <c r="DG282" s="38"/>
      <c r="DQ282" s="38"/>
      <c r="EA282" s="38"/>
    </row>
    <row r="283" spans="11:131" ht="15" customHeight="1" x14ac:dyDescent="0.2">
      <c r="K283" s="38"/>
      <c r="U283" s="38"/>
      <c r="AE283" s="38"/>
      <c r="AO283" s="38"/>
      <c r="AY283" s="38"/>
      <c r="BI283" s="38"/>
      <c r="BS283" s="38"/>
      <c r="CC283" s="38"/>
      <c r="CM283" s="38"/>
      <c r="CW283" s="38"/>
      <c r="DG283" s="38"/>
      <c r="DQ283" s="38"/>
      <c r="EA283" s="38"/>
    </row>
    <row r="284" spans="11:131" ht="15" customHeight="1" x14ac:dyDescent="0.2">
      <c r="K284" s="38"/>
      <c r="U284" s="38"/>
      <c r="AE284" s="38"/>
      <c r="AO284" s="38"/>
      <c r="AY284" s="38"/>
      <c r="BI284" s="38"/>
      <c r="BS284" s="38"/>
      <c r="CC284" s="38"/>
      <c r="CM284" s="38"/>
      <c r="CW284" s="38"/>
      <c r="DG284" s="38"/>
      <c r="DQ284" s="38"/>
      <c r="EA284" s="38"/>
    </row>
    <row r="285" spans="11:131" ht="15" customHeight="1" x14ac:dyDescent="0.2">
      <c r="K285" s="38"/>
      <c r="U285" s="38"/>
      <c r="AE285" s="38"/>
      <c r="AO285" s="38"/>
      <c r="AY285" s="38"/>
      <c r="BI285" s="38"/>
      <c r="BS285" s="38"/>
      <c r="CC285" s="38"/>
      <c r="CM285" s="38"/>
      <c r="CW285" s="38"/>
      <c r="DG285" s="38"/>
      <c r="DQ285" s="38"/>
      <c r="EA285" s="38"/>
    </row>
    <row r="286" spans="11:131" ht="15" customHeight="1" x14ac:dyDescent="0.2">
      <c r="K286" s="38"/>
      <c r="U286" s="38"/>
      <c r="AE286" s="38"/>
      <c r="AO286" s="38"/>
      <c r="AY286" s="38"/>
      <c r="BI286" s="38"/>
      <c r="BS286" s="38"/>
      <c r="CC286" s="38"/>
      <c r="CM286" s="38"/>
      <c r="CW286" s="38"/>
      <c r="DG286" s="38"/>
      <c r="DQ286" s="38"/>
      <c r="EA286" s="38"/>
    </row>
    <row r="287" spans="11:131" ht="15" customHeight="1" x14ac:dyDescent="0.2">
      <c r="K287" s="38"/>
      <c r="U287" s="38"/>
      <c r="AE287" s="38"/>
      <c r="AO287" s="38"/>
      <c r="AY287" s="38"/>
      <c r="BI287" s="38"/>
      <c r="BS287" s="38"/>
      <c r="CC287" s="38"/>
      <c r="CM287" s="38"/>
      <c r="CW287" s="38"/>
      <c r="DG287" s="38"/>
      <c r="DQ287" s="38"/>
      <c r="EA287" s="38"/>
    </row>
    <row r="288" spans="11:131" ht="15" customHeight="1" x14ac:dyDescent="0.2">
      <c r="K288" s="38"/>
      <c r="U288" s="38"/>
      <c r="AE288" s="38"/>
      <c r="AO288" s="38"/>
      <c r="AY288" s="38"/>
      <c r="BI288" s="38"/>
      <c r="BS288" s="38"/>
      <c r="CC288" s="38"/>
      <c r="CM288" s="38"/>
      <c r="CW288" s="38"/>
      <c r="DG288" s="38"/>
      <c r="DQ288" s="38"/>
      <c r="EA288" s="38"/>
    </row>
    <row r="289" spans="11:131" ht="15" customHeight="1" x14ac:dyDescent="0.2">
      <c r="K289" s="38"/>
      <c r="U289" s="38"/>
      <c r="AE289" s="38"/>
      <c r="AO289" s="38"/>
      <c r="AY289" s="38"/>
      <c r="BI289" s="38"/>
      <c r="BS289" s="38"/>
      <c r="CC289" s="38"/>
      <c r="CM289" s="38"/>
      <c r="CW289" s="38"/>
      <c r="DG289" s="38"/>
      <c r="DQ289" s="38"/>
      <c r="EA289" s="38"/>
    </row>
    <row r="290" spans="11:131" ht="15" customHeight="1" x14ac:dyDescent="0.2">
      <c r="K290" s="38"/>
      <c r="U290" s="38"/>
      <c r="AE290" s="38"/>
      <c r="AO290" s="38"/>
      <c r="AY290" s="38"/>
      <c r="BI290" s="38"/>
      <c r="BS290" s="38"/>
      <c r="CC290" s="38"/>
      <c r="CM290" s="38"/>
      <c r="CW290" s="38"/>
      <c r="DG290" s="38"/>
      <c r="DQ290" s="38"/>
      <c r="EA290" s="38"/>
    </row>
    <row r="291" spans="11:131" ht="15" customHeight="1" x14ac:dyDescent="0.2">
      <c r="K291" s="38"/>
      <c r="U291" s="38"/>
      <c r="AE291" s="38"/>
      <c r="AO291" s="38"/>
      <c r="AY291" s="38"/>
      <c r="BI291" s="38"/>
      <c r="BS291" s="38"/>
      <c r="CC291" s="38"/>
      <c r="CM291" s="38"/>
      <c r="CW291" s="38"/>
      <c r="DG291" s="38"/>
      <c r="DQ291" s="38"/>
      <c r="EA291" s="38"/>
    </row>
    <row r="292" spans="11:131" ht="15" customHeight="1" x14ac:dyDescent="0.2">
      <c r="K292" s="38"/>
      <c r="U292" s="38"/>
      <c r="AE292" s="38"/>
      <c r="AO292" s="38"/>
      <c r="AY292" s="38"/>
      <c r="BI292" s="38"/>
      <c r="BS292" s="38"/>
      <c r="CC292" s="38"/>
      <c r="CM292" s="38"/>
      <c r="CW292" s="38"/>
      <c r="DG292" s="38"/>
      <c r="DQ292" s="38"/>
      <c r="EA292" s="38"/>
    </row>
    <row r="293" spans="11:131" ht="15" customHeight="1" x14ac:dyDescent="0.2">
      <c r="K293" s="38"/>
      <c r="U293" s="38"/>
      <c r="AE293" s="38"/>
      <c r="AO293" s="38"/>
      <c r="AY293" s="38"/>
      <c r="BI293" s="38"/>
      <c r="BS293" s="38"/>
      <c r="CC293" s="38"/>
      <c r="CM293" s="38"/>
      <c r="CW293" s="38"/>
      <c r="DG293" s="38"/>
      <c r="DQ293" s="38"/>
      <c r="EA293" s="38"/>
    </row>
    <row r="294" spans="11:131" ht="15" customHeight="1" x14ac:dyDescent="0.2">
      <c r="K294" s="38"/>
      <c r="U294" s="38"/>
      <c r="AE294" s="38"/>
      <c r="AO294" s="38"/>
      <c r="AY294" s="38"/>
      <c r="BI294" s="38"/>
      <c r="BS294" s="38"/>
      <c r="CC294" s="38"/>
      <c r="CM294" s="38"/>
      <c r="CW294" s="38"/>
      <c r="DG294" s="38"/>
      <c r="DQ294" s="38"/>
      <c r="EA294" s="38"/>
    </row>
    <row r="295" spans="11:131" ht="15" customHeight="1" x14ac:dyDescent="0.2">
      <c r="K295" s="38"/>
      <c r="U295" s="38"/>
      <c r="AE295" s="38"/>
      <c r="AO295" s="38"/>
      <c r="AY295" s="38"/>
      <c r="BI295" s="38"/>
      <c r="BS295" s="38"/>
      <c r="CC295" s="38"/>
      <c r="CM295" s="38"/>
      <c r="CW295" s="38"/>
      <c r="DG295" s="38"/>
      <c r="DQ295" s="38"/>
      <c r="EA295" s="38"/>
    </row>
    <row r="296" spans="11:131" ht="15" customHeight="1" x14ac:dyDescent="0.2">
      <c r="K296" s="38"/>
      <c r="U296" s="38"/>
      <c r="AE296" s="38"/>
      <c r="AO296" s="38"/>
      <c r="AY296" s="38"/>
      <c r="BI296" s="38"/>
      <c r="BS296" s="38"/>
      <c r="CC296" s="38"/>
      <c r="CM296" s="38"/>
      <c r="CW296" s="38"/>
      <c r="DG296" s="38"/>
      <c r="DQ296" s="38"/>
      <c r="EA296" s="38"/>
    </row>
    <row r="297" spans="11:131" ht="15" customHeight="1" x14ac:dyDescent="0.2">
      <c r="K297" s="38"/>
      <c r="U297" s="38"/>
      <c r="AE297" s="38"/>
      <c r="AO297" s="38"/>
      <c r="AY297" s="38"/>
      <c r="BI297" s="38"/>
      <c r="BS297" s="38"/>
      <c r="CC297" s="38"/>
      <c r="CM297" s="38"/>
      <c r="CW297" s="38"/>
      <c r="DG297" s="38"/>
      <c r="DQ297" s="38"/>
      <c r="EA297" s="38"/>
    </row>
    <row r="298" spans="11:131" ht="15" customHeight="1" x14ac:dyDescent="0.2">
      <c r="K298" s="38"/>
      <c r="U298" s="38"/>
      <c r="AE298" s="38"/>
      <c r="AO298" s="38"/>
      <c r="AY298" s="38"/>
      <c r="BI298" s="38"/>
      <c r="BS298" s="38"/>
      <c r="CC298" s="38"/>
      <c r="CM298" s="38"/>
      <c r="CW298" s="38"/>
      <c r="DG298" s="38"/>
      <c r="DQ298" s="38"/>
      <c r="EA298" s="38"/>
    </row>
    <row r="299" spans="11:131" ht="15" customHeight="1" x14ac:dyDescent="0.2">
      <c r="K299" s="38"/>
      <c r="U299" s="38"/>
      <c r="AE299" s="38"/>
      <c r="AO299" s="38"/>
      <c r="AY299" s="38"/>
      <c r="BI299" s="38"/>
      <c r="BS299" s="38"/>
      <c r="CC299" s="38"/>
      <c r="CM299" s="38"/>
      <c r="CW299" s="38"/>
      <c r="DG299" s="38"/>
      <c r="DQ299" s="38"/>
      <c r="EA299" s="38"/>
    </row>
    <row r="300" spans="11:131" ht="15" customHeight="1" x14ac:dyDescent="0.2">
      <c r="K300" s="38"/>
      <c r="U300" s="38"/>
      <c r="AE300" s="38"/>
      <c r="AO300" s="38"/>
      <c r="AY300" s="38"/>
      <c r="BI300" s="38"/>
      <c r="BS300" s="38"/>
      <c r="CC300" s="38"/>
      <c r="CM300" s="38"/>
      <c r="CW300" s="38"/>
      <c r="DG300" s="38"/>
      <c r="DQ300" s="38"/>
      <c r="EA300" s="38"/>
    </row>
    <row r="301" spans="11:131" ht="15" customHeight="1" x14ac:dyDescent="0.2">
      <c r="K301" s="38"/>
      <c r="U301" s="38"/>
      <c r="AE301" s="38"/>
      <c r="AO301" s="38"/>
      <c r="AY301" s="38"/>
      <c r="BI301" s="38"/>
      <c r="BS301" s="38"/>
      <c r="CC301" s="38"/>
      <c r="CM301" s="38"/>
      <c r="CW301" s="38"/>
      <c r="DG301" s="38"/>
      <c r="DQ301" s="38"/>
      <c r="EA301" s="38"/>
    </row>
    <row r="302" spans="11:131" ht="15" customHeight="1" x14ac:dyDescent="0.2">
      <c r="K302" s="38"/>
      <c r="U302" s="38"/>
      <c r="AE302" s="38"/>
      <c r="AO302" s="38"/>
      <c r="AY302" s="38"/>
      <c r="BI302" s="38"/>
      <c r="BS302" s="38"/>
      <c r="CC302" s="38"/>
      <c r="CM302" s="38"/>
      <c r="CW302" s="38"/>
      <c r="DG302" s="38"/>
      <c r="DQ302" s="38"/>
      <c r="EA302" s="38"/>
    </row>
    <row r="303" spans="11:131" ht="15" customHeight="1" x14ac:dyDescent="0.2">
      <c r="K303" s="38"/>
      <c r="U303" s="38"/>
      <c r="AE303" s="38"/>
      <c r="AO303" s="38"/>
      <c r="AY303" s="38"/>
      <c r="BI303" s="38"/>
      <c r="BS303" s="38"/>
      <c r="CC303" s="38"/>
      <c r="CM303" s="38"/>
      <c r="CW303" s="38"/>
      <c r="DG303" s="38"/>
      <c r="DQ303" s="38"/>
      <c r="EA303" s="38"/>
    </row>
    <row r="304" spans="11:131" ht="15" customHeight="1" x14ac:dyDescent="0.2">
      <c r="K304" s="38"/>
      <c r="U304" s="38"/>
      <c r="AE304" s="38"/>
      <c r="AO304" s="38"/>
      <c r="AY304" s="38"/>
      <c r="BI304" s="38"/>
      <c r="BS304" s="38"/>
      <c r="CC304" s="38"/>
      <c r="CM304" s="38"/>
      <c r="CW304" s="38"/>
      <c r="DG304" s="38"/>
      <c r="DQ304" s="38"/>
      <c r="EA304" s="38"/>
    </row>
    <row r="305" spans="11:131" ht="15" customHeight="1" x14ac:dyDescent="0.2">
      <c r="K305" s="38"/>
      <c r="U305" s="38"/>
      <c r="AE305" s="38"/>
      <c r="AO305" s="38"/>
      <c r="AY305" s="38"/>
      <c r="BI305" s="38"/>
      <c r="BS305" s="38"/>
      <c r="CC305" s="38"/>
      <c r="CM305" s="38"/>
      <c r="CW305" s="38"/>
      <c r="DG305" s="38"/>
      <c r="DQ305" s="38"/>
      <c r="EA305" s="38"/>
    </row>
    <row r="306" spans="11:131" ht="15" customHeight="1" x14ac:dyDescent="0.2">
      <c r="K306" s="38"/>
      <c r="U306" s="38"/>
      <c r="AE306" s="38"/>
      <c r="AO306" s="38"/>
      <c r="AY306" s="38"/>
      <c r="BI306" s="38"/>
      <c r="BS306" s="38"/>
      <c r="CC306" s="38"/>
      <c r="CM306" s="38"/>
      <c r="CW306" s="38"/>
      <c r="DG306" s="38"/>
      <c r="DQ306" s="38"/>
      <c r="EA306" s="38"/>
    </row>
    <row r="307" spans="11:131" ht="15" customHeight="1" x14ac:dyDescent="0.2">
      <c r="K307" s="38"/>
      <c r="U307" s="38"/>
      <c r="AE307" s="38"/>
      <c r="AO307" s="38"/>
      <c r="AY307" s="38"/>
      <c r="BI307" s="38"/>
      <c r="BS307" s="38"/>
      <c r="CC307" s="38"/>
      <c r="CM307" s="38"/>
      <c r="CW307" s="38"/>
      <c r="DG307" s="38"/>
      <c r="DQ307" s="38"/>
      <c r="EA307" s="38"/>
    </row>
    <row r="308" spans="11:131" ht="15" customHeight="1" x14ac:dyDescent="0.2">
      <c r="K308" s="38"/>
      <c r="U308" s="38"/>
      <c r="AE308" s="38"/>
      <c r="AO308" s="38"/>
      <c r="AY308" s="38"/>
      <c r="BI308" s="38"/>
      <c r="BS308" s="38"/>
      <c r="CC308" s="38"/>
      <c r="CM308" s="38"/>
      <c r="CW308" s="38"/>
      <c r="DG308" s="38"/>
      <c r="DQ308" s="38"/>
      <c r="EA308" s="38"/>
    </row>
    <row r="309" spans="11:131" ht="15" customHeight="1" x14ac:dyDescent="0.2">
      <c r="K309" s="38"/>
      <c r="U309" s="38"/>
      <c r="AE309" s="38"/>
      <c r="AO309" s="38"/>
      <c r="AY309" s="38"/>
      <c r="BI309" s="38"/>
      <c r="BS309" s="38"/>
      <c r="CC309" s="38"/>
      <c r="CM309" s="38"/>
      <c r="CW309" s="38"/>
      <c r="DG309" s="38"/>
      <c r="DQ309" s="38"/>
      <c r="EA309" s="38"/>
    </row>
    <row r="310" spans="11:131" ht="15" customHeight="1" x14ac:dyDescent="0.2">
      <c r="K310" s="38"/>
      <c r="U310" s="38"/>
      <c r="AE310" s="38"/>
      <c r="AO310" s="38"/>
      <c r="AY310" s="38"/>
      <c r="BI310" s="38"/>
      <c r="BS310" s="38"/>
      <c r="CC310" s="38"/>
      <c r="CM310" s="38"/>
      <c r="CW310" s="38"/>
      <c r="DG310" s="38"/>
      <c r="DQ310" s="38"/>
      <c r="EA310" s="38"/>
    </row>
    <row r="311" spans="11:131" ht="15" customHeight="1" x14ac:dyDescent="0.2">
      <c r="K311" s="38"/>
      <c r="U311" s="38"/>
      <c r="AE311" s="38"/>
      <c r="AO311" s="38"/>
      <c r="AY311" s="38"/>
      <c r="BI311" s="38"/>
      <c r="BS311" s="38"/>
      <c r="CC311" s="38"/>
      <c r="CM311" s="38"/>
      <c r="CW311" s="38"/>
      <c r="DG311" s="38"/>
      <c r="DQ311" s="38"/>
      <c r="EA311" s="38"/>
    </row>
    <row r="312" spans="11:131" ht="15" customHeight="1" x14ac:dyDescent="0.2">
      <c r="K312" s="38"/>
      <c r="U312" s="38"/>
      <c r="AE312" s="38"/>
      <c r="AO312" s="38"/>
      <c r="AY312" s="38"/>
      <c r="BI312" s="38"/>
      <c r="BS312" s="38"/>
      <c r="CC312" s="38"/>
      <c r="CM312" s="38"/>
      <c r="CW312" s="38"/>
      <c r="DG312" s="38"/>
      <c r="DQ312" s="38"/>
      <c r="EA312" s="38"/>
    </row>
    <row r="313" spans="11:131" ht="15" customHeight="1" x14ac:dyDescent="0.2">
      <c r="K313" s="38"/>
      <c r="U313" s="38"/>
      <c r="AE313" s="38"/>
      <c r="AO313" s="38"/>
      <c r="AY313" s="38"/>
      <c r="BI313" s="38"/>
      <c r="BS313" s="38"/>
      <c r="CC313" s="38"/>
      <c r="CM313" s="38"/>
      <c r="CW313" s="38"/>
      <c r="DG313" s="38"/>
      <c r="DQ313" s="38"/>
      <c r="EA313" s="38"/>
    </row>
    <row r="314" spans="11:131" ht="15" customHeight="1" x14ac:dyDescent="0.2">
      <c r="K314" s="38"/>
      <c r="U314" s="38"/>
      <c r="AE314" s="38"/>
      <c r="AO314" s="38"/>
      <c r="AY314" s="38"/>
      <c r="BI314" s="38"/>
      <c r="BS314" s="38"/>
      <c r="CC314" s="38"/>
      <c r="CM314" s="38"/>
      <c r="CW314" s="38"/>
      <c r="DG314" s="38"/>
      <c r="DQ314" s="38"/>
      <c r="EA314" s="38"/>
    </row>
    <row r="315" spans="11:131" ht="15" customHeight="1" x14ac:dyDescent="0.2">
      <c r="K315" s="38"/>
      <c r="U315" s="38"/>
      <c r="AE315" s="38"/>
      <c r="AO315" s="38"/>
      <c r="AY315" s="38"/>
      <c r="BI315" s="38"/>
      <c r="BS315" s="38"/>
      <c r="CC315" s="38"/>
      <c r="CM315" s="38"/>
      <c r="CW315" s="38"/>
      <c r="DG315" s="38"/>
      <c r="DQ315" s="38"/>
      <c r="EA315" s="38"/>
    </row>
    <row r="316" spans="11:131" ht="15" customHeight="1" x14ac:dyDescent="0.2">
      <c r="K316" s="38"/>
      <c r="U316" s="38"/>
      <c r="AE316" s="38"/>
      <c r="AO316" s="38"/>
      <c r="AY316" s="38"/>
      <c r="BI316" s="38"/>
      <c r="BS316" s="38"/>
      <c r="CC316" s="38"/>
      <c r="CM316" s="38"/>
      <c r="CW316" s="38"/>
      <c r="DG316" s="38"/>
      <c r="DQ316" s="38"/>
      <c r="EA316" s="38"/>
    </row>
    <row r="317" spans="11:131" ht="15" customHeight="1" x14ac:dyDescent="0.2">
      <c r="K317" s="38"/>
      <c r="U317" s="38"/>
      <c r="AE317" s="38"/>
      <c r="AO317" s="38"/>
      <c r="AY317" s="38"/>
      <c r="BI317" s="38"/>
      <c r="BS317" s="38"/>
      <c r="CC317" s="38"/>
      <c r="CM317" s="38"/>
      <c r="CW317" s="38"/>
      <c r="DG317" s="38"/>
      <c r="DQ317" s="38"/>
      <c r="EA317" s="38"/>
    </row>
    <row r="318" spans="11:131" ht="15" customHeight="1" x14ac:dyDescent="0.2">
      <c r="K318" s="38"/>
      <c r="U318" s="38"/>
      <c r="AE318" s="38"/>
      <c r="AO318" s="38"/>
      <c r="AY318" s="38"/>
      <c r="BI318" s="38"/>
      <c r="BS318" s="38"/>
      <c r="CC318" s="38"/>
      <c r="CM318" s="38"/>
      <c r="CW318" s="38"/>
      <c r="DG318" s="38"/>
      <c r="DQ318" s="38"/>
      <c r="EA318" s="38"/>
    </row>
    <row r="319" spans="11:131" ht="15" customHeight="1" x14ac:dyDescent="0.2">
      <c r="K319" s="38"/>
      <c r="U319" s="38"/>
      <c r="AE319" s="38"/>
      <c r="AO319" s="38"/>
      <c r="AY319" s="38"/>
      <c r="BI319" s="38"/>
      <c r="BS319" s="38"/>
      <c r="CC319" s="38"/>
      <c r="CM319" s="38"/>
      <c r="CW319" s="38"/>
      <c r="DG319" s="38"/>
      <c r="DQ319" s="38"/>
      <c r="EA319" s="38"/>
    </row>
    <row r="320" spans="11:131" ht="15" customHeight="1" x14ac:dyDescent="0.2">
      <c r="K320" s="38"/>
      <c r="U320" s="38"/>
      <c r="AE320" s="38"/>
      <c r="AO320" s="38"/>
      <c r="AY320" s="38"/>
      <c r="BI320" s="38"/>
      <c r="BS320" s="38"/>
      <c r="CC320" s="38"/>
      <c r="CM320" s="38"/>
      <c r="CW320" s="38"/>
      <c r="DG320" s="38"/>
      <c r="DQ320" s="38"/>
      <c r="EA320" s="38"/>
    </row>
    <row r="321" spans="11:131" ht="15" customHeight="1" x14ac:dyDescent="0.2">
      <c r="K321" s="38"/>
      <c r="U321" s="38"/>
      <c r="AE321" s="38"/>
      <c r="AO321" s="38"/>
      <c r="AY321" s="38"/>
      <c r="BI321" s="38"/>
      <c r="BS321" s="38"/>
      <c r="CC321" s="38"/>
      <c r="CM321" s="38"/>
      <c r="CW321" s="38"/>
      <c r="DG321" s="38"/>
      <c r="DQ321" s="38"/>
      <c r="EA321" s="38"/>
    </row>
    <row r="322" spans="11:131" ht="15" customHeight="1" x14ac:dyDescent="0.2">
      <c r="K322" s="38"/>
      <c r="U322" s="38"/>
      <c r="AE322" s="38"/>
      <c r="AO322" s="38"/>
      <c r="AY322" s="38"/>
      <c r="BI322" s="38"/>
      <c r="BS322" s="38"/>
      <c r="CC322" s="38"/>
      <c r="CM322" s="38"/>
      <c r="CW322" s="38"/>
      <c r="DG322" s="38"/>
      <c r="DQ322" s="38"/>
      <c r="EA322" s="38"/>
    </row>
    <row r="323" spans="11:131" ht="15" customHeight="1" x14ac:dyDescent="0.2">
      <c r="K323" s="38"/>
      <c r="U323" s="38"/>
      <c r="AE323" s="38"/>
      <c r="AO323" s="38"/>
      <c r="AY323" s="38"/>
      <c r="BI323" s="38"/>
      <c r="BS323" s="38"/>
      <c r="CC323" s="38"/>
      <c r="CM323" s="38"/>
      <c r="CW323" s="38"/>
      <c r="DG323" s="38"/>
      <c r="DQ323" s="38"/>
      <c r="EA323" s="38"/>
    </row>
    <row r="324" spans="11:131" ht="15" customHeight="1" x14ac:dyDescent="0.2">
      <c r="K324" s="38"/>
      <c r="U324" s="38"/>
      <c r="AE324" s="38"/>
      <c r="AO324" s="38"/>
      <c r="AY324" s="38"/>
      <c r="BI324" s="38"/>
      <c r="BS324" s="38"/>
      <c r="CC324" s="38"/>
      <c r="CM324" s="38"/>
      <c r="CW324" s="38"/>
      <c r="DG324" s="38"/>
      <c r="DQ324" s="38"/>
      <c r="EA324" s="38"/>
    </row>
    <row r="325" spans="11:131" ht="15" customHeight="1" x14ac:dyDescent="0.2">
      <c r="K325" s="38"/>
      <c r="U325" s="38"/>
      <c r="AE325" s="38"/>
      <c r="AO325" s="38"/>
      <c r="AY325" s="38"/>
      <c r="BI325" s="38"/>
      <c r="BS325" s="38"/>
      <c r="CC325" s="38"/>
      <c r="CM325" s="38"/>
      <c r="CW325" s="38"/>
      <c r="DG325" s="38"/>
      <c r="DQ325" s="38"/>
      <c r="EA325" s="38"/>
    </row>
    <row r="326" spans="11:131" ht="15" customHeight="1" x14ac:dyDescent="0.2">
      <c r="K326" s="38"/>
      <c r="U326" s="38"/>
      <c r="AE326" s="38"/>
      <c r="AO326" s="38"/>
      <c r="AY326" s="38"/>
      <c r="BI326" s="38"/>
      <c r="BS326" s="38"/>
      <c r="CC326" s="38"/>
      <c r="CM326" s="38"/>
      <c r="CW326" s="38"/>
      <c r="DG326" s="38"/>
      <c r="DQ326" s="38"/>
      <c r="EA326" s="38"/>
    </row>
    <row r="327" spans="11:131" ht="15" customHeight="1" x14ac:dyDescent="0.2">
      <c r="K327" s="38"/>
      <c r="U327" s="38"/>
      <c r="AE327" s="38"/>
      <c r="AO327" s="38"/>
      <c r="AY327" s="38"/>
      <c r="BI327" s="38"/>
      <c r="BS327" s="38"/>
      <c r="CC327" s="38"/>
      <c r="CM327" s="38"/>
      <c r="CW327" s="38"/>
      <c r="DG327" s="38"/>
      <c r="DQ327" s="38"/>
      <c r="EA327" s="38"/>
    </row>
    <row r="328" spans="11:131" ht="15" customHeight="1" x14ac:dyDescent="0.2">
      <c r="K328" s="38"/>
      <c r="U328" s="38"/>
      <c r="AE328" s="38"/>
      <c r="AO328" s="38"/>
      <c r="AY328" s="38"/>
      <c r="BI328" s="38"/>
      <c r="BS328" s="38"/>
      <c r="CC328" s="38"/>
      <c r="CM328" s="38"/>
      <c r="CW328" s="38"/>
      <c r="DG328" s="38"/>
      <c r="DQ328" s="38"/>
      <c r="EA328" s="38"/>
    </row>
    <row r="329" spans="11:131" ht="15" customHeight="1" x14ac:dyDescent="0.2">
      <c r="K329" s="38"/>
      <c r="U329" s="38"/>
      <c r="AE329" s="38"/>
      <c r="AO329" s="38"/>
      <c r="AY329" s="38"/>
      <c r="BI329" s="38"/>
      <c r="BS329" s="38"/>
      <c r="CC329" s="38"/>
      <c r="CM329" s="38"/>
      <c r="CW329" s="38"/>
      <c r="DG329" s="38"/>
      <c r="DQ329" s="38"/>
      <c r="EA329" s="38"/>
    </row>
    <row r="330" spans="11:131" ht="15" customHeight="1" x14ac:dyDescent="0.2">
      <c r="K330" s="38"/>
      <c r="U330" s="38"/>
      <c r="AE330" s="38"/>
      <c r="AO330" s="38"/>
      <c r="AY330" s="38"/>
      <c r="BI330" s="38"/>
      <c r="BS330" s="38"/>
      <c r="CC330" s="38"/>
      <c r="CM330" s="38"/>
      <c r="CW330" s="38"/>
      <c r="DG330" s="38"/>
      <c r="DQ330" s="38"/>
      <c r="EA330" s="38"/>
    </row>
    <row r="331" spans="11:131" ht="15" customHeight="1" x14ac:dyDescent="0.2">
      <c r="K331" s="38"/>
      <c r="U331" s="38"/>
      <c r="AE331" s="38"/>
      <c r="AO331" s="38"/>
      <c r="AY331" s="38"/>
      <c r="BI331" s="38"/>
      <c r="BS331" s="38"/>
      <c r="CC331" s="38"/>
      <c r="CM331" s="38"/>
      <c r="CW331" s="38"/>
      <c r="DG331" s="38"/>
      <c r="DQ331" s="38"/>
      <c r="EA331" s="38"/>
    </row>
    <row r="332" spans="11:131" ht="15" customHeight="1" x14ac:dyDescent="0.2">
      <c r="K332" s="38"/>
      <c r="U332" s="38"/>
      <c r="AE332" s="38"/>
      <c r="AO332" s="38"/>
      <c r="AY332" s="38"/>
      <c r="BI332" s="38"/>
      <c r="BS332" s="38"/>
      <c r="CC332" s="38"/>
      <c r="CM332" s="38"/>
      <c r="CW332" s="38"/>
      <c r="DG332" s="38"/>
      <c r="DQ332" s="38"/>
      <c r="EA332" s="38"/>
    </row>
    <row r="333" spans="11:131" ht="15" customHeight="1" x14ac:dyDescent="0.2">
      <c r="K333" s="38"/>
      <c r="U333" s="38"/>
      <c r="AE333" s="38"/>
      <c r="AO333" s="38"/>
      <c r="AY333" s="38"/>
      <c r="BI333" s="38"/>
      <c r="BS333" s="38"/>
      <c r="CC333" s="38"/>
      <c r="CM333" s="38"/>
      <c r="CW333" s="38"/>
      <c r="DG333" s="38"/>
      <c r="DQ333" s="38"/>
      <c r="EA333" s="38"/>
    </row>
    <row r="334" spans="11:131" ht="15" customHeight="1" x14ac:dyDescent="0.2">
      <c r="K334" s="38"/>
      <c r="U334" s="38"/>
      <c r="AE334" s="38"/>
      <c r="AO334" s="38"/>
      <c r="AY334" s="38"/>
      <c r="BI334" s="38"/>
      <c r="BS334" s="38"/>
      <c r="CC334" s="38"/>
      <c r="CM334" s="38"/>
      <c r="CW334" s="38"/>
      <c r="DG334" s="38"/>
      <c r="DQ334" s="38"/>
      <c r="EA334" s="38"/>
    </row>
    <row r="335" spans="11:131" ht="15" customHeight="1" x14ac:dyDescent="0.2">
      <c r="K335" s="38"/>
      <c r="U335" s="38"/>
      <c r="AE335" s="38"/>
      <c r="AO335" s="38"/>
      <c r="AY335" s="38"/>
      <c r="BI335" s="38"/>
      <c r="BS335" s="38"/>
      <c r="CC335" s="38"/>
      <c r="CM335" s="38"/>
      <c r="CW335" s="38"/>
      <c r="DG335" s="38"/>
      <c r="DQ335" s="38"/>
      <c r="EA335" s="38"/>
    </row>
    <row r="336" spans="11:131" ht="15" customHeight="1" x14ac:dyDescent="0.2">
      <c r="K336" s="38"/>
      <c r="U336" s="38"/>
      <c r="AE336" s="38"/>
      <c r="AO336" s="38"/>
      <c r="AY336" s="38"/>
      <c r="BI336" s="38"/>
      <c r="BS336" s="38"/>
      <c r="CC336" s="38"/>
      <c r="CM336" s="38"/>
      <c r="CW336" s="38"/>
      <c r="DG336" s="38"/>
      <c r="DQ336" s="38"/>
      <c r="EA336" s="38"/>
    </row>
    <row r="337" spans="11:131" ht="15" customHeight="1" x14ac:dyDescent="0.2">
      <c r="K337" s="38"/>
      <c r="U337" s="38"/>
      <c r="AE337" s="38"/>
      <c r="AO337" s="38"/>
      <c r="AY337" s="38"/>
      <c r="BI337" s="38"/>
      <c r="BS337" s="38"/>
      <c r="CC337" s="38"/>
      <c r="CM337" s="38"/>
      <c r="CW337" s="38"/>
      <c r="DG337" s="38"/>
      <c r="DQ337" s="38"/>
      <c r="EA337" s="38"/>
    </row>
    <row r="338" spans="11:131" ht="15" customHeight="1" x14ac:dyDescent="0.2">
      <c r="K338" s="38"/>
      <c r="U338" s="38"/>
      <c r="AE338" s="38"/>
      <c r="AO338" s="38"/>
      <c r="AY338" s="38"/>
      <c r="BI338" s="38"/>
      <c r="BS338" s="38"/>
      <c r="CC338" s="38"/>
      <c r="CM338" s="38"/>
      <c r="CW338" s="38"/>
      <c r="DG338" s="38"/>
      <c r="DQ338" s="38"/>
      <c r="EA338" s="38"/>
    </row>
    <row r="339" spans="11:131" ht="15" customHeight="1" x14ac:dyDescent="0.2">
      <c r="K339" s="38"/>
      <c r="U339" s="38"/>
      <c r="AE339" s="38"/>
      <c r="AO339" s="38"/>
      <c r="AY339" s="38"/>
      <c r="BI339" s="38"/>
      <c r="BS339" s="38"/>
      <c r="CC339" s="38"/>
      <c r="CM339" s="38"/>
      <c r="CW339" s="38"/>
      <c r="DG339" s="38"/>
      <c r="DQ339" s="38"/>
      <c r="EA339" s="38"/>
    </row>
    <row r="340" spans="11:131" ht="15" customHeight="1" x14ac:dyDescent="0.2">
      <c r="K340" s="38"/>
      <c r="U340" s="38"/>
      <c r="AE340" s="38"/>
      <c r="AO340" s="38"/>
      <c r="AY340" s="38"/>
      <c r="BI340" s="38"/>
      <c r="BS340" s="38"/>
      <c r="CC340" s="38"/>
      <c r="CM340" s="38"/>
      <c r="CW340" s="38"/>
      <c r="DG340" s="38"/>
      <c r="DQ340" s="38"/>
      <c r="EA340" s="38"/>
    </row>
    <row r="341" spans="11:131" ht="15" customHeight="1" x14ac:dyDescent="0.2">
      <c r="K341" s="38"/>
      <c r="U341" s="38"/>
      <c r="AE341" s="38"/>
      <c r="AO341" s="38"/>
      <c r="AY341" s="38"/>
      <c r="BI341" s="38"/>
      <c r="BS341" s="38"/>
      <c r="CC341" s="38"/>
      <c r="CM341" s="38"/>
      <c r="CW341" s="38"/>
      <c r="DG341" s="38"/>
      <c r="DQ341" s="38"/>
      <c r="EA341" s="38"/>
    </row>
    <row r="342" spans="11:131" ht="15" customHeight="1" x14ac:dyDescent="0.2">
      <c r="K342" s="38"/>
      <c r="U342" s="38"/>
      <c r="AE342" s="38"/>
      <c r="AO342" s="38"/>
      <c r="AY342" s="38"/>
      <c r="BI342" s="38"/>
      <c r="BS342" s="38"/>
      <c r="CC342" s="38"/>
      <c r="CM342" s="38"/>
      <c r="CW342" s="38"/>
      <c r="DG342" s="38"/>
      <c r="DQ342" s="38"/>
      <c r="EA342" s="38"/>
    </row>
    <row r="343" spans="11:131" ht="15" customHeight="1" x14ac:dyDescent="0.2">
      <c r="K343" s="38"/>
      <c r="U343" s="38"/>
      <c r="AE343" s="38"/>
      <c r="AO343" s="38"/>
      <c r="AY343" s="38"/>
      <c r="BI343" s="38"/>
      <c r="BS343" s="38"/>
      <c r="CC343" s="38"/>
      <c r="CM343" s="38"/>
      <c r="CW343" s="38"/>
      <c r="DG343" s="38"/>
      <c r="DQ343" s="38"/>
      <c r="EA343" s="38"/>
    </row>
    <row r="344" spans="11:131" ht="15" customHeight="1" x14ac:dyDescent="0.2">
      <c r="K344" s="38"/>
      <c r="U344" s="38"/>
      <c r="AE344" s="38"/>
      <c r="AO344" s="38"/>
      <c r="AY344" s="38"/>
      <c r="BI344" s="38"/>
      <c r="BS344" s="38"/>
      <c r="CC344" s="38"/>
      <c r="CM344" s="38"/>
      <c r="CW344" s="38"/>
      <c r="DG344" s="38"/>
      <c r="DQ344" s="38"/>
      <c r="EA344" s="38"/>
    </row>
    <row r="345" spans="11:131" ht="15" customHeight="1" x14ac:dyDescent="0.2">
      <c r="K345" s="38"/>
      <c r="U345" s="38"/>
      <c r="AE345" s="38"/>
      <c r="AO345" s="38"/>
      <c r="AY345" s="38"/>
      <c r="BI345" s="38"/>
      <c r="BS345" s="38"/>
      <c r="CC345" s="38"/>
      <c r="CM345" s="38"/>
      <c r="CW345" s="38"/>
      <c r="DG345" s="38"/>
      <c r="DQ345" s="38"/>
      <c r="EA345" s="38"/>
    </row>
    <row r="346" spans="11:131" ht="15" customHeight="1" x14ac:dyDescent="0.2">
      <c r="K346" s="38"/>
      <c r="U346" s="38"/>
      <c r="AE346" s="38"/>
      <c r="AO346" s="38"/>
      <c r="AY346" s="38"/>
      <c r="BI346" s="38"/>
      <c r="BS346" s="38"/>
      <c r="CC346" s="38"/>
      <c r="CM346" s="38"/>
      <c r="CW346" s="38"/>
      <c r="DG346" s="38"/>
      <c r="DQ346" s="38"/>
      <c r="EA346" s="38"/>
    </row>
    <row r="347" spans="11:131" ht="15" customHeight="1" x14ac:dyDescent="0.2">
      <c r="K347" s="38"/>
      <c r="U347" s="38"/>
      <c r="AE347" s="38"/>
      <c r="AO347" s="38"/>
      <c r="AY347" s="38"/>
      <c r="BI347" s="38"/>
      <c r="BS347" s="38"/>
      <c r="CC347" s="38"/>
      <c r="CM347" s="38"/>
      <c r="CW347" s="38"/>
      <c r="DG347" s="38"/>
      <c r="DQ347" s="38"/>
      <c r="EA347" s="38"/>
    </row>
    <row r="348" spans="11:131" ht="15" customHeight="1" x14ac:dyDescent="0.2">
      <c r="K348" s="38"/>
      <c r="U348" s="38"/>
      <c r="AE348" s="38"/>
      <c r="AO348" s="38"/>
      <c r="AY348" s="38"/>
      <c r="BI348" s="38"/>
      <c r="BS348" s="38"/>
      <c r="CC348" s="38"/>
      <c r="CM348" s="38"/>
      <c r="CW348" s="38"/>
      <c r="DG348" s="38"/>
      <c r="DQ348" s="38"/>
      <c r="EA348" s="38"/>
    </row>
    <row r="349" spans="11:131" ht="15" customHeight="1" x14ac:dyDescent="0.2">
      <c r="K349" s="38"/>
      <c r="U349" s="38"/>
      <c r="AE349" s="38"/>
      <c r="AO349" s="38"/>
      <c r="AY349" s="38"/>
      <c r="BI349" s="38"/>
      <c r="BS349" s="38"/>
      <c r="CC349" s="38"/>
      <c r="CM349" s="38"/>
      <c r="CW349" s="38"/>
      <c r="DG349" s="38"/>
      <c r="DQ349" s="38"/>
      <c r="EA349" s="38"/>
    </row>
    <row r="350" spans="11:131" ht="15" customHeight="1" x14ac:dyDescent="0.2">
      <c r="K350" s="38"/>
      <c r="U350" s="38"/>
      <c r="AE350" s="38"/>
      <c r="AO350" s="38"/>
      <c r="AY350" s="38"/>
      <c r="BI350" s="38"/>
      <c r="BS350" s="38"/>
      <c r="CC350" s="38"/>
      <c r="CM350" s="38"/>
      <c r="CW350" s="38"/>
      <c r="DG350" s="38"/>
      <c r="DQ350" s="38"/>
      <c r="EA350" s="38"/>
    </row>
    <row r="351" spans="11:131" ht="15" customHeight="1" x14ac:dyDescent="0.2">
      <c r="K351" s="38"/>
      <c r="U351" s="38"/>
      <c r="AE351" s="38"/>
      <c r="AO351" s="38"/>
      <c r="AY351" s="38"/>
      <c r="BI351" s="38"/>
      <c r="BS351" s="38"/>
      <c r="CC351" s="38"/>
      <c r="CM351" s="38"/>
      <c r="CW351" s="38"/>
      <c r="DG351" s="38"/>
      <c r="DQ351" s="38"/>
      <c r="EA351" s="38"/>
    </row>
    <row r="352" spans="11:131" ht="15" customHeight="1" x14ac:dyDescent="0.2">
      <c r="K352" s="38"/>
      <c r="U352" s="38"/>
      <c r="AE352" s="38"/>
      <c r="AO352" s="38"/>
      <c r="AY352" s="38"/>
      <c r="BI352" s="38"/>
      <c r="BS352" s="38"/>
      <c r="CC352" s="38"/>
      <c r="CM352" s="38"/>
      <c r="CW352" s="38"/>
      <c r="DG352" s="38"/>
      <c r="DQ352" s="38"/>
      <c r="EA352" s="38"/>
    </row>
    <row r="353" spans="11:131" ht="15" customHeight="1" x14ac:dyDescent="0.2">
      <c r="K353" s="38"/>
      <c r="U353" s="38"/>
      <c r="AE353" s="38"/>
      <c r="AO353" s="38"/>
      <c r="AY353" s="38"/>
      <c r="BI353" s="38"/>
      <c r="BS353" s="38"/>
      <c r="CC353" s="38"/>
      <c r="CM353" s="38"/>
      <c r="CW353" s="38"/>
      <c r="DG353" s="38"/>
      <c r="DQ353" s="38"/>
      <c r="EA353" s="38"/>
    </row>
    <row r="354" spans="11:131" ht="15" customHeight="1" x14ac:dyDescent="0.2">
      <c r="K354" s="38"/>
      <c r="U354" s="38"/>
      <c r="AE354" s="38"/>
      <c r="AO354" s="38"/>
      <c r="AY354" s="38"/>
      <c r="BI354" s="38"/>
      <c r="BS354" s="38"/>
      <c r="CC354" s="38"/>
      <c r="CM354" s="38"/>
      <c r="CW354" s="38"/>
      <c r="DG354" s="38"/>
      <c r="DQ354" s="38"/>
      <c r="EA354" s="38"/>
    </row>
    <row r="355" spans="11:131" ht="15" customHeight="1" x14ac:dyDescent="0.2">
      <c r="K355" s="38"/>
      <c r="U355" s="38"/>
      <c r="AE355" s="38"/>
      <c r="AO355" s="38"/>
      <c r="AY355" s="38"/>
      <c r="BI355" s="38"/>
      <c r="BS355" s="38"/>
      <c r="CC355" s="38"/>
      <c r="CM355" s="38"/>
      <c r="CW355" s="38"/>
      <c r="DG355" s="38"/>
      <c r="DQ355" s="38"/>
      <c r="EA355" s="38"/>
    </row>
    <row r="356" spans="11:131" ht="15" customHeight="1" x14ac:dyDescent="0.2">
      <c r="K356" s="38"/>
      <c r="U356" s="38"/>
      <c r="AE356" s="38"/>
      <c r="AO356" s="38"/>
      <c r="AY356" s="38"/>
      <c r="BI356" s="38"/>
      <c r="BS356" s="38"/>
      <c r="CC356" s="38"/>
      <c r="CM356" s="38"/>
      <c r="CW356" s="38"/>
      <c r="DG356" s="38"/>
      <c r="DQ356" s="38"/>
      <c r="EA356" s="38"/>
    </row>
    <row r="357" spans="11:131" ht="15" customHeight="1" x14ac:dyDescent="0.2">
      <c r="K357" s="38"/>
      <c r="U357" s="38"/>
      <c r="AE357" s="38"/>
      <c r="AO357" s="38"/>
      <c r="AY357" s="38"/>
      <c r="BI357" s="38"/>
      <c r="BS357" s="38"/>
      <c r="CC357" s="38"/>
      <c r="CM357" s="38"/>
      <c r="CW357" s="38"/>
      <c r="DG357" s="38"/>
      <c r="DQ357" s="38"/>
      <c r="EA357" s="38"/>
    </row>
    <row r="358" spans="11:131" ht="15" customHeight="1" x14ac:dyDescent="0.2">
      <c r="K358" s="38"/>
      <c r="U358" s="38"/>
      <c r="AE358" s="38"/>
      <c r="AO358" s="38"/>
      <c r="AY358" s="38"/>
      <c r="BI358" s="38"/>
      <c r="BS358" s="38"/>
      <c r="CC358" s="38"/>
      <c r="CM358" s="38"/>
      <c r="CW358" s="38"/>
      <c r="DG358" s="38"/>
      <c r="DQ358" s="38"/>
      <c r="EA358" s="38"/>
    </row>
    <row r="359" spans="11:131" ht="15" customHeight="1" x14ac:dyDescent="0.2">
      <c r="K359" s="38"/>
      <c r="U359" s="38"/>
      <c r="AE359" s="38"/>
      <c r="AO359" s="38"/>
      <c r="AY359" s="38"/>
      <c r="BI359" s="38"/>
      <c r="BS359" s="38"/>
      <c r="CC359" s="38"/>
      <c r="CM359" s="38"/>
      <c r="CW359" s="38"/>
      <c r="DG359" s="38"/>
      <c r="DQ359" s="38"/>
      <c r="EA359" s="38"/>
    </row>
    <row r="360" spans="11:131" ht="15" customHeight="1" x14ac:dyDescent="0.2">
      <c r="K360" s="38"/>
      <c r="U360" s="38"/>
      <c r="AE360" s="38"/>
      <c r="AO360" s="38"/>
      <c r="AY360" s="38"/>
      <c r="BI360" s="38"/>
      <c r="BS360" s="38"/>
      <c r="CC360" s="38"/>
      <c r="CM360" s="38"/>
      <c r="CW360" s="38"/>
      <c r="DG360" s="38"/>
      <c r="DQ360" s="38"/>
      <c r="EA360" s="38"/>
    </row>
    <row r="361" spans="11:131" ht="15" customHeight="1" x14ac:dyDescent="0.2">
      <c r="K361" s="38"/>
      <c r="U361" s="38"/>
      <c r="AE361" s="38"/>
      <c r="AO361" s="38"/>
      <c r="AY361" s="38"/>
      <c r="BI361" s="38"/>
      <c r="BS361" s="38"/>
      <c r="CC361" s="38"/>
      <c r="CM361" s="38"/>
      <c r="CW361" s="38"/>
      <c r="DG361" s="38"/>
      <c r="DQ361" s="38"/>
      <c r="EA361" s="38"/>
    </row>
    <row r="362" spans="11:131" ht="15" customHeight="1" x14ac:dyDescent="0.2">
      <c r="K362" s="38"/>
      <c r="U362" s="38"/>
      <c r="AE362" s="38"/>
      <c r="AO362" s="38"/>
      <c r="AY362" s="38"/>
      <c r="BI362" s="38"/>
      <c r="BS362" s="38"/>
      <c r="CC362" s="38"/>
      <c r="CM362" s="38"/>
      <c r="CW362" s="38"/>
      <c r="DG362" s="38"/>
      <c r="DQ362" s="38"/>
      <c r="EA362" s="38"/>
    </row>
    <row r="363" spans="11:131" ht="15" customHeight="1" x14ac:dyDescent="0.2">
      <c r="K363" s="38"/>
      <c r="U363" s="38"/>
      <c r="AE363" s="38"/>
      <c r="AO363" s="38"/>
      <c r="AY363" s="38"/>
      <c r="BI363" s="38"/>
      <c r="BS363" s="38"/>
      <c r="CC363" s="38"/>
      <c r="CM363" s="38"/>
      <c r="CW363" s="38"/>
      <c r="DG363" s="38"/>
      <c r="DQ363" s="38"/>
      <c r="EA363" s="38"/>
    </row>
    <row r="364" spans="11:131" ht="15" customHeight="1" x14ac:dyDescent="0.2">
      <c r="K364" s="38"/>
      <c r="U364" s="38"/>
      <c r="AE364" s="38"/>
      <c r="AO364" s="38"/>
      <c r="AY364" s="38"/>
      <c r="BI364" s="38"/>
      <c r="BS364" s="38"/>
      <c r="CC364" s="38"/>
      <c r="CM364" s="38"/>
      <c r="CW364" s="38"/>
      <c r="DG364" s="38"/>
      <c r="DQ364" s="38"/>
      <c r="EA364" s="38"/>
    </row>
    <row r="365" spans="11:131" ht="15" customHeight="1" x14ac:dyDescent="0.2">
      <c r="K365" s="38"/>
      <c r="U365" s="38"/>
      <c r="AE365" s="38"/>
      <c r="AO365" s="38"/>
      <c r="AY365" s="38"/>
      <c r="BI365" s="38"/>
      <c r="BS365" s="38"/>
      <c r="CC365" s="38"/>
      <c r="CM365" s="38"/>
      <c r="CW365" s="38"/>
      <c r="DG365" s="38"/>
      <c r="DQ365" s="38"/>
      <c r="EA365" s="38"/>
    </row>
    <row r="366" spans="11:131" ht="15" customHeight="1" x14ac:dyDescent="0.2">
      <c r="K366" s="38"/>
      <c r="U366" s="38"/>
      <c r="AE366" s="38"/>
      <c r="AO366" s="38"/>
      <c r="AY366" s="38"/>
      <c r="BI366" s="38"/>
      <c r="BS366" s="38"/>
      <c r="CC366" s="38"/>
      <c r="CM366" s="38"/>
      <c r="CW366" s="38"/>
      <c r="DG366" s="38"/>
      <c r="DQ366" s="38"/>
      <c r="EA366" s="38"/>
    </row>
    <row r="367" spans="11:131" ht="15" customHeight="1" x14ac:dyDescent="0.2">
      <c r="K367" s="38"/>
      <c r="U367" s="38"/>
      <c r="AE367" s="38"/>
      <c r="AO367" s="38"/>
      <c r="AY367" s="38"/>
      <c r="BI367" s="38"/>
      <c r="BS367" s="38"/>
      <c r="CC367" s="38"/>
      <c r="CM367" s="38"/>
      <c r="CW367" s="38"/>
      <c r="DG367" s="38"/>
      <c r="DQ367" s="38"/>
      <c r="EA367" s="38"/>
    </row>
    <row r="368" spans="11:131" ht="15" customHeight="1" x14ac:dyDescent="0.2">
      <c r="K368" s="38"/>
      <c r="U368" s="38"/>
      <c r="AE368" s="38"/>
      <c r="AO368" s="38"/>
      <c r="AY368" s="38"/>
      <c r="BI368" s="38"/>
      <c r="BS368" s="38"/>
      <c r="CC368" s="38"/>
      <c r="CM368" s="38"/>
      <c r="CW368" s="38"/>
      <c r="DG368" s="38"/>
      <c r="DQ368" s="38"/>
      <c r="EA368" s="38"/>
    </row>
    <row r="369" spans="11:131" ht="15" customHeight="1" x14ac:dyDescent="0.2">
      <c r="K369" s="38"/>
      <c r="U369" s="38"/>
      <c r="AE369" s="38"/>
      <c r="AO369" s="38"/>
      <c r="AY369" s="38"/>
      <c r="BI369" s="38"/>
      <c r="BS369" s="38"/>
      <c r="CC369" s="38"/>
      <c r="CM369" s="38"/>
      <c r="CW369" s="38"/>
      <c r="DG369" s="38"/>
      <c r="DQ369" s="38"/>
      <c r="EA369" s="38"/>
    </row>
    <row r="370" spans="11:131" ht="15" customHeight="1" x14ac:dyDescent="0.2">
      <c r="K370" s="38"/>
      <c r="U370" s="38"/>
      <c r="AE370" s="38"/>
      <c r="AO370" s="38"/>
      <c r="AY370" s="38"/>
      <c r="BI370" s="38"/>
      <c r="BS370" s="38"/>
      <c r="CC370" s="38"/>
      <c r="CM370" s="38"/>
      <c r="CW370" s="38"/>
      <c r="DG370" s="38"/>
      <c r="DQ370" s="38"/>
      <c r="EA370" s="38"/>
    </row>
    <row r="371" spans="11:131" ht="15" customHeight="1" x14ac:dyDescent="0.2">
      <c r="K371" s="38"/>
      <c r="U371" s="38"/>
      <c r="AE371" s="38"/>
      <c r="AO371" s="38"/>
      <c r="AY371" s="38"/>
      <c r="BI371" s="38"/>
      <c r="BS371" s="38"/>
      <c r="CC371" s="38"/>
      <c r="CM371" s="38"/>
      <c r="CW371" s="38"/>
      <c r="DG371" s="38"/>
      <c r="DQ371" s="38"/>
      <c r="EA371" s="38"/>
    </row>
    <row r="372" spans="11:131" ht="15" customHeight="1" x14ac:dyDescent="0.2">
      <c r="K372" s="38"/>
      <c r="U372" s="38"/>
      <c r="AE372" s="38"/>
      <c r="AO372" s="38"/>
      <c r="AY372" s="38"/>
      <c r="BI372" s="38"/>
      <c r="BS372" s="38"/>
      <c r="CC372" s="38"/>
      <c r="CM372" s="38"/>
      <c r="CW372" s="38"/>
      <c r="DG372" s="38"/>
      <c r="DQ372" s="38"/>
      <c r="EA372" s="38"/>
    </row>
    <row r="373" spans="11:131" ht="15" customHeight="1" x14ac:dyDescent="0.2">
      <c r="K373" s="38"/>
      <c r="U373" s="38"/>
      <c r="AE373" s="38"/>
      <c r="AO373" s="38"/>
      <c r="AY373" s="38"/>
      <c r="BI373" s="38"/>
      <c r="BS373" s="38"/>
      <c r="CC373" s="38"/>
      <c r="CM373" s="38"/>
      <c r="CW373" s="38"/>
      <c r="DG373" s="38"/>
      <c r="DQ373" s="38"/>
      <c r="EA373" s="38"/>
    </row>
    <row r="374" spans="11:131" ht="15" customHeight="1" x14ac:dyDescent="0.2">
      <c r="K374" s="38"/>
      <c r="U374" s="38"/>
      <c r="AE374" s="38"/>
      <c r="AO374" s="38"/>
      <c r="AY374" s="38"/>
      <c r="BI374" s="38"/>
      <c r="BS374" s="38"/>
      <c r="CC374" s="38"/>
      <c r="CM374" s="38"/>
      <c r="CW374" s="38"/>
      <c r="DG374" s="38"/>
      <c r="DQ374" s="38"/>
      <c r="EA374" s="38"/>
    </row>
    <row r="375" spans="11:131" ht="15" customHeight="1" x14ac:dyDescent="0.2">
      <c r="K375" s="38"/>
      <c r="U375" s="38"/>
      <c r="AE375" s="38"/>
      <c r="AO375" s="38"/>
      <c r="AY375" s="38"/>
      <c r="BI375" s="38"/>
      <c r="BS375" s="38"/>
      <c r="CC375" s="38"/>
      <c r="CM375" s="38"/>
      <c r="CW375" s="38"/>
      <c r="DG375" s="38"/>
      <c r="DQ375" s="38"/>
      <c r="EA375" s="38"/>
    </row>
    <row r="376" spans="11:131" ht="15" customHeight="1" x14ac:dyDescent="0.2">
      <c r="K376" s="38"/>
      <c r="U376" s="38"/>
      <c r="AE376" s="38"/>
      <c r="AO376" s="38"/>
      <c r="AY376" s="38"/>
      <c r="BI376" s="38"/>
      <c r="BS376" s="38"/>
      <c r="CC376" s="38"/>
      <c r="CM376" s="38"/>
      <c r="CW376" s="38"/>
      <c r="DG376" s="38"/>
      <c r="DQ376" s="38"/>
      <c r="EA376" s="38"/>
    </row>
    <row r="377" spans="11:131" ht="15" customHeight="1" x14ac:dyDescent="0.2">
      <c r="K377" s="38"/>
      <c r="U377" s="38"/>
      <c r="AE377" s="38"/>
      <c r="AO377" s="38"/>
      <c r="AY377" s="38"/>
      <c r="BI377" s="38"/>
      <c r="BS377" s="38"/>
      <c r="CC377" s="38"/>
      <c r="CM377" s="38"/>
      <c r="CW377" s="38"/>
      <c r="DG377" s="38"/>
      <c r="DQ377" s="38"/>
      <c r="EA377" s="38"/>
    </row>
    <row r="378" spans="11:131" ht="15" customHeight="1" x14ac:dyDescent="0.2">
      <c r="K378" s="38"/>
      <c r="U378" s="38"/>
      <c r="AE378" s="38"/>
      <c r="AO378" s="38"/>
      <c r="AY378" s="38"/>
      <c r="BI378" s="38"/>
      <c r="BS378" s="38"/>
      <c r="CC378" s="38"/>
      <c r="CM378" s="38"/>
      <c r="CW378" s="38"/>
      <c r="DG378" s="38"/>
      <c r="DQ378" s="38"/>
      <c r="EA378" s="38"/>
    </row>
    <row r="379" spans="11:131" ht="15" customHeight="1" x14ac:dyDescent="0.2">
      <c r="K379" s="38"/>
      <c r="U379" s="38"/>
      <c r="AE379" s="38"/>
      <c r="AO379" s="38"/>
      <c r="AY379" s="38"/>
      <c r="BI379" s="38"/>
      <c r="BS379" s="38"/>
      <c r="CC379" s="38"/>
      <c r="CM379" s="38"/>
      <c r="CW379" s="38"/>
      <c r="DG379" s="38"/>
      <c r="DQ379" s="38"/>
      <c r="EA379" s="38"/>
    </row>
    <row r="380" spans="11:131" ht="15" customHeight="1" x14ac:dyDescent="0.2">
      <c r="K380" s="38"/>
      <c r="U380" s="38"/>
      <c r="AE380" s="38"/>
      <c r="AO380" s="38"/>
      <c r="AY380" s="38"/>
      <c r="BI380" s="38"/>
      <c r="BS380" s="38"/>
      <c r="CC380" s="38"/>
      <c r="CM380" s="38"/>
      <c r="CW380" s="38"/>
      <c r="DG380" s="38"/>
      <c r="DQ380" s="38"/>
      <c r="EA380" s="38"/>
    </row>
    <row r="381" spans="11:131" ht="15" customHeight="1" x14ac:dyDescent="0.2">
      <c r="K381" s="38"/>
      <c r="U381" s="38"/>
      <c r="AE381" s="38"/>
      <c r="AO381" s="38"/>
      <c r="AY381" s="38"/>
      <c r="BI381" s="38"/>
      <c r="BS381" s="38"/>
      <c r="CC381" s="38"/>
      <c r="CM381" s="38"/>
      <c r="CW381" s="38"/>
      <c r="DG381" s="38"/>
      <c r="DQ381" s="38"/>
      <c r="EA381" s="38"/>
    </row>
    <row r="382" spans="11:131" ht="15" customHeight="1" x14ac:dyDescent="0.2">
      <c r="K382" s="38"/>
      <c r="U382" s="38"/>
      <c r="AE382" s="38"/>
      <c r="AO382" s="38"/>
      <c r="AY382" s="38"/>
      <c r="BI382" s="38"/>
      <c r="BS382" s="38"/>
      <c r="CC382" s="38"/>
      <c r="CM382" s="38"/>
      <c r="CW382" s="38"/>
      <c r="DG382" s="38"/>
      <c r="DQ382" s="38"/>
      <c r="EA382" s="38"/>
    </row>
    <row r="383" spans="11:131" ht="15" customHeight="1" x14ac:dyDescent="0.2">
      <c r="K383" s="38"/>
      <c r="U383" s="38"/>
      <c r="AE383" s="38"/>
      <c r="AO383" s="38"/>
      <c r="AY383" s="38"/>
      <c r="BI383" s="38"/>
      <c r="BS383" s="38"/>
      <c r="CC383" s="38"/>
      <c r="CM383" s="38"/>
      <c r="CW383" s="38"/>
      <c r="DG383" s="38"/>
      <c r="DQ383" s="38"/>
      <c r="EA383" s="38"/>
    </row>
    <row r="384" spans="11:131" ht="15" customHeight="1" x14ac:dyDescent="0.2">
      <c r="K384" s="38"/>
      <c r="U384" s="38"/>
      <c r="AE384" s="38"/>
      <c r="AO384" s="38"/>
      <c r="AY384" s="38"/>
      <c r="BI384" s="38"/>
      <c r="BS384" s="38"/>
      <c r="CC384" s="38"/>
      <c r="CM384" s="38"/>
      <c r="CW384" s="38"/>
      <c r="DG384" s="38"/>
      <c r="DQ384" s="38"/>
      <c r="EA384" s="38"/>
    </row>
    <row r="385" spans="11:131" ht="15" customHeight="1" x14ac:dyDescent="0.2">
      <c r="K385" s="38"/>
      <c r="U385" s="38"/>
      <c r="AE385" s="38"/>
      <c r="AO385" s="38"/>
      <c r="AY385" s="38"/>
      <c r="BI385" s="38"/>
      <c r="BS385" s="38"/>
      <c r="CC385" s="38"/>
      <c r="CM385" s="38"/>
      <c r="CW385" s="38"/>
      <c r="DG385" s="38"/>
      <c r="DQ385" s="38"/>
      <c r="EA385" s="38"/>
    </row>
    <row r="386" spans="11:131" ht="15" customHeight="1" x14ac:dyDescent="0.2">
      <c r="K386" s="38"/>
      <c r="U386" s="38"/>
      <c r="AE386" s="38"/>
      <c r="AO386" s="38"/>
      <c r="AY386" s="38"/>
      <c r="BI386" s="38"/>
      <c r="BS386" s="38"/>
      <c r="CC386" s="38"/>
      <c r="CM386" s="38"/>
      <c r="CW386" s="38"/>
      <c r="DG386" s="38"/>
      <c r="DQ386" s="38"/>
      <c r="EA386" s="38"/>
    </row>
    <row r="387" spans="11:131" ht="15" customHeight="1" x14ac:dyDescent="0.2">
      <c r="K387" s="38"/>
      <c r="U387" s="38"/>
      <c r="AE387" s="38"/>
      <c r="AO387" s="38"/>
      <c r="AY387" s="38"/>
      <c r="BI387" s="38"/>
      <c r="BS387" s="38"/>
      <c r="CC387" s="38"/>
      <c r="CM387" s="38"/>
      <c r="CW387" s="38"/>
      <c r="DG387" s="38"/>
      <c r="DQ387" s="38"/>
      <c r="EA387" s="38"/>
    </row>
    <row r="388" spans="11:131" ht="15" customHeight="1" x14ac:dyDescent="0.2">
      <c r="K388" s="38"/>
      <c r="U388" s="38"/>
      <c r="AE388" s="38"/>
      <c r="AO388" s="38"/>
      <c r="AY388" s="38"/>
      <c r="BI388" s="38"/>
      <c r="BS388" s="38"/>
      <c r="CC388" s="38"/>
      <c r="CM388" s="38"/>
      <c r="CW388" s="38"/>
      <c r="DG388" s="38"/>
      <c r="DQ388" s="38"/>
      <c r="EA388" s="38"/>
    </row>
    <row r="389" spans="11:131" ht="15" customHeight="1" x14ac:dyDescent="0.2">
      <c r="K389" s="38"/>
      <c r="U389" s="38"/>
      <c r="AE389" s="38"/>
      <c r="AO389" s="38"/>
      <c r="AY389" s="38"/>
      <c r="BI389" s="38"/>
      <c r="BS389" s="38"/>
      <c r="CC389" s="38"/>
      <c r="CM389" s="38"/>
      <c r="CW389" s="38"/>
      <c r="DG389" s="38"/>
      <c r="DQ389" s="38"/>
      <c r="EA389" s="38"/>
    </row>
    <row r="390" spans="11:131" ht="15" customHeight="1" x14ac:dyDescent="0.2">
      <c r="K390" s="38"/>
      <c r="U390" s="38"/>
      <c r="AE390" s="38"/>
      <c r="AO390" s="38"/>
      <c r="AY390" s="38"/>
      <c r="BI390" s="38"/>
      <c r="BS390" s="38"/>
      <c r="CC390" s="38"/>
      <c r="CM390" s="38"/>
      <c r="CW390" s="38"/>
      <c r="DG390" s="38"/>
      <c r="DQ390" s="38"/>
      <c r="EA390" s="38"/>
    </row>
    <row r="391" spans="11:131" ht="15" customHeight="1" x14ac:dyDescent="0.2">
      <c r="K391" s="38"/>
      <c r="U391" s="38"/>
      <c r="AE391" s="38"/>
      <c r="AO391" s="38"/>
      <c r="AY391" s="38"/>
      <c r="BI391" s="38"/>
      <c r="BS391" s="38"/>
      <c r="CC391" s="38"/>
      <c r="CM391" s="38"/>
      <c r="CW391" s="38"/>
      <c r="DG391" s="38"/>
      <c r="DQ391" s="38"/>
      <c r="EA391" s="38"/>
    </row>
    <row r="392" spans="11:131" ht="15" customHeight="1" x14ac:dyDescent="0.2">
      <c r="K392" s="38"/>
      <c r="U392" s="38"/>
      <c r="AE392" s="38"/>
      <c r="AO392" s="38"/>
      <c r="AY392" s="38"/>
      <c r="BI392" s="38"/>
      <c r="BS392" s="38"/>
      <c r="CC392" s="38"/>
      <c r="CM392" s="38"/>
      <c r="CW392" s="38"/>
      <c r="DG392" s="38"/>
      <c r="DQ392" s="38"/>
      <c r="EA392" s="38"/>
    </row>
    <row r="393" spans="11:131" ht="15" customHeight="1" x14ac:dyDescent="0.2">
      <c r="K393" s="38"/>
      <c r="U393" s="38"/>
      <c r="AE393" s="38"/>
      <c r="AO393" s="38"/>
      <c r="AY393" s="38"/>
      <c r="BI393" s="38"/>
      <c r="BS393" s="38"/>
      <c r="CC393" s="38"/>
      <c r="CM393" s="38"/>
      <c r="CW393" s="38"/>
      <c r="DG393" s="38"/>
      <c r="DQ393" s="38"/>
      <c r="EA393" s="38"/>
    </row>
    <row r="394" spans="11:131" ht="15" customHeight="1" x14ac:dyDescent="0.2">
      <c r="K394" s="38"/>
      <c r="U394" s="38"/>
      <c r="AE394" s="38"/>
      <c r="AO394" s="38"/>
      <c r="AY394" s="38"/>
      <c r="BI394" s="38"/>
      <c r="BS394" s="38"/>
      <c r="CC394" s="38"/>
      <c r="CM394" s="38"/>
      <c r="CW394" s="38"/>
      <c r="DG394" s="38"/>
      <c r="DQ394" s="38"/>
      <c r="EA394" s="38"/>
    </row>
    <row r="395" spans="11:131" ht="15" customHeight="1" x14ac:dyDescent="0.2">
      <c r="K395" s="38"/>
      <c r="U395" s="38"/>
      <c r="AE395" s="38"/>
      <c r="AO395" s="38"/>
      <c r="AY395" s="38"/>
      <c r="BI395" s="38"/>
      <c r="BS395" s="38"/>
      <c r="CC395" s="38"/>
      <c r="CM395" s="38"/>
      <c r="CW395" s="38"/>
      <c r="DG395" s="38"/>
      <c r="DQ395" s="38"/>
      <c r="EA395" s="38"/>
    </row>
    <row r="396" spans="11:131" ht="15" customHeight="1" x14ac:dyDescent="0.2">
      <c r="K396" s="38"/>
      <c r="U396" s="38"/>
      <c r="AE396" s="38"/>
      <c r="AO396" s="38"/>
      <c r="AY396" s="38"/>
      <c r="BI396" s="38"/>
      <c r="BS396" s="38"/>
      <c r="CC396" s="38"/>
      <c r="CM396" s="38"/>
      <c r="CW396" s="38"/>
      <c r="DG396" s="38"/>
      <c r="DQ396" s="38"/>
      <c r="EA396" s="38"/>
    </row>
    <row r="397" spans="11:131" ht="15" customHeight="1" x14ac:dyDescent="0.2">
      <c r="K397" s="38"/>
      <c r="U397" s="38"/>
      <c r="AE397" s="38"/>
      <c r="AO397" s="38"/>
      <c r="AY397" s="38"/>
      <c r="BI397" s="38"/>
      <c r="BS397" s="38"/>
      <c r="CC397" s="38"/>
      <c r="CM397" s="38"/>
      <c r="CW397" s="38"/>
      <c r="DG397" s="38"/>
      <c r="DQ397" s="38"/>
      <c r="EA397" s="38"/>
    </row>
    <row r="398" spans="11:131" ht="15" customHeight="1" x14ac:dyDescent="0.2">
      <c r="K398" s="38"/>
      <c r="U398" s="38"/>
      <c r="AE398" s="38"/>
      <c r="AO398" s="38"/>
      <c r="AY398" s="38"/>
      <c r="BI398" s="38"/>
      <c r="BS398" s="38"/>
      <c r="CC398" s="38"/>
      <c r="CM398" s="38"/>
      <c r="CW398" s="38"/>
      <c r="DG398" s="38"/>
      <c r="DQ398" s="38"/>
      <c r="EA398" s="38"/>
    </row>
    <row r="399" spans="11:131" ht="15" customHeight="1" x14ac:dyDescent="0.2">
      <c r="K399" s="38"/>
      <c r="U399" s="38"/>
      <c r="AE399" s="38"/>
      <c r="AO399" s="38"/>
      <c r="AY399" s="38"/>
      <c r="BI399" s="38"/>
      <c r="BS399" s="38"/>
      <c r="CC399" s="38"/>
      <c r="CM399" s="38"/>
      <c r="CW399" s="38"/>
      <c r="DG399" s="38"/>
      <c r="DQ399" s="38"/>
      <c r="EA399" s="38"/>
    </row>
    <row r="400" spans="11:131" ht="15" customHeight="1" x14ac:dyDescent="0.2">
      <c r="K400" s="38"/>
      <c r="U400" s="38"/>
      <c r="AE400" s="38"/>
      <c r="AO400" s="38"/>
      <c r="AY400" s="38"/>
      <c r="BI400" s="38"/>
      <c r="BS400" s="38"/>
      <c r="CC400" s="38"/>
      <c r="CM400" s="38"/>
      <c r="CW400" s="38"/>
      <c r="DG400" s="38"/>
      <c r="DQ400" s="38"/>
      <c r="EA400" s="38"/>
    </row>
    <row r="401" spans="11:131" ht="15" customHeight="1" x14ac:dyDescent="0.2">
      <c r="K401" s="38"/>
      <c r="U401" s="38"/>
      <c r="AE401" s="38"/>
      <c r="AO401" s="38"/>
      <c r="AY401" s="38"/>
      <c r="BI401" s="38"/>
      <c r="BS401" s="38"/>
      <c r="CC401" s="38"/>
      <c r="CM401" s="38"/>
      <c r="CW401" s="38"/>
      <c r="DG401" s="38"/>
      <c r="DQ401" s="38"/>
      <c r="EA401" s="38"/>
    </row>
    <row r="402" spans="11:131" ht="15" customHeight="1" x14ac:dyDescent="0.2">
      <c r="K402" s="38"/>
      <c r="U402" s="38"/>
      <c r="AE402" s="38"/>
      <c r="AO402" s="38"/>
      <c r="AY402" s="38"/>
      <c r="BI402" s="38"/>
      <c r="BS402" s="38"/>
      <c r="CC402" s="38"/>
      <c r="CM402" s="38"/>
      <c r="CW402" s="38"/>
      <c r="DG402" s="38"/>
      <c r="DQ402" s="38"/>
      <c r="EA402" s="38"/>
    </row>
    <row r="403" spans="11:131" ht="15" customHeight="1" x14ac:dyDescent="0.2">
      <c r="K403" s="38"/>
      <c r="U403" s="38"/>
      <c r="AE403" s="38"/>
      <c r="AO403" s="38"/>
      <c r="AY403" s="38"/>
      <c r="BI403" s="38"/>
      <c r="BS403" s="38"/>
      <c r="CC403" s="38"/>
      <c r="CM403" s="38"/>
      <c r="CW403" s="38"/>
      <c r="DG403" s="38"/>
      <c r="DQ403" s="38"/>
      <c r="EA403" s="38"/>
    </row>
    <row r="404" spans="11:131" ht="15" customHeight="1" x14ac:dyDescent="0.2">
      <c r="K404" s="38"/>
      <c r="U404" s="38"/>
      <c r="AE404" s="38"/>
      <c r="AO404" s="38"/>
      <c r="AY404" s="38"/>
      <c r="BI404" s="38"/>
      <c r="BS404" s="38"/>
      <c r="CC404" s="38"/>
      <c r="CM404" s="38"/>
      <c r="CW404" s="38"/>
      <c r="DG404" s="38"/>
      <c r="DQ404" s="38"/>
      <c r="EA404" s="38"/>
    </row>
    <row r="405" spans="11:131" ht="15" customHeight="1" x14ac:dyDescent="0.2">
      <c r="K405" s="38"/>
      <c r="U405" s="38"/>
      <c r="AE405" s="38"/>
      <c r="AO405" s="38"/>
      <c r="AY405" s="38"/>
      <c r="BI405" s="38"/>
      <c r="BS405" s="38"/>
      <c r="CC405" s="38"/>
      <c r="CM405" s="38"/>
      <c r="CW405" s="38"/>
      <c r="DG405" s="38"/>
      <c r="DQ405" s="38"/>
      <c r="EA405" s="38"/>
    </row>
    <row r="406" spans="11:131" ht="15" customHeight="1" x14ac:dyDescent="0.2">
      <c r="K406" s="38"/>
      <c r="U406" s="38"/>
      <c r="AE406" s="38"/>
      <c r="AO406" s="38"/>
      <c r="AY406" s="38"/>
      <c r="BI406" s="38"/>
      <c r="BS406" s="38"/>
      <c r="CC406" s="38"/>
      <c r="CM406" s="38"/>
      <c r="CW406" s="38"/>
      <c r="DG406" s="38"/>
      <c r="DQ406" s="38"/>
      <c r="EA406" s="38"/>
    </row>
    <row r="407" spans="11:131" ht="15" customHeight="1" x14ac:dyDescent="0.2">
      <c r="K407" s="38"/>
      <c r="U407" s="38"/>
      <c r="AE407" s="38"/>
      <c r="AO407" s="38"/>
      <c r="AY407" s="38"/>
      <c r="BI407" s="38"/>
      <c r="BS407" s="38"/>
      <c r="CC407" s="38"/>
      <c r="CM407" s="38"/>
      <c r="CW407" s="38"/>
      <c r="DG407" s="38"/>
      <c r="DQ407" s="38"/>
      <c r="EA407" s="38"/>
    </row>
    <row r="408" spans="11:131" ht="15" customHeight="1" x14ac:dyDescent="0.2">
      <c r="K408" s="38"/>
      <c r="U408" s="38"/>
      <c r="AE408" s="38"/>
      <c r="AO408" s="38"/>
      <c r="AY408" s="38"/>
      <c r="BI408" s="38"/>
      <c r="BS408" s="38"/>
      <c r="CC408" s="38"/>
      <c r="CM408" s="38"/>
      <c r="CW408" s="38"/>
      <c r="DG408" s="38"/>
      <c r="DQ408" s="38"/>
      <c r="EA408" s="38"/>
    </row>
    <row r="409" spans="11:131" ht="15" customHeight="1" x14ac:dyDescent="0.2">
      <c r="K409" s="38"/>
      <c r="U409" s="38"/>
      <c r="AE409" s="38"/>
      <c r="AO409" s="38"/>
      <c r="AY409" s="38"/>
      <c r="BI409" s="38"/>
      <c r="BS409" s="38"/>
      <c r="CC409" s="38"/>
      <c r="CM409" s="38"/>
      <c r="CW409" s="38"/>
      <c r="DG409" s="38"/>
      <c r="DQ409" s="38"/>
      <c r="EA409" s="38"/>
    </row>
    <row r="410" spans="11:131" ht="15" customHeight="1" x14ac:dyDescent="0.2">
      <c r="K410" s="38"/>
      <c r="U410" s="38"/>
      <c r="AE410" s="38"/>
      <c r="AO410" s="38"/>
      <c r="AY410" s="38"/>
      <c r="BI410" s="38"/>
      <c r="BS410" s="38"/>
      <c r="CC410" s="38"/>
      <c r="CM410" s="38"/>
      <c r="CW410" s="38"/>
      <c r="DG410" s="38"/>
      <c r="DQ410" s="38"/>
      <c r="EA410" s="38"/>
    </row>
    <row r="411" spans="11:131" ht="15" customHeight="1" x14ac:dyDescent="0.2">
      <c r="K411" s="38"/>
      <c r="U411" s="38"/>
      <c r="AE411" s="38"/>
      <c r="AO411" s="38"/>
      <c r="AY411" s="38"/>
      <c r="BI411" s="38"/>
      <c r="BS411" s="38"/>
      <c r="CC411" s="38"/>
      <c r="CM411" s="38"/>
      <c r="CW411" s="38"/>
      <c r="DG411" s="38"/>
      <c r="DQ411" s="38"/>
      <c r="EA411" s="38"/>
    </row>
    <row r="412" spans="11:131" ht="15" customHeight="1" x14ac:dyDescent="0.2">
      <c r="K412" s="38"/>
      <c r="U412" s="38"/>
      <c r="AE412" s="38"/>
      <c r="AO412" s="38"/>
      <c r="AY412" s="38"/>
      <c r="BI412" s="38"/>
      <c r="BS412" s="38"/>
      <c r="CC412" s="38"/>
      <c r="CM412" s="38"/>
      <c r="CW412" s="38"/>
      <c r="DG412" s="38"/>
      <c r="DQ412" s="38"/>
      <c r="EA412" s="38"/>
    </row>
    <row r="413" spans="11:131" ht="15" customHeight="1" x14ac:dyDescent="0.2">
      <c r="K413" s="38"/>
      <c r="U413" s="38"/>
      <c r="AE413" s="38"/>
      <c r="AO413" s="38"/>
      <c r="AY413" s="38"/>
      <c r="BI413" s="38"/>
      <c r="BS413" s="38"/>
      <c r="CC413" s="38"/>
      <c r="CM413" s="38"/>
      <c r="CW413" s="38"/>
      <c r="DG413" s="38"/>
      <c r="DQ413" s="38"/>
      <c r="EA413" s="38"/>
    </row>
    <row r="414" spans="11:131" ht="15" customHeight="1" x14ac:dyDescent="0.2">
      <c r="K414" s="38"/>
      <c r="U414" s="38"/>
      <c r="AE414" s="38"/>
      <c r="AO414" s="38"/>
      <c r="AY414" s="38"/>
      <c r="BI414" s="38"/>
      <c r="BS414" s="38"/>
      <c r="CC414" s="38"/>
      <c r="CM414" s="38"/>
      <c r="CW414" s="38"/>
      <c r="DG414" s="38"/>
      <c r="DQ414" s="38"/>
      <c r="EA414" s="38"/>
    </row>
    <row r="415" spans="11:131" ht="15" customHeight="1" x14ac:dyDescent="0.2">
      <c r="K415" s="38"/>
      <c r="U415" s="38"/>
      <c r="AE415" s="38"/>
      <c r="AO415" s="38"/>
      <c r="AY415" s="38"/>
      <c r="BI415" s="38"/>
      <c r="BS415" s="38"/>
      <c r="CC415" s="38"/>
      <c r="CM415" s="38"/>
      <c r="CW415" s="38"/>
      <c r="DG415" s="38"/>
      <c r="DQ415" s="38"/>
      <c r="EA415" s="38"/>
    </row>
    <row r="416" spans="11:131" ht="15" customHeight="1" x14ac:dyDescent="0.2">
      <c r="K416" s="38"/>
      <c r="U416" s="38"/>
      <c r="AE416" s="38"/>
      <c r="AO416" s="38"/>
      <c r="AY416" s="38"/>
      <c r="BI416" s="38"/>
      <c r="BS416" s="38"/>
      <c r="CC416" s="38"/>
      <c r="CM416" s="38"/>
      <c r="CW416" s="38"/>
      <c r="DG416" s="38"/>
      <c r="DQ416" s="38"/>
      <c r="EA416" s="38"/>
    </row>
    <row r="417" spans="11:131" ht="15" customHeight="1" x14ac:dyDescent="0.2">
      <c r="K417" s="38"/>
      <c r="U417" s="38"/>
      <c r="AE417" s="38"/>
      <c r="AO417" s="38"/>
      <c r="AY417" s="38"/>
      <c r="BI417" s="38"/>
      <c r="BS417" s="38"/>
      <c r="CC417" s="38"/>
      <c r="CM417" s="38"/>
      <c r="CW417" s="38"/>
      <c r="DG417" s="38"/>
      <c r="DQ417" s="38"/>
      <c r="EA417" s="38"/>
    </row>
    <row r="418" spans="11:131" ht="15" customHeight="1" x14ac:dyDescent="0.2">
      <c r="K418" s="38"/>
      <c r="U418" s="38"/>
      <c r="AE418" s="38"/>
      <c r="AO418" s="38"/>
      <c r="AY418" s="38"/>
      <c r="BI418" s="38"/>
      <c r="BS418" s="38"/>
      <c r="CC418" s="38"/>
      <c r="CM418" s="38"/>
      <c r="CW418" s="38"/>
      <c r="DG418" s="38"/>
      <c r="DQ418" s="38"/>
      <c r="EA418" s="38"/>
    </row>
    <row r="419" spans="11:131" ht="15" customHeight="1" x14ac:dyDescent="0.2">
      <c r="K419" s="38"/>
      <c r="U419" s="38"/>
      <c r="AE419" s="38"/>
      <c r="AO419" s="38"/>
      <c r="AY419" s="38"/>
      <c r="BI419" s="38"/>
      <c r="BS419" s="38"/>
      <c r="CC419" s="38"/>
      <c r="CM419" s="38"/>
      <c r="CW419" s="38"/>
      <c r="DG419" s="38"/>
      <c r="DQ419" s="38"/>
      <c r="EA419" s="38"/>
    </row>
    <row r="420" spans="11:131" ht="15" customHeight="1" x14ac:dyDescent="0.2">
      <c r="K420" s="38"/>
      <c r="U420" s="38"/>
      <c r="AE420" s="38"/>
      <c r="AO420" s="38"/>
      <c r="AY420" s="38"/>
      <c r="BI420" s="38"/>
      <c r="BS420" s="38"/>
      <c r="CC420" s="38"/>
      <c r="CM420" s="38"/>
      <c r="CW420" s="38"/>
      <c r="DG420" s="38"/>
      <c r="DQ420" s="38"/>
      <c r="EA420" s="38"/>
    </row>
    <row r="421" spans="11:131" ht="15" customHeight="1" x14ac:dyDescent="0.2">
      <c r="K421" s="38"/>
      <c r="U421" s="38"/>
      <c r="AE421" s="38"/>
      <c r="AO421" s="38"/>
      <c r="AY421" s="38"/>
      <c r="BI421" s="38"/>
      <c r="BS421" s="38"/>
      <c r="CC421" s="38"/>
      <c r="CM421" s="38"/>
      <c r="CW421" s="38"/>
      <c r="DG421" s="38"/>
      <c r="DQ421" s="38"/>
      <c r="EA421" s="38"/>
    </row>
    <row r="422" spans="11:131" ht="15" customHeight="1" x14ac:dyDescent="0.2">
      <c r="K422" s="38"/>
      <c r="U422" s="38"/>
      <c r="AE422" s="38"/>
      <c r="AO422" s="38"/>
      <c r="AY422" s="38"/>
      <c r="BI422" s="38"/>
      <c r="BS422" s="38"/>
      <c r="CC422" s="38"/>
      <c r="CM422" s="38"/>
      <c r="CW422" s="38"/>
      <c r="DG422" s="38"/>
      <c r="DQ422" s="38"/>
      <c r="EA422" s="38"/>
    </row>
    <row r="423" spans="11:131" ht="15" customHeight="1" x14ac:dyDescent="0.2">
      <c r="K423" s="38"/>
      <c r="U423" s="38"/>
      <c r="AE423" s="38"/>
      <c r="AO423" s="38"/>
      <c r="AY423" s="38"/>
      <c r="BI423" s="38"/>
      <c r="BS423" s="38"/>
      <c r="CC423" s="38"/>
      <c r="CM423" s="38"/>
      <c r="CW423" s="38"/>
      <c r="DG423" s="38"/>
      <c r="DQ423" s="38"/>
      <c r="EA423" s="38"/>
    </row>
    <row r="424" spans="11:131" ht="15" customHeight="1" x14ac:dyDescent="0.2">
      <c r="K424" s="38"/>
      <c r="U424" s="38"/>
      <c r="AE424" s="38"/>
      <c r="AO424" s="38"/>
      <c r="AY424" s="38"/>
      <c r="BI424" s="38"/>
      <c r="BS424" s="38"/>
      <c r="CC424" s="38"/>
      <c r="CM424" s="38"/>
      <c r="CW424" s="38"/>
      <c r="DG424" s="38"/>
      <c r="DQ424" s="38"/>
      <c r="EA424" s="38"/>
    </row>
    <row r="425" spans="11:131" ht="15" customHeight="1" x14ac:dyDescent="0.2">
      <c r="K425" s="38"/>
      <c r="U425" s="38"/>
      <c r="AE425" s="38"/>
      <c r="AO425" s="38"/>
      <c r="AY425" s="38"/>
      <c r="BI425" s="38"/>
      <c r="BS425" s="38"/>
      <c r="CC425" s="38"/>
      <c r="CM425" s="38"/>
      <c r="CW425" s="38"/>
      <c r="DG425" s="38"/>
      <c r="DQ425" s="38"/>
      <c r="EA425" s="38"/>
    </row>
    <row r="426" spans="11:131" ht="15" customHeight="1" x14ac:dyDescent="0.2">
      <c r="K426" s="38"/>
      <c r="U426" s="38"/>
      <c r="AE426" s="38"/>
      <c r="AO426" s="38"/>
      <c r="AY426" s="38"/>
      <c r="BI426" s="38"/>
      <c r="BS426" s="38"/>
      <c r="CC426" s="38"/>
      <c r="CM426" s="38"/>
      <c r="CW426" s="38"/>
      <c r="DG426" s="38"/>
      <c r="DQ426" s="38"/>
      <c r="EA426" s="38"/>
    </row>
    <row r="427" spans="11:131" ht="15" customHeight="1" x14ac:dyDescent="0.2">
      <c r="K427" s="38"/>
      <c r="U427" s="38"/>
      <c r="AE427" s="38"/>
      <c r="AO427" s="38"/>
      <c r="AY427" s="38"/>
      <c r="BI427" s="38"/>
      <c r="BS427" s="38"/>
      <c r="CC427" s="38"/>
      <c r="CM427" s="38"/>
      <c r="CW427" s="38"/>
      <c r="DG427" s="38"/>
      <c r="DQ427" s="38"/>
      <c r="EA427" s="38"/>
    </row>
    <row r="428" spans="11:131" ht="15" customHeight="1" x14ac:dyDescent="0.2">
      <c r="K428" s="38"/>
      <c r="U428" s="38"/>
      <c r="AE428" s="38"/>
      <c r="AO428" s="38"/>
      <c r="AY428" s="38"/>
      <c r="BI428" s="38"/>
      <c r="BS428" s="38"/>
      <c r="CC428" s="38"/>
      <c r="CM428" s="38"/>
      <c r="CW428" s="38"/>
      <c r="DG428" s="38"/>
      <c r="DQ428" s="38"/>
      <c r="EA428" s="38"/>
    </row>
    <row r="429" spans="11:131" ht="15" customHeight="1" x14ac:dyDescent="0.2">
      <c r="K429" s="38"/>
      <c r="U429" s="38"/>
      <c r="AE429" s="38"/>
      <c r="AO429" s="38"/>
      <c r="AY429" s="38"/>
      <c r="BI429" s="38"/>
      <c r="BS429" s="38"/>
      <c r="CC429" s="38"/>
      <c r="CM429" s="38"/>
      <c r="CW429" s="38"/>
      <c r="DG429" s="38"/>
      <c r="DQ429" s="38"/>
      <c r="EA429" s="38"/>
    </row>
    <row r="430" spans="11:131" ht="15" customHeight="1" x14ac:dyDescent="0.2">
      <c r="K430" s="38"/>
      <c r="U430" s="38"/>
      <c r="AE430" s="38"/>
      <c r="AO430" s="38"/>
      <c r="AY430" s="38"/>
      <c r="BI430" s="38"/>
      <c r="BS430" s="38"/>
      <c r="CC430" s="38"/>
      <c r="CM430" s="38"/>
      <c r="CW430" s="38"/>
      <c r="DG430" s="38"/>
      <c r="DQ430" s="38"/>
      <c r="EA430" s="38"/>
    </row>
    <row r="431" spans="11:131" ht="15" customHeight="1" x14ac:dyDescent="0.2">
      <c r="K431" s="38"/>
      <c r="U431" s="38"/>
      <c r="AE431" s="38"/>
      <c r="AO431" s="38"/>
      <c r="AY431" s="38"/>
      <c r="BI431" s="38"/>
      <c r="BS431" s="38"/>
      <c r="CC431" s="38"/>
      <c r="CM431" s="38"/>
      <c r="CW431" s="38"/>
      <c r="DG431" s="38"/>
      <c r="DQ431" s="38"/>
      <c r="EA431" s="38"/>
    </row>
    <row r="432" spans="11:131" ht="15" customHeight="1" x14ac:dyDescent="0.2">
      <c r="K432" s="38"/>
      <c r="U432" s="38"/>
      <c r="AE432" s="38"/>
      <c r="AO432" s="38"/>
      <c r="AY432" s="38"/>
      <c r="BI432" s="38"/>
      <c r="BS432" s="38"/>
      <c r="CC432" s="38"/>
      <c r="CM432" s="38"/>
      <c r="CW432" s="38"/>
      <c r="DG432" s="38"/>
      <c r="DQ432" s="38"/>
      <c r="EA432" s="38"/>
    </row>
    <row r="433" spans="11:131" ht="15" customHeight="1" x14ac:dyDescent="0.2">
      <c r="K433" s="38"/>
      <c r="U433" s="38"/>
      <c r="AE433" s="38"/>
      <c r="AO433" s="38"/>
      <c r="AY433" s="38"/>
      <c r="BI433" s="38"/>
      <c r="BS433" s="38"/>
      <c r="CC433" s="38"/>
      <c r="CM433" s="38"/>
      <c r="CW433" s="38"/>
      <c r="DG433" s="38"/>
      <c r="DQ433" s="38"/>
      <c r="EA433" s="38"/>
    </row>
    <row r="434" spans="11:131" ht="15" customHeight="1" x14ac:dyDescent="0.2">
      <c r="K434" s="38"/>
      <c r="U434" s="38"/>
      <c r="AE434" s="38"/>
      <c r="AO434" s="38"/>
      <c r="AY434" s="38"/>
      <c r="BI434" s="38"/>
      <c r="BS434" s="38"/>
      <c r="CC434" s="38"/>
      <c r="CM434" s="38"/>
      <c r="CW434" s="38"/>
      <c r="DG434" s="38"/>
      <c r="DQ434" s="38"/>
      <c r="EA434" s="38"/>
    </row>
    <row r="435" spans="11:131" ht="15" customHeight="1" x14ac:dyDescent="0.2">
      <c r="K435" s="38"/>
      <c r="U435" s="38"/>
      <c r="AE435" s="38"/>
      <c r="AO435" s="38"/>
      <c r="AY435" s="38"/>
      <c r="BI435" s="38"/>
      <c r="BS435" s="38"/>
      <c r="CC435" s="38"/>
      <c r="CM435" s="38"/>
      <c r="CW435" s="38"/>
      <c r="DG435" s="38"/>
      <c r="DQ435" s="38"/>
      <c r="EA435" s="38"/>
    </row>
    <row r="436" spans="11:131" ht="15" customHeight="1" x14ac:dyDescent="0.2">
      <c r="K436" s="38"/>
      <c r="U436" s="38"/>
      <c r="AE436" s="38"/>
      <c r="AO436" s="38"/>
      <c r="AY436" s="38"/>
      <c r="BI436" s="38"/>
      <c r="BS436" s="38"/>
      <c r="CC436" s="38"/>
      <c r="CM436" s="38"/>
      <c r="CW436" s="38"/>
      <c r="DG436" s="38"/>
      <c r="DQ436" s="38"/>
      <c r="EA436" s="38"/>
    </row>
    <row r="437" spans="11:131" ht="15" customHeight="1" x14ac:dyDescent="0.2">
      <c r="K437" s="38"/>
      <c r="U437" s="38"/>
      <c r="AE437" s="38"/>
      <c r="AO437" s="38"/>
      <c r="AY437" s="38"/>
      <c r="BI437" s="38"/>
      <c r="BS437" s="38"/>
      <c r="CC437" s="38"/>
      <c r="CM437" s="38"/>
      <c r="CW437" s="38"/>
      <c r="DG437" s="38"/>
      <c r="DQ437" s="38"/>
      <c r="EA437" s="38"/>
    </row>
    <row r="438" spans="11:131" ht="15" customHeight="1" x14ac:dyDescent="0.2">
      <c r="K438" s="38"/>
      <c r="U438" s="38"/>
      <c r="AE438" s="38"/>
      <c r="AO438" s="38"/>
      <c r="AY438" s="38"/>
      <c r="BI438" s="38"/>
      <c r="BS438" s="38"/>
      <c r="CC438" s="38"/>
      <c r="CM438" s="38"/>
      <c r="CW438" s="38"/>
      <c r="DG438" s="38"/>
      <c r="DQ438" s="38"/>
      <c r="EA438" s="38"/>
    </row>
    <row r="439" spans="11:131" ht="15" customHeight="1" x14ac:dyDescent="0.2">
      <c r="K439" s="38"/>
      <c r="U439" s="38"/>
      <c r="AE439" s="38"/>
      <c r="AO439" s="38"/>
      <c r="AY439" s="38"/>
      <c r="BI439" s="38"/>
      <c r="BS439" s="38"/>
      <c r="CC439" s="38"/>
      <c r="CM439" s="38"/>
      <c r="CW439" s="38"/>
      <c r="DG439" s="38"/>
      <c r="DQ439" s="38"/>
      <c r="EA439" s="38"/>
    </row>
    <row r="440" spans="11:131" ht="15" customHeight="1" x14ac:dyDescent="0.2">
      <c r="K440" s="38"/>
      <c r="U440" s="38"/>
      <c r="AE440" s="38"/>
      <c r="AO440" s="38"/>
      <c r="AY440" s="38"/>
      <c r="BI440" s="38"/>
      <c r="BS440" s="38"/>
      <c r="CC440" s="38"/>
      <c r="CM440" s="38"/>
      <c r="CW440" s="38"/>
      <c r="DG440" s="38"/>
      <c r="DQ440" s="38"/>
      <c r="EA440" s="38"/>
    </row>
    <row r="441" spans="11:131" ht="15" customHeight="1" x14ac:dyDescent="0.2">
      <c r="K441" s="38"/>
      <c r="U441" s="38"/>
      <c r="AE441" s="38"/>
      <c r="AO441" s="38"/>
      <c r="AY441" s="38"/>
      <c r="BI441" s="38"/>
      <c r="BS441" s="38"/>
      <c r="CC441" s="38"/>
      <c r="CM441" s="38"/>
      <c r="CW441" s="38"/>
      <c r="DG441" s="38"/>
      <c r="DQ441" s="38"/>
      <c r="EA441" s="38"/>
    </row>
    <row r="442" spans="11:131" ht="15" customHeight="1" x14ac:dyDescent="0.2">
      <c r="K442" s="38"/>
      <c r="U442" s="38"/>
      <c r="AE442" s="38"/>
      <c r="AO442" s="38"/>
      <c r="AY442" s="38"/>
      <c r="BI442" s="38"/>
      <c r="BS442" s="38"/>
      <c r="CC442" s="38"/>
      <c r="CM442" s="38"/>
      <c r="CW442" s="38"/>
      <c r="DG442" s="38"/>
      <c r="DQ442" s="38"/>
      <c r="EA442" s="38"/>
    </row>
    <row r="443" spans="11:131" ht="15" customHeight="1" x14ac:dyDescent="0.2">
      <c r="K443" s="38"/>
      <c r="U443" s="38"/>
      <c r="AE443" s="38"/>
      <c r="AO443" s="38"/>
      <c r="AY443" s="38"/>
      <c r="BI443" s="38"/>
      <c r="BS443" s="38"/>
      <c r="CC443" s="38"/>
      <c r="CM443" s="38"/>
      <c r="CW443" s="38"/>
      <c r="DG443" s="38"/>
      <c r="DQ443" s="38"/>
      <c r="EA443" s="38"/>
    </row>
    <row r="444" spans="11:131" ht="15" customHeight="1" x14ac:dyDescent="0.2">
      <c r="K444" s="38"/>
      <c r="U444" s="38"/>
      <c r="AE444" s="38"/>
      <c r="AO444" s="38"/>
      <c r="AY444" s="38"/>
      <c r="BI444" s="38"/>
      <c r="BS444" s="38"/>
      <c r="CC444" s="38"/>
      <c r="CM444" s="38"/>
      <c r="CW444" s="38"/>
      <c r="DG444" s="38"/>
      <c r="DQ444" s="38"/>
      <c r="EA444" s="38"/>
    </row>
    <row r="445" spans="11:131" ht="15" customHeight="1" x14ac:dyDescent="0.2">
      <c r="K445" s="38"/>
      <c r="U445" s="38"/>
      <c r="AE445" s="38"/>
      <c r="AO445" s="38"/>
      <c r="AY445" s="38"/>
      <c r="BI445" s="38"/>
      <c r="BS445" s="38"/>
      <c r="CC445" s="38"/>
      <c r="CM445" s="38"/>
      <c r="CW445" s="38"/>
      <c r="DG445" s="38"/>
      <c r="DQ445" s="38"/>
      <c r="EA445" s="38"/>
    </row>
    <row r="446" spans="11:131" ht="15" customHeight="1" x14ac:dyDescent="0.2">
      <c r="K446" s="38"/>
      <c r="U446" s="38"/>
      <c r="AE446" s="38"/>
      <c r="AO446" s="38"/>
      <c r="AY446" s="38"/>
      <c r="BI446" s="38"/>
      <c r="BS446" s="38"/>
      <c r="CC446" s="38"/>
      <c r="CM446" s="38"/>
      <c r="CW446" s="38"/>
      <c r="DG446" s="38"/>
      <c r="DQ446" s="38"/>
      <c r="EA446" s="38"/>
    </row>
    <row r="447" spans="11:131" ht="15" customHeight="1" x14ac:dyDescent="0.2">
      <c r="K447" s="38"/>
      <c r="U447" s="38"/>
      <c r="AE447" s="38"/>
      <c r="AO447" s="38"/>
      <c r="AY447" s="38"/>
      <c r="BI447" s="38"/>
      <c r="BS447" s="38"/>
      <c r="CC447" s="38"/>
      <c r="CM447" s="38"/>
      <c r="CW447" s="38"/>
      <c r="DG447" s="38"/>
      <c r="DQ447" s="38"/>
      <c r="EA447" s="38"/>
    </row>
    <row r="448" spans="11:131" ht="15" customHeight="1" x14ac:dyDescent="0.2">
      <c r="K448" s="38"/>
      <c r="U448" s="38"/>
      <c r="AE448" s="38"/>
      <c r="AO448" s="38"/>
      <c r="AY448" s="38"/>
      <c r="BI448" s="38"/>
      <c r="BS448" s="38"/>
      <c r="CC448" s="38"/>
      <c r="CM448" s="38"/>
      <c r="CW448" s="38"/>
      <c r="DG448" s="38"/>
      <c r="DQ448" s="38"/>
      <c r="EA448" s="38"/>
    </row>
    <row r="449" spans="11:131" ht="15" customHeight="1" x14ac:dyDescent="0.2">
      <c r="K449" s="38"/>
      <c r="U449" s="38"/>
      <c r="AE449" s="38"/>
      <c r="AO449" s="38"/>
      <c r="AY449" s="38"/>
      <c r="BI449" s="38"/>
      <c r="BS449" s="38"/>
      <c r="CC449" s="38"/>
      <c r="CM449" s="38"/>
      <c r="CW449" s="38"/>
      <c r="DG449" s="38"/>
      <c r="DQ449" s="38"/>
      <c r="EA449" s="38"/>
    </row>
    <row r="450" spans="11:131" ht="15" customHeight="1" x14ac:dyDescent="0.2">
      <c r="K450" s="38"/>
      <c r="U450" s="38"/>
      <c r="AE450" s="38"/>
      <c r="AO450" s="38"/>
      <c r="AY450" s="38"/>
      <c r="BI450" s="38"/>
      <c r="BS450" s="38"/>
      <c r="CC450" s="38"/>
      <c r="CM450" s="38"/>
      <c r="CW450" s="38"/>
      <c r="DG450" s="38"/>
      <c r="DQ450" s="38"/>
      <c r="EA450" s="38"/>
    </row>
    <row r="451" spans="11:131" ht="15" customHeight="1" x14ac:dyDescent="0.2">
      <c r="K451" s="38"/>
      <c r="U451" s="38"/>
      <c r="AE451" s="38"/>
      <c r="AO451" s="38"/>
      <c r="AY451" s="38"/>
      <c r="BI451" s="38"/>
      <c r="BS451" s="38"/>
      <c r="CC451" s="38"/>
      <c r="CM451" s="38"/>
      <c r="CW451" s="38"/>
      <c r="DG451" s="38"/>
      <c r="DQ451" s="38"/>
      <c r="EA451" s="38"/>
    </row>
    <row r="452" spans="11:131" ht="15" customHeight="1" x14ac:dyDescent="0.2">
      <c r="K452" s="38"/>
      <c r="U452" s="38"/>
      <c r="AE452" s="38"/>
      <c r="AO452" s="38"/>
      <c r="AY452" s="38"/>
      <c r="BI452" s="38"/>
      <c r="BS452" s="38"/>
      <c r="CC452" s="38"/>
      <c r="CM452" s="38"/>
      <c r="CW452" s="38"/>
      <c r="DG452" s="38"/>
      <c r="DQ452" s="38"/>
      <c r="EA452" s="38"/>
    </row>
    <row r="453" spans="11:131" ht="15" customHeight="1" x14ac:dyDescent="0.2">
      <c r="K453" s="38"/>
      <c r="U453" s="38"/>
      <c r="AE453" s="38"/>
      <c r="AO453" s="38"/>
      <c r="AY453" s="38"/>
      <c r="BI453" s="38"/>
      <c r="BS453" s="38"/>
      <c r="CC453" s="38"/>
      <c r="CM453" s="38"/>
      <c r="CW453" s="38"/>
      <c r="DG453" s="38"/>
      <c r="DQ453" s="38"/>
      <c r="EA453" s="38"/>
    </row>
    <row r="454" spans="11:131" ht="15" customHeight="1" x14ac:dyDescent="0.2">
      <c r="K454" s="38"/>
      <c r="U454" s="38"/>
      <c r="AE454" s="38"/>
      <c r="AO454" s="38"/>
      <c r="AY454" s="38"/>
      <c r="BI454" s="38"/>
      <c r="BS454" s="38"/>
      <c r="CC454" s="38"/>
      <c r="CM454" s="38"/>
      <c r="CW454" s="38"/>
      <c r="DG454" s="38"/>
      <c r="DQ454" s="38"/>
      <c r="EA454" s="38"/>
    </row>
    <row r="455" spans="11:131" ht="15" customHeight="1" x14ac:dyDescent="0.2">
      <c r="K455" s="38"/>
      <c r="U455" s="38"/>
      <c r="AE455" s="38"/>
      <c r="AO455" s="38"/>
      <c r="AY455" s="38"/>
      <c r="BI455" s="38"/>
      <c r="BS455" s="38"/>
      <c r="CC455" s="38"/>
      <c r="CM455" s="38"/>
      <c r="CW455" s="38"/>
      <c r="DG455" s="38"/>
      <c r="DQ455" s="38"/>
      <c r="EA455" s="38"/>
    </row>
    <row r="456" spans="11:131" ht="15" customHeight="1" x14ac:dyDescent="0.2">
      <c r="K456" s="38"/>
      <c r="U456" s="38"/>
      <c r="AE456" s="38"/>
      <c r="AO456" s="38"/>
      <c r="AY456" s="38"/>
      <c r="BI456" s="38"/>
      <c r="BS456" s="38"/>
      <c r="CC456" s="38"/>
      <c r="CM456" s="38"/>
      <c r="CW456" s="38"/>
      <c r="DG456" s="38"/>
      <c r="DQ456" s="38"/>
      <c r="EA456" s="38"/>
    </row>
    <row r="457" spans="11:131" ht="15" customHeight="1" x14ac:dyDescent="0.2">
      <c r="K457" s="38"/>
      <c r="U457" s="38"/>
      <c r="AE457" s="38"/>
      <c r="AO457" s="38"/>
      <c r="AY457" s="38"/>
      <c r="BI457" s="38"/>
      <c r="BS457" s="38"/>
      <c r="CC457" s="38"/>
      <c r="CM457" s="38"/>
      <c r="CW457" s="38"/>
      <c r="DG457" s="38"/>
      <c r="DQ457" s="38"/>
      <c r="EA457" s="38"/>
    </row>
    <row r="458" spans="11:131" ht="15" customHeight="1" x14ac:dyDescent="0.2">
      <c r="K458" s="38"/>
      <c r="U458" s="38"/>
      <c r="AE458" s="38"/>
      <c r="AO458" s="38"/>
      <c r="AY458" s="38"/>
      <c r="BI458" s="38"/>
      <c r="BS458" s="38"/>
      <c r="CC458" s="38"/>
      <c r="CM458" s="38"/>
      <c r="CW458" s="38"/>
      <c r="DG458" s="38"/>
      <c r="DQ458" s="38"/>
      <c r="EA458" s="38"/>
    </row>
    <row r="459" spans="11:131" ht="15" customHeight="1" x14ac:dyDescent="0.2">
      <c r="K459" s="38"/>
      <c r="U459" s="38"/>
      <c r="AE459" s="38"/>
      <c r="AO459" s="38"/>
      <c r="AY459" s="38"/>
      <c r="BI459" s="38"/>
      <c r="BS459" s="38"/>
      <c r="CC459" s="38"/>
      <c r="CM459" s="38"/>
      <c r="CW459" s="38"/>
      <c r="DG459" s="38"/>
      <c r="DQ459" s="38"/>
      <c r="EA459" s="38"/>
    </row>
    <row r="460" spans="11:131" ht="15" customHeight="1" x14ac:dyDescent="0.2">
      <c r="K460" s="38"/>
      <c r="U460" s="38"/>
      <c r="AE460" s="38"/>
      <c r="AO460" s="38"/>
      <c r="AY460" s="38"/>
      <c r="BI460" s="38"/>
      <c r="BS460" s="38"/>
      <c r="CC460" s="38"/>
      <c r="CM460" s="38"/>
      <c r="CW460" s="38"/>
      <c r="DG460" s="38"/>
      <c r="DQ460" s="38"/>
      <c r="EA460" s="38"/>
    </row>
    <row r="461" spans="11:131" ht="15" customHeight="1" x14ac:dyDescent="0.2">
      <c r="K461" s="38"/>
      <c r="U461" s="38"/>
      <c r="AE461" s="38"/>
      <c r="AO461" s="38"/>
      <c r="AY461" s="38"/>
      <c r="BI461" s="38"/>
      <c r="BS461" s="38"/>
      <c r="CC461" s="38"/>
      <c r="CM461" s="38"/>
      <c r="CW461" s="38"/>
      <c r="DG461" s="38"/>
      <c r="DQ461" s="38"/>
      <c r="EA461" s="38"/>
    </row>
    <row r="462" spans="11:131" ht="15" customHeight="1" x14ac:dyDescent="0.2">
      <c r="K462" s="38"/>
      <c r="U462" s="38"/>
      <c r="AE462" s="38"/>
      <c r="AO462" s="38"/>
      <c r="AY462" s="38"/>
      <c r="BI462" s="38"/>
      <c r="BS462" s="38"/>
      <c r="CC462" s="38"/>
      <c r="CM462" s="38"/>
      <c r="CW462" s="38"/>
      <c r="DG462" s="38"/>
      <c r="DQ462" s="38"/>
      <c r="EA462" s="38"/>
    </row>
    <row r="463" spans="11:131" ht="15" customHeight="1" x14ac:dyDescent="0.2">
      <c r="K463" s="38"/>
      <c r="U463" s="38"/>
      <c r="AE463" s="38"/>
      <c r="AO463" s="38"/>
      <c r="AY463" s="38"/>
      <c r="BI463" s="38"/>
      <c r="BS463" s="38"/>
      <c r="CC463" s="38"/>
      <c r="CM463" s="38"/>
      <c r="CW463" s="38"/>
      <c r="DG463" s="38"/>
      <c r="DQ463" s="38"/>
      <c r="EA463" s="38"/>
    </row>
    <row r="464" spans="11:131" ht="15" customHeight="1" x14ac:dyDescent="0.2">
      <c r="K464" s="38"/>
      <c r="U464" s="38"/>
      <c r="AE464" s="38"/>
      <c r="AO464" s="38"/>
      <c r="AY464" s="38"/>
      <c r="BI464" s="38"/>
      <c r="BS464" s="38"/>
      <c r="CC464" s="38"/>
      <c r="CM464" s="38"/>
      <c r="CW464" s="38"/>
      <c r="DG464" s="38"/>
      <c r="DQ464" s="38"/>
      <c r="EA464" s="38"/>
    </row>
    <row r="465" spans="11:131" ht="15" customHeight="1" x14ac:dyDescent="0.2">
      <c r="K465" s="38"/>
      <c r="U465" s="38"/>
      <c r="AE465" s="38"/>
      <c r="AO465" s="38"/>
      <c r="AY465" s="38"/>
      <c r="BI465" s="38"/>
      <c r="BS465" s="38"/>
      <c r="CC465" s="38"/>
      <c r="CM465" s="38"/>
      <c r="CW465" s="38"/>
      <c r="DG465" s="38"/>
      <c r="DQ465" s="38"/>
      <c r="EA465" s="38"/>
    </row>
    <row r="466" spans="11:131" ht="15" customHeight="1" x14ac:dyDescent="0.2">
      <c r="K466" s="38"/>
      <c r="U466" s="38"/>
      <c r="AE466" s="38"/>
      <c r="AO466" s="38"/>
      <c r="AY466" s="38"/>
      <c r="BI466" s="38"/>
      <c r="BS466" s="38"/>
      <c r="CC466" s="38"/>
      <c r="CM466" s="38"/>
      <c r="CW466" s="38"/>
      <c r="DG466" s="38"/>
      <c r="DQ466" s="38"/>
      <c r="EA466" s="38"/>
    </row>
    <row r="467" spans="11:131" ht="15" customHeight="1" x14ac:dyDescent="0.2">
      <c r="K467" s="38"/>
      <c r="U467" s="38"/>
      <c r="AE467" s="38"/>
      <c r="AO467" s="38"/>
      <c r="AY467" s="38"/>
      <c r="BI467" s="38"/>
      <c r="BS467" s="38"/>
      <c r="CC467" s="38"/>
      <c r="CM467" s="38"/>
      <c r="CW467" s="38"/>
      <c r="DG467" s="38"/>
      <c r="DQ467" s="38"/>
      <c r="EA467" s="38"/>
    </row>
    <row r="468" spans="11:131" ht="15" customHeight="1" x14ac:dyDescent="0.2">
      <c r="K468" s="38"/>
      <c r="U468" s="38"/>
      <c r="AE468" s="38"/>
      <c r="AO468" s="38"/>
      <c r="AY468" s="38"/>
      <c r="BI468" s="38"/>
      <c r="BS468" s="38"/>
      <c r="CC468" s="38"/>
      <c r="CM468" s="38"/>
      <c r="CW468" s="38"/>
      <c r="DG468" s="38"/>
      <c r="DQ468" s="38"/>
      <c r="EA468" s="38"/>
    </row>
    <row r="469" spans="11:131" ht="15" customHeight="1" x14ac:dyDescent="0.2">
      <c r="K469" s="38"/>
      <c r="U469" s="38"/>
      <c r="AE469" s="38"/>
      <c r="AO469" s="38"/>
      <c r="AY469" s="38"/>
      <c r="BI469" s="38"/>
      <c r="BS469" s="38"/>
      <c r="CC469" s="38"/>
      <c r="CM469" s="38"/>
      <c r="CW469" s="38"/>
      <c r="DG469" s="38"/>
      <c r="DQ469" s="38"/>
      <c r="EA469" s="38"/>
    </row>
    <row r="470" spans="11:131" ht="15" customHeight="1" x14ac:dyDescent="0.2">
      <c r="K470" s="38"/>
      <c r="U470" s="38"/>
      <c r="AE470" s="38"/>
      <c r="AO470" s="38"/>
      <c r="AY470" s="38"/>
      <c r="BI470" s="38"/>
      <c r="BS470" s="38"/>
      <c r="CC470" s="38"/>
      <c r="CM470" s="38"/>
      <c r="CW470" s="38"/>
      <c r="DG470" s="38"/>
      <c r="DQ470" s="38"/>
      <c r="EA470" s="38"/>
    </row>
    <row r="471" spans="11:131" ht="15" customHeight="1" x14ac:dyDescent="0.2">
      <c r="K471" s="38"/>
      <c r="U471" s="38"/>
      <c r="AE471" s="38"/>
      <c r="AO471" s="38"/>
      <c r="AY471" s="38"/>
      <c r="BI471" s="38"/>
      <c r="BS471" s="38"/>
      <c r="CC471" s="38"/>
      <c r="CM471" s="38"/>
      <c r="CW471" s="38"/>
      <c r="DG471" s="38"/>
      <c r="DQ471" s="38"/>
      <c r="EA471" s="38"/>
    </row>
    <row r="472" spans="11:131" ht="15" customHeight="1" x14ac:dyDescent="0.2">
      <c r="K472" s="38"/>
      <c r="U472" s="38"/>
      <c r="AE472" s="38"/>
      <c r="AO472" s="38"/>
      <c r="AY472" s="38"/>
      <c r="BI472" s="38"/>
      <c r="BS472" s="38"/>
      <c r="CC472" s="38"/>
      <c r="CM472" s="38"/>
      <c r="CW472" s="38"/>
      <c r="DG472" s="38"/>
      <c r="DQ472" s="38"/>
      <c r="EA472" s="38"/>
    </row>
    <row r="473" spans="11:131" ht="15" customHeight="1" x14ac:dyDescent="0.2">
      <c r="K473" s="38"/>
      <c r="U473" s="38"/>
      <c r="AE473" s="38"/>
      <c r="AO473" s="38"/>
      <c r="AY473" s="38"/>
      <c r="BI473" s="38"/>
      <c r="BS473" s="38"/>
      <c r="CC473" s="38"/>
      <c r="CM473" s="38"/>
      <c r="CW473" s="38"/>
      <c r="DG473" s="38"/>
      <c r="DQ473" s="38"/>
      <c r="EA473" s="38"/>
    </row>
    <row r="474" spans="11:131" ht="15" customHeight="1" x14ac:dyDescent="0.2">
      <c r="K474" s="38"/>
      <c r="U474" s="38"/>
      <c r="AE474" s="38"/>
      <c r="AO474" s="38"/>
      <c r="AY474" s="38"/>
      <c r="BI474" s="38"/>
      <c r="BS474" s="38"/>
      <c r="CC474" s="38"/>
      <c r="CM474" s="38"/>
      <c r="CW474" s="38"/>
      <c r="DG474" s="38"/>
      <c r="DQ474" s="38"/>
      <c r="EA474" s="38"/>
    </row>
    <row r="475" spans="11:131" ht="15" customHeight="1" x14ac:dyDescent="0.2">
      <c r="K475" s="38"/>
      <c r="U475" s="38"/>
      <c r="AE475" s="38"/>
      <c r="AO475" s="38"/>
      <c r="AY475" s="38"/>
      <c r="BI475" s="38"/>
      <c r="BS475" s="38"/>
      <c r="CC475" s="38"/>
      <c r="CM475" s="38"/>
      <c r="CW475" s="38"/>
      <c r="DG475" s="38"/>
      <c r="DQ475" s="38"/>
      <c r="EA475" s="38"/>
    </row>
    <row r="476" spans="11:131" ht="15" customHeight="1" x14ac:dyDescent="0.2">
      <c r="K476" s="38"/>
      <c r="U476" s="38"/>
      <c r="AE476" s="38"/>
      <c r="AO476" s="38"/>
      <c r="AY476" s="38"/>
      <c r="BI476" s="38"/>
      <c r="BS476" s="38"/>
      <c r="CC476" s="38"/>
      <c r="CM476" s="38"/>
      <c r="CW476" s="38"/>
      <c r="DG476" s="38"/>
      <c r="DQ476" s="38"/>
      <c r="EA476" s="38"/>
    </row>
    <row r="477" spans="11:131" ht="15" customHeight="1" x14ac:dyDescent="0.2">
      <c r="K477" s="38"/>
      <c r="U477" s="38"/>
      <c r="AE477" s="38"/>
      <c r="AO477" s="38"/>
      <c r="AY477" s="38"/>
      <c r="BI477" s="38"/>
      <c r="BS477" s="38"/>
      <c r="CC477" s="38"/>
      <c r="CM477" s="38"/>
      <c r="CW477" s="38"/>
      <c r="DG477" s="38"/>
      <c r="DQ477" s="38"/>
      <c r="EA477" s="38"/>
    </row>
    <row r="478" spans="11:131" ht="15" customHeight="1" x14ac:dyDescent="0.2">
      <c r="K478" s="38"/>
      <c r="U478" s="38"/>
      <c r="AE478" s="38"/>
      <c r="AO478" s="38"/>
      <c r="AY478" s="38"/>
      <c r="BI478" s="38"/>
      <c r="BS478" s="38"/>
      <c r="CC478" s="38"/>
      <c r="CM478" s="38"/>
      <c r="CW478" s="38"/>
      <c r="DG478" s="38"/>
      <c r="DQ478" s="38"/>
      <c r="EA478" s="38"/>
    </row>
    <row r="479" spans="11:131" ht="15" customHeight="1" x14ac:dyDescent="0.2">
      <c r="K479" s="38"/>
      <c r="U479" s="38"/>
      <c r="AE479" s="38"/>
      <c r="AO479" s="38"/>
      <c r="AY479" s="38"/>
      <c r="BI479" s="38"/>
      <c r="BS479" s="38"/>
      <c r="CC479" s="38"/>
      <c r="CM479" s="38"/>
      <c r="CW479" s="38"/>
      <c r="DG479" s="38"/>
      <c r="DQ479" s="38"/>
      <c r="EA479" s="38"/>
    </row>
    <row r="480" spans="11:131" ht="15" customHeight="1" x14ac:dyDescent="0.2">
      <c r="K480" s="38"/>
      <c r="U480" s="38"/>
      <c r="AE480" s="38"/>
      <c r="AO480" s="38"/>
      <c r="AY480" s="38"/>
      <c r="BI480" s="38"/>
      <c r="BS480" s="38"/>
      <c r="CC480" s="38"/>
      <c r="CM480" s="38"/>
      <c r="CW480" s="38"/>
      <c r="DG480" s="38"/>
      <c r="DQ480" s="38"/>
      <c r="EA480" s="38"/>
    </row>
    <row r="481" spans="11:131" ht="15" customHeight="1" x14ac:dyDescent="0.2">
      <c r="K481" s="38"/>
      <c r="U481" s="38"/>
      <c r="AE481" s="38"/>
      <c r="AO481" s="38"/>
      <c r="AY481" s="38"/>
      <c r="BI481" s="38"/>
      <c r="BS481" s="38"/>
      <c r="CC481" s="38"/>
      <c r="CM481" s="38"/>
      <c r="CW481" s="38"/>
      <c r="DG481" s="38"/>
      <c r="DQ481" s="38"/>
      <c r="EA481" s="38"/>
    </row>
    <row r="482" spans="11:131" ht="15" customHeight="1" x14ac:dyDescent="0.2">
      <c r="K482" s="38"/>
      <c r="U482" s="38"/>
      <c r="AE482" s="38"/>
      <c r="AO482" s="38"/>
      <c r="AY482" s="38"/>
      <c r="BI482" s="38"/>
      <c r="BS482" s="38"/>
      <c r="CC482" s="38"/>
      <c r="CM482" s="38"/>
      <c r="CW482" s="38"/>
      <c r="DG482" s="38"/>
      <c r="DQ482" s="38"/>
      <c r="EA482" s="38"/>
    </row>
    <row r="483" spans="11:131" ht="15" customHeight="1" x14ac:dyDescent="0.2">
      <c r="K483" s="38"/>
      <c r="U483" s="38"/>
      <c r="AE483" s="38"/>
      <c r="AO483" s="38"/>
      <c r="AY483" s="38"/>
      <c r="BI483" s="38"/>
      <c r="BS483" s="38"/>
      <c r="CC483" s="38"/>
      <c r="CM483" s="38"/>
      <c r="CW483" s="38"/>
      <c r="DG483" s="38"/>
      <c r="DQ483" s="38"/>
      <c r="EA483" s="38"/>
    </row>
    <row r="484" spans="11:131" ht="15" customHeight="1" x14ac:dyDescent="0.2">
      <c r="K484" s="38"/>
      <c r="U484" s="38"/>
      <c r="AE484" s="38"/>
      <c r="AO484" s="38"/>
      <c r="AY484" s="38"/>
      <c r="BI484" s="38"/>
      <c r="BS484" s="38"/>
      <c r="CC484" s="38"/>
      <c r="CM484" s="38"/>
      <c r="CW484" s="38"/>
      <c r="DG484" s="38"/>
      <c r="DQ484" s="38"/>
      <c r="EA484" s="38"/>
    </row>
    <row r="485" spans="11:131" ht="15" customHeight="1" x14ac:dyDescent="0.2">
      <c r="K485" s="38"/>
      <c r="U485" s="38"/>
      <c r="AE485" s="38"/>
      <c r="AO485" s="38"/>
      <c r="AY485" s="38"/>
      <c r="BI485" s="38"/>
      <c r="BS485" s="38"/>
      <c r="CC485" s="38"/>
      <c r="CM485" s="38"/>
      <c r="CW485" s="38"/>
      <c r="DG485" s="38"/>
      <c r="DQ485" s="38"/>
      <c r="EA485" s="38"/>
    </row>
    <row r="486" spans="11:131" ht="15" customHeight="1" x14ac:dyDescent="0.2">
      <c r="K486" s="38"/>
      <c r="U486" s="38"/>
      <c r="AE486" s="38"/>
      <c r="AO486" s="38"/>
      <c r="AY486" s="38"/>
      <c r="BI486" s="38"/>
      <c r="BS486" s="38"/>
      <c r="CC486" s="38"/>
      <c r="CM486" s="38"/>
      <c r="CW486" s="38"/>
      <c r="DG486" s="38"/>
      <c r="DQ486" s="38"/>
      <c r="EA486" s="38"/>
    </row>
    <row r="487" spans="11:131" ht="15" customHeight="1" x14ac:dyDescent="0.2">
      <c r="K487" s="38"/>
      <c r="U487" s="38"/>
      <c r="AE487" s="38"/>
      <c r="AO487" s="38"/>
      <c r="AY487" s="38"/>
      <c r="BI487" s="38"/>
      <c r="BS487" s="38"/>
      <c r="CC487" s="38"/>
      <c r="CM487" s="38"/>
      <c r="CW487" s="38"/>
      <c r="DG487" s="38"/>
      <c r="DQ487" s="38"/>
      <c r="EA487" s="38"/>
    </row>
    <row r="488" spans="11:131" ht="15" customHeight="1" x14ac:dyDescent="0.2">
      <c r="K488" s="38"/>
      <c r="U488" s="38"/>
      <c r="AE488" s="38"/>
      <c r="AO488" s="38"/>
      <c r="AY488" s="38"/>
      <c r="BI488" s="38"/>
      <c r="BS488" s="38"/>
      <c r="CC488" s="38"/>
      <c r="CM488" s="38"/>
      <c r="CW488" s="38"/>
      <c r="DG488" s="38"/>
      <c r="DQ488" s="38"/>
      <c r="EA488" s="38"/>
    </row>
    <row r="489" spans="11:131" ht="15" customHeight="1" x14ac:dyDescent="0.2">
      <c r="K489" s="38"/>
      <c r="U489" s="38"/>
      <c r="AE489" s="38"/>
      <c r="AO489" s="38"/>
      <c r="AY489" s="38"/>
      <c r="BI489" s="38"/>
      <c r="BS489" s="38"/>
      <c r="CC489" s="38"/>
      <c r="CM489" s="38"/>
      <c r="CW489" s="38"/>
      <c r="DG489" s="38"/>
      <c r="DQ489" s="38"/>
      <c r="EA489" s="38"/>
    </row>
    <row r="490" spans="11:131" ht="15" customHeight="1" x14ac:dyDescent="0.2">
      <c r="K490" s="38"/>
      <c r="U490" s="38"/>
      <c r="AE490" s="38"/>
      <c r="AO490" s="38"/>
      <c r="AY490" s="38"/>
      <c r="BI490" s="38"/>
      <c r="BS490" s="38"/>
      <c r="CC490" s="38"/>
      <c r="CM490" s="38"/>
      <c r="CW490" s="38"/>
      <c r="DG490" s="38"/>
      <c r="DQ490" s="38"/>
      <c r="EA490" s="38"/>
    </row>
    <row r="491" spans="11:131" ht="15" customHeight="1" x14ac:dyDescent="0.2">
      <c r="K491" s="38"/>
      <c r="U491" s="38"/>
      <c r="AE491" s="38"/>
      <c r="AO491" s="38"/>
      <c r="AY491" s="38"/>
      <c r="BI491" s="38"/>
      <c r="BS491" s="38"/>
      <c r="CC491" s="38"/>
      <c r="CM491" s="38"/>
      <c r="CW491" s="38"/>
      <c r="DG491" s="38"/>
      <c r="DQ491" s="38"/>
      <c r="EA491" s="38"/>
    </row>
    <row r="492" spans="11:131" ht="15" customHeight="1" x14ac:dyDescent="0.2">
      <c r="K492" s="38"/>
      <c r="U492" s="38"/>
      <c r="AE492" s="38"/>
      <c r="AO492" s="38"/>
      <c r="AY492" s="38"/>
      <c r="BI492" s="38"/>
      <c r="BS492" s="38"/>
      <c r="CC492" s="38"/>
      <c r="CM492" s="38"/>
      <c r="CW492" s="38"/>
      <c r="DG492" s="38"/>
      <c r="DQ492" s="38"/>
      <c r="EA492" s="38"/>
    </row>
    <row r="493" spans="11:131" ht="15" customHeight="1" x14ac:dyDescent="0.2">
      <c r="K493" s="38"/>
      <c r="U493" s="38"/>
      <c r="AE493" s="38"/>
      <c r="AO493" s="38"/>
      <c r="AY493" s="38"/>
      <c r="BI493" s="38"/>
      <c r="BS493" s="38"/>
      <c r="CC493" s="38"/>
      <c r="CM493" s="38"/>
      <c r="CW493" s="38"/>
      <c r="DG493" s="38"/>
      <c r="DQ493" s="38"/>
      <c r="EA493" s="38"/>
    </row>
    <row r="494" spans="11:131" ht="15" customHeight="1" x14ac:dyDescent="0.2">
      <c r="K494" s="38"/>
      <c r="U494" s="38"/>
      <c r="AE494" s="38"/>
      <c r="AO494" s="38"/>
      <c r="AY494" s="38"/>
      <c r="BI494" s="38"/>
      <c r="BS494" s="38"/>
      <c r="CC494" s="38"/>
      <c r="CM494" s="38"/>
      <c r="CW494" s="38"/>
      <c r="DG494" s="38"/>
      <c r="DQ494" s="38"/>
      <c r="EA494" s="38"/>
    </row>
    <row r="495" spans="11:131" ht="15" customHeight="1" x14ac:dyDescent="0.2">
      <c r="K495" s="38"/>
      <c r="U495" s="38"/>
      <c r="AE495" s="38"/>
      <c r="AO495" s="38"/>
      <c r="AY495" s="38"/>
      <c r="BI495" s="38"/>
      <c r="BS495" s="38"/>
      <c r="CC495" s="38"/>
      <c r="CM495" s="38"/>
      <c r="CW495" s="38"/>
      <c r="DG495" s="38"/>
      <c r="DQ495" s="38"/>
      <c r="EA495" s="38"/>
    </row>
    <row r="496" spans="11:131" ht="15" customHeight="1" x14ac:dyDescent="0.2">
      <c r="K496" s="38"/>
      <c r="U496" s="38"/>
      <c r="AE496" s="38"/>
      <c r="AO496" s="38"/>
      <c r="AY496" s="38"/>
      <c r="BI496" s="38"/>
      <c r="BS496" s="38"/>
      <c r="CC496" s="38"/>
      <c r="CM496" s="38"/>
      <c r="CW496" s="38"/>
      <c r="DG496" s="38"/>
      <c r="DQ496" s="38"/>
      <c r="EA496" s="38"/>
    </row>
    <row r="497" spans="11:131" ht="15" customHeight="1" x14ac:dyDescent="0.2">
      <c r="K497" s="38"/>
      <c r="U497" s="38"/>
      <c r="AE497" s="38"/>
      <c r="AO497" s="38"/>
      <c r="AY497" s="38"/>
      <c r="BI497" s="38"/>
      <c r="BS497" s="38"/>
      <c r="CC497" s="38"/>
      <c r="CM497" s="38"/>
      <c r="CW497" s="38"/>
      <c r="DG497" s="38"/>
      <c r="DQ497" s="38"/>
      <c r="EA497" s="38"/>
    </row>
    <row r="498" spans="11:131" ht="15" customHeight="1" x14ac:dyDescent="0.2">
      <c r="K498" s="38"/>
      <c r="U498" s="38"/>
      <c r="AE498" s="38"/>
      <c r="AO498" s="38"/>
      <c r="AY498" s="38"/>
      <c r="BI498" s="38"/>
      <c r="BS498" s="38"/>
      <c r="CC498" s="38"/>
      <c r="CM498" s="38"/>
      <c r="CW498" s="38"/>
      <c r="DG498" s="38"/>
      <c r="DQ498" s="38"/>
      <c r="EA498" s="38"/>
    </row>
    <row r="499" spans="11:131" ht="15" customHeight="1" x14ac:dyDescent="0.2">
      <c r="K499" s="38"/>
      <c r="U499" s="38"/>
      <c r="AE499" s="38"/>
      <c r="AO499" s="38"/>
      <c r="AY499" s="38"/>
      <c r="BI499" s="38"/>
      <c r="BS499" s="38"/>
      <c r="CC499" s="38"/>
      <c r="CM499" s="38"/>
      <c r="CW499" s="38"/>
      <c r="DG499" s="38"/>
      <c r="DQ499" s="38"/>
      <c r="EA499" s="38"/>
    </row>
    <row r="500" spans="11:131" ht="15" customHeight="1" x14ac:dyDescent="0.2">
      <c r="K500" s="38"/>
      <c r="U500" s="38"/>
      <c r="AE500" s="38"/>
      <c r="AO500" s="38"/>
      <c r="AY500" s="38"/>
      <c r="BI500" s="38"/>
      <c r="BS500" s="38"/>
      <c r="CC500" s="38"/>
      <c r="CM500" s="38"/>
      <c r="CW500" s="38"/>
      <c r="DG500" s="38"/>
      <c r="DQ500" s="38"/>
      <c r="EA500" s="38"/>
    </row>
    <row r="501" spans="11:131" ht="15" customHeight="1" x14ac:dyDescent="0.2">
      <c r="K501" s="38"/>
      <c r="U501" s="38"/>
      <c r="AE501" s="38"/>
      <c r="AO501" s="38"/>
      <c r="AY501" s="38"/>
      <c r="BI501" s="38"/>
      <c r="BS501" s="38"/>
      <c r="CC501" s="38"/>
      <c r="CM501" s="38"/>
      <c r="CW501" s="38"/>
      <c r="DG501" s="38"/>
      <c r="DQ501" s="38"/>
      <c r="EA501" s="38"/>
    </row>
    <row r="502" spans="11:131" ht="15" customHeight="1" x14ac:dyDescent="0.2">
      <c r="K502" s="38"/>
      <c r="U502" s="38"/>
      <c r="AE502" s="38"/>
      <c r="AO502" s="38"/>
      <c r="AY502" s="38"/>
      <c r="BI502" s="38"/>
      <c r="BS502" s="38"/>
      <c r="CC502" s="38"/>
      <c r="CM502" s="38"/>
      <c r="CW502" s="38"/>
      <c r="DG502" s="38"/>
      <c r="DQ502" s="38"/>
      <c r="EA502" s="38"/>
    </row>
    <row r="503" spans="11:131" ht="15" customHeight="1" x14ac:dyDescent="0.2">
      <c r="K503" s="38"/>
      <c r="U503" s="38"/>
      <c r="AE503" s="38"/>
      <c r="AO503" s="38"/>
      <c r="AY503" s="38"/>
      <c r="BI503" s="38"/>
      <c r="BS503" s="38"/>
      <c r="CC503" s="38"/>
      <c r="CM503" s="38"/>
      <c r="CW503" s="38"/>
      <c r="DG503" s="38"/>
      <c r="DQ503" s="38"/>
      <c r="EA503" s="38"/>
    </row>
    <row r="504" spans="11:131" ht="15" customHeight="1" x14ac:dyDescent="0.2">
      <c r="K504" s="38"/>
      <c r="U504" s="38"/>
      <c r="AE504" s="38"/>
      <c r="AO504" s="38"/>
      <c r="AY504" s="38"/>
      <c r="BI504" s="38"/>
      <c r="BS504" s="38"/>
      <c r="CC504" s="38"/>
      <c r="CM504" s="38"/>
      <c r="CW504" s="38"/>
      <c r="DG504" s="38"/>
      <c r="DQ504" s="38"/>
      <c r="EA504" s="38"/>
    </row>
    <row r="505" spans="11:131" ht="15" customHeight="1" x14ac:dyDescent="0.2">
      <c r="K505" s="38"/>
      <c r="U505" s="38"/>
      <c r="AE505" s="38"/>
      <c r="AO505" s="38"/>
      <c r="AY505" s="38"/>
      <c r="BI505" s="38"/>
      <c r="BS505" s="38"/>
      <c r="CC505" s="38"/>
      <c r="CM505" s="38"/>
      <c r="CW505" s="38"/>
      <c r="DG505" s="38"/>
      <c r="DQ505" s="38"/>
      <c r="EA505" s="38"/>
    </row>
    <row r="506" spans="11:131" ht="15" customHeight="1" x14ac:dyDescent="0.2">
      <c r="K506" s="38"/>
      <c r="U506" s="38"/>
      <c r="AE506" s="38"/>
      <c r="AO506" s="38"/>
      <c r="AY506" s="38"/>
      <c r="BI506" s="38"/>
      <c r="BS506" s="38"/>
      <c r="CC506" s="38"/>
      <c r="CM506" s="38"/>
      <c r="CW506" s="38"/>
      <c r="DG506" s="38"/>
      <c r="DQ506" s="38"/>
      <c r="EA506" s="38"/>
    </row>
    <row r="507" spans="11:131" ht="15" customHeight="1" x14ac:dyDescent="0.2">
      <c r="K507" s="38"/>
      <c r="U507" s="38"/>
      <c r="AE507" s="38"/>
      <c r="AO507" s="38"/>
      <c r="AY507" s="38"/>
      <c r="BI507" s="38"/>
      <c r="BS507" s="38"/>
      <c r="CC507" s="38"/>
      <c r="CM507" s="38"/>
      <c r="CW507" s="38"/>
      <c r="DG507" s="38"/>
      <c r="DQ507" s="38"/>
      <c r="EA507" s="38"/>
    </row>
    <row r="508" spans="11:131" ht="15" customHeight="1" x14ac:dyDescent="0.2">
      <c r="K508" s="38"/>
      <c r="U508" s="38"/>
      <c r="AE508" s="38"/>
      <c r="AO508" s="38"/>
      <c r="AY508" s="38"/>
      <c r="BI508" s="38"/>
      <c r="BS508" s="38"/>
      <c r="CC508" s="38"/>
      <c r="CM508" s="38"/>
      <c r="CW508" s="38"/>
      <c r="DG508" s="38"/>
      <c r="DQ508" s="38"/>
      <c r="EA508" s="38"/>
    </row>
    <row r="509" spans="11:131" ht="15" customHeight="1" x14ac:dyDescent="0.2">
      <c r="K509" s="38"/>
      <c r="U509" s="38"/>
      <c r="AE509" s="38"/>
      <c r="AO509" s="38"/>
      <c r="AY509" s="38"/>
      <c r="BI509" s="38"/>
      <c r="BS509" s="38"/>
      <c r="CC509" s="38"/>
      <c r="CM509" s="38"/>
      <c r="CW509" s="38"/>
      <c r="DG509" s="38"/>
      <c r="DQ509" s="38"/>
      <c r="EA509" s="38"/>
    </row>
    <row r="510" spans="11:131" ht="15" customHeight="1" x14ac:dyDescent="0.2">
      <c r="K510" s="38"/>
      <c r="U510" s="38"/>
      <c r="AE510" s="38"/>
      <c r="AO510" s="38"/>
      <c r="AY510" s="38"/>
      <c r="BI510" s="38"/>
      <c r="BS510" s="38"/>
      <c r="CC510" s="38"/>
      <c r="CM510" s="38"/>
      <c r="CW510" s="38"/>
      <c r="DG510" s="38"/>
      <c r="DQ510" s="38"/>
      <c r="EA510" s="38"/>
    </row>
    <row r="511" spans="11:131" ht="15" customHeight="1" x14ac:dyDescent="0.2">
      <c r="K511" s="38"/>
      <c r="U511" s="38"/>
      <c r="AE511" s="38"/>
      <c r="AO511" s="38"/>
      <c r="AY511" s="38"/>
      <c r="BI511" s="38"/>
      <c r="BS511" s="38"/>
      <c r="CC511" s="38"/>
      <c r="CM511" s="38"/>
      <c r="CW511" s="38"/>
      <c r="DG511" s="38"/>
      <c r="DQ511" s="38"/>
      <c r="EA511" s="38"/>
    </row>
    <row r="512" spans="11:131" ht="15" customHeight="1" x14ac:dyDescent="0.2">
      <c r="K512" s="38"/>
      <c r="U512" s="38"/>
      <c r="AE512" s="38"/>
      <c r="AO512" s="38"/>
      <c r="AY512" s="38"/>
      <c r="BI512" s="38"/>
      <c r="BS512" s="38"/>
      <c r="CC512" s="38"/>
      <c r="CM512" s="38"/>
      <c r="CW512" s="38"/>
      <c r="DG512" s="38"/>
      <c r="DQ512" s="38"/>
      <c r="EA512" s="38"/>
    </row>
    <row r="513" spans="11:131" ht="15" customHeight="1" x14ac:dyDescent="0.2">
      <c r="K513" s="38"/>
      <c r="U513" s="38"/>
      <c r="AE513" s="38"/>
      <c r="AO513" s="38"/>
      <c r="AY513" s="38"/>
      <c r="BI513" s="38"/>
      <c r="BS513" s="38"/>
      <c r="CC513" s="38"/>
      <c r="CM513" s="38"/>
      <c r="CW513" s="38"/>
      <c r="DG513" s="38"/>
      <c r="DQ513" s="38"/>
      <c r="EA513" s="38"/>
    </row>
    <row r="514" spans="11:131" ht="15" customHeight="1" x14ac:dyDescent="0.2">
      <c r="K514" s="38"/>
      <c r="U514" s="38"/>
      <c r="AE514" s="38"/>
      <c r="AO514" s="38"/>
      <c r="AY514" s="38"/>
      <c r="BI514" s="38"/>
      <c r="BS514" s="38"/>
      <c r="CC514" s="38"/>
      <c r="CM514" s="38"/>
      <c r="CW514" s="38"/>
      <c r="DG514" s="38"/>
      <c r="DQ514" s="38"/>
      <c r="EA514" s="38"/>
    </row>
    <row r="515" spans="11:131" ht="15" customHeight="1" x14ac:dyDescent="0.2">
      <c r="K515" s="38"/>
      <c r="U515" s="38"/>
      <c r="AE515" s="38"/>
      <c r="AO515" s="38"/>
      <c r="AY515" s="38"/>
      <c r="BI515" s="38"/>
      <c r="BS515" s="38"/>
      <c r="CC515" s="38"/>
      <c r="CM515" s="38"/>
      <c r="CW515" s="38"/>
      <c r="DG515" s="38"/>
      <c r="DQ515" s="38"/>
      <c r="EA515" s="38"/>
    </row>
    <row r="516" spans="11:131" ht="15" customHeight="1" x14ac:dyDescent="0.2">
      <c r="K516" s="38"/>
      <c r="U516" s="38"/>
      <c r="AE516" s="38"/>
      <c r="AO516" s="38"/>
      <c r="AY516" s="38"/>
      <c r="BI516" s="38"/>
      <c r="BS516" s="38"/>
      <c r="CC516" s="38"/>
      <c r="CM516" s="38"/>
      <c r="CW516" s="38"/>
      <c r="DG516" s="38"/>
      <c r="DQ516" s="38"/>
      <c r="EA516" s="38"/>
    </row>
    <row r="517" spans="11:131" ht="15" customHeight="1" x14ac:dyDescent="0.2">
      <c r="K517" s="38"/>
      <c r="U517" s="38"/>
      <c r="AE517" s="38"/>
      <c r="AO517" s="38"/>
      <c r="AY517" s="38"/>
      <c r="BI517" s="38"/>
      <c r="BS517" s="38"/>
      <c r="CC517" s="38"/>
      <c r="CM517" s="38"/>
      <c r="CW517" s="38"/>
      <c r="DG517" s="38"/>
      <c r="DQ517" s="38"/>
      <c r="EA517" s="38"/>
    </row>
    <row r="518" spans="11:131" ht="15" customHeight="1" x14ac:dyDescent="0.2">
      <c r="K518" s="38"/>
      <c r="U518" s="38"/>
      <c r="AE518" s="38"/>
      <c r="AO518" s="38"/>
      <c r="AY518" s="38"/>
      <c r="BI518" s="38"/>
      <c r="BS518" s="38"/>
      <c r="CC518" s="38"/>
      <c r="CM518" s="38"/>
      <c r="CW518" s="38"/>
      <c r="DG518" s="38"/>
      <c r="DQ518" s="38"/>
      <c r="EA518" s="38"/>
    </row>
    <row r="519" spans="11:131" ht="15" customHeight="1" x14ac:dyDescent="0.2">
      <c r="K519" s="38"/>
      <c r="U519" s="38"/>
      <c r="AE519" s="38"/>
      <c r="AO519" s="38"/>
      <c r="AY519" s="38"/>
      <c r="BI519" s="38"/>
      <c r="BS519" s="38"/>
      <c r="CC519" s="38"/>
      <c r="CM519" s="38"/>
      <c r="CW519" s="38"/>
      <c r="DG519" s="38"/>
      <c r="DQ519" s="38"/>
      <c r="EA519" s="38"/>
    </row>
    <row r="520" spans="11:131" ht="15" customHeight="1" x14ac:dyDescent="0.2">
      <c r="K520" s="38"/>
      <c r="U520" s="38"/>
      <c r="AE520" s="38"/>
      <c r="AO520" s="38"/>
      <c r="AY520" s="38"/>
      <c r="BI520" s="38"/>
      <c r="BS520" s="38"/>
      <c r="CC520" s="38"/>
      <c r="CM520" s="38"/>
      <c r="CW520" s="38"/>
      <c r="DG520" s="38"/>
      <c r="DQ520" s="38"/>
      <c r="EA520" s="38"/>
    </row>
    <row r="521" spans="11:131" ht="15" customHeight="1" x14ac:dyDescent="0.2">
      <c r="K521" s="38"/>
      <c r="U521" s="38"/>
      <c r="AE521" s="38"/>
      <c r="AO521" s="38"/>
      <c r="AY521" s="38"/>
      <c r="BI521" s="38"/>
      <c r="BS521" s="38"/>
      <c r="CC521" s="38"/>
      <c r="CM521" s="38"/>
      <c r="CW521" s="38"/>
      <c r="DG521" s="38"/>
      <c r="DQ521" s="38"/>
      <c r="EA521" s="38"/>
    </row>
    <row r="522" spans="11:131" ht="15" customHeight="1" x14ac:dyDescent="0.2">
      <c r="K522" s="38"/>
      <c r="U522" s="38"/>
      <c r="AE522" s="38"/>
      <c r="AO522" s="38"/>
      <c r="AY522" s="38"/>
      <c r="BI522" s="38"/>
      <c r="BS522" s="38"/>
      <c r="CC522" s="38"/>
      <c r="CM522" s="38"/>
      <c r="CW522" s="38"/>
      <c r="DG522" s="38"/>
      <c r="DQ522" s="38"/>
      <c r="EA522" s="38"/>
    </row>
    <row r="523" spans="11:131" ht="15" customHeight="1" x14ac:dyDescent="0.2">
      <c r="K523" s="38"/>
      <c r="U523" s="38"/>
      <c r="AE523" s="38"/>
      <c r="AO523" s="38"/>
      <c r="AY523" s="38"/>
      <c r="BI523" s="38"/>
      <c r="BS523" s="38"/>
      <c r="CC523" s="38"/>
      <c r="CM523" s="38"/>
      <c r="CW523" s="38"/>
      <c r="DG523" s="38"/>
      <c r="DQ523" s="38"/>
      <c r="EA523" s="38"/>
    </row>
    <row r="524" spans="11:131" ht="15" customHeight="1" x14ac:dyDescent="0.2">
      <c r="K524" s="38"/>
      <c r="U524" s="38"/>
      <c r="AE524" s="38"/>
      <c r="AO524" s="38"/>
      <c r="AY524" s="38"/>
      <c r="BI524" s="38"/>
      <c r="BS524" s="38"/>
      <c r="CC524" s="38"/>
      <c r="CM524" s="38"/>
      <c r="CW524" s="38"/>
      <c r="DG524" s="38"/>
      <c r="DQ524" s="38"/>
      <c r="EA524" s="38"/>
    </row>
    <row r="525" spans="11:131" ht="15" customHeight="1" x14ac:dyDescent="0.2">
      <c r="K525" s="38"/>
      <c r="U525" s="38"/>
      <c r="AE525" s="38"/>
      <c r="AO525" s="38"/>
      <c r="AY525" s="38"/>
      <c r="BI525" s="38"/>
      <c r="BS525" s="38"/>
      <c r="CC525" s="38"/>
      <c r="CM525" s="38"/>
      <c r="CW525" s="38"/>
      <c r="DG525" s="38"/>
      <c r="DQ525" s="38"/>
      <c r="EA525" s="38"/>
    </row>
    <row r="526" spans="11:131" ht="15" customHeight="1" x14ac:dyDescent="0.2">
      <c r="K526" s="38"/>
      <c r="U526" s="38"/>
      <c r="AE526" s="38"/>
      <c r="AO526" s="38"/>
      <c r="AY526" s="38"/>
      <c r="BI526" s="38"/>
      <c r="BS526" s="38"/>
      <c r="CC526" s="38"/>
      <c r="CM526" s="38"/>
      <c r="CW526" s="38"/>
      <c r="DG526" s="38"/>
      <c r="DQ526" s="38"/>
      <c r="EA526" s="38"/>
    </row>
    <row r="527" spans="11:131" ht="15" customHeight="1" x14ac:dyDescent="0.2">
      <c r="K527" s="38"/>
      <c r="U527" s="38"/>
      <c r="AE527" s="38"/>
      <c r="AO527" s="38"/>
      <c r="AY527" s="38"/>
      <c r="BI527" s="38"/>
      <c r="BS527" s="38"/>
      <c r="CC527" s="38"/>
      <c r="CM527" s="38"/>
      <c r="CW527" s="38"/>
      <c r="DG527" s="38"/>
      <c r="DQ527" s="38"/>
      <c r="EA527" s="38"/>
    </row>
    <row r="528" spans="11:131" ht="15" customHeight="1" x14ac:dyDescent="0.2">
      <c r="K528" s="38"/>
      <c r="U528" s="38"/>
      <c r="AE528" s="38"/>
      <c r="AO528" s="38"/>
      <c r="AY528" s="38"/>
      <c r="BI528" s="38"/>
      <c r="BS528" s="38"/>
      <c r="CC528" s="38"/>
      <c r="CM528" s="38"/>
      <c r="CW528" s="38"/>
      <c r="DG528" s="38"/>
      <c r="DQ528" s="38"/>
      <c r="EA528" s="38"/>
    </row>
    <row r="529" spans="11:131" ht="15" customHeight="1" x14ac:dyDescent="0.2">
      <c r="K529" s="38"/>
      <c r="U529" s="38"/>
      <c r="AE529" s="38"/>
      <c r="AO529" s="38"/>
      <c r="AY529" s="38"/>
      <c r="BI529" s="38"/>
      <c r="BS529" s="38"/>
      <c r="CC529" s="38"/>
      <c r="CM529" s="38"/>
      <c r="CW529" s="38"/>
      <c r="DG529" s="38"/>
      <c r="DQ529" s="38"/>
      <c r="EA529" s="38"/>
    </row>
    <row r="530" spans="11:131" ht="15" customHeight="1" x14ac:dyDescent="0.2">
      <c r="K530" s="38"/>
      <c r="U530" s="38"/>
      <c r="AE530" s="38"/>
      <c r="AO530" s="38"/>
      <c r="AY530" s="38"/>
      <c r="BI530" s="38"/>
      <c r="BS530" s="38"/>
      <c r="CC530" s="38"/>
      <c r="CM530" s="38"/>
      <c r="CW530" s="38"/>
      <c r="DG530" s="38"/>
      <c r="DQ530" s="38"/>
      <c r="EA530" s="38"/>
    </row>
    <row r="531" spans="11:131" ht="15" customHeight="1" x14ac:dyDescent="0.2">
      <c r="K531" s="38"/>
      <c r="U531" s="38"/>
      <c r="AE531" s="38"/>
      <c r="AO531" s="38"/>
      <c r="AY531" s="38"/>
      <c r="BI531" s="38"/>
      <c r="BS531" s="38"/>
      <c r="CC531" s="38"/>
      <c r="CM531" s="38"/>
      <c r="CW531" s="38"/>
      <c r="DG531" s="38"/>
      <c r="DQ531" s="38"/>
      <c r="EA531" s="38"/>
    </row>
    <row r="532" spans="11:131" ht="15" customHeight="1" x14ac:dyDescent="0.2">
      <c r="K532" s="38"/>
      <c r="U532" s="38"/>
      <c r="AE532" s="38"/>
      <c r="AO532" s="38"/>
      <c r="AY532" s="38"/>
      <c r="BI532" s="38"/>
      <c r="BS532" s="38"/>
      <c r="CC532" s="38"/>
      <c r="CM532" s="38"/>
      <c r="CW532" s="38"/>
      <c r="DG532" s="38"/>
      <c r="DQ532" s="38"/>
      <c r="EA532" s="38"/>
    </row>
    <row r="533" spans="11:131" ht="15" customHeight="1" x14ac:dyDescent="0.2">
      <c r="K533" s="38"/>
      <c r="U533" s="38"/>
      <c r="AE533" s="38"/>
      <c r="AO533" s="38"/>
      <c r="AY533" s="38"/>
      <c r="BI533" s="38"/>
      <c r="BS533" s="38"/>
      <c r="CC533" s="38"/>
      <c r="CM533" s="38"/>
      <c r="CW533" s="38"/>
      <c r="DG533" s="38"/>
      <c r="DQ533" s="38"/>
      <c r="EA533" s="38"/>
    </row>
    <row r="534" spans="11:131" ht="15" customHeight="1" x14ac:dyDescent="0.2">
      <c r="K534" s="38"/>
      <c r="U534" s="38"/>
      <c r="AE534" s="38"/>
      <c r="AO534" s="38"/>
      <c r="AY534" s="38"/>
      <c r="BI534" s="38"/>
      <c r="BS534" s="38"/>
      <c r="CC534" s="38"/>
      <c r="CM534" s="38"/>
      <c r="CW534" s="38"/>
      <c r="DG534" s="38"/>
      <c r="DQ534" s="38"/>
      <c r="EA534" s="38"/>
    </row>
    <row r="535" spans="11:131" ht="15" customHeight="1" x14ac:dyDescent="0.2">
      <c r="K535" s="38"/>
      <c r="U535" s="38"/>
      <c r="AE535" s="38"/>
      <c r="AO535" s="38"/>
      <c r="AY535" s="38"/>
      <c r="BI535" s="38"/>
      <c r="BS535" s="38"/>
      <c r="CC535" s="38"/>
      <c r="CM535" s="38"/>
      <c r="CW535" s="38"/>
      <c r="DG535" s="38"/>
      <c r="DQ535" s="38"/>
      <c r="EA535" s="38"/>
    </row>
    <row r="536" spans="11:131" ht="15" customHeight="1" x14ac:dyDescent="0.2">
      <c r="K536" s="38"/>
      <c r="U536" s="38"/>
      <c r="AE536" s="38"/>
      <c r="AO536" s="38"/>
      <c r="AY536" s="38"/>
      <c r="BI536" s="38"/>
      <c r="BS536" s="38"/>
      <c r="CC536" s="38"/>
      <c r="CM536" s="38"/>
      <c r="CW536" s="38"/>
      <c r="DG536" s="38"/>
      <c r="DQ536" s="38"/>
      <c r="EA536" s="38"/>
    </row>
    <row r="537" spans="11:131" ht="15" customHeight="1" x14ac:dyDescent="0.2">
      <c r="K537" s="38"/>
      <c r="U537" s="38"/>
      <c r="AE537" s="38"/>
      <c r="AO537" s="38"/>
      <c r="AY537" s="38"/>
      <c r="BI537" s="38"/>
      <c r="BS537" s="38"/>
      <c r="CC537" s="38"/>
      <c r="CM537" s="38"/>
      <c r="CW537" s="38"/>
      <c r="DG537" s="38"/>
      <c r="DQ537" s="38"/>
      <c r="EA537" s="38"/>
    </row>
    <row r="538" spans="11:131" ht="15" customHeight="1" x14ac:dyDescent="0.2">
      <c r="K538" s="38"/>
      <c r="U538" s="38"/>
      <c r="AE538" s="38"/>
      <c r="AO538" s="38"/>
      <c r="AY538" s="38"/>
      <c r="BI538" s="38"/>
      <c r="BS538" s="38"/>
      <c r="CC538" s="38"/>
      <c r="CM538" s="38"/>
      <c r="CW538" s="38"/>
      <c r="DG538" s="38"/>
      <c r="DQ538" s="38"/>
      <c r="EA538" s="38"/>
    </row>
    <row r="539" spans="11:131" ht="15" customHeight="1" x14ac:dyDescent="0.2">
      <c r="K539" s="38"/>
      <c r="U539" s="38"/>
      <c r="AE539" s="38"/>
      <c r="AO539" s="38"/>
      <c r="AY539" s="38"/>
      <c r="BI539" s="38"/>
      <c r="BS539" s="38"/>
      <c r="CC539" s="38"/>
      <c r="CM539" s="38"/>
      <c r="CW539" s="38"/>
      <c r="DG539" s="38"/>
      <c r="DQ539" s="38"/>
      <c r="EA539" s="38"/>
    </row>
    <row r="540" spans="11:131" ht="15" customHeight="1" x14ac:dyDescent="0.2">
      <c r="K540" s="38"/>
      <c r="U540" s="38"/>
      <c r="AE540" s="38"/>
      <c r="AO540" s="38"/>
      <c r="AY540" s="38"/>
      <c r="BI540" s="38"/>
      <c r="BS540" s="38"/>
      <c r="CC540" s="38"/>
      <c r="CM540" s="38"/>
      <c r="CW540" s="38"/>
      <c r="DG540" s="38"/>
      <c r="DQ540" s="38"/>
      <c r="EA540" s="38"/>
    </row>
    <row r="541" spans="11:131" ht="15" customHeight="1" x14ac:dyDescent="0.2">
      <c r="K541" s="38"/>
      <c r="U541" s="38"/>
      <c r="AE541" s="38"/>
      <c r="AO541" s="38"/>
      <c r="AY541" s="38"/>
      <c r="BI541" s="38"/>
      <c r="BS541" s="38"/>
      <c r="CC541" s="38"/>
      <c r="CM541" s="38"/>
      <c r="CW541" s="38"/>
      <c r="DG541" s="38"/>
      <c r="DQ541" s="38"/>
      <c r="EA541" s="38"/>
    </row>
    <row r="542" spans="11:131" ht="15" customHeight="1" x14ac:dyDescent="0.2">
      <c r="K542" s="38"/>
      <c r="U542" s="38"/>
      <c r="AE542" s="38"/>
      <c r="AO542" s="38"/>
      <c r="AY542" s="38"/>
      <c r="BI542" s="38"/>
      <c r="BS542" s="38"/>
      <c r="CC542" s="38"/>
      <c r="CM542" s="38"/>
      <c r="CW542" s="38"/>
      <c r="DG542" s="38"/>
      <c r="DQ542" s="38"/>
      <c r="EA542" s="38"/>
    </row>
    <row r="543" spans="11:131" ht="15" customHeight="1" x14ac:dyDescent="0.2">
      <c r="K543" s="38"/>
      <c r="U543" s="38"/>
      <c r="AE543" s="38"/>
      <c r="AO543" s="38"/>
      <c r="AY543" s="38"/>
      <c r="BI543" s="38"/>
      <c r="BS543" s="38"/>
      <c r="CC543" s="38"/>
      <c r="CM543" s="38"/>
      <c r="CW543" s="38"/>
      <c r="DG543" s="38"/>
      <c r="DQ543" s="38"/>
      <c r="EA543" s="38"/>
    </row>
    <row r="544" spans="11:131" ht="15" customHeight="1" x14ac:dyDescent="0.2">
      <c r="K544" s="38"/>
      <c r="U544" s="38"/>
      <c r="AE544" s="38"/>
      <c r="AO544" s="38"/>
      <c r="AY544" s="38"/>
      <c r="BI544" s="38"/>
      <c r="BS544" s="38"/>
      <c r="CC544" s="38"/>
      <c r="CM544" s="38"/>
      <c r="CW544" s="38"/>
      <c r="DG544" s="38"/>
      <c r="DQ544" s="38"/>
      <c r="EA544" s="38"/>
    </row>
    <row r="545" spans="11:131" ht="15" customHeight="1" x14ac:dyDescent="0.2">
      <c r="K545" s="38"/>
      <c r="U545" s="38"/>
      <c r="AE545" s="38"/>
      <c r="AO545" s="38"/>
      <c r="AY545" s="38"/>
      <c r="BI545" s="38"/>
      <c r="BS545" s="38"/>
      <c r="CC545" s="38"/>
      <c r="CM545" s="38"/>
      <c r="CW545" s="38"/>
      <c r="DG545" s="38"/>
      <c r="DQ545" s="38"/>
      <c r="EA545" s="38"/>
    </row>
    <row r="546" spans="11:131" ht="15" customHeight="1" x14ac:dyDescent="0.2">
      <c r="K546" s="38"/>
      <c r="U546" s="38"/>
      <c r="AE546" s="38"/>
      <c r="AO546" s="38"/>
      <c r="AY546" s="38"/>
      <c r="BI546" s="38"/>
      <c r="BS546" s="38"/>
      <c r="CC546" s="38"/>
      <c r="CM546" s="38"/>
      <c r="CW546" s="38"/>
      <c r="DG546" s="38"/>
      <c r="DQ546" s="38"/>
      <c r="EA546" s="38"/>
    </row>
    <row r="547" spans="11:131" ht="15" customHeight="1" x14ac:dyDescent="0.2">
      <c r="K547" s="38"/>
      <c r="U547" s="38"/>
      <c r="AE547" s="38"/>
      <c r="AO547" s="38"/>
      <c r="AY547" s="38"/>
      <c r="BI547" s="38"/>
      <c r="BS547" s="38"/>
      <c r="CC547" s="38"/>
      <c r="CM547" s="38"/>
      <c r="CW547" s="38"/>
      <c r="DG547" s="38"/>
      <c r="DQ547" s="38"/>
      <c r="EA547" s="38"/>
    </row>
    <row r="548" spans="11:131" ht="15" customHeight="1" x14ac:dyDescent="0.2">
      <c r="K548" s="38"/>
      <c r="U548" s="38"/>
      <c r="AE548" s="38"/>
      <c r="AO548" s="38"/>
      <c r="AY548" s="38"/>
      <c r="BI548" s="38"/>
      <c r="BS548" s="38"/>
      <c r="CC548" s="38"/>
      <c r="CM548" s="38"/>
      <c r="CW548" s="38"/>
      <c r="DG548" s="38"/>
      <c r="DQ548" s="38"/>
      <c r="EA548" s="38"/>
    </row>
    <row r="549" spans="11:131" ht="15" customHeight="1" x14ac:dyDescent="0.2">
      <c r="K549" s="38"/>
      <c r="U549" s="38"/>
      <c r="AE549" s="38"/>
      <c r="AO549" s="38"/>
      <c r="AY549" s="38"/>
      <c r="BI549" s="38"/>
      <c r="BS549" s="38"/>
      <c r="CC549" s="38"/>
      <c r="CM549" s="38"/>
      <c r="CW549" s="38"/>
      <c r="DG549" s="38"/>
      <c r="DQ549" s="38"/>
      <c r="EA549" s="38"/>
    </row>
    <row r="550" spans="11:131" ht="15" customHeight="1" x14ac:dyDescent="0.2">
      <c r="K550" s="38"/>
      <c r="U550" s="38"/>
      <c r="AE550" s="38"/>
      <c r="AO550" s="38"/>
      <c r="AY550" s="38"/>
      <c r="BI550" s="38"/>
      <c r="BS550" s="38"/>
      <c r="CC550" s="38"/>
      <c r="CM550" s="38"/>
      <c r="CW550" s="38"/>
      <c r="DG550" s="38"/>
      <c r="DQ550" s="38"/>
      <c r="EA550" s="38"/>
    </row>
    <row r="551" spans="11:131" ht="15" customHeight="1" x14ac:dyDescent="0.2">
      <c r="K551" s="38"/>
      <c r="U551" s="38"/>
      <c r="AE551" s="38"/>
      <c r="AO551" s="38"/>
      <c r="AY551" s="38"/>
      <c r="BI551" s="38"/>
      <c r="BS551" s="38"/>
      <c r="CC551" s="38"/>
      <c r="CM551" s="38"/>
      <c r="CW551" s="38"/>
      <c r="DG551" s="38"/>
      <c r="DQ551" s="38"/>
      <c r="EA551" s="38"/>
    </row>
    <row r="552" spans="11:131" ht="15" customHeight="1" x14ac:dyDescent="0.2">
      <c r="K552" s="38"/>
      <c r="U552" s="38"/>
      <c r="AE552" s="38"/>
      <c r="AO552" s="38"/>
      <c r="AY552" s="38"/>
      <c r="BI552" s="38"/>
      <c r="BS552" s="38"/>
      <c r="CC552" s="38"/>
      <c r="CM552" s="38"/>
      <c r="CW552" s="38"/>
      <c r="DG552" s="38"/>
      <c r="DQ552" s="38"/>
      <c r="EA552" s="38"/>
    </row>
    <row r="553" spans="11:131" ht="15" customHeight="1" x14ac:dyDescent="0.2">
      <c r="K553" s="38"/>
      <c r="U553" s="38"/>
      <c r="AE553" s="38"/>
      <c r="AO553" s="38"/>
      <c r="AY553" s="38"/>
      <c r="BI553" s="38"/>
      <c r="BS553" s="38"/>
      <c r="CC553" s="38"/>
      <c r="CM553" s="38"/>
      <c r="CW553" s="38"/>
      <c r="DG553" s="38"/>
      <c r="DQ553" s="38"/>
      <c r="EA553" s="38"/>
    </row>
    <row r="554" spans="11:131" ht="15" customHeight="1" x14ac:dyDescent="0.2">
      <c r="K554" s="38"/>
      <c r="U554" s="38"/>
      <c r="AE554" s="38"/>
      <c r="AO554" s="38"/>
      <c r="AY554" s="38"/>
      <c r="BI554" s="38"/>
      <c r="BS554" s="38"/>
      <c r="CC554" s="38"/>
      <c r="CM554" s="38"/>
      <c r="CW554" s="38"/>
      <c r="DG554" s="38"/>
      <c r="DQ554" s="38"/>
      <c r="EA554" s="38"/>
    </row>
    <row r="555" spans="11:131" ht="15" customHeight="1" x14ac:dyDescent="0.2">
      <c r="K555" s="38"/>
      <c r="U555" s="38"/>
      <c r="AE555" s="38"/>
      <c r="AO555" s="38"/>
      <c r="AY555" s="38"/>
      <c r="BI555" s="38"/>
      <c r="BS555" s="38"/>
      <c r="CC555" s="38"/>
      <c r="CM555" s="38"/>
      <c r="CW555" s="38"/>
      <c r="DG555" s="38"/>
      <c r="DQ555" s="38"/>
      <c r="EA555" s="38"/>
    </row>
    <row r="556" spans="11:131" ht="15" customHeight="1" x14ac:dyDescent="0.2">
      <c r="K556" s="38"/>
      <c r="U556" s="38"/>
      <c r="AE556" s="38"/>
      <c r="AO556" s="38"/>
      <c r="AY556" s="38"/>
      <c r="BI556" s="38"/>
      <c r="BS556" s="38"/>
      <c r="CC556" s="38"/>
      <c r="CM556" s="38"/>
      <c r="CW556" s="38"/>
      <c r="DG556" s="38"/>
      <c r="DQ556" s="38"/>
      <c r="EA556" s="38"/>
    </row>
    <row r="557" spans="11:131" ht="15" customHeight="1" x14ac:dyDescent="0.2">
      <c r="K557" s="38"/>
      <c r="U557" s="38"/>
      <c r="AE557" s="38"/>
      <c r="AO557" s="38"/>
      <c r="AY557" s="38"/>
      <c r="BI557" s="38"/>
      <c r="BS557" s="38"/>
      <c r="CC557" s="38"/>
      <c r="CM557" s="38"/>
      <c r="CW557" s="38"/>
      <c r="DG557" s="38"/>
      <c r="DQ557" s="38"/>
      <c r="EA557" s="38"/>
    </row>
    <row r="558" spans="11:131" ht="15" customHeight="1" x14ac:dyDescent="0.2">
      <c r="K558" s="38"/>
      <c r="U558" s="38"/>
      <c r="AE558" s="38"/>
      <c r="AO558" s="38"/>
      <c r="AY558" s="38"/>
      <c r="BI558" s="38"/>
      <c r="BS558" s="38"/>
      <c r="CC558" s="38"/>
      <c r="CM558" s="38"/>
      <c r="CW558" s="38"/>
      <c r="DG558" s="38"/>
      <c r="DQ558" s="38"/>
      <c r="EA558" s="38"/>
    </row>
    <row r="559" spans="11:131" ht="15" customHeight="1" x14ac:dyDescent="0.2">
      <c r="K559" s="38"/>
      <c r="U559" s="38"/>
      <c r="AE559" s="38"/>
      <c r="AO559" s="38"/>
      <c r="AY559" s="38"/>
      <c r="BI559" s="38"/>
      <c r="BS559" s="38"/>
      <c r="CC559" s="38"/>
      <c r="CM559" s="38"/>
      <c r="CW559" s="38"/>
      <c r="DG559" s="38"/>
      <c r="DQ559" s="38"/>
      <c r="EA559" s="38"/>
    </row>
    <row r="560" spans="11:131" ht="15" customHeight="1" x14ac:dyDescent="0.2">
      <c r="K560" s="38"/>
      <c r="U560" s="38"/>
      <c r="AE560" s="38"/>
      <c r="AO560" s="38"/>
      <c r="AY560" s="38"/>
      <c r="BI560" s="38"/>
      <c r="BS560" s="38"/>
      <c r="CC560" s="38"/>
      <c r="CM560" s="38"/>
      <c r="CW560" s="38"/>
      <c r="DG560" s="38"/>
      <c r="DQ560" s="38"/>
      <c r="EA560" s="38"/>
    </row>
    <row r="561" spans="11:131" ht="15" customHeight="1" x14ac:dyDescent="0.2">
      <c r="K561" s="38"/>
      <c r="U561" s="38"/>
      <c r="AE561" s="38"/>
      <c r="AO561" s="38"/>
      <c r="AY561" s="38"/>
      <c r="BI561" s="38"/>
      <c r="BS561" s="38"/>
      <c r="CC561" s="38"/>
      <c r="CM561" s="38"/>
      <c r="CW561" s="38"/>
      <c r="DG561" s="38"/>
      <c r="DQ561" s="38"/>
      <c r="EA561" s="38"/>
    </row>
    <row r="562" spans="11:131" ht="15" customHeight="1" x14ac:dyDescent="0.2">
      <c r="K562" s="38"/>
      <c r="U562" s="38"/>
      <c r="AE562" s="38"/>
      <c r="AO562" s="38"/>
      <c r="AY562" s="38"/>
      <c r="BI562" s="38"/>
      <c r="BS562" s="38"/>
      <c r="CC562" s="38"/>
      <c r="CM562" s="38"/>
      <c r="CW562" s="38"/>
      <c r="DG562" s="38"/>
      <c r="DQ562" s="38"/>
      <c r="EA562" s="38"/>
    </row>
    <row r="563" spans="11:131" ht="15" customHeight="1" x14ac:dyDescent="0.2">
      <c r="K563" s="38"/>
      <c r="U563" s="38"/>
      <c r="AE563" s="38"/>
      <c r="AO563" s="38"/>
      <c r="AY563" s="38"/>
      <c r="BI563" s="38"/>
      <c r="BS563" s="38"/>
      <c r="CC563" s="38"/>
      <c r="CM563" s="38"/>
      <c r="CW563" s="38"/>
      <c r="DG563" s="38"/>
      <c r="DQ563" s="38"/>
      <c r="EA563" s="38"/>
    </row>
    <row r="564" spans="11:131" ht="15" customHeight="1" x14ac:dyDescent="0.2">
      <c r="K564" s="38"/>
      <c r="U564" s="38"/>
      <c r="AE564" s="38"/>
      <c r="AO564" s="38"/>
      <c r="AY564" s="38"/>
      <c r="BI564" s="38"/>
      <c r="BS564" s="38"/>
      <c r="CC564" s="38"/>
      <c r="CM564" s="38"/>
      <c r="CW564" s="38"/>
      <c r="DG564" s="38"/>
      <c r="DQ564" s="38"/>
      <c r="EA564" s="38"/>
    </row>
    <row r="565" spans="11:131" ht="15" customHeight="1" x14ac:dyDescent="0.2">
      <c r="K565" s="38"/>
      <c r="U565" s="38"/>
      <c r="AE565" s="38"/>
      <c r="AO565" s="38"/>
      <c r="AY565" s="38"/>
      <c r="BI565" s="38"/>
      <c r="BS565" s="38"/>
      <c r="CC565" s="38"/>
      <c r="CM565" s="38"/>
      <c r="CW565" s="38"/>
      <c r="DG565" s="38"/>
      <c r="DQ565" s="38"/>
      <c r="EA565" s="38"/>
    </row>
  </sheetData>
  <mergeCells count="950">
    <mergeCell ref="DK54:DK55"/>
    <mergeCell ref="DL54:DL55"/>
    <mergeCell ref="DS54:DS55"/>
    <mergeCell ref="DT54:DT55"/>
    <mergeCell ref="DU54:DU55"/>
    <mergeCell ref="DV54:DV55"/>
    <mergeCell ref="BX54:BX55"/>
    <mergeCell ref="CE54:CE55"/>
    <mergeCell ref="CF54:CF55"/>
    <mergeCell ref="CG54:CG55"/>
    <mergeCell ref="CH54:CH55"/>
    <mergeCell ref="DJ54:DJ55"/>
    <mergeCell ref="DI54:DI55"/>
    <mergeCell ref="DB54:DB55"/>
    <mergeCell ref="E54:E55"/>
    <mergeCell ref="F54:F55"/>
    <mergeCell ref="CR54:CR55"/>
    <mergeCell ref="CZ54:CZ55"/>
    <mergeCell ref="CO54:CO55"/>
    <mergeCell ref="CP54:CP55"/>
    <mergeCell ref="CQ54:CQ55"/>
    <mergeCell ref="AT54:AT55"/>
    <mergeCell ref="AR54:AR55"/>
    <mergeCell ref="BV54:BV55"/>
    <mergeCell ref="BW54:BW55"/>
    <mergeCell ref="M54:M55"/>
    <mergeCell ref="N54:N55"/>
    <mergeCell ref="O54:O55"/>
    <mergeCell ref="P54:P55"/>
    <mergeCell ref="W54:W55"/>
    <mergeCell ref="X54:X55"/>
    <mergeCell ref="Y54:Y55"/>
    <mergeCell ref="Z54:Z55"/>
    <mergeCell ref="BU54:BU55"/>
    <mergeCell ref="BC54:BC55"/>
    <mergeCell ref="L8:M8"/>
    <mergeCell ref="V8:W8"/>
    <mergeCell ref="AF8:AG8"/>
    <mergeCell ref="L24:M24"/>
    <mergeCell ref="V24:W24"/>
    <mergeCell ref="L12:M12"/>
    <mergeCell ref="V12:W12"/>
    <mergeCell ref="AS54:AS55"/>
    <mergeCell ref="BJ32:BK32"/>
    <mergeCell ref="AP44:AQ44"/>
    <mergeCell ref="AZ44:BA44"/>
    <mergeCell ref="BJ44:BK44"/>
    <mergeCell ref="R17:R19"/>
    <mergeCell ref="S17:S19"/>
    <mergeCell ref="T17:T19"/>
    <mergeCell ref="Q21:Q23"/>
    <mergeCell ref="R21:R23"/>
    <mergeCell ref="S21:S23"/>
    <mergeCell ref="T21:T23"/>
    <mergeCell ref="Q25:Q27"/>
    <mergeCell ref="R25:R27"/>
    <mergeCell ref="S25:S27"/>
    <mergeCell ref="T25:T27"/>
    <mergeCell ref="Q29:Q31"/>
    <mergeCell ref="BT44:BU44"/>
    <mergeCell ref="BA54:BA55"/>
    <mergeCell ref="BB54:BB55"/>
    <mergeCell ref="AG54:AG55"/>
    <mergeCell ref="AH54:AH55"/>
    <mergeCell ref="AI54:AI55"/>
    <mergeCell ref="AJ54:AJ55"/>
    <mergeCell ref="BD54:BD55"/>
    <mergeCell ref="L32:M32"/>
    <mergeCell ref="V32:W32"/>
    <mergeCell ref="AF44:AG44"/>
    <mergeCell ref="BJ40:BK40"/>
    <mergeCell ref="BT32:BU32"/>
    <mergeCell ref="Q41:Q43"/>
    <mergeCell ref="R41:R43"/>
    <mergeCell ref="S41:S43"/>
    <mergeCell ref="T41:T43"/>
    <mergeCell ref="Q45:Q47"/>
    <mergeCell ref="R45:R47"/>
    <mergeCell ref="S45:S47"/>
    <mergeCell ref="T45:T47"/>
    <mergeCell ref="Q49:Q51"/>
    <mergeCell ref="R49:R51"/>
    <mergeCell ref="S49:S51"/>
    <mergeCell ref="B40:C40"/>
    <mergeCell ref="AZ40:BA40"/>
    <mergeCell ref="AP20:AQ20"/>
    <mergeCell ref="AP32:AQ32"/>
    <mergeCell ref="AP36:AQ36"/>
    <mergeCell ref="V36:W36"/>
    <mergeCell ref="V40:W40"/>
    <mergeCell ref="V28:W28"/>
    <mergeCell ref="AF28:AG28"/>
    <mergeCell ref="AP40:AQ40"/>
    <mergeCell ref="AF36:AG36"/>
    <mergeCell ref="AF40:AG40"/>
    <mergeCell ref="V20:W20"/>
    <mergeCell ref="G25:G27"/>
    <mergeCell ref="H25:H27"/>
    <mergeCell ref="I25:I27"/>
    <mergeCell ref="J25:J27"/>
    <mergeCell ref="G29:G31"/>
    <mergeCell ref="AZ28:BA28"/>
    <mergeCell ref="B36:C36"/>
    <mergeCell ref="AF24:AG24"/>
    <mergeCell ref="G33:G35"/>
    <mergeCell ref="H33:H35"/>
    <mergeCell ref="I33:I35"/>
    <mergeCell ref="BD2:BD3"/>
    <mergeCell ref="AZ36:BA36"/>
    <mergeCell ref="AZ8:BA8"/>
    <mergeCell ref="AJ2:AJ3"/>
    <mergeCell ref="AQ2:AQ3"/>
    <mergeCell ref="AR2:AR3"/>
    <mergeCell ref="AP24:AQ24"/>
    <mergeCell ref="AP8:AQ8"/>
    <mergeCell ref="AP12:AQ12"/>
    <mergeCell ref="BA2:BA3"/>
    <mergeCell ref="BB2:BB3"/>
    <mergeCell ref="BC2:BC3"/>
    <mergeCell ref="AZ4:BA4"/>
    <mergeCell ref="AZ16:BA16"/>
    <mergeCell ref="AZ20:BA20"/>
    <mergeCell ref="AZ32:BA32"/>
    <mergeCell ref="AP4:AQ4"/>
    <mergeCell ref="AP16:AQ16"/>
    <mergeCell ref="AZ12:BA12"/>
    <mergeCell ref="AP28:AQ28"/>
    <mergeCell ref="AN21:AN23"/>
    <mergeCell ref="AK25:AK27"/>
    <mergeCell ref="AL25:AL27"/>
    <mergeCell ref="AM25:AM27"/>
    <mergeCell ref="DS2:DS3"/>
    <mergeCell ref="DT2:DT3"/>
    <mergeCell ref="DU2:DU3"/>
    <mergeCell ref="DV2:DV3"/>
    <mergeCell ref="M2:M3"/>
    <mergeCell ref="N2:N3"/>
    <mergeCell ref="O2:O3"/>
    <mergeCell ref="P2:P3"/>
    <mergeCell ref="AG2:AG3"/>
    <mergeCell ref="AH2:AH3"/>
    <mergeCell ref="AI2:AI3"/>
    <mergeCell ref="AS2:AS3"/>
    <mergeCell ref="BK2:BK3"/>
    <mergeCell ref="BL2:BL3"/>
    <mergeCell ref="CE2:CE3"/>
    <mergeCell ref="CO2:CO3"/>
    <mergeCell ref="CP2:CP3"/>
    <mergeCell ref="CQ2:CQ3"/>
    <mergeCell ref="CG2:CG3"/>
    <mergeCell ref="CR2:CR3"/>
    <mergeCell ref="AT2:AT3"/>
    <mergeCell ref="BM2:BM3"/>
    <mergeCell ref="BX2:BX3"/>
    <mergeCell ref="BW2:BW3"/>
    <mergeCell ref="C2:C3"/>
    <mergeCell ref="D2:D3"/>
    <mergeCell ref="E2:E3"/>
    <mergeCell ref="F2:F3"/>
    <mergeCell ref="B24:C24"/>
    <mergeCell ref="B28:C28"/>
    <mergeCell ref="B32:C32"/>
    <mergeCell ref="B4:C4"/>
    <mergeCell ref="B16:C16"/>
    <mergeCell ref="B8:C8"/>
    <mergeCell ref="B12:C12"/>
    <mergeCell ref="B20:C20"/>
    <mergeCell ref="L4:M4"/>
    <mergeCell ref="L16:M16"/>
    <mergeCell ref="L20:M20"/>
    <mergeCell ref="L36:M36"/>
    <mergeCell ref="L40:M40"/>
    <mergeCell ref="W2:W3"/>
    <mergeCell ref="X2:X3"/>
    <mergeCell ref="V4:W4"/>
    <mergeCell ref="V16:W16"/>
    <mergeCell ref="L28:M28"/>
    <mergeCell ref="Q2:T3"/>
    <mergeCell ref="Q5:Q7"/>
    <mergeCell ref="R5:R7"/>
    <mergeCell ref="S5:S7"/>
    <mergeCell ref="T5:T7"/>
    <mergeCell ref="Q9:Q11"/>
    <mergeCell ref="R9:R11"/>
    <mergeCell ref="S9:S11"/>
    <mergeCell ref="T9:T11"/>
    <mergeCell ref="Q13:Q15"/>
    <mergeCell ref="R13:R15"/>
    <mergeCell ref="S13:S15"/>
    <mergeCell ref="T13:T15"/>
    <mergeCell ref="Q17:Q19"/>
    <mergeCell ref="AF4:AG4"/>
    <mergeCell ref="AF16:AG16"/>
    <mergeCell ref="AF20:AG20"/>
    <mergeCell ref="AF32:AG32"/>
    <mergeCell ref="Y2:Y3"/>
    <mergeCell ref="Z2:Z3"/>
    <mergeCell ref="BJ4:BK4"/>
    <mergeCell ref="BJ12:BK12"/>
    <mergeCell ref="BJ16:BK16"/>
    <mergeCell ref="BJ20:BK20"/>
    <mergeCell ref="AA2:AD3"/>
    <mergeCell ref="AA5:AA7"/>
    <mergeCell ref="AB5:AB7"/>
    <mergeCell ref="AC5:AC7"/>
    <mergeCell ref="AD5:AD7"/>
    <mergeCell ref="AA9:AA11"/>
    <mergeCell ref="AB9:AB11"/>
    <mergeCell ref="AC9:AC11"/>
    <mergeCell ref="AD9:AD11"/>
    <mergeCell ref="AA13:AA15"/>
    <mergeCell ref="AB13:AB15"/>
    <mergeCell ref="AC13:AC15"/>
    <mergeCell ref="AZ24:BA24"/>
    <mergeCell ref="BE2:BH3"/>
    <mergeCell ref="BE5:BE7"/>
    <mergeCell ref="BF5:BF7"/>
    <mergeCell ref="BG5:BG7"/>
    <mergeCell ref="BH5:BH7"/>
    <mergeCell ref="BE9:BE11"/>
    <mergeCell ref="BF9:BF11"/>
    <mergeCell ref="BG9:BG11"/>
    <mergeCell ref="BH9:BH11"/>
    <mergeCell ref="BJ36:BK36"/>
    <mergeCell ref="BF13:BF15"/>
    <mergeCell ref="BG13:BG15"/>
    <mergeCell ref="BH13:BH15"/>
    <mergeCell ref="BE17:BE19"/>
    <mergeCell ref="BF17:BF19"/>
    <mergeCell ref="BG17:BG19"/>
    <mergeCell ref="BH17:BH19"/>
    <mergeCell ref="BE21:BE23"/>
    <mergeCell ref="BF21:BF23"/>
    <mergeCell ref="BG21:BG23"/>
    <mergeCell ref="BH21:BH23"/>
    <mergeCell ref="BE13:BE15"/>
    <mergeCell ref="BE25:BE27"/>
    <mergeCell ref="BF25:BF27"/>
    <mergeCell ref="BG25:BG27"/>
    <mergeCell ref="BU2:BU3"/>
    <mergeCell ref="BJ24:BK24"/>
    <mergeCell ref="BJ28:BK28"/>
    <mergeCell ref="BJ8:BK8"/>
    <mergeCell ref="BT4:BU4"/>
    <mergeCell ref="BT16:BU16"/>
    <mergeCell ref="CD36:CE36"/>
    <mergeCell ref="CD40:CE40"/>
    <mergeCell ref="BV2:BV3"/>
    <mergeCell ref="BT20:BU20"/>
    <mergeCell ref="BN2:BN3"/>
    <mergeCell ref="BT24:BU24"/>
    <mergeCell ref="BT28:BU28"/>
    <mergeCell ref="BT8:BU8"/>
    <mergeCell ref="BT12:BU12"/>
    <mergeCell ref="BO2:BR3"/>
    <mergeCell ref="BO5:BO7"/>
    <mergeCell ref="BP5:BP7"/>
    <mergeCell ref="BQ5:BQ7"/>
    <mergeCell ref="BR5:BR7"/>
    <mergeCell ref="BO9:BO11"/>
    <mergeCell ref="BP9:BP11"/>
    <mergeCell ref="BQ9:BQ11"/>
    <mergeCell ref="BR9:BR11"/>
    <mergeCell ref="BO13:BO15"/>
    <mergeCell ref="BP13:BP15"/>
    <mergeCell ref="BQ13:BQ15"/>
    <mergeCell ref="BR13:BR15"/>
    <mergeCell ref="BO17:BO19"/>
    <mergeCell ref="BP17:BP19"/>
    <mergeCell ref="CD12:CE12"/>
    <mergeCell ref="CN8:CO8"/>
    <mergeCell ref="CX8:CY8"/>
    <mergeCell ref="CX12:CY12"/>
    <mergeCell ref="BQ17:BQ19"/>
    <mergeCell ref="BR17:BR19"/>
    <mergeCell ref="CD20:CE20"/>
    <mergeCell ref="CD32:CE32"/>
    <mergeCell ref="CD8:CE8"/>
    <mergeCell ref="CH2:CH3"/>
    <mergeCell ref="CX4:CY4"/>
    <mergeCell ref="CX16:CY16"/>
    <mergeCell ref="CX20:CY20"/>
    <mergeCell ref="CN28:CO28"/>
    <mergeCell ref="CX28:CY28"/>
    <mergeCell ref="CX24:CY24"/>
    <mergeCell ref="CD24:CE24"/>
    <mergeCell ref="CN24:CO24"/>
    <mergeCell ref="CD4:CE4"/>
    <mergeCell ref="CD16:CE16"/>
    <mergeCell ref="CL21:CL23"/>
    <mergeCell ref="CI25:CI27"/>
    <mergeCell ref="CJ25:CJ27"/>
    <mergeCell ref="CK25:CK27"/>
    <mergeCell ref="CL25:CL27"/>
    <mergeCell ref="CI29:CI31"/>
    <mergeCell ref="CJ29:CJ31"/>
    <mergeCell ref="CK29:CK31"/>
    <mergeCell ref="CL29:CL31"/>
    <mergeCell ref="CV21:CV23"/>
    <mergeCell ref="DJ2:DJ3"/>
    <mergeCell ref="DL2:DL3"/>
    <mergeCell ref="DK2:DK3"/>
    <mergeCell ref="DB2:DB3"/>
    <mergeCell ref="DH40:DI40"/>
    <mergeCell ref="CZ2:CZ3"/>
    <mergeCell ref="DH8:DI8"/>
    <mergeCell ref="DH12:DI12"/>
    <mergeCell ref="DH4:DI4"/>
    <mergeCell ref="DH16:DI16"/>
    <mergeCell ref="DH20:DI20"/>
    <mergeCell ref="DH32:DI32"/>
    <mergeCell ref="DH36:DI36"/>
    <mergeCell ref="DH28:DI28"/>
    <mergeCell ref="DC2:DF3"/>
    <mergeCell ref="DC5:DC7"/>
    <mergeCell ref="DD5:DD7"/>
    <mergeCell ref="DE5:DE7"/>
    <mergeCell ref="DF5:DF7"/>
    <mergeCell ref="DC9:DC11"/>
    <mergeCell ref="DD9:DD11"/>
    <mergeCell ref="DE9:DE11"/>
    <mergeCell ref="DF9:DF11"/>
    <mergeCell ref="DI2:DI3"/>
    <mergeCell ref="DA2:DA3"/>
    <mergeCell ref="C54:C55"/>
    <mergeCell ref="AQ54:AQ55"/>
    <mergeCell ref="BT36:BU36"/>
    <mergeCell ref="BT40:BU40"/>
    <mergeCell ref="CN4:CO4"/>
    <mergeCell ref="CN16:CO16"/>
    <mergeCell ref="CN20:CO20"/>
    <mergeCell ref="CN32:CO32"/>
    <mergeCell ref="CN12:CO12"/>
    <mergeCell ref="CN36:CO36"/>
    <mergeCell ref="CN40:CO40"/>
    <mergeCell ref="CX32:CY32"/>
    <mergeCell ref="CX36:CY36"/>
    <mergeCell ref="CX40:CY40"/>
    <mergeCell ref="CY54:CY55"/>
    <mergeCell ref="DA54:DA55"/>
    <mergeCell ref="AF12:AG12"/>
    <mergeCell ref="B48:C48"/>
    <mergeCell ref="B44:C44"/>
    <mergeCell ref="L44:M44"/>
    <mergeCell ref="V44:W44"/>
    <mergeCell ref="G2:J3"/>
    <mergeCell ref="G5:G7"/>
    <mergeCell ref="DH24:DI24"/>
    <mergeCell ref="CD28:CE28"/>
    <mergeCell ref="CY2:CY3"/>
    <mergeCell ref="CF2:CF3"/>
    <mergeCell ref="D54:D55"/>
    <mergeCell ref="CD44:CE44"/>
    <mergeCell ref="CN44:CO44"/>
    <mergeCell ref="CX44:CY44"/>
    <mergeCell ref="DH44:DI44"/>
    <mergeCell ref="L48:M48"/>
    <mergeCell ref="V48:W48"/>
    <mergeCell ref="AF48:AG48"/>
    <mergeCell ref="AP48:AQ48"/>
    <mergeCell ref="AZ48:BA48"/>
    <mergeCell ref="BJ48:BK48"/>
    <mergeCell ref="BT48:BU48"/>
    <mergeCell ref="CD48:CE48"/>
    <mergeCell ref="CN48:CO48"/>
    <mergeCell ref="CX48:CY48"/>
    <mergeCell ref="DH48:DI48"/>
    <mergeCell ref="BK54:BK55"/>
    <mergeCell ref="BL54:BL55"/>
    <mergeCell ref="BM54:BM55"/>
    <mergeCell ref="BN54:BN55"/>
    <mergeCell ref="H5:H7"/>
    <mergeCell ref="I5:I7"/>
    <mergeCell ref="J5:J7"/>
    <mergeCell ref="G9:G11"/>
    <mergeCell ref="H9:H11"/>
    <mergeCell ref="I9:I11"/>
    <mergeCell ref="J9:J11"/>
    <mergeCell ref="G13:G15"/>
    <mergeCell ref="H13:H15"/>
    <mergeCell ref="I13:I15"/>
    <mergeCell ref="J13:J15"/>
    <mergeCell ref="G17:G19"/>
    <mergeCell ref="H17:H19"/>
    <mergeCell ref="I17:I19"/>
    <mergeCell ref="J17:J19"/>
    <mergeCell ref="G21:G23"/>
    <mergeCell ref="H21:H23"/>
    <mergeCell ref="I21:I23"/>
    <mergeCell ref="J21:J23"/>
    <mergeCell ref="H29:H31"/>
    <mergeCell ref="I29:I31"/>
    <mergeCell ref="J29:J31"/>
    <mergeCell ref="J33:J35"/>
    <mergeCell ref="G37:G39"/>
    <mergeCell ref="H37:H39"/>
    <mergeCell ref="I37:I39"/>
    <mergeCell ref="J37:J39"/>
    <mergeCell ref="G54:J55"/>
    <mergeCell ref="G56:G58"/>
    <mergeCell ref="H56:H58"/>
    <mergeCell ref="I56:I58"/>
    <mergeCell ref="J56:J58"/>
    <mergeCell ref="G41:G43"/>
    <mergeCell ref="H41:H43"/>
    <mergeCell ref="I41:I43"/>
    <mergeCell ref="J41:J43"/>
    <mergeCell ref="G45:G47"/>
    <mergeCell ref="H45:H47"/>
    <mergeCell ref="I45:I47"/>
    <mergeCell ref="J45:J47"/>
    <mergeCell ref="G49:G51"/>
    <mergeCell ref="H49:H51"/>
    <mergeCell ref="I49:I51"/>
    <mergeCell ref="J49:J51"/>
    <mergeCell ref="R29:R31"/>
    <mergeCell ref="S29:S31"/>
    <mergeCell ref="T29:T31"/>
    <mergeCell ref="Q33:Q35"/>
    <mergeCell ref="R33:R35"/>
    <mergeCell ref="S33:S35"/>
    <mergeCell ref="T33:T35"/>
    <mergeCell ref="Q37:Q39"/>
    <mergeCell ref="R37:R39"/>
    <mergeCell ref="S37:S39"/>
    <mergeCell ref="T37:T39"/>
    <mergeCell ref="T49:T51"/>
    <mergeCell ref="Q54:T55"/>
    <mergeCell ref="Q56:Q58"/>
    <mergeCell ref="R56:R58"/>
    <mergeCell ref="S56:S58"/>
    <mergeCell ref="T56:T58"/>
    <mergeCell ref="AD13:AD15"/>
    <mergeCell ref="AA17:AA19"/>
    <mergeCell ref="AB17:AB19"/>
    <mergeCell ref="AC17:AC19"/>
    <mergeCell ref="AD17:AD19"/>
    <mergeCell ref="AA21:AA23"/>
    <mergeCell ref="AB21:AB23"/>
    <mergeCell ref="AC21:AC23"/>
    <mergeCell ref="AD21:AD23"/>
    <mergeCell ref="AA25:AA27"/>
    <mergeCell ref="AB25:AB27"/>
    <mergeCell ref="AC25:AC27"/>
    <mergeCell ref="AD25:AD27"/>
    <mergeCell ref="AA29:AA31"/>
    <mergeCell ref="AB29:AB31"/>
    <mergeCell ref="AC29:AC31"/>
    <mergeCell ref="AD29:AD31"/>
    <mergeCell ref="AA33:AA35"/>
    <mergeCell ref="AB33:AB35"/>
    <mergeCell ref="AC33:AC35"/>
    <mergeCell ref="AD33:AD35"/>
    <mergeCell ref="AA37:AA39"/>
    <mergeCell ref="AB37:AB39"/>
    <mergeCell ref="AC37:AC39"/>
    <mergeCell ref="AD37:AD39"/>
    <mergeCell ref="AA41:AA43"/>
    <mergeCell ref="AB41:AB43"/>
    <mergeCell ref="AC41:AC43"/>
    <mergeCell ref="AD41:AD43"/>
    <mergeCell ref="AA45:AA47"/>
    <mergeCell ref="AB45:AB47"/>
    <mergeCell ref="AC45:AC47"/>
    <mergeCell ref="AD45:AD47"/>
    <mergeCell ref="AA49:AA51"/>
    <mergeCell ref="AB49:AB51"/>
    <mergeCell ref="AC49:AC51"/>
    <mergeCell ref="AD49:AD51"/>
    <mergeCell ref="AA54:AD55"/>
    <mergeCell ref="AA56:AA58"/>
    <mergeCell ref="AB56:AB58"/>
    <mergeCell ref="AC56:AC58"/>
    <mergeCell ref="AD56:AD58"/>
    <mergeCell ref="AK2:AN3"/>
    <mergeCell ref="AK5:AK7"/>
    <mergeCell ref="AL5:AL7"/>
    <mergeCell ref="AM5:AM7"/>
    <mergeCell ref="AN5:AN7"/>
    <mergeCell ref="AK9:AK11"/>
    <mergeCell ref="AL9:AL11"/>
    <mergeCell ref="AM9:AM11"/>
    <mergeCell ref="AN9:AN11"/>
    <mergeCell ref="AK13:AK15"/>
    <mergeCell ref="AL13:AL15"/>
    <mergeCell ref="AM13:AM15"/>
    <mergeCell ref="AN13:AN15"/>
    <mergeCell ref="AK17:AK19"/>
    <mergeCell ref="AL17:AL19"/>
    <mergeCell ref="AM17:AM19"/>
    <mergeCell ref="AN17:AN19"/>
    <mergeCell ref="AK21:AK23"/>
    <mergeCell ref="AL21:AL23"/>
    <mergeCell ref="AM21:AM23"/>
    <mergeCell ref="AN25:AN27"/>
    <mergeCell ref="AK29:AK31"/>
    <mergeCell ref="AL29:AL31"/>
    <mergeCell ref="AM29:AM31"/>
    <mergeCell ref="AN29:AN31"/>
    <mergeCell ref="AK33:AK35"/>
    <mergeCell ref="AL33:AL35"/>
    <mergeCell ref="AM33:AM35"/>
    <mergeCell ref="AN33:AN35"/>
    <mergeCell ref="AK37:AK39"/>
    <mergeCell ref="AL37:AL39"/>
    <mergeCell ref="AM37:AM39"/>
    <mergeCell ref="AN37:AN39"/>
    <mergeCell ref="AK41:AK43"/>
    <mergeCell ref="AL41:AL43"/>
    <mergeCell ref="AM41:AM43"/>
    <mergeCell ref="AN41:AN43"/>
    <mergeCell ref="AK45:AK47"/>
    <mergeCell ref="AL45:AL47"/>
    <mergeCell ref="AM45:AM47"/>
    <mergeCell ref="AN45:AN47"/>
    <mergeCell ref="AK49:AK51"/>
    <mergeCell ref="AL49:AL51"/>
    <mergeCell ref="AM49:AM51"/>
    <mergeCell ref="AN49:AN51"/>
    <mergeCell ref="AK54:AN55"/>
    <mergeCell ref="AK56:AK58"/>
    <mergeCell ref="AL56:AL58"/>
    <mergeCell ref="AM56:AM58"/>
    <mergeCell ref="AN56:AN58"/>
    <mergeCell ref="AU2:AX3"/>
    <mergeCell ref="AU5:AU7"/>
    <mergeCell ref="AV5:AV7"/>
    <mergeCell ref="AW5:AW7"/>
    <mergeCell ref="AX5:AX7"/>
    <mergeCell ref="AU9:AU11"/>
    <mergeCell ref="AV9:AV11"/>
    <mergeCell ref="AW9:AW11"/>
    <mergeCell ref="AX9:AX11"/>
    <mergeCell ref="AU13:AU15"/>
    <mergeCell ref="AV13:AV15"/>
    <mergeCell ref="AW13:AW15"/>
    <mergeCell ref="AX13:AX15"/>
    <mergeCell ref="AU17:AU19"/>
    <mergeCell ref="AV17:AV19"/>
    <mergeCell ref="AW17:AW19"/>
    <mergeCell ref="AX17:AX19"/>
    <mergeCell ref="AU21:AU23"/>
    <mergeCell ref="AV21:AV23"/>
    <mergeCell ref="AW21:AW23"/>
    <mergeCell ref="AX21:AX23"/>
    <mergeCell ref="AU25:AU27"/>
    <mergeCell ref="AV25:AV27"/>
    <mergeCell ref="AW25:AW27"/>
    <mergeCell ref="AX25:AX27"/>
    <mergeCell ref="AU29:AU31"/>
    <mergeCell ref="AV29:AV31"/>
    <mergeCell ref="AW29:AW31"/>
    <mergeCell ref="AX29:AX31"/>
    <mergeCell ref="AU33:AU35"/>
    <mergeCell ref="AV33:AV35"/>
    <mergeCell ref="AW33:AW35"/>
    <mergeCell ref="AX33:AX35"/>
    <mergeCell ref="AU37:AU39"/>
    <mergeCell ref="AV37:AV39"/>
    <mergeCell ref="AW37:AW39"/>
    <mergeCell ref="AX37:AX39"/>
    <mergeCell ref="AU41:AU43"/>
    <mergeCell ref="AV41:AV43"/>
    <mergeCell ref="AW41:AW43"/>
    <mergeCell ref="AX41:AX43"/>
    <mergeCell ref="AU45:AU47"/>
    <mergeCell ref="AV45:AV47"/>
    <mergeCell ref="AW45:AW47"/>
    <mergeCell ref="AX45:AX47"/>
    <mergeCell ref="AU49:AU51"/>
    <mergeCell ref="AV49:AV51"/>
    <mergeCell ref="AW49:AW51"/>
    <mergeCell ref="AX49:AX51"/>
    <mergeCell ref="AU54:AX55"/>
    <mergeCell ref="AU56:AU58"/>
    <mergeCell ref="AV56:AV58"/>
    <mergeCell ref="AW56:AW58"/>
    <mergeCell ref="AX56:AX58"/>
    <mergeCell ref="BH25:BH27"/>
    <mergeCell ref="BE29:BE31"/>
    <mergeCell ref="BF29:BF31"/>
    <mergeCell ref="BG29:BG31"/>
    <mergeCell ref="BH29:BH31"/>
    <mergeCell ref="BE33:BE35"/>
    <mergeCell ref="BF33:BF35"/>
    <mergeCell ref="BG33:BG35"/>
    <mergeCell ref="BH33:BH35"/>
    <mergeCell ref="BE37:BE39"/>
    <mergeCell ref="BF37:BF39"/>
    <mergeCell ref="BG37:BG39"/>
    <mergeCell ref="BH37:BH39"/>
    <mergeCell ref="BE41:BE43"/>
    <mergeCell ref="BF41:BF43"/>
    <mergeCell ref="BG41:BG43"/>
    <mergeCell ref="BH41:BH43"/>
    <mergeCell ref="BE45:BE47"/>
    <mergeCell ref="BF45:BF47"/>
    <mergeCell ref="BG45:BG47"/>
    <mergeCell ref="BH45:BH47"/>
    <mergeCell ref="BE49:BE51"/>
    <mergeCell ref="BF49:BF51"/>
    <mergeCell ref="BG49:BG51"/>
    <mergeCell ref="BH49:BH51"/>
    <mergeCell ref="BE54:BH55"/>
    <mergeCell ref="BE56:BE58"/>
    <mergeCell ref="BF56:BF58"/>
    <mergeCell ref="BG56:BG58"/>
    <mergeCell ref="BH56:BH58"/>
    <mergeCell ref="BO21:BO23"/>
    <mergeCell ref="BP21:BP23"/>
    <mergeCell ref="BQ21:BQ23"/>
    <mergeCell ref="BR21:BR23"/>
    <mergeCell ref="BO25:BO27"/>
    <mergeCell ref="BP25:BP27"/>
    <mergeCell ref="BQ25:BQ27"/>
    <mergeCell ref="BR25:BR27"/>
    <mergeCell ref="BO29:BO31"/>
    <mergeCell ref="BP29:BP31"/>
    <mergeCell ref="BQ29:BQ31"/>
    <mergeCell ref="BR29:BR31"/>
    <mergeCell ref="BO33:BO35"/>
    <mergeCell ref="BP33:BP35"/>
    <mergeCell ref="BQ33:BQ35"/>
    <mergeCell ref="BR33:BR35"/>
    <mergeCell ref="BO37:BO39"/>
    <mergeCell ref="BP37:BP39"/>
    <mergeCell ref="BQ37:BQ39"/>
    <mergeCell ref="BR37:BR39"/>
    <mergeCell ref="BO41:BO43"/>
    <mergeCell ref="BP41:BP43"/>
    <mergeCell ref="BQ41:BQ43"/>
    <mergeCell ref="BR41:BR43"/>
    <mergeCell ref="BO45:BO47"/>
    <mergeCell ref="BP45:BP47"/>
    <mergeCell ref="BQ45:BQ47"/>
    <mergeCell ref="BR45:BR47"/>
    <mergeCell ref="BO49:BO51"/>
    <mergeCell ref="BP49:BP51"/>
    <mergeCell ref="BQ49:BQ51"/>
    <mergeCell ref="BR49:BR51"/>
    <mergeCell ref="BO54:BR55"/>
    <mergeCell ref="BO56:BO58"/>
    <mergeCell ref="BP56:BP58"/>
    <mergeCell ref="BQ56:BQ58"/>
    <mergeCell ref="BR56:BR58"/>
    <mergeCell ref="BY2:CB3"/>
    <mergeCell ref="BY5:BY7"/>
    <mergeCell ref="BZ5:BZ7"/>
    <mergeCell ref="CA5:CA7"/>
    <mergeCell ref="CB5:CB7"/>
    <mergeCell ref="BY9:BY11"/>
    <mergeCell ref="BZ9:BZ11"/>
    <mergeCell ref="CA9:CA11"/>
    <mergeCell ref="CB9:CB11"/>
    <mergeCell ref="BY13:BY15"/>
    <mergeCell ref="BZ13:BZ15"/>
    <mergeCell ref="CA13:CA15"/>
    <mergeCell ref="CB13:CB15"/>
    <mergeCell ref="BY17:BY19"/>
    <mergeCell ref="BZ17:BZ19"/>
    <mergeCell ref="CA17:CA19"/>
    <mergeCell ref="CB17:CB19"/>
    <mergeCell ref="BY21:BY23"/>
    <mergeCell ref="BZ21:BZ23"/>
    <mergeCell ref="CA21:CA23"/>
    <mergeCell ref="CB21:CB23"/>
    <mergeCell ref="BY25:BY27"/>
    <mergeCell ref="BZ25:BZ27"/>
    <mergeCell ref="CA25:CA27"/>
    <mergeCell ref="CB25:CB27"/>
    <mergeCell ref="BY29:BY31"/>
    <mergeCell ref="BZ29:BZ31"/>
    <mergeCell ref="CA29:CA31"/>
    <mergeCell ref="CB29:CB31"/>
    <mergeCell ref="BY33:BY35"/>
    <mergeCell ref="BZ33:BZ35"/>
    <mergeCell ref="CA33:CA35"/>
    <mergeCell ref="CB33:CB35"/>
    <mergeCell ref="BY37:BY39"/>
    <mergeCell ref="BZ37:BZ39"/>
    <mergeCell ref="CA37:CA39"/>
    <mergeCell ref="CB37:CB39"/>
    <mergeCell ref="BY41:BY43"/>
    <mergeCell ref="BZ41:BZ43"/>
    <mergeCell ref="CA41:CA43"/>
    <mergeCell ref="CB41:CB43"/>
    <mergeCell ref="BY45:BY47"/>
    <mergeCell ref="BZ45:BZ47"/>
    <mergeCell ref="CA45:CA47"/>
    <mergeCell ref="CB45:CB47"/>
    <mergeCell ref="BY49:BY51"/>
    <mergeCell ref="BZ49:BZ51"/>
    <mergeCell ref="CA49:CA51"/>
    <mergeCell ref="CB49:CB51"/>
    <mergeCell ref="BY54:CB55"/>
    <mergeCell ref="BY56:BY58"/>
    <mergeCell ref="BZ56:BZ58"/>
    <mergeCell ref="CA56:CA58"/>
    <mergeCell ref="CB56:CB58"/>
    <mergeCell ref="CI2:CL3"/>
    <mergeCell ref="CI5:CI7"/>
    <mergeCell ref="CJ5:CJ7"/>
    <mergeCell ref="CK5:CK7"/>
    <mergeCell ref="CL5:CL7"/>
    <mergeCell ref="CI9:CI11"/>
    <mergeCell ref="CJ9:CJ11"/>
    <mergeCell ref="CK9:CK11"/>
    <mergeCell ref="CL9:CL11"/>
    <mergeCell ref="CI13:CI15"/>
    <mergeCell ref="CJ13:CJ15"/>
    <mergeCell ref="CK13:CK15"/>
    <mergeCell ref="CL13:CL15"/>
    <mergeCell ref="CI17:CI19"/>
    <mergeCell ref="CJ17:CJ19"/>
    <mergeCell ref="CK17:CK19"/>
    <mergeCell ref="CL17:CL19"/>
    <mergeCell ref="CI21:CI23"/>
    <mergeCell ref="CJ21:CJ23"/>
    <mergeCell ref="CK21:CK23"/>
    <mergeCell ref="CI33:CI35"/>
    <mergeCell ref="CJ33:CJ35"/>
    <mergeCell ref="CK33:CK35"/>
    <mergeCell ref="CL33:CL35"/>
    <mergeCell ref="CI37:CI39"/>
    <mergeCell ref="CJ37:CJ39"/>
    <mergeCell ref="CK37:CK39"/>
    <mergeCell ref="CL37:CL39"/>
    <mergeCell ref="CI41:CI43"/>
    <mergeCell ref="CJ41:CJ43"/>
    <mergeCell ref="CK41:CK43"/>
    <mergeCell ref="CL41:CL43"/>
    <mergeCell ref="CI45:CI47"/>
    <mergeCell ref="CJ45:CJ47"/>
    <mergeCell ref="CK45:CK47"/>
    <mergeCell ref="CL45:CL47"/>
    <mergeCell ref="CI49:CI51"/>
    <mergeCell ref="CJ49:CJ51"/>
    <mergeCell ref="CK49:CK51"/>
    <mergeCell ref="CL49:CL51"/>
    <mergeCell ref="CI54:CL55"/>
    <mergeCell ref="CI56:CI58"/>
    <mergeCell ref="CJ56:CJ58"/>
    <mergeCell ref="CK56:CK58"/>
    <mergeCell ref="CL56:CL58"/>
    <mergeCell ref="CS2:CV3"/>
    <mergeCell ref="CS5:CS7"/>
    <mergeCell ref="CT5:CT7"/>
    <mergeCell ref="CU5:CU7"/>
    <mergeCell ref="CV5:CV7"/>
    <mergeCell ref="CS9:CS11"/>
    <mergeCell ref="CT9:CT11"/>
    <mergeCell ref="CU9:CU11"/>
    <mergeCell ref="CV9:CV11"/>
    <mergeCell ref="CS13:CS15"/>
    <mergeCell ref="CT13:CT15"/>
    <mergeCell ref="CU13:CU15"/>
    <mergeCell ref="CV13:CV15"/>
    <mergeCell ref="CS17:CS19"/>
    <mergeCell ref="CT17:CT19"/>
    <mergeCell ref="CU17:CU19"/>
    <mergeCell ref="CV17:CV19"/>
    <mergeCell ref="CS21:CS23"/>
    <mergeCell ref="CT21:CT23"/>
    <mergeCell ref="CU21:CU23"/>
    <mergeCell ref="CS25:CS27"/>
    <mergeCell ref="CT25:CT27"/>
    <mergeCell ref="CU25:CU27"/>
    <mergeCell ref="CV25:CV27"/>
    <mergeCell ref="CS29:CS31"/>
    <mergeCell ref="CT29:CT31"/>
    <mergeCell ref="CU29:CU31"/>
    <mergeCell ref="CV29:CV31"/>
    <mergeCell ref="CS33:CS35"/>
    <mergeCell ref="CT33:CT35"/>
    <mergeCell ref="CU33:CU35"/>
    <mergeCell ref="CV33:CV35"/>
    <mergeCell ref="CS37:CS39"/>
    <mergeCell ref="CT37:CT39"/>
    <mergeCell ref="CU37:CU39"/>
    <mergeCell ref="CV37:CV39"/>
    <mergeCell ref="CS41:CS43"/>
    <mergeCell ref="CT41:CT43"/>
    <mergeCell ref="CU41:CU43"/>
    <mergeCell ref="CV41:CV43"/>
    <mergeCell ref="CS45:CS47"/>
    <mergeCell ref="CT45:CT47"/>
    <mergeCell ref="CU45:CU47"/>
    <mergeCell ref="CV45:CV47"/>
    <mergeCell ref="CS49:CS51"/>
    <mergeCell ref="CT49:CT51"/>
    <mergeCell ref="CU49:CU51"/>
    <mergeCell ref="CV49:CV51"/>
    <mergeCell ref="CS54:CV55"/>
    <mergeCell ref="CS56:CS58"/>
    <mergeCell ref="CT56:CT58"/>
    <mergeCell ref="CU56:CU58"/>
    <mergeCell ref="CV56:CV58"/>
    <mergeCell ref="DC13:DC15"/>
    <mergeCell ref="DD13:DD15"/>
    <mergeCell ref="DE13:DE15"/>
    <mergeCell ref="DF13:DF15"/>
    <mergeCell ref="DC17:DC19"/>
    <mergeCell ref="DD17:DD19"/>
    <mergeCell ref="DE17:DE19"/>
    <mergeCell ref="DF17:DF19"/>
    <mergeCell ref="DC21:DC23"/>
    <mergeCell ref="DD21:DD23"/>
    <mergeCell ref="DE21:DE23"/>
    <mergeCell ref="DF21:DF23"/>
    <mergeCell ref="DC25:DC27"/>
    <mergeCell ref="DD25:DD27"/>
    <mergeCell ref="DE25:DE27"/>
    <mergeCell ref="DF25:DF27"/>
    <mergeCell ref="DC29:DC31"/>
    <mergeCell ref="DD29:DD31"/>
    <mergeCell ref="DE29:DE31"/>
    <mergeCell ref="DF29:DF31"/>
    <mergeCell ref="DC33:DC35"/>
    <mergeCell ref="DD33:DD35"/>
    <mergeCell ref="DE33:DE35"/>
    <mergeCell ref="DF33:DF35"/>
    <mergeCell ref="DC37:DC39"/>
    <mergeCell ref="DD37:DD39"/>
    <mergeCell ref="DE37:DE39"/>
    <mergeCell ref="DF37:DF39"/>
    <mergeCell ref="DC41:DC43"/>
    <mergeCell ref="DD41:DD43"/>
    <mergeCell ref="DE41:DE43"/>
    <mergeCell ref="DF41:DF43"/>
    <mergeCell ref="DC45:DC47"/>
    <mergeCell ref="DD45:DD47"/>
    <mergeCell ref="DE45:DE47"/>
    <mergeCell ref="DF45:DF47"/>
    <mergeCell ref="DC49:DC51"/>
    <mergeCell ref="DD49:DD51"/>
    <mergeCell ref="DE49:DE51"/>
    <mergeCell ref="DF49:DF51"/>
    <mergeCell ref="DC54:DF55"/>
    <mergeCell ref="DC56:DC58"/>
    <mergeCell ref="DD56:DD58"/>
    <mergeCell ref="DE56:DE58"/>
    <mergeCell ref="DF56:DF58"/>
    <mergeCell ref="DM2:DP3"/>
    <mergeCell ref="DM5:DM7"/>
    <mergeCell ref="DN5:DN7"/>
    <mergeCell ref="DO5:DO7"/>
    <mergeCell ref="DP5:DP7"/>
    <mergeCell ref="DM9:DM11"/>
    <mergeCell ref="DN9:DN11"/>
    <mergeCell ref="DO9:DO11"/>
    <mergeCell ref="DP9:DP11"/>
    <mergeCell ref="DM13:DM15"/>
    <mergeCell ref="DN13:DN15"/>
    <mergeCell ref="DO13:DO15"/>
    <mergeCell ref="DP13:DP15"/>
    <mergeCell ref="DM17:DM19"/>
    <mergeCell ref="DN17:DN19"/>
    <mergeCell ref="DO17:DO19"/>
    <mergeCell ref="DP17:DP19"/>
    <mergeCell ref="DM21:DM23"/>
    <mergeCell ref="DN21:DN23"/>
    <mergeCell ref="DO21:DO23"/>
    <mergeCell ref="DP21:DP23"/>
    <mergeCell ref="DM25:DM27"/>
    <mergeCell ref="DN25:DN27"/>
    <mergeCell ref="DO25:DO27"/>
    <mergeCell ref="DP25:DP27"/>
    <mergeCell ref="DM29:DM31"/>
    <mergeCell ref="DN29:DN31"/>
    <mergeCell ref="DO29:DO31"/>
    <mergeCell ref="DP29:DP31"/>
    <mergeCell ref="DM33:DM35"/>
    <mergeCell ref="DN33:DN35"/>
    <mergeCell ref="DO33:DO35"/>
    <mergeCell ref="DP33:DP35"/>
    <mergeCell ref="DM37:DM39"/>
    <mergeCell ref="DN37:DN39"/>
    <mergeCell ref="DO37:DO39"/>
    <mergeCell ref="DP37:DP39"/>
    <mergeCell ref="DM41:DM43"/>
    <mergeCell ref="DN41:DN43"/>
    <mergeCell ref="DO41:DO43"/>
    <mergeCell ref="DP41:DP43"/>
    <mergeCell ref="DM45:DM47"/>
    <mergeCell ref="DN45:DN47"/>
    <mergeCell ref="DO45:DO47"/>
    <mergeCell ref="DP45:DP47"/>
    <mergeCell ref="DM49:DM51"/>
    <mergeCell ref="DN49:DN51"/>
    <mergeCell ref="DO49:DO51"/>
    <mergeCell ref="DP49:DP51"/>
    <mergeCell ref="DM54:DP55"/>
    <mergeCell ref="DM56:DM58"/>
    <mergeCell ref="DN56:DN58"/>
    <mergeCell ref="DO56:DO58"/>
    <mergeCell ref="DP56:DP58"/>
    <mergeCell ref="DW2:DZ3"/>
    <mergeCell ref="DW5:DW7"/>
    <mergeCell ref="DX5:DX7"/>
    <mergeCell ref="DY5:DY7"/>
    <mergeCell ref="DZ5:DZ7"/>
    <mergeCell ref="DW9:DW11"/>
    <mergeCell ref="DX9:DX11"/>
    <mergeCell ref="DY9:DY11"/>
    <mergeCell ref="DZ9:DZ11"/>
    <mergeCell ref="DW13:DW15"/>
    <mergeCell ref="DX13:DX15"/>
    <mergeCell ref="DY13:DY15"/>
    <mergeCell ref="DZ13:DZ15"/>
    <mergeCell ref="DW17:DW19"/>
    <mergeCell ref="DX17:DX19"/>
    <mergeCell ref="DY17:DY19"/>
    <mergeCell ref="DZ17:DZ19"/>
    <mergeCell ref="DW21:DW23"/>
    <mergeCell ref="DX21:DX23"/>
    <mergeCell ref="DY21:DY23"/>
    <mergeCell ref="DZ21:DZ23"/>
    <mergeCell ref="DW25:DW27"/>
    <mergeCell ref="DX25:DX27"/>
    <mergeCell ref="DY25:DY27"/>
    <mergeCell ref="DZ25:DZ27"/>
    <mergeCell ref="DW29:DW31"/>
    <mergeCell ref="DX29:DX31"/>
    <mergeCell ref="DY29:DY31"/>
    <mergeCell ref="DZ29:DZ31"/>
    <mergeCell ref="DW33:DW35"/>
    <mergeCell ref="DX33:DX35"/>
    <mergeCell ref="DY33:DY35"/>
    <mergeCell ref="DZ33:DZ35"/>
    <mergeCell ref="DW37:DW39"/>
    <mergeCell ref="DX37:DX39"/>
    <mergeCell ref="DY37:DY39"/>
    <mergeCell ref="DZ37:DZ39"/>
    <mergeCell ref="DW41:DW43"/>
    <mergeCell ref="DX41:DX43"/>
    <mergeCell ref="DY41:DY43"/>
    <mergeCell ref="DZ41:DZ43"/>
    <mergeCell ref="DW45:DW47"/>
    <mergeCell ref="DX45:DX47"/>
    <mergeCell ref="DY45:DY47"/>
    <mergeCell ref="DZ45:DZ47"/>
    <mergeCell ref="DW49:DW51"/>
    <mergeCell ref="DX49:DX51"/>
    <mergeCell ref="DY49:DY51"/>
    <mergeCell ref="DZ49:DZ51"/>
    <mergeCell ref="DW54:DZ55"/>
    <mergeCell ref="DW56:DW58"/>
    <mergeCell ref="DX56:DX58"/>
    <mergeCell ref="DY56:DY58"/>
    <mergeCell ref="DZ56:DZ58"/>
  </mergeCells>
  <phoneticPr fontId="0" type="noConversion"/>
  <printOptions horizontalCentered="1"/>
  <pageMargins left="0.15748031496062992" right="0.15748031496062992" top="0.39370078740157483" bottom="0.39370078740157483" header="0.51181102362204722" footer="0.51181102362204722"/>
  <pageSetup paperSize="9" scale="1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11"/>
  <sheetViews>
    <sheetView rightToLeft="1" workbookViewId="0">
      <selection activeCell="M17" sqref="M17"/>
    </sheetView>
  </sheetViews>
  <sheetFormatPr defaultColWidth="9.140625" defaultRowHeight="12.75" x14ac:dyDescent="0.2"/>
  <cols>
    <col min="1" max="1" width="13" style="11" customWidth="1"/>
    <col min="2" max="5" width="9.140625" style="11"/>
    <col min="6" max="6" width="16" style="11" customWidth="1"/>
    <col min="7" max="8" width="9.140625" style="11"/>
    <col min="9" max="9" width="9.5703125" style="11" bestFit="1" customWidth="1"/>
    <col min="10" max="10" width="2.5703125" style="11" customWidth="1"/>
    <col min="11" max="11" width="13" style="11" customWidth="1"/>
    <col min="12" max="15" width="9.140625" style="11"/>
    <col min="16" max="16" width="16" style="11" customWidth="1"/>
    <col min="17" max="18" width="9.140625" style="11"/>
    <col min="19" max="19" width="9.5703125" style="11" bestFit="1" customWidth="1"/>
    <col min="20" max="20" width="2.5703125" style="11" customWidth="1"/>
    <col min="21" max="21" width="13" style="11" customWidth="1"/>
    <col min="22" max="25" width="9.140625" style="11"/>
    <col min="26" max="26" width="16" style="11" customWidth="1"/>
    <col min="27" max="28" width="9.140625" style="11"/>
    <col min="29" max="29" width="9.5703125" style="11" bestFit="1" customWidth="1"/>
    <col min="30" max="30" width="2.5703125" style="11" customWidth="1"/>
    <col min="31" max="31" width="13" style="11" customWidth="1"/>
    <col min="32" max="35" width="9.140625" style="11"/>
    <col min="36" max="36" width="16" style="11" customWidth="1"/>
    <col min="37" max="38" width="9.140625" style="11"/>
    <col min="39" max="39" width="9.5703125" style="11" bestFit="1" customWidth="1"/>
    <col min="40" max="40" width="2.5703125" style="11" customWidth="1"/>
    <col min="41" max="41" width="13" style="11" customWidth="1"/>
    <col min="42" max="45" width="9.140625" style="11"/>
    <col min="46" max="46" width="16" style="11" customWidth="1"/>
    <col min="47" max="48" width="9.140625" style="11"/>
    <col min="49" max="49" width="9.5703125" style="11" bestFit="1" customWidth="1"/>
    <col min="50" max="50" width="2.5703125" style="11" customWidth="1"/>
    <col min="51" max="51" width="13" style="11" customWidth="1"/>
    <col min="52" max="55" width="9.140625" style="11"/>
    <col min="56" max="56" width="16" style="11" customWidth="1"/>
    <col min="57" max="58" width="9.140625" style="11"/>
    <col min="59" max="59" width="9.5703125" style="11" bestFit="1" customWidth="1"/>
    <col min="60" max="60" width="2.5703125" style="11" customWidth="1"/>
    <col min="61" max="61" width="13" style="11" customWidth="1"/>
    <col min="62" max="65" width="9.140625" style="11"/>
    <col min="66" max="66" width="16" style="11" customWidth="1"/>
    <col min="67" max="68" width="9.140625" style="11"/>
    <col min="69" max="69" width="9.5703125" style="11" bestFit="1" customWidth="1"/>
    <col min="70" max="70" width="2.5703125" style="11" customWidth="1"/>
    <col min="71" max="71" width="13" style="11" customWidth="1"/>
    <col min="72" max="75" width="9.140625" style="11"/>
    <col min="76" max="76" width="16" style="11" customWidth="1"/>
    <col min="77" max="78" width="9.140625" style="11"/>
    <col min="79" max="79" width="9.5703125" style="11" bestFit="1" customWidth="1"/>
    <col min="80" max="80" width="2.5703125" style="11" customWidth="1"/>
    <col min="81" max="81" width="13" style="11" customWidth="1"/>
    <col min="82" max="85" width="9.140625" style="11"/>
    <col min="86" max="86" width="16" style="11" customWidth="1"/>
    <col min="87" max="88" width="9.140625" style="11"/>
    <col min="89" max="89" width="9.5703125" style="11" bestFit="1" customWidth="1"/>
    <col min="90" max="90" width="2.5703125" style="11" customWidth="1"/>
    <col min="91" max="91" width="13" style="11" customWidth="1"/>
    <col min="92" max="95" width="9.140625" style="11"/>
    <col min="96" max="96" width="16" style="11" customWidth="1"/>
    <col min="97" max="98" width="9.140625" style="11"/>
    <col min="99" max="99" width="9.5703125" style="11" bestFit="1" customWidth="1"/>
    <col min="100" max="100" width="2.5703125" style="11" customWidth="1"/>
    <col min="101" max="101" width="13" style="11" customWidth="1"/>
    <col min="102" max="105" width="9.140625" style="11"/>
    <col min="106" max="106" width="16" style="11" customWidth="1"/>
    <col min="107" max="108" width="9.140625" style="11"/>
    <col min="109" max="109" width="9.5703125" style="11" bestFit="1" customWidth="1"/>
    <col min="110" max="110" width="2.5703125" style="11" customWidth="1"/>
    <col min="111" max="111" width="13" style="11" customWidth="1"/>
    <col min="112" max="115" width="9.140625" style="11"/>
    <col min="116" max="116" width="16" style="11" customWidth="1"/>
    <col min="117" max="118" width="9.140625" style="11"/>
    <col min="119" max="119" width="9.5703125" style="11" bestFit="1" customWidth="1"/>
    <col min="120" max="120" width="2.5703125" style="11" customWidth="1"/>
    <col min="121" max="121" width="13" style="11" customWidth="1"/>
    <col min="122" max="125" width="9.140625" style="11"/>
    <col min="126" max="126" width="16" style="11" customWidth="1"/>
    <col min="127" max="129" width="9.140625" style="11"/>
    <col min="130" max="130" width="2.5703125" style="11" customWidth="1"/>
    <col min="131" max="16384" width="9.140625" style="10"/>
  </cols>
  <sheetData>
    <row r="1" spans="1:130" ht="19.5" customHeight="1" thickBot="1" x14ac:dyDescent="0.25">
      <c r="A1" s="23" t="s">
        <v>17</v>
      </c>
      <c r="B1" s="24"/>
      <c r="C1" s="24"/>
      <c r="D1" s="24"/>
      <c r="E1" s="24"/>
      <c r="F1" s="24"/>
      <c r="G1" s="24"/>
      <c r="H1" s="24"/>
      <c r="I1" s="25"/>
      <c r="J1" s="9"/>
      <c r="K1" s="23" t="s">
        <v>17</v>
      </c>
      <c r="L1" s="24"/>
      <c r="M1" s="24"/>
      <c r="N1" s="24"/>
      <c r="O1" s="24"/>
      <c r="P1" s="24"/>
      <c r="Q1" s="24"/>
      <c r="R1" s="24"/>
      <c r="S1" s="25"/>
      <c r="T1" s="9"/>
      <c r="U1" s="23" t="s">
        <v>17</v>
      </c>
      <c r="V1" s="24"/>
      <c r="W1" s="24"/>
      <c r="X1" s="24"/>
      <c r="Y1" s="24"/>
      <c r="Z1" s="24"/>
      <c r="AA1" s="24"/>
      <c r="AB1" s="24"/>
      <c r="AC1" s="25"/>
      <c r="AD1" s="9"/>
      <c r="AE1" s="23" t="s">
        <v>17</v>
      </c>
      <c r="AF1" s="24"/>
      <c r="AG1" s="24"/>
      <c r="AH1" s="24"/>
      <c r="AI1" s="24"/>
      <c r="AJ1" s="24"/>
      <c r="AK1" s="24"/>
      <c r="AL1" s="24"/>
      <c r="AM1" s="25"/>
      <c r="AN1" s="9"/>
      <c r="AO1" s="23" t="s">
        <v>17</v>
      </c>
      <c r="AP1" s="24"/>
      <c r="AQ1" s="24"/>
      <c r="AR1" s="24"/>
      <c r="AS1" s="24"/>
      <c r="AT1" s="24"/>
      <c r="AU1" s="24"/>
      <c r="AV1" s="24"/>
      <c r="AW1" s="25"/>
      <c r="AX1" s="9"/>
      <c r="AY1" s="23" t="s">
        <v>17</v>
      </c>
      <c r="AZ1" s="24"/>
      <c r="BA1" s="24"/>
      <c r="BB1" s="24"/>
      <c r="BC1" s="24"/>
      <c r="BD1" s="24"/>
      <c r="BE1" s="24"/>
      <c r="BF1" s="24"/>
      <c r="BG1" s="25"/>
      <c r="BH1" s="9"/>
      <c r="BI1" s="23" t="s">
        <v>17</v>
      </c>
      <c r="BJ1" s="24"/>
      <c r="BK1" s="24"/>
      <c r="BL1" s="24"/>
      <c r="BM1" s="24"/>
      <c r="BN1" s="24"/>
      <c r="BO1" s="24"/>
      <c r="BP1" s="24"/>
      <c r="BQ1" s="25"/>
      <c r="BR1" s="9"/>
      <c r="BS1" s="23" t="s">
        <v>17</v>
      </c>
      <c r="BT1" s="24"/>
      <c r="BU1" s="24"/>
      <c r="BV1" s="24"/>
      <c r="BW1" s="24"/>
      <c r="BX1" s="24"/>
      <c r="BY1" s="24"/>
      <c r="BZ1" s="24"/>
      <c r="CA1" s="25"/>
      <c r="CB1" s="9"/>
      <c r="CC1" s="23" t="s">
        <v>17</v>
      </c>
      <c r="CD1" s="24"/>
      <c r="CE1" s="24"/>
      <c r="CF1" s="24"/>
      <c r="CG1" s="24"/>
      <c r="CH1" s="24"/>
      <c r="CI1" s="24"/>
      <c r="CJ1" s="24"/>
      <c r="CK1" s="25"/>
      <c r="CL1" s="9"/>
      <c r="CM1" s="23" t="s">
        <v>17</v>
      </c>
      <c r="CN1" s="24"/>
      <c r="CO1" s="24"/>
      <c r="CP1" s="24"/>
      <c r="CQ1" s="24"/>
      <c r="CR1" s="24"/>
      <c r="CS1" s="24"/>
      <c r="CT1" s="24"/>
      <c r="CU1" s="25"/>
      <c r="CV1" s="9"/>
      <c r="CW1" s="23" t="s">
        <v>17</v>
      </c>
      <c r="CX1" s="24"/>
      <c r="CY1" s="24"/>
      <c r="CZ1" s="24"/>
      <c r="DA1" s="24"/>
      <c r="DB1" s="24"/>
      <c r="DC1" s="24"/>
      <c r="DD1" s="24"/>
      <c r="DE1" s="25"/>
      <c r="DF1" s="9"/>
      <c r="DG1" s="23" t="s">
        <v>17</v>
      </c>
      <c r="DH1" s="24"/>
      <c r="DI1" s="24"/>
      <c r="DJ1" s="24"/>
      <c r="DK1" s="24"/>
      <c r="DL1" s="24"/>
      <c r="DM1" s="24"/>
      <c r="DN1" s="24"/>
      <c r="DO1" s="25"/>
      <c r="DP1" s="9"/>
      <c r="DQ1" s="23" t="s">
        <v>17</v>
      </c>
      <c r="DR1" s="24"/>
      <c r="DS1" s="24"/>
      <c r="DT1" s="24"/>
      <c r="DU1" s="24"/>
      <c r="DV1" s="24"/>
      <c r="DW1" s="24"/>
      <c r="DX1" s="24"/>
      <c r="DY1" s="25"/>
      <c r="DZ1" s="9"/>
    </row>
    <row r="2" spans="1:130" ht="39.75" customHeight="1" thickBot="1" x14ac:dyDescent="0.25">
      <c r="A2" s="26" t="s">
        <v>30</v>
      </c>
      <c r="C2" s="12">
        <f>SUM('رعاية أمومة'!E53)</f>
        <v>1</v>
      </c>
      <c r="D2" s="13">
        <f>SUM('رعاية أمومة'!I1)</f>
        <v>1447</v>
      </c>
      <c r="E2" s="14" t="s">
        <v>12</v>
      </c>
      <c r="F2" s="14"/>
      <c r="G2" s="29">
        <f>'رعاية أمومة'!H56</f>
        <v>71803</v>
      </c>
      <c r="H2" s="14" t="s">
        <v>13</v>
      </c>
      <c r="I2" s="50">
        <f>G2*38/100</f>
        <v>27285.14</v>
      </c>
      <c r="J2" s="9"/>
      <c r="K2" s="26" t="s">
        <v>30</v>
      </c>
      <c r="M2" s="12">
        <f>SUM('رعاية أمومة'!O53)</f>
        <v>2</v>
      </c>
      <c r="N2" s="13">
        <f>SUM('رعاية أمومة'!S1)</f>
        <v>1447</v>
      </c>
      <c r="O2" s="14" t="s">
        <v>12</v>
      </c>
      <c r="P2" s="14"/>
      <c r="Q2" s="29">
        <f>'رعاية أمومة'!R56</f>
        <v>69504</v>
      </c>
      <c r="R2" s="14" t="s">
        <v>13</v>
      </c>
      <c r="S2" s="50">
        <f>Q2*38/100</f>
        <v>26411.52</v>
      </c>
      <c r="T2" s="9"/>
      <c r="U2" s="26" t="s">
        <v>30</v>
      </c>
      <c r="W2" s="12">
        <f>SUM('رعاية أمومة'!Y53)</f>
        <v>3</v>
      </c>
      <c r="X2" s="13">
        <f>SUM('رعاية أمومة'!AC1)</f>
        <v>1447</v>
      </c>
      <c r="Y2" s="14" t="s">
        <v>12</v>
      </c>
      <c r="Z2" s="14"/>
      <c r="AA2" s="29">
        <f>'رعاية أمومة'!AB56</f>
        <v>62037</v>
      </c>
      <c r="AB2" s="14" t="s">
        <v>13</v>
      </c>
      <c r="AC2" s="50">
        <f>AA2*38/100</f>
        <v>23574.06</v>
      </c>
      <c r="AD2" s="9"/>
      <c r="AE2" s="26" t="s">
        <v>30</v>
      </c>
      <c r="AG2" s="12">
        <f>SUM('رعاية أمومة'!AI53)</f>
        <v>4</v>
      </c>
      <c r="AH2" s="13">
        <f>SUM('رعاية أمومة'!AM1)</f>
        <v>1447</v>
      </c>
      <c r="AI2" s="14" t="s">
        <v>12</v>
      </c>
      <c r="AJ2" s="14"/>
      <c r="AK2" s="29">
        <f>'رعاية أمومة'!AL56</f>
        <v>70581</v>
      </c>
      <c r="AL2" s="14" t="s">
        <v>13</v>
      </c>
      <c r="AM2" s="50">
        <f>AK2*38/100</f>
        <v>26820.78</v>
      </c>
      <c r="AN2" s="9"/>
      <c r="AO2" s="26" t="s">
        <v>30</v>
      </c>
      <c r="AQ2" s="12">
        <f>SUM('رعاية أمومة'!AS53)</f>
        <v>5</v>
      </c>
      <c r="AR2" s="13">
        <f>SUM('رعاية أمومة'!AW1)</f>
        <v>1447</v>
      </c>
      <c r="AS2" s="14" t="s">
        <v>12</v>
      </c>
      <c r="AT2" s="14"/>
      <c r="AU2" s="29">
        <f>'رعاية أمومة'!AV56</f>
        <v>70581</v>
      </c>
      <c r="AV2" s="14" t="s">
        <v>13</v>
      </c>
      <c r="AW2" s="50">
        <f>AU2*38/100</f>
        <v>26820.78</v>
      </c>
      <c r="AX2" s="9"/>
      <c r="AY2" s="26" t="s">
        <v>30</v>
      </c>
      <c r="BA2" s="12">
        <f>SUM('رعاية أمومة'!BC53)</f>
        <v>6</v>
      </c>
      <c r="BB2" s="13">
        <f>SUM('رعاية أمومة'!BG1)</f>
        <v>1447</v>
      </c>
      <c r="BC2" s="14" t="s">
        <v>12</v>
      </c>
      <c r="BD2" s="14"/>
      <c r="BE2" s="29">
        <f>'رعاية أمومة'!BF56</f>
        <v>70581</v>
      </c>
      <c r="BF2" s="14" t="s">
        <v>13</v>
      </c>
      <c r="BG2" s="50">
        <f>BE2*38/100</f>
        <v>26820.78</v>
      </c>
      <c r="BH2" s="9"/>
      <c r="BI2" s="26" t="s">
        <v>30</v>
      </c>
      <c r="BK2" s="12">
        <f>SUM('رعاية أمومة'!BM53)</f>
        <v>7</v>
      </c>
      <c r="BL2" s="13">
        <f>SUM('رعاية أمومة'!BQ1)</f>
        <v>1447</v>
      </c>
      <c r="BM2" s="14" t="s">
        <v>12</v>
      </c>
      <c r="BN2" s="14"/>
      <c r="BO2" s="29">
        <f>'رعاية أمومة'!BP56</f>
        <v>70581</v>
      </c>
      <c r="BP2" s="14" t="s">
        <v>13</v>
      </c>
      <c r="BQ2" s="50">
        <f>BO2*38/100</f>
        <v>26820.78</v>
      </c>
      <c r="BR2" s="9"/>
      <c r="BS2" s="26" t="s">
        <v>30</v>
      </c>
      <c r="BU2" s="12">
        <f>SUM('رعاية أمومة'!BW53)</f>
        <v>8</v>
      </c>
      <c r="BV2" s="13">
        <f>SUM('رعاية أمومة'!CA1)</f>
        <v>1447</v>
      </c>
      <c r="BW2" s="14" t="s">
        <v>12</v>
      </c>
      <c r="BX2" s="14"/>
      <c r="BY2" s="29">
        <f>'رعاية أمومة'!BZ56</f>
        <v>70581</v>
      </c>
      <c r="BZ2" s="14" t="s">
        <v>13</v>
      </c>
      <c r="CA2" s="50">
        <f>BY2*38/100</f>
        <v>26820.78</v>
      </c>
      <c r="CB2" s="9"/>
      <c r="CC2" s="26" t="s">
        <v>30</v>
      </c>
      <c r="CE2" s="12">
        <f>SUM('رعاية أمومة'!CG53)</f>
        <v>9</v>
      </c>
      <c r="CF2" s="13">
        <f>SUM('رعاية أمومة'!CK1)</f>
        <v>1447</v>
      </c>
      <c r="CG2" s="14" t="s">
        <v>12</v>
      </c>
      <c r="CH2" s="14"/>
      <c r="CI2" s="29">
        <f>'رعاية أمومة'!CJ56</f>
        <v>70581</v>
      </c>
      <c r="CJ2" s="14" t="s">
        <v>13</v>
      </c>
      <c r="CK2" s="50">
        <f>CI2*38/100</f>
        <v>26820.78</v>
      </c>
      <c r="CL2" s="9"/>
      <c r="CM2" s="26" t="s">
        <v>30</v>
      </c>
      <c r="CO2" s="12">
        <f>SUM('رعاية أمومة'!CQ53)</f>
        <v>10</v>
      </c>
      <c r="CP2" s="13">
        <f>SUM('رعاية أمومة'!CU1)</f>
        <v>1447</v>
      </c>
      <c r="CQ2" s="14" t="s">
        <v>12</v>
      </c>
      <c r="CR2" s="14"/>
      <c r="CS2" s="29">
        <f>'رعاية أمومة'!CT56</f>
        <v>57781</v>
      </c>
      <c r="CT2" s="14" t="s">
        <v>13</v>
      </c>
      <c r="CU2" s="50">
        <f>CS2*38/100</f>
        <v>21956.78</v>
      </c>
      <c r="CV2" s="9"/>
      <c r="CW2" s="26" t="s">
        <v>30</v>
      </c>
      <c r="CY2" s="12">
        <f>SUM('رعاية أمومة'!DA53)</f>
        <v>11</v>
      </c>
      <c r="CZ2" s="13">
        <f>SUM('رعاية أمومة'!DE1)</f>
        <v>1447</v>
      </c>
      <c r="DA2" s="14" t="s">
        <v>12</v>
      </c>
      <c r="DB2" s="14"/>
      <c r="DC2" s="29">
        <f>'رعاية أمومة'!DD56</f>
        <v>0</v>
      </c>
      <c r="DD2" s="14" t="s">
        <v>13</v>
      </c>
      <c r="DE2" s="50">
        <f>DC2*38/100</f>
        <v>0</v>
      </c>
      <c r="DF2" s="9"/>
      <c r="DG2" s="26" t="s">
        <v>30</v>
      </c>
      <c r="DI2" s="12">
        <f>SUM('رعاية أمومة'!DK53)</f>
        <v>12</v>
      </c>
      <c r="DJ2" s="13">
        <f>SUM('رعاية أمومة'!DO1)</f>
        <v>1447</v>
      </c>
      <c r="DK2" s="14" t="s">
        <v>12</v>
      </c>
      <c r="DL2" s="14"/>
      <c r="DM2" s="29">
        <f>'رعاية أمومة'!DN56</f>
        <v>0</v>
      </c>
      <c r="DN2" s="14" t="s">
        <v>13</v>
      </c>
      <c r="DO2" s="50">
        <f>DM2*38/100</f>
        <v>0</v>
      </c>
      <c r="DP2" s="9"/>
      <c r="DQ2" s="26" t="s">
        <v>29</v>
      </c>
      <c r="DS2" s="12" t="s">
        <v>18</v>
      </c>
      <c r="DT2" s="13">
        <f>SUM('رعاية أمومة'!DY1)</f>
        <v>1447</v>
      </c>
      <c r="DU2" s="14" t="s">
        <v>12</v>
      </c>
      <c r="DV2" s="14"/>
      <c r="DW2" s="29">
        <f>'رعاية أمومة'!DX56</f>
        <v>0</v>
      </c>
      <c r="DX2" s="14" t="s">
        <v>13</v>
      </c>
      <c r="DY2" s="50">
        <f>DW2*38/100</f>
        <v>0</v>
      </c>
      <c r="DZ2" s="9"/>
    </row>
    <row r="3" spans="1:130" ht="21.95" customHeight="1" thickBot="1" x14ac:dyDescent="0.25">
      <c r="A3" s="1" t="s">
        <v>2</v>
      </c>
      <c r="B3" s="139" t="s">
        <v>3</v>
      </c>
      <c r="C3" s="141" t="s">
        <v>4</v>
      </c>
      <c r="D3" s="141" t="s">
        <v>5</v>
      </c>
      <c r="E3" s="141" t="s">
        <v>6</v>
      </c>
      <c r="F3" s="136" t="s">
        <v>7</v>
      </c>
      <c r="G3" s="137"/>
      <c r="H3" s="137"/>
      <c r="I3" s="138"/>
      <c r="J3" s="9"/>
      <c r="K3" s="1" t="s">
        <v>2</v>
      </c>
      <c r="L3" s="139" t="s">
        <v>3</v>
      </c>
      <c r="M3" s="141" t="s">
        <v>4</v>
      </c>
      <c r="N3" s="141" t="s">
        <v>5</v>
      </c>
      <c r="O3" s="141" t="s">
        <v>6</v>
      </c>
      <c r="P3" s="136" t="s">
        <v>7</v>
      </c>
      <c r="Q3" s="137"/>
      <c r="R3" s="137"/>
      <c r="S3" s="138"/>
      <c r="T3" s="9"/>
      <c r="U3" s="1" t="s">
        <v>2</v>
      </c>
      <c r="V3" s="139" t="s">
        <v>3</v>
      </c>
      <c r="W3" s="141" t="s">
        <v>4</v>
      </c>
      <c r="X3" s="141" t="s">
        <v>5</v>
      </c>
      <c r="Y3" s="141" t="s">
        <v>6</v>
      </c>
      <c r="Z3" s="136" t="s">
        <v>7</v>
      </c>
      <c r="AA3" s="137"/>
      <c r="AB3" s="137"/>
      <c r="AC3" s="138"/>
      <c r="AD3" s="9"/>
      <c r="AE3" s="1" t="s">
        <v>2</v>
      </c>
      <c r="AF3" s="139" t="s">
        <v>3</v>
      </c>
      <c r="AG3" s="141" t="s">
        <v>4</v>
      </c>
      <c r="AH3" s="141" t="s">
        <v>5</v>
      </c>
      <c r="AI3" s="141" t="s">
        <v>6</v>
      </c>
      <c r="AJ3" s="136" t="s">
        <v>7</v>
      </c>
      <c r="AK3" s="137"/>
      <c r="AL3" s="137"/>
      <c r="AM3" s="138"/>
      <c r="AN3" s="9"/>
      <c r="AO3" s="1" t="s">
        <v>2</v>
      </c>
      <c r="AP3" s="139" t="s">
        <v>3</v>
      </c>
      <c r="AQ3" s="141" t="s">
        <v>4</v>
      </c>
      <c r="AR3" s="141" t="s">
        <v>5</v>
      </c>
      <c r="AS3" s="141" t="s">
        <v>6</v>
      </c>
      <c r="AT3" s="136" t="s">
        <v>7</v>
      </c>
      <c r="AU3" s="137"/>
      <c r="AV3" s="137"/>
      <c r="AW3" s="138"/>
      <c r="AX3" s="9"/>
      <c r="AY3" s="1" t="s">
        <v>2</v>
      </c>
      <c r="AZ3" s="139" t="s">
        <v>3</v>
      </c>
      <c r="BA3" s="141" t="s">
        <v>4</v>
      </c>
      <c r="BB3" s="141" t="s">
        <v>5</v>
      </c>
      <c r="BC3" s="141" t="s">
        <v>6</v>
      </c>
      <c r="BD3" s="136" t="s">
        <v>7</v>
      </c>
      <c r="BE3" s="137"/>
      <c r="BF3" s="137"/>
      <c r="BG3" s="138"/>
      <c r="BH3" s="9"/>
      <c r="BI3" s="1" t="s">
        <v>2</v>
      </c>
      <c r="BJ3" s="139" t="s">
        <v>3</v>
      </c>
      <c r="BK3" s="141" t="s">
        <v>4</v>
      </c>
      <c r="BL3" s="141" t="s">
        <v>5</v>
      </c>
      <c r="BM3" s="141" t="s">
        <v>6</v>
      </c>
      <c r="BN3" s="136" t="s">
        <v>7</v>
      </c>
      <c r="BO3" s="137"/>
      <c r="BP3" s="137"/>
      <c r="BQ3" s="138"/>
      <c r="BR3" s="9"/>
      <c r="BS3" s="1" t="s">
        <v>2</v>
      </c>
      <c r="BT3" s="139" t="s">
        <v>3</v>
      </c>
      <c r="BU3" s="141" t="s">
        <v>4</v>
      </c>
      <c r="BV3" s="141" t="s">
        <v>5</v>
      </c>
      <c r="BW3" s="141" t="s">
        <v>6</v>
      </c>
      <c r="BX3" s="136" t="s">
        <v>7</v>
      </c>
      <c r="BY3" s="137"/>
      <c r="BZ3" s="137"/>
      <c r="CA3" s="138"/>
      <c r="CB3" s="9"/>
      <c r="CC3" s="1" t="s">
        <v>2</v>
      </c>
      <c r="CD3" s="139" t="s">
        <v>3</v>
      </c>
      <c r="CE3" s="141" t="s">
        <v>4</v>
      </c>
      <c r="CF3" s="141" t="s">
        <v>5</v>
      </c>
      <c r="CG3" s="141" t="s">
        <v>6</v>
      </c>
      <c r="CH3" s="136" t="s">
        <v>7</v>
      </c>
      <c r="CI3" s="137"/>
      <c r="CJ3" s="137"/>
      <c r="CK3" s="138"/>
      <c r="CL3" s="9"/>
      <c r="CM3" s="1" t="s">
        <v>2</v>
      </c>
      <c r="CN3" s="139" t="s">
        <v>3</v>
      </c>
      <c r="CO3" s="141" t="s">
        <v>4</v>
      </c>
      <c r="CP3" s="141" t="s">
        <v>5</v>
      </c>
      <c r="CQ3" s="141" t="s">
        <v>6</v>
      </c>
      <c r="CR3" s="136" t="s">
        <v>7</v>
      </c>
      <c r="CS3" s="137"/>
      <c r="CT3" s="137"/>
      <c r="CU3" s="138"/>
      <c r="CV3" s="9"/>
      <c r="CW3" s="1" t="s">
        <v>2</v>
      </c>
      <c r="CX3" s="139" t="s">
        <v>3</v>
      </c>
      <c r="CY3" s="141" t="s">
        <v>4</v>
      </c>
      <c r="CZ3" s="141" t="s">
        <v>5</v>
      </c>
      <c r="DA3" s="141" t="s">
        <v>6</v>
      </c>
      <c r="DB3" s="136" t="s">
        <v>7</v>
      </c>
      <c r="DC3" s="137"/>
      <c r="DD3" s="137"/>
      <c r="DE3" s="138"/>
      <c r="DF3" s="9"/>
      <c r="DG3" s="1" t="s">
        <v>2</v>
      </c>
      <c r="DH3" s="139" t="s">
        <v>3</v>
      </c>
      <c r="DI3" s="141" t="s">
        <v>4</v>
      </c>
      <c r="DJ3" s="141" t="s">
        <v>5</v>
      </c>
      <c r="DK3" s="141" t="s">
        <v>6</v>
      </c>
      <c r="DL3" s="136" t="s">
        <v>7</v>
      </c>
      <c r="DM3" s="137"/>
      <c r="DN3" s="137"/>
      <c r="DO3" s="138"/>
      <c r="DP3" s="9"/>
      <c r="DQ3" s="1" t="s">
        <v>2</v>
      </c>
      <c r="DR3" s="139" t="s">
        <v>3</v>
      </c>
      <c r="DS3" s="141" t="s">
        <v>4</v>
      </c>
      <c r="DT3" s="141" t="s">
        <v>5</v>
      </c>
      <c r="DU3" s="141" t="s">
        <v>6</v>
      </c>
      <c r="DV3" s="136" t="s">
        <v>7</v>
      </c>
      <c r="DW3" s="137"/>
      <c r="DX3" s="137"/>
      <c r="DY3" s="138"/>
      <c r="DZ3" s="9"/>
    </row>
    <row r="4" spans="1:130" ht="27" customHeight="1" thickBot="1" x14ac:dyDescent="0.25">
      <c r="A4" s="2" t="s">
        <v>8</v>
      </c>
      <c r="B4" s="140"/>
      <c r="C4" s="142"/>
      <c r="D4" s="142"/>
      <c r="E4" s="142"/>
      <c r="F4" s="3" t="s">
        <v>9</v>
      </c>
      <c r="G4" s="3" t="s">
        <v>8</v>
      </c>
      <c r="H4" s="3" t="s">
        <v>10</v>
      </c>
      <c r="I4" s="3" t="s">
        <v>11</v>
      </c>
      <c r="J4" s="9"/>
      <c r="K4" s="2" t="s">
        <v>8</v>
      </c>
      <c r="L4" s="140"/>
      <c r="M4" s="142"/>
      <c r="N4" s="142"/>
      <c r="O4" s="142"/>
      <c r="P4" s="3" t="s">
        <v>9</v>
      </c>
      <c r="Q4" s="3" t="s">
        <v>8</v>
      </c>
      <c r="R4" s="3" t="s">
        <v>10</v>
      </c>
      <c r="S4" s="3" t="s">
        <v>11</v>
      </c>
      <c r="T4" s="9"/>
      <c r="U4" s="2" t="s">
        <v>8</v>
      </c>
      <c r="V4" s="140"/>
      <c r="W4" s="142"/>
      <c r="X4" s="142"/>
      <c r="Y4" s="142"/>
      <c r="Z4" s="3" t="s">
        <v>9</v>
      </c>
      <c r="AA4" s="3" t="s">
        <v>8</v>
      </c>
      <c r="AB4" s="3" t="s">
        <v>10</v>
      </c>
      <c r="AC4" s="3" t="s">
        <v>11</v>
      </c>
      <c r="AD4" s="9"/>
      <c r="AE4" s="2" t="s">
        <v>8</v>
      </c>
      <c r="AF4" s="140"/>
      <c r="AG4" s="142"/>
      <c r="AH4" s="142"/>
      <c r="AI4" s="142"/>
      <c r="AJ4" s="3" t="s">
        <v>9</v>
      </c>
      <c r="AK4" s="3" t="s">
        <v>8</v>
      </c>
      <c r="AL4" s="3" t="s">
        <v>10</v>
      </c>
      <c r="AM4" s="3" t="s">
        <v>11</v>
      </c>
      <c r="AN4" s="9"/>
      <c r="AO4" s="2" t="s">
        <v>8</v>
      </c>
      <c r="AP4" s="140"/>
      <c r="AQ4" s="142"/>
      <c r="AR4" s="142"/>
      <c r="AS4" s="142"/>
      <c r="AT4" s="3" t="s">
        <v>9</v>
      </c>
      <c r="AU4" s="3" t="s">
        <v>8</v>
      </c>
      <c r="AV4" s="3" t="s">
        <v>10</v>
      </c>
      <c r="AW4" s="3" t="s">
        <v>11</v>
      </c>
      <c r="AX4" s="9"/>
      <c r="AY4" s="2" t="s">
        <v>8</v>
      </c>
      <c r="AZ4" s="140"/>
      <c r="BA4" s="142"/>
      <c r="BB4" s="142"/>
      <c r="BC4" s="142"/>
      <c r="BD4" s="3" t="s">
        <v>9</v>
      </c>
      <c r="BE4" s="3" t="s">
        <v>8</v>
      </c>
      <c r="BF4" s="3" t="s">
        <v>10</v>
      </c>
      <c r="BG4" s="3" t="s">
        <v>11</v>
      </c>
      <c r="BH4" s="9"/>
      <c r="BI4" s="2" t="s">
        <v>8</v>
      </c>
      <c r="BJ4" s="140"/>
      <c r="BK4" s="142"/>
      <c r="BL4" s="142"/>
      <c r="BM4" s="142"/>
      <c r="BN4" s="3" t="s">
        <v>9</v>
      </c>
      <c r="BO4" s="3" t="s">
        <v>8</v>
      </c>
      <c r="BP4" s="3" t="s">
        <v>10</v>
      </c>
      <c r="BQ4" s="3" t="s">
        <v>11</v>
      </c>
      <c r="BR4" s="9"/>
      <c r="BS4" s="2" t="s">
        <v>8</v>
      </c>
      <c r="BT4" s="140"/>
      <c r="BU4" s="142"/>
      <c r="BV4" s="142"/>
      <c r="BW4" s="142"/>
      <c r="BX4" s="3" t="s">
        <v>9</v>
      </c>
      <c r="BY4" s="3" t="s">
        <v>8</v>
      </c>
      <c r="BZ4" s="3" t="s">
        <v>10</v>
      </c>
      <c r="CA4" s="3" t="s">
        <v>11</v>
      </c>
      <c r="CB4" s="9"/>
      <c r="CC4" s="2" t="s">
        <v>8</v>
      </c>
      <c r="CD4" s="140"/>
      <c r="CE4" s="142"/>
      <c r="CF4" s="142"/>
      <c r="CG4" s="142"/>
      <c r="CH4" s="3" t="s">
        <v>9</v>
      </c>
      <c r="CI4" s="3" t="s">
        <v>8</v>
      </c>
      <c r="CJ4" s="3" t="s">
        <v>10</v>
      </c>
      <c r="CK4" s="3" t="s">
        <v>11</v>
      </c>
      <c r="CL4" s="9"/>
      <c r="CM4" s="2" t="s">
        <v>8</v>
      </c>
      <c r="CN4" s="140"/>
      <c r="CO4" s="142"/>
      <c r="CP4" s="142"/>
      <c r="CQ4" s="142"/>
      <c r="CR4" s="3" t="s">
        <v>9</v>
      </c>
      <c r="CS4" s="3" t="s">
        <v>8</v>
      </c>
      <c r="CT4" s="3" t="s">
        <v>10</v>
      </c>
      <c r="CU4" s="3" t="s">
        <v>11</v>
      </c>
      <c r="CV4" s="9"/>
      <c r="CW4" s="2" t="s">
        <v>8</v>
      </c>
      <c r="CX4" s="140"/>
      <c r="CY4" s="142"/>
      <c r="CZ4" s="142"/>
      <c r="DA4" s="142"/>
      <c r="DB4" s="3" t="s">
        <v>9</v>
      </c>
      <c r="DC4" s="3" t="s">
        <v>8</v>
      </c>
      <c r="DD4" s="3" t="s">
        <v>10</v>
      </c>
      <c r="DE4" s="3" t="s">
        <v>11</v>
      </c>
      <c r="DF4" s="9"/>
      <c r="DG4" s="2" t="s">
        <v>8</v>
      </c>
      <c r="DH4" s="140"/>
      <c r="DI4" s="142"/>
      <c r="DJ4" s="142"/>
      <c r="DK4" s="142"/>
      <c r="DL4" s="3" t="s">
        <v>9</v>
      </c>
      <c r="DM4" s="3" t="s">
        <v>8</v>
      </c>
      <c r="DN4" s="3" t="s">
        <v>10</v>
      </c>
      <c r="DO4" s="3" t="s">
        <v>11</v>
      </c>
      <c r="DP4" s="9"/>
      <c r="DQ4" s="2" t="s">
        <v>8</v>
      </c>
      <c r="DR4" s="140"/>
      <c r="DS4" s="142"/>
      <c r="DT4" s="142"/>
      <c r="DU4" s="142"/>
      <c r="DV4" s="3" t="s">
        <v>9</v>
      </c>
      <c r="DW4" s="3" t="s">
        <v>8</v>
      </c>
      <c r="DX4" s="3" t="s">
        <v>10</v>
      </c>
      <c r="DY4" s="3" t="s">
        <v>11</v>
      </c>
      <c r="DZ4" s="9"/>
    </row>
    <row r="5" spans="1:130" ht="21.95" customHeight="1" x14ac:dyDescent="0.2">
      <c r="A5" s="7" t="s">
        <v>14</v>
      </c>
      <c r="B5" s="51">
        <f>SUM('رعاية أمومة'!C56)</f>
        <v>149</v>
      </c>
      <c r="C5" s="52">
        <f>SUM('رعاية أمومة'!D56)</f>
        <v>32</v>
      </c>
      <c r="D5" s="52">
        <f>SUM('رعاية أمومة'!E56)</f>
        <v>5</v>
      </c>
      <c r="E5" s="53">
        <f>SUM('رعاية أمومة'!F56)</f>
        <v>108</v>
      </c>
      <c r="F5" s="16"/>
      <c r="G5" s="17"/>
      <c r="H5" s="17"/>
      <c r="I5" s="17"/>
      <c r="J5" s="9"/>
      <c r="K5" s="7" t="s">
        <v>14</v>
      </c>
      <c r="L5" s="51">
        <f>SUM('رعاية أمومة'!M56)</f>
        <v>227</v>
      </c>
      <c r="M5" s="52">
        <f>SUM('رعاية أمومة'!N56)</f>
        <v>65</v>
      </c>
      <c r="N5" s="52">
        <f>SUM('رعاية أمومة'!O56)</f>
        <v>20</v>
      </c>
      <c r="O5" s="53">
        <f>SUM('رعاية أمومة'!P56)</f>
        <v>135</v>
      </c>
      <c r="P5" s="16"/>
      <c r="Q5" s="17"/>
      <c r="R5" s="17"/>
      <c r="S5" s="17"/>
      <c r="T5" s="9"/>
      <c r="U5" s="7" t="s">
        <v>14</v>
      </c>
      <c r="V5" s="51">
        <f>SUM('رعاية أمومة'!W56)</f>
        <v>209</v>
      </c>
      <c r="W5" s="52">
        <f>SUM('رعاية أمومة'!X56)</f>
        <v>39</v>
      </c>
      <c r="X5" s="52">
        <f>SUM('رعاية أمومة'!Y56)</f>
        <v>30</v>
      </c>
      <c r="Y5" s="53">
        <f>SUM('رعاية أمومة'!Z56)</f>
        <v>119</v>
      </c>
      <c r="Z5" s="16"/>
      <c r="AA5" s="17"/>
      <c r="AB5" s="17"/>
      <c r="AC5" s="17"/>
      <c r="AD5" s="9"/>
      <c r="AE5" s="7" t="s">
        <v>14</v>
      </c>
      <c r="AF5" s="51">
        <f>SUM('رعاية أمومة'!AG56)</f>
        <v>218</v>
      </c>
      <c r="AG5" s="52">
        <f>SUM('رعاية أمومة'!AH56)</f>
        <v>22</v>
      </c>
      <c r="AH5" s="52">
        <f>SUM('رعاية أمومة'!AI56)</f>
        <v>30</v>
      </c>
      <c r="AI5" s="53">
        <f>SUM('رعاية أمومة'!AJ56)</f>
        <v>141</v>
      </c>
      <c r="AJ5" s="16"/>
      <c r="AK5" s="17"/>
      <c r="AL5" s="17"/>
      <c r="AM5" s="17"/>
      <c r="AN5" s="9"/>
      <c r="AO5" s="7" t="s">
        <v>14</v>
      </c>
      <c r="AP5" s="51">
        <f>SUM('رعاية أمومة'!AQ56)</f>
        <v>220</v>
      </c>
      <c r="AQ5" s="52">
        <f>SUM('رعاية أمومة'!AR56)</f>
        <v>5</v>
      </c>
      <c r="AR5" s="52">
        <f>SUM('رعاية أمومة'!AS56)</f>
        <v>21</v>
      </c>
      <c r="AS5" s="53">
        <f>SUM('رعاية أمومة'!AT56)</f>
        <v>145</v>
      </c>
      <c r="AT5" s="16"/>
      <c r="AU5" s="17"/>
      <c r="AV5" s="17"/>
      <c r="AW5" s="17"/>
      <c r="AX5" s="9"/>
      <c r="AY5" s="7" t="s">
        <v>14</v>
      </c>
      <c r="AZ5" s="51">
        <f>SUM('رعاية أمومة'!BA56)</f>
        <v>275</v>
      </c>
      <c r="BA5" s="52">
        <f>SUM('رعاية أمومة'!BB56)</f>
        <v>5</v>
      </c>
      <c r="BB5" s="52">
        <f>SUM('رعاية أمومة'!BC56)</f>
        <v>27</v>
      </c>
      <c r="BC5" s="53">
        <f>SUM('رعاية أمومة'!BD56)</f>
        <v>96</v>
      </c>
      <c r="BD5" s="16"/>
      <c r="BE5" s="17"/>
      <c r="BF5" s="17"/>
      <c r="BG5" s="17"/>
      <c r="BH5" s="9"/>
      <c r="BI5" s="7" t="s">
        <v>14</v>
      </c>
      <c r="BJ5" s="51">
        <f>SUM('رعاية أمومة'!BK56)</f>
        <v>277</v>
      </c>
      <c r="BK5" s="52">
        <f>SUM('رعاية أمومة'!BL56)</f>
        <v>0</v>
      </c>
      <c r="BL5" s="52">
        <f>SUM('رعاية أمومة'!BM56)</f>
        <v>2</v>
      </c>
      <c r="BM5" s="53">
        <f>SUM('رعاية أمومة'!BN56)</f>
        <v>110</v>
      </c>
      <c r="BN5" s="16"/>
      <c r="BO5" s="17"/>
      <c r="BP5" s="17"/>
      <c r="BQ5" s="17"/>
      <c r="BR5" s="9"/>
      <c r="BS5" s="7" t="s">
        <v>14</v>
      </c>
      <c r="BT5" s="51">
        <f>SUM('رعاية أمومة'!BU56)</f>
        <v>277</v>
      </c>
      <c r="BU5" s="52">
        <f>SUM('رعاية أمومة'!BV56)</f>
        <v>0</v>
      </c>
      <c r="BV5" s="52">
        <f>SUM('رعاية أمومة'!BW56)</f>
        <v>0</v>
      </c>
      <c r="BW5" s="53">
        <f>SUM('رعاية أمومة'!BX56)</f>
        <v>96</v>
      </c>
      <c r="BX5" s="16"/>
      <c r="BY5" s="17"/>
      <c r="BZ5" s="17"/>
      <c r="CA5" s="17"/>
      <c r="CB5" s="9"/>
      <c r="CC5" s="7" t="s">
        <v>14</v>
      </c>
      <c r="CD5" s="51">
        <f>SUM('رعاية أمومة'!CE56)</f>
        <v>271</v>
      </c>
      <c r="CE5" s="52">
        <f>SUM('رعاية أمومة'!CF56)</f>
        <v>0</v>
      </c>
      <c r="CF5" s="52">
        <f>SUM('رعاية أمومة'!CG56)</f>
        <v>0</v>
      </c>
      <c r="CG5" s="53">
        <f>SUM('رعاية أمومة'!CH56)</f>
        <v>115</v>
      </c>
      <c r="CH5" s="16"/>
      <c r="CI5" s="17"/>
      <c r="CJ5" s="17"/>
      <c r="CK5" s="17"/>
      <c r="CL5" s="9"/>
      <c r="CM5" s="7" t="s">
        <v>14</v>
      </c>
      <c r="CN5" s="51">
        <f>SUM('رعاية أمومة'!CO56)</f>
        <v>174</v>
      </c>
      <c r="CO5" s="52">
        <f>SUM('رعاية أمومة'!CP56)</f>
        <v>0</v>
      </c>
      <c r="CP5" s="52">
        <f>SUM('رعاية أمومة'!CQ56)</f>
        <v>0</v>
      </c>
      <c r="CQ5" s="53">
        <f>SUM('رعاية أمومة'!CR56)</f>
        <v>70</v>
      </c>
      <c r="CR5" s="16"/>
      <c r="CS5" s="17"/>
      <c r="CT5" s="17"/>
      <c r="CU5" s="17"/>
      <c r="CV5" s="9"/>
      <c r="CW5" s="7" t="s">
        <v>14</v>
      </c>
      <c r="CX5" s="51">
        <f>SUM('رعاية أمومة'!CY56)</f>
        <v>0</v>
      </c>
      <c r="CY5" s="52">
        <f>SUM('رعاية أمومة'!CZ56)</f>
        <v>0</v>
      </c>
      <c r="CZ5" s="52">
        <f>SUM('رعاية أمومة'!DA56)</f>
        <v>0</v>
      </c>
      <c r="DA5" s="53">
        <f>SUM('رعاية أمومة'!DB56)</f>
        <v>0</v>
      </c>
      <c r="DB5" s="16"/>
      <c r="DC5" s="17"/>
      <c r="DD5" s="17"/>
      <c r="DE5" s="17"/>
      <c r="DF5" s="9"/>
      <c r="DG5" s="7" t="s">
        <v>14</v>
      </c>
      <c r="DH5" s="51">
        <f>SUM('رعاية أمومة'!DI56)</f>
        <v>0</v>
      </c>
      <c r="DI5" s="52">
        <f>SUM('رعاية أمومة'!DJ56)</f>
        <v>0</v>
      </c>
      <c r="DJ5" s="52">
        <f>SUM('رعاية أمومة'!DK56)</f>
        <v>0</v>
      </c>
      <c r="DK5" s="53">
        <f>SUM('رعاية أمومة'!DL56)</f>
        <v>0</v>
      </c>
      <c r="DL5" s="16"/>
      <c r="DM5" s="17"/>
      <c r="DN5" s="17"/>
      <c r="DO5" s="17"/>
      <c r="DP5" s="9"/>
      <c r="DQ5" s="4" t="s">
        <v>14</v>
      </c>
      <c r="DR5" s="15">
        <f>SUM('رعاية أمومة'!DS56)</f>
        <v>285</v>
      </c>
      <c r="DS5" s="15">
        <f>SUM('رعاية أمومة'!DT56)</f>
        <v>168</v>
      </c>
      <c r="DT5" s="15">
        <f>SUM('رعاية أمومة'!DU56)</f>
        <v>11.25</v>
      </c>
      <c r="DU5" s="15">
        <f>SUM('رعاية أمومة'!DV56)</f>
        <v>1135</v>
      </c>
      <c r="DV5" s="16"/>
      <c r="DW5" s="17"/>
      <c r="DX5" s="17"/>
      <c r="DY5" s="17"/>
      <c r="DZ5" s="9"/>
    </row>
    <row r="6" spans="1:130" ht="21.95" customHeight="1" thickBot="1" x14ac:dyDescent="0.25">
      <c r="A6" s="8" t="s">
        <v>15</v>
      </c>
      <c r="B6" s="54">
        <f>SUM('رعاية أمومة'!C57)</f>
        <v>20</v>
      </c>
      <c r="C6" s="55">
        <f>SUM('رعاية أمومة'!D57)</f>
        <v>0</v>
      </c>
      <c r="D6" s="55">
        <f>SUM('رعاية أمومة'!E57)</f>
        <v>0</v>
      </c>
      <c r="E6" s="56">
        <f>SUM('رعاية أمومة'!F57)</f>
        <v>11</v>
      </c>
      <c r="F6" s="19"/>
      <c r="G6" s="20"/>
      <c r="H6" s="20"/>
      <c r="I6" s="20"/>
      <c r="J6" s="9"/>
      <c r="K6" s="8" t="s">
        <v>15</v>
      </c>
      <c r="L6" s="54">
        <f>SUM('رعاية أمومة'!M57)</f>
        <v>21</v>
      </c>
      <c r="M6" s="55">
        <f>SUM('رعاية أمومة'!N57)</f>
        <v>3</v>
      </c>
      <c r="N6" s="55">
        <f>SUM('رعاية أمومة'!O57)</f>
        <v>6</v>
      </c>
      <c r="O6" s="56">
        <f>SUM('رعاية أمومة'!P57)</f>
        <v>9</v>
      </c>
      <c r="P6" s="19"/>
      <c r="Q6" s="20"/>
      <c r="R6" s="20"/>
      <c r="S6" s="20"/>
      <c r="T6" s="9"/>
      <c r="U6" s="8" t="s">
        <v>15</v>
      </c>
      <c r="V6" s="54">
        <f>SUM('رعاية أمومة'!W57)</f>
        <v>21</v>
      </c>
      <c r="W6" s="55">
        <f>SUM('رعاية أمومة'!X57)</f>
        <v>0</v>
      </c>
      <c r="X6" s="55">
        <f>SUM('رعاية أمومة'!Y57)</f>
        <v>3</v>
      </c>
      <c r="Y6" s="56">
        <f>SUM('رعاية أمومة'!Z57)</f>
        <v>5</v>
      </c>
      <c r="Z6" s="19"/>
      <c r="AA6" s="20"/>
      <c r="AB6" s="20"/>
      <c r="AC6" s="20"/>
      <c r="AD6" s="9"/>
      <c r="AE6" s="8" t="s">
        <v>15</v>
      </c>
      <c r="AF6" s="54">
        <f>SUM('رعاية أمومة'!AG57)</f>
        <v>30</v>
      </c>
      <c r="AG6" s="55">
        <f>SUM('رعاية أمومة'!AH57)</f>
        <v>10</v>
      </c>
      <c r="AH6" s="55">
        <f>SUM('رعاية أمومة'!AI57)</f>
        <v>4</v>
      </c>
      <c r="AI6" s="56">
        <f>SUM('رعاية أمومة'!AJ57)</f>
        <v>26</v>
      </c>
      <c r="AJ6" s="19"/>
      <c r="AK6" s="20"/>
      <c r="AL6" s="20"/>
      <c r="AM6" s="20"/>
      <c r="AN6" s="9"/>
      <c r="AO6" s="8" t="s">
        <v>15</v>
      </c>
      <c r="AP6" s="54">
        <f>SUM('رعاية أمومة'!AQ57)</f>
        <v>30</v>
      </c>
      <c r="AQ6" s="55">
        <f>SUM('رعاية أمومة'!AR57)</f>
        <v>0</v>
      </c>
      <c r="AR6" s="55">
        <f>SUM('رعاية أمومة'!AS57)</f>
        <v>0</v>
      </c>
      <c r="AS6" s="56">
        <f>SUM('رعاية أمومة'!AT57)</f>
        <v>13</v>
      </c>
      <c r="AT6" s="19"/>
      <c r="AU6" s="20"/>
      <c r="AV6" s="20"/>
      <c r="AW6" s="20"/>
      <c r="AX6" s="9"/>
      <c r="AY6" s="8" t="s">
        <v>15</v>
      </c>
      <c r="AZ6" s="54">
        <f>SUM('رعاية أمومة'!BA57)</f>
        <v>43</v>
      </c>
      <c r="BA6" s="55">
        <f>SUM('رعاية أمومة'!BB57)</f>
        <v>1</v>
      </c>
      <c r="BB6" s="55">
        <f>SUM('رعاية أمومة'!BC57)</f>
        <v>7</v>
      </c>
      <c r="BC6" s="56">
        <f>SUM('رعاية أمومة'!BD57)</f>
        <v>15</v>
      </c>
      <c r="BD6" s="19"/>
      <c r="BE6" s="20"/>
      <c r="BF6" s="20"/>
      <c r="BG6" s="20"/>
      <c r="BH6" s="9"/>
      <c r="BI6" s="8" t="s">
        <v>15</v>
      </c>
      <c r="BJ6" s="54">
        <f>SUM('رعاية أمومة'!BK57)</f>
        <v>44</v>
      </c>
      <c r="BK6" s="55">
        <f>SUM('رعاية أمومة'!BL57)</f>
        <v>0</v>
      </c>
      <c r="BL6" s="55">
        <f>SUM('رعاية أمومة'!BM57)</f>
        <v>0</v>
      </c>
      <c r="BM6" s="56">
        <f>SUM('رعاية أمومة'!BN57)</f>
        <v>4</v>
      </c>
      <c r="BN6" s="19"/>
      <c r="BO6" s="20"/>
      <c r="BP6" s="20"/>
      <c r="BQ6" s="20"/>
      <c r="BR6" s="9"/>
      <c r="BS6" s="8" t="s">
        <v>15</v>
      </c>
      <c r="BT6" s="54">
        <f>SUM('رعاية أمومة'!BU57)</f>
        <v>44</v>
      </c>
      <c r="BU6" s="55">
        <f>SUM('رعاية أمومة'!BV57)</f>
        <v>0</v>
      </c>
      <c r="BV6" s="55">
        <f>SUM('رعاية أمومة'!BW57)</f>
        <v>0</v>
      </c>
      <c r="BW6" s="56">
        <f>SUM('رعاية أمومة'!BX57)</f>
        <v>15</v>
      </c>
      <c r="BX6" s="19"/>
      <c r="BY6" s="20"/>
      <c r="BZ6" s="20"/>
      <c r="CA6" s="20"/>
      <c r="CB6" s="9"/>
      <c r="CC6" s="8" t="s">
        <v>15</v>
      </c>
      <c r="CD6" s="54">
        <f>SUM('رعاية أمومة'!CE57)</f>
        <v>42</v>
      </c>
      <c r="CE6" s="55">
        <f>SUM('رعاية أمومة'!CF57)</f>
        <v>0</v>
      </c>
      <c r="CF6" s="55">
        <f>SUM('رعاية أمومة'!CG57)</f>
        <v>0</v>
      </c>
      <c r="CG6" s="56">
        <f>SUM('رعاية أمومة'!CH57)</f>
        <v>13</v>
      </c>
      <c r="CH6" s="19"/>
      <c r="CI6" s="20"/>
      <c r="CJ6" s="20"/>
      <c r="CK6" s="20"/>
      <c r="CL6" s="9"/>
      <c r="CM6" s="8" t="s">
        <v>15</v>
      </c>
      <c r="CN6" s="54">
        <f>SUM('رعاية أمومة'!CO57)</f>
        <v>9</v>
      </c>
      <c r="CO6" s="55">
        <f>SUM('رعاية أمومة'!CP57)</f>
        <v>0</v>
      </c>
      <c r="CP6" s="55">
        <f>SUM('رعاية أمومة'!CQ57)</f>
        <v>0</v>
      </c>
      <c r="CQ6" s="56">
        <f>SUM('رعاية أمومة'!CR57)</f>
        <v>7</v>
      </c>
      <c r="CR6" s="19"/>
      <c r="CS6" s="20"/>
      <c r="CT6" s="20"/>
      <c r="CU6" s="20"/>
      <c r="CV6" s="9"/>
      <c r="CW6" s="8" t="s">
        <v>15</v>
      </c>
      <c r="CX6" s="54">
        <f>SUM('رعاية أمومة'!CY57)</f>
        <v>0</v>
      </c>
      <c r="CY6" s="55">
        <f>SUM('رعاية أمومة'!CZ57)</f>
        <v>0</v>
      </c>
      <c r="CZ6" s="55">
        <f>SUM('رعاية أمومة'!DA57)</f>
        <v>0</v>
      </c>
      <c r="DA6" s="56">
        <f>SUM('رعاية أمومة'!DB57)</f>
        <v>0</v>
      </c>
      <c r="DB6" s="19"/>
      <c r="DC6" s="20"/>
      <c r="DD6" s="20"/>
      <c r="DE6" s="20"/>
      <c r="DF6" s="9"/>
      <c r="DG6" s="8" t="s">
        <v>15</v>
      </c>
      <c r="DH6" s="54">
        <f>SUM('رعاية أمومة'!DI57)</f>
        <v>0</v>
      </c>
      <c r="DI6" s="55">
        <f>SUM('رعاية أمومة'!DJ57)</f>
        <v>0</v>
      </c>
      <c r="DJ6" s="55">
        <f>SUM('رعاية أمومة'!DK57)</f>
        <v>0</v>
      </c>
      <c r="DK6" s="56">
        <f>SUM('رعاية أمومة'!DL57)</f>
        <v>0</v>
      </c>
      <c r="DL6" s="19"/>
      <c r="DM6" s="20"/>
      <c r="DN6" s="20"/>
      <c r="DO6" s="20"/>
      <c r="DP6" s="9"/>
      <c r="DQ6" s="5" t="s">
        <v>15</v>
      </c>
      <c r="DR6" s="18">
        <f>SUM('رعاية أمومة'!DS57)</f>
        <v>34</v>
      </c>
      <c r="DS6" s="18">
        <f>SUM('رعاية أمومة'!DT57)</f>
        <v>14</v>
      </c>
      <c r="DT6" s="18">
        <f>SUM('رعاية أمومة'!DU57)</f>
        <v>1.6666666666666667</v>
      </c>
      <c r="DU6" s="18">
        <f>SUM('رعاية أمومة'!DV57)</f>
        <v>118</v>
      </c>
      <c r="DV6" s="19"/>
      <c r="DW6" s="20"/>
      <c r="DX6" s="20"/>
      <c r="DY6" s="20"/>
      <c r="DZ6" s="9"/>
    </row>
    <row r="7" spans="1:130" ht="21.95" customHeight="1" thickBot="1" x14ac:dyDescent="0.25">
      <c r="A7" s="6" t="s">
        <v>16</v>
      </c>
      <c r="B7" s="21">
        <f>SUM(B5:B6)</f>
        <v>169</v>
      </c>
      <c r="C7" s="22">
        <f>SUM(C5:C6)</f>
        <v>32</v>
      </c>
      <c r="D7" s="22">
        <f>SUM(D5:D6)</f>
        <v>5</v>
      </c>
      <c r="E7" s="22">
        <f>SUM(E5:E6)</f>
        <v>119</v>
      </c>
      <c r="F7" s="22"/>
      <c r="G7" s="21"/>
      <c r="H7" s="21"/>
      <c r="I7" s="21"/>
      <c r="J7" s="9"/>
      <c r="K7" s="6" t="s">
        <v>16</v>
      </c>
      <c r="L7" s="21">
        <f>SUM(L5:L6)</f>
        <v>248</v>
      </c>
      <c r="M7" s="22">
        <f>SUM(M5:M6)</f>
        <v>68</v>
      </c>
      <c r="N7" s="22">
        <f>SUM(N5:N6)</f>
        <v>26</v>
      </c>
      <c r="O7" s="22">
        <f>SUM(O5:O6)</f>
        <v>144</v>
      </c>
      <c r="P7" s="22"/>
      <c r="Q7" s="21"/>
      <c r="R7" s="21"/>
      <c r="S7" s="21"/>
      <c r="T7" s="9"/>
      <c r="U7" s="6" t="s">
        <v>16</v>
      </c>
      <c r="V7" s="21">
        <f>SUM(V5:V6)</f>
        <v>230</v>
      </c>
      <c r="W7" s="22">
        <f>SUM(W5:W6)</f>
        <v>39</v>
      </c>
      <c r="X7" s="22">
        <f>SUM(X5:X6)</f>
        <v>33</v>
      </c>
      <c r="Y7" s="22">
        <f>SUM(Y5:Y6)</f>
        <v>124</v>
      </c>
      <c r="Z7" s="22"/>
      <c r="AA7" s="21"/>
      <c r="AB7" s="21"/>
      <c r="AC7" s="21"/>
      <c r="AD7" s="9"/>
      <c r="AE7" s="6" t="s">
        <v>16</v>
      </c>
      <c r="AF7" s="21">
        <f>SUM(AF5:AF6)</f>
        <v>248</v>
      </c>
      <c r="AG7" s="22">
        <f>SUM(AG5:AG6)</f>
        <v>32</v>
      </c>
      <c r="AH7" s="22">
        <f>SUM(AH5:AH6)</f>
        <v>34</v>
      </c>
      <c r="AI7" s="22">
        <f>SUM(AI5:AI6)</f>
        <v>167</v>
      </c>
      <c r="AJ7" s="22"/>
      <c r="AK7" s="21"/>
      <c r="AL7" s="21"/>
      <c r="AM7" s="21"/>
      <c r="AN7" s="9"/>
      <c r="AO7" s="6" t="s">
        <v>16</v>
      </c>
      <c r="AP7" s="21">
        <f>SUM(AP5:AP6)</f>
        <v>250</v>
      </c>
      <c r="AQ7" s="22">
        <f>SUM(AQ5:AQ6)</f>
        <v>5</v>
      </c>
      <c r="AR7" s="22">
        <f>SUM(AR5:AR6)</f>
        <v>21</v>
      </c>
      <c r="AS7" s="22">
        <f>SUM(AS5:AS6)</f>
        <v>158</v>
      </c>
      <c r="AT7" s="22"/>
      <c r="AU7" s="21"/>
      <c r="AV7" s="21"/>
      <c r="AW7" s="21"/>
      <c r="AX7" s="9"/>
      <c r="AY7" s="6" t="s">
        <v>16</v>
      </c>
      <c r="AZ7" s="21">
        <f>SUM(AZ5:AZ6)</f>
        <v>318</v>
      </c>
      <c r="BA7" s="22">
        <f>SUM(BA5:BA6)</f>
        <v>6</v>
      </c>
      <c r="BB7" s="22">
        <f>SUM(BB5:BB6)</f>
        <v>34</v>
      </c>
      <c r="BC7" s="22">
        <f>SUM(BC5:BC6)</f>
        <v>111</v>
      </c>
      <c r="BD7" s="22"/>
      <c r="BE7" s="21"/>
      <c r="BF7" s="21"/>
      <c r="BG7" s="21"/>
      <c r="BH7" s="9"/>
      <c r="BI7" s="6" t="s">
        <v>16</v>
      </c>
      <c r="BJ7" s="21">
        <f>SUM(BJ5:BJ6)</f>
        <v>321</v>
      </c>
      <c r="BK7" s="22">
        <f>SUM(BK5:BK6)</f>
        <v>0</v>
      </c>
      <c r="BL7" s="22">
        <f>SUM(BL5:BL6)</f>
        <v>2</v>
      </c>
      <c r="BM7" s="22">
        <f>SUM(BM5:BM6)</f>
        <v>114</v>
      </c>
      <c r="BN7" s="22"/>
      <c r="BO7" s="21"/>
      <c r="BP7" s="21"/>
      <c r="BQ7" s="21"/>
      <c r="BR7" s="9"/>
      <c r="BS7" s="6" t="s">
        <v>16</v>
      </c>
      <c r="BT7" s="21">
        <f>SUM(BT5:BT6)</f>
        <v>321</v>
      </c>
      <c r="BU7" s="22">
        <f>SUM(BU5:BU6)</f>
        <v>0</v>
      </c>
      <c r="BV7" s="22">
        <f>SUM(BV5:BV6)</f>
        <v>0</v>
      </c>
      <c r="BW7" s="22">
        <f>SUM(BW5:BW6)</f>
        <v>111</v>
      </c>
      <c r="BX7" s="22"/>
      <c r="BY7" s="21"/>
      <c r="BZ7" s="21"/>
      <c r="CA7" s="21"/>
      <c r="CB7" s="9"/>
      <c r="CC7" s="6" t="s">
        <v>16</v>
      </c>
      <c r="CD7" s="21">
        <f>SUM(CD5:CD6)</f>
        <v>313</v>
      </c>
      <c r="CE7" s="22">
        <f>SUM(CE5:CE6)</f>
        <v>0</v>
      </c>
      <c r="CF7" s="22">
        <f>SUM(CF5:CF6)</f>
        <v>0</v>
      </c>
      <c r="CG7" s="22">
        <f>SUM(CG5:CG6)</f>
        <v>128</v>
      </c>
      <c r="CH7" s="22"/>
      <c r="CI7" s="21"/>
      <c r="CJ7" s="21"/>
      <c r="CK7" s="21"/>
      <c r="CL7" s="9"/>
      <c r="CM7" s="6" t="s">
        <v>16</v>
      </c>
      <c r="CN7" s="21">
        <f>SUM(CN5:CN6)</f>
        <v>183</v>
      </c>
      <c r="CO7" s="22">
        <f>SUM(CO5:CO6)</f>
        <v>0</v>
      </c>
      <c r="CP7" s="22">
        <f>SUM(CP5:CP6)</f>
        <v>0</v>
      </c>
      <c r="CQ7" s="22">
        <f>SUM(CQ5:CQ6)</f>
        <v>77</v>
      </c>
      <c r="CR7" s="22"/>
      <c r="CS7" s="21"/>
      <c r="CT7" s="21"/>
      <c r="CU7" s="21"/>
      <c r="CV7" s="9"/>
      <c r="CW7" s="6" t="s">
        <v>16</v>
      </c>
      <c r="CX7" s="21">
        <f>SUM(CX5:CX6)</f>
        <v>0</v>
      </c>
      <c r="CY7" s="22">
        <f>SUM(CY5:CY6)</f>
        <v>0</v>
      </c>
      <c r="CZ7" s="22">
        <f>SUM(CZ5:CZ6)</f>
        <v>0</v>
      </c>
      <c r="DA7" s="22">
        <f>SUM(DA5:DA6)</f>
        <v>0</v>
      </c>
      <c r="DB7" s="22"/>
      <c r="DC7" s="21"/>
      <c r="DD7" s="21"/>
      <c r="DE7" s="21"/>
      <c r="DF7" s="9"/>
      <c r="DG7" s="6" t="s">
        <v>16</v>
      </c>
      <c r="DH7" s="21">
        <f>SUM(DH5:DH6)</f>
        <v>0</v>
      </c>
      <c r="DI7" s="22">
        <f>SUM(DI5:DI6)</f>
        <v>0</v>
      </c>
      <c r="DJ7" s="22">
        <f>SUM(DJ5:DJ6)</f>
        <v>0</v>
      </c>
      <c r="DK7" s="22">
        <f>SUM(DK5:DK6)</f>
        <v>0</v>
      </c>
      <c r="DL7" s="22"/>
      <c r="DM7" s="21"/>
      <c r="DN7" s="21"/>
      <c r="DO7" s="21"/>
      <c r="DP7" s="9"/>
      <c r="DQ7" s="6" t="s">
        <v>16</v>
      </c>
      <c r="DR7" s="21">
        <f>SUM(DR5:DR6)</f>
        <v>319</v>
      </c>
      <c r="DS7" s="22">
        <f>SUM(DS5:DS6)</f>
        <v>182</v>
      </c>
      <c r="DT7" s="22">
        <f>SUM(DT5:DT6)</f>
        <v>12.916666666666666</v>
      </c>
      <c r="DU7" s="22">
        <f>SUM(DU5:DU6)</f>
        <v>1253</v>
      </c>
      <c r="DV7" s="22"/>
      <c r="DW7" s="21"/>
      <c r="DX7" s="21"/>
      <c r="DY7" s="21"/>
      <c r="DZ7" s="9"/>
    </row>
    <row r="8" spans="1:130" ht="11.25" customHeight="1" x14ac:dyDescent="0.2">
      <c r="A8" s="27"/>
      <c r="I8" s="28"/>
      <c r="K8" s="27"/>
      <c r="S8" s="28"/>
      <c r="U8" s="27"/>
      <c r="AC8" s="28"/>
      <c r="AE8" s="27"/>
      <c r="AM8" s="28"/>
      <c r="AO8" s="27"/>
      <c r="AW8" s="28"/>
      <c r="AY8" s="27"/>
      <c r="BG8" s="28"/>
      <c r="BI8" s="27"/>
      <c r="BQ8" s="28"/>
      <c r="BS8" s="27"/>
      <c r="CA8" s="28"/>
      <c r="CC8" s="27"/>
      <c r="CK8" s="28"/>
      <c r="CM8" s="27"/>
      <c r="CU8" s="28"/>
      <c r="CW8" s="27"/>
      <c r="DE8" s="28"/>
      <c r="DG8" s="27"/>
      <c r="DO8" s="28"/>
      <c r="DQ8" s="27"/>
      <c r="DY8" s="28"/>
    </row>
    <row r="9" spans="1:130" x14ac:dyDescent="0.2">
      <c r="A9" s="27"/>
      <c r="I9" s="28"/>
      <c r="K9" s="27"/>
      <c r="S9" s="28"/>
      <c r="U9" s="27"/>
      <c r="AC9" s="28"/>
      <c r="AE9" s="27"/>
      <c r="AM9" s="28"/>
      <c r="AO9" s="27"/>
      <c r="AW9" s="28"/>
      <c r="AY9" s="27"/>
      <c r="BG9" s="28"/>
      <c r="BI9" s="27"/>
      <c r="BQ9" s="28"/>
      <c r="BS9" s="27"/>
      <c r="CA9" s="28"/>
      <c r="CC9" s="27"/>
      <c r="CK9" s="28"/>
      <c r="CM9" s="27"/>
      <c r="CU9" s="28"/>
      <c r="CW9" s="27"/>
      <c r="DE9" s="28"/>
      <c r="DG9" s="27"/>
      <c r="DO9" s="28"/>
      <c r="DQ9" s="27"/>
      <c r="DY9" s="28"/>
    </row>
    <row r="10" spans="1:130" ht="7.5" customHeight="1" x14ac:dyDescent="0.2">
      <c r="A10" s="27"/>
      <c r="I10" s="28"/>
      <c r="K10" s="27"/>
      <c r="S10" s="28"/>
      <c r="U10" s="27"/>
      <c r="AC10" s="28"/>
      <c r="AE10" s="27"/>
      <c r="AM10" s="28"/>
      <c r="AO10" s="27"/>
      <c r="AW10" s="28"/>
      <c r="AY10" s="27"/>
      <c r="BG10" s="28"/>
      <c r="BI10" s="27"/>
      <c r="BQ10" s="28"/>
      <c r="BS10" s="27"/>
      <c r="CA10" s="28"/>
      <c r="CC10" s="27"/>
      <c r="CK10" s="28"/>
      <c r="CM10" s="27"/>
      <c r="CU10" s="28"/>
      <c r="CW10" s="27"/>
      <c r="DE10" s="28"/>
      <c r="DG10" s="27"/>
      <c r="DO10" s="28"/>
      <c r="DQ10" s="27"/>
      <c r="DY10" s="28"/>
    </row>
    <row r="11" spans="1:130" s="34" customFormat="1" ht="16.5" thickBot="1" x14ac:dyDescent="0.25">
      <c r="A11" s="30" t="s">
        <v>21</v>
      </c>
      <c r="B11" s="31"/>
      <c r="C11" s="31"/>
      <c r="D11" s="31"/>
      <c r="E11" s="31"/>
      <c r="F11" s="31"/>
      <c r="G11" s="31"/>
      <c r="H11" s="31"/>
      <c r="I11" s="32" t="s">
        <v>31</v>
      </c>
      <c r="J11" s="33"/>
      <c r="K11" s="30" t="s">
        <v>21</v>
      </c>
      <c r="L11" s="31"/>
      <c r="M11" s="31"/>
      <c r="N11" s="31"/>
      <c r="O11" s="31"/>
      <c r="P11" s="31"/>
      <c r="Q11" s="31"/>
      <c r="R11" s="31"/>
      <c r="S11" s="32" t="s">
        <v>31</v>
      </c>
      <c r="T11" s="33"/>
      <c r="U11" s="30" t="s">
        <v>21</v>
      </c>
      <c r="V11" s="31"/>
      <c r="W11" s="31"/>
      <c r="X11" s="31"/>
      <c r="Y11" s="31"/>
      <c r="Z11" s="31"/>
      <c r="AA11" s="31"/>
      <c r="AB11" s="31"/>
      <c r="AC11" s="32" t="s">
        <v>31</v>
      </c>
      <c r="AD11" s="33"/>
      <c r="AE11" s="30" t="s">
        <v>21</v>
      </c>
      <c r="AF11" s="31"/>
      <c r="AG11" s="31"/>
      <c r="AH11" s="31"/>
      <c r="AI11" s="31"/>
      <c r="AJ11" s="31"/>
      <c r="AK11" s="31"/>
      <c r="AL11" s="31"/>
      <c r="AM11" s="32" t="s">
        <v>31</v>
      </c>
      <c r="AN11" s="33"/>
      <c r="AO11" s="30" t="s">
        <v>21</v>
      </c>
      <c r="AP11" s="31"/>
      <c r="AQ11" s="31"/>
      <c r="AR11" s="31"/>
      <c r="AS11" s="31"/>
      <c r="AT11" s="31"/>
      <c r="AU11" s="31"/>
      <c r="AV11" s="31"/>
      <c r="AW11" s="32" t="s">
        <v>31</v>
      </c>
      <c r="AX11" s="33"/>
      <c r="AY11" s="30" t="s">
        <v>21</v>
      </c>
      <c r="AZ11" s="31"/>
      <c r="BA11" s="31"/>
      <c r="BB11" s="31"/>
      <c r="BC11" s="31"/>
      <c r="BD11" s="31"/>
      <c r="BE11" s="31"/>
      <c r="BF11" s="31"/>
      <c r="BG11" s="32" t="s">
        <v>31</v>
      </c>
      <c r="BH11" s="33"/>
      <c r="BI11" s="30" t="s">
        <v>21</v>
      </c>
      <c r="BJ11" s="31"/>
      <c r="BK11" s="31"/>
      <c r="BL11" s="31"/>
      <c r="BM11" s="31"/>
      <c r="BN11" s="31"/>
      <c r="BO11" s="31"/>
      <c r="BP11" s="31"/>
      <c r="BQ11" s="32" t="s">
        <v>31</v>
      </c>
      <c r="BR11" s="33"/>
      <c r="BS11" s="30" t="s">
        <v>21</v>
      </c>
      <c r="BT11" s="31"/>
      <c r="BU11" s="31"/>
      <c r="BV11" s="31"/>
      <c r="BW11" s="31"/>
      <c r="BX11" s="31"/>
      <c r="BY11" s="31"/>
      <c r="BZ11" s="31"/>
      <c r="CA11" s="32" t="s">
        <v>31</v>
      </c>
      <c r="CB11" s="33"/>
      <c r="CC11" s="30" t="s">
        <v>21</v>
      </c>
      <c r="CD11" s="31"/>
      <c r="CE11" s="31"/>
      <c r="CF11" s="31"/>
      <c r="CG11" s="31"/>
      <c r="CH11" s="31"/>
      <c r="CI11" s="31"/>
      <c r="CJ11" s="31"/>
      <c r="CK11" s="32" t="s">
        <v>31</v>
      </c>
      <c r="CL11" s="33"/>
      <c r="CM11" s="30" t="s">
        <v>21</v>
      </c>
      <c r="CN11" s="31"/>
      <c r="CO11" s="31"/>
      <c r="CP11" s="31"/>
      <c r="CQ11" s="31"/>
      <c r="CR11" s="31"/>
      <c r="CS11" s="31"/>
      <c r="CT11" s="31"/>
      <c r="CU11" s="32" t="s">
        <v>31</v>
      </c>
      <c r="CV11" s="33"/>
      <c r="CW11" s="30" t="s">
        <v>21</v>
      </c>
      <c r="CX11" s="31"/>
      <c r="CY11" s="31"/>
      <c r="CZ11" s="31"/>
      <c r="DA11" s="31"/>
      <c r="DB11" s="31"/>
      <c r="DC11" s="31"/>
      <c r="DD11" s="31"/>
      <c r="DE11" s="32" t="s">
        <v>31</v>
      </c>
      <c r="DF11" s="33"/>
      <c r="DG11" s="30" t="s">
        <v>21</v>
      </c>
      <c r="DH11" s="31"/>
      <c r="DI11" s="31"/>
      <c r="DJ11" s="31"/>
      <c r="DK11" s="31"/>
      <c r="DL11" s="31"/>
      <c r="DM11" s="31"/>
      <c r="DN11" s="31"/>
      <c r="DO11" s="32" t="s">
        <v>31</v>
      </c>
      <c r="DP11" s="33"/>
      <c r="DQ11" s="30" t="s">
        <v>21</v>
      </c>
      <c r="DR11" s="31"/>
      <c r="DS11" s="31"/>
      <c r="DT11" s="31"/>
      <c r="DU11" s="31"/>
      <c r="DV11" s="31"/>
      <c r="DW11" s="31"/>
      <c r="DX11" s="31"/>
      <c r="DY11" s="32" t="s">
        <v>31</v>
      </c>
      <c r="DZ11" s="33"/>
    </row>
  </sheetData>
  <mergeCells count="65">
    <mergeCell ref="CH3:CK3"/>
    <mergeCell ref="CD3:CD4"/>
    <mergeCell ref="CE3:CE4"/>
    <mergeCell ref="CF3:CF4"/>
    <mergeCell ref="CG3:CG4"/>
    <mergeCell ref="BX3:CA3"/>
    <mergeCell ref="BT3:BT4"/>
    <mergeCell ref="BU3:BU4"/>
    <mergeCell ref="BV3:BV4"/>
    <mergeCell ref="BW3:BW4"/>
    <mergeCell ref="P3:S3"/>
    <mergeCell ref="L3:L4"/>
    <mergeCell ref="M3:M4"/>
    <mergeCell ref="N3:N4"/>
    <mergeCell ref="O3:O4"/>
    <mergeCell ref="F3:I3"/>
    <mergeCell ref="B3:B4"/>
    <mergeCell ref="C3:C4"/>
    <mergeCell ref="D3:D4"/>
    <mergeCell ref="E3:E4"/>
    <mergeCell ref="Z3:AC3"/>
    <mergeCell ref="V3:V4"/>
    <mergeCell ref="W3:W4"/>
    <mergeCell ref="X3:X4"/>
    <mergeCell ref="Y3:Y4"/>
    <mergeCell ref="AJ3:AM3"/>
    <mergeCell ref="AF3:AF4"/>
    <mergeCell ref="AG3:AG4"/>
    <mergeCell ref="AH3:AH4"/>
    <mergeCell ref="AI3:AI4"/>
    <mergeCell ref="AT3:AW3"/>
    <mergeCell ref="AP3:AP4"/>
    <mergeCell ref="AQ3:AQ4"/>
    <mergeCell ref="AR3:AR4"/>
    <mergeCell ref="AS3:AS4"/>
    <mergeCell ref="BD3:BG3"/>
    <mergeCell ref="AZ3:AZ4"/>
    <mergeCell ref="BA3:BA4"/>
    <mergeCell ref="BB3:BB4"/>
    <mergeCell ref="BC3:BC4"/>
    <mergeCell ref="BN3:BQ3"/>
    <mergeCell ref="BJ3:BJ4"/>
    <mergeCell ref="BK3:BK4"/>
    <mergeCell ref="BL3:BL4"/>
    <mergeCell ref="BM3:BM4"/>
    <mergeCell ref="CR3:CU3"/>
    <mergeCell ref="CN3:CN4"/>
    <mergeCell ref="CO3:CO4"/>
    <mergeCell ref="CP3:CP4"/>
    <mergeCell ref="CQ3:CQ4"/>
    <mergeCell ref="DB3:DE3"/>
    <mergeCell ref="CX3:CX4"/>
    <mergeCell ref="CY3:CY4"/>
    <mergeCell ref="CZ3:CZ4"/>
    <mergeCell ref="DA3:DA4"/>
    <mergeCell ref="DL3:DO3"/>
    <mergeCell ref="DH3:DH4"/>
    <mergeCell ref="DI3:DI4"/>
    <mergeCell ref="DJ3:DJ4"/>
    <mergeCell ref="DK3:DK4"/>
    <mergeCell ref="DV3:DY3"/>
    <mergeCell ref="DR3:DR4"/>
    <mergeCell ref="DS3:DS4"/>
    <mergeCell ref="DT3:DT4"/>
    <mergeCell ref="DU3:DU4"/>
  </mergeCells>
  <phoneticPr fontId="0" type="noConversion"/>
  <printOptions horizontalCentered="1" verticalCentered="1"/>
  <pageMargins left="0.35433070866141736" right="0.35433070866141736" top="0.39370078740157483" bottom="0.39370078740157483" header="0.51181102362204722" footer="0.51181102362204722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رعاية أمومة</vt:lpstr>
      <vt:lpstr>إجمالية</vt:lpstr>
      <vt:lpstr>'رعاية أمومة'!Print_Titles</vt:lpstr>
    </vt:vector>
  </TitlesOfParts>
  <Company>مؤسسة سارة التجارية بصبيح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2016-04-20T06:18:06Z</cp:lastPrinted>
  <dcterms:created xsi:type="dcterms:W3CDTF">2001-04-25T08:43:32Z</dcterms:created>
  <dcterms:modified xsi:type="dcterms:W3CDTF">2026-04-16T07:15:23Z</dcterms:modified>
</cp:coreProperties>
</file>