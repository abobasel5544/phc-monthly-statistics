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65" tabRatio="701"/>
  </bookViews>
  <sheets>
    <sheet name="ضماد" sheetId="4" r:id="rId1"/>
    <sheet name="إجمالي" sheetId="6" r:id="rId2"/>
  </sheets>
  <externalReferences>
    <externalReference r:id="rId3"/>
  </externalReferences>
  <definedNames>
    <definedName name="_xlnm.Print_Titles" localSheetId="0">'[1]جراحات , غيارات'!$2:$5</definedName>
  </definedNames>
  <calcPr calcId="152511"/>
</workbook>
</file>

<file path=xl/calcChain.xml><?xml version="1.0" encoding="utf-8"?>
<calcChain xmlns="http://schemas.openxmlformats.org/spreadsheetml/2006/main">
  <c r="BS60" i="4" l="1"/>
  <c r="BR60" i="4"/>
  <c r="BQ60" i="4"/>
  <c r="BP60" i="4"/>
  <c r="BS57" i="4"/>
  <c r="BS61" i="4" s="1"/>
  <c r="BR57" i="4"/>
  <c r="BR61" i="4" s="1"/>
  <c r="BQ57" i="4"/>
  <c r="BQ61" i="4" s="1"/>
  <c r="BP57" i="4"/>
  <c r="BP61" i="4" s="1"/>
  <c r="BS53" i="4"/>
  <c r="BR53" i="4"/>
  <c r="BQ53" i="4"/>
  <c r="BP53" i="4"/>
  <c r="BS50" i="4"/>
  <c r="BS54" i="4" s="1"/>
  <c r="BR50" i="4"/>
  <c r="BR54" i="4" s="1"/>
  <c r="BQ50" i="4"/>
  <c r="BQ54" i="4" s="1"/>
  <c r="BP50" i="4"/>
  <c r="BP54" i="4" s="1"/>
  <c r="BS46" i="4"/>
  <c r="BR46" i="4"/>
  <c r="BQ46" i="4"/>
  <c r="BP46" i="4"/>
  <c r="BS43" i="4"/>
  <c r="BS47" i="4" s="1"/>
  <c r="BR43" i="4"/>
  <c r="BR47" i="4" s="1"/>
  <c r="BQ43" i="4"/>
  <c r="BQ47" i="4" s="1"/>
  <c r="BP43" i="4"/>
  <c r="BP47" i="4" s="1"/>
  <c r="BS29" i="4"/>
  <c r="BR29" i="4"/>
  <c r="BQ29" i="4"/>
  <c r="BP29" i="4"/>
  <c r="BS25" i="4"/>
  <c r="BR25" i="4"/>
  <c r="BQ25" i="4"/>
  <c r="BP25" i="4"/>
  <c r="BS22" i="4"/>
  <c r="BS26" i="4" s="1"/>
  <c r="BR22" i="4"/>
  <c r="BR26" i="4" s="1"/>
  <c r="BQ22" i="4"/>
  <c r="BQ26" i="4" s="1"/>
  <c r="BP22" i="4"/>
  <c r="BP26" i="4" s="1"/>
  <c r="BS18" i="4"/>
  <c r="BR18" i="4"/>
  <c r="BQ18" i="4"/>
  <c r="BP18" i="4"/>
  <c r="BS15" i="4"/>
  <c r="BS19" i="4" s="1"/>
  <c r="BR15" i="4"/>
  <c r="BR19" i="4" s="1"/>
  <c r="BQ15" i="4"/>
  <c r="BQ19" i="4" s="1"/>
  <c r="BP15" i="4"/>
  <c r="BP19" i="4" s="1"/>
  <c r="BS11" i="4"/>
  <c r="BR11" i="4"/>
  <c r="BQ11" i="4"/>
  <c r="BP11" i="4"/>
  <c r="BS8" i="4"/>
  <c r="BS12" i="4" s="1"/>
  <c r="BR8" i="4"/>
  <c r="BR12" i="4" s="1"/>
  <c r="BQ8" i="4"/>
  <c r="BQ12" i="4" s="1"/>
  <c r="BP8" i="4"/>
  <c r="BP12" i="4" s="1"/>
  <c r="BK81" i="4" l="1"/>
  <c r="BJ81" i="4"/>
  <c r="BI81" i="4"/>
  <c r="BH81" i="4"/>
  <c r="BK78" i="4"/>
  <c r="BK82" i="4" s="1"/>
  <c r="BJ78" i="4"/>
  <c r="BJ82" i="4" s="1"/>
  <c r="BI78" i="4"/>
  <c r="BI82" i="4" s="1"/>
  <c r="BH78" i="4"/>
  <c r="BH82" i="4" s="1"/>
  <c r="BK74" i="4"/>
  <c r="BJ74" i="4"/>
  <c r="BI74" i="4"/>
  <c r="BH74" i="4"/>
  <c r="BK71" i="4"/>
  <c r="BK75" i="4" s="1"/>
  <c r="BJ71" i="4"/>
  <c r="BJ75" i="4" s="1"/>
  <c r="BI71" i="4"/>
  <c r="BI75" i="4" s="1"/>
  <c r="BH71" i="4"/>
  <c r="BH75" i="4" s="1"/>
  <c r="BK67" i="4"/>
  <c r="BJ67" i="4"/>
  <c r="BI67" i="4"/>
  <c r="BH67" i="4"/>
  <c r="BK64" i="4"/>
  <c r="BK68" i="4" s="1"/>
  <c r="BJ64" i="4"/>
  <c r="BJ68" i="4" s="1"/>
  <c r="BI64" i="4"/>
  <c r="BI68" i="4" s="1"/>
  <c r="BH64" i="4"/>
  <c r="BH68" i="4" s="1"/>
  <c r="BK60" i="4"/>
  <c r="BJ60" i="4"/>
  <c r="BI60" i="4"/>
  <c r="BH60" i="4"/>
  <c r="BK57" i="4"/>
  <c r="BK61" i="4" s="1"/>
  <c r="BJ57" i="4"/>
  <c r="BJ61" i="4" s="1"/>
  <c r="BI57" i="4"/>
  <c r="BI61" i="4" s="1"/>
  <c r="BH57" i="4"/>
  <c r="BH61" i="4" s="1"/>
  <c r="BK53" i="4"/>
  <c r="BJ53" i="4"/>
  <c r="BI53" i="4"/>
  <c r="BH53" i="4"/>
  <c r="BK50" i="4"/>
  <c r="BK54" i="4" s="1"/>
  <c r="BJ50" i="4"/>
  <c r="BJ54" i="4" s="1"/>
  <c r="BI50" i="4"/>
  <c r="BI54" i="4" s="1"/>
  <c r="BH50" i="4"/>
  <c r="BH54" i="4" s="1"/>
  <c r="BK46" i="4"/>
  <c r="BJ46" i="4"/>
  <c r="BI46" i="4"/>
  <c r="BH46" i="4"/>
  <c r="BK43" i="4"/>
  <c r="BK47" i="4" s="1"/>
  <c r="BJ43" i="4"/>
  <c r="BJ47" i="4" s="1"/>
  <c r="BI43" i="4"/>
  <c r="BI47" i="4" s="1"/>
  <c r="BH43" i="4"/>
  <c r="BH47" i="4" s="1"/>
  <c r="BK39" i="4"/>
  <c r="BJ39" i="4"/>
  <c r="BI39" i="4"/>
  <c r="BH39" i="4"/>
  <c r="BK36" i="4"/>
  <c r="BK40" i="4" s="1"/>
  <c r="BJ36" i="4"/>
  <c r="BJ40" i="4" s="1"/>
  <c r="BI36" i="4"/>
  <c r="BI40" i="4" s="1"/>
  <c r="BH36" i="4"/>
  <c r="BH40" i="4" s="1"/>
  <c r="BK32" i="4"/>
  <c r="BJ32" i="4"/>
  <c r="BI32" i="4"/>
  <c r="BH32" i="4"/>
  <c r="BK29" i="4"/>
  <c r="BK33" i="4" s="1"/>
  <c r="BJ29" i="4"/>
  <c r="BJ33" i="4" s="1"/>
  <c r="BI29" i="4"/>
  <c r="BI33" i="4" s="1"/>
  <c r="BH29" i="4"/>
  <c r="BH33" i="4" s="1"/>
  <c r="BK25" i="4"/>
  <c r="BJ25" i="4"/>
  <c r="BI25" i="4"/>
  <c r="BH25" i="4"/>
  <c r="BK22" i="4"/>
  <c r="BK26" i="4" s="1"/>
  <c r="BJ22" i="4"/>
  <c r="BJ26" i="4" s="1"/>
  <c r="BI22" i="4"/>
  <c r="BI26" i="4" s="1"/>
  <c r="BH22" i="4"/>
  <c r="BH26" i="4" s="1"/>
  <c r="BK18" i="4"/>
  <c r="BJ18" i="4"/>
  <c r="BI18" i="4"/>
  <c r="BH18" i="4"/>
  <c r="BK15" i="4"/>
  <c r="BK19" i="4" s="1"/>
  <c r="BJ15" i="4"/>
  <c r="BJ19" i="4" s="1"/>
  <c r="BI15" i="4"/>
  <c r="BI19" i="4" s="1"/>
  <c r="BH15" i="4"/>
  <c r="BH19" i="4" s="1"/>
  <c r="BK11" i="4"/>
  <c r="BJ11" i="4"/>
  <c r="BJ12" i="4" s="1"/>
  <c r="BI11" i="4"/>
  <c r="BH11" i="4"/>
  <c r="BH12" i="4" s="1"/>
  <c r="BK8" i="4"/>
  <c r="BK12" i="4" s="1"/>
  <c r="BI8" i="4"/>
  <c r="BI12" i="4" s="1"/>
  <c r="BH8" i="4"/>
  <c r="AJ15" i="4" l="1"/>
  <c r="AK15" i="4"/>
  <c r="AL15" i="4"/>
  <c r="AM15" i="4"/>
  <c r="D18" i="4"/>
  <c r="E18" i="4"/>
  <c r="F18" i="4"/>
  <c r="G18" i="4"/>
  <c r="L18" i="4"/>
  <c r="M18" i="4"/>
  <c r="N18" i="4"/>
  <c r="O18" i="4"/>
  <c r="AJ18" i="4"/>
  <c r="AK18" i="4"/>
  <c r="AL18" i="4"/>
  <c r="AM18" i="4"/>
  <c r="CQ99" i="4" l="1"/>
  <c r="CP99" i="4"/>
  <c r="CO99" i="4"/>
  <c r="CN99" i="4"/>
  <c r="CQ98" i="4"/>
  <c r="CQ100" i="4" s="1"/>
  <c r="CP98" i="4"/>
  <c r="CP100" i="4" s="1"/>
  <c r="CO98" i="4"/>
  <c r="CO100" i="4" s="1"/>
  <c r="CN98" i="4"/>
  <c r="CN100" i="4" s="1"/>
  <c r="CQ96" i="4"/>
  <c r="CP96" i="4"/>
  <c r="CO96" i="4"/>
  <c r="CN96" i="4"/>
  <c r="CQ95" i="4"/>
  <c r="CQ97" i="4" s="1"/>
  <c r="CQ101" i="4" s="1"/>
  <c r="CP95" i="4"/>
  <c r="CP97" i="4" s="1"/>
  <c r="CP101" i="4" s="1"/>
  <c r="CO95" i="4"/>
  <c r="CO97" i="4" s="1"/>
  <c r="CO101" i="4" s="1"/>
  <c r="CN95" i="4"/>
  <c r="CN97" i="4" s="1"/>
  <c r="CP92" i="4"/>
  <c r="CN92" i="4"/>
  <c r="CQ88" i="4"/>
  <c r="CP88" i="4"/>
  <c r="CO88" i="4"/>
  <c r="CN88" i="4"/>
  <c r="CQ85" i="4"/>
  <c r="CQ89" i="4" s="1"/>
  <c r="CP85" i="4"/>
  <c r="CP89" i="4" s="1"/>
  <c r="CO85" i="4"/>
  <c r="CO89" i="4" s="1"/>
  <c r="CN85" i="4"/>
  <c r="CN89" i="4" s="1"/>
  <c r="CQ81" i="4"/>
  <c r="CP81" i="4"/>
  <c r="CO81" i="4"/>
  <c r="CN81" i="4"/>
  <c r="CQ78" i="4"/>
  <c r="CQ82" i="4" s="1"/>
  <c r="CP78" i="4"/>
  <c r="CP82" i="4" s="1"/>
  <c r="CO78" i="4"/>
  <c r="CO82" i="4" s="1"/>
  <c r="CN78" i="4"/>
  <c r="CN82" i="4" s="1"/>
  <c r="CQ74" i="4"/>
  <c r="CP74" i="4"/>
  <c r="CO74" i="4"/>
  <c r="CN74" i="4"/>
  <c r="CQ71" i="4"/>
  <c r="CQ75" i="4" s="1"/>
  <c r="CP71" i="4"/>
  <c r="CP75" i="4" s="1"/>
  <c r="CO71" i="4"/>
  <c r="CO75" i="4" s="1"/>
  <c r="CN71" i="4"/>
  <c r="CN75" i="4" s="1"/>
  <c r="CQ67" i="4"/>
  <c r="CP67" i="4"/>
  <c r="CO67" i="4"/>
  <c r="CN67" i="4"/>
  <c r="CQ64" i="4"/>
  <c r="CQ68" i="4" s="1"/>
  <c r="CP64" i="4"/>
  <c r="CP68" i="4" s="1"/>
  <c r="CO64" i="4"/>
  <c r="CO68" i="4" s="1"/>
  <c r="CN64" i="4"/>
  <c r="CN68" i="4" s="1"/>
  <c r="CQ60" i="4"/>
  <c r="CP60" i="4"/>
  <c r="CO60" i="4"/>
  <c r="CN60" i="4"/>
  <c r="CQ57" i="4"/>
  <c r="CQ61" i="4" s="1"/>
  <c r="CP57" i="4"/>
  <c r="CP61" i="4" s="1"/>
  <c r="CO57" i="4"/>
  <c r="CO61" i="4" s="1"/>
  <c r="CN57" i="4"/>
  <c r="CN61" i="4" s="1"/>
  <c r="CQ53" i="4"/>
  <c r="CP53" i="4"/>
  <c r="CO53" i="4"/>
  <c r="CN53" i="4"/>
  <c r="CQ50" i="4"/>
  <c r="CQ54" i="4" s="1"/>
  <c r="CP50" i="4"/>
  <c r="CP54" i="4" s="1"/>
  <c r="CO50" i="4"/>
  <c r="CO54" i="4" s="1"/>
  <c r="CN50" i="4"/>
  <c r="CN54" i="4" s="1"/>
  <c r="CQ46" i="4"/>
  <c r="CP46" i="4"/>
  <c r="CO46" i="4"/>
  <c r="CN46" i="4"/>
  <c r="CQ43" i="4"/>
  <c r="CQ47" i="4" s="1"/>
  <c r="CP43" i="4"/>
  <c r="CP47" i="4" s="1"/>
  <c r="CO43" i="4"/>
  <c r="CO47" i="4" s="1"/>
  <c r="CN43" i="4"/>
  <c r="CN47" i="4" s="1"/>
  <c r="CQ39" i="4"/>
  <c r="CP39" i="4"/>
  <c r="CO39" i="4"/>
  <c r="CN39" i="4"/>
  <c r="CQ36" i="4"/>
  <c r="CQ40" i="4" s="1"/>
  <c r="CP36" i="4"/>
  <c r="CP40" i="4" s="1"/>
  <c r="CO36" i="4"/>
  <c r="CO40" i="4" s="1"/>
  <c r="CN36" i="4"/>
  <c r="CN40" i="4" s="1"/>
  <c r="CQ32" i="4"/>
  <c r="CP32" i="4"/>
  <c r="CO32" i="4"/>
  <c r="CN32" i="4"/>
  <c r="CQ29" i="4"/>
  <c r="CQ33" i="4" s="1"/>
  <c r="CP29" i="4"/>
  <c r="CP33" i="4" s="1"/>
  <c r="CO29" i="4"/>
  <c r="CO33" i="4" s="1"/>
  <c r="CN29" i="4"/>
  <c r="CN33" i="4" s="1"/>
  <c r="CQ25" i="4"/>
  <c r="CP25" i="4"/>
  <c r="CO25" i="4"/>
  <c r="CN25" i="4"/>
  <c r="CQ22" i="4"/>
  <c r="CQ26" i="4" s="1"/>
  <c r="CP22" i="4"/>
  <c r="CP26" i="4" s="1"/>
  <c r="CO22" i="4"/>
  <c r="CO26" i="4" s="1"/>
  <c r="CN22" i="4"/>
  <c r="CN26" i="4" s="1"/>
  <c r="CQ18" i="4"/>
  <c r="CP18" i="4"/>
  <c r="CO18" i="4"/>
  <c r="CN18" i="4"/>
  <c r="CQ15" i="4"/>
  <c r="CQ19" i="4" s="1"/>
  <c r="CP15" i="4"/>
  <c r="CP19" i="4" s="1"/>
  <c r="CO15" i="4"/>
  <c r="CO19" i="4" s="1"/>
  <c r="CN15" i="4"/>
  <c r="CN19" i="4" s="1"/>
  <c r="CQ11" i="4"/>
  <c r="CP11" i="4"/>
  <c r="CO11" i="4"/>
  <c r="CN11" i="4"/>
  <c r="CQ8" i="4"/>
  <c r="CQ12" i="4" s="1"/>
  <c r="CP8" i="4"/>
  <c r="CP12" i="4" s="1"/>
  <c r="CO8" i="4"/>
  <c r="CO12" i="4" s="1"/>
  <c r="CN8" i="4"/>
  <c r="CN12" i="4" s="1"/>
  <c r="CI99" i="4"/>
  <c r="CH99" i="4"/>
  <c r="CG99" i="4"/>
  <c r="CF99" i="4"/>
  <c r="CI98" i="4"/>
  <c r="CI100" i="4" s="1"/>
  <c r="CH98" i="4"/>
  <c r="CH100" i="4" s="1"/>
  <c r="CG98" i="4"/>
  <c r="CG100" i="4" s="1"/>
  <c r="CF98" i="4"/>
  <c r="CF100" i="4" s="1"/>
  <c r="CI96" i="4"/>
  <c r="CH96" i="4"/>
  <c r="CG96" i="4"/>
  <c r="CF96" i="4"/>
  <c r="CI95" i="4"/>
  <c r="CI97" i="4" s="1"/>
  <c r="CI101" i="4" s="1"/>
  <c r="CH95" i="4"/>
  <c r="CH97" i="4" s="1"/>
  <c r="CH101" i="4" s="1"/>
  <c r="CG95" i="4"/>
  <c r="CG97" i="4" s="1"/>
  <c r="CG101" i="4" s="1"/>
  <c r="CF95" i="4"/>
  <c r="CF97" i="4" s="1"/>
  <c r="CF101" i="4" s="1"/>
  <c r="CH92" i="4"/>
  <c r="CF92" i="4"/>
  <c r="CI88" i="4"/>
  <c r="CH88" i="4"/>
  <c r="CG88" i="4"/>
  <c r="CF88" i="4"/>
  <c r="CI85" i="4"/>
  <c r="CI89" i="4" s="1"/>
  <c r="CH85" i="4"/>
  <c r="CH89" i="4" s="1"/>
  <c r="CG85" i="4"/>
  <c r="CG89" i="4" s="1"/>
  <c r="CF85" i="4"/>
  <c r="CF89" i="4" s="1"/>
  <c r="CI81" i="4"/>
  <c r="CH81" i="4"/>
  <c r="CG81" i="4"/>
  <c r="CF81" i="4"/>
  <c r="CI78" i="4"/>
  <c r="CI82" i="4" s="1"/>
  <c r="CH78" i="4"/>
  <c r="CH82" i="4" s="1"/>
  <c r="CG78" i="4"/>
  <c r="CG82" i="4" s="1"/>
  <c r="CF78" i="4"/>
  <c r="CI74" i="4"/>
  <c r="CH74" i="4"/>
  <c r="CG74" i="4"/>
  <c r="CF74" i="4"/>
  <c r="CI71" i="4"/>
  <c r="CI75" i="4" s="1"/>
  <c r="CH71" i="4"/>
  <c r="CH75" i="4" s="1"/>
  <c r="CG71" i="4"/>
  <c r="CG75" i="4" s="1"/>
  <c r="CF71" i="4"/>
  <c r="CF75" i="4" s="1"/>
  <c r="CI67" i="4"/>
  <c r="CH67" i="4"/>
  <c r="CG67" i="4"/>
  <c r="CF67" i="4"/>
  <c r="CI64" i="4"/>
  <c r="CI68" i="4" s="1"/>
  <c r="CH64" i="4"/>
  <c r="CH68" i="4" s="1"/>
  <c r="CG64" i="4"/>
  <c r="CG68" i="4" s="1"/>
  <c r="CF64" i="4"/>
  <c r="CF68" i="4" s="1"/>
  <c r="CI60" i="4"/>
  <c r="CH60" i="4"/>
  <c r="CG60" i="4"/>
  <c r="CF60" i="4"/>
  <c r="CI57" i="4"/>
  <c r="CI61" i="4" s="1"/>
  <c r="CH57" i="4"/>
  <c r="CH61" i="4" s="1"/>
  <c r="CG57" i="4"/>
  <c r="CG61" i="4" s="1"/>
  <c r="CF57" i="4"/>
  <c r="CF61" i="4" s="1"/>
  <c r="CI53" i="4"/>
  <c r="CH53" i="4"/>
  <c r="CG53" i="4"/>
  <c r="CF53" i="4"/>
  <c r="CI50" i="4"/>
  <c r="CI54" i="4" s="1"/>
  <c r="CH50" i="4"/>
  <c r="CH54" i="4" s="1"/>
  <c r="CG50" i="4"/>
  <c r="CG54" i="4" s="1"/>
  <c r="CF50" i="4"/>
  <c r="CF54" i="4" s="1"/>
  <c r="CI46" i="4"/>
  <c r="CH46" i="4"/>
  <c r="CG46" i="4"/>
  <c r="CF46" i="4"/>
  <c r="CI43" i="4"/>
  <c r="CI47" i="4" s="1"/>
  <c r="CH43" i="4"/>
  <c r="CH47" i="4" s="1"/>
  <c r="CG43" i="4"/>
  <c r="CG47" i="4" s="1"/>
  <c r="CF43" i="4"/>
  <c r="CF47" i="4" s="1"/>
  <c r="CI39" i="4"/>
  <c r="CH39" i="4"/>
  <c r="CG39" i="4"/>
  <c r="CF39" i="4"/>
  <c r="CI36" i="4"/>
  <c r="CI40" i="4" s="1"/>
  <c r="CH36" i="4"/>
  <c r="CH40" i="4" s="1"/>
  <c r="CG36" i="4"/>
  <c r="CG40" i="4" s="1"/>
  <c r="CF36" i="4"/>
  <c r="CI32" i="4"/>
  <c r="CH32" i="4"/>
  <c r="CG32" i="4"/>
  <c r="CF32" i="4"/>
  <c r="CI29" i="4"/>
  <c r="CI33" i="4" s="1"/>
  <c r="CH29" i="4"/>
  <c r="CH33" i="4" s="1"/>
  <c r="CG29" i="4"/>
  <c r="CG33" i="4" s="1"/>
  <c r="CF29" i="4"/>
  <c r="CF33" i="4" s="1"/>
  <c r="CI25" i="4"/>
  <c r="CH25" i="4"/>
  <c r="CG25" i="4"/>
  <c r="CF25" i="4"/>
  <c r="CI22" i="4"/>
  <c r="CI26" i="4" s="1"/>
  <c r="CH22" i="4"/>
  <c r="CH26" i="4" s="1"/>
  <c r="CG22" i="4"/>
  <c r="CG26" i="4" s="1"/>
  <c r="CF22" i="4"/>
  <c r="CF26" i="4" s="1"/>
  <c r="CI18" i="4"/>
  <c r="CH18" i="4"/>
  <c r="CG18" i="4"/>
  <c r="CF18" i="4"/>
  <c r="CI15" i="4"/>
  <c r="CI19" i="4" s="1"/>
  <c r="CH15" i="4"/>
  <c r="CH19" i="4" s="1"/>
  <c r="CG15" i="4"/>
  <c r="CG19" i="4" s="1"/>
  <c r="CF15" i="4"/>
  <c r="CF19" i="4" s="1"/>
  <c r="CI11" i="4"/>
  <c r="CH11" i="4"/>
  <c r="CG11" i="4"/>
  <c r="CF11" i="4"/>
  <c r="CI8" i="4"/>
  <c r="CI12" i="4" s="1"/>
  <c r="CH8" i="4"/>
  <c r="CH12" i="4" s="1"/>
  <c r="CG8" i="4"/>
  <c r="CG12" i="4" s="1"/>
  <c r="CF8" i="4"/>
  <c r="CF12" i="4" s="1"/>
  <c r="CA99" i="4"/>
  <c r="BZ99" i="4"/>
  <c r="BY99" i="4"/>
  <c r="BX99" i="4"/>
  <c r="CA98" i="4"/>
  <c r="CA100" i="4" s="1"/>
  <c r="BZ98" i="4"/>
  <c r="BZ100" i="4" s="1"/>
  <c r="BY98" i="4"/>
  <c r="BY100" i="4" s="1"/>
  <c r="BX98" i="4"/>
  <c r="CA96" i="4"/>
  <c r="BZ96" i="4"/>
  <c r="BY96" i="4"/>
  <c r="BX96" i="4"/>
  <c r="CA95" i="4"/>
  <c r="CA97" i="4" s="1"/>
  <c r="CA101" i="4" s="1"/>
  <c r="BZ95" i="4"/>
  <c r="BZ97" i="4" s="1"/>
  <c r="BZ101" i="4" s="1"/>
  <c r="BY95" i="4"/>
  <c r="BY97" i="4" s="1"/>
  <c r="BY101" i="4" s="1"/>
  <c r="BX95" i="4"/>
  <c r="BX97" i="4" s="1"/>
  <c r="BZ92" i="4"/>
  <c r="BX92" i="4"/>
  <c r="CA88" i="4"/>
  <c r="BZ88" i="4"/>
  <c r="BY88" i="4"/>
  <c r="BX88" i="4"/>
  <c r="CA85" i="4"/>
  <c r="CA89" i="4" s="1"/>
  <c r="BZ85" i="4"/>
  <c r="BY85" i="4"/>
  <c r="BY89" i="4" s="1"/>
  <c r="BX85" i="4"/>
  <c r="BX89" i="4" s="1"/>
  <c r="CA81" i="4"/>
  <c r="BZ81" i="4"/>
  <c r="BY81" i="4"/>
  <c r="BX81" i="4"/>
  <c r="CA78" i="4"/>
  <c r="CA82" i="4" s="1"/>
  <c r="BZ78" i="4"/>
  <c r="BZ82" i="4" s="1"/>
  <c r="BY78" i="4"/>
  <c r="BY82" i="4" s="1"/>
  <c r="BX78" i="4"/>
  <c r="BX82" i="4" s="1"/>
  <c r="CA74" i="4"/>
  <c r="BZ74" i="4"/>
  <c r="BY74" i="4"/>
  <c r="BX74" i="4"/>
  <c r="CA71" i="4"/>
  <c r="CA75" i="4" s="1"/>
  <c r="BZ71" i="4"/>
  <c r="BZ75" i="4" s="1"/>
  <c r="BY71" i="4"/>
  <c r="BY75" i="4" s="1"/>
  <c r="BX71" i="4"/>
  <c r="BX75" i="4" s="1"/>
  <c r="CA67" i="4"/>
  <c r="BZ67" i="4"/>
  <c r="BY67" i="4"/>
  <c r="BX67" i="4"/>
  <c r="CA64" i="4"/>
  <c r="CA68" i="4" s="1"/>
  <c r="BZ64" i="4"/>
  <c r="BZ68" i="4" s="1"/>
  <c r="BY64" i="4"/>
  <c r="BY68" i="4" s="1"/>
  <c r="BX64" i="4"/>
  <c r="BX68" i="4" s="1"/>
  <c r="CA61" i="4"/>
  <c r="BZ61" i="4"/>
  <c r="BY61" i="4"/>
  <c r="BX61" i="4"/>
  <c r="CA40" i="4"/>
  <c r="BZ40" i="4"/>
  <c r="BY40" i="4"/>
  <c r="BX40" i="4"/>
  <c r="CA18" i="4"/>
  <c r="BZ18" i="4"/>
  <c r="BY18" i="4"/>
  <c r="BX18" i="4"/>
  <c r="CA15" i="4"/>
  <c r="CA19" i="4" s="1"/>
  <c r="BZ15" i="4"/>
  <c r="BZ19" i="4" s="1"/>
  <c r="BY15" i="4"/>
  <c r="BY19" i="4" s="1"/>
  <c r="BX15" i="4"/>
  <c r="BX19" i="4" s="1"/>
  <c r="CA12" i="4"/>
  <c r="BZ12" i="4"/>
  <c r="BY12" i="4"/>
  <c r="BX12" i="4"/>
  <c r="BS99" i="4"/>
  <c r="BR99" i="4"/>
  <c r="BQ99" i="4"/>
  <c r="BP99" i="4"/>
  <c r="BS98" i="4"/>
  <c r="BR98" i="4"/>
  <c r="BQ98" i="4"/>
  <c r="BQ100" i="4" s="1"/>
  <c r="BP98" i="4"/>
  <c r="BP100" i="4" s="1"/>
  <c r="BS96" i="4"/>
  <c r="BR96" i="4"/>
  <c r="BQ96" i="4"/>
  <c r="BP96" i="4"/>
  <c r="BS95" i="4"/>
  <c r="BS97" i="4" s="1"/>
  <c r="BR95" i="4"/>
  <c r="BR97" i="4" s="1"/>
  <c r="BQ95" i="4"/>
  <c r="BQ97" i="4" s="1"/>
  <c r="BQ101" i="4" s="1"/>
  <c r="BP95" i="4"/>
  <c r="BP97" i="4" s="1"/>
  <c r="BR92" i="4"/>
  <c r="BP92" i="4"/>
  <c r="BS88" i="4"/>
  <c r="BR88" i="4"/>
  <c r="BQ88" i="4"/>
  <c r="BP88" i="4"/>
  <c r="BS85" i="4"/>
  <c r="BS89" i="4" s="1"/>
  <c r="BR85" i="4"/>
  <c r="BR89" i="4" s="1"/>
  <c r="BQ85" i="4"/>
  <c r="BQ89" i="4" s="1"/>
  <c r="BP85" i="4"/>
  <c r="BS81" i="4"/>
  <c r="BR81" i="4"/>
  <c r="BQ81" i="4"/>
  <c r="BP81" i="4"/>
  <c r="BS78" i="4"/>
  <c r="BS82" i="4" s="1"/>
  <c r="BR78" i="4"/>
  <c r="BR82" i="4" s="1"/>
  <c r="BQ78" i="4"/>
  <c r="BQ82" i="4" s="1"/>
  <c r="BP78" i="4"/>
  <c r="BP82" i="4" s="1"/>
  <c r="BS74" i="4"/>
  <c r="BR74" i="4"/>
  <c r="BQ74" i="4"/>
  <c r="BP74" i="4"/>
  <c r="BS71" i="4"/>
  <c r="BS75" i="4" s="1"/>
  <c r="BR71" i="4"/>
  <c r="BR75" i="4" s="1"/>
  <c r="BQ71" i="4"/>
  <c r="BQ75" i="4" s="1"/>
  <c r="BP71" i="4"/>
  <c r="BP75" i="4" s="1"/>
  <c r="BS67" i="4"/>
  <c r="BR67" i="4"/>
  <c r="BQ67" i="4"/>
  <c r="BP67" i="4"/>
  <c r="BS64" i="4"/>
  <c r="BS68" i="4" s="1"/>
  <c r="BR64" i="4"/>
  <c r="BR68" i="4" s="1"/>
  <c r="BQ64" i="4"/>
  <c r="BQ68" i="4" s="1"/>
  <c r="BP64" i="4"/>
  <c r="BP68" i="4" s="1"/>
  <c r="BS39" i="4"/>
  <c r="BR39" i="4"/>
  <c r="BQ39" i="4"/>
  <c r="BP39" i="4"/>
  <c r="BS36" i="4"/>
  <c r="BS40" i="4" s="1"/>
  <c r="BR36" i="4"/>
  <c r="BR40" i="4" s="1"/>
  <c r="BQ36" i="4"/>
  <c r="BQ40" i="4" s="1"/>
  <c r="BP36" i="4"/>
  <c r="BP40" i="4" s="1"/>
  <c r="BS32" i="4"/>
  <c r="BR32" i="4"/>
  <c r="BQ32" i="4"/>
  <c r="BP32" i="4"/>
  <c r="BS33" i="4"/>
  <c r="BR33" i="4"/>
  <c r="BQ33" i="4"/>
  <c r="BP33" i="4"/>
  <c r="BK99" i="4"/>
  <c r="BJ99" i="4"/>
  <c r="BI99" i="4"/>
  <c r="BH99" i="4"/>
  <c r="BK98" i="4"/>
  <c r="BK100" i="4" s="1"/>
  <c r="BJ98" i="4"/>
  <c r="BJ100" i="4" s="1"/>
  <c r="BI98" i="4"/>
  <c r="BI100" i="4" s="1"/>
  <c r="BH98" i="4"/>
  <c r="BH100" i="4" s="1"/>
  <c r="BK96" i="4"/>
  <c r="BJ96" i="4"/>
  <c r="BI96" i="4"/>
  <c r="BH96" i="4"/>
  <c r="BK95" i="4"/>
  <c r="BK97" i="4" s="1"/>
  <c r="BK101" i="4" s="1"/>
  <c r="BJ95" i="4"/>
  <c r="BJ97" i="4" s="1"/>
  <c r="BJ101" i="4" s="1"/>
  <c r="BI95" i="4"/>
  <c r="BI97" i="4" s="1"/>
  <c r="BI101" i="4" s="1"/>
  <c r="BH95" i="4"/>
  <c r="BJ92" i="4"/>
  <c r="BH92" i="4"/>
  <c r="BK88" i="4"/>
  <c r="BJ88" i="4"/>
  <c r="BI88" i="4"/>
  <c r="BH88" i="4"/>
  <c r="BK85" i="4"/>
  <c r="BK89" i="4" s="1"/>
  <c r="BJ85" i="4"/>
  <c r="BJ89" i="4" s="1"/>
  <c r="BI85" i="4"/>
  <c r="BI89" i="4" s="1"/>
  <c r="BH85" i="4"/>
  <c r="BH89" i="4" s="1"/>
  <c r="BC99" i="4"/>
  <c r="BB99" i="4"/>
  <c r="BA99" i="4"/>
  <c r="AZ99" i="4"/>
  <c r="BC98" i="4"/>
  <c r="BC100" i="4" s="1"/>
  <c r="BB98" i="4"/>
  <c r="BB100" i="4" s="1"/>
  <c r="BA98" i="4"/>
  <c r="BA100" i="4" s="1"/>
  <c r="AZ98" i="4"/>
  <c r="AZ100" i="4" s="1"/>
  <c r="BC96" i="4"/>
  <c r="BB96" i="4"/>
  <c r="BA96" i="4"/>
  <c r="AZ96" i="4"/>
  <c r="BC95" i="4"/>
  <c r="BC97" i="4" s="1"/>
  <c r="BC101" i="4" s="1"/>
  <c r="BB95" i="4"/>
  <c r="BB97" i="4" s="1"/>
  <c r="BB101" i="4" s="1"/>
  <c r="BA95" i="4"/>
  <c r="BA97" i="4" s="1"/>
  <c r="BA101" i="4" s="1"/>
  <c r="AZ95" i="4"/>
  <c r="AZ97" i="4" s="1"/>
  <c r="AZ101" i="4" s="1"/>
  <c r="BB92" i="4"/>
  <c r="AZ92" i="4"/>
  <c r="BC88" i="4"/>
  <c r="BB88" i="4"/>
  <c r="BA88" i="4"/>
  <c r="AZ88" i="4"/>
  <c r="BC85" i="4"/>
  <c r="BC89" i="4" s="1"/>
  <c r="BB85" i="4"/>
  <c r="BB89" i="4" s="1"/>
  <c r="BA85" i="4"/>
  <c r="BA89" i="4" s="1"/>
  <c r="AZ85" i="4"/>
  <c r="AZ89" i="4" s="1"/>
  <c r="BC81" i="4"/>
  <c r="BB81" i="4"/>
  <c r="BA81" i="4"/>
  <c r="AZ81" i="4"/>
  <c r="BC78" i="4"/>
  <c r="BC82" i="4" s="1"/>
  <c r="BB78" i="4"/>
  <c r="BB82" i="4" s="1"/>
  <c r="BA78" i="4"/>
  <c r="BA82" i="4" s="1"/>
  <c r="AZ78" i="4"/>
  <c r="AZ82" i="4" s="1"/>
  <c r="BC74" i="4"/>
  <c r="BB74" i="4"/>
  <c r="BA74" i="4"/>
  <c r="AZ74" i="4"/>
  <c r="BC71" i="4"/>
  <c r="BC75" i="4" s="1"/>
  <c r="BB71" i="4"/>
  <c r="BB75" i="4" s="1"/>
  <c r="BA71" i="4"/>
  <c r="BA75" i="4" s="1"/>
  <c r="AZ71" i="4"/>
  <c r="AZ75" i="4" s="1"/>
  <c r="BC67" i="4"/>
  <c r="BB67" i="4"/>
  <c r="BA67" i="4"/>
  <c r="AZ67" i="4"/>
  <c r="BC64" i="4"/>
  <c r="BC68" i="4" s="1"/>
  <c r="BB64" i="4"/>
  <c r="BB68" i="4" s="1"/>
  <c r="BA64" i="4"/>
  <c r="BA68" i="4" s="1"/>
  <c r="AZ64" i="4"/>
  <c r="AZ68" i="4" s="1"/>
  <c r="AU99" i="4"/>
  <c r="AT99" i="4"/>
  <c r="AS99" i="4"/>
  <c r="AR99" i="4"/>
  <c r="AU98" i="4"/>
  <c r="AU100" i="4" s="1"/>
  <c r="AT98" i="4"/>
  <c r="AT100" i="4" s="1"/>
  <c r="AS98" i="4"/>
  <c r="AS100" i="4" s="1"/>
  <c r="AR98" i="4"/>
  <c r="AU96" i="4"/>
  <c r="AT96" i="4"/>
  <c r="AS96" i="4"/>
  <c r="AR96" i="4"/>
  <c r="AU95" i="4"/>
  <c r="AU97" i="4" s="1"/>
  <c r="AU101" i="4" s="1"/>
  <c r="AT95" i="4"/>
  <c r="AT97" i="4" s="1"/>
  <c r="AT101" i="4" s="1"/>
  <c r="AS95" i="4"/>
  <c r="AS97" i="4" s="1"/>
  <c r="AS101" i="4" s="1"/>
  <c r="AR95" i="4"/>
  <c r="AT92" i="4"/>
  <c r="AR92" i="4"/>
  <c r="AU88" i="4"/>
  <c r="AT88" i="4"/>
  <c r="AS88" i="4"/>
  <c r="AR88" i="4"/>
  <c r="AU85" i="4"/>
  <c r="AU89" i="4" s="1"/>
  <c r="AT85" i="4"/>
  <c r="AT89" i="4" s="1"/>
  <c r="AS85" i="4"/>
  <c r="AS89" i="4" s="1"/>
  <c r="AR85" i="4"/>
  <c r="AR89" i="4" s="1"/>
  <c r="AU81" i="4"/>
  <c r="AT81" i="4"/>
  <c r="AS81" i="4"/>
  <c r="AR81" i="4"/>
  <c r="AU78" i="4"/>
  <c r="AU82" i="4" s="1"/>
  <c r="AT78" i="4"/>
  <c r="AT82" i="4" s="1"/>
  <c r="AS78" i="4"/>
  <c r="AS82" i="4" s="1"/>
  <c r="AR78" i="4"/>
  <c r="AR82" i="4" s="1"/>
  <c r="AU74" i="4"/>
  <c r="AT74" i="4"/>
  <c r="AS74" i="4"/>
  <c r="AR74" i="4"/>
  <c r="AU71" i="4"/>
  <c r="AU75" i="4" s="1"/>
  <c r="AT71" i="4"/>
  <c r="AT75" i="4" s="1"/>
  <c r="AS71" i="4"/>
  <c r="AS75" i="4" s="1"/>
  <c r="AR71" i="4"/>
  <c r="AR75" i="4" s="1"/>
  <c r="AU67" i="4"/>
  <c r="AT67" i="4"/>
  <c r="AS67" i="4"/>
  <c r="AR67" i="4"/>
  <c r="AU64" i="4"/>
  <c r="AU68" i="4" s="1"/>
  <c r="AT64" i="4"/>
  <c r="AT68" i="4" s="1"/>
  <c r="AS64" i="4"/>
  <c r="AS68" i="4" s="1"/>
  <c r="AR64" i="4"/>
  <c r="AR68" i="4" s="1"/>
  <c r="AM99" i="4"/>
  <c r="AL99" i="4"/>
  <c r="AK99" i="4"/>
  <c r="AJ99" i="4"/>
  <c r="AM98" i="4"/>
  <c r="AM100" i="4" s="1"/>
  <c r="AL98" i="4"/>
  <c r="AL100" i="4" s="1"/>
  <c r="AK98" i="4"/>
  <c r="AK100" i="4" s="1"/>
  <c r="AJ98" i="4"/>
  <c r="AJ100" i="4" s="1"/>
  <c r="AM96" i="4"/>
  <c r="AL96" i="4"/>
  <c r="AK96" i="4"/>
  <c r="AJ96" i="4"/>
  <c r="AM95" i="4"/>
  <c r="AM97" i="4" s="1"/>
  <c r="AM101" i="4" s="1"/>
  <c r="AL95" i="4"/>
  <c r="AL97" i="4" s="1"/>
  <c r="AK95" i="4"/>
  <c r="AK97" i="4" s="1"/>
  <c r="AK101" i="4" s="1"/>
  <c r="AJ95" i="4"/>
  <c r="AJ97" i="4" s="1"/>
  <c r="AJ101" i="4" s="1"/>
  <c r="AL92" i="4"/>
  <c r="AJ92" i="4"/>
  <c r="AM88" i="4"/>
  <c r="AL88" i="4"/>
  <c r="AK88" i="4"/>
  <c r="AJ88" i="4"/>
  <c r="AM85" i="4"/>
  <c r="AM89" i="4" s="1"/>
  <c r="AL85" i="4"/>
  <c r="AL89" i="4" s="1"/>
  <c r="AK85" i="4"/>
  <c r="AK89" i="4" s="1"/>
  <c r="AJ85" i="4"/>
  <c r="AJ89" i="4" s="1"/>
  <c r="AM81" i="4"/>
  <c r="AL81" i="4"/>
  <c r="AK81" i="4"/>
  <c r="AJ81" i="4"/>
  <c r="AM78" i="4"/>
  <c r="AM82" i="4" s="1"/>
  <c r="AL78" i="4"/>
  <c r="AL82" i="4" s="1"/>
  <c r="AK78" i="4"/>
  <c r="AK82" i="4" s="1"/>
  <c r="AJ78" i="4"/>
  <c r="AJ82" i="4" s="1"/>
  <c r="AM74" i="4"/>
  <c r="AL74" i="4"/>
  <c r="AK74" i="4"/>
  <c r="AJ74" i="4"/>
  <c r="AM71" i="4"/>
  <c r="AM75" i="4" s="1"/>
  <c r="AL71" i="4"/>
  <c r="AL75" i="4" s="1"/>
  <c r="AK71" i="4"/>
  <c r="AK75" i="4" s="1"/>
  <c r="AJ71" i="4"/>
  <c r="AJ75" i="4" s="1"/>
  <c r="AM67" i="4"/>
  <c r="AL67" i="4"/>
  <c r="AK67" i="4"/>
  <c r="AJ67" i="4"/>
  <c r="AM64" i="4"/>
  <c r="AM68" i="4" s="1"/>
  <c r="AL64" i="4"/>
  <c r="AL68" i="4" s="1"/>
  <c r="AK64" i="4"/>
  <c r="AK68" i="4" s="1"/>
  <c r="AJ64" i="4"/>
  <c r="AM60" i="4"/>
  <c r="AL60" i="4"/>
  <c r="AK60" i="4"/>
  <c r="AJ60" i="4"/>
  <c r="AM61" i="4"/>
  <c r="AL61" i="4"/>
  <c r="AK61" i="4"/>
  <c r="AJ61" i="4"/>
  <c r="AM53" i="4"/>
  <c r="AL53" i="4"/>
  <c r="AK53" i="4"/>
  <c r="AJ53" i="4"/>
  <c r="AM54" i="4"/>
  <c r="AL54" i="4"/>
  <c r="AK54" i="4"/>
  <c r="AJ54" i="4"/>
  <c r="AM46" i="4"/>
  <c r="AL46" i="4"/>
  <c r="AK46" i="4"/>
  <c r="AJ46" i="4"/>
  <c r="AJ47" i="4" s="1"/>
  <c r="AM47" i="4"/>
  <c r="AL47" i="4"/>
  <c r="AK47" i="4"/>
  <c r="AM39" i="4"/>
  <c r="AL39" i="4"/>
  <c r="AK39" i="4"/>
  <c r="AJ39" i="4"/>
  <c r="AM36" i="4"/>
  <c r="AM40" i="4" s="1"/>
  <c r="AL36" i="4"/>
  <c r="AL40" i="4" s="1"/>
  <c r="AK36" i="4"/>
  <c r="AK40" i="4" s="1"/>
  <c r="AJ36" i="4"/>
  <c r="AJ40" i="4" s="1"/>
  <c r="AM32" i="4"/>
  <c r="AL32" i="4"/>
  <c r="AK32" i="4"/>
  <c r="AJ32" i="4"/>
  <c r="AJ33" i="4" s="1"/>
  <c r="AM33" i="4"/>
  <c r="AL33" i="4"/>
  <c r="AK33" i="4"/>
  <c r="AM25" i="4"/>
  <c r="AL25" i="4"/>
  <c r="AK25" i="4"/>
  <c r="AJ25" i="4"/>
  <c r="AM26" i="4"/>
  <c r="AL26" i="4"/>
  <c r="AK26" i="4"/>
  <c r="AJ26" i="4"/>
  <c r="AM19" i="4"/>
  <c r="AL19" i="4"/>
  <c r="AK19" i="4"/>
  <c r="AJ19" i="4"/>
  <c r="AM11" i="4"/>
  <c r="AL11" i="4"/>
  <c r="AK11" i="4"/>
  <c r="AJ11" i="4"/>
  <c r="AJ12" i="4" s="1"/>
  <c r="AM12" i="4"/>
  <c r="AL12" i="4"/>
  <c r="AK12" i="4"/>
  <c r="AE99" i="4"/>
  <c r="AD99" i="4"/>
  <c r="AC99" i="4"/>
  <c r="AB99" i="4"/>
  <c r="AE98" i="4"/>
  <c r="AE100" i="4" s="1"/>
  <c r="AD98" i="4"/>
  <c r="AC98" i="4"/>
  <c r="AC100" i="4" s="1"/>
  <c r="AB98" i="4"/>
  <c r="AB100" i="4" s="1"/>
  <c r="AE96" i="4"/>
  <c r="AD96" i="4"/>
  <c r="AC96" i="4"/>
  <c r="AB96" i="4"/>
  <c r="AE95" i="4"/>
  <c r="AE97" i="4" s="1"/>
  <c r="AE101" i="4" s="1"/>
  <c r="AD95" i="4"/>
  <c r="AD97" i="4" s="1"/>
  <c r="AC95" i="4"/>
  <c r="AC97" i="4" s="1"/>
  <c r="AC101" i="4" s="1"/>
  <c r="AB95" i="4"/>
  <c r="AB97" i="4" s="1"/>
  <c r="AD92" i="4"/>
  <c r="AB92" i="4"/>
  <c r="AE88" i="4"/>
  <c r="AD88" i="4"/>
  <c r="AC88" i="4"/>
  <c r="AB88" i="4"/>
  <c r="AE85" i="4"/>
  <c r="AE89" i="4" s="1"/>
  <c r="AD85" i="4"/>
  <c r="AD89" i="4" s="1"/>
  <c r="AC85" i="4"/>
  <c r="AC89" i="4" s="1"/>
  <c r="AB85" i="4"/>
  <c r="AB89" i="4" s="1"/>
  <c r="AE81" i="4"/>
  <c r="AD81" i="4"/>
  <c r="AC81" i="4"/>
  <c r="AB81" i="4"/>
  <c r="AE78" i="4"/>
  <c r="AE82" i="4" s="1"/>
  <c r="AD78" i="4"/>
  <c r="AD82" i="4" s="1"/>
  <c r="AC78" i="4"/>
  <c r="AC82" i="4" s="1"/>
  <c r="AB78" i="4"/>
  <c r="AB82" i="4" s="1"/>
  <c r="AE74" i="4"/>
  <c r="AD74" i="4"/>
  <c r="AC74" i="4"/>
  <c r="AB74" i="4"/>
  <c r="AE71" i="4"/>
  <c r="AE75" i="4" s="1"/>
  <c r="AD71" i="4"/>
  <c r="AD75" i="4" s="1"/>
  <c r="AC71" i="4"/>
  <c r="AC75" i="4" s="1"/>
  <c r="AB71" i="4"/>
  <c r="AB75" i="4" s="1"/>
  <c r="AE67" i="4"/>
  <c r="AD67" i="4"/>
  <c r="AC67" i="4"/>
  <c r="AB67" i="4"/>
  <c r="AE68" i="4"/>
  <c r="AD68" i="4"/>
  <c r="AC68" i="4"/>
  <c r="AB68" i="4"/>
  <c r="W99" i="4"/>
  <c r="V99" i="4"/>
  <c r="U99" i="4"/>
  <c r="T99" i="4"/>
  <c r="W98" i="4"/>
  <c r="W100" i="4" s="1"/>
  <c r="V98" i="4"/>
  <c r="U98" i="4"/>
  <c r="U100" i="4" s="1"/>
  <c r="T98" i="4"/>
  <c r="T100" i="4" s="1"/>
  <c r="W96" i="4"/>
  <c r="V96" i="4"/>
  <c r="U96" i="4"/>
  <c r="T96" i="4"/>
  <c r="W95" i="4"/>
  <c r="W97" i="4" s="1"/>
  <c r="W101" i="4" s="1"/>
  <c r="V95" i="4"/>
  <c r="V97" i="4" s="1"/>
  <c r="U95" i="4"/>
  <c r="U97" i="4" s="1"/>
  <c r="U101" i="4" s="1"/>
  <c r="T95" i="4"/>
  <c r="V92" i="4"/>
  <c r="T92" i="4"/>
  <c r="W88" i="4"/>
  <c r="V88" i="4"/>
  <c r="U88" i="4"/>
  <c r="T88" i="4"/>
  <c r="W85" i="4"/>
  <c r="W89" i="4" s="1"/>
  <c r="V85" i="4"/>
  <c r="V89" i="4" s="1"/>
  <c r="U85" i="4"/>
  <c r="U89" i="4" s="1"/>
  <c r="T85" i="4"/>
  <c r="T89" i="4" s="1"/>
  <c r="W81" i="4"/>
  <c r="V81" i="4"/>
  <c r="U81" i="4"/>
  <c r="T81" i="4"/>
  <c r="W78" i="4"/>
  <c r="W82" i="4" s="1"/>
  <c r="V78" i="4"/>
  <c r="V82" i="4" s="1"/>
  <c r="U78" i="4"/>
  <c r="U82" i="4" s="1"/>
  <c r="T78" i="4"/>
  <c r="T82" i="4" s="1"/>
  <c r="W74" i="4"/>
  <c r="V74" i="4"/>
  <c r="U74" i="4"/>
  <c r="T74" i="4"/>
  <c r="W71" i="4"/>
  <c r="W75" i="4" s="1"/>
  <c r="V71" i="4"/>
  <c r="V75" i="4" s="1"/>
  <c r="U71" i="4"/>
  <c r="U75" i="4" s="1"/>
  <c r="T71" i="4"/>
  <c r="T75" i="4" s="1"/>
  <c r="W67" i="4"/>
  <c r="V67" i="4"/>
  <c r="U67" i="4"/>
  <c r="T67" i="4"/>
  <c r="W64" i="4"/>
  <c r="W68" i="4" s="1"/>
  <c r="V64" i="4"/>
  <c r="V68" i="4" s="1"/>
  <c r="U64" i="4"/>
  <c r="U68" i="4" s="1"/>
  <c r="T64" i="4"/>
  <c r="T68" i="4" s="1"/>
  <c r="O99" i="4"/>
  <c r="N99" i="4"/>
  <c r="M99" i="4"/>
  <c r="L99" i="4"/>
  <c r="O98" i="4"/>
  <c r="O100" i="4" s="1"/>
  <c r="N98" i="4"/>
  <c r="N100" i="4" s="1"/>
  <c r="M98" i="4"/>
  <c r="M100" i="4" s="1"/>
  <c r="L98" i="4"/>
  <c r="L100" i="4" s="1"/>
  <c r="O96" i="4"/>
  <c r="N96" i="4"/>
  <c r="M96" i="4"/>
  <c r="L96" i="4"/>
  <c r="O95" i="4"/>
  <c r="O97" i="4" s="1"/>
  <c r="O101" i="4" s="1"/>
  <c r="N95" i="4"/>
  <c r="N97" i="4" s="1"/>
  <c r="N101" i="4" s="1"/>
  <c r="M95" i="4"/>
  <c r="M97" i="4" s="1"/>
  <c r="M101" i="4" s="1"/>
  <c r="L95" i="4"/>
  <c r="N92" i="4"/>
  <c r="L92" i="4"/>
  <c r="O88" i="4"/>
  <c r="N88" i="4"/>
  <c r="M88" i="4"/>
  <c r="L88" i="4"/>
  <c r="O85" i="4"/>
  <c r="O89" i="4" s="1"/>
  <c r="N85" i="4"/>
  <c r="N89" i="4" s="1"/>
  <c r="M85" i="4"/>
  <c r="M89" i="4" s="1"/>
  <c r="L85" i="4"/>
  <c r="L89" i="4" s="1"/>
  <c r="O81" i="4"/>
  <c r="N81" i="4"/>
  <c r="M81" i="4"/>
  <c r="L81" i="4"/>
  <c r="O78" i="4"/>
  <c r="O82" i="4" s="1"/>
  <c r="N78" i="4"/>
  <c r="N82" i="4" s="1"/>
  <c r="M78" i="4"/>
  <c r="M82" i="4" s="1"/>
  <c r="L78" i="4"/>
  <c r="L82" i="4" s="1"/>
  <c r="O74" i="4"/>
  <c r="N74" i="4"/>
  <c r="M74" i="4"/>
  <c r="L74" i="4"/>
  <c r="O71" i="4"/>
  <c r="O75" i="4" s="1"/>
  <c r="N71" i="4"/>
  <c r="N75" i="4" s="1"/>
  <c r="M71" i="4"/>
  <c r="M75" i="4" s="1"/>
  <c r="L71" i="4"/>
  <c r="L75" i="4" s="1"/>
  <c r="O67" i="4"/>
  <c r="N67" i="4"/>
  <c r="M67" i="4"/>
  <c r="L67" i="4"/>
  <c r="O64" i="4"/>
  <c r="O68" i="4" s="1"/>
  <c r="N64" i="4"/>
  <c r="N68" i="4" s="1"/>
  <c r="M64" i="4"/>
  <c r="M68" i="4" s="1"/>
  <c r="L64" i="4"/>
  <c r="L68" i="4" s="1"/>
  <c r="O60" i="4"/>
  <c r="N60" i="4"/>
  <c r="N61" i="4" s="1"/>
  <c r="M60" i="4"/>
  <c r="M61" i="4" s="1"/>
  <c r="L60" i="4"/>
  <c r="O61" i="4"/>
  <c r="L61" i="4"/>
  <c r="O53" i="4"/>
  <c r="N53" i="4"/>
  <c r="M53" i="4"/>
  <c r="L53" i="4"/>
  <c r="O54" i="4"/>
  <c r="N54" i="4"/>
  <c r="M54" i="4"/>
  <c r="L54" i="4"/>
  <c r="O46" i="4"/>
  <c r="N46" i="4"/>
  <c r="M46" i="4"/>
  <c r="L46" i="4"/>
  <c r="O47" i="4"/>
  <c r="N47" i="4"/>
  <c r="M47" i="4"/>
  <c r="L47" i="4"/>
  <c r="O39" i="4"/>
  <c r="N39" i="4"/>
  <c r="M39" i="4"/>
  <c r="L39" i="4"/>
  <c r="O36" i="4"/>
  <c r="O40" i="4" s="1"/>
  <c r="N36" i="4"/>
  <c r="N40" i="4" s="1"/>
  <c r="M36" i="4"/>
  <c r="M40" i="4" s="1"/>
  <c r="L36" i="4"/>
  <c r="L40" i="4" s="1"/>
  <c r="O32" i="4"/>
  <c r="N32" i="4"/>
  <c r="M32" i="4"/>
  <c r="L32" i="4"/>
  <c r="O29" i="4"/>
  <c r="O33" i="4" s="1"/>
  <c r="N29" i="4"/>
  <c r="N33" i="4" s="1"/>
  <c r="M29" i="4"/>
  <c r="M33" i="4" s="1"/>
  <c r="L29" i="4"/>
  <c r="L33" i="4" s="1"/>
  <c r="O25" i="4"/>
  <c r="N25" i="4"/>
  <c r="M25" i="4"/>
  <c r="L25" i="4"/>
  <c r="O26" i="4"/>
  <c r="N26" i="4"/>
  <c r="M26" i="4"/>
  <c r="L26" i="4"/>
  <c r="O19" i="4"/>
  <c r="N19" i="4"/>
  <c r="M19" i="4"/>
  <c r="L19" i="4"/>
  <c r="O11" i="4"/>
  <c r="N11" i="4"/>
  <c r="N12" i="4" s="1"/>
  <c r="M11" i="4"/>
  <c r="M12" i="4" s="1"/>
  <c r="L11" i="4"/>
  <c r="L12" i="4" s="1"/>
  <c r="O12" i="4"/>
  <c r="G85" i="4"/>
  <c r="F85" i="4"/>
  <c r="E85" i="4"/>
  <c r="D85" i="4"/>
  <c r="G78" i="4"/>
  <c r="F78" i="4"/>
  <c r="E78" i="4"/>
  <c r="D78" i="4"/>
  <c r="G71" i="4"/>
  <c r="F71" i="4"/>
  <c r="E71" i="4"/>
  <c r="D71" i="4"/>
  <c r="G64" i="4"/>
  <c r="F64" i="4"/>
  <c r="E64" i="4"/>
  <c r="D64" i="4"/>
  <c r="G36" i="4"/>
  <c r="F36" i="4"/>
  <c r="E36" i="4"/>
  <c r="D36" i="4"/>
  <c r="D99" i="4"/>
  <c r="E99" i="4"/>
  <c r="F99" i="4"/>
  <c r="G99" i="4"/>
  <c r="E98" i="4"/>
  <c r="F98" i="4"/>
  <c r="G98" i="4"/>
  <c r="D98" i="4"/>
  <c r="D96" i="4"/>
  <c r="E96" i="4"/>
  <c r="F96" i="4"/>
  <c r="G96" i="4"/>
  <c r="E95" i="4"/>
  <c r="F95" i="4"/>
  <c r="G95" i="4"/>
  <c r="D95" i="4"/>
  <c r="BS100" i="4" l="1"/>
  <c r="BS101" i="4" s="1"/>
  <c r="BR100" i="4"/>
  <c r="BR101" i="4" s="1"/>
  <c r="AJ68" i="4"/>
  <c r="AR100" i="4"/>
  <c r="AD100" i="4"/>
  <c r="AD101" i="4" s="1"/>
  <c r="L97" i="4"/>
  <c r="L101" i="4" s="1"/>
  <c r="AL101" i="4"/>
  <c r="AR97" i="4"/>
  <c r="AR101" i="4" s="1"/>
  <c r="BP89" i="4"/>
  <c r="BX100" i="4"/>
  <c r="BX101" i="4" s="1"/>
  <c r="BH97" i="4"/>
  <c r="BH101" i="4" s="1"/>
  <c r="CF40" i="4"/>
  <c r="T97" i="4"/>
  <c r="T101" i="4" s="1"/>
  <c r="V100" i="4"/>
  <c r="V101" i="4" s="1"/>
  <c r="BZ89" i="4"/>
  <c r="CF82" i="4"/>
  <c r="CN101" i="4"/>
  <c r="BP101" i="4"/>
  <c r="AB101" i="4"/>
  <c r="CP3" i="6" l="1"/>
  <c r="CH3" i="6"/>
  <c r="BZ3" i="6"/>
  <c r="BR3" i="6"/>
  <c r="BJ3" i="6"/>
  <c r="BB3" i="6"/>
  <c r="AT3" i="6"/>
  <c r="AL3" i="6"/>
  <c r="AD3" i="6"/>
  <c r="V3" i="6"/>
  <c r="N3" i="6"/>
  <c r="CQ10" i="6"/>
  <c r="CP10" i="6"/>
  <c r="CO10" i="6"/>
  <c r="CN10" i="6"/>
  <c r="CQ7" i="6"/>
  <c r="CP7" i="6"/>
  <c r="CO7" i="6"/>
  <c r="CN7" i="6"/>
  <c r="CI10" i="6"/>
  <c r="CH10" i="6"/>
  <c r="CG10" i="6"/>
  <c r="CF10" i="6"/>
  <c r="CI7" i="6"/>
  <c r="CH7" i="6"/>
  <c r="CG7" i="6"/>
  <c r="CF7" i="6"/>
  <c r="CA10" i="6"/>
  <c r="BZ10" i="6"/>
  <c r="BY10" i="6"/>
  <c r="BX10" i="6"/>
  <c r="CA7" i="6"/>
  <c r="BZ7" i="6"/>
  <c r="BY7" i="6"/>
  <c r="BX7" i="6"/>
  <c r="BS10" i="6"/>
  <c r="BR10" i="6"/>
  <c r="BQ10" i="6"/>
  <c r="BP10" i="6"/>
  <c r="BS7" i="6"/>
  <c r="BR7" i="6"/>
  <c r="BQ7" i="6"/>
  <c r="BP7" i="6"/>
  <c r="BK10" i="6"/>
  <c r="BJ10" i="6"/>
  <c r="BI10" i="6"/>
  <c r="BH10" i="6"/>
  <c r="BK7" i="6"/>
  <c r="BJ7" i="6"/>
  <c r="BI7" i="6"/>
  <c r="BH7" i="6"/>
  <c r="BC10" i="6"/>
  <c r="BB10" i="6"/>
  <c r="BA10" i="6"/>
  <c r="AZ10" i="6"/>
  <c r="BC7" i="6"/>
  <c r="BB7" i="6"/>
  <c r="BA7" i="6"/>
  <c r="AZ7" i="6"/>
  <c r="AU10" i="6"/>
  <c r="AT10" i="6"/>
  <c r="AS10" i="6"/>
  <c r="AR10" i="6"/>
  <c r="AU7" i="6"/>
  <c r="AT7" i="6"/>
  <c r="AS7" i="6"/>
  <c r="AR7" i="6"/>
  <c r="AM10" i="6"/>
  <c r="AL10" i="6"/>
  <c r="AK10" i="6"/>
  <c r="AJ10" i="6"/>
  <c r="AM7" i="6"/>
  <c r="AL7" i="6"/>
  <c r="AK7" i="6"/>
  <c r="AJ7" i="6"/>
  <c r="AE10" i="6"/>
  <c r="AD10" i="6"/>
  <c r="AC10" i="6"/>
  <c r="AB10" i="6"/>
  <c r="AE7" i="6"/>
  <c r="AD7" i="6"/>
  <c r="AC7" i="6"/>
  <c r="AB7" i="6"/>
  <c r="W10" i="6"/>
  <c r="V10" i="6"/>
  <c r="U10" i="6"/>
  <c r="T10" i="6"/>
  <c r="W7" i="6"/>
  <c r="V7" i="6"/>
  <c r="U7" i="6"/>
  <c r="T7" i="6"/>
  <c r="O10" i="6"/>
  <c r="N10" i="6"/>
  <c r="M10" i="6"/>
  <c r="L10" i="6"/>
  <c r="O7" i="6"/>
  <c r="N7" i="6"/>
  <c r="M7" i="6"/>
  <c r="L7" i="6"/>
  <c r="D6" i="6"/>
  <c r="CG6" i="6" l="1"/>
  <c r="CG8" i="6" s="1"/>
  <c r="CG9" i="6"/>
  <c r="CG11" i="6" s="1"/>
  <c r="CF6" i="6"/>
  <c r="CF8" i="6" s="1"/>
  <c r="CF9" i="6"/>
  <c r="CF11" i="6" s="1"/>
  <c r="CI6" i="6"/>
  <c r="CI8" i="6" s="1"/>
  <c r="CI9" i="6"/>
  <c r="CI11" i="6" s="1"/>
  <c r="CH6" i="6"/>
  <c r="CH8" i="6" s="1"/>
  <c r="CH9" i="6"/>
  <c r="CH11" i="6" s="1"/>
  <c r="BX9" i="6"/>
  <c r="BX11" i="6" s="1"/>
  <c r="BX6" i="6"/>
  <c r="BX8" i="6" s="1"/>
  <c r="CA9" i="6"/>
  <c r="CA11" i="6" s="1"/>
  <c r="BZ9" i="6"/>
  <c r="BZ11" i="6" s="1"/>
  <c r="BY9" i="6"/>
  <c r="BY11" i="6" s="1"/>
  <c r="CA6" i="6"/>
  <c r="CA8" i="6" s="1"/>
  <c r="BZ6" i="6"/>
  <c r="BZ8" i="6" s="1"/>
  <c r="BY6" i="6"/>
  <c r="BY8" i="6" s="1"/>
  <c r="BP9" i="6"/>
  <c r="BP11" i="6" s="1"/>
  <c r="BR9" i="6"/>
  <c r="BR11" i="6" s="1"/>
  <c r="BP6" i="6"/>
  <c r="BS9" i="6"/>
  <c r="BQ9" i="6"/>
  <c r="BS6" i="6"/>
  <c r="BR6" i="6"/>
  <c r="BQ6" i="6"/>
  <c r="BH9" i="6"/>
  <c r="BH11" i="6" s="1"/>
  <c r="BH6" i="6"/>
  <c r="BH8" i="6" s="1"/>
  <c r="BK9" i="6"/>
  <c r="BK11" i="6" s="1"/>
  <c r="BJ9" i="6"/>
  <c r="BI9" i="6"/>
  <c r="BK6" i="6"/>
  <c r="BJ6" i="6"/>
  <c r="BJ8" i="6" s="1"/>
  <c r="BI6" i="6"/>
  <c r="AZ9" i="6"/>
  <c r="AZ11" i="6" s="1"/>
  <c r="AZ6" i="6"/>
  <c r="AZ8" i="6" s="1"/>
  <c r="BC9" i="6"/>
  <c r="BC11" i="6" s="1"/>
  <c r="BB9" i="6"/>
  <c r="BB11" i="6" s="1"/>
  <c r="BA9" i="6"/>
  <c r="BA11" i="6" s="1"/>
  <c r="BC6" i="6"/>
  <c r="BC8" i="6" s="1"/>
  <c r="BB6" i="6"/>
  <c r="BB8" i="6" s="1"/>
  <c r="BA6" i="6"/>
  <c r="BA8" i="6" s="1"/>
  <c r="AU9" i="6"/>
  <c r="AU11" i="6" s="1"/>
  <c r="AR9" i="6"/>
  <c r="AR6" i="6"/>
  <c r="AS9" i="6"/>
  <c r="AT9" i="6"/>
  <c r="AU6" i="6"/>
  <c r="AT6" i="6"/>
  <c r="AT8" i="6" s="1"/>
  <c r="AS6" i="6"/>
  <c r="AJ9" i="6"/>
  <c r="AJ11" i="6" s="1"/>
  <c r="AJ6" i="6"/>
  <c r="AM9" i="6"/>
  <c r="AM11" i="6" s="1"/>
  <c r="AL9" i="6"/>
  <c r="AK9" i="6"/>
  <c r="AM6" i="6"/>
  <c r="AM8" i="6" s="1"/>
  <c r="AL6" i="6"/>
  <c r="AK6" i="6"/>
  <c r="AB9" i="6"/>
  <c r="AB11" i="6" s="1"/>
  <c r="AB6" i="6"/>
  <c r="AE9" i="6"/>
  <c r="AE11" i="6" s="1"/>
  <c r="AD9" i="6"/>
  <c r="AD11" i="6" s="1"/>
  <c r="AC9" i="6"/>
  <c r="AE6" i="6"/>
  <c r="AE8" i="6" s="1"/>
  <c r="AD6" i="6"/>
  <c r="AC6" i="6"/>
  <c r="L9" i="6"/>
  <c r="L6" i="6"/>
  <c r="O9" i="6"/>
  <c r="O11" i="6" s="1"/>
  <c r="N9" i="6"/>
  <c r="M9" i="6"/>
  <c r="M11" i="6" s="1"/>
  <c r="O6" i="6"/>
  <c r="N6" i="6"/>
  <c r="M6" i="6"/>
  <c r="U6" i="6"/>
  <c r="U9" i="6"/>
  <c r="T6" i="6"/>
  <c r="T8" i="6" s="1"/>
  <c r="T9" i="6"/>
  <c r="W6" i="6"/>
  <c r="W9" i="6"/>
  <c r="V6" i="6"/>
  <c r="V8" i="6" s="1"/>
  <c r="V9" i="6"/>
  <c r="CN6" i="6"/>
  <c r="CN8" i="6" s="1"/>
  <c r="CN9" i="6"/>
  <c r="CN11" i="6" s="1"/>
  <c r="CQ6" i="6"/>
  <c r="CQ8" i="6" s="1"/>
  <c r="CQ9" i="6"/>
  <c r="CQ11" i="6" s="1"/>
  <c r="CP6" i="6"/>
  <c r="CP8" i="6" s="1"/>
  <c r="CP9" i="6"/>
  <c r="CP11" i="6" s="1"/>
  <c r="CO6" i="6"/>
  <c r="CO8" i="6" s="1"/>
  <c r="CO9" i="6"/>
  <c r="CO11" i="6" s="1"/>
  <c r="G88" i="4"/>
  <c r="F88" i="4"/>
  <c r="F89" i="4" s="1"/>
  <c r="E88" i="4"/>
  <c r="D88" i="4"/>
  <c r="D89" i="4" s="1"/>
  <c r="CY87" i="4"/>
  <c r="CX87" i="4"/>
  <c r="CW87" i="4"/>
  <c r="CV87" i="4"/>
  <c r="CY86" i="4"/>
  <c r="CX86" i="4"/>
  <c r="CW86" i="4"/>
  <c r="CV86" i="4"/>
  <c r="G89" i="4"/>
  <c r="E89" i="4"/>
  <c r="CY84" i="4"/>
  <c r="CX84" i="4"/>
  <c r="CW84" i="4"/>
  <c r="CV84" i="4"/>
  <c r="CY83" i="4"/>
  <c r="CX83" i="4"/>
  <c r="CW83" i="4"/>
  <c r="CV83" i="4"/>
  <c r="CS83" i="4"/>
  <c r="G81" i="4"/>
  <c r="G82" i="4" s="1"/>
  <c r="F81" i="4"/>
  <c r="E81" i="4"/>
  <c r="E82" i="4" s="1"/>
  <c r="D81" i="4"/>
  <c r="D82" i="4" s="1"/>
  <c r="CY80" i="4"/>
  <c r="CX80" i="4"/>
  <c r="CW80" i="4"/>
  <c r="CV80" i="4"/>
  <c r="CY79" i="4"/>
  <c r="CX79" i="4"/>
  <c r="CW79" i="4"/>
  <c r="CV79" i="4"/>
  <c r="F82" i="4"/>
  <c r="CY77" i="4"/>
  <c r="CX77" i="4"/>
  <c r="CW77" i="4"/>
  <c r="CV77" i="4"/>
  <c r="CY76" i="4"/>
  <c r="CX76" i="4"/>
  <c r="CW76" i="4"/>
  <c r="CV76" i="4"/>
  <c r="CS76" i="4"/>
  <c r="CY88" i="4" l="1"/>
  <c r="CW88" i="4"/>
  <c r="CV78" i="4"/>
  <c r="CF12" i="6"/>
  <c r="CH12" i="6"/>
  <c r="CX81" i="4"/>
  <c r="CY78" i="4"/>
  <c r="CX78" i="4"/>
  <c r="CY81" i="4"/>
  <c r="CV88" i="4"/>
  <c r="CV81" i="4"/>
  <c r="BX12" i="6"/>
  <c r="BZ12" i="6"/>
  <c r="CA12" i="6"/>
  <c r="BQ11" i="6"/>
  <c r="BP8" i="6"/>
  <c r="BP12" i="6" s="1"/>
  <c r="BS11" i="6"/>
  <c r="BR8" i="6"/>
  <c r="BR12" i="6" s="1"/>
  <c r="BS8" i="6"/>
  <c r="BQ8" i="6"/>
  <c r="BH12" i="6"/>
  <c r="BI11" i="6"/>
  <c r="BJ11" i="6"/>
  <c r="BJ12" i="6" s="1"/>
  <c r="BI8" i="6"/>
  <c r="BK8" i="6"/>
  <c r="BK12" i="6" s="1"/>
  <c r="AZ12" i="6"/>
  <c r="BC12" i="6"/>
  <c r="BB12" i="6"/>
  <c r="BA12" i="6"/>
  <c r="AS8" i="6"/>
  <c r="AR11" i="6"/>
  <c r="AR8" i="6"/>
  <c r="CV85" i="4"/>
  <c r="AT11" i="6"/>
  <c r="AT12" i="6" s="1"/>
  <c r="AS11" i="6"/>
  <c r="AU8" i="6"/>
  <c r="AU12" i="6" s="1"/>
  <c r="AJ8" i="6"/>
  <c r="AJ12" i="6" s="1"/>
  <c r="AK11" i="6"/>
  <c r="AM12" i="6"/>
  <c r="AK8" i="6"/>
  <c r="AL11" i="6"/>
  <c r="AL8" i="6"/>
  <c r="AB8" i="6"/>
  <c r="AB12" i="6" s="1"/>
  <c r="AD8" i="6"/>
  <c r="AD12" i="6" s="1"/>
  <c r="CY85" i="4"/>
  <c r="CY89" i="4" s="1"/>
  <c r="AC11" i="6"/>
  <c r="AC8" i="6"/>
  <c r="U11" i="6"/>
  <c r="T11" i="6"/>
  <c r="T12" i="6" s="1"/>
  <c r="V11" i="6"/>
  <c r="V12" i="6" s="1"/>
  <c r="W8" i="6"/>
  <c r="U8" i="6"/>
  <c r="L8" i="6"/>
  <c r="L11" i="6"/>
  <c r="M8" i="6"/>
  <c r="M12" i="6" s="1"/>
  <c r="N11" i="6"/>
  <c r="N8" i="6"/>
  <c r="O8" i="6"/>
  <c r="O12" i="6" s="1"/>
  <c r="W11" i="6"/>
  <c r="CX88" i="4"/>
  <c r="CX85" i="4"/>
  <c r="CO12" i="6"/>
  <c r="CQ12" i="6"/>
  <c r="CN12" i="6"/>
  <c r="CP12" i="6"/>
  <c r="CG12" i="6"/>
  <c r="CI12" i="6"/>
  <c r="BY12" i="6"/>
  <c r="AE12" i="6"/>
  <c r="CW78" i="4"/>
  <c r="CW85" i="4"/>
  <c r="CW81" i="4"/>
  <c r="CW89" i="4" l="1"/>
  <c r="CX82" i="4"/>
  <c r="CV82" i="4"/>
  <c r="CY82" i="4"/>
  <c r="CV89" i="4"/>
  <c r="BQ12" i="6"/>
  <c r="CW82" i="4"/>
  <c r="BS12" i="6"/>
  <c r="BI12" i="6"/>
  <c r="AS12" i="6"/>
  <c r="AR12" i="6"/>
  <c r="AK12" i="6"/>
  <c r="AL12" i="6"/>
  <c r="AC12" i="6"/>
  <c r="CX89" i="4"/>
  <c r="U12" i="6"/>
  <c r="W12" i="6"/>
  <c r="L12" i="6"/>
  <c r="N12" i="6"/>
  <c r="G74" i="4"/>
  <c r="F74" i="4"/>
  <c r="E74" i="4"/>
  <c r="D74" i="4"/>
  <c r="CY73" i="4"/>
  <c r="CX73" i="4"/>
  <c r="CW73" i="4"/>
  <c r="CV73" i="4"/>
  <c r="CY72" i="4"/>
  <c r="CX72" i="4"/>
  <c r="CW72" i="4"/>
  <c r="CV72" i="4"/>
  <c r="CY70" i="4"/>
  <c r="CX70" i="4"/>
  <c r="CW70" i="4"/>
  <c r="CV70" i="4"/>
  <c r="CY69" i="4"/>
  <c r="CX69" i="4"/>
  <c r="CW69" i="4"/>
  <c r="CV69" i="4"/>
  <c r="CV71" i="4" s="1"/>
  <c r="CS69" i="4"/>
  <c r="G67" i="4"/>
  <c r="F67" i="4"/>
  <c r="E67" i="4"/>
  <c r="D67" i="4"/>
  <c r="CY66" i="4"/>
  <c r="CX66" i="4"/>
  <c r="CW66" i="4"/>
  <c r="CV66" i="4"/>
  <c r="CY65" i="4"/>
  <c r="CX65" i="4"/>
  <c r="CW65" i="4"/>
  <c r="CV65" i="4"/>
  <c r="CY63" i="4"/>
  <c r="CX63" i="4"/>
  <c r="CW63" i="4"/>
  <c r="CV63" i="4"/>
  <c r="CY62" i="4"/>
  <c r="CX62" i="4"/>
  <c r="CW62" i="4"/>
  <c r="CV62" i="4"/>
  <c r="CS62" i="4"/>
  <c r="G60" i="4"/>
  <c r="F60" i="4"/>
  <c r="E60" i="4"/>
  <c r="D60" i="4"/>
  <c r="CY59" i="4"/>
  <c r="CX59" i="4"/>
  <c r="CW59" i="4"/>
  <c r="CV59" i="4"/>
  <c r="CY58" i="4"/>
  <c r="CX58" i="4"/>
  <c r="CW58" i="4"/>
  <c r="CV58" i="4"/>
  <c r="CV60" i="4" s="1"/>
  <c r="CY56" i="4"/>
  <c r="CX56" i="4"/>
  <c r="CW56" i="4"/>
  <c r="CV56" i="4"/>
  <c r="CY55" i="4"/>
  <c r="CX55" i="4"/>
  <c r="CW55" i="4"/>
  <c r="CV55" i="4"/>
  <c r="CS55" i="4"/>
  <c r="G53" i="4"/>
  <c r="F53" i="4"/>
  <c r="E53" i="4"/>
  <c r="D53" i="4"/>
  <c r="CY52" i="4"/>
  <c r="CX52" i="4"/>
  <c r="CW52" i="4"/>
  <c r="CV52" i="4"/>
  <c r="CY51" i="4"/>
  <c r="CX51" i="4"/>
  <c r="CW51" i="4"/>
  <c r="CV51" i="4"/>
  <c r="CY49" i="4"/>
  <c r="CX49" i="4"/>
  <c r="CW49" i="4"/>
  <c r="CV49" i="4"/>
  <c r="CY48" i="4"/>
  <c r="CX48" i="4"/>
  <c r="CW48" i="4"/>
  <c r="CV48" i="4"/>
  <c r="CS48" i="4"/>
  <c r="G46" i="4"/>
  <c r="F46" i="4"/>
  <c r="E46" i="4"/>
  <c r="D46" i="4"/>
  <c r="CY45" i="4"/>
  <c r="CX45" i="4"/>
  <c r="CW45" i="4"/>
  <c r="CV45" i="4"/>
  <c r="CY44" i="4"/>
  <c r="CX44" i="4"/>
  <c r="CW44" i="4"/>
  <c r="CV44" i="4"/>
  <c r="CY42" i="4"/>
  <c r="CX42" i="4"/>
  <c r="CW42" i="4"/>
  <c r="CV42" i="4"/>
  <c r="CY41" i="4"/>
  <c r="CX41" i="4"/>
  <c r="CW41" i="4"/>
  <c r="CV41" i="4"/>
  <c r="CS41" i="4"/>
  <c r="G39" i="4"/>
  <c r="F39" i="4"/>
  <c r="E39" i="4"/>
  <c r="D39" i="4"/>
  <c r="CY38" i="4"/>
  <c r="CX38" i="4"/>
  <c r="CW38" i="4"/>
  <c r="CV38" i="4"/>
  <c r="CY37" i="4"/>
  <c r="CX37" i="4"/>
  <c r="CW37" i="4"/>
  <c r="CV37" i="4"/>
  <c r="CV39" i="4" s="1"/>
  <c r="CY35" i="4"/>
  <c r="CX35" i="4"/>
  <c r="CW35" i="4"/>
  <c r="CV35" i="4"/>
  <c r="CY34" i="4"/>
  <c r="CX34" i="4"/>
  <c r="CW34" i="4"/>
  <c r="CV34" i="4"/>
  <c r="CS34" i="4"/>
  <c r="G32" i="4"/>
  <c r="F32" i="4"/>
  <c r="E32" i="4"/>
  <c r="D32" i="4"/>
  <c r="CY31" i="4"/>
  <c r="CX31" i="4"/>
  <c r="CW31" i="4"/>
  <c r="CV31" i="4"/>
  <c r="CY30" i="4"/>
  <c r="CX30" i="4"/>
  <c r="CW30" i="4"/>
  <c r="CV30" i="4"/>
  <c r="CY28" i="4"/>
  <c r="CX28" i="4"/>
  <c r="CW28" i="4"/>
  <c r="CV28" i="4"/>
  <c r="CY27" i="4"/>
  <c r="CX27" i="4"/>
  <c r="CW27" i="4"/>
  <c r="CV27" i="4"/>
  <c r="CS27" i="4"/>
  <c r="G25" i="4"/>
  <c r="F25" i="4"/>
  <c r="E25" i="4"/>
  <c r="D25" i="4"/>
  <c r="CY24" i="4"/>
  <c r="CX24" i="4"/>
  <c r="CW24" i="4"/>
  <c r="CV24" i="4"/>
  <c r="CY23" i="4"/>
  <c r="CX23" i="4"/>
  <c r="CW23" i="4"/>
  <c r="CV23" i="4"/>
  <c r="CY21" i="4"/>
  <c r="CX21" i="4"/>
  <c r="CW21" i="4"/>
  <c r="CV21" i="4"/>
  <c r="CY20" i="4"/>
  <c r="CX20" i="4"/>
  <c r="CW20" i="4"/>
  <c r="CV20" i="4"/>
  <c r="CS20" i="4"/>
  <c r="CY17" i="4"/>
  <c r="CX17" i="4"/>
  <c r="CW17" i="4"/>
  <c r="CV17" i="4"/>
  <c r="CY16" i="4"/>
  <c r="CX16" i="4"/>
  <c r="CW16" i="4"/>
  <c r="CV16" i="4"/>
  <c r="CY14" i="4"/>
  <c r="CX14" i="4"/>
  <c r="CW14" i="4"/>
  <c r="CV14" i="4"/>
  <c r="CY13" i="4"/>
  <c r="CX13" i="4"/>
  <c r="CW13" i="4"/>
  <c r="CV13" i="4"/>
  <c r="CS13" i="4"/>
  <c r="G11" i="4"/>
  <c r="F11" i="4"/>
  <c r="E11" i="4"/>
  <c r="D11" i="4"/>
  <c r="CY10" i="4"/>
  <c r="CX10" i="4"/>
  <c r="CW10" i="4"/>
  <c r="CV10" i="4"/>
  <c r="CY9" i="4"/>
  <c r="CX9" i="4"/>
  <c r="CW9" i="4"/>
  <c r="CV9" i="4"/>
  <c r="CY7" i="4"/>
  <c r="CX7" i="4"/>
  <c r="CW7" i="4"/>
  <c r="CV7" i="4"/>
  <c r="CY6" i="4"/>
  <c r="CX6" i="4"/>
  <c r="CW6" i="4"/>
  <c r="CV6" i="4"/>
  <c r="CS6" i="4"/>
  <c r="F3" i="6"/>
  <c r="CV96" i="4" l="1"/>
  <c r="CV98" i="4"/>
  <c r="CV99" i="4"/>
  <c r="CV95" i="4"/>
  <c r="CW95" i="4"/>
  <c r="CW96" i="4"/>
  <c r="CW98" i="4"/>
  <c r="CW99" i="4"/>
  <c r="CX95" i="4"/>
  <c r="CX96" i="4"/>
  <c r="CX98" i="4"/>
  <c r="CX99" i="4"/>
  <c r="CY95" i="4"/>
  <c r="CY96" i="4"/>
  <c r="CY98" i="4"/>
  <c r="CY99" i="4"/>
  <c r="CV67" i="4"/>
  <c r="CV64" i="4"/>
  <c r="CV50" i="4"/>
  <c r="CY74" i="4"/>
  <c r="CX67" i="4"/>
  <c r="CV46" i="4"/>
  <c r="CV43" i="4"/>
  <c r="CV25" i="4"/>
  <c r="CW53" i="4"/>
  <c r="CV53" i="4"/>
  <c r="CX25" i="4"/>
  <c r="CY39" i="4"/>
  <c r="CW74" i="4"/>
  <c r="CY25" i="4"/>
  <c r="CY53" i="4"/>
  <c r="CY64" i="4"/>
  <c r="CY57" i="4"/>
  <c r="CX53" i="4"/>
  <c r="CX39" i="4"/>
  <c r="CX46" i="4"/>
  <c r="CW36" i="4"/>
  <c r="CX32" i="4"/>
  <c r="CW32" i="4"/>
  <c r="CY67" i="4"/>
  <c r="CX64" i="4"/>
  <c r="CW50" i="4"/>
  <c r="CY32" i="4"/>
  <c r="CY29" i="4"/>
  <c r="CW29" i="4"/>
  <c r="CX71" i="4"/>
  <c r="CW71" i="4"/>
  <c r="CW57" i="4"/>
  <c r="CY46" i="4"/>
  <c r="CW46" i="4"/>
  <c r="CY43" i="4"/>
  <c r="CX43" i="4"/>
  <c r="CW43" i="4"/>
  <c r="CY36" i="4"/>
  <c r="CX36" i="4"/>
  <c r="CW22" i="4"/>
  <c r="CY18" i="4"/>
  <c r="CY15" i="4"/>
  <c r="CY60" i="4"/>
  <c r="CV8" i="4"/>
  <c r="CV11" i="4"/>
  <c r="CV36" i="4"/>
  <c r="CX50" i="4"/>
  <c r="CX74" i="4"/>
  <c r="CV22" i="4"/>
  <c r="CX18" i="4"/>
  <c r="CW25" i="4"/>
  <c r="CV29" i="4"/>
  <c r="CV57" i="4"/>
  <c r="CW60" i="4"/>
  <c r="CY71" i="4"/>
  <c r="CY50" i="4"/>
  <c r="CV15" i="4"/>
  <c r="CV18" i="4"/>
  <c r="CY22" i="4"/>
  <c r="CX29" i="4"/>
  <c r="CW39" i="4"/>
  <c r="CX57" i="4"/>
  <c r="CX60" i="4"/>
  <c r="CW64" i="4"/>
  <c r="CW67" i="4"/>
  <c r="CV74" i="4"/>
  <c r="CW18" i="4"/>
  <c r="CV32" i="4"/>
  <c r="CX22" i="4"/>
  <c r="CX15" i="4"/>
  <c r="CW15" i="4"/>
  <c r="CY11" i="4"/>
  <c r="CY8" i="4"/>
  <c r="CX11" i="4"/>
  <c r="CX8" i="4"/>
  <c r="CW11" i="4"/>
  <c r="CW8" i="4"/>
  <c r="CV97" i="4" l="1"/>
  <c r="CW97" i="4"/>
  <c r="CX97" i="4"/>
  <c r="CY97" i="4"/>
  <c r="CX3" i="6"/>
  <c r="CY10" i="6" l="1"/>
  <c r="CX10" i="6"/>
  <c r="CW10" i="6"/>
  <c r="CV10" i="6"/>
  <c r="CY9" i="6"/>
  <c r="CX9" i="6"/>
  <c r="CW9" i="6"/>
  <c r="CV9" i="6"/>
  <c r="CY7" i="6"/>
  <c r="CX7" i="6"/>
  <c r="CW7" i="6"/>
  <c r="CV7" i="6"/>
  <c r="F68" i="4"/>
  <c r="G47" i="4"/>
  <c r="F47" i="4"/>
  <c r="E47" i="4"/>
  <c r="D47" i="4"/>
  <c r="CV47" i="4"/>
  <c r="CV6" i="6" l="1"/>
  <c r="CY6" i="6"/>
  <c r="CX6" i="6"/>
  <c r="CW6" i="6"/>
  <c r="CV8" i="6" l="1"/>
  <c r="CY8" i="6"/>
  <c r="CX8" i="6"/>
  <c r="CW8" i="6"/>
  <c r="CW47" i="4"/>
  <c r="CX47" i="4"/>
  <c r="CY47" i="4"/>
  <c r="CV40" i="4" l="1"/>
  <c r="CV33" i="4"/>
  <c r="CV26" i="4"/>
  <c r="CV19" i="4"/>
  <c r="CY75" i="4"/>
  <c r="G75" i="4"/>
  <c r="E75" i="4"/>
  <c r="D75" i="4"/>
  <c r="G68" i="4"/>
  <c r="E68" i="4"/>
  <c r="D68" i="4"/>
  <c r="CV61" i="4"/>
  <c r="G61" i="4"/>
  <c r="F61" i="4"/>
  <c r="E61" i="4"/>
  <c r="D61" i="4"/>
  <c r="G54" i="4"/>
  <c r="F54" i="4"/>
  <c r="E54" i="4"/>
  <c r="D54" i="4"/>
  <c r="G40" i="4"/>
  <c r="F40" i="4"/>
  <c r="E40" i="4"/>
  <c r="D40" i="4"/>
  <c r="G33" i="4"/>
  <c r="F33" i="4"/>
  <c r="E33" i="4"/>
  <c r="D33" i="4"/>
  <c r="G26" i="4"/>
  <c r="F26" i="4"/>
  <c r="E26" i="4"/>
  <c r="D26" i="4"/>
  <c r="G19" i="4"/>
  <c r="F19" i="4"/>
  <c r="E19" i="4"/>
  <c r="D19" i="4"/>
  <c r="G6" i="6"/>
  <c r="G7" i="6"/>
  <c r="G9" i="6"/>
  <c r="G10" i="6"/>
  <c r="F6" i="6"/>
  <c r="F7" i="6"/>
  <c r="F9" i="6"/>
  <c r="F10" i="6"/>
  <c r="E6" i="6"/>
  <c r="E7" i="6"/>
  <c r="E9" i="6"/>
  <c r="E10" i="6"/>
  <c r="D7" i="6"/>
  <c r="D9" i="6"/>
  <c r="D10" i="6"/>
  <c r="CS95" i="4"/>
  <c r="F92" i="4"/>
  <c r="D92" i="4"/>
  <c r="D11" i="6" l="1"/>
  <c r="D8" i="6"/>
  <c r="E11" i="6"/>
  <c r="E8" i="6"/>
  <c r="F11" i="6"/>
  <c r="F8" i="6"/>
  <c r="G11" i="6"/>
  <c r="G8" i="6"/>
  <c r="G12" i="4"/>
  <c r="F12" i="4"/>
  <c r="E100" i="4"/>
  <c r="F100" i="4"/>
  <c r="G100" i="4"/>
  <c r="G97" i="4"/>
  <c r="D100" i="4"/>
  <c r="E12" i="4"/>
  <c r="D12" i="4"/>
  <c r="F75" i="4"/>
  <c r="CV75" i="4"/>
  <c r="CV54" i="4"/>
  <c r="E97" i="4"/>
  <c r="CW75" i="4"/>
  <c r="CX75" i="4"/>
  <c r="D97" i="4"/>
  <c r="F97" i="4"/>
  <c r="CW40" i="4"/>
  <c r="CY19" i="4"/>
  <c r="CX19" i="4"/>
  <c r="CV68" i="4"/>
  <c r="CY40" i="4"/>
  <c r="CX40" i="4"/>
  <c r="CY54" i="4"/>
  <c r="CX54" i="4"/>
  <c r="CW54" i="4"/>
  <c r="CY61" i="4"/>
  <c r="CX61" i="4"/>
  <c r="CW61" i="4"/>
  <c r="CY26" i="4"/>
  <c r="CX26" i="4"/>
  <c r="CW26" i="4"/>
  <c r="CY68" i="4"/>
  <c r="CX68" i="4"/>
  <c r="CW68" i="4"/>
  <c r="CY33" i="4"/>
  <c r="CX33" i="4"/>
  <c r="E12" i="6" l="1"/>
  <c r="G12" i="6"/>
  <c r="D12" i="6"/>
  <c r="F12" i="6"/>
  <c r="CY11" i="6"/>
  <c r="CW11" i="6"/>
  <c r="CX11" i="6"/>
  <c r="CV11" i="6"/>
  <c r="CY12" i="4"/>
  <c r="CV100" i="4"/>
  <c r="CX12" i="4"/>
  <c r="CV12" i="4"/>
  <c r="F101" i="4"/>
  <c r="CY100" i="4"/>
  <c r="CX100" i="4"/>
  <c r="CW100" i="4"/>
  <c r="CW12" i="4"/>
  <c r="G101" i="4"/>
  <c r="E101" i="4"/>
  <c r="D101" i="4"/>
  <c r="CW19" i="4"/>
  <c r="CW33" i="4"/>
  <c r="CV12" i="6" l="1"/>
  <c r="CY12" i="6"/>
  <c r="CW12" i="6"/>
  <c r="CV101" i="4"/>
  <c r="CX12" i="6"/>
  <c r="CX101" i="4"/>
  <c r="CW101" i="4"/>
  <c r="CY101" i="4"/>
  <c r="CX92" i="4" l="1"/>
  <c r="CX3" i="4"/>
</calcChain>
</file>

<file path=xl/sharedStrings.xml><?xml version="1.0" encoding="utf-8"?>
<sst xmlns="http://schemas.openxmlformats.org/spreadsheetml/2006/main" count="2211" uniqueCount="31">
  <si>
    <t>شهر</t>
  </si>
  <si>
    <t>جراحات صغرى</t>
  </si>
  <si>
    <t>حقن</t>
  </si>
  <si>
    <t>سعودي</t>
  </si>
  <si>
    <t>عام</t>
  </si>
  <si>
    <t>المركز الصحي</t>
  </si>
  <si>
    <t>غيارات</t>
  </si>
  <si>
    <t>أكسجين</t>
  </si>
  <si>
    <t>ذكر</t>
  </si>
  <si>
    <t>أنثى</t>
  </si>
  <si>
    <t>مجموع السعوديين</t>
  </si>
  <si>
    <t>غير سعودي</t>
  </si>
  <si>
    <t>المجموع الكلي</t>
  </si>
  <si>
    <t>هـ</t>
  </si>
  <si>
    <t>مجمع الغير سعوديين</t>
  </si>
  <si>
    <t>الجنس والجنسية</t>
  </si>
  <si>
    <t>الخدمة</t>
  </si>
  <si>
    <t>14ـ الجراحات الصغرى والغيارات والحقن</t>
  </si>
  <si>
    <t>مجموع غ. سعوديين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</si>
  <si>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</si>
  <si>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</si>
  <si>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</si>
  <si>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</si>
  <si>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</si>
  <si>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</si>
  <si>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</si>
  <si>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</si>
  <si>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إجمالي مراكز مستشفى شرق  جدة</t>
  </si>
  <si>
    <t>إجمالي مراكز مستشفى شرق جدة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</si>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</sst>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charset val="178"/>
    </font>
    <font>
      <b/>
      <sz val="12"/>
      <color indexed="10"/>
      <name val="Arial"/>
      <family val="2"/>
    </font>
    <font>
      <b/>
      <sz val="14"/>
      <name val="Arial"/>
      <family val="2"/>
    </font>
    <font>
      <b/>
      <sz val="16"/>
      <name val="Arial"/>
      <family val="2"/>
      <charset val="178"/>
    </font>
    <font>
      <sz val="14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b/>
      <sz val="11"/>
      <name val="Arial"/>
      <family val="2"/>
      <charset val="178"/>
    </font>
    <font>
      <b/>
      <sz val="12"/>
      <name val="Arial"/>
      <family val="2"/>
      <charset val="178"/>
    </font>
    <font>
      <b/>
      <sz val="14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14"/>
      <color indexed="8"/>
      <name val="Arial"/>
      <family val="2"/>
      <charset val="178"/>
    </font>
    <font>
      <sz val="14"/>
      <name val="Arial"/>
      <family val="2"/>
      <charset val="178"/>
    </font>
    <font>
      <sz val="14"/>
      <color indexed="10"/>
      <name val="Arial"/>
      <family val="2"/>
      <charset val="178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0" fillId="2" borderId="0" xfId="0" applyFill="1"/>
    <xf numFmtId="0" fontId="5" fillId="2" borderId="0" xfId="0" applyFont="1" applyFill="1" applyAlignment="1">
      <alignment horizontal="center" readingOrder="2"/>
    </xf>
    <xf numFmtId="0" fontId="6" fillId="2" borderId="0" xfId="0" applyFont="1" applyFill="1" applyAlignment="1">
      <alignment horizontal="center" readingOrder="2"/>
    </xf>
    <xf numFmtId="0" fontId="0" fillId="3" borderId="0" xfId="0" applyFill="1"/>
    <xf numFmtId="0" fontId="8" fillId="4" borderId="1" xfId="0" applyFont="1" applyFill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readingOrder="2"/>
    </xf>
    <xf numFmtId="0" fontId="9" fillId="0" borderId="2" xfId="0" applyFont="1" applyBorder="1" applyAlignment="1">
      <alignment horizontal="center" vertical="center" readingOrder="2"/>
    </xf>
    <xf numFmtId="0" fontId="9" fillId="0" borderId="3" xfId="0" applyFont="1" applyBorder="1" applyAlignment="1">
      <alignment horizontal="center" vertical="center" readingOrder="2"/>
    </xf>
    <xf numFmtId="0" fontId="8" fillId="4" borderId="4" xfId="0" applyFont="1" applyFill="1" applyBorder="1" applyAlignment="1">
      <alignment horizontal="center" vertical="center" readingOrder="2"/>
    </xf>
    <xf numFmtId="0" fontId="9" fillId="0" borderId="4" xfId="0" applyFont="1" applyBorder="1" applyAlignment="1">
      <alignment horizontal="center" vertical="center" readingOrder="2"/>
    </xf>
    <xf numFmtId="0" fontId="9" fillId="0" borderId="5" xfId="0" applyFont="1" applyBorder="1" applyAlignment="1">
      <alignment horizontal="center" vertical="center" readingOrder="2"/>
    </xf>
    <xf numFmtId="0" fontId="9" fillId="0" borderId="6" xfId="0" applyFont="1" applyBorder="1" applyAlignment="1">
      <alignment horizontal="center" vertical="center" readingOrder="2"/>
    </xf>
    <xf numFmtId="0" fontId="10" fillId="4" borderId="7" xfId="0" applyFont="1" applyFill="1" applyBorder="1" applyAlignment="1">
      <alignment horizontal="center" vertical="center" readingOrder="2"/>
    </xf>
    <xf numFmtId="0" fontId="10" fillId="4" borderId="8" xfId="0" applyFont="1" applyFill="1" applyBorder="1" applyAlignment="1">
      <alignment horizontal="center" vertical="center" readingOrder="2"/>
    </xf>
    <xf numFmtId="0" fontId="10" fillId="4" borderId="9" xfId="0" applyFont="1" applyFill="1" applyBorder="1" applyAlignment="1">
      <alignment horizontal="center" vertical="center" readingOrder="2"/>
    </xf>
    <xf numFmtId="0" fontId="0" fillId="3" borderId="0" xfId="0" applyFill="1" applyAlignment="1">
      <alignment vertical="center" wrapText="1" readingOrder="2"/>
    </xf>
    <xf numFmtId="0" fontId="9" fillId="3" borderId="7" xfId="0" applyFont="1" applyFill="1" applyBorder="1" applyAlignment="1">
      <alignment horizontal="center" vertical="center" readingOrder="2"/>
    </xf>
    <xf numFmtId="0" fontId="11" fillId="2" borderId="2" xfId="0" applyFont="1" applyFill="1" applyBorder="1" applyAlignment="1">
      <alignment horizontal="center" vertical="center" readingOrder="2"/>
    </xf>
    <xf numFmtId="0" fontId="10" fillId="4" borderId="10" xfId="0" applyFont="1" applyFill="1" applyBorder="1" applyAlignment="1">
      <alignment horizontal="center" vertical="center" readingOrder="2"/>
    </xf>
    <xf numFmtId="0" fontId="10" fillId="4" borderId="11" xfId="0" applyFont="1" applyFill="1" applyBorder="1" applyAlignment="1">
      <alignment horizontal="center" vertical="center" readingOrder="2"/>
    </xf>
    <xf numFmtId="0" fontId="9" fillId="5" borderId="7" xfId="0" applyFont="1" applyFill="1" applyBorder="1" applyAlignment="1">
      <alignment horizontal="center" vertical="center" readingOrder="2"/>
    </xf>
    <xf numFmtId="0" fontId="9" fillId="3" borderId="8" xfId="0" applyFont="1" applyFill="1" applyBorder="1" applyAlignment="1">
      <alignment horizontal="center" vertical="center" readingOrder="2"/>
    </xf>
    <xf numFmtId="0" fontId="12" fillId="2" borderId="0" xfId="0" applyFont="1" applyFill="1"/>
    <xf numFmtId="0" fontId="13" fillId="2" borderId="0" xfId="0" applyFont="1" applyFill="1" applyAlignment="1">
      <alignment horizontal="center" readingOrder="2"/>
    </xf>
    <xf numFmtId="0" fontId="10" fillId="2" borderId="0" xfId="0" applyFont="1" applyFill="1" applyAlignment="1">
      <alignment horizontal="center" readingOrder="2"/>
    </xf>
    <xf numFmtId="0" fontId="9" fillId="5" borderId="8" xfId="0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8" fillId="2" borderId="4" xfId="0" applyFont="1" applyFill="1" applyBorder="1" applyAlignment="1">
      <alignment horizontal="center" vertical="center" readingOrder="2"/>
    </xf>
    <xf numFmtId="0" fontId="4" fillId="2" borderId="13" xfId="0" applyFont="1" applyFill="1" applyBorder="1"/>
    <xf numFmtId="0" fontId="5" fillId="2" borderId="13" xfId="0" applyFont="1" applyFill="1" applyBorder="1" applyAlignment="1">
      <alignment horizontal="center" readingOrder="2"/>
    </xf>
    <xf numFmtId="0" fontId="6" fillId="2" borderId="14" xfId="0" applyFont="1" applyFill="1" applyBorder="1" applyAlignment="1">
      <alignment horizontal="center" readingOrder="2"/>
    </xf>
    <xf numFmtId="0" fontId="9" fillId="2" borderId="15" xfId="0" applyFont="1" applyFill="1" applyBorder="1" applyAlignment="1">
      <alignment horizontal="center" vertical="center" wrapText="1" readingOrder="2"/>
    </xf>
    <xf numFmtId="0" fontId="12" fillId="2" borderId="16" xfId="0" applyFont="1" applyFill="1" applyBorder="1"/>
    <xf numFmtId="0" fontId="0" fillId="2" borderId="15" xfId="0" applyFill="1" applyBorder="1"/>
    <xf numFmtId="0" fontId="0" fillId="2" borderId="16" xfId="0" applyFill="1" applyBorder="1"/>
    <xf numFmtId="0" fontId="16" fillId="0" borderId="0" xfId="0" applyFont="1" applyAlignment="1">
      <alignment horizontal="center" wrapText="1" readingOrder="2"/>
    </xf>
    <xf numFmtId="0" fontId="16" fillId="0" borderId="0" xfId="0" applyFont="1" applyAlignment="1">
      <alignment wrapText="1" readingOrder="2"/>
    </xf>
    <xf numFmtId="0" fontId="0" fillId="0" borderId="0" xfId="0" applyAlignment="1">
      <alignment readingOrder="2"/>
    </xf>
    <xf numFmtId="0" fontId="4" fillId="2" borderId="0" xfId="0" applyFont="1" applyFill="1" applyAlignment="1">
      <alignment readingOrder="2"/>
    </xf>
    <xf numFmtId="0" fontId="0" fillId="2" borderId="0" xfId="0" applyFill="1" applyAlignment="1">
      <alignment readingOrder="2"/>
    </xf>
    <xf numFmtId="0" fontId="12" fillId="2" borderId="0" xfId="0" applyFont="1" applyFill="1" applyAlignment="1">
      <alignment readingOrder="2"/>
    </xf>
    <xf numFmtId="0" fontId="17" fillId="0" borderId="0" xfId="0" applyFont="1" applyAlignment="1">
      <alignment horizontal="center" readingOrder="2"/>
    </xf>
    <xf numFmtId="0" fontId="16" fillId="3" borderId="13" xfId="0" applyFont="1" applyFill="1" applyBorder="1" applyAlignment="1">
      <alignment wrapText="1" readingOrder="2"/>
    </xf>
    <xf numFmtId="0" fontId="16" fillId="0" borderId="9" xfId="0" applyFont="1" applyBorder="1" applyAlignment="1">
      <alignment horizontal="center" wrapText="1" readingOrder="2"/>
    </xf>
    <xf numFmtId="0" fontId="2" fillId="2" borderId="0" xfId="0" applyFont="1" applyFill="1" applyAlignment="1">
      <alignment wrapText="1" readingOrder="2"/>
    </xf>
    <xf numFmtId="0" fontId="2" fillId="3" borderId="0" xfId="0" applyFont="1" applyFill="1" applyAlignment="1">
      <alignment horizontal="right" vertical="center" readingOrder="2"/>
    </xf>
    <xf numFmtId="0" fontId="11" fillId="2" borderId="29" xfId="0" applyFont="1" applyFill="1" applyBorder="1" applyAlignment="1">
      <alignment horizontal="center" vertical="center" readingOrder="2"/>
    </xf>
    <xf numFmtId="0" fontId="11" fillId="2" borderId="30" xfId="0" applyFont="1" applyFill="1" applyBorder="1" applyAlignment="1">
      <alignment horizontal="center" vertical="center" readingOrder="2"/>
    </xf>
    <xf numFmtId="0" fontId="11" fillId="2" borderId="31" xfId="0" applyFont="1" applyFill="1" applyBorder="1" applyAlignment="1">
      <alignment horizontal="center" vertical="center" readingOrder="2"/>
    </xf>
    <xf numFmtId="0" fontId="11" fillId="2" borderId="32" xfId="0" applyFont="1" applyFill="1" applyBorder="1" applyAlignment="1">
      <alignment horizontal="center" vertical="center" readingOrder="2"/>
    </xf>
    <xf numFmtId="0" fontId="11" fillId="2" borderId="33" xfId="0" applyFont="1" applyFill="1" applyBorder="1" applyAlignment="1">
      <alignment horizontal="center" vertical="center" readingOrder="2"/>
    </xf>
    <xf numFmtId="0" fontId="11" fillId="2" borderId="34" xfId="0" applyFont="1" applyFill="1" applyBorder="1" applyAlignment="1">
      <alignment horizontal="center" vertical="center" readingOrder="2"/>
    </xf>
    <xf numFmtId="0" fontId="10" fillId="2" borderId="35" xfId="0" applyFont="1" applyFill="1" applyBorder="1" applyAlignment="1">
      <alignment horizontal="center" vertical="center" readingOrder="2"/>
    </xf>
    <xf numFmtId="0" fontId="10" fillId="2" borderId="36" xfId="0" applyFont="1" applyFill="1" applyBorder="1" applyAlignment="1">
      <alignment horizontal="center" vertical="center" readingOrder="2"/>
    </xf>
    <xf numFmtId="0" fontId="10" fillId="2" borderId="37" xfId="0" applyFont="1" applyFill="1" applyBorder="1" applyAlignment="1">
      <alignment horizontal="center" vertical="center" readingOrder="2"/>
    </xf>
    <xf numFmtId="0" fontId="10" fillId="2" borderId="21" xfId="0" applyFont="1" applyFill="1" applyBorder="1" applyAlignment="1">
      <alignment horizontal="center" vertical="center" readingOrder="2"/>
    </xf>
    <xf numFmtId="0" fontId="10" fillId="2" borderId="38" xfId="0" applyFont="1" applyFill="1" applyBorder="1" applyAlignment="1">
      <alignment horizontal="center" vertical="center" readingOrder="2"/>
    </xf>
    <xf numFmtId="0" fontId="10" fillId="2" borderId="39" xfId="0" applyFont="1" applyFill="1" applyBorder="1" applyAlignment="1">
      <alignment horizontal="center" vertical="center" readingOrder="2"/>
    </xf>
    <xf numFmtId="0" fontId="9" fillId="2" borderId="35" xfId="0" applyFont="1" applyFill="1" applyBorder="1" applyAlignment="1">
      <alignment horizontal="center" vertical="center" readingOrder="2"/>
    </xf>
    <xf numFmtId="0" fontId="9" fillId="2" borderId="36" xfId="0" applyFont="1" applyFill="1" applyBorder="1" applyAlignment="1">
      <alignment horizontal="center" vertical="center" readingOrder="2"/>
    </xf>
    <xf numFmtId="0" fontId="9" fillId="2" borderId="37" xfId="0" applyFont="1" applyFill="1" applyBorder="1" applyAlignment="1">
      <alignment horizontal="center" vertical="center" readingOrder="2"/>
    </xf>
    <xf numFmtId="0" fontId="15" fillId="2" borderId="9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5" fillId="2" borderId="11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0" fillId="6" borderId="0" xfId="0" applyFill="1" applyAlignment="1">
      <alignment readingOrder="2"/>
    </xf>
    <xf numFmtId="0" fontId="12" fillId="6" borderId="0" xfId="0" applyFont="1" applyFill="1" applyAlignment="1">
      <alignment readingOrder="2"/>
    </xf>
    <xf numFmtId="0" fontId="0" fillId="6" borderId="12" xfId="0" applyFill="1" applyBorder="1" applyAlignment="1">
      <alignment readingOrder="2"/>
    </xf>
    <xf numFmtId="0" fontId="0" fillId="6" borderId="18" xfId="0" applyFill="1" applyBorder="1" applyAlignment="1">
      <alignment readingOrder="2"/>
    </xf>
    <xf numFmtId="0" fontId="0" fillId="7" borderId="12" xfId="0" applyFill="1" applyBorder="1" applyAlignment="1">
      <alignment readingOrder="2"/>
    </xf>
    <xf numFmtId="0" fontId="0" fillId="7" borderId="18" xfId="0" applyFill="1" applyBorder="1" applyAlignment="1">
      <alignment readingOrder="2"/>
    </xf>
    <xf numFmtId="0" fontId="12" fillId="7" borderId="18" xfId="0" applyFont="1" applyFill="1" applyBorder="1" applyAlignment="1">
      <alignment readingOrder="2"/>
    </xf>
    <xf numFmtId="0" fontId="0" fillId="8" borderId="0" xfId="0" applyFill="1" applyAlignment="1">
      <alignment readingOrder="2"/>
    </xf>
    <xf numFmtId="0" fontId="12" fillId="8" borderId="0" xfId="0" applyFont="1" applyFill="1" applyAlignment="1">
      <alignment readingOrder="2"/>
    </xf>
    <xf numFmtId="0" fontId="7" fillId="8" borderId="0" xfId="0" applyFont="1" applyFill="1" applyAlignment="1">
      <alignment horizontal="center" vertical="center" wrapText="1" readingOrder="2"/>
    </xf>
    <xf numFmtId="0" fontId="13" fillId="8" borderId="0" xfId="0" applyFont="1" applyFill="1" applyAlignment="1">
      <alignment horizontal="center" readingOrder="2"/>
    </xf>
    <xf numFmtId="0" fontId="10" fillId="8" borderId="0" xfId="0" applyFont="1" applyFill="1" applyAlignment="1">
      <alignment horizontal="center" readingOrder="2"/>
    </xf>
    <xf numFmtId="0" fontId="18" fillId="8" borderId="0" xfId="0" applyFont="1" applyFill="1" applyAlignment="1">
      <alignment wrapText="1" readingOrder="2"/>
    </xf>
    <xf numFmtId="0" fontId="16" fillId="8" borderId="0" xfId="0" applyFont="1" applyFill="1" applyAlignment="1">
      <alignment wrapText="1" readingOrder="2"/>
    </xf>
    <xf numFmtId="0" fontId="17" fillId="8" borderId="0" xfId="0" applyFont="1" applyFill="1" applyAlignment="1">
      <alignment horizontal="center" readingOrder="2"/>
    </xf>
    <xf numFmtId="0" fontId="15" fillId="4" borderId="8" xfId="0" applyFont="1" applyFill="1" applyBorder="1" applyAlignment="1">
      <alignment horizontal="center" vertical="center" wrapText="1" readingOrder="2"/>
    </xf>
    <xf numFmtId="0" fontId="0" fillId="5" borderId="7" xfId="0" applyFill="1" applyBorder="1" applyAlignment="1">
      <alignment vertical="center" wrapText="1" readingOrder="2"/>
    </xf>
    <xf numFmtId="0" fontId="0" fillId="3" borderId="8" xfId="0" applyFill="1" applyBorder="1" applyAlignment="1">
      <alignment vertical="center" wrapText="1" readingOrder="2"/>
    </xf>
    <xf numFmtId="0" fontId="2" fillId="0" borderId="41" xfId="0" applyFont="1" applyBorder="1" applyAlignment="1">
      <alignment horizontal="center" vertical="center" wrapText="1" readingOrder="2"/>
    </xf>
    <xf numFmtId="0" fontId="2" fillId="0" borderId="42" xfId="0" applyFont="1" applyBorder="1" applyAlignment="1">
      <alignment horizontal="center" vertical="center" wrapText="1" readingOrder="2"/>
    </xf>
    <xf numFmtId="0" fontId="2" fillId="0" borderId="43" xfId="0" applyFont="1" applyBorder="1" applyAlignment="1">
      <alignment horizontal="center" vertical="center" wrapText="1" readingOrder="2"/>
    </xf>
    <xf numFmtId="0" fontId="2" fillId="0" borderId="44" xfId="0" applyFont="1" applyBorder="1" applyAlignment="1">
      <alignment horizontal="center" vertical="center" wrapText="1" readingOrder="2"/>
    </xf>
    <xf numFmtId="0" fontId="19" fillId="9" borderId="43" xfId="0" applyFont="1" applyFill="1" applyBorder="1" applyAlignment="1">
      <alignment horizontal="center" vertical="center" wrapText="1" readingOrder="2"/>
    </xf>
    <xf numFmtId="0" fontId="19" fillId="9" borderId="44" xfId="0" applyFont="1" applyFill="1" applyBorder="1" applyAlignment="1">
      <alignment horizontal="center" vertical="center" wrapText="1" readingOrder="2"/>
    </xf>
    <xf numFmtId="0" fontId="2" fillId="0" borderId="45" xfId="0" applyFont="1" applyBorder="1" applyAlignment="1">
      <alignment horizontal="center" vertical="center" wrapText="1" readingOrder="2"/>
    </xf>
    <xf numFmtId="0" fontId="2" fillId="0" borderId="46" xfId="0" applyFont="1" applyBorder="1" applyAlignment="1">
      <alignment horizontal="center" vertical="center" wrapText="1" readingOrder="2"/>
    </xf>
    <xf numFmtId="0" fontId="2" fillId="0" borderId="47" xfId="0" applyFont="1" applyBorder="1" applyAlignment="1">
      <alignment horizontal="center" wrapText="1" readingOrder="2"/>
    </xf>
    <xf numFmtId="0" fontId="2" fillId="0" borderId="42" xfId="0" applyFont="1" applyBorder="1" applyAlignment="1">
      <alignment horizontal="center" wrapText="1" readingOrder="2"/>
    </xf>
    <xf numFmtId="0" fontId="2" fillId="0" borderId="48" xfId="0" applyFont="1" applyBorder="1" applyAlignment="1">
      <alignment horizontal="center" wrapText="1" readingOrder="2"/>
    </xf>
    <xf numFmtId="0" fontId="2" fillId="0" borderId="44" xfId="0" applyFont="1" applyBorder="1" applyAlignment="1">
      <alignment horizontal="center" wrapText="1" readingOrder="2"/>
    </xf>
    <xf numFmtId="0" fontId="2" fillId="0" borderId="49" xfId="0" applyFont="1" applyBorder="1" applyAlignment="1">
      <alignment horizontal="center" wrapText="1" readingOrder="2"/>
    </xf>
    <xf numFmtId="0" fontId="2" fillId="0" borderId="46" xfId="0" applyFont="1" applyBorder="1" applyAlignment="1">
      <alignment horizontal="center" wrapText="1" readingOrder="2"/>
    </xf>
    <xf numFmtId="0" fontId="2" fillId="0" borderId="41" xfId="0" applyFont="1" applyBorder="1" applyAlignment="1">
      <alignment horizontal="center" wrapText="1" readingOrder="2"/>
    </xf>
    <xf numFmtId="0" fontId="2" fillId="0" borderId="43" xfId="0" applyFont="1" applyBorder="1" applyAlignment="1">
      <alignment horizontal="center" wrapText="1" readingOrder="2"/>
    </xf>
    <xf numFmtId="0" fontId="19" fillId="9" borderId="43" xfId="0" applyFont="1" applyFill="1" applyBorder="1" applyAlignment="1">
      <alignment horizontal="center" wrapText="1" readingOrder="2"/>
    </xf>
    <xf numFmtId="0" fontId="19" fillId="9" borderId="44" xfId="0" applyFont="1" applyFill="1" applyBorder="1" applyAlignment="1">
      <alignment horizontal="center" wrapText="1" readingOrder="2"/>
    </xf>
    <xf numFmtId="0" fontId="2" fillId="0" borderId="45" xfId="0" applyFont="1" applyBorder="1" applyAlignment="1">
      <alignment horizontal="center" wrapText="1" readingOrder="2"/>
    </xf>
    <xf numFmtId="0" fontId="19" fillId="9" borderId="49" xfId="0" applyFont="1" applyFill="1" applyBorder="1" applyAlignment="1">
      <alignment horizontal="center" wrapText="1" readingOrder="2"/>
    </xf>
    <xf numFmtId="0" fontId="19" fillId="9" borderId="46" xfId="0" applyFont="1" applyFill="1" applyBorder="1" applyAlignment="1">
      <alignment horizontal="center" wrapText="1" readingOrder="2"/>
    </xf>
    <xf numFmtId="0" fontId="2" fillId="7" borderId="43" xfId="0" applyFont="1" applyFill="1" applyBorder="1" applyAlignment="1">
      <alignment horizontal="center" vertical="center" wrapText="1" readingOrder="2"/>
    </xf>
    <xf numFmtId="0" fontId="2" fillId="7" borderId="44" xfId="0" applyFont="1" applyFill="1" applyBorder="1" applyAlignment="1">
      <alignment horizontal="center" vertical="center" wrapText="1" readingOrder="2"/>
    </xf>
    <xf numFmtId="0" fontId="2" fillId="7" borderId="43" xfId="0" applyFont="1" applyFill="1" applyBorder="1" applyAlignment="1">
      <alignment horizontal="center" wrapText="1" readingOrder="2"/>
    </xf>
    <xf numFmtId="0" fontId="2" fillId="7" borderId="44" xfId="0" applyFont="1" applyFill="1" applyBorder="1" applyAlignment="1">
      <alignment horizontal="center" wrapText="1" readingOrder="2"/>
    </xf>
    <xf numFmtId="0" fontId="2" fillId="0" borderId="50" xfId="0" applyFont="1" applyBorder="1" applyAlignment="1">
      <alignment horizontal="center" vertical="center" wrapText="1" readingOrder="2"/>
    </xf>
    <xf numFmtId="0" fontId="2" fillId="0" borderId="51" xfId="0" applyFont="1" applyBorder="1" applyAlignment="1">
      <alignment horizontal="center" vertical="center" wrapText="1" readingOrder="2"/>
    </xf>
    <xf numFmtId="0" fontId="19" fillId="9" borderId="48" xfId="0" applyFont="1" applyFill="1" applyBorder="1" applyAlignment="1">
      <alignment horizontal="center" wrapText="1" readingOrder="2"/>
    </xf>
    <xf numFmtId="0" fontId="20" fillId="0" borderId="52" xfId="0" applyFont="1" applyBorder="1" applyAlignment="1">
      <alignment horizontal="center" vertical="center" readingOrder="2"/>
    </xf>
    <xf numFmtId="0" fontId="20" fillId="0" borderId="53" xfId="0" applyFont="1" applyBorder="1" applyAlignment="1">
      <alignment horizontal="center" vertical="center" readingOrder="2"/>
    </xf>
    <xf numFmtId="0" fontId="21" fillId="10" borderId="54" xfId="0" applyFont="1" applyFill="1" applyBorder="1" applyAlignment="1">
      <alignment horizontal="center" vertical="center" readingOrder="2"/>
    </xf>
    <xf numFmtId="0" fontId="20" fillId="11" borderId="54" xfId="0" applyFont="1" applyFill="1" applyBorder="1" applyAlignment="1">
      <alignment horizontal="center" vertical="center" readingOrder="2"/>
    </xf>
    <xf numFmtId="0" fontId="22" fillId="0" borderId="41" xfId="0" applyFont="1" applyBorder="1" applyAlignment="1">
      <alignment horizontal="center" vertical="center" wrapText="1" readingOrder="2"/>
    </xf>
    <xf numFmtId="0" fontId="22" fillId="0" borderId="42" xfId="0" applyFont="1" applyBorder="1" applyAlignment="1">
      <alignment horizontal="center" vertical="center" wrapText="1" readingOrder="2"/>
    </xf>
    <xf numFmtId="0" fontId="22" fillId="0" borderId="43" xfId="0" applyFont="1" applyBorder="1" applyAlignment="1">
      <alignment horizontal="center" vertical="center" wrapText="1" readingOrder="2"/>
    </xf>
    <xf numFmtId="0" fontId="22" fillId="0" borderId="44" xfId="0" applyFont="1" applyBorder="1" applyAlignment="1">
      <alignment horizontal="center" vertical="center" wrapText="1" readingOrder="2"/>
    </xf>
    <xf numFmtId="0" fontId="20" fillId="0" borderId="55" xfId="0" applyFont="1" applyBorder="1" applyAlignment="1">
      <alignment horizontal="center"/>
    </xf>
    <xf numFmtId="0" fontId="21" fillId="10" borderId="55" xfId="0" applyFont="1" applyFill="1" applyBorder="1" applyAlignment="1">
      <alignment horizontal="center"/>
    </xf>
    <xf numFmtId="0" fontId="20" fillId="11" borderId="55" xfId="0" applyFont="1" applyFill="1" applyBorder="1" applyAlignment="1">
      <alignment horizontal="center"/>
    </xf>
    <xf numFmtId="0" fontId="20" fillId="12" borderId="55" xfId="0" applyFont="1" applyFill="1" applyBorder="1" applyAlignment="1">
      <alignment horizontal="center"/>
    </xf>
    <xf numFmtId="0" fontId="20" fillId="13" borderId="55" xfId="0" applyFont="1" applyFill="1" applyBorder="1" applyAlignment="1">
      <alignment horizontal="center"/>
    </xf>
    <xf numFmtId="0" fontId="21" fillId="12" borderId="55" xfId="0" applyFont="1" applyFill="1" applyBorder="1" applyAlignment="1">
      <alignment horizontal="center"/>
    </xf>
    <xf numFmtId="0" fontId="21" fillId="13" borderId="5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 readingOrder="2"/>
    </xf>
    <xf numFmtId="0" fontId="3" fillId="2" borderId="0" xfId="0" applyFont="1" applyFill="1" applyAlignment="1">
      <alignment horizontal="right" vertical="center" wrapText="1" readingOrder="2"/>
    </xf>
    <xf numFmtId="0" fontId="8" fillId="4" borderId="19" xfId="0" applyFont="1" applyFill="1" applyBorder="1" applyAlignment="1">
      <alignment horizontal="center" vertical="center" wrapText="1" readingOrder="2"/>
    </xf>
    <xf numFmtId="0" fontId="8" fillId="4" borderId="9" xfId="0" applyFont="1" applyFill="1" applyBorder="1" applyAlignment="1">
      <alignment horizontal="center" vertical="center" wrapText="1" readingOrder="2"/>
    </xf>
    <xf numFmtId="0" fontId="8" fillId="4" borderId="12" xfId="0" applyFont="1" applyFill="1" applyBorder="1" applyAlignment="1">
      <alignment horizontal="center" vertical="center" wrapText="1" readingOrder="2"/>
    </xf>
    <xf numFmtId="0" fontId="8" fillId="4" borderId="10" xfId="0" applyFont="1" applyFill="1" applyBorder="1" applyAlignment="1">
      <alignment horizontal="center" vertical="center" wrapText="1" readingOrder="2"/>
    </xf>
    <xf numFmtId="0" fontId="7" fillId="4" borderId="12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4" borderId="19" xfId="0" applyFont="1" applyFill="1" applyBorder="1" applyAlignment="1">
      <alignment horizontal="left" vertical="center" wrapText="1" readingOrder="2"/>
    </xf>
    <xf numFmtId="0" fontId="8" fillId="4" borderId="14" xfId="0" applyFont="1" applyFill="1" applyBorder="1" applyAlignment="1">
      <alignment horizontal="left" vertical="center" wrapText="1" readingOrder="2"/>
    </xf>
    <xf numFmtId="0" fontId="8" fillId="4" borderId="11" xfId="0" applyFont="1" applyFill="1" applyBorder="1" applyAlignment="1">
      <alignment horizontal="center" vertical="center" wrapText="1" readingOrder="2"/>
    </xf>
    <xf numFmtId="0" fontId="8" fillId="4" borderId="12" xfId="0" applyFont="1" applyFill="1" applyBorder="1" applyAlignment="1">
      <alignment horizontal="center" vertical="center" readingOrder="2"/>
    </xf>
    <xf numFmtId="0" fontId="8" fillId="4" borderId="10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wrapText="1" readingOrder="2"/>
    </xf>
    <xf numFmtId="0" fontId="1" fillId="2" borderId="18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8" fillId="4" borderId="7" xfId="0" applyFont="1" applyFill="1" applyBorder="1" applyAlignment="1">
      <alignment horizontal="center" vertical="center" readingOrder="2"/>
    </xf>
    <xf numFmtId="0" fontId="8" fillId="4" borderId="20" xfId="0" applyFont="1" applyFill="1" applyBorder="1" applyAlignment="1">
      <alignment horizontal="center" vertical="center" readingOrder="2"/>
    </xf>
    <xf numFmtId="0" fontId="16" fillId="4" borderId="12" xfId="0" applyFont="1" applyFill="1" applyBorder="1" applyAlignment="1">
      <alignment horizontal="center" vertical="center" wrapText="1" readingOrder="2"/>
    </xf>
    <xf numFmtId="0" fontId="16" fillId="4" borderId="10" xfId="0" applyFont="1" applyFill="1" applyBorder="1" applyAlignment="1">
      <alignment horizontal="center" vertical="center" wrapText="1" readingOrder="2"/>
    </xf>
    <xf numFmtId="0" fontId="8" fillId="3" borderId="7" xfId="0" applyFont="1" applyFill="1" applyBorder="1" applyAlignment="1">
      <alignment horizontal="center" vertical="center" readingOrder="2"/>
    </xf>
    <xf numFmtId="0" fontId="8" fillId="3" borderId="20" xfId="0" applyFont="1" applyFill="1" applyBorder="1" applyAlignment="1">
      <alignment horizontal="center" vertical="center" readingOrder="2"/>
    </xf>
    <xf numFmtId="0" fontId="8" fillId="4" borderId="19" xfId="0" applyFont="1" applyFill="1" applyBorder="1" applyAlignment="1">
      <alignment horizontal="center" vertical="center" readingOrder="2"/>
    </xf>
    <xf numFmtId="0" fontId="8" fillId="4" borderId="13" xfId="0" applyFont="1" applyFill="1" applyBorder="1" applyAlignment="1">
      <alignment horizontal="center" vertical="center" readingOrder="2"/>
    </xf>
    <xf numFmtId="0" fontId="8" fillId="4" borderId="21" xfId="0" applyFont="1" applyFill="1" applyBorder="1" applyAlignment="1">
      <alignment horizontal="center" vertical="center" wrapText="1" readingOrder="2"/>
    </xf>
    <xf numFmtId="0" fontId="8" fillId="4" borderId="22" xfId="0" applyFont="1" applyFill="1" applyBorder="1" applyAlignment="1">
      <alignment horizontal="center" vertical="center" wrapText="1" readingOrder="2"/>
    </xf>
    <xf numFmtId="0" fontId="15" fillId="4" borderId="12" xfId="0" applyFont="1" applyFill="1" applyBorder="1" applyAlignment="1">
      <alignment horizontal="center" vertical="center" wrapText="1" readingOrder="2"/>
    </xf>
    <xf numFmtId="0" fontId="15" fillId="4" borderId="10" xfId="0" applyFont="1" applyFill="1" applyBorder="1" applyAlignment="1">
      <alignment horizontal="center" vertical="center" wrapText="1" readingOrder="2"/>
    </xf>
    <xf numFmtId="0" fontId="15" fillId="4" borderId="18" xfId="0" applyFont="1" applyFill="1" applyBorder="1" applyAlignment="1">
      <alignment horizontal="center" vertical="center" wrapText="1" readingOrder="2"/>
    </xf>
    <xf numFmtId="0" fontId="8" fillId="4" borderId="40" xfId="0" applyFont="1" applyFill="1" applyBorder="1" applyAlignment="1">
      <alignment horizontal="center" vertical="center" readingOrder="2"/>
    </xf>
    <xf numFmtId="0" fontId="8" fillId="5" borderId="7" xfId="0" applyFont="1" applyFill="1" applyBorder="1" applyAlignment="1">
      <alignment horizontal="center" vertical="center" readingOrder="2"/>
    </xf>
    <xf numFmtId="0" fontId="8" fillId="5" borderId="20" xfId="0" applyFont="1" applyFill="1" applyBorder="1" applyAlignment="1">
      <alignment horizontal="center" vertical="center" readingOrder="2"/>
    </xf>
    <xf numFmtId="0" fontId="3" fillId="3" borderId="0" xfId="0" applyFont="1" applyFill="1" applyAlignment="1">
      <alignment horizontal="center" vertical="center" wrapText="1" readingOrder="2"/>
    </xf>
    <xf numFmtId="0" fontId="8" fillId="2" borderId="7" xfId="0" applyFont="1" applyFill="1" applyBorder="1" applyAlignment="1">
      <alignment horizontal="center" vertical="center" readingOrder="2"/>
    </xf>
    <xf numFmtId="0" fontId="8" fillId="2" borderId="20" xfId="0" applyFont="1" applyFill="1" applyBorder="1" applyAlignment="1">
      <alignment horizontal="center" vertical="center" readingOrder="2"/>
    </xf>
    <xf numFmtId="0" fontId="8" fillId="2" borderId="19" xfId="0" applyFont="1" applyFill="1" applyBorder="1" applyAlignment="1">
      <alignment horizontal="center" vertical="center" readingOrder="2"/>
    </xf>
    <xf numFmtId="0" fontId="8" fillId="2" borderId="13" xfId="0" applyFont="1" applyFill="1" applyBorder="1" applyAlignment="1">
      <alignment horizontal="center" vertical="center" readingOrder="2"/>
    </xf>
    <xf numFmtId="0" fontId="8" fillId="2" borderId="12" xfId="0" applyFont="1" applyFill="1" applyBorder="1" applyAlignment="1">
      <alignment horizontal="center" vertical="center" readingOrder="2"/>
    </xf>
    <xf numFmtId="0" fontId="8" fillId="2" borderId="10" xfId="0" applyFont="1" applyFill="1" applyBorder="1" applyAlignment="1">
      <alignment horizontal="center" vertical="center" readingOrder="2"/>
    </xf>
    <xf numFmtId="0" fontId="8" fillId="2" borderId="21" xfId="0" applyFont="1" applyFill="1" applyBorder="1" applyAlignment="1">
      <alignment horizontal="center" vertical="center" wrapText="1" readingOrder="2"/>
    </xf>
    <xf numFmtId="0" fontId="8" fillId="2" borderId="22" xfId="0" applyFont="1" applyFill="1" applyBorder="1" applyAlignment="1">
      <alignment horizontal="center" vertical="center" wrapText="1" readingOrder="2"/>
    </xf>
    <xf numFmtId="0" fontId="8" fillId="2" borderId="24" xfId="0" applyFont="1" applyFill="1" applyBorder="1" applyAlignment="1">
      <alignment horizontal="center" vertical="center" wrapText="1" readingOrder="2"/>
    </xf>
    <xf numFmtId="0" fontId="8" fillId="2" borderId="27" xfId="0" applyFont="1" applyFill="1" applyBorder="1" applyAlignment="1">
      <alignment horizontal="center" vertical="center" wrapText="1" readingOrder="2"/>
    </xf>
    <xf numFmtId="0" fontId="8" fillId="2" borderId="25" xfId="0" applyFont="1" applyFill="1" applyBorder="1" applyAlignment="1">
      <alignment horizontal="center" vertical="center" wrapText="1" readingOrder="2"/>
    </xf>
    <xf numFmtId="0" fontId="8" fillId="2" borderId="28" xfId="0" applyFont="1" applyFill="1" applyBorder="1" applyAlignment="1">
      <alignment horizontal="center" vertical="center" wrapText="1" readingOrder="2"/>
    </xf>
    <xf numFmtId="0" fontId="8" fillId="2" borderId="9" xfId="0" applyFont="1" applyFill="1" applyBorder="1" applyAlignment="1">
      <alignment horizontal="center" vertical="center" wrapText="1" readingOrder="2"/>
    </xf>
    <xf numFmtId="0" fontId="8" fillId="2" borderId="17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center" vertical="center" wrapText="1" readingOrder="2"/>
    </xf>
    <xf numFmtId="0" fontId="7" fillId="2" borderId="10" xfId="0" applyFont="1" applyFill="1" applyBorder="1" applyAlignment="1">
      <alignment horizontal="center" vertical="center" wrapText="1" readingOrder="2"/>
    </xf>
    <xf numFmtId="0" fontId="8" fillId="2" borderId="19" xfId="0" applyFont="1" applyFill="1" applyBorder="1" applyAlignment="1">
      <alignment horizontal="left" vertical="center" wrapText="1" readingOrder="2"/>
    </xf>
    <xf numFmtId="0" fontId="8" fillId="2" borderId="14" xfId="0" applyFont="1" applyFill="1" applyBorder="1" applyAlignment="1">
      <alignment horizontal="left" vertical="center" wrapText="1" readingOrder="2"/>
    </xf>
    <xf numFmtId="0" fontId="8" fillId="2" borderId="23" xfId="0" applyFont="1" applyFill="1" applyBorder="1" applyAlignment="1">
      <alignment horizontal="center" vertical="center" wrapText="1" readingOrder="2"/>
    </xf>
    <xf numFmtId="0" fontId="8" fillId="2" borderId="26" xfId="0" applyFont="1" applyFill="1" applyBorder="1" applyAlignment="1">
      <alignment horizontal="center" vertical="center" wrapText="1" readingOrder="2"/>
    </xf>
    <xf numFmtId="0" fontId="8" fillId="2" borderId="11" xfId="0" applyFont="1" applyFill="1" applyBorder="1" applyAlignment="1">
      <alignment horizontal="center" vertical="center" wrapText="1" readingOrder="2"/>
    </xf>
    <xf numFmtId="0" fontId="8" fillId="2" borderId="13" xfId="0" applyFont="1" applyFill="1" applyBorder="1" applyAlignment="1">
      <alignment horizontal="left" vertical="center" wrapText="1" readingOrder="2"/>
    </xf>
    <xf numFmtId="0" fontId="3" fillId="2" borderId="19" xfId="0" applyFont="1" applyFill="1" applyBorder="1" applyAlignment="1">
      <alignment horizontal="right" vertical="center" wrapText="1" readingOrder="2"/>
    </xf>
    <xf numFmtId="0" fontId="3" fillId="2" borderId="1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19050</xdr:rowOff>
    </xdr:from>
    <xdr:to>
      <xdr:col>3</xdr:col>
      <xdr:colOff>47625</xdr:colOff>
      <xdr:row>5</xdr:row>
      <xdr:rowOff>9525</xdr:rowOff>
    </xdr:to>
    <xdr:sp macro="" textlink="">
      <xdr:nvSpPr>
        <xdr:cNvPr id="6881" name="Line 1">
          <a:extLst>
            <a:ext uri="{FF2B5EF4-FFF2-40B4-BE49-F238E27FC236}">
              <a16:creationId xmlns="" xmlns:a16="http://schemas.microsoft.com/office/drawing/2014/main" id="{00000000-0008-0000-0000-0000E11A0000}"/>
            </a:ext>
          </a:extLst>
        </xdr:cNvPr>
        <xdr:cNvSpPr>
          <a:spLocks noChangeShapeType="1"/>
        </xdr:cNvSpPr>
      </xdr:nvSpPr>
      <xdr:spPr bwMode="auto">
        <a:xfrm flipH="1">
          <a:off x="150666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92</xdr:row>
      <xdr:rowOff>19050</xdr:rowOff>
    </xdr:from>
    <xdr:to>
      <xdr:col>3</xdr:col>
      <xdr:colOff>47625</xdr:colOff>
      <xdr:row>94</xdr:row>
      <xdr:rowOff>9525</xdr:rowOff>
    </xdr:to>
    <xdr:sp macro="" textlink="">
      <xdr:nvSpPr>
        <xdr:cNvPr id="6882" name="Line 2">
          <a:extLst>
            <a:ext uri="{FF2B5EF4-FFF2-40B4-BE49-F238E27FC236}">
              <a16:creationId xmlns="" xmlns:a16="http://schemas.microsoft.com/office/drawing/2014/main" id="{00000000-0008-0000-0000-0000E21A0000}"/>
            </a:ext>
          </a:extLst>
        </xdr:cNvPr>
        <xdr:cNvSpPr>
          <a:spLocks noChangeShapeType="1"/>
        </xdr:cNvSpPr>
      </xdr:nvSpPr>
      <xdr:spPr bwMode="auto">
        <a:xfrm flipH="1">
          <a:off x="150666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92</xdr:row>
      <xdr:rowOff>19050</xdr:rowOff>
    </xdr:from>
    <xdr:to>
      <xdr:col>3</xdr:col>
      <xdr:colOff>47625</xdr:colOff>
      <xdr:row>94</xdr:row>
      <xdr:rowOff>9525</xdr:rowOff>
    </xdr:to>
    <xdr:sp macro="" textlink="">
      <xdr:nvSpPr>
        <xdr:cNvPr id="6885" name="Line 5">
          <a:extLst>
            <a:ext uri="{FF2B5EF4-FFF2-40B4-BE49-F238E27FC236}">
              <a16:creationId xmlns="" xmlns:a16="http://schemas.microsoft.com/office/drawing/2014/main" id="{00000000-0008-0000-0000-0000E51A0000}"/>
            </a:ext>
          </a:extLst>
        </xdr:cNvPr>
        <xdr:cNvSpPr>
          <a:spLocks noChangeShapeType="1"/>
        </xdr:cNvSpPr>
      </xdr:nvSpPr>
      <xdr:spPr bwMode="auto">
        <a:xfrm flipH="1">
          <a:off x="150666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6888" name="Line 8">
          <a:extLst>
            <a:ext uri="{FF2B5EF4-FFF2-40B4-BE49-F238E27FC236}">
              <a16:creationId xmlns="" xmlns:a16="http://schemas.microsoft.com/office/drawing/2014/main" id="{00000000-0008-0000-0000-0000E81A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6889" name="Line 9">
          <a:extLst>
            <a:ext uri="{FF2B5EF4-FFF2-40B4-BE49-F238E27FC236}">
              <a16:creationId xmlns="" xmlns:a16="http://schemas.microsoft.com/office/drawing/2014/main" id="{00000000-0008-0000-0000-0000E91A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6892" name="Line 12">
          <a:extLst>
            <a:ext uri="{FF2B5EF4-FFF2-40B4-BE49-F238E27FC236}">
              <a16:creationId xmlns="" xmlns:a16="http://schemas.microsoft.com/office/drawing/2014/main" id="{00000000-0008-0000-0000-0000EC1A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6895" name="Line 15">
          <a:extLst>
            <a:ext uri="{FF2B5EF4-FFF2-40B4-BE49-F238E27FC236}">
              <a16:creationId xmlns="" xmlns:a16="http://schemas.microsoft.com/office/drawing/2014/main" id="{00000000-0008-0000-0000-0000EF1A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6896" name="Line 16">
          <a:extLst>
            <a:ext uri="{FF2B5EF4-FFF2-40B4-BE49-F238E27FC236}">
              <a16:creationId xmlns="" xmlns:a16="http://schemas.microsoft.com/office/drawing/2014/main" id="{00000000-0008-0000-0000-0000F01A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6899" name="Line 19">
          <a:extLst>
            <a:ext uri="{FF2B5EF4-FFF2-40B4-BE49-F238E27FC236}">
              <a16:creationId xmlns="" xmlns:a16="http://schemas.microsoft.com/office/drawing/2014/main" id="{00000000-0008-0000-0000-0000F31A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6902" name="Line 22">
          <a:extLst>
            <a:ext uri="{FF2B5EF4-FFF2-40B4-BE49-F238E27FC236}">
              <a16:creationId xmlns="" xmlns:a16="http://schemas.microsoft.com/office/drawing/2014/main" id="{00000000-0008-0000-0000-0000F61A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03" name="Line 23">
          <a:extLst>
            <a:ext uri="{FF2B5EF4-FFF2-40B4-BE49-F238E27FC236}">
              <a16:creationId xmlns="" xmlns:a16="http://schemas.microsoft.com/office/drawing/2014/main" id="{00000000-0008-0000-0000-0000F71A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06" name="Line 26">
          <a:extLst>
            <a:ext uri="{FF2B5EF4-FFF2-40B4-BE49-F238E27FC236}">
              <a16:creationId xmlns="" xmlns:a16="http://schemas.microsoft.com/office/drawing/2014/main" id="{00000000-0008-0000-0000-0000FA1A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6909" name="Line 29">
          <a:extLst>
            <a:ext uri="{FF2B5EF4-FFF2-40B4-BE49-F238E27FC236}">
              <a16:creationId xmlns="" xmlns:a16="http://schemas.microsoft.com/office/drawing/2014/main" id="{00000000-0008-0000-0000-0000FD1A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6910" name="Line 30">
          <a:extLst>
            <a:ext uri="{FF2B5EF4-FFF2-40B4-BE49-F238E27FC236}">
              <a16:creationId xmlns="" xmlns:a16="http://schemas.microsoft.com/office/drawing/2014/main" id="{00000000-0008-0000-0000-0000FE1A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6913" name="Line 33">
          <a:extLst>
            <a:ext uri="{FF2B5EF4-FFF2-40B4-BE49-F238E27FC236}">
              <a16:creationId xmlns="" xmlns:a16="http://schemas.microsoft.com/office/drawing/2014/main" id="{00000000-0008-0000-0000-000001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6916" name="Line 36">
          <a:extLst>
            <a:ext uri="{FF2B5EF4-FFF2-40B4-BE49-F238E27FC236}">
              <a16:creationId xmlns="" xmlns:a16="http://schemas.microsoft.com/office/drawing/2014/main" id="{00000000-0008-0000-0000-0000041B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6917" name="Line 37">
          <a:extLst>
            <a:ext uri="{FF2B5EF4-FFF2-40B4-BE49-F238E27FC236}">
              <a16:creationId xmlns="" xmlns:a16="http://schemas.microsoft.com/office/drawing/2014/main" id="{00000000-0008-0000-0000-0000051B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6920" name="Line 40">
          <a:extLst>
            <a:ext uri="{FF2B5EF4-FFF2-40B4-BE49-F238E27FC236}">
              <a16:creationId xmlns="" xmlns:a16="http://schemas.microsoft.com/office/drawing/2014/main" id="{00000000-0008-0000-0000-0000081B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6923" name="Line 43">
          <a:extLst>
            <a:ext uri="{FF2B5EF4-FFF2-40B4-BE49-F238E27FC236}">
              <a16:creationId xmlns="" xmlns:a16="http://schemas.microsoft.com/office/drawing/2014/main" id="{00000000-0008-0000-0000-00000B1B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6924" name="Line 44">
          <a:extLst>
            <a:ext uri="{FF2B5EF4-FFF2-40B4-BE49-F238E27FC236}">
              <a16:creationId xmlns="" xmlns:a16="http://schemas.microsoft.com/office/drawing/2014/main" id="{00000000-0008-0000-0000-00000C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6927" name="Line 47">
          <a:extLst>
            <a:ext uri="{FF2B5EF4-FFF2-40B4-BE49-F238E27FC236}">
              <a16:creationId xmlns="" xmlns:a16="http://schemas.microsoft.com/office/drawing/2014/main" id="{00000000-0008-0000-0000-00000F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6930" name="Line 50">
          <a:extLst>
            <a:ext uri="{FF2B5EF4-FFF2-40B4-BE49-F238E27FC236}">
              <a16:creationId xmlns="" xmlns:a16="http://schemas.microsoft.com/office/drawing/2014/main" id="{00000000-0008-0000-0000-0000121B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31" name="Line 51">
          <a:extLst>
            <a:ext uri="{FF2B5EF4-FFF2-40B4-BE49-F238E27FC236}">
              <a16:creationId xmlns="" xmlns:a16="http://schemas.microsoft.com/office/drawing/2014/main" id="{00000000-0008-0000-0000-000013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34" name="Line 54">
          <a:extLst>
            <a:ext uri="{FF2B5EF4-FFF2-40B4-BE49-F238E27FC236}">
              <a16:creationId xmlns="" xmlns:a16="http://schemas.microsoft.com/office/drawing/2014/main" id="{00000000-0008-0000-0000-000016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6937" name="Line 57">
          <a:extLst>
            <a:ext uri="{FF2B5EF4-FFF2-40B4-BE49-F238E27FC236}">
              <a16:creationId xmlns="" xmlns:a16="http://schemas.microsoft.com/office/drawing/2014/main" id="{00000000-0008-0000-0000-0000191B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38" name="Line 58">
          <a:extLst>
            <a:ext uri="{FF2B5EF4-FFF2-40B4-BE49-F238E27FC236}">
              <a16:creationId xmlns="" xmlns:a16="http://schemas.microsoft.com/office/drawing/2014/main" id="{00000000-0008-0000-0000-00001A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6941" name="Line 61">
          <a:extLst>
            <a:ext uri="{FF2B5EF4-FFF2-40B4-BE49-F238E27FC236}">
              <a16:creationId xmlns="" xmlns:a16="http://schemas.microsoft.com/office/drawing/2014/main" id="{00000000-0008-0000-0000-00001D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6944" name="Line 64">
          <a:extLst>
            <a:ext uri="{FF2B5EF4-FFF2-40B4-BE49-F238E27FC236}">
              <a16:creationId xmlns="" xmlns:a16="http://schemas.microsoft.com/office/drawing/2014/main" id="{00000000-0008-0000-0000-0000201B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6945" name="Line 65">
          <a:extLst>
            <a:ext uri="{FF2B5EF4-FFF2-40B4-BE49-F238E27FC236}">
              <a16:creationId xmlns="" xmlns:a16="http://schemas.microsoft.com/office/drawing/2014/main" id="{00000000-0008-0000-0000-000021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6948" name="Line 68">
          <a:extLst>
            <a:ext uri="{FF2B5EF4-FFF2-40B4-BE49-F238E27FC236}">
              <a16:creationId xmlns="" xmlns:a16="http://schemas.microsoft.com/office/drawing/2014/main" id="{00000000-0008-0000-0000-000024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6951" name="Line 71">
          <a:extLst>
            <a:ext uri="{FF2B5EF4-FFF2-40B4-BE49-F238E27FC236}">
              <a16:creationId xmlns="" xmlns:a16="http://schemas.microsoft.com/office/drawing/2014/main" id="{00000000-0008-0000-0000-0000271B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6952" name="Line 72">
          <a:extLst>
            <a:ext uri="{FF2B5EF4-FFF2-40B4-BE49-F238E27FC236}">
              <a16:creationId xmlns="" xmlns:a16="http://schemas.microsoft.com/office/drawing/2014/main" id="{00000000-0008-0000-0000-000028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6955" name="Line 75">
          <a:extLst>
            <a:ext uri="{FF2B5EF4-FFF2-40B4-BE49-F238E27FC236}">
              <a16:creationId xmlns="" xmlns:a16="http://schemas.microsoft.com/office/drawing/2014/main" id="{00000000-0008-0000-0000-00002B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6958" name="Line 78">
          <a:extLst>
            <a:ext uri="{FF2B5EF4-FFF2-40B4-BE49-F238E27FC236}">
              <a16:creationId xmlns="" xmlns:a16="http://schemas.microsoft.com/office/drawing/2014/main" id="{00000000-0008-0000-0000-00002E1B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6959" name="Line 79">
          <a:extLst>
            <a:ext uri="{FF2B5EF4-FFF2-40B4-BE49-F238E27FC236}">
              <a16:creationId xmlns="" xmlns:a16="http://schemas.microsoft.com/office/drawing/2014/main" id="{00000000-0008-0000-0000-00002F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6962" name="Line 82">
          <a:extLst>
            <a:ext uri="{FF2B5EF4-FFF2-40B4-BE49-F238E27FC236}">
              <a16:creationId xmlns="" xmlns:a16="http://schemas.microsoft.com/office/drawing/2014/main" id="{00000000-0008-0000-0000-000032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6965" name="Line 85">
          <a:extLst>
            <a:ext uri="{FF2B5EF4-FFF2-40B4-BE49-F238E27FC236}">
              <a16:creationId xmlns="" xmlns:a16="http://schemas.microsoft.com/office/drawing/2014/main" id="{00000000-0008-0000-0000-0000351B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6966" name="Line 86">
          <a:extLst>
            <a:ext uri="{FF2B5EF4-FFF2-40B4-BE49-F238E27FC236}">
              <a16:creationId xmlns="" xmlns:a16="http://schemas.microsoft.com/office/drawing/2014/main" id="{00000000-0008-0000-0000-000036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6969" name="Line 89">
          <a:extLst>
            <a:ext uri="{FF2B5EF4-FFF2-40B4-BE49-F238E27FC236}">
              <a16:creationId xmlns="" xmlns:a16="http://schemas.microsoft.com/office/drawing/2014/main" id="{00000000-0008-0000-0000-000039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6972" name="Line 92">
          <a:extLst>
            <a:ext uri="{FF2B5EF4-FFF2-40B4-BE49-F238E27FC236}">
              <a16:creationId xmlns="" xmlns:a16="http://schemas.microsoft.com/office/drawing/2014/main" id="{00000000-0008-0000-0000-00003C1B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6973" name="Line 93">
          <a:extLst>
            <a:ext uri="{FF2B5EF4-FFF2-40B4-BE49-F238E27FC236}">
              <a16:creationId xmlns="" xmlns:a16="http://schemas.microsoft.com/office/drawing/2014/main" id="{00000000-0008-0000-0000-00003D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6976" name="Line 96">
          <a:extLst>
            <a:ext uri="{FF2B5EF4-FFF2-40B4-BE49-F238E27FC236}">
              <a16:creationId xmlns="" xmlns:a16="http://schemas.microsoft.com/office/drawing/2014/main" id="{00000000-0008-0000-0000-000040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6979" name="Line 99">
          <a:extLst>
            <a:ext uri="{FF2B5EF4-FFF2-40B4-BE49-F238E27FC236}">
              <a16:creationId xmlns="" xmlns:a16="http://schemas.microsoft.com/office/drawing/2014/main" id="{00000000-0008-0000-0000-0000431B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6980" name="Line 100">
          <a:extLst>
            <a:ext uri="{FF2B5EF4-FFF2-40B4-BE49-F238E27FC236}">
              <a16:creationId xmlns="" xmlns:a16="http://schemas.microsoft.com/office/drawing/2014/main" id="{00000000-0008-0000-0000-0000441B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6983" name="Line 103">
          <a:extLst>
            <a:ext uri="{FF2B5EF4-FFF2-40B4-BE49-F238E27FC236}">
              <a16:creationId xmlns="" xmlns:a16="http://schemas.microsoft.com/office/drawing/2014/main" id="{00000000-0008-0000-0000-0000471B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6986" name="Line 106">
          <a:extLst>
            <a:ext uri="{FF2B5EF4-FFF2-40B4-BE49-F238E27FC236}">
              <a16:creationId xmlns="" xmlns:a16="http://schemas.microsoft.com/office/drawing/2014/main" id="{00000000-0008-0000-0000-00004A1B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6987" name="Line 107">
          <a:extLst>
            <a:ext uri="{FF2B5EF4-FFF2-40B4-BE49-F238E27FC236}">
              <a16:creationId xmlns="" xmlns:a16="http://schemas.microsoft.com/office/drawing/2014/main" id="{00000000-0008-0000-0000-00004B1B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6990" name="Line 110">
          <a:extLst>
            <a:ext uri="{FF2B5EF4-FFF2-40B4-BE49-F238E27FC236}">
              <a16:creationId xmlns="" xmlns:a16="http://schemas.microsoft.com/office/drawing/2014/main" id="{00000000-0008-0000-0000-00004E1B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6993" name="Line 113">
          <a:extLst>
            <a:ext uri="{FF2B5EF4-FFF2-40B4-BE49-F238E27FC236}">
              <a16:creationId xmlns="" xmlns:a16="http://schemas.microsoft.com/office/drawing/2014/main" id="{00000000-0008-0000-0000-0000511B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6994" name="Line 114">
          <a:extLst>
            <a:ext uri="{FF2B5EF4-FFF2-40B4-BE49-F238E27FC236}">
              <a16:creationId xmlns="" xmlns:a16="http://schemas.microsoft.com/office/drawing/2014/main" id="{00000000-0008-0000-0000-0000521B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6997" name="Line 117">
          <a:extLst>
            <a:ext uri="{FF2B5EF4-FFF2-40B4-BE49-F238E27FC236}">
              <a16:creationId xmlns="" xmlns:a16="http://schemas.microsoft.com/office/drawing/2014/main" id="{00000000-0008-0000-0000-0000551B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3</xdr:row>
      <xdr:rowOff>19050</xdr:rowOff>
    </xdr:from>
    <xdr:to>
      <xdr:col>99</xdr:col>
      <xdr:colOff>47625</xdr:colOff>
      <xdr:row>5</xdr:row>
      <xdr:rowOff>9525</xdr:rowOff>
    </xdr:to>
    <xdr:sp macro="" textlink="">
      <xdr:nvSpPr>
        <xdr:cNvPr id="7000" name="Line 120">
          <a:extLst>
            <a:ext uri="{FF2B5EF4-FFF2-40B4-BE49-F238E27FC236}">
              <a16:creationId xmlns="" xmlns:a16="http://schemas.microsoft.com/office/drawing/2014/main" id="{00000000-0008-0000-0000-0000581B0000}"/>
            </a:ext>
          </a:extLst>
        </xdr:cNvPr>
        <xdr:cNvSpPr>
          <a:spLocks noChangeShapeType="1"/>
        </xdr:cNvSpPr>
      </xdr:nvSpPr>
      <xdr:spPr bwMode="auto">
        <a:xfrm flipH="1">
          <a:off x="96259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92</xdr:row>
      <xdr:rowOff>19050</xdr:rowOff>
    </xdr:from>
    <xdr:to>
      <xdr:col>99</xdr:col>
      <xdr:colOff>47625</xdr:colOff>
      <xdr:row>94</xdr:row>
      <xdr:rowOff>9525</xdr:rowOff>
    </xdr:to>
    <xdr:sp macro="" textlink="">
      <xdr:nvSpPr>
        <xdr:cNvPr id="7001" name="Line 121">
          <a:extLst>
            <a:ext uri="{FF2B5EF4-FFF2-40B4-BE49-F238E27FC236}">
              <a16:creationId xmlns="" xmlns:a16="http://schemas.microsoft.com/office/drawing/2014/main" id="{00000000-0008-0000-0000-0000591B0000}"/>
            </a:ext>
          </a:extLst>
        </xdr:cNvPr>
        <xdr:cNvSpPr>
          <a:spLocks noChangeShapeType="1"/>
        </xdr:cNvSpPr>
      </xdr:nvSpPr>
      <xdr:spPr bwMode="auto">
        <a:xfrm flipH="1">
          <a:off x="96259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92</xdr:row>
      <xdr:rowOff>19050</xdr:rowOff>
    </xdr:from>
    <xdr:to>
      <xdr:col>99</xdr:col>
      <xdr:colOff>47625</xdr:colOff>
      <xdr:row>94</xdr:row>
      <xdr:rowOff>9525</xdr:rowOff>
    </xdr:to>
    <xdr:sp macro="" textlink="">
      <xdr:nvSpPr>
        <xdr:cNvPr id="7002" name="Line 122">
          <a:extLst>
            <a:ext uri="{FF2B5EF4-FFF2-40B4-BE49-F238E27FC236}">
              <a16:creationId xmlns="" xmlns:a16="http://schemas.microsoft.com/office/drawing/2014/main" id="{00000000-0008-0000-0000-00005A1B0000}"/>
            </a:ext>
          </a:extLst>
        </xdr:cNvPr>
        <xdr:cNvSpPr>
          <a:spLocks noChangeShapeType="1"/>
        </xdr:cNvSpPr>
      </xdr:nvSpPr>
      <xdr:spPr bwMode="auto">
        <a:xfrm flipH="1">
          <a:off x="96259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007" name="Line 127">
          <a:extLst>
            <a:ext uri="{FF2B5EF4-FFF2-40B4-BE49-F238E27FC236}">
              <a16:creationId xmlns="" xmlns:a16="http://schemas.microsoft.com/office/drawing/2014/main" id="{00000000-0008-0000-0000-00005F1B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008" name="Line 128">
          <a:extLst>
            <a:ext uri="{FF2B5EF4-FFF2-40B4-BE49-F238E27FC236}">
              <a16:creationId xmlns="" xmlns:a16="http://schemas.microsoft.com/office/drawing/2014/main" id="{00000000-0008-0000-0000-0000601B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011" name="Line 131">
          <a:extLst>
            <a:ext uri="{FF2B5EF4-FFF2-40B4-BE49-F238E27FC236}">
              <a16:creationId xmlns="" xmlns:a16="http://schemas.microsoft.com/office/drawing/2014/main" id="{00000000-0008-0000-0000-0000631B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014" name="Line 134">
          <a:extLst>
            <a:ext uri="{FF2B5EF4-FFF2-40B4-BE49-F238E27FC236}">
              <a16:creationId xmlns="" xmlns:a16="http://schemas.microsoft.com/office/drawing/2014/main" id="{00000000-0008-0000-0000-0000661B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15" name="Line 135">
          <a:extLst>
            <a:ext uri="{FF2B5EF4-FFF2-40B4-BE49-F238E27FC236}">
              <a16:creationId xmlns="" xmlns:a16="http://schemas.microsoft.com/office/drawing/2014/main" id="{00000000-0008-0000-0000-000067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18" name="Line 138">
          <a:extLst>
            <a:ext uri="{FF2B5EF4-FFF2-40B4-BE49-F238E27FC236}">
              <a16:creationId xmlns="" xmlns:a16="http://schemas.microsoft.com/office/drawing/2014/main" id="{00000000-0008-0000-0000-00006A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021" name="Line 141">
          <a:extLst>
            <a:ext uri="{FF2B5EF4-FFF2-40B4-BE49-F238E27FC236}">
              <a16:creationId xmlns="" xmlns:a16="http://schemas.microsoft.com/office/drawing/2014/main" id="{00000000-0008-0000-0000-00006D1B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22" name="Line 142">
          <a:extLst>
            <a:ext uri="{FF2B5EF4-FFF2-40B4-BE49-F238E27FC236}">
              <a16:creationId xmlns="" xmlns:a16="http://schemas.microsoft.com/office/drawing/2014/main" id="{00000000-0008-0000-0000-00006E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25" name="Line 145">
          <a:extLst>
            <a:ext uri="{FF2B5EF4-FFF2-40B4-BE49-F238E27FC236}">
              <a16:creationId xmlns="" xmlns:a16="http://schemas.microsoft.com/office/drawing/2014/main" id="{00000000-0008-0000-0000-000071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028" name="Line 148">
          <a:extLst>
            <a:ext uri="{FF2B5EF4-FFF2-40B4-BE49-F238E27FC236}">
              <a16:creationId xmlns="" xmlns:a16="http://schemas.microsoft.com/office/drawing/2014/main" id="{00000000-0008-0000-0000-0000741B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29" name="Line 149">
          <a:extLst>
            <a:ext uri="{FF2B5EF4-FFF2-40B4-BE49-F238E27FC236}">
              <a16:creationId xmlns="" xmlns:a16="http://schemas.microsoft.com/office/drawing/2014/main" id="{00000000-0008-0000-0000-000075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032" name="Line 152">
          <a:extLst>
            <a:ext uri="{FF2B5EF4-FFF2-40B4-BE49-F238E27FC236}">
              <a16:creationId xmlns="" xmlns:a16="http://schemas.microsoft.com/office/drawing/2014/main" id="{00000000-0008-0000-0000-0000781B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035" name="Line 155">
          <a:extLst>
            <a:ext uri="{FF2B5EF4-FFF2-40B4-BE49-F238E27FC236}">
              <a16:creationId xmlns="" xmlns:a16="http://schemas.microsoft.com/office/drawing/2014/main" id="{00000000-0008-0000-0000-00007B1B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36" name="Line 156">
          <a:extLst>
            <a:ext uri="{FF2B5EF4-FFF2-40B4-BE49-F238E27FC236}">
              <a16:creationId xmlns="" xmlns:a16="http://schemas.microsoft.com/office/drawing/2014/main" id="{00000000-0008-0000-0000-00007C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39" name="Line 159">
          <a:extLst>
            <a:ext uri="{FF2B5EF4-FFF2-40B4-BE49-F238E27FC236}">
              <a16:creationId xmlns="" xmlns:a16="http://schemas.microsoft.com/office/drawing/2014/main" id="{00000000-0008-0000-0000-00007F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042" name="Line 162">
          <a:extLst>
            <a:ext uri="{FF2B5EF4-FFF2-40B4-BE49-F238E27FC236}">
              <a16:creationId xmlns="" xmlns:a16="http://schemas.microsoft.com/office/drawing/2014/main" id="{00000000-0008-0000-0000-0000821B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43" name="Line 163">
          <a:extLst>
            <a:ext uri="{FF2B5EF4-FFF2-40B4-BE49-F238E27FC236}">
              <a16:creationId xmlns="" xmlns:a16="http://schemas.microsoft.com/office/drawing/2014/main" id="{00000000-0008-0000-0000-000083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46" name="Line 166">
          <a:extLst>
            <a:ext uri="{FF2B5EF4-FFF2-40B4-BE49-F238E27FC236}">
              <a16:creationId xmlns="" xmlns:a16="http://schemas.microsoft.com/office/drawing/2014/main" id="{00000000-0008-0000-0000-000086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049" name="Line 169">
          <a:extLst>
            <a:ext uri="{FF2B5EF4-FFF2-40B4-BE49-F238E27FC236}">
              <a16:creationId xmlns="" xmlns:a16="http://schemas.microsoft.com/office/drawing/2014/main" id="{00000000-0008-0000-0000-0000891B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50" name="Line 170">
          <a:extLst>
            <a:ext uri="{FF2B5EF4-FFF2-40B4-BE49-F238E27FC236}">
              <a16:creationId xmlns="" xmlns:a16="http://schemas.microsoft.com/office/drawing/2014/main" id="{00000000-0008-0000-0000-00008A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053" name="Line 173">
          <a:extLst>
            <a:ext uri="{FF2B5EF4-FFF2-40B4-BE49-F238E27FC236}">
              <a16:creationId xmlns="" xmlns:a16="http://schemas.microsoft.com/office/drawing/2014/main" id="{00000000-0008-0000-0000-00008D1B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056" name="Line 176">
          <a:extLst>
            <a:ext uri="{FF2B5EF4-FFF2-40B4-BE49-F238E27FC236}">
              <a16:creationId xmlns="" xmlns:a16="http://schemas.microsoft.com/office/drawing/2014/main" id="{00000000-0008-0000-0000-0000901B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57" name="Line 177">
          <a:extLst>
            <a:ext uri="{FF2B5EF4-FFF2-40B4-BE49-F238E27FC236}">
              <a16:creationId xmlns="" xmlns:a16="http://schemas.microsoft.com/office/drawing/2014/main" id="{00000000-0008-0000-0000-000091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60" name="Line 180">
          <a:extLst>
            <a:ext uri="{FF2B5EF4-FFF2-40B4-BE49-F238E27FC236}">
              <a16:creationId xmlns="" xmlns:a16="http://schemas.microsoft.com/office/drawing/2014/main" id="{00000000-0008-0000-0000-000094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063" name="Line 183">
          <a:extLst>
            <a:ext uri="{FF2B5EF4-FFF2-40B4-BE49-F238E27FC236}">
              <a16:creationId xmlns="" xmlns:a16="http://schemas.microsoft.com/office/drawing/2014/main" id="{00000000-0008-0000-0000-0000971B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64" name="Line 184">
          <a:extLst>
            <a:ext uri="{FF2B5EF4-FFF2-40B4-BE49-F238E27FC236}">
              <a16:creationId xmlns="" xmlns:a16="http://schemas.microsoft.com/office/drawing/2014/main" id="{00000000-0008-0000-0000-000098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67" name="Line 187">
          <a:extLst>
            <a:ext uri="{FF2B5EF4-FFF2-40B4-BE49-F238E27FC236}">
              <a16:creationId xmlns="" xmlns:a16="http://schemas.microsoft.com/office/drawing/2014/main" id="{00000000-0008-0000-0000-00009B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070" name="Line 190">
          <a:extLst>
            <a:ext uri="{FF2B5EF4-FFF2-40B4-BE49-F238E27FC236}">
              <a16:creationId xmlns="" xmlns:a16="http://schemas.microsoft.com/office/drawing/2014/main" id="{00000000-0008-0000-0000-00009E1B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71" name="Line 191">
          <a:extLst>
            <a:ext uri="{FF2B5EF4-FFF2-40B4-BE49-F238E27FC236}">
              <a16:creationId xmlns="" xmlns:a16="http://schemas.microsoft.com/office/drawing/2014/main" id="{00000000-0008-0000-0000-00009F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074" name="Line 194">
          <a:extLst>
            <a:ext uri="{FF2B5EF4-FFF2-40B4-BE49-F238E27FC236}">
              <a16:creationId xmlns="" xmlns:a16="http://schemas.microsoft.com/office/drawing/2014/main" id="{00000000-0008-0000-0000-0000A21B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077" name="Line 197">
          <a:extLst>
            <a:ext uri="{FF2B5EF4-FFF2-40B4-BE49-F238E27FC236}">
              <a16:creationId xmlns="" xmlns:a16="http://schemas.microsoft.com/office/drawing/2014/main" id="{00000000-0008-0000-0000-0000A51B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78" name="Line 198">
          <a:extLst>
            <a:ext uri="{FF2B5EF4-FFF2-40B4-BE49-F238E27FC236}">
              <a16:creationId xmlns="" xmlns:a16="http://schemas.microsoft.com/office/drawing/2014/main" id="{00000000-0008-0000-0000-0000A6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81" name="Line 201">
          <a:extLst>
            <a:ext uri="{FF2B5EF4-FFF2-40B4-BE49-F238E27FC236}">
              <a16:creationId xmlns="" xmlns:a16="http://schemas.microsoft.com/office/drawing/2014/main" id="{00000000-0008-0000-0000-0000A9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084" name="Line 204">
          <a:extLst>
            <a:ext uri="{FF2B5EF4-FFF2-40B4-BE49-F238E27FC236}">
              <a16:creationId xmlns="" xmlns:a16="http://schemas.microsoft.com/office/drawing/2014/main" id="{00000000-0008-0000-0000-0000AC1B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85" name="Line 205">
          <a:extLst>
            <a:ext uri="{FF2B5EF4-FFF2-40B4-BE49-F238E27FC236}">
              <a16:creationId xmlns="" xmlns:a16="http://schemas.microsoft.com/office/drawing/2014/main" id="{00000000-0008-0000-0000-0000AD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88" name="Line 208">
          <a:extLst>
            <a:ext uri="{FF2B5EF4-FFF2-40B4-BE49-F238E27FC236}">
              <a16:creationId xmlns="" xmlns:a16="http://schemas.microsoft.com/office/drawing/2014/main" id="{00000000-0008-0000-0000-0000B0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091" name="Line 211">
          <a:extLst>
            <a:ext uri="{FF2B5EF4-FFF2-40B4-BE49-F238E27FC236}">
              <a16:creationId xmlns="" xmlns:a16="http://schemas.microsoft.com/office/drawing/2014/main" id="{00000000-0008-0000-0000-0000B31B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92" name="Line 212">
          <a:extLst>
            <a:ext uri="{FF2B5EF4-FFF2-40B4-BE49-F238E27FC236}">
              <a16:creationId xmlns="" xmlns:a16="http://schemas.microsoft.com/office/drawing/2014/main" id="{00000000-0008-0000-0000-0000B4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095" name="Line 215">
          <a:extLst>
            <a:ext uri="{FF2B5EF4-FFF2-40B4-BE49-F238E27FC236}">
              <a16:creationId xmlns="" xmlns:a16="http://schemas.microsoft.com/office/drawing/2014/main" id="{00000000-0008-0000-0000-0000B71B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098" name="Line 218">
          <a:extLst>
            <a:ext uri="{FF2B5EF4-FFF2-40B4-BE49-F238E27FC236}">
              <a16:creationId xmlns="" xmlns:a16="http://schemas.microsoft.com/office/drawing/2014/main" id="{00000000-0008-0000-0000-0000BA1B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099" name="Line 219">
          <a:extLst>
            <a:ext uri="{FF2B5EF4-FFF2-40B4-BE49-F238E27FC236}">
              <a16:creationId xmlns="" xmlns:a16="http://schemas.microsoft.com/office/drawing/2014/main" id="{00000000-0008-0000-0000-0000BB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102" name="Line 222">
          <a:extLst>
            <a:ext uri="{FF2B5EF4-FFF2-40B4-BE49-F238E27FC236}">
              <a16:creationId xmlns="" xmlns:a16="http://schemas.microsoft.com/office/drawing/2014/main" id="{00000000-0008-0000-0000-0000BE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105" name="Line 225">
          <a:extLst>
            <a:ext uri="{FF2B5EF4-FFF2-40B4-BE49-F238E27FC236}">
              <a16:creationId xmlns="" xmlns:a16="http://schemas.microsoft.com/office/drawing/2014/main" id="{00000000-0008-0000-0000-0000C11B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106" name="Line 226">
          <a:extLst>
            <a:ext uri="{FF2B5EF4-FFF2-40B4-BE49-F238E27FC236}">
              <a16:creationId xmlns="" xmlns:a16="http://schemas.microsoft.com/office/drawing/2014/main" id="{00000000-0008-0000-0000-0000C2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109" name="Line 229">
          <a:extLst>
            <a:ext uri="{FF2B5EF4-FFF2-40B4-BE49-F238E27FC236}">
              <a16:creationId xmlns="" xmlns:a16="http://schemas.microsoft.com/office/drawing/2014/main" id="{00000000-0008-0000-0000-0000C5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112" name="Line 232">
          <a:extLst>
            <a:ext uri="{FF2B5EF4-FFF2-40B4-BE49-F238E27FC236}">
              <a16:creationId xmlns="" xmlns:a16="http://schemas.microsoft.com/office/drawing/2014/main" id="{00000000-0008-0000-0000-0000C81B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113" name="Line 233">
          <a:extLst>
            <a:ext uri="{FF2B5EF4-FFF2-40B4-BE49-F238E27FC236}">
              <a16:creationId xmlns="" xmlns:a16="http://schemas.microsoft.com/office/drawing/2014/main" id="{00000000-0008-0000-0000-0000C9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116" name="Line 236">
          <a:extLst>
            <a:ext uri="{FF2B5EF4-FFF2-40B4-BE49-F238E27FC236}">
              <a16:creationId xmlns="" xmlns:a16="http://schemas.microsoft.com/office/drawing/2014/main" id="{00000000-0008-0000-0000-0000CC1B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119" name="Line 239">
          <a:extLst>
            <a:ext uri="{FF2B5EF4-FFF2-40B4-BE49-F238E27FC236}">
              <a16:creationId xmlns="" xmlns:a16="http://schemas.microsoft.com/office/drawing/2014/main" id="{00000000-0008-0000-0000-0000CF1B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20" name="Line 240">
          <a:extLst>
            <a:ext uri="{FF2B5EF4-FFF2-40B4-BE49-F238E27FC236}">
              <a16:creationId xmlns="" xmlns:a16="http://schemas.microsoft.com/office/drawing/2014/main" id="{00000000-0008-0000-0000-0000D0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23" name="Line 243">
          <a:extLst>
            <a:ext uri="{FF2B5EF4-FFF2-40B4-BE49-F238E27FC236}">
              <a16:creationId xmlns="" xmlns:a16="http://schemas.microsoft.com/office/drawing/2014/main" id="{00000000-0008-0000-0000-0000D3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126" name="Line 246">
          <a:extLst>
            <a:ext uri="{FF2B5EF4-FFF2-40B4-BE49-F238E27FC236}">
              <a16:creationId xmlns="" xmlns:a16="http://schemas.microsoft.com/office/drawing/2014/main" id="{00000000-0008-0000-0000-0000D61B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27" name="Line 247">
          <a:extLst>
            <a:ext uri="{FF2B5EF4-FFF2-40B4-BE49-F238E27FC236}">
              <a16:creationId xmlns="" xmlns:a16="http://schemas.microsoft.com/office/drawing/2014/main" id="{00000000-0008-0000-0000-0000D7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30" name="Line 250">
          <a:extLst>
            <a:ext uri="{FF2B5EF4-FFF2-40B4-BE49-F238E27FC236}">
              <a16:creationId xmlns="" xmlns:a16="http://schemas.microsoft.com/office/drawing/2014/main" id="{00000000-0008-0000-0000-0000DA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133" name="Line 253">
          <a:extLst>
            <a:ext uri="{FF2B5EF4-FFF2-40B4-BE49-F238E27FC236}">
              <a16:creationId xmlns="" xmlns:a16="http://schemas.microsoft.com/office/drawing/2014/main" id="{00000000-0008-0000-0000-0000DD1B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34" name="Line 254">
          <a:extLst>
            <a:ext uri="{FF2B5EF4-FFF2-40B4-BE49-F238E27FC236}">
              <a16:creationId xmlns="" xmlns:a16="http://schemas.microsoft.com/office/drawing/2014/main" id="{00000000-0008-0000-0000-0000DE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137" name="Line 257">
          <a:extLst>
            <a:ext uri="{FF2B5EF4-FFF2-40B4-BE49-F238E27FC236}">
              <a16:creationId xmlns="" xmlns:a16="http://schemas.microsoft.com/office/drawing/2014/main" id="{00000000-0008-0000-0000-0000E11B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140" name="Line 260">
          <a:extLst>
            <a:ext uri="{FF2B5EF4-FFF2-40B4-BE49-F238E27FC236}">
              <a16:creationId xmlns="" xmlns:a16="http://schemas.microsoft.com/office/drawing/2014/main" id="{00000000-0008-0000-0000-0000E41B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41" name="Line 261">
          <a:extLst>
            <a:ext uri="{FF2B5EF4-FFF2-40B4-BE49-F238E27FC236}">
              <a16:creationId xmlns="" xmlns:a16="http://schemas.microsoft.com/office/drawing/2014/main" id="{00000000-0008-0000-0000-0000E5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44" name="Line 264">
          <a:extLst>
            <a:ext uri="{FF2B5EF4-FFF2-40B4-BE49-F238E27FC236}">
              <a16:creationId xmlns="" xmlns:a16="http://schemas.microsoft.com/office/drawing/2014/main" id="{00000000-0008-0000-0000-0000E8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147" name="Line 267">
          <a:extLst>
            <a:ext uri="{FF2B5EF4-FFF2-40B4-BE49-F238E27FC236}">
              <a16:creationId xmlns="" xmlns:a16="http://schemas.microsoft.com/office/drawing/2014/main" id="{00000000-0008-0000-0000-0000EB1B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48" name="Line 268">
          <a:extLst>
            <a:ext uri="{FF2B5EF4-FFF2-40B4-BE49-F238E27FC236}">
              <a16:creationId xmlns="" xmlns:a16="http://schemas.microsoft.com/office/drawing/2014/main" id="{00000000-0008-0000-0000-0000EC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51" name="Line 271">
          <a:extLst>
            <a:ext uri="{FF2B5EF4-FFF2-40B4-BE49-F238E27FC236}">
              <a16:creationId xmlns="" xmlns:a16="http://schemas.microsoft.com/office/drawing/2014/main" id="{00000000-0008-0000-0000-0000EF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154" name="Line 274">
          <a:extLst>
            <a:ext uri="{FF2B5EF4-FFF2-40B4-BE49-F238E27FC236}">
              <a16:creationId xmlns="" xmlns:a16="http://schemas.microsoft.com/office/drawing/2014/main" id="{00000000-0008-0000-0000-0000F21B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55" name="Line 275">
          <a:extLst>
            <a:ext uri="{FF2B5EF4-FFF2-40B4-BE49-F238E27FC236}">
              <a16:creationId xmlns="" xmlns:a16="http://schemas.microsoft.com/office/drawing/2014/main" id="{00000000-0008-0000-0000-0000F3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158" name="Line 278">
          <a:extLst>
            <a:ext uri="{FF2B5EF4-FFF2-40B4-BE49-F238E27FC236}">
              <a16:creationId xmlns="" xmlns:a16="http://schemas.microsoft.com/office/drawing/2014/main" id="{00000000-0008-0000-0000-0000F61B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161" name="Line 281">
          <a:extLst>
            <a:ext uri="{FF2B5EF4-FFF2-40B4-BE49-F238E27FC236}">
              <a16:creationId xmlns="" xmlns:a16="http://schemas.microsoft.com/office/drawing/2014/main" id="{00000000-0008-0000-0000-0000F91B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62" name="Line 282">
          <a:extLst>
            <a:ext uri="{FF2B5EF4-FFF2-40B4-BE49-F238E27FC236}">
              <a16:creationId xmlns="" xmlns:a16="http://schemas.microsoft.com/office/drawing/2014/main" id="{00000000-0008-0000-0000-0000FA1B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65" name="Line 285">
          <a:extLst>
            <a:ext uri="{FF2B5EF4-FFF2-40B4-BE49-F238E27FC236}">
              <a16:creationId xmlns="" xmlns:a16="http://schemas.microsoft.com/office/drawing/2014/main" id="{00000000-0008-0000-0000-0000FD1B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168" name="Line 288">
          <a:extLst>
            <a:ext uri="{FF2B5EF4-FFF2-40B4-BE49-F238E27FC236}">
              <a16:creationId xmlns="" xmlns:a16="http://schemas.microsoft.com/office/drawing/2014/main" id="{00000000-0008-0000-0000-0000001C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69" name="Line 289">
          <a:extLst>
            <a:ext uri="{FF2B5EF4-FFF2-40B4-BE49-F238E27FC236}">
              <a16:creationId xmlns="" xmlns:a16="http://schemas.microsoft.com/office/drawing/2014/main" id="{00000000-0008-0000-0000-0000011C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72" name="Line 292">
          <a:extLst>
            <a:ext uri="{FF2B5EF4-FFF2-40B4-BE49-F238E27FC236}">
              <a16:creationId xmlns="" xmlns:a16="http://schemas.microsoft.com/office/drawing/2014/main" id="{00000000-0008-0000-0000-0000041C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175" name="Line 295">
          <a:extLst>
            <a:ext uri="{FF2B5EF4-FFF2-40B4-BE49-F238E27FC236}">
              <a16:creationId xmlns="" xmlns:a16="http://schemas.microsoft.com/office/drawing/2014/main" id="{00000000-0008-0000-0000-0000071C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76" name="Line 296">
          <a:extLst>
            <a:ext uri="{FF2B5EF4-FFF2-40B4-BE49-F238E27FC236}">
              <a16:creationId xmlns="" xmlns:a16="http://schemas.microsoft.com/office/drawing/2014/main" id="{00000000-0008-0000-0000-0000081C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179" name="Line 299">
          <a:extLst>
            <a:ext uri="{FF2B5EF4-FFF2-40B4-BE49-F238E27FC236}">
              <a16:creationId xmlns="" xmlns:a16="http://schemas.microsoft.com/office/drawing/2014/main" id="{00000000-0008-0000-0000-00000B1C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182" name="Line 302">
          <a:extLst>
            <a:ext uri="{FF2B5EF4-FFF2-40B4-BE49-F238E27FC236}">
              <a16:creationId xmlns="" xmlns:a16="http://schemas.microsoft.com/office/drawing/2014/main" id="{00000000-0008-0000-0000-00000E1C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183" name="Line 303">
          <a:extLst>
            <a:ext uri="{FF2B5EF4-FFF2-40B4-BE49-F238E27FC236}">
              <a16:creationId xmlns="" xmlns:a16="http://schemas.microsoft.com/office/drawing/2014/main" id="{00000000-0008-0000-0000-00000F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186" name="Line 306">
          <a:extLst>
            <a:ext uri="{FF2B5EF4-FFF2-40B4-BE49-F238E27FC236}">
              <a16:creationId xmlns="" xmlns:a16="http://schemas.microsoft.com/office/drawing/2014/main" id="{00000000-0008-0000-0000-000012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189" name="Line 309">
          <a:extLst>
            <a:ext uri="{FF2B5EF4-FFF2-40B4-BE49-F238E27FC236}">
              <a16:creationId xmlns="" xmlns:a16="http://schemas.microsoft.com/office/drawing/2014/main" id="{00000000-0008-0000-0000-0000151C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190" name="Line 310">
          <a:extLst>
            <a:ext uri="{FF2B5EF4-FFF2-40B4-BE49-F238E27FC236}">
              <a16:creationId xmlns="" xmlns:a16="http://schemas.microsoft.com/office/drawing/2014/main" id="{00000000-0008-0000-0000-000016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193" name="Line 313">
          <a:extLst>
            <a:ext uri="{FF2B5EF4-FFF2-40B4-BE49-F238E27FC236}">
              <a16:creationId xmlns="" xmlns:a16="http://schemas.microsoft.com/office/drawing/2014/main" id="{00000000-0008-0000-0000-000019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196" name="Line 316">
          <a:extLst>
            <a:ext uri="{FF2B5EF4-FFF2-40B4-BE49-F238E27FC236}">
              <a16:creationId xmlns="" xmlns:a16="http://schemas.microsoft.com/office/drawing/2014/main" id="{00000000-0008-0000-0000-00001C1C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197" name="Line 317">
          <a:extLst>
            <a:ext uri="{FF2B5EF4-FFF2-40B4-BE49-F238E27FC236}">
              <a16:creationId xmlns="" xmlns:a16="http://schemas.microsoft.com/office/drawing/2014/main" id="{00000000-0008-0000-0000-00001D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200" name="Line 320">
          <a:extLst>
            <a:ext uri="{FF2B5EF4-FFF2-40B4-BE49-F238E27FC236}">
              <a16:creationId xmlns="" xmlns:a16="http://schemas.microsoft.com/office/drawing/2014/main" id="{00000000-0008-0000-0000-0000201C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203" name="Line 323">
          <a:extLst>
            <a:ext uri="{FF2B5EF4-FFF2-40B4-BE49-F238E27FC236}">
              <a16:creationId xmlns="" xmlns:a16="http://schemas.microsoft.com/office/drawing/2014/main" id="{00000000-0008-0000-0000-0000231C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04" name="Line 324">
          <a:extLst>
            <a:ext uri="{FF2B5EF4-FFF2-40B4-BE49-F238E27FC236}">
              <a16:creationId xmlns="" xmlns:a16="http://schemas.microsoft.com/office/drawing/2014/main" id="{00000000-0008-0000-0000-000024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07" name="Line 327">
          <a:extLst>
            <a:ext uri="{FF2B5EF4-FFF2-40B4-BE49-F238E27FC236}">
              <a16:creationId xmlns="" xmlns:a16="http://schemas.microsoft.com/office/drawing/2014/main" id="{00000000-0008-0000-0000-000027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210" name="Line 330">
          <a:extLst>
            <a:ext uri="{FF2B5EF4-FFF2-40B4-BE49-F238E27FC236}">
              <a16:creationId xmlns="" xmlns:a16="http://schemas.microsoft.com/office/drawing/2014/main" id="{00000000-0008-0000-0000-00002A1C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11" name="Line 331">
          <a:extLst>
            <a:ext uri="{FF2B5EF4-FFF2-40B4-BE49-F238E27FC236}">
              <a16:creationId xmlns="" xmlns:a16="http://schemas.microsoft.com/office/drawing/2014/main" id="{00000000-0008-0000-0000-00002B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14" name="Line 334">
          <a:extLst>
            <a:ext uri="{FF2B5EF4-FFF2-40B4-BE49-F238E27FC236}">
              <a16:creationId xmlns="" xmlns:a16="http://schemas.microsoft.com/office/drawing/2014/main" id="{00000000-0008-0000-0000-00002E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217" name="Line 337">
          <a:extLst>
            <a:ext uri="{FF2B5EF4-FFF2-40B4-BE49-F238E27FC236}">
              <a16:creationId xmlns="" xmlns:a16="http://schemas.microsoft.com/office/drawing/2014/main" id="{00000000-0008-0000-0000-0000311C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18" name="Line 338">
          <a:extLst>
            <a:ext uri="{FF2B5EF4-FFF2-40B4-BE49-F238E27FC236}">
              <a16:creationId xmlns="" xmlns:a16="http://schemas.microsoft.com/office/drawing/2014/main" id="{00000000-0008-0000-0000-000032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221" name="Line 341">
          <a:extLst>
            <a:ext uri="{FF2B5EF4-FFF2-40B4-BE49-F238E27FC236}">
              <a16:creationId xmlns="" xmlns:a16="http://schemas.microsoft.com/office/drawing/2014/main" id="{00000000-0008-0000-0000-0000351C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224" name="Line 344">
          <a:extLst>
            <a:ext uri="{FF2B5EF4-FFF2-40B4-BE49-F238E27FC236}">
              <a16:creationId xmlns="" xmlns:a16="http://schemas.microsoft.com/office/drawing/2014/main" id="{00000000-0008-0000-0000-0000381C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225" name="Line 345">
          <a:extLst>
            <a:ext uri="{FF2B5EF4-FFF2-40B4-BE49-F238E27FC236}">
              <a16:creationId xmlns="" xmlns:a16="http://schemas.microsoft.com/office/drawing/2014/main" id="{00000000-0008-0000-0000-0000391C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228" name="Line 348">
          <a:extLst>
            <a:ext uri="{FF2B5EF4-FFF2-40B4-BE49-F238E27FC236}">
              <a16:creationId xmlns="" xmlns:a16="http://schemas.microsoft.com/office/drawing/2014/main" id="{00000000-0008-0000-0000-00003C1C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231" name="Line 379">
          <a:extLst>
            <a:ext uri="{FF2B5EF4-FFF2-40B4-BE49-F238E27FC236}">
              <a16:creationId xmlns="" xmlns:a16="http://schemas.microsoft.com/office/drawing/2014/main" id="{00000000-0008-0000-0000-00003F1C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32" name="Line 380">
          <a:extLst>
            <a:ext uri="{FF2B5EF4-FFF2-40B4-BE49-F238E27FC236}">
              <a16:creationId xmlns="" xmlns:a16="http://schemas.microsoft.com/office/drawing/2014/main" id="{00000000-0008-0000-0000-000040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35" name="Line 383">
          <a:extLst>
            <a:ext uri="{FF2B5EF4-FFF2-40B4-BE49-F238E27FC236}">
              <a16:creationId xmlns="" xmlns:a16="http://schemas.microsoft.com/office/drawing/2014/main" id="{00000000-0008-0000-0000-000043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238" name="Line 386">
          <a:extLst>
            <a:ext uri="{FF2B5EF4-FFF2-40B4-BE49-F238E27FC236}">
              <a16:creationId xmlns="" xmlns:a16="http://schemas.microsoft.com/office/drawing/2014/main" id="{00000000-0008-0000-0000-0000461C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39" name="Line 387">
          <a:extLst>
            <a:ext uri="{FF2B5EF4-FFF2-40B4-BE49-F238E27FC236}">
              <a16:creationId xmlns="" xmlns:a16="http://schemas.microsoft.com/office/drawing/2014/main" id="{00000000-0008-0000-0000-000047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42" name="Line 390">
          <a:extLst>
            <a:ext uri="{FF2B5EF4-FFF2-40B4-BE49-F238E27FC236}">
              <a16:creationId xmlns="" xmlns:a16="http://schemas.microsoft.com/office/drawing/2014/main" id="{00000000-0008-0000-0000-00004A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245" name="Line 393">
          <a:extLst>
            <a:ext uri="{FF2B5EF4-FFF2-40B4-BE49-F238E27FC236}">
              <a16:creationId xmlns="" xmlns:a16="http://schemas.microsoft.com/office/drawing/2014/main" id="{00000000-0008-0000-0000-00004D1C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46" name="Line 394">
          <a:extLst>
            <a:ext uri="{FF2B5EF4-FFF2-40B4-BE49-F238E27FC236}">
              <a16:creationId xmlns="" xmlns:a16="http://schemas.microsoft.com/office/drawing/2014/main" id="{00000000-0008-0000-0000-00004E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49" name="Line 397">
          <a:extLst>
            <a:ext uri="{FF2B5EF4-FFF2-40B4-BE49-F238E27FC236}">
              <a16:creationId xmlns="" xmlns:a16="http://schemas.microsoft.com/office/drawing/2014/main" id="{00000000-0008-0000-0000-000051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252" name="Line 400">
          <a:extLst>
            <a:ext uri="{FF2B5EF4-FFF2-40B4-BE49-F238E27FC236}">
              <a16:creationId xmlns="" xmlns:a16="http://schemas.microsoft.com/office/drawing/2014/main" id="{00000000-0008-0000-0000-0000541C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53" name="Line 401">
          <a:extLst>
            <a:ext uri="{FF2B5EF4-FFF2-40B4-BE49-F238E27FC236}">
              <a16:creationId xmlns="" xmlns:a16="http://schemas.microsoft.com/office/drawing/2014/main" id="{00000000-0008-0000-0000-000055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256" name="Line 404">
          <a:extLst>
            <a:ext uri="{FF2B5EF4-FFF2-40B4-BE49-F238E27FC236}">
              <a16:creationId xmlns="" xmlns:a16="http://schemas.microsoft.com/office/drawing/2014/main" id="{00000000-0008-0000-0000-0000581C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259" name="Line 407">
          <a:extLst>
            <a:ext uri="{FF2B5EF4-FFF2-40B4-BE49-F238E27FC236}">
              <a16:creationId xmlns="" xmlns:a16="http://schemas.microsoft.com/office/drawing/2014/main" id="{00000000-0008-0000-0000-00005B1C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60" name="Line 408">
          <a:extLst>
            <a:ext uri="{FF2B5EF4-FFF2-40B4-BE49-F238E27FC236}">
              <a16:creationId xmlns="" xmlns:a16="http://schemas.microsoft.com/office/drawing/2014/main" id="{00000000-0008-0000-0000-00005C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63" name="Line 411">
          <a:extLst>
            <a:ext uri="{FF2B5EF4-FFF2-40B4-BE49-F238E27FC236}">
              <a16:creationId xmlns="" xmlns:a16="http://schemas.microsoft.com/office/drawing/2014/main" id="{00000000-0008-0000-0000-00005F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266" name="Line 414">
          <a:extLst>
            <a:ext uri="{FF2B5EF4-FFF2-40B4-BE49-F238E27FC236}">
              <a16:creationId xmlns="" xmlns:a16="http://schemas.microsoft.com/office/drawing/2014/main" id="{00000000-0008-0000-0000-0000621C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67" name="Line 415">
          <a:extLst>
            <a:ext uri="{FF2B5EF4-FFF2-40B4-BE49-F238E27FC236}">
              <a16:creationId xmlns="" xmlns:a16="http://schemas.microsoft.com/office/drawing/2014/main" id="{00000000-0008-0000-0000-000063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70" name="Line 418">
          <a:extLst>
            <a:ext uri="{FF2B5EF4-FFF2-40B4-BE49-F238E27FC236}">
              <a16:creationId xmlns="" xmlns:a16="http://schemas.microsoft.com/office/drawing/2014/main" id="{00000000-0008-0000-0000-000066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273" name="Line 421">
          <a:extLst>
            <a:ext uri="{FF2B5EF4-FFF2-40B4-BE49-F238E27FC236}">
              <a16:creationId xmlns="" xmlns:a16="http://schemas.microsoft.com/office/drawing/2014/main" id="{00000000-0008-0000-0000-0000691C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74" name="Line 422">
          <a:extLst>
            <a:ext uri="{FF2B5EF4-FFF2-40B4-BE49-F238E27FC236}">
              <a16:creationId xmlns="" xmlns:a16="http://schemas.microsoft.com/office/drawing/2014/main" id="{00000000-0008-0000-0000-00006A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77" name="Line 425">
          <a:extLst>
            <a:ext uri="{FF2B5EF4-FFF2-40B4-BE49-F238E27FC236}">
              <a16:creationId xmlns="" xmlns:a16="http://schemas.microsoft.com/office/drawing/2014/main" id="{00000000-0008-0000-0000-00006D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280" name="Line 428">
          <a:extLst>
            <a:ext uri="{FF2B5EF4-FFF2-40B4-BE49-F238E27FC236}">
              <a16:creationId xmlns="" xmlns:a16="http://schemas.microsoft.com/office/drawing/2014/main" id="{00000000-0008-0000-0000-0000701C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81" name="Line 429">
          <a:extLst>
            <a:ext uri="{FF2B5EF4-FFF2-40B4-BE49-F238E27FC236}">
              <a16:creationId xmlns="" xmlns:a16="http://schemas.microsoft.com/office/drawing/2014/main" id="{00000000-0008-0000-0000-000071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284" name="Line 432">
          <a:extLst>
            <a:ext uri="{FF2B5EF4-FFF2-40B4-BE49-F238E27FC236}">
              <a16:creationId xmlns="" xmlns:a16="http://schemas.microsoft.com/office/drawing/2014/main" id="{00000000-0008-0000-0000-0000741C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287" name="Line 435">
          <a:extLst>
            <a:ext uri="{FF2B5EF4-FFF2-40B4-BE49-F238E27FC236}">
              <a16:creationId xmlns="" xmlns:a16="http://schemas.microsoft.com/office/drawing/2014/main" id="{00000000-0008-0000-0000-0000771C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288" name="Line 436">
          <a:extLst>
            <a:ext uri="{FF2B5EF4-FFF2-40B4-BE49-F238E27FC236}">
              <a16:creationId xmlns="" xmlns:a16="http://schemas.microsoft.com/office/drawing/2014/main" id="{00000000-0008-0000-0000-000078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291" name="Line 439">
          <a:extLst>
            <a:ext uri="{FF2B5EF4-FFF2-40B4-BE49-F238E27FC236}">
              <a16:creationId xmlns="" xmlns:a16="http://schemas.microsoft.com/office/drawing/2014/main" id="{00000000-0008-0000-0000-00007B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294" name="Line 442">
          <a:extLst>
            <a:ext uri="{FF2B5EF4-FFF2-40B4-BE49-F238E27FC236}">
              <a16:creationId xmlns="" xmlns:a16="http://schemas.microsoft.com/office/drawing/2014/main" id="{00000000-0008-0000-0000-00007E1C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295" name="Line 443">
          <a:extLst>
            <a:ext uri="{FF2B5EF4-FFF2-40B4-BE49-F238E27FC236}">
              <a16:creationId xmlns="" xmlns:a16="http://schemas.microsoft.com/office/drawing/2014/main" id="{00000000-0008-0000-0000-00007F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298" name="Line 446">
          <a:extLst>
            <a:ext uri="{FF2B5EF4-FFF2-40B4-BE49-F238E27FC236}">
              <a16:creationId xmlns="" xmlns:a16="http://schemas.microsoft.com/office/drawing/2014/main" id="{00000000-0008-0000-0000-000082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301" name="Line 449">
          <a:extLst>
            <a:ext uri="{FF2B5EF4-FFF2-40B4-BE49-F238E27FC236}">
              <a16:creationId xmlns="" xmlns:a16="http://schemas.microsoft.com/office/drawing/2014/main" id="{00000000-0008-0000-0000-0000851C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302" name="Line 450">
          <a:extLst>
            <a:ext uri="{FF2B5EF4-FFF2-40B4-BE49-F238E27FC236}">
              <a16:creationId xmlns="" xmlns:a16="http://schemas.microsoft.com/office/drawing/2014/main" id="{00000000-0008-0000-0000-000086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305" name="Line 453">
          <a:extLst>
            <a:ext uri="{FF2B5EF4-FFF2-40B4-BE49-F238E27FC236}">
              <a16:creationId xmlns="" xmlns:a16="http://schemas.microsoft.com/office/drawing/2014/main" id="{00000000-0008-0000-0000-000089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308" name="Line 456">
          <a:extLst>
            <a:ext uri="{FF2B5EF4-FFF2-40B4-BE49-F238E27FC236}">
              <a16:creationId xmlns="" xmlns:a16="http://schemas.microsoft.com/office/drawing/2014/main" id="{00000000-0008-0000-0000-00008C1C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309" name="Line 457">
          <a:extLst>
            <a:ext uri="{FF2B5EF4-FFF2-40B4-BE49-F238E27FC236}">
              <a16:creationId xmlns="" xmlns:a16="http://schemas.microsoft.com/office/drawing/2014/main" id="{00000000-0008-0000-0000-00008D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312" name="Line 460">
          <a:extLst>
            <a:ext uri="{FF2B5EF4-FFF2-40B4-BE49-F238E27FC236}">
              <a16:creationId xmlns="" xmlns:a16="http://schemas.microsoft.com/office/drawing/2014/main" id="{00000000-0008-0000-0000-0000901C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315" name="Line 463">
          <a:extLst>
            <a:ext uri="{FF2B5EF4-FFF2-40B4-BE49-F238E27FC236}">
              <a16:creationId xmlns="" xmlns:a16="http://schemas.microsoft.com/office/drawing/2014/main" id="{00000000-0008-0000-0000-0000931C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16" name="Line 464">
          <a:extLst>
            <a:ext uri="{FF2B5EF4-FFF2-40B4-BE49-F238E27FC236}">
              <a16:creationId xmlns="" xmlns:a16="http://schemas.microsoft.com/office/drawing/2014/main" id="{00000000-0008-0000-0000-000094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19" name="Line 467">
          <a:extLst>
            <a:ext uri="{FF2B5EF4-FFF2-40B4-BE49-F238E27FC236}">
              <a16:creationId xmlns="" xmlns:a16="http://schemas.microsoft.com/office/drawing/2014/main" id="{00000000-0008-0000-0000-000097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322" name="Line 470">
          <a:extLst>
            <a:ext uri="{FF2B5EF4-FFF2-40B4-BE49-F238E27FC236}">
              <a16:creationId xmlns="" xmlns:a16="http://schemas.microsoft.com/office/drawing/2014/main" id="{00000000-0008-0000-0000-00009A1C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23" name="Line 471">
          <a:extLst>
            <a:ext uri="{FF2B5EF4-FFF2-40B4-BE49-F238E27FC236}">
              <a16:creationId xmlns="" xmlns:a16="http://schemas.microsoft.com/office/drawing/2014/main" id="{00000000-0008-0000-0000-00009B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26" name="Line 474">
          <a:extLst>
            <a:ext uri="{FF2B5EF4-FFF2-40B4-BE49-F238E27FC236}">
              <a16:creationId xmlns="" xmlns:a16="http://schemas.microsoft.com/office/drawing/2014/main" id="{00000000-0008-0000-0000-00009E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329" name="Line 477">
          <a:extLst>
            <a:ext uri="{FF2B5EF4-FFF2-40B4-BE49-F238E27FC236}">
              <a16:creationId xmlns="" xmlns:a16="http://schemas.microsoft.com/office/drawing/2014/main" id="{00000000-0008-0000-0000-0000A11C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30" name="Line 478">
          <a:extLst>
            <a:ext uri="{FF2B5EF4-FFF2-40B4-BE49-F238E27FC236}">
              <a16:creationId xmlns="" xmlns:a16="http://schemas.microsoft.com/office/drawing/2014/main" id="{00000000-0008-0000-0000-0000A2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33" name="Line 481">
          <a:extLst>
            <a:ext uri="{FF2B5EF4-FFF2-40B4-BE49-F238E27FC236}">
              <a16:creationId xmlns="" xmlns:a16="http://schemas.microsoft.com/office/drawing/2014/main" id="{00000000-0008-0000-0000-0000A5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336" name="Line 484">
          <a:extLst>
            <a:ext uri="{FF2B5EF4-FFF2-40B4-BE49-F238E27FC236}">
              <a16:creationId xmlns="" xmlns:a16="http://schemas.microsoft.com/office/drawing/2014/main" id="{00000000-0008-0000-0000-0000A81C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37" name="Line 485">
          <a:extLst>
            <a:ext uri="{FF2B5EF4-FFF2-40B4-BE49-F238E27FC236}">
              <a16:creationId xmlns="" xmlns:a16="http://schemas.microsoft.com/office/drawing/2014/main" id="{00000000-0008-0000-0000-0000A9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340" name="Line 488">
          <a:extLst>
            <a:ext uri="{FF2B5EF4-FFF2-40B4-BE49-F238E27FC236}">
              <a16:creationId xmlns="" xmlns:a16="http://schemas.microsoft.com/office/drawing/2014/main" id="{00000000-0008-0000-0000-0000AC1C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343" name="Line 491">
          <a:extLst>
            <a:ext uri="{FF2B5EF4-FFF2-40B4-BE49-F238E27FC236}">
              <a16:creationId xmlns="" xmlns:a16="http://schemas.microsoft.com/office/drawing/2014/main" id="{00000000-0008-0000-0000-0000AF1C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44" name="Line 492">
          <a:extLst>
            <a:ext uri="{FF2B5EF4-FFF2-40B4-BE49-F238E27FC236}">
              <a16:creationId xmlns="" xmlns:a16="http://schemas.microsoft.com/office/drawing/2014/main" id="{00000000-0008-0000-0000-0000B0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47" name="Line 495">
          <a:extLst>
            <a:ext uri="{FF2B5EF4-FFF2-40B4-BE49-F238E27FC236}">
              <a16:creationId xmlns="" xmlns:a16="http://schemas.microsoft.com/office/drawing/2014/main" id="{00000000-0008-0000-0000-0000B3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350" name="Line 498">
          <a:extLst>
            <a:ext uri="{FF2B5EF4-FFF2-40B4-BE49-F238E27FC236}">
              <a16:creationId xmlns="" xmlns:a16="http://schemas.microsoft.com/office/drawing/2014/main" id="{00000000-0008-0000-0000-0000B61C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51" name="Line 499">
          <a:extLst>
            <a:ext uri="{FF2B5EF4-FFF2-40B4-BE49-F238E27FC236}">
              <a16:creationId xmlns="" xmlns:a16="http://schemas.microsoft.com/office/drawing/2014/main" id="{00000000-0008-0000-0000-0000B7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54" name="Line 502">
          <a:extLst>
            <a:ext uri="{FF2B5EF4-FFF2-40B4-BE49-F238E27FC236}">
              <a16:creationId xmlns="" xmlns:a16="http://schemas.microsoft.com/office/drawing/2014/main" id="{00000000-0008-0000-0000-0000BA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357" name="Line 505">
          <a:extLst>
            <a:ext uri="{FF2B5EF4-FFF2-40B4-BE49-F238E27FC236}">
              <a16:creationId xmlns="" xmlns:a16="http://schemas.microsoft.com/office/drawing/2014/main" id="{00000000-0008-0000-0000-0000BD1C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58" name="Line 506">
          <a:extLst>
            <a:ext uri="{FF2B5EF4-FFF2-40B4-BE49-F238E27FC236}">
              <a16:creationId xmlns="" xmlns:a16="http://schemas.microsoft.com/office/drawing/2014/main" id="{00000000-0008-0000-0000-0000BE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61" name="Line 509">
          <a:extLst>
            <a:ext uri="{FF2B5EF4-FFF2-40B4-BE49-F238E27FC236}">
              <a16:creationId xmlns="" xmlns:a16="http://schemas.microsoft.com/office/drawing/2014/main" id="{00000000-0008-0000-0000-0000C1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364" name="Line 512">
          <a:extLst>
            <a:ext uri="{FF2B5EF4-FFF2-40B4-BE49-F238E27FC236}">
              <a16:creationId xmlns="" xmlns:a16="http://schemas.microsoft.com/office/drawing/2014/main" id="{00000000-0008-0000-0000-0000C41C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65" name="Line 513">
          <a:extLst>
            <a:ext uri="{FF2B5EF4-FFF2-40B4-BE49-F238E27FC236}">
              <a16:creationId xmlns="" xmlns:a16="http://schemas.microsoft.com/office/drawing/2014/main" id="{00000000-0008-0000-0000-0000C5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368" name="Line 516">
          <a:extLst>
            <a:ext uri="{FF2B5EF4-FFF2-40B4-BE49-F238E27FC236}">
              <a16:creationId xmlns="" xmlns:a16="http://schemas.microsoft.com/office/drawing/2014/main" id="{00000000-0008-0000-0000-0000C81C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371" name="Line 519">
          <a:extLst>
            <a:ext uri="{FF2B5EF4-FFF2-40B4-BE49-F238E27FC236}">
              <a16:creationId xmlns="" xmlns:a16="http://schemas.microsoft.com/office/drawing/2014/main" id="{00000000-0008-0000-0000-0000CB1C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72" name="Line 520">
          <a:extLst>
            <a:ext uri="{FF2B5EF4-FFF2-40B4-BE49-F238E27FC236}">
              <a16:creationId xmlns="" xmlns:a16="http://schemas.microsoft.com/office/drawing/2014/main" id="{00000000-0008-0000-0000-0000CC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75" name="Line 523">
          <a:extLst>
            <a:ext uri="{FF2B5EF4-FFF2-40B4-BE49-F238E27FC236}">
              <a16:creationId xmlns="" xmlns:a16="http://schemas.microsoft.com/office/drawing/2014/main" id="{00000000-0008-0000-0000-0000CF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378" name="Line 526">
          <a:extLst>
            <a:ext uri="{FF2B5EF4-FFF2-40B4-BE49-F238E27FC236}">
              <a16:creationId xmlns="" xmlns:a16="http://schemas.microsoft.com/office/drawing/2014/main" id="{00000000-0008-0000-0000-0000D21C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79" name="Line 527">
          <a:extLst>
            <a:ext uri="{FF2B5EF4-FFF2-40B4-BE49-F238E27FC236}">
              <a16:creationId xmlns="" xmlns:a16="http://schemas.microsoft.com/office/drawing/2014/main" id="{00000000-0008-0000-0000-0000D3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82" name="Line 530">
          <a:extLst>
            <a:ext uri="{FF2B5EF4-FFF2-40B4-BE49-F238E27FC236}">
              <a16:creationId xmlns="" xmlns:a16="http://schemas.microsoft.com/office/drawing/2014/main" id="{00000000-0008-0000-0000-0000D6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385" name="Line 533">
          <a:extLst>
            <a:ext uri="{FF2B5EF4-FFF2-40B4-BE49-F238E27FC236}">
              <a16:creationId xmlns="" xmlns:a16="http://schemas.microsoft.com/office/drawing/2014/main" id="{00000000-0008-0000-0000-0000D91C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86" name="Line 534">
          <a:extLst>
            <a:ext uri="{FF2B5EF4-FFF2-40B4-BE49-F238E27FC236}">
              <a16:creationId xmlns="" xmlns:a16="http://schemas.microsoft.com/office/drawing/2014/main" id="{00000000-0008-0000-0000-0000DA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89" name="Line 537">
          <a:extLst>
            <a:ext uri="{FF2B5EF4-FFF2-40B4-BE49-F238E27FC236}">
              <a16:creationId xmlns="" xmlns:a16="http://schemas.microsoft.com/office/drawing/2014/main" id="{00000000-0008-0000-0000-0000DD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392" name="Line 540">
          <a:extLst>
            <a:ext uri="{FF2B5EF4-FFF2-40B4-BE49-F238E27FC236}">
              <a16:creationId xmlns="" xmlns:a16="http://schemas.microsoft.com/office/drawing/2014/main" id="{00000000-0008-0000-0000-0000E01C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93" name="Line 541">
          <a:extLst>
            <a:ext uri="{FF2B5EF4-FFF2-40B4-BE49-F238E27FC236}">
              <a16:creationId xmlns="" xmlns:a16="http://schemas.microsoft.com/office/drawing/2014/main" id="{00000000-0008-0000-0000-0000E1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396" name="Line 544">
          <a:extLst>
            <a:ext uri="{FF2B5EF4-FFF2-40B4-BE49-F238E27FC236}">
              <a16:creationId xmlns="" xmlns:a16="http://schemas.microsoft.com/office/drawing/2014/main" id="{00000000-0008-0000-0000-0000E41C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399" name="Line 547">
          <a:extLst>
            <a:ext uri="{FF2B5EF4-FFF2-40B4-BE49-F238E27FC236}">
              <a16:creationId xmlns="" xmlns:a16="http://schemas.microsoft.com/office/drawing/2014/main" id="{00000000-0008-0000-0000-0000E71C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00" name="Line 548">
          <a:extLst>
            <a:ext uri="{FF2B5EF4-FFF2-40B4-BE49-F238E27FC236}">
              <a16:creationId xmlns="" xmlns:a16="http://schemas.microsoft.com/office/drawing/2014/main" id="{00000000-0008-0000-0000-0000E8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03" name="Line 551">
          <a:extLst>
            <a:ext uri="{FF2B5EF4-FFF2-40B4-BE49-F238E27FC236}">
              <a16:creationId xmlns="" xmlns:a16="http://schemas.microsoft.com/office/drawing/2014/main" id="{00000000-0008-0000-0000-0000EB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406" name="Line 554">
          <a:extLst>
            <a:ext uri="{FF2B5EF4-FFF2-40B4-BE49-F238E27FC236}">
              <a16:creationId xmlns="" xmlns:a16="http://schemas.microsoft.com/office/drawing/2014/main" id="{00000000-0008-0000-0000-0000EE1C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07" name="Line 555">
          <a:extLst>
            <a:ext uri="{FF2B5EF4-FFF2-40B4-BE49-F238E27FC236}">
              <a16:creationId xmlns="" xmlns:a16="http://schemas.microsoft.com/office/drawing/2014/main" id="{00000000-0008-0000-0000-0000EF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10" name="Line 558">
          <a:extLst>
            <a:ext uri="{FF2B5EF4-FFF2-40B4-BE49-F238E27FC236}">
              <a16:creationId xmlns="" xmlns:a16="http://schemas.microsoft.com/office/drawing/2014/main" id="{00000000-0008-0000-0000-0000F2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413" name="Line 561">
          <a:extLst>
            <a:ext uri="{FF2B5EF4-FFF2-40B4-BE49-F238E27FC236}">
              <a16:creationId xmlns="" xmlns:a16="http://schemas.microsoft.com/office/drawing/2014/main" id="{00000000-0008-0000-0000-0000F51C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14" name="Line 562">
          <a:extLst>
            <a:ext uri="{FF2B5EF4-FFF2-40B4-BE49-F238E27FC236}">
              <a16:creationId xmlns="" xmlns:a16="http://schemas.microsoft.com/office/drawing/2014/main" id="{00000000-0008-0000-0000-0000F6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17" name="Line 565">
          <a:extLst>
            <a:ext uri="{FF2B5EF4-FFF2-40B4-BE49-F238E27FC236}">
              <a16:creationId xmlns="" xmlns:a16="http://schemas.microsoft.com/office/drawing/2014/main" id="{00000000-0008-0000-0000-0000F9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420" name="Line 568">
          <a:extLst>
            <a:ext uri="{FF2B5EF4-FFF2-40B4-BE49-F238E27FC236}">
              <a16:creationId xmlns="" xmlns:a16="http://schemas.microsoft.com/office/drawing/2014/main" id="{00000000-0008-0000-0000-0000FC1C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21" name="Line 569">
          <a:extLst>
            <a:ext uri="{FF2B5EF4-FFF2-40B4-BE49-F238E27FC236}">
              <a16:creationId xmlns="" xmlns:a16="http://schemas.microsoft.com/office/drawing/2014/main" id="{00000000-0008-0000-0000-0000FD1C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424" name="Line 572">
          <a:extLst>
            <a:ext uri="{FF2B5EF4-FFF2-40B4-BE49-F238E27FC236}">
              <a16:creationId xmlns="" xmlns:a16="http://schemas.microsoft.com/office/drawing/2014/main" id="{00000000-0008-0000-0000-0000001D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427" name="Line 575">
          <a:extLst>
            <a:ext uri="{FF2B5EF4-FFF2-40B4-BE49-F238E27FC236}">
              <a16:creationId xmlns="" xmlns:a16="http://schemas.microsoft.com/office/drawing/2014/main" id="{00000000-0008-0000-0000-0000031D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28" name="Line 576">
          <a:extLst>
            <a:ext uri="{FF2B5EF4-FFF2-40B4-BE49-F238E27FC236}">
              <a16:creationId xmlns="" xmlns:a16="http://schemas.microsoft.com/office/drawing/2014/main" id="{00000000-0008-0000-0000-000004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31" name="Line 579">
          <a:extLst>
            <a:ext uri="{FF2B5EF4-FFF2-40B4-BE49-F238E27FC236}">
              <a16:creationId xmlns="" xmlns:a16="http://schemas.microsoft.com/office/drawing/2014/main" id="{00000000-0008-0000-0000-000007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434" name="Line 582">
          <a:extLst>
            <a:ext uri="{FF2B5EF4-FFF2-40B4-BE49-F238E27FC236}">
              <a16:creationId xmlns="" xmlns:a16="http://schemas.microsoft.com/office/drawing/2014/main" id="{00000000-0008-0000-0000-00000A1D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35" name="Line 583">
          <a:extLst>
            <a:ext uri="{FF2B5EF4-FFF2-40B4-BE49-F238E27FC236}">
              <a16:creationId xmlns="" xmlns:a16="http://schemas.microsoft.com/office/drawing/2014/main" id="{00000000-0008-0000-0000-00000B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38" name="Line 586">
          <a:extLst>
            <a:ext uri="{FF2B5EF4-FFF2-40B4-BE49-F238E27FC236}">
              <a16:creationId xmlns="" xmlns:a16="http://schemas.microsoft.com/office/drawing/2014/main" id="{00000000-0008-0000-0000-00000E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441" name="Line 589">
          <a:extLst>
            <a:ext uri="{FF2B5EF4-FFF2-40B4-BE49-F238E27FC236}">
              <a16:creationId xmlns="" xmlns:a16="http://schemas.microsoft.com/office/drawing/2014/main" id="{00000000-0008-0000-0000-0000111D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42" name="Line 590">
          <a:extLst>
            <a:ext uri="{FF2B5EF4-FFF2-40B4-BE49-F238E27FC236}">
              <a16:creationId xmlns="" xmlns:a16="http://schemas.microsoft.com/office/drawing/2014/main" id="{00000000-0008-0000-0000-000012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45" name="Line 593">
          <a:extLst>
            <a:ext uri="{FF2B5EF4-FFF2-40B4-BE49-F238E27FC236}">
              <a16:creationId xmlns="" xmlns:a16="http://schemas.microsoft.com/office/drawing/2014/main" id="{00000000-0008-0000-0000-000015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448" name="Line 596">
          <a:extLst>
            <a:ext uri="{FF2B5EF4-FFF2-40B4-BE49-F238E27FC236}">
              <a16:creationId xmlns="" xmlns:a16="http://schemas.microsoft.com/office/drawing/2014/main" id="{00000000-0008-0000-0000-0000181D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49" name="Line 597">
          <a:extLst>
            <a:ext uri="{FF2B5EF4-FFF2-40B4-BE49-F238E27FC236}">
              <a16:creationId xmlns="" xmlns:a16="http://schemas.microsoft.com/office/drawing/2014/main" id="{00000000-0008-0000-0000-000019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452" name="Line 600">
          <a:extLst>
            <a:ext uri="{FF2B5EF4-FFF2-40B4-BE49-F238E27FC236}">
              <a16:creationId xmlns="" xmlns:a16="http://schemas.microsoft.com/office/drawing/2014/main" id="{00000000-0008-0000-0000-00001C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455" name="Line 603">
          <a:extLst>
            <a:ext uri="{FF2B5EF4-FFF2-40B4-BE49-F238E27FC236}">
              <a16:creationId xmlns="" xmlns:a16="http://schemas.microsoft.com/office/drawing/2014/main" id="{00000000-0008-0000-0000-00001F1D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56" name="Line 604">
          <a:extLst>
            <a:ext uri="{FF2B5EF4-FFF2-40B4-BE49-F238E27FC236}">
              <a16:creationId xmlns="" xmlns:a16="http://schemas.microsoft.com/office/drawing/2014/main" id="{00000000-0008-0000-0000-000020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59" name="Line 607">
          <a:extLst>
            <a:ext uri="{FF2B5EF4-FFF2-40B4-BE49-F238E27FC236}">
              <a16:creationId xmlns="" xmlns:a16="http://schemas.microsoft.com/office/drawing/2014/main" id="{00000000-0008-0000-0000-000023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462" name="Line 610">
          <a:extLst>
            <a:ext uri="{FF2B5EF4-FFF2-40B4-BE49-F238E27FC236}">
              <a16:creationId xmlns="" xmlns:a16="http://schemas.microsoft.com/office/drawing/2014/main" id="{00000000-0008-0000-0000-0000261D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63" name="Line 611">
          <a:extLst>
            <a:ext uri="{FF2B5EF4-FFF2-40B4-BE49-F238E27FC236}">
              <a16:creationId xmlns="" xmlns:a16="http://schemas.microsoft.com/office/drawing/2014/main" id="{00000000-0008-0000-0000-000027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66" name="Line 614">
          <a:extLst>
            <a:ext uri="{FF2B5EF4-FFF2-40B4-BE49-F238E27FC236}">
              <a16:creationId xmlns="" xmlns:a16="http://schemas.microsoft.com/office/drawing/2014/main" id="{00000000-0008-0000-0000-00002A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469" name="Line 617">
          <a:extLst>
            <a:ext uri="{FF2B5EF4-FFF2-40B4-BE49-F238E27FC236}">
              <a16:creationId xmlns="" xmlns:a16="http://schemas.microsoft.com/office/drawing/2014/main" id="{00000000-0008-0000-0000-00002D1D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70" name="Line 618">
          <a:extLst>
            <a:ext uri="{FF2B5EF4-FFF2-40B4-BE49-F238E27FC236}">
              <a16:creationId xmlns="" xmlns:a16="http://schemas.microsoft.com/office/drawing/2014/main" id="{00000000-0008-0000-0000-00002E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73" name="Line 621">
          <a:extLst>
            <a:ext uri="{FF2B5EF4-FFF2-40B4-BE49-F238E27FC236}">
              <a16:creationId xmlns="" xmlns:a16="http://schemas.microsoft.com/office/drawing/2014/main" id="{00000000-0008-0000-0000-000031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476" name="Line 624">
          <a:extLst>
            <a:ext uri="{FF2B5EF4-FFF2-40B4-BE49-F238E27FC236}">
              <a16:creationId xmlns="" xmlns:a16="http://schemas.microsoft.com/office/drawing/2014/main" id="{00000000-0008-0000-0000-0000341D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77" name="Line 625">
          <a:extLst>
            <a:ext uri="{FF2B5EF4-FFF2-40B4-BE49-F238E27FC236}">
              <a16:creationId xmlns="" xmlns:a16="http://schemas.microsoft.com/office/drawing/2014/main" id="{00000000-0008-0000-0000-000035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480" name="Line 628">
          <a:extLst>
            <a:ext uri="{FF2B5EF4-FFF2-40B4-BE49-F238E27FC236}">
              <a16:creationId xmlns="" xmlns:a16="http://schemas.microsoft.com/office/drawing/2014/main" id="{00000000-0008-0000-0000-000038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483" name="Line 631">
          <a:extLst>
            <a:ext uri="{FF2B5EF4-FFF2-40B4-BE49-F238E27FC236}">
              <a16:creationId xmlns="" xmlns:a16="http://schemas.microsoft.com/office/drawing/2014/main" id="{00000000-0008-0000-0000-00003B1D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484" name="Line 632">
          <a:extLst>
            <a:ext uri="{FF2B5EF4-FFF2-40B4-BE49-F238E27FC236}">
              <a16:creationId xmlns="" xmlns:a16="http://schemas.microsoft.com/office/drawing/2014/main" id="{00000000-0008-0000-0000-00003C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487" name="Line 635">
          <a:extLst>
            <a:ext uri="{FF2B5EF4-FFF2-40B4-BE49-F238E27FC236}">
              <a16:creationId xmlns="" xmlns:a16="http://schemas.microsoft.com/office/drawing/2014/main" id="{00000000-0008-0000-0000-00003F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490" name="Line 638">
          <a:extLst>
            <a:ext uri="{FF2B5EF4-FFF2-40B4-BE49-F238E27FC236}">
              <a16:creationId xmlns="" xmlns:a16="http://schemas.microsoft.com/office/drawing/2014/main" id="{00000000-0008-0000-0000-0000421D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491" name="Line 639">
          <a:extLst>
            <a:ext uri="{FF2B5EF4-FFF2-40B4-BE49-F238E27FC236}">
              <a16:creationId xmlns="" xmlns:a16="http://schemas.microsoft.com/office/drawing/2014/main" id="{00000000-0008-0000-0000-000043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494" name="Line 642">
          <a:extLst>
            <a:ext uri="{FF2B5EF4-FFF2-40B4-BE49-F238E27FC236}">
              <a16:creationId xmlns="" xmlns:a16="http://schemas.microsoft.com/office/drawing/2014/main" id="{00000000-0008-0000-0000-000046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497" name="Line 645">
          <a:extLst>
            <a:ext uri="{FF2B5EF4-FFF2-40B4-BE49-F238E27FC236}">
              <a16:creationId xmlns="" xmlns:a16="http://schemas.microsoft.com/office/drawing/2014/main" id="{00000000-0008-0000-0000-0000491D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498" name="Line 646">
          <a:extLst>
            <a:ext uri="{FF2B5EF4-FFF2-40B4-BE49-F238E27FC236}">
              <a16:creationId xmlns="" xmlns:a16="http://schemas.microsoft.com/office/drawing/2014/main" id="{00000000-0008-0000-0000-00004A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501" name="Line 649">
          <a:extLst>
            <a:ext uri="{FF2B5EF4-FFF2-40B4-BE49-F238E27FC236}">
              <a16:creationId xmlns="" xmlns:a16="http://schemas.microsoft.com/office/drawing/2014/main" id="{00000000-0008-0000-0000-00004D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504" name="Line 652">
          <a:extLst>
            <a:ext uri="{FF2B5EF4-FFF2-40B4-BE49-F238E27FC236}">
              <a16:creationId xmlns="" xmlns:a16="http://schemas.microsoft.com/office/drawing/2014/main" id="{00000000-0008-0000-0000-0000501D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505" name="Line 653">
          <a:extLst>
            <a:ext uri="{FF2B5EF4-FFF2-40B4-BE49-F238E27FC236}">
              <a16:creationId xmlns="" xmlns:a16="http://schemas.microsoft.com/office/drawing/2014/main" id="{00000000-0008-0000-0000-000051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508" name="Line 656">
          <a:extLst>
            <a:ext uri="{FF2B5EF4-FFF2-40B4-BE49-F238E27FC236}">
              <a16:creationId xmlns="" xmlns:a16="http://schemas.microsoft.com/office/drawing/2014/main" id="{00000000-0008-0000-0000-000054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3</xdr:row>
      <xdr:rowOff>19050</xdr:rowOff>
    </xdr:from>
    <xdr:to>
      <xdr:col>3</xdr:col>
      <xdr:colOff>47625</xdr:colOff>
      <xdr:row>5</xdr:row>
      <xdr:rowOff>9525</xdr:rowOff>
    </xdr:to>
    <xdr:sp macro="" textlink="">
      <xdr:nvSpPr>
        <xdr:cNvPr id="7511" name="Line 659">
          <a:extLst>
            <a:ext uri="{FF2B5EF4-FFF2-40B4-BE49-F238E27FC236}">
              <a16:creationId xmlns="" xmlns:a16="http://schemas.microsoft.com/office/drawing/2014/main" id="{00000000-0008-0000-0000-0000571D0000}"/>
            </a:ext>
          </a:extLst>
        </xdr:cNvPr>
        <xdr:cNvSpPr>
          <a:spLocks noChangeShapeType="1"/>
        </xdr:cNvSpPr>
      </xdr:nvSpPr>
      <xdr:spPr bwMode="auto">
        <a:xfrm flipH="1">
          <a:off x="150666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92</xdr:row>
      <xdr:rowOff>19050</xdr:rowOff>
    </xdr:from>
    <xdr:to>
      <xdr:col>3</xdr:col>
      <xdr:colOff>47625</xdr:colOff>
      <xdr:row>94</xdr:row>
      <xdr:rowOff>9525</xdr:rowOff>
    </xdr:to>
    <xdr:sp macro="" textlink="">
      <xdr:nvSpPr>
        <xdr:cNvPr id="7512" name="Line 660">
          <a:extLst>
            <a:ext uri="{FF2B5EF4-FFF2-40B4-BE49-F238E27FC236}">
              <a16:creationId xmlns="" xmlns:a16="http://schemas.microsoft.com/office/drawing/2014/main" id="{00000000-0008-0000-0000-0000581D0000}"/>
            </a:ext>
          </a:extLst>
        </xdr:cNvPr>
        <xdr:cNvSpPr>
          <a:spLocks noChangeShapeType="1"/>
        </xdr:cNvSpPr>
      </xdr:nvSpPr>
      <xdr:spPr bwMode="auto">
        <a:xfrm flipH="1">
          <a:off x="150666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92</xdr:row>
      <xdr:rowOff>19050</xdr:rowOff>
    </xdr:from>
    <xdr:to>
      <xdr:col>3</xdr:col>
      <xdr:colOff>47625</xdr:colOff>
      <xdr:row>94</xdr:row>
      <xdr:rowOff>9525</xdr:rowOff>
    </xdr:to>
    <xdr:sp macro="" textlink="">
      <xdr:nvSpPr>
        <xdr:cNvPr id="7515" name="Line 663">
          <a:extLst>
            <a:ext uri="{FF2B5EF4-FFF2-40B4-BE49-F238E27FC236}">
              <a16:creationId xmlns="" xmlns:a16="http://schemas.microsoft.com/office/drawing/2014/main" id="{00000000-0008-0000-0000-00005B1D0000}"/>
            </a:ext>
          </a:extLst>
        </xdr:cNvPr>
        <xdr:cNvSpPr>
          <a:spLocks noChangeShapeType="1"/>
        </xdr:cNvSpPr>
      </xdr:nvSpPr>
      <xdr:spPr bwMode="auto">
        <a:xfrm flipH="1">
          <a:off x="150666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518" name="Line 666">
          <a:extLst>
            <a:ext uri="{FF2B5EF4-FFF2-40B4-BE49-F238E27FC236}">
              <a16:creationId xmlns="" xmlns:a16="http://schemas.microsoft.com/office/drawing/2014/main" id="{00000000-0008-0000-0000-00005E1D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519" name="Line 667">
          <a:extLst>
            <a:ext uri="{FF2B5EF4-FFF2-40B4-BE49-F238E27FC236}">
              <a16:creationId xmlns="" xmlns:a16="http://schemas.microsoft.com/office/drawing/2014/main" id="{00000000-0008-0000-0000-00005F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522" name="Line 670">
          <a:extLst>
            <a:ext uri="{FF2B5EF4-FFF2-40B4-BE49-F238E27FC236}">
              <a16:creationId xmlns="" xmlns:a16="http://schemas.microsoft.com/office/drawing/2014/main" id="{00000000-0008-0000-0000-000062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525" name="Line 673">
          <a:extLst>
            <a:ext uri="{FF2B5EF4-FFF2-40B4-BE49-F238E27FC236}">
              <a16:creationId xmlns="" xmlns:a16="http://schemas.microsoft.com/office/drawing/2014/main" id="{00000000-0008-0000-0000-0000651D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526" name="Line 674">
          <a:extLst>
            <a:ext uri="{FF2B5EF4-FFF2-40B4-BE49-F238E27FC236}">
              <a16:creationId xmlns="" xmlns:a16="http://schemas.microsoft.com/office/drawing/2014/main" id="{00000000-0008-0000-0000-000066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529" name="Line 677">
          <a:extLst>
            <a:ext uri="{FF2B5EF4-FFF2-40B4-BE49-F238E27FC236}">
              <a16:creationId xmlns="" xmlns:a16="http://schemas.microsoft.com/office/drawing/2014/main" id="{00000000-0008-0000-0000-000069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532" name="Line 680">
          <a:extLst>
            <a:ext uri="{FF2B5EF4-FFF2-40B4-BE49-F238E27FC236}">
              <a16:creationId xmlns="" xmlns:a16="http://schemas.microsoft.com/office/drawing/2014/main" id="{00000000-0008-0000-0000-00006C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33" name="Line 681">
          <a:extLst>
            <a:ext uri="{FF2B5EF4-FFF2-40B4-BE49-F238E27FC236}">
              <a16:creationId xmlns="" xmlns:a16="http://schemas.microsoft.com/office/drawing/2014/main" id="{00000000-0008-0000-0000-00006D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36" name="Line 684">
          <a:extLst>
            <a:ext uri="{FF2B5EF4-FFF2-40B4-BE49-F238E27FC236}">
              <a16:creationId xmlns="" xmlns:a16="http://schemas.microsoft.com/office/drawing/2014/main" id="{00000000-0008-0000-0000-000070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539" name="Line 687">
          <a:extLst>
            <a:ext uri="{FF2B5EF4-FFF2-40B4-BE49-F238E27FC236}">
              <a16:creationId xmlns="" xmlns:a16="http://schemas.microsoft.com/office/drawing/2014/main" id="{00000000-0008-0000-0000-0000731D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540" name="Line 688">
          <a:extLst>
            <a:ext uri="{FF2B5EF4-FFF2-40B4-BE49-F238E27FC236}">
              <a16:creationId xmlns="" xmlns:a16="http://schemas.microsoft.com/office/drawing/2014/main" id="{00000000-0008-0000-0000-0000741D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543" name="Line 691">
          <a:extLst>
            <a:ext uri="{FF2B5EF4-FFF2-40B4-BE49-F238E27FC236}">
              <a16:creationId xmlns="" xmlns:a16="http://schemas.microsoft.com/office/drawing/2014/main" id="{00000000-0008-0000-0000-0000771D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546" name="Line 694">
          <a:extLst>
            <a:ext uri="{FF2B5EF4-FFF2-40B4-BE49-F238E27FC236}">
              <a16:creationId xmlns="" xmlns:a16="http://schemas.microsoft.com/office/drawing/2014/main" id="{00000000-0008-0000-0000-00007A1D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547" name="Line 695">
          <a:extLst>
            <a:ext uri="{FF2B5EF4-FFF2-40B4-BE49-F238E27FC236}">
              <a16:creationId xmlns="" xmlns:a16="http://schemas.microsoft.com/office/drawing/2014/main" id="{00000000-0008-0000-0000-00007B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550" name="Line 698">
          <a:extLst>
            <a:ext uri="{FF2B5EF4-FFF2-40B4-BE49-F238E27FC236}">
              <a16:creationId xmlns="" xmlns:a16="http://schemas.microsoft.com/office/drawing/2014/main" id="{00000000-0008-0000-0000-00007E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553" name="Line 701">
          <a:extLst>
            <a:ext uri="{FF2B5EF4-FFF2-40B4-BE49-F238E27FC236}">
              <a16:creationId xmlns="" xmlns:a16="http://schemas.microsoft.com/office/drawing/2014/main" id="{00000000-0008-0000-0000-0000811D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554" name="Line 702">
          <a:extLst>
            <a:ext uri="{FF2B5EF4-FFF2-40B4-BE49-F238E27FC236}">
              <a16:creationId xmlns="" xmlns:a16="http://schemas.microsoft.com/office/drawing/2014/main" id="{00000000-0008-0000-0000-000082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557" name="Line 705">
          <a:extLst>
            <a:ext uri="{FF2B5EF4-FFF2-40B4-BE49-F238E27FC236}">
              <a16:creationId xmlns="" xmlns:a16="http://schemas.microsoft.com/office/drawing/2014/main" id="{00000000-0008-0000-0000-000085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560" name="Line 708">
          <a:extLst>
            <a:ext uri="{FF2B5EF4-FFF2-40B4-BE49-F238E27FC236}">
              <a16:creationId xmlns="" xmlns:a16="http://schemas.microsoft.com/office/drawing/2014/main" id="{00000000-0008-0000-0000-000088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61" name="Line 709">
          <a:extLst>
            <a:ext uri="{FF2B5EF4-FFF2-40B4-BE49-F238E27FC236}">
              <a16:creationId xmlns="" xmlns:a16="http://schemas.microsoft.com/office/drawing/2014/main" id="{00000000-0008-0000-0000-000089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64" name="Line 712">
          <a:extLst>
            <a:ext uri="{FF2B5EF4-FFF2-40B4-BE49-F238E27FC236}">
              <a16:creationId xmlns="" xmlns:a16="http://schemas.microsoft.com/office/drawing/2014/main" id="{00000000-0008-0000-0000-00008C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567" name="Line 715">
          <a:extLst>
            <a:ext uri="{FF2B5EF4-FFF2-40B4-BE49-F238E27FC236}">
              <a16:creationId xmlns="" xmlns:a16="http://schemas.microsoft.com/office/drawing/2014/main" id="{00000000-0008-0000-0000-00008F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68" name="Line 716">
          <a:extLst>
            <a:ext uri="{FF2B5EF4-FFF2-40B4-BE49-F238E27FC236}">
              <a16:creationId xmlns="" xmlns:a16="http://schemas.microsoft.com/office/drawing/2014/main" id="{00000000-0008-0000-0000-000090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571" name="Line 719">
          <a:extLst>
            <a:ext uri="{FF2B5EF4-FFF2-40B4-BE49-F238E27FC236}">
              <a16:creationId xmlns="" xmlns:a16="http://schemas.microsoft.com/office/drawing/2014/main" id="{00000000-0008-0000-0000-000093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574" name="Line 722">
          <a:extLst>
            <a:ext uri="{FF2B5EF4-FFF2-40B4-BE49-F238E27FC236}">
              <a16:creationId xmlns="" xmlns:a16="http://schemas.microsoft.com/office/drawing/2014/main" id="{00000000-0008-0000-0000-0000961D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575" name="Line 723">
          <a:extLst>
            <a:ext uri="{FF2B5EF4-FFF2-40B4-BE49-F238E27FC236}">
              <a16:creationId xmlns="" xmlns:a16="http://schemas.microsoft.com/office/drawing/2014/main" id="{00000000-0008-0000-0000-0000971D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578" name="Line 726">
          <a:extLst>
            <a:ext uri="{FF2B5EF4-FFF2-40B4-BE49-F238E27FC236}">
              <a16:creationId xmlns="" xmlns:a16="http://schemas.microsoft.com/office/drawing/2014/main" id="{00000000-0008-0000-0000-00009A1D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581" name="Line 729">
          <a:extLst>
            <a:ext uri="{FF2B5EF4-FFF2-40B4-BE49-F238E27FC236}">
              <a16:creationId xmlns="" xmlns:a16="http://schemas.microsoft.com/office/drawing/2014/main" id="{00000000-0008-0000-0000-00009D1D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582" name="Line 730">
          <a:extLst>
            <a:ext uri="{FF2B5EF4-FFF2-40B4-BE49-F238E27FC236}">
              <a16:creationId xmlns="" xmlns:a16="http://schemas.microsoft.com/office/drawing/2014/main" id="{00000000-0008-0000-0000-00009E1D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585" name="Line 733">
          <a:extLst>
            <a:ext uri="{FF2B5EF4-FFF2-40B4-BE49-F238E27FC236}">
              <a16:creationId xmlns="" xmlns:a16="http://schemas.microsoft.com/office/drawing/2014/main" id="{00000000-0008-0000-0000-0000A11D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588" name="Line 736">
          <a:extLst>
            <a:ext uri="{FF2B5EF4-FFF2-40B4-BE49-F238E27FC236}">
              <a16:creationId xmlns="" xmlns:a16="http://schemas.microsoft.com/office/drawing/2014/main" id="{00000000-0008-0000-0000-0000A41D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589" name="Line 737">
          <a:extLst>
            <a:ext uri="{FF2B5EF4-FFF2-40B4-BE49-F238E27FC236}">
              <a16:creationId xmlns="" xmlns:a16="http://schemas.microsoft.com/office/drawing/2014/main" id="{00000000-0008-0000-0000-0000A51D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592" name="Line 740">
          <a:extLst>
            <a:ext uri="{FF2B5EF4-FFF2-40B4-BE49-F238E27FC236}">
              <a16:creationId xmlns="" xmlns:a16="http://schemas.microsoft.com/office/drawing/2014/main" id="{00000000-0008-0000-0000-0000A81D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595" name="Line 743">
          <a:extLst>
            <a:ext uri="{FF2B5EF4-FFF2-40B4-BE49-F238E27FC236}">
              <a16:creationId xmlns="" xmlns:a16="http://schemas.microsoft.com/office/drawing/2014/main" id="{00000000-0008-0000-0000-0000AB1D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596" name="Line 744">
          <a:extLst>
            <a:ext uri="{FF2B5EF4-FFF2-40B4-BE49-F238E27FC236}">
              <a16:creationId xmlns="" xmlns:a16="http://schemas.microsoft.com/office/drawing/2014/main" id="{00000000-0008-0000-0000-0000AC1D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599" name="Line 747">
          <a:extLst>
            <a:ext uri="{FF2B5EF4-FFF2-40B4-BE49-F238E27FC236}">
              <a16:creationId xmlns="" xmlns:a16="http://schemas.microsoft.com/office/drawing/2014/main" id="{00000000-0008-0000-0000-0000AF1D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602" name="Line 750">
          <a:extLst>
            <a:ext uri="{FF2B5EF4-FFF2-40B4-BE49-F238E27FC236}">
              <a16:creationId xmlns="" xmlns:a16="http://schemas.microsoft.com/office/drawing/2014/main" id="{00000000-0008-0000-0000-0000B21D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603" name="Line 751">
          <a:extLst>
            <a:ext uri="{FF2B5EF4-FFF2-40B4-BE49-F238E27FC236}">
              <a16:creationId xmlns="" xmlns:a16="http://schemas.microsoft.com/office/drawing/2014/main" id="{00000000-0008-0000-0000-0000B31D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606" name="Line 754">
          <a:extLst>
            <a:ext uri="{FF2B5EF4-FFF2-40B4-BE49-F238E27FC236}">
              <a16:creationId xmlns="" xmlns:a16="http://schemas.microsoft.com/office/drawing/2014/main" id="{00000000-0008-0000-0000-0000B61D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609" name="Line 757">
          <a:extLst>
            <a:ext uri="{FF2B5EF4-FFF2-40B4-BE49-F238E27FC236}">
              <a16:creationId xmlns="" xmlns:a16="http://schemas.microsoft.com/office/drawing/2014/main" id="{00000000-0008-0000-0000-0000B91D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610" name="Line 758">
          <a:extLst>
            <a:ext uri="{FF2B5EF4-FFF2-40B4-BE49-F238E27FC236}">
              <a16:creationId xmlns="" xmlns:a16="http://schemas.microsoft.com/office/drawing/2014/main" id="{00000000-0008-0000-0000-0000BA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613" name="Line 761">
          <a:extLst>
            <a:ext uri="{FF2B5EF4-FFF2-40B4-BE49-F238E27FC236}">
              <a16:creationId xmlns="" xmlns:a16="http://schemas.microsoft.com/office/drawing/2014/main" id="{00000000-0008-0000-0000-0000BD1D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616" name="Line 764">
          <a:extLst>
            <a:ext uri="{FF2B5EF4-FFF2-40B4-BE49-F238E27FC236}">
              <a16:creationId xmlns="" xmlns:a16="http://schemas.microsoft.com/office/drawing/2014/main" id="{00000000-0008-0000-0000-0000C01D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617" name="Line 765">
          <a:extLst>
            <a:ext uri="{FF2B5EF4-FFF2-40B4-BE49-F238E27FC236}">
              <a16:creationId xmlns="" xmlns:a16="http://schemas.microsoft.com/office/drawing/2014/main" id="{00000000-0008-0000-0000-0000C1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620" name="Line 768">
          <a:extLst>
            <a:ext uri="{FF2B5EF4-FFF2-40B4-BE49-F238E27FC236}">
              <a16:creationId xmlns="" xmlns:a16="http://schemas.microsoft.com/office/drawing/2014/main" id="{00000000-0008-0000-0000-0000C41D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623" name="Line 771">
          <a:extLst>
            <a:ext uri="{FF2B5EF4-FFF2-40B4-BE49-F238E27FC236}">
              <a16:creationId xmlns="" xmlns:a16="http://schemas.microsoft.com/office/drawing/2014/main" id="{00000000-0008-0000-0000-0000C71D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624" name="Line 772">
          <a:extLst>
            <a:ext uri="{FF2B5EF4-FFF2-40B4-BE49-F238E27FC236}">
              <a16:creationId xmlns="" xmlns:a16="http://schemas.microsoft.com/office/drawing/2014/main" id="{00000000-0008-0000-0000-0000C8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627" name="Line 775">
          <a:extLst>
            <a:ext uri="{FF2B5EF4-FFF2-40B4-BE49-F238E27FC236}">
              <a16:creationId xmlns="" xmlns:a16="http://schemas.microsoft.com/office/drawing/2014/main" id="{00000000-0008-0000-0000-0000CB1D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3</xdr:row>
      <xdr:rowOff>19050</xdr:rowOff>
    </xdr:from>
    <xdr:to>
      <xdr:col>99</xdr:col>
      <xdr:colOff>47625</xdr:colOff>
      <xdr:row>5</xdr:row>
      <xdr:rowOff>9525</xdr:rowOff>
    </xdr:to>
    <xdr:sp macro="" textlink="">
      <xdr:nvSpPr>
        <xdr:cNvPr id="7630" name="Line 778">
          <a:extLst>
            <a:ext uri="{FF2B5EF4-FFF2-40B4-BE49-F238E27FC236}">
              <a16:creationId xmlns="" xmlns:a16="http://schemas.microsoft.com/office/drawing/2014/main" id="{00000000-0008-0000-0000-0000CE1D0000}"/>
            </a:ext>
          </a:extLst>
        </xdr:cNvPr>
        <xdr:cNvSpPr>
          <a:spLocks noChangeShapeType="1"/>
        </xdr:cNvSpPr>
      </xdr:nvSpPr>
      <xdr:spPr bwMode="auto">
        <a:xfrm flipH="1">
          <a:off x="96259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92</xdr:row>
      <xdr:rowOff>19050</xdr:rowOff>
    </xdr:from>
    <xdr:to>
      <xdr:col>99</xdr:col>
      <xdr:colOff>47625</xdr:colOff>
      <xdr:row>94</xdr:row>
      <xdr:rowOff>9525</xdr:rowOff>
    </xdr:to>
    <xdr:sp macro="" textlink="">
      <xdr:nvSpPr>
        <xdr:cNvPr id="7631" name="Line 779">
          <a:extLst>
            <a:ext uri="{FF2B5EF4-FFF2-40B4-BE49-F238E27FC236}">
              <a16:creationId xmlns="" xmlns:a16="http://schemas.microsoft.com/office/drawing/2014/main" id="{00000000-0008-0000-0000-0000CF1D0000}"/>
            </a:ext>
          </a:extLst>
        </xdr:cNvPr>
        <xdr:cNvSpPr>
          <a:spLocks noChangeShapeType="1"/>
        </xdr:cNvSpPr>
      </xdr:nvSpPr>
      <xdr:spPr bwMode="auto">
        <a:xfrm flipH="1">
          <a:off x="96259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92</xdr:row>
      <xdr:rowOff>19050</xdr:rowOff>
    </xdr:from>
    <xdr:to>
      <xdr:col>99</xdr:col>
      <xdr:colOff>47625</xdr:colOff>
      <xdr:row>94</xdr:row>
      <xdr:rowOff>9525</xdr:rowOff>
    </xdr:to>
    <xdr:sp macro="" textlink="">
      <xdr:nvSpPr>
        <xdr:cNvPr id="7632" name="Line 780">
          <a:extLst>
            <a:ext uri="{FF2B5EF4-FFF2-40B4-BE49-F238E27FC236}">
              <a16:creationId xmlns="" xmlns:a16="http://schemas.microsoft.com/office/drawing/2014/main" id="{00000000-0008-0000-0000-0000D01D0000}"/>
            </a:ext>
          </a:extLst>
        </xdr:cNvPr>
        <xdr:cNvSpPr>
          <a:spLocks noChangeShapeType="1"/>
        </xdr:cNvSpPr>
      </xdr:nvSpPr>
      <xdr:spPr bwMode="auto">
        <a:xfrm flipH="1">
          <a:off x="96259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637" name="Line 785">
          <a:extLst>
            <a:ext uri="{FF2B5EF4-FFF2-40B4-BE49-F238E27FC236}">
              <a16:creationId xmlns="" xmlns:a16="http://schemas.microsoft.com/office/drawing/2014/main" id="{00000000-0008-0000-0000-0000D51D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638" name="Line 786">
          <a:extLst>
            <a:ext uri="{FF2B5EF4-FFF2-40B4-BE49-F238E27FC236}">
              <a16:creationId xmlns="" xmlns:a16="http://schemas.microsoft.com/office/drawing/2014/main" id="{00000000-0008-0000-0000-0000D6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641" name="Line 789">
          <a:extLst>
            <a:ext uri="{FF2B5EF4-FFF2-40B4-BE49-F238E27FC236}">
              <a16:creationId xmlns="" xmlns:a16="http://schemas.microsoft.com/office/drawing/2014/main" id="{00000000-0008-0000-0000-0000D91D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644" name="Line 792">
          <a:extLst>
            <a:ext uri="{FF2B5EF4-FFF2-40B4-BE49-F238E27FC236}">
              <a16:creationId xmlns="" xmlns:a16="http://schemas.microsoft.com/office/drawing/2014/main" id="{00000000-0008-0000-0000-0000DC1D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45" name="Line 793">
          <a:extLst>
            <a:ext uri="{FF2B5EF4-FFF2-40B4-BE49-F238E27FC236}">
              <a16:creationId xmlns="" xmlns:a16="http://schemas.microsoft.com/office/drawing/2014/main" id="{00000000-0008-0000-0000-0000DD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48" name="Line 796">
          <a:extLst>
            <a:ext uri="{FF2B5EF4-FFF2-40B4-BE49-F238E27FC236}">
              <a16:creationId xmlns="" xmlns:a16="http://schemas.microsoft.com/office/drawing/2014/main" id="{00000000-0008-0000-0000-0000E0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651" name="Line 799">
          <a:extLst>
            <a:ext uri="{FF2B5EF4-FFF2-40B4-BE49-F238E27FC236}">
              <a16:creationId xmlns="" xmlns:a16="http://schemas.microsoft.com/office/drawing/2014/main" id="{00000000-0008-0000-0000-0000E31D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52" name="Line 800">
          <a:extLst>
            <a:ext uri="{FF2B5EF4-FFF2-40B4-BE49-F238E27FC236}">
              <a16:creationId xmlns="" xmlns:a16="http://schemas.microsoft.com/office/drawing/2014/main" id="{00000000-0008-0000-0000-0000E4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55" name="Line 803">
          <a:extLst>
            <a:ext uri="{FF2B5EF4-FFF2-40B4-BE49-F238E27FC236}">
              <a16:creationId xmlns="" xmlns:a16="http://schemas.microsoft.com/office/drawing/2014/main" id="{00000000-0008-0000-0000-0000E7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658" name="Line 806">
          <a:extLst>
            <a:ext uri="{FF2B5EF4-FFF2-40B4-BE49-F238E27FC236}">
              <a16:creationId xmlns="" xmlns:a16="http://schemas.microsoft.com/office/drawing/2014/main" id="{00000000-0008-0000-0000-0000EA1D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59" name="Line 807">
          <a:extLst>
            <a:ext uri="{FF2B5EF4-FFF2-40B4-BE49-F238E27FC236}">
              <a16:creationId xmlns="" xmlns:a16="http://schemas.microsoft.com/office/drawing/2014/main" id="{00000000-0008-0000-0000-0000EB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662" name="Line 810">
          <a:extLst>
            <a:ext uri="{FF2B5EF4-FFF2-40B4-BE49-F238E27FC236}">
              <a16:creationId xmlns="" xmlns:a16="http://schemas.microsoft.com/office/drawing/2014/main" id="{00000000-0008-0000-0000-0000EE1D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665" name="Line 813">
          <a:extLst>
            <a:ext uri="{FF2B5EF4-FFF2-40B4-BE49-F238E27FC236}">
              <a16:creationId xmlns="" xmlns:a16="http://schemas.microsoft.com/office/drawing/2014/main" id="{00000000-0008-0000-0000-0000F1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66" name="Line 814">
          <a:extLst>
            <a:ext uri="{FF2B5EF4-FFF2-40B4-BE49-F238E27FC236}">
              <a16:creationId xmlns="" xmlns:a16="http://schemas.microsoft.com/office/drawing/2014/main" id="{00000000-0008-0000-0000-0000F2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69" name="Line 817">
          <a:extLst>
            <a:ext uri="{FF2B5EF4-FFF2-40B4-BE49-F238E27FC236}">
              <a16:creationId xmlns="" xmlns:a16="http://schemas.microsoft.com/office/drawing/2014/main" id="{00000000-0008-0000-0000-0000F5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672" name="Line 820">
          <a:extLst>
            <a:ext uri="{FF2B5EF4-FFF2-40B4-BE49-F238E27FC236}">
              <a16:creationId xmlns="" xmlns:a16="http://schemas.microsoft.com/office/drawing/2014/main" id="{00000000-0008-0000-0000-0000F8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73" name="Line 821">
          <a:extLst>
            <a:ext uri="{FF2B5EF4-FFF2-40B4-BE49-F238E27FC236}">
              <a16:creationId xmlns="" xmlns:a16="http://schemas.microsoft.com/office/drawing/2014/main" id="{00000000-0008-0000-0000-0000F9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76" name="Line 824">
          <a:extLst>
            <a:ext uri="{FF2B5EF4-FFF2-40B4-BE49-F238E27FC236}">
              <a16:creationId xmlns="" xmlns:a16="http://schemas.microsoft.com/office/drawing/2014/main" id="{00000000-0008-0000-0000-0000FC1D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679" name="Line 827">
          <a:extLst>
            <a:ext uri="{FF2B5EF4-FFF2-40B4-BE49-F238E27FC236}">
              <a16:creationId xmlns="" xmlns:a16="http://schemas.microsoft.com/office/drawing/2014/main" id="{00000000-0008-0000-0000-0000FF1D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80" name="Line 828">
          <a:extLst>
            <a:ext uri="{FF2B5EF4-FFF2-40B4-BE49-F238E27FC236}">
              <a16:creationId xmlns="" xmlns:a16="http://schemas.microsoft.com/office/drawing/2014/main" id="{00000000-0008-0000-0000-000000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683" name="Line 831">
          <a:extLst>
            <a:ext uri="{FF2B5EF4-FFF2-40B4-BE49-F238E27FC236}">
              <a16:creationId xmlns="" xmlns:a16="http://schemas.microsoft.com/office/drawing/2014/main" id="{00000000-0008-0000-0000-000003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686" name="Line 834">
          <a:extLst>
            <a:ext uri="{FF2B5EF4-FFF2-40B4-BE49-F238E27FC236}">
              <a16:creationId xmlns="" xmlns:a16="http://schemas.microsoft.com/office/drawing/2014/main" id="{00000000-0008-0000-0000-000006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687" name="Line 835">
          <a:extLst>
            <a:ext uri="{FF2B5EF4-FFF2-40B4-BE49-F238E27FC236}">
              <a16:creationId xmlns="" xmlns:a16="http://schemas.microsoft.com/office/drawing/2014/main" id="{00000000-0008-0000-0000-000007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690" name="Line 838">
          <a:extLst>
            <a:ext uri="{FF2B5EF4-FFF2-40B4-BE49-F238E27FC236}">
              <a16:creationId xmlns="" xmlns:a16="http://schemas.microsoft.com/office/drawing/2014/main" id="{00000000-0008-0000-0000-00000A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693" name="Line 841">
          <a:extLst>
            <a:ext uri="{FF2B5EF4-FFF2-40B4-BE49-F238E27FC236}">
              <a16:creationId xmlns="" xmlns:a16="http://schemas.microsoft.com/office/drawing/2014/main" id="{00000000-0008-0000-0000-00000D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694" name="Line 842">
          <a:extLst>
            <a:ext uri="{FF2B5EF4-FFF2-40B4-BE49-F238E27FC236}">
              <a16:creationId xmlns="" xmlns:a16="http://schemas.microsoft.com/office/drawing/2014/main" id="{00000000-0008-0000-0000-00000E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697" name="Line 845">
          <a:extLst>
            <a:ext uri="{FF2B5EF4-FFF2-40B4-BE49-F238E27FC236}">
              <a16:creationId xmlns="" xmlns:a16="http://schemas.microsoft.com/office/drawing/2014/main" id="{00000000-0008-0000-0000-000011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700" name="Line 848">
          <a:extLst>
            <a:ext uri="{FF2B5EF4-FFF2-40B4-BE49-F238E27FC236}">
              <a16:creationId xmlns="" xmlns:a16="http://schemas.microsoft.com/office/drawing/2014/main" id="{00000000-0008-0000-0000-000014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701" name="Line 849">
          <a:extLst>
            <a:ext uri="{FF2B5EF4-FFF2-40B4-BE49-F238E27FC236}">
              <a16:creationId xmlns="" xmlns:a16="http://schemas.microsoft.com/office/drawing/2014/main" id="{00000000-0008-0000-0000-000015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704" name="Line 852">
          <a:extLst>
            <a:ext uri="{FF2B5EF4-FFF2-40B4-BE49-F238E27FC236}">
              <a16:creationId xmlns="" xmlns:a16="http://schemas.microsoft.com/office/drawing/2014/main" id="{00000000-0008-0000-0000-000018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707" name="Line 855">
          <a:extLst>
            <a:ext uri="{FF2B5EF4-FFF2-40B4-BE49-F238E27FC236}">
              <a16:creationId xmlns="" xmlns:a16="http://schemas.microsoft.com/office/drawing/2014/main" id="{00000000-0008-0000-0000-00001B1E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08" name="Line 856">
          <a:extLst>
            <a:ext uri="{FF2B5EF4-FFF2-40B4-BE49-F238E27FC236}">
              <a16:creationId xmlns="" xmlns:a16="http://schemas.microsoft.com/office/drawing/2014/main" id="{00000000-0008-0000-0000-00001C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11" name="Line 859">
          <a:extLst>
            <a:ext uri="{FF2B5EF4-FFF2-40B4-BE49-F238E27FC236}">
              <a16:creationId xmlns="" xmlns:a16="http://schemas.microsoft.com/office/drawing/2014/main" id="{00000000-0008-0000-0000-00001F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714" name="Line 862">
          <a:extLst>
            <a:ext uri="{FF2B5EF4-FFF2-40B4-BE49-F238E27FC236}">
              <a16:creationId xmlns="" xmlns:a16="http://schemas.microsoft.com/office/drawing/2014/main" id="{00000000-0008-0000-0000-0000221E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15" name="Line 863">
          <a:extLst>
            <a:ext uri="{FF2B5EF4-FFF2-40B4-BE49-F238E27FC236}">
              <a16:creationId xmlns="" xmlns:a16="http://schemas.microsoft.com/office/drawing/2014/main" id="{00000000-0008-0000-0000-000023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18" name="Line 866">
          <a:extLst>
            <a:ext uri="{FF2B5EF4-FFF2-40B4-BE49-F238E27FC236}">
              <a16:creationId xmlns="" xmlns:a16="http://schemas.microsoft.com/office/drawing/2014/main" id="{00000000-0008-0000-0000-000026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721" name="Line 869">
          <a:extLst>
            <a:ext uri="{FF2B5EF4-FFF2-40B4-BE49-F238E27FC236}">
              <a16:creationId xmlns="" xmlns:a16="http://schemas.microsoft.com/office/drawing/2014/main" id="{00000000-0008-0000-0000-0000291E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22" name="Line 870">
          <a:extLst>
            <a:ext uri="{FF2B5EF4-FFF2-40B4-BE49-F238E27FC236}">
              <a16:creationId xmlns="" xmlns:a16="http://schemas.microsoft.com/office/drawing/2014/main" id="{00000000-0008-0000-0000-00002A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725" name="Line 873">
          <a:extLst>
            <a:ext uri="{FF2B5EF4-FFF2-40B4-BE49-F238E27FC236}">
              <a16:creationId xmlns="" xmlns:a16="http://schemas.microsoft.com/office/drawing/2014/main" id="{00000000-0008-0000-0000-00002D1E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728" name="Line 876">
          <a:extLst>
            <a:ext uri="{FF2B5EF4-FFF2-40B4-BE49-F238E27FC236}">
              <a16:creationId xmlns="" xmlns:a16="http://schemas.microsoft.com/office/drawing/2014/main" id="{00000000-0008-0000-0000-0000301E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29" name="Line 877">
          <a:extLst>
            <a:ext uri="{FF2B5EF4-FFF2-40B4-BE49-F238E27FC236}">
              <a16:creationId xmlns="" xmlns:a16="http://schemas.microsoft.com/office/drawing/2014/main" id="{00000000-0008-0000-0000-000031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32" name="Line 880">
          <a:extLst>
            <a:ext uri="{FF2B5EF4-FFF2-40B4-BE49-F238E27FC236}">
              <a16:creationId xmlns="" xmlns:a16="http://schemas.microsoft.com/office/drawing/2014/main" id="{00000000-0008-0000-0000-000034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735" name="Line 883">
          <a:extLst>
            <a:ext uri="{FF2B5EF4-FFF2-40B4-BE49-F238E27FC236}">
              <a16:creationId xmlns="" xmlns:a16="http://schemas.microsoft.com/office/drawing/2014/main" id="{00000000-0008-0000-0000-0000371E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36" name="Line 884">
          <a:extLst>
            <a:ext uri="{FF2B5EF4-FFF2-40B4-BE49-F238E27FC236}">
              <a16:creationId xmlns="" xmlns:a16="http://schemas.microsoft.com/office/drawing/2014/main" id="{00000000-0008-0000-0000-000038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39" name="Line 887">
          <a:extLst>
            <a:ext uri="{FF2B5EF4-FFF2-40B4-BE49-F238E27FC236}">
              <a16:creationId xmlns="" xmlns:a16="http://schemas.microsoft.com/office/drawing/2014/main" id="{00000000-0008-0000-0000-00003B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742" name="Line 890">
          <a:extLst>
            <a:ext uri="{FF2B5EF4-FFF2-40B4-BE49-F238E27FC236}">
              <a16:creationId xmlns="" xmlns:a16="http://schemas.microsoft.com/office/drawing/2014/main" id="{00000000-0008-0000-0000-00003E1E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43" name="Line 891">
          <a:extLst>
            <a:ext uri="{FF2B5EF4-FFF2-40B4-BE49-F238E27FC236}">
              <a16:creationId xmlns="" xmlns:a16="http://schemas.microsoft.com/office/drawing/2014/main" id="{00000000-0008-0000-0000-00003F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746" name="Line 894">
          <a:extLst>
            <a:ext uri="{FF2B5EF4-FFF2-40B4-BE49-F238E27FC236}">
              <a16:creationId xmlns="" xmlns:a16="http://schemas.microsoft.com/office/drawing/2014/main" id="{00000000-0008-0000-0000-0000421E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749" name="Line 897">
          <a:extLst>
            <a:ext uri="{FF2B5EF4-FFF2-40B4-BE49-F238E27FC236}">
              <a16:creationId xmlns="" xmlns:a16="http://schemas.microsoft.com/office/drawing/2014/main" id="{00000000-0008-0000-0000-0000451E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50" name="Line 898">
          <a:extLst>
            <a:ext uri="{FF2B5EF4-FFF2-40B4-BE49-F238E27FC236}">
              <a16:creationId xmlns="" xmlns:a16="http://schemas.microsoft.com/office/drawing/2014/main" id="{00000000-0008-0000-0000-000046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53" name="Line 901">
          <a:extLst>
            <a:ext uri="{FF2B5EF4-FFF2-40B4-BE49-F238E27FC236}">
              <a16:creationId xmlns="" xmlns:a16="http://schemas.microsoft.com/office/drawing/2014/main" id="{00000000-0008-0000-0000-000049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756" name="Line 904">
          <a:extLst>
            <a:ext uri="{FF2B5EF4-FFF2-40B4-BE49-F238E27FC236}">
              <a16:creationId xmlns="" xmlns:a16="http://schemas.microsoft.com/office/drawing/2014/main" id="{00000000-0008-0000-0000-00004C1E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57" name="Line 905">
          <a:extLst>
            <a:ext uri="{FF2B5EF4-FFF2-40B4-BE49-F238E27FC236}">
              <a16:creationId xmlns="" xmlns:a16="http://schemas.microsoft.com/office/drawing/2014/main" id="{00000000-0008-0000-0000-00004D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60" name="Line 908">
          <a:extLst>
            <a:ext uri="{FF2B5EF4-FFF2-40B4-BE49-F238E27FC236}">
              <a16:creationId xmlns="" xmlns:a16="http://schemas.microsoft.com/office/drawing/2014/main" id="{00000000-0008-0000-0000-000050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7763" name="Line 911">
          <a:extLst>
            <a:ext uri="{FF2B5EF4-FFF2-40B4-BE49-F238E27FC236}">
              <a16:creationId xmlns="" xmlns:a16="http://schemas.microsoft.com/office/drawing/2014/main" id="{00000000-0008-0000-0000-0000531E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64" name="Line 912">
          <a:extLst>
            <a:ext uri="{FF2B5EF4-FFF2-40B4-BE49-F238E27FC236}">
              <a16:creationId xmlns="" xmlns:a16="http://schemas.microsoft.com/office/drawing/2014/main" id="{00000000-0008-0000-0000-000054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7767" name="Line 915">
          <a:extLst>
            <a:ext uri="{FF2B5EF4-FFF2-40B4-BE49-F238E27FC236}">
              <a16:creationId xmlns="" xmlns:a16="http://schemas.microsoft.com/office/drawing/2014/main" id="{00000000-0008-0000-0000-0000571E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770" name="Line 918">
          <a:extLst>
            <a:ext uri="{FF2B5EF4-FFF2-40B4-BE49-F238E27FC236}">
              <a16:creationId xmlns="" xmlns:a16="http://schemas.microsoft.com/office/drawing/2014/main" id="{00000000-0008-0000-0000-00005A1E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71" name="Line 919">
          <a:extLst>
            <a:ext uri="{FF2B5EF4-FFF2-40B4-BE49-F238E27FC236}">
              <a16:creationId xmlns="" xmlns:a16="http://schemas.microsoft.com/office/drawing/2014/main" id="{00000000-0008-0000-0000-00005B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74" name="Line 922">
          <a:extLst>
            <a:ext uri="{FF2B5EF4-FFF2-40B4-BE49-F238E27FC236}">
              <a16:creationId xmlns="" xmlns:a16="http://schemas.microsoft.com/office/drawing/2014/main" id="{00000000-0008-0000-0000-00005E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777" name="Line 925">
          <a:extLst>
            <a:ext uri="{FF2B5EF4-FFF2-40B4-BE49-F238E27FC236}">
              <a16:creationId xmlns="" xmlns:a16="http://schemas.microsoft.com/office/drawing/2014/main" id="{00000000-0008-0000-0000-0000611E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78" name="Line 926">
          <a:extLst>
            <a:ext uri="{FF2B5EF4-FFF2-40B4-BE49-F238E27FC236}">
              <a16:creationId xmlns="" xmlns:a16="http://schemas.microsoft.com/office/drawing/2014/main" id="{00000000-0008-0000-0000-000062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81" name="Line 929">
          <a:extLst>
            <a:ext uri="{FF2B5EF4-FFF2-40B4-BE49-F238E27FC236}">
              <a16:creationId xmlns="" xmlns:a16="http://schemas.microsoft.com/office/drawing/2014/main" id="{00000000-0008-0000-0000-000065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7784" name="Line 932">
          <a:extLst>
            <a:ext uri="{FF2B5EF4-FFF2-40B4-BE49-F238E27FC236}">
              <a16:creationId xmlns="" xmlns:a16="http://schemas.microsoft.com/office/drawing/2014/main" id="{00000000-0008-0000-0000-0000681E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85" name="Line 933">
          <a:extLst>
            <a:ext uri="{FF2B5EF4-FFF2-40B4-BE49-F238E27FC236}">
              <a16:creationId xmlns="" xmlns:a16="http://schemas.microsoft.com/office/drawing/2014/main" id="{00000000-0008-0000-0000-000069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7788" name="Line 936">
          <a:extLst>
            <a:ext uri="{FF2B5EF4-FFF2-40B4-BE49-F238E27FC236}">
              <a16:creationId xmlns="" xmlns:a16="http://schemas.microsoft.com/office/drawing/2014/main" id="{00000000-0008-0000-0000-00006C1E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791" name="Line 939">
          <a:extLst>
            <a:ext uri="{FF2B5EF4-FFF2-40B4-BE49-F238E27FC236}">
              <a16:creationId xmlns="" xmlns:a16="http://schemas.microsoft.com/office/drawing/2014/main" id="{00000000-0008-0000-0000-00006F1E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792" name="Line 940">
          <a:extLst>
            <a:ext uri="{FF2B5EF4-FFF2-40B4-BE49-F238E27FC236}">
              <a16:creationId xmlns="" xmlns:a16="http://schemas.microsoft.com/office/drawing/2014/main" id="{00000000-0008-0000-0000-000070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795" name="Line 943">
          <a:extLst>
            <a:ext uri="{FF2B5EF4-FFF2-40B4-BE49-F238E27FC236}">
              <a16:creationId xmlns="" xmlns:a16="http://schemas.microsoft.com/office/drawing/2014/main" id="{00000000-0008-0000-0000-000073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798" name="Line 946">
          <a:extLst>
            <a:ext uri="{FF2B5EF4-FFF2-40B4-BE49-F238E27FC236}">
              <a16:creationId xmlns="" xmlns:a16="http://schemas.microsoft.com/office/drawing/2014/main" id="{00000000-0008-0000-0000-0000761E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799" name="Line 947">
          <a:extLst>
            <a:ext uri="{FF2B5EF4-FFF2-40B4-BE49-F238E27FC236}">
              <a16:creationId xmlns="" xmlns:a16="http://schemas.microsoft.com/office/drawing/2014/main" id="{00000000-0008-0000-0000-000077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802" name="Line 950">
          <a:extLst>
            <a:ext uri="{FF2B5EF4-FFF2-40B4-BE49-F238E27FC236}">
              <a16:creationId xmlns="" xmlns:a16="http://schemas.microsoft.com/office/drawing/2014/main" id="{00000000-0008-0000-0000-00007A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805" name="Line 953">
          <a:extLst>
            <a:ext uri="{FF2B5EF4-FFF2-40B4-BE49-F238E27FC236}">
              <a16:creationId xmlns="" xmlns:a16="http://schemas.microsoft.com/office/drawing/2014/main" id="{00000000-0008-0000-0000-00007D1E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806" name="Line 954">
          <a:extLst>
            <a:ext uri="{FF2B5EF4-FFF2-40B4-BE49-F238E27FC236}">
              <a16:creationId xmlns="" xmlns:a16="http://schemas.microsoft.com/office/drawing/2014/main" id="{00000000-0008-0000-0000-00007E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7809" name="Line 957">
          <a:extLst>
            <a:ext uri="{FF2B5EF4-FFF2-40B4-BE49-F238E27FC236}">
              <a16:creationId xmlns="" xmlns:a16="http://schemas.microsoft.com/office/drawing/2014/main" id="{00000000-0008-0000-0000-0000811E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812" name="Line 960">
          <a:extLst>
            <a:ext uri="{FF2B5EF4-FFF2-40B4-BE49-F238E27FC236}">
              <a16:creationId xmlns="" xmlns:a16="http://schemas.microsoft.com/office/drawing/2014/main" id="{00000000-0008-0000-0000-0000841E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13" name="Line 961">
          <a:extLst>
            <a:ext uri="{FF2B5EF4-FFF2-40B4-BE49-F238E27FC236}">
              <a16:creationId xmlns="" xmlns:a16="http://schemas.microsoft.com/office/drawing/2014/main" id="{00000000-0008-0000-0000-000085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16" name="Line 964">
          <a:extLst>
            <a:ext uri="{FF2B5EF4-FFF2-40B4-BE49-F238E27FC236}">
              <a16:creationId xmlns="" xmlns:a16="http://schemas.microsoft.com/office/drawing/2014/main" id="{00000000-0008-0000-0000-000088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819" name="Line 967">
          <a:extLst>
            <a:ext uri="{FF2B5EF4-FFF2-40B4-BE49-F238E27FC236}">
              <a16:creationId xmlns="" xmlns:a16="http://schemas.microsoft.com/office/drawing/2014/main" id="{00000000-0008-0000-0000-00008B1E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20" name="Line 968">
          <a:extLst>
            <a:ext uri="{FF2B5EF4-FFF2-40B4-BE49-F238E27FC236}">
              <a16:creationId xmlns="" xmlns:a16="http://schemas.microsoft.com/office/drawing/2014/main" id="{00000000-0008-0000-0000-00008C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23" name="Line 971">
          <a:extLst>
            <a:ext uri="{FF2B5EF4-FFF2-40B4-BE49-F238E27FC236}">
              <a16:creationId xmlns="" xmlns:a16="http://schemas.microsoft.com/office/drawing/2014/main" id="{00000000-0008-0000-0000-00008F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7826" name="Line 974">
          <a:extLst>
            <a:ext uri="{FF2B5EF4-FFF2-40B4-BE49-F238E27FC236}">
              <a16:creationId xmlns="" xmlns:a16="http://schemas.microsoft.com/office/drawing/2014/main" id="{00000000-0008-0000-0000-0000921E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27" name="Line 975">
          <a:extLst>
            <a:ext uri="{FF2B5EF4-FFF2-40B4-BE49-F238E27FC236}">
              <a16:creationId xmlns="" xmlns:a16="http://schemas.microsoft.com/office/drawing/2014/main" id="{00000000-0008-0000-0000-000093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7830" name="Line 978">
          <a:extLst>
            <a:ext uri="{FF2B5EF4-FFF2-40B4-BE49-F238E27FC236}">
              <a16:creationId xmlns="" xmlns:a16="http://schemas.microsoft.com/office/drawing/2014/main" id="{00000000-0008-0000-0000-0000961E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833" name="Line 981">
          <a:extLst>
            <a:ext uri="{FF2B5EF4-FFF2-40B4-BE49-F238E27FC236}">
              <a16:creationId xmlns="" xmlns:a16="http://schemas.microsoft.com/office/drawing/2014/main" id="{00000000-0008-0000-0000-0000991E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34" name="Line 982">
          <a:extLst>
            <a:ext uri="{FF2B5EF4-FFF2-40B4-BE49-F238E27FC236}">
              <a16:creationId xmlns="" xmlns:a16="http://schemas.microsoft.com/office/drawing/2014/main" id="{00000000-0008-0000-0000-00009A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37" name="Line 985">
          <a:extLst>
            <a:ext uri="{FF2B5EF4-FFF2-40B4-BE49-F238E27FC236}">
              <a16:creationId xmlns="" xmlns:a16="http://schemas.microsoft.com/office/drawing/2014/main" id="{00000000-0008-0000-0000-00009D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840" name="Line 988">
          <a:extLst>
            <a:ext uri="{FF2B5EF4-FFF2-40B4-BE49-F238E27FC236}">
              <a16:creationId xmlns="" xmlns:a16="http://schemas.microsoft.com/office/drawing/2014/main" id="{00000000-0008-0000-0000-0000A01E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41" name="Line 989">
          <a:extLst>
            <a:ext uri="{FF2B5EF4-FFF2-40B4-BE49-F238E27FC236}">
              <a16:creationId xmlns="" xmlns:a16="http://schemas.microsoft.com/office/drawing/2014/main" id="{00000000-0008-0000-0000-0000A1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44" name="Line 992">
          <a:extLst>
            <a:ext uri="{FF2B5EF4-FFF2-40B4-BE49-F238E27FC236}">
              <a16:creationId xmlns="" xmlns:a16="http://schemas.microsoft.com/office/drawing/2014/main" id="{00000000-0008-0000-0000-0000A4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7847" name="Line 995">
          <a:extLst>
            <a:ext uri="{FF2B5EF4-FFF2-40B4-BE49-F238E27FC236}">
              <a16:creationId xmlns="" xmlns:a16="http://schemas.microsoft.com/office/drawing/2014/main" id="{00000000-0008-0000-0000-0000A71E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48" name="Line 996">
          <a:extLst>
            <a:ext uri="{FF2B5EF4-FFF2-40B4-BE49-F238E27FC236}">
              <a16:creationId xmlns="" xmlns:a16="http://schemas.microsoft.com/office/drawing/2014/main" id="{00000000-0008-0000-0000-0000A8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7851" name="Line 999">
          <a:extLst>
            <a:ext uri="{FF2B5EF4-FFF2-40B4-BE49-F238E27FC236}">
              <a16:creationId xmlns="" xmlns:a16="http://schemas.microsoft.com/office/drawing/2014/main" id="{00000000-0008-0000-0000-0000AB1E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7854" name="Line 1002">
          <a:extLst>
            <a:ext uri="{FF2B5EF4-FFF2-40B4-BE49-F238E27FC236}">
              <a16:creationId xmlns="" xmlns:a16="http://schemas.microsoft.com/office/drawing/2014/main" id="{00000000-0008-0000-0000-0000AE1E0000}"/>
            </a:ext>
          </a:extLst>
        </xdr:cNvPr>
        <xdr:cNvSpPr>
          <a:spLocks noChangeShapeType="1"/>
        </xdr:cNvSpPr>
      </xdr:nvSpPr>
      <xdr:spPr bwMode="auto">
        <a:xfrm flipH="1">
          <a:off x="146132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855" name="Line 1003">
          <a:extLst>
            <a:ext uri="{FF2B5EF4-FFF2-40B4-BE49-F238E27FC236}">
              <a16:creationId xmlns="" xmlns:a16="http://schemas.microsoft.com/office/drawing/2014/main" id="{00000000-0008-0000-0000-0000AF1E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7858" name="Line 1006">
          <a:extLst>
            <a:ext uri="{FF2B5EF4-FFF2-40B4-BE49-F238E27FC236}">
              <a16:creationId xmlns="" xmlns:a16="http://schemas.microsoft.com/office/drawing/2014/main" id="{00000000-0008-0000-0000-0000B21E0000}"/>
            </a:ext>
          </a:extLst>
        </xdr:cNvPr>
        <xdr:cNvSpPr>
          <a:spLocks noChangeShapeType="1"/>
        </xdr:cNvSpPr>
      </xdr:nvSpPr>
      <xdr:spPr bwMode="auto">
        <a:xfrm flipH="1">
          <a:off x="146132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861" name="Line 1009">
          <a:extLst>
            <a:ext uri="{FF2B5EF4-FFF2-40B4-BE49-F238E27FC236}">
              <a16:creationId xmlns="" xmlns:a16="http://schemas.microsoft.com/office/drawing/2014/main" id="{00000000-0008-0000-0000-0000B51E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62" name="Line 1010">
          <a:extLst>
            <a:ext uri="{FF2B5EF4-FFF2-40B4-BE49-F238E27FC236}">
              <a16:creationId xmlns="" xmlns:a16="http://schemas.microsoft.com/office/drawing/2014/main" id="{00000000-0008-0000-0000-0000B6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65" name="Line 1013">
          <a:extLst>
            <a:ext uri="{FF2B5EF4-FFF2-40B4-BE49-F238E27FC236}">
              <a16:creationId xmlns="" xmlns:a16="http://schemas.microsoft.com/office/drawing/2014/main" id="{00000000-0008-0000-0000-0000B9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868" name="Line 1016">
          <a:extLst>
            <a:ext uri="{FF2B5EF4-FFF2-40B4-BE49-F238E27FC236}">
              <a16:creationId xmlns="" xmlns:a16="http://schemas.microsoft.com/office/drawing/2014/main" id="{00000000-0008-0000-0000-0000BC1E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69" name="Line 1017">
          <a:extLst>
            <a:ext uri="{FF2B5EF4-FFF2-40B4-BE49-F238E27FC236}">
              <a16:creationId xmlns="" xmlns:a16="http://schemas.microsoft.com/office/drawing/2014/main" id="{00000000-0008-0000-0000-0000BD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72" name="Line 1020">
          <a:extLst>
            <a:ext uri="{FF2B5EF4-FFF2-40B4-BE49-F238E27FC236}">
              <a16:creationId xmlns="" xmlns:a16="http://schemas.microsoft.com/office/drawing/2014/main" id="{00000000-0008-0000-0000-0000C0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875" name="Line 1023">
          <a:extLst>
            <a:ext uri="{FF2B5EF4-FFF2-40B4-BE49-F238E27FC236}">
              <a16:creationId xmlns="" xmlns:a16="http://schemas.microsoft.com/office/drawing/2014/main" id="{00000000-0008-0000-0000-0000C31E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76" name="Line 1024">
          <a:extLst>
            <a:ext uri="{FF2B5EF4-FFF2-40B4-BE49-F238E27FC236}">
              <a16:creationId xmlns="" xmlns:a16="http://schemas.microsoft.com/office/drawing/2014/main" id="{00000000-0008-0000-0000-0000C4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79" name="Line 1027">
          <a:extLst>
            <a:ext uri="{FF2B5EF4-FFF2-40B4-BE49-F238E27FC236}">
              <a16:creationId xmlns="" xmlns:a16="http://schemas.microsoft.com/office/drawing/2014/main" id="{00000000-0008-0000-0000-0000C7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7882" name="Line 1030">
          <a:extLst>
            <a:ext uri="{FF2B5EF4-FFF2-40B4-BE49-F238E27FC236}">
              <a16:creationId xmlns="" xmlns:a16="http://schemas.microsoft.com/office/drawing/2014/main" id="{00000000-0008-0000-0000-0000CA1E0000}"/>
            </a:ext>
          </a:extLst>
        </xdr:cNvPr>
        <xdr:cNvSpPr>
          <a:spLocks noChangeShapeType="1"/>
        </xdr:cNvSpPr>
      </xdr:nvSpPr>
      <xdr:spPr bwMode="auto">
        <a:xfrm flipH="1">
          <a:off x="1415986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83" name="Line 1031">
          <a:extLst>
            <a:ext uri="{FF2B5EF4-FFF2-40B4-BE49-F238E27FC236}">
              <a16:creationId xmlns="" xmlns:a16="http://schemas.microsoft.com/office/drawing/2014/main" id="{00000000-0008-0000-0000-0000CB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7886" name="Line 1034">
          <a:extLst>
            <a:ext uri="{FF2B5EF4-FFF2-40B4-BE49-F238E27FC236}">
              <a16:creationId xmlns="" xmlns:a16="http://schemas.microsoft.com/office/drawing/2014/main" id="{00000000-0008-0000-0000-0000CE1E0000}"/>
            </a:ext>
          </a:extLst>
        </xdr:cNvPr>
        <xdr:cNvSpPr>
          <a:spLocks noChangeShapeType="1"/>
        </xdr:cNvSpPr>
      </xdr:nvSpPr>
      <xdr:spPr bwMode="auto">
        <a:xfrm flipH="1">
          <a:off x="1415986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889" name="Line 1037">
          <a:extLst>
            <a:ext uri="{FF2B5EF4-FFF2-40B4-BE49-F238E27FC236}">
              <a16:creationId xmlns="" xmlns:a16="http://schemas.microsoft.com/office/drawing/2014/main" id="{00000000-0008-0000-0000-0000D11E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890" name="Line 1038">
          <a:extLst>
            <a:ext uri="{FF2B5EF4-FFF2-40B4-BE49-F238E27FC236}">
              <a16:creationId xmlns="" xmlns:a16="http://schemas.microsoft.com/office/drawing/2014/main" id="{00000000-0008-0000-0000-0000D2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893" name="Line 1041">
          <a:extLst>
            <a:ext uri="{FF2B5EF4-FFF2-40B4-BE49-F238E27FC236}">
              <a16:creationId xmlns="" xmlns:a16="http://schemas.microsoft.com/office/drawing/2014/main" id="{00000000-0008-0000-0000-0000D5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896" name="Line 1044">
          <a:extLst>
            <a:ext uri="{FF2B5EF4-FFF2-40B4-BE49-F238E27FC236}">
              <a16:creationId xmlns="" xmlns:a16="http://schemas.microsoft.com/office/drawing/2014/main" id="{00000000-0008-0000-0000-0000D81E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897" name="Line 1045">
          <a:extLst>
            <a:ext uri="{FF2B5EF4-FFF2-40B4-BE49-F238E27FC236}">
              <a16:creationId xmlns="" xmlns:a16="http://schemas.microsoft.com/office/drawing/2014/main" id="{00000000-0008-0000-0000-0000D9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900" name="Line 1048">
          <a:extLst>
            <a:ext uri="{FF2B5EF4-FFF2-40B4-BE49-F238E27FC236}">
              <a16:creationId xmlns="" xmlns:a16="http://schemas.microsoft.com/office/drawing/2014/main" id="{00000000-0008-0000-0000-0000DC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903" name="Line 1051">
          <a:extLst>
            <a:ext uri="{FF2B5EF4-FFF2-40B4-BE49-F238E27FC236}">
              <a16:creationId xmlns="" xmlns:a16="http://schemas.microsoft.com/office/drawing/2014/main" id="{00000000-0008-0000-0000-0000DF1E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904" name="Line 1052">
          <a:extLst>
            <a:ext uri="{FF2B5EF4-FFF2-40B4-BE49-F238E27FC236}">
              <a16:creationId xmlns="" xmlns:a16="http://schemas.microsoft.com/office/drawing/2014/main" id="{00000000-0008-0000-0000-0000E0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907" name="Line 1055">
          <a:extLst>
            <a:ext uri="{FF2B5EF4-FFF2-40B4-BE49-F238E27FC236}">
              <a16:creationId xmlns="" xmlns:a16="http://schemas.microsoft.com/office/drawing/2014/main" id="{00000000-0008-0000-0000-0000E3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7910" name="Line 1058">
          <a:extLst>
            <a:ext uri="{FF2B5EF4-FFF2-40B4-BE49-F238E27FC236}">
              <a16:creationId xmlns="" xmlns:a16="http://schemas.microsoft.com/office/drawing/2014/main" id="{00000000-0008-0000-0000-0000E61E0000}"/>
            </a:ext>
          </a:extLst>
        </xdr:cNvPr>
        <xdr:cNvSpPr>
          <a:spLocks noChangeShapeType="1"/>
        </xdr:cNvSpPr>
      </xdr:nvSpPr>
      <xdr:spPr bwMode="auto">
        <a:xfrm flipH="1">
          <a:off x="1370647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911" name="Line 1059">
          <a:extLst>
            <a:ext uri="{FF2B5EF4-FFF2-40B4-BE49-F238E27FC236}">
              <a16:creationId xmlns="" xmlns:a16="http://schemas.microsoft.com/office/drawing/2014/main" id="{00000000-0008-0000-0000-0000E7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7914" name="Line 1062">
          <a:extLst>
            <a:ext uri="{FF2B5EF4-FFF2-40B4-BE49-F238E27FC236}">
              <a16:creationId xmlns="" xmlns:a16="http://schemas.microsoft.com/office/drawing/2014/main" id="{00000000-0008-0000-0000-0000EA1E0000}"/>
            </a:ext>
          </a:extLst>
        </xdr:cNvPr>
        <xdr:cNvSpPr>
          <a:spLocks noChangeShapeType="1"/>
        </xdr:cNvSpPr>
      </xdr:nvSpPr>
      <xdr:spPr bwMode="auto">
        <a:xfrm flipH="1">
          <a:off x="1370647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917" name="Line 1065">
          <a:extLst>
            <a:ext uri="{FF2B5EF4-FFF2-40B4-BE49-F238E27FC236}">
              <a16:creationId xmlns="" xmlns:a16="http://schemas.microsoft.com/office/drawing/2014/main" id="{00000000-0008-0000-0000-0000ED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18" name="Line 1066">
          <a:extLst>
            <a:ext uri="{FF2B5EF4-FFF2-40B4-BE49-F238E27FC236}">
              <a16:creationId xmlns="" xmlns:a16="http://schemas.microsoft.com/office/drawing/2014/main" id="{00000000-0008-0000-0000-0000EE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21" name="Line 1069">
          <a:extLst>
            <a:ext uri="{FF2B5EF4-FFF2-40B4-BE49-F238E27FC236}">
              <a16:creationId xmlns="" xmlns:a16="http://schemas.microsoft.com/office/drawing/2014/main" id="{00000000-0008-0000-0000-0000F1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924" name="Line 1072">
          <a:extLst>
            <a:ext uri="{FF2B5EF4-FFF2-40B4-BE49-F238E27FC236}">
              <a16:creationId xmlns="" xmlns:a16="http://schemas.microsoft.com/office/drawing/2014/main" id="{00000000-0008-0000-0000-0000F4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25" name="Line 1073">
          <a:extLst>
            <a:ext uri="{FF2B5EF4-FFF2-40B4-BE49-F238E27FC236}">
              <a16:creationId xmlns="" xmlns:a16="http://schemas.microsoft.com/office/drawing/2014/main" id="{00000000-0008-0000-0000-0000F5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28" name="Line 1076">
          <a:extLst>
            <a:ext uri="{FF2B5EF4-FFF2-40B4-BE49-F238E27FC236}">
              <a16:creationId xmlns="" xmlns:a16="http://schemas.microsoft.com/office/drawing/2014/main" id="{00000000-0008-0000-0000-0000F8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931" name="Line 1079">
          <a:extLst>
            <a:ext uri="{FF2B5EF4-FFF2-40B4-BE49-F238E27FC236}">
              <a16:creationId xmlns="" xmlns:a16="http://schemas.microsoft.com/office/drawing/2014/main" id="{00000000-0008-0000-0000-0000FB1E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32" name="Line 1080">
          <a:extLst>
            <a:ext uri="{FF2B5EF4-FFF2-40B4-BE49-F238E27FC236}">
              <a16:creationId xmlns="" xmlns:a16="http://schemas.microsoft.com/office/drawing/2014/main" id="{00000000-0008-0000-0000-0000FC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35" name="Line 1083">
          <a:extLst>
            <a:ext uri="{FF2B5EF4-FFF2-40B4-BE49-F238E27FC236}">
              <a16:creationId xmlns="" xmlns:a16="http://schemas.microsoft.com/office/drawing/2014/main" id="{00000000-0008-0000-0000-0000FF1E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7938" name="Line 1086">
          <a:extLst>
            <a:ext uri="{FF2B5EF4-FFF2-40B4-BE49-F238E27FC236}">
              <a16:creationId xmlns="" xmlns:a16="http://schemas.microsoft.com/office/drawing/2014/main" id="{00000000-0008-0000-0000-0000021F0000}"/>
            </a:ext>
          </a:extLst>
        </xdr:cNvPr>
        <xdr:cNvSpPr>
          <a:spLocks noChangeShapeType="1"/>
        </xdr:cNvSpPr>
      </xdr:nvSpPr>
      <xdr:spPr bwMode="auto">
        <a:xfrm flipH="1">
          <a:off x="1325308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39" name="Line 1087">
          <a:extLst>
            <a:ext uri="{FF2B5EF4-FFF2-40B4-BE49-F238E27FC236}">
              <a16:creationId xmlns="" xmlns:a16="http://schemas.microsoft.com/office/drawing/2014/main" id="{00000000-0008-0000-0000-0000031F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7942" name="Line 1090">
          <a:extLst>
            <a:ext uri="{FF2B5EF4-FFF2-40B4-BE49-F238E27FC236}">
              <a16:creationId xmlns="" xmlns:a16="http://schemas.microsoft.com/office/drawing/2014/main" id="{00000000-0008-0000-0000-0000061F0000}"/>
            </a:ext>
          </a:extLst>
        </xdr:cNvPr>
        <xdr:cNvSpPr>
          <a:spLocks noChangeShapeType="1"/>
        </xdr:cNvSpPr>
      </xdr:nvSpPr>
      <xdr:spPr bwMode="auto">
        <a:xfrm flipH="1">
          <a:off x="1325308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945" name="Line 1093">
          <a:extLst>
            <a:ext uri="{FF2B5EF4-FFF2-40B4-BE49-F238E27FC236}">
              <a16:creationId xmlns="" xmlns:a16="http://schemas.microsoft.com/office/drawing/2014/main" id="{00000000-0008-0000-0000-0000091F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46" name="Line 1094">
          <a:extLst>
            <a:ext uri="{FF2B5EF4-FFF2-40B4-BE49-F238E27FC236}">
              <a16:creationId xmlns="" xmlns:a16="http://schemas.microsoft.com/office/drawing/2014/main" id="{00000000-0008-0000-0000-00000A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49" name="Line 1097">
          <a:extLst>
            <a:ext uri="{FF2B5EF4-FFF2-40B4-BE49-F238E27FC236}">
              <a16:creationId xmlns="" xmlns:a16="http://schemas.microsoft.com/office/drawing/2014/main" id="{00000000-0008-0000-0000-00000D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952" name="Line 1100">
          <a:extLst>
            <a:ext uri="{FF2B5EF4-FFF2-40B4-BE49-F238E27FC236}">
              <a16:creationId xmlns="" xmlns:a16="http://schemas.microsoft.com/office/drawing/2014/main" id="{00000000-0008-0000-0000-0000101F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53" name="Line 1101">
          <a:extLst>
            <a:ext uri="{FF2B5EF4-FFF2-40B4-BE49-F238E27FC236}">
              <a16:creationId xmlns="" xmlns:a16="http://schemas.microsoft.com/office/drawing/2014/main" id="{00000000-0008-0000-0000-000011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56" name="Line 1104">
          <a:extLst>
            <a:ext uri="{FF2B5EF4-FFF2-40B4-BE49-F238E27FC236}">
              <a16:creationId xmlns="" xmlns:a16="http://schemas.microsoft.com/office/drawing/2014/main" id="{00000000-0008-0000-0000-000014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959" name="Line 1107">
          <a:extLst>
            <a:ext uri="{FF2B5EF4-FFF2-40B4-BE49-F238E27FC236}">
              <a16:creationId xmlns="" xmlns:a16="http://schemas.microsoft.com/office/drawing/2014/main" id="{00000000-0008-0000-0000-0000171F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60" name="Line 1108">
          <a:extLst>
            <a:ext uri="{FF2B5EF4-FFF2-40B4-BE49-F238E27FC236}">
              <a16:creationId xmlns="" xmlns:a16="http://schemas.microsoft.com/office/drawing/2014/main" id="{00000000-0008-0000-0000-000018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63" name="Line 1111">
          <a:extLst>
            <a:ext uri="{FF2B5EF4-FFF2-40B4-BE49-F238E27FC236}">
              <a16:creationId xmlns="" xmlns:a16="http://schemas.microsoft.com/office/drawing/2014/main" id="{00000000-0008-0000-0000-00001B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7966" name="Line 1114">
          <a:extLst>
            <a:ext uri="{FF2B5EF4-FFF2-40B4-BE49-F238E27FC236}">
              <a16:creationId xmlns="" xmlns:a16="http://schemas.microsoft.com/office/drawing/2014/main" id="{00000000-0008-0000-0000-00001E1F0000}"/>
            </a:ext>
          </a:extLst>
        </xdr:cNvPr>
        <xdr:cNvSpPr>
          <a:spLocks noChangeShapeType="1"/>
        </xdr:cNvSpPr>
      </xdr:nvSpPr>
      <xdr:spPr bwMode="auto">
        <a:xfrm flipH="1">
          <a:off x="1279969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67" name="Line 1115">
          <a:extLst>
            <a:ext uri="{FF2B5EF4-FFF2-40B4-BE49-F238E27FC236}">
              <a16:creationId xmlns="" xmlns:a16="http://schemas.microsoft.com/office/drawing/2014/main" id="{00000000-0008-0000-0000-00001F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7970" name="Line 1118">
          <a:extLst>
            <a:ext uri="{FF2B5EF4-FFF2-40B4-BE49-F238E27FC236}">
              <a16:creationId xmlns="" xmlns:a16="http://schemas.microsoft.com/office/drawing/2014/main" id="{00000000-0008-0000-0000-0000221F0000}"/>
            </a:ext>
          </a:extLst>
        </xdr:cNvPr>
        <xdr:cNvSpPr>
          <a:spLocks noChangeShapeType="1"/>
        </xdr:cNvSpPr>
      </xdr:nvSpPr>
      <xdr:spPr bwMode="auto">
        <a:xfrm flipH="1">
          <a:off x="1279969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973" name="Line 1121">
          <a:extLst>
            <a:ext uri="{FF2B5EF4-FFF2-40B4-BE49-F238E27FC236}">
              <a16:creationId xmlns="" xmlns:a16="http://schemas.microsoft.com/office/drawing/2014/main" id="{00000000-0008-0000-0000-0000251F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74" name="Line 1122">
          <a:extLst>
            <a:ext uri="{FF2B5EF4-FFF2-40B4-BE49-F238E27FC236}">
              <a16:creationId xmlns="" xmlns:a16="http://schemas.microsoft.com/office/drawing/2014/main" id="{00000000-0008-0000-0000-000026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77" name="Line 1125">
          <a:extLst>
            <a:ext uri="{FF2B5EF4-FFF2-40B4-BE49-F238E27FC236}">
              <a16:creationId xmlns="" xmlns:a16="http://schemas.microsoft.com/office/drawing/2014/main" id="{00000000-0008-0000-0000-000029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980" name="Line 1128">
          <a:extLst>
            <a:ext uri="{FF2B5EF4-FFF2-40B4-BE49-F238E27FC236}">
              <a16:creationId xmlns="" xmlns:a16="http://schemas.microsoft.com/office/drawing/2014/main" id="{00000000-0008-0000-0000-00002C1F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81" name="Line 1129">
          <a:extLst>
            <a:ext uri="{FF2B5EF4-FFF2-40B4-BE49-F238E27FC236}">
              <a16:creationId xmlns="" xmlns:a16="http://schemas.microsoft.com/office/drawing/2014/main" id="{00000000-0008-0000-0000-00002D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84" name="Line 1132">
          <a:extLst>
            <a:ext uri="{FF2B5EF4-FFF2-40B4-BE49-F238E27FC236}">
              <a16:creationId xmlns="" xmlns:a16="http://schemas.microsoft.com/office/drawing/2014/main" id="{00000000-0008-0000-0000-000030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987" name="Line 1135">
          <a:extLst>
            <a:ext uri="{FF2B5EF4-FFF2-40B4-BE49-F238E27FC236}">
              <a16:creationId xmlns="" xmlns:a16="http://schemas.microsoft.com/office/drawing/2014/main" id="{00000000-0008-0000-0000-0000331F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88" name="Line 1136">
          <a:extLst>
            <a:ext uri="{FF2B5EF4-FFF2-40B4-BE49-F238E27FC236}">
              <a16:creationId xmlns="" xmlns:a16="http://schemas.microsoft.com/office/drawing/2014/main" id="{00000000-0008-0000-0000-000034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91" name="Line 1139">
          <a:extLst>
            <a:ext uri="{FF2B5EF4-FFF2-40B4-BE49-F238E27FC236}">
              <a16:creationId xmlns="" xmlns:a16="http://schemas.microsoft.com/office/drawing/2014/main" id="{00000000-0008-0000-0000-000037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7994" name="Line 1142">
          <a:extLst>
            <a:ext uri="{FF2B5EF4-FFF2-40B4-BE49-F238E27FC236}">
              <a16:creationId xmlns="" xmlns:a16="http://schemas.microsoft.com/office/drawing/2014/main" id="{00000000-0008-0000-0000-00003A1F0000}"/>
            </a:ext>
          </a:extLst>
        </xdr:cNvPr>
        <xdr:cNvSpPr>
          <a:spLocks noChangeShapeType="1"/>
        </xdr:cNvSpPr>
      </xdr:nvSpPr>
      <xdr:spPr bwMode="auto">
        <a:xfrm flipH="1">
          <a:off x="1234630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95" name="Line 1143">
          <a:extLst>
            <a:ext uri="{FF2B5EF4-FFF2-40B4-BE49-F238E27FC236}">
              <a16:creationId xmlns="" xmlns:a16="http://schemas.microsoft.com/office/drawing/2014/main" id="{00000000-0008-0000-0000-00003B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7998" name="Line 1146">
          <a:extLst>
            <a:ext uri="{FF2B5EF4-FFF2-40B4-BE49-F238E27FC236}">
              <a16:creationId xmlns="" xmlns:a16="http://schemas.microsoft.com/office/drawing/2014/main" id="{00000000-0008-0000-0000-00003E1F0000}"/>
            </a:ext>
          </a:extLst>
        </xdr:cNvPr>
        <xdr:cNvSpPr>
          <a:spLocks noChangeShapeType="1"/>
        </xdr:cNvSpPr>
      </xdr:nvSpPr>
      <xdr:spPr bwMode="auto">
        <a:xfrm flipH="1">
          <a:off x="1234630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8001" name="Line 1149">
          <a:extLst>
            <a:ext uri="{FF2B5EF4-FFF2-40B4-BE49-F238E27FC236}">
              <a16:creationId xmlns="" xmlns:a16="http://schemas.microsoft.com/office/drawing/2014/main" id="{00000000-0008-0000-0000-0000411F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02" name="Line 1150">
          <a:extLst>
            <a:ext uri="{FF2B5EF4-FFF2-40B4-BE49-F238E27FC236}">
              <a16:creationId xmlns="" xmlns:a16="http://schemas.microsoft.com/office/drawing/2014/main" id="{00000000-0008-0000-0000-000042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05" name="Line 1153">
          <a:extLst>
            <a:ext uri="{FF2B5EF4-FFF2-40B4-BE49-F238E27FC236}">
              <a16:creationId xmlns="" xmlns:a16="http://schemas.microsoft.com/office/drawing/2014/main" id="{00000000-0008-0000-0000-000045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8008" name="Line 1156">
          <a:extLst>
            <a:ext uri="{FF2B5EF4-FFF2-40B4-BE49-F238E27FC236}">
              <a16:creationId xmlns="" xmlns:a16="http://schemas.microsoft.com/office/drawing/2014/main" id="{00000000-0008-0000-0000-0000481F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09" name="Line 1157">
          <a:extLst>
            <a:ext uri="{FF2B5EF4-FFF2-40B4-BE49-F238E27FC236}">
              <a16:creationId xmlns="" xmlns:a16="http://schemas.microsoft.com/office/drawing/2014/main" id="{00000000-0008-0000-0000-000049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12" name="Line 1160">
          <a:extLst>
            <a:ext uri="{FF2B5EF4-FFF2-40B4-BE49-F238E27FC236}">
              <a16:creationId xmlns="" xmlns:a16="http://schemas.microsoft.com/office/drawing/2014/main" id="{00000000-0008-0000-0000-00004C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8015" name="Line 1163">
          <a:extLst>
            <a:ext uri="{FF2B5EF4-FFF2-40B4-BE49-F238E27FC236}">
              <a16:creationId xmlns="" xmlns:a16="http://schemas.microsoft.com/office/drawing/2014/main" id="{00000000-0008-0000-0000-00004F1F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16" name="Line 1164">
          <a:extLst>
            <a:ext uri="{FF2B5EF4-FFF2-40B4-BE49-F238E27FC236}">
              <a16:creationId xmlns="" xmlns:a16="http://schemas.microsoft.com/office/drawing/2014/main" id="{00000000-0008-0000-0000-000050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19" name="Line 1167">
          <a:extLst>
            <a:ext uri="{FF2B5EF4-FFF2-40B4-BE49-F238E27FC236}">
              <a16:creationId xmlns="" xmlns:a16="http://schemas.microsoft.com/office/drawing/2014/main" id="{00000000-0008-0000-0000-000053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8022" name="Line 1170">
          <a:extLst>
            <a:ext uri="{FF2B5EF4-FFF2-40B4-BE49-F238E27FC236}">
              <a16:creationId xmlns="" xmlns:a16="http://schemas.microsoft.com/office/drawing/2014/main" id="{00000000-0008-0000-0000-0000561F0000}"/>
            </a:ext>
          </a:extLst>
        </xdr:cNvPr>
        <xdr:cNvSpPr>
          <a:spLocks noChangeShapeType="1"/>
        </xdr:cNvSpPr>
      </xdr:nvSpPr>
      <xdr:spPr bwMode="auto">
        <a:xfrm flipH="1">
          <a:off x="1189291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23" name="Line 1171">
          <a:extLst>
            <a:ext uri="{FF2B5EF4-FFF2-40B4-BE49-F238E27FC236}">
              <a16:creationId xmlns="" xmlns:a16="http://schemas.microsoft.com/office/drawing/2014/main" id="{00000000-0008-0000-0000-000057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8026" name="Line 1174">
          <a:extLst>
            <a:ext uri="{FF2B5EF4-FFF2-40B4-BE49-F238E27FC236}">
              <a16:creationId xmlns="" xmlns:a16="http://schemas.microsoft.com/office/drawing/2014/main" id="{00000000-0008-0000-0000-00005A1F0000}"/>
            </a:ext>
          </a:extLst>
        </xdr:cNvPr>
        <xdr:cNvSpPr>
          <a:spLocks noChangeShapeType="1"/>
        </xdr:cNvSpPr>
      </xdr:nvSpPr>
      <xdr:spPr bwMode="auto">
        <a:xfrm flipH="1">
          <a:off x="1189291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8029" name="Line 1177">
          <a:extLst>
            <a:ext uri="{FF2B5EF4-FFF2-40B4-BE49-F238E27FC236}">
              <a16:creationId xmlns="" xmlns:a16="http://schemas.microsoft.com/office/drawing/2014/main" id="{00000000-0008-0000-0000-00005D1F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30" name="Line 1178">
          <a:extLst>
            <a:ext uri="{FF2B5EF4-FFF2-40B4-BE49-F238E27FC236}">
              <a16:creationId xmlns="" xmlns:a16="http://schemas.microsoft.com/office/drawing/2014/main" id="{00000000-0008-0000-0000-00005E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33" name="Line 1181">
          <a:extLst>
            <a:ext uri="{FF2B5EF4-FFF2-40B4-BE49-F238E27FC236}">
              <a16:creationId xmlns="" xmlns:a16="http://schemas.microsoft.com/office/drawing/2014/main" id="{00000000-0008-0000-0000-000061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8036" name="Line 1184">
          <a:extLst>
            <a:ext uri="{FF2B5EF4-FFF2-40B4-BE49-F238E27FC236}">
              <a16:creationId xmlns="" xmlns:a16="http://schemas.microsoft.com/office/drawing/2014/main" id="{00000000-0008-0000-0000-0000641F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37" name="Line 1185">
          <a:extLst>
            <a:ext uri="{FF2B5EF4-FFF2-40B4-BE49-F238E27FC236}">
              <a16:creationId xmlns="" xmlns:a16="http://schemas.microsoft.com/office/drawing/2014/main" id="{00000000-0008-0000-0000-000065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40" name="Line 1188">
          <a:extLst>
            <a:ext uri="{FF2B5EF4-FFF2-40B4-BE49-F238E27FC236}">
              <a16:creationId xmlns="" xmlns:a16="http://schemas.microsoft.com/office/drawing/2014/main" id="{00000000-0008-0000-0000-000068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8043" name="Line 1191">
          <a:extLst>
            <a:ext uri="{FF2B5EF4-FFF2-40B4-BE49-F238E27FC236}">
              <a16:creationId xmlns="" xmlns:a16="http://schemas.microsoft.com/office/drawing/2014/main" id="{00000000-0008-0000-0000-00006B1F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44" name="Line 1192">
          <a:extLst>
            <a:ext uri="{FF2B5EF4-FFF2-40B4-BE49-F238E27FC236}">
              <a16:creationId xmlns="" xmlns:a16="http://schemas.microsoft.com/office/drawing/2014/main" id="{00000000-0008-0000-0000-00006C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47" name="Line 1195">
          <a:extLst>
            <a:ext uri="{FF2B5EF4-FFF2-40B4-BE49-F238E27FC236}">
              <a16:creationId xmlns="" xmlns:a16="http://schemas.microsoft.com/office/drawing/2014/main" id="{00000000-0008-0000-0000-00006F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8050" name="Line 1198">
          <a:extLst>
            <a:ext uri="{FF2B5EF4-FFF2-40B4-BE49-F238E27FC236}">
              <a16:creationId xmlns="" xmlns:a16="http://schemas.microsoft.com/office/drawing/2014/main" id="{00000000-0008-0000-0000-0000721F0000}"/>
            </a:ext>
          </a:extLst>
        </xdr:cNvPr>
        <xdr:cNvSpPr>
          <a:spLocks noChangeShapeType="1"/>
        </xdr:cNvSpPr>
      </xdr:nvSpPr>
      <xdr:spPr bwMode="auto">
        <a:xfrm flipH="1">
          <a:off x="1143952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51" name="Line 1199">
          <a:extLst>
            <a:ext uri="{FF2B5EF4-FFF2-40B4-BE49-F238E27FC236}">
              <a16:creationId xmlns="" xmlns:a16="http://schemas.microsoft.com/office/drawing/2014/main" id="{00000000-0008-0000-0000-000073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8054" name="Line 1202">
          <a:extLst>
            <a:ext uri="{FF2B5EF4-FFF2-40B4-BE49-F238E27FC236}">
              <a16:creationId xmlns="" xmlns:a16="http://schemas.microsoft.com/office/drawing/2014/main" id="{00000000-0008-0000-0000-0000761F0000}"/>
            </a:ext>
          </a:extLst>
        </xdr:cNvPr>
        <xdr:cNvSpPr>
          <a:spLocks noChangeShapeType="1"/>
        </xdr:cNvSpPr>
      </xdr:nvSpPr>
      <xdr:spPr bwMode="auto">
        <a:xfrm flipH="1">
          <a:off x="1143952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8057" name="Line 1205">
          <a:extLst>
            <a:ext uri="{FF2B5EF4-FFF2-40B4-BE49-F238E27FC236}">
              <a16:creationId xmlns="" xmlns:a16="http://schemas.microsoft.com/office/drawing/2014/main" id="{00000000-0008-0000-0000-0000791F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58" name="Line 1206">
          <a:extLst>
            <a:ext uri="{FF2B5EF4-FFF2-40B4-BE49-F238E27FC236}">
              <a16:creationId xmlns="" xmlns:a16="http://schemas.microsoft.com/office/drawing/2014/main" id="{00000000-0008-0000-0000-00007A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61" name="Line 1209">
          <a:extLst>
            <a:ext uri="{FF2B5EF4-FFF2-40B4-BE49-F238E27FC236}">
              <a16:creationId xmlns="" xmlns:a16="http://schemas.microsoft.com/office/drawing/2014/main" id="{00000000-0008-0000-0000-00007D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8064" name="Line 1212">
          <a:extLst>
            <a:ext uri="{FF2B5EF4-FFF2-40B4-BE49-F238E27FC236}">
              <a16:creationId xmlns="" xmlns:a16="http://schemas.microsoft.com/office/drawing/2014/main" id="{00000000-0008-0000-0000-0000801F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65" name="Line 1213">
          <a:extLst>
            <a:ext uri="{FF2B5EF4-FFF2-40B4-BE49-F238E27FC236}">
              <a16:creationId xmlns="" xmlns:a16="http://schemas.microsoft.com/office/drawing/2014/main" id="{00000000-0008-0000-0000-000081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68" name="Line 1216">
          <a:extLst>
            <a:ext uri="{FF2B5EF4-FFF2-40B4-BE49-F238E27FC236}">
              <a16:creationId xmlns="" xmlns:a16="http://schemas.microsoft.com/office/drawing/2014/main" id="{00000000-0008-0000-0000-000084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8071" name="Line 1219">
          <a:extLst>
            <a:ext uri="{FF2B5EF4-FFF2-40B4-BE49-F238E27FC236}">
              <a16:creationId xmlns="" xmlns:a16="http://schemas.microsoft.com/office/drawing/2014/main" id="{00000000-0008-0000-0000-0000871F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72" name="Line 1220">
          <a:extLst>
            <a:ext uri="{FF2B5EF4-FFF2-40B4-BE49-F238E27FC236}">
              <a16:creationId xmlns="" xmlns:a16="http://schemas.microsoft.com/office/drawing/2014/main" id="{00000000-0008-0000-0000-000088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75" name="Line 1223">
          <a:extLst>
            <a:ext uri="{FF2B5EF4-FFF2-40B4-BE49-F238E27FC236}">
              <a16:creationId xmlns="" xmlns:a16="http://schemas.microsoft.com/office/drawing/2014/main" id="{00000000-0008-0000-0000-00008B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8078" name="Line 1226">
          <a:extLst>
            <a:ext uri="{FF2B5EF4-FFF2-40B4-BE49-F238E27FC236}">
              <a16:creationId xmlns="" xmlns:a16="http://schemas.microsoft.com/office/drawing/2014/main" id="{00000000-0008-0000-0000-00008E1F0000}"/>
            </a:ext>
          </a:extLst>
        </xdr:cNvPr>
        <xdr:cNvSpPr>
          <a:spLocks noChangeShapeType="1"/>
        </xdr:cNvSpPr>
      </xdr:nvSpPr>
      <xdr:spPr bwMode="auto">
        <a:xfrm flipH="1">
          <a:off x="1098613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79" name="Line 1227">
          <a:extLst>
            <a:ext uri="{FF2B5EF4-FFF2-40B4-BE49-F238E27FC236}">
              <a16:creationId xmlns="" xmlns:a16="http://schemas.microsoft.com/office/drawing/2014/main" id="{00000000-0008-0000-0000-00008F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8082" name="Line 1230">
          <a:extLst>
            <a:ext uri="{FF2B5EF4-FFF2-40B4-BE49-F238E27FC236}">
              <a16:creationId xmlns="" xmlns:a16="http://schemas.microsoft.com/office/drawing/2014/main" id="{00000000-0008-0000-0000-0000921F0000}"/>
            </a:ext>
          </a:extLst>
        </xdr:cNvPr>
        <xdr:cNvSpPr>
          <a:spLocks noChangeShapeType="1"/>
        </xdr:cNvSpPr>
      </xdr:nvSpPr>
      <xdr:spPr bwMode="auto">
        <a:xfrm flipH="1">
          <a:off x="1098613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085" name="Line 1233">
          <a:extLst>
            <a:ext uri="{FF2B5EF4-FFF2-40B4-BE49-F238E27FC236}">
              <a16:creationId xmlns="" xmlns:a16="http://schemas.microsoft.com/office/drawing/2014/main" id="{00000000-0008-0000-0000-0000951F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086" name="Line 1234">
          <a:extLst>
            <a:ext uri="{FF2B5EF4-FFF2-40B4-BE49-F238E27FC236}">
              <a16:creationId xmlns="" xmlns:a16="http://schemas.microsoft.com/office/drawing/2014/main" id="{00000000-0008-0000-0000-000096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089" name="Line 1237">
          <a:extLst>
            <a:ext uri="{FF2B5EF4-FFF2-40B4-BE49-F238E27FC236}">
              <a16:creationId xmlns="" xmlns:a16="http://schemas.microsoft.com/office/drawing/2014/main" id="{00000000-0008-0000-0000-000099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092" name="Line 1240">
          <a:extLst>
            <a:ext uri="{FF2B5EF4-FFF2-40B4-BE49-F238E27FC236}">
              <a16:creationId xmlns="" xmlns:a16="http://schemas.microsoft.com/office/drawing/2014/main" id="{00000000-0008-0000-0000-00009C1F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093" name="Line 1241">
          <a:extLst>
            <a:ext uri="{FF2B5EF4-FFF2-40B4-BE49-F238E27FC236}">
              <a16:creationId xmlns="" xmlns:a16="http://schemas.microsoft.com/office/drawing/2014/main" id="{00000000-0008-0000-0000-00009D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096" name="Line 1244">
          <a:extLst>
            <a:ext uri="{FF2B5EF4-FFF2-40B4-BE49-F238E27FC236}">
              <a16:creationId xmlns="" xmlns:a16="http://schemas.microsoft.com/office/drawing/2014/main" id="{00000000-0008-0000-0000-0000A0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099" name="Line 1247">
          <a:extLst>
            <a:ext uri="{FF2B5EF4-FFF2-40B4-BE49-F238E27FC236}">
              <a16:creationId xmlns="" xmlns:a16="http://schemas.microsoft.com/office/drawing/2014/main" id="{00000000-0008-0000-0000-0000A31F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100" name="Line 1248">
          <a:extLst>
            <a:ext uri="{FF2B5EF4-FFF2-40B4-BE49-F238E27FC236}">
              <a16:creationId xmlns="" xmlns:a16="http://schemas.microsoft.com/office/drawing/2014/main" id="{00000000-0008-0000-0000-0000A4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103" name="Line 1251">
          <a:extLst>
            <a:ext uri="{FF2B5EF4-FFF2-40B4-BE49-F238E27FC236}">
              <a16:creationId xmlns="" xmlns:a16="http://schemas.microsoft.com/office/drawing/2014/main" id="{00000000-0008-0000-0000-0000A7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106" name="Line 1254">
          <a:extLst>
            <a:ext uri="{FF2B5EF4-FFF2-40B4-BE49-F238E27FC236}">
              <a16:creationId xmlns="" xmlns:a16="http://schemas.microsoft.com/office/drawing/2014/main" id="{00000000-0008-0000-0000-0000AA1F0000}"/>
            </a:ext>
          </a:extLst>
        </xdr:cNvPr>
        <xdr:cNvSpPr>
          <a:spLocks noChangeShapeType="1"/>
        </xdr:cNvSpPr>
      </xdr:nvSpPr>
      <xdr:spPr bwMode="auto">
        <a:xfrm flipH="1">
          <a:off x="1053274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107" name="Line 1255">
          <a:extLst>
            <a:ext uri="{FF2B5EF4-FFF2-40B4-BE49-F238E27FC236}">
              <a16:creationId xmlns="" xmlns:a16="http://schemas.microsoft.com/office/drawing/2014/main" id="{00000000-0008-0000-0000-0000AB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8110" name="Line 1258">
          <a:extLst>
            <a:ext uri="{FF2B5EF4-FFF2-40B4-BE49-F238E27FC236}">
              <a16:creationId xmlns="" xmlns:a16="http://schemas.microsoft.com/office/drawing/2014/main" id="{00000000-0008-0000-0000-0000AE1F0000}"/>
            </a:ext>
          </a:extLst>
        </xdr:cNvPr>
        <xdr:cNvSpPr>
          <a:spLocks noChangeShapeType="1"/>
        </xdr:cNvSpPr>
      </xdr:nvSpPr>
      <xdr:spPr bwMode="auto">
        <a:xfrm flipH="1">
          <a:off x="1053274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8113" name="Line 1261">
          <a:extLst>
            <a:ext uri="{FF2B5EF4-FFF2-40B4-BE49-F238E27FC236}">
              <a16:creationId xmlns="" xmlns:a16="http://schemas.microsoft.com/office/drawing/2014/main" id="{00000000-0008-0000-0000-0000B11F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14" name="Line 1262">
          <a:extLst>
            <a:ext uri="{FF2B5EF4-FFF2-40B4-BE49-F238E27FC236}">
              <a16:creationId xmlns="" xmlns:a16="http://schemas.microsoft.com/office/drawing/2014/main" id="{00000000-0008-0000-0000-0000B2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17" name="Line 1265">
          <a:extLst>
            <a:ext uri="{FF2B5EF4-FFF2-40B4-BE49-F238E27FC236}">
              <a16:creationId xmlns="" xmlns:a16="http://schemas.microsoft.com/office/drawing/2014/main" id="{00000000-0008-0000-0000-0000B5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8120" name="Line 1268">
          <a:extLst>
            <a:ext uri="{FF2B5EF4-FFF2-40B4-BE49-F238E27FC236}">
              <a16:creationId xmlns="" xmlns:a16="http://schemas.microsoft.com/office/drawing/2014/main" id="{00000000-0008-0000-0000-0000B81F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21" name="Line 1269">
          <a:extLst>
            <a:ext uri="{FF2B5EF4-FFF2-40B4-BE49-F238E27FC236}">
              <a16:creationId xmlns="" xmlns:a16="http://schemas.microsoft.com/office/drawing/2014/main" id="{00000000-0008-0000-0000-0000B9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24" name="Line 1272">
          <a:extLst>
            <a:ext uri="{FF2B5EF4-FFF2-40B4-BE49-F238E27FC236}">
              <a16:creationId xmlns="" xmlns:a16="http://schemas.microsoft.com/office/drawing/2014/main" id="{00000000-0008-0000-0000-0000BC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8127" name="Line 1275">
          <a:extLst>
            <a:ext uri="{FF2B5EF4-FFF2-40B4-BE49-F238E27FC236}">
              <a16:creationId xmlns="" xmlns:a16="http://schemas.microsoft.com/office/drawing/2014/main" id="{00000000-0008-0000-0000-0000BF1F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28" name="Line 1276">
          <a:extLst>
            <a:ext uri="{FF2B5EF4-FFF2-40B4-BE49-F238E27FC236}">
              <a16:creationId xmlns="" xmlns:a16="http://schemas.microsoft.com/office/drawing/2014/main" id="{00000000-0008-0000-0000-0000C0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31" name="Line 1279">
          <a:extLst>
            <a:ext uri="{FF2B5EF4-FFF2-40B4-BE49-F238E27FC236}">
              <a16:creationId xmlns="" xmlns:a16="http://schemas.microsoft.com/office/drawing/2014/main" id="{00000000-0008-0000-0000-0000C3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8134" name="Line 1282">
          <a:extLst>
            <a:ext uri="{FF2B5EF4-FFF2-40B4-BE49-F238E27FC236}">
              <a16:creationId xmlns="" xmlns:a16="http://schemas.microsoft.com/office/drawing/2014/main" id="{00000000-0008-0000-0000-0000C61F0000}"/>
            </a:ext>
          </a:extLst>
        </xdr:cNvPr>
        <xdr:cNvSpPr>
          <a:spLocks noChangeShapeType="1"/>
        </xdr:cNvSpPr>
      </xdr:nvSpPr>
      <xdr:spPr bwMode="auto">
        <a:xfrm flipH="1">
          <a:off x="100793550" y="733425"/>
          <a:ext cx="110490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35" name="Line 1283">
          <a:extLst>
            <a:ext uri="{FF2B5EF4-FFF2-40B4-BE49-F238E27FC236}">
              <a16:creationId xmlns="" xmlns:a16="http://schemas.microsoft.com/office/drawing/2014/main" id="{00000000-0008-0000-0000-0000C7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8138" name="Line 1286">
          <a:extLst>
            <a:ext uri="{FF2B5EF4-FFF2-40B4-BE49-F238E27FC236}">
              <a16:creationId xmlns="" xmlns:a16="http://schemas.microsoft.com/office/drawing/2014/main" id="{00000000-0008-0000-0000-0000CA1F0000}"/>
            </a:ext>
          </a:extLst>
        </xdr:cNvPr>
        <xdr:cNvSpPr>
          <a:spLocks noChangeShapeType="1"/>
        </xdr:cNvSpPr>
      </xdr:nvSpPr>
      <xdr:spPr bwMode="auto">
        <a:xfrm flipH="1">
          <a:off x="100793550" y="64693800"/>
          <a:ext cx="110490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262" name="Line 1">
          <a:extLst>
            <a:ext uri="{FF2B5EF4-FFF2-40B4-BE49-F238E27FC236}">
              <a16:creationId xmlns="" xmlns:a16="http://schemas.microsoft.com/office/drawing/2014/main" id="{00000000-0008-0000-0000-0000EE04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1263" name="Line 2">
          <a:extLst>
            <a:ext uri="{FF2B5EF4-FFF2-40B4-BE49-F238E27FC236}">
              <a16:creationId xmlns="" xmlns:a16="http://schemas.microsoft.com/office/drawing/2014/main" id="{00000000-0008-0000-0000-0000EF04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1266" name="Line 5">
          <a:extLst>
            <a:ext uri="{FF2B5EF4-FFF2-40B4-BE49-F238E27FC236}">
              <a16:creationId xmlns="" xmlns:a16="http://schemas.microsoft.com/office/drawing/2014/main" id="{00000000-0008-0000-0000-0000F204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269" name="Line 659">
          <a:extLst>
            <a:ext uri="{FF2B5EF4-FFF2-40B4-BE49-F238E27FC236}">
              <a16:creationId xmlns="" xmlns:a16="http://schemas.microsoft.com/office/drawing/2014/main" id="{00000000-0008-0000-0000-0000F504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1270" name="Line 660">
          <a:extLst>
            <a:ext uri="{FF2B5EF4-FFF2-40B4-BE49-F238E27FC236}">
              <a16:creationId xmlns="" xmlns:a16="http://schemas.microsoft.com/office/drawing/2014/main" id="{00000000-0008-0000-0000-0000F604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92</xdr:row>
      <xdr:rowOff>19050</xdr:rowOff>
    </xdr:from>
    <xdr:to>
      <xdr:col>11</xdr:col>
      <xdr:colOff>47625</xdr:colOff>
      <xdr:row>94</xdr:row>
      <xdr:rowOff>9525</xdr:rowOff>
    </xdr:to>
    <xdr:sp macro="" textlink="">
      <xdr:nvSpPr>
        <xdr:cNvPr id="1273" name="Line 663">
          <a:extLst>
            <a:ext uri="{FF2B5EF4-FFF2-40B4-BE49-F238E27FC236}">
              <a16:creationId xmlns="" xmlns:a16="http://schemas.microsoft.com/office/drawing/2014/main" id="{00000000-0008-0000-0000-0000F904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276" name="Line 1">
          <a:extLst>
            <a:ext uri="{FF2B5EF4-FFF2-40B4-BE49-F238E27FC236}">
              <a16:creationId xmlns="" xmlns:a16="http://schemas.microsoft.com/office/drawing/2014/main" id="{00000000-0008-0000-0000-0000FC04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1277" name="Line 2">
          <a:extLst>
            <a:ext uri="{FF2B5EF4-FFF2-40B4-BE49-F238E27FC236}">
              <a16:creationId xmlns="" xmlns:a16="http://schemas.microsoft.com/office/drawing/2014/main" id="{00000000-0008-0000-0000-0000FD04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1280" name="Line 5">
          <a:extLst>
            <a:ext uri="{FF2B5EF4-FFF2-40B4-BE49-F238E27FC236}">
              <a16:creationId xmlns="" xmlns:a16="http://schemas.microsoft.com/office/drawing/2014/main" id="{00000000-0008-0000-0000-000000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283" name="Line 659">
          <a:extLst>
            <a:ext uri="{FF2B5EF4-FFF2-40B4-BE49-F238E27FC236}">
              <a16:creationId xmlns="" xmlns:a16="http://schemas.microsoft.com/office/drawing/2014/main" id="{00000000-0008-0000-0000-000003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1284" name="Line 660">
          <a:extLst>
            <a:ext uri="{FF2B5EF4-FFF2-40B4-BE49-F238E27FC236}">
              <a16:creationId xmlns="" xmlns:a16="http://schemas.microsoft.com/office/drawing/2014/main" id="{00000000-0008-0000-0000-000004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92</xdr:row>
      <xdr:rowOff>19050</xdr:rowOff>
    </xdr:from>
    <xdr:to>
      <xdr:col>19</xdr:col>
      <xdr:colOff>47625</xdr:colOff>
      <xdr:row>94</xdr:row>
      <xdr:rowOff>9525</xdr:rowOff>
    </xdr:to>
    <xdr:sp macro="" textlink="">
      <xdr:nvSpPr>
        <xdr:cNvPr id="1287" name="Line 663">
          <a:extLst>
            <a:ext uri="{FF2B5EF4-FFF2-40B4-BE49-F238E27FC236}">
              <a16:creationId xmlns="" xmlns:a16="http://schemas.microsoft.com/office/drawing/2014/main" id="{00000000-0008-0000-0000-000007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290" name="Line 1">
          <a:extLst>
            <a:ext uri="{FF2B5EF4-FFF2-40B4-BE49-F238E27FC236}">
              <a16:creationId xmlns="" xmlns:a16="http://schemas.microsoft.com/office/drawing/2014/main" id="{00000000-0008-0000-0000-00000A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1291" name="Line 2">
          <a:extLst>
            <a:ext uri="{FF2B5EF4-FFF2-40B4-BE49-F238E27FC236}">
              <a16:creationId xmlns="" xmlns:a16="http://schemas.microsoft.com/office/drawing/2014/main" id="{00000000-0008-0000-0000-00000B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1294" name="Line 5">
          <a:extLst>
            <a:ext uri="{FF2B5EF4-FFF2-40B4-BE49-F238E27FC236}">
              <a16:creationId xmlns="" xmlns:a16="http://schemas.microsoft.com/office/drawing/2014/main" id="{00000000-0008-0000-0000-00000E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297" name="Line 659">
          <a:extLst>
            <a:ext uri="{FF2B5EF4-FFF2-40B4-BE49-F238E27FC236}">
              <a16:creationId xmlns="" xmlns:a16="http://schemas.microsoft.com/office/drawing/2014/main" id="{00000000-0008-0000-0000-000011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1298" name="Line 660">
          <a:extLst>
            <a:ext uri="{FF2B5EF4-FFF2-40B4-BE49-F238E27FC236}">
              <a16:creationId xmlns="" xmlns:a16="http://schemas.microsoft.com/office/drawing/2014/main" id="{00000000-0008-0000-0000-000012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92</xdr:row>
      <xdr:rowOff>19050</xdr:rowOff>
    </xdr:from>
    <xdr:to>
      <xdr:col>27</xdr:col>
      <xdr:colOff>47625</xdr:colOff>
      <xdr:row>94</xdr:row>
      <xdr:rowOff>9525</xdr:rowOff>
    </xdr:to>
    <xdr:sp macro="" textlink="">
      <xdr:nvSpPr>
        <xdr:cNvPr id="1301" name="Line 663">
          <a:extLst>
            <a:ext uri="{FF2B5EF4-FFF2-40B4-BE49-F238E27FC236}">
              <a16:creationId xmlns="" xmlns:a16="http://schemas.microsoft.com/office/drawing/2014/main" id="{00000000-0008-0000-0000-000015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304" name="Line 1">
          <a:extLst>
            <a:ext uri="{FF2B5EF4-FFF2-40B4-BE49-F238E27FC236}">
              <a16:creationId xmlns="" xmlns:a16="http://schemas.microsoft.com/office/drawing/2014/main" id="{00000000-0008-0000-0000-000018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1305" name="Line 2">
          <a:extLst>
            <a:ext uri="{FF2B5EF4-FFF2-40B4-BE49-F238E27FC236}">
              <a16:creationId xmlns="" xmlns:a16="http://schemas.microsoft.com/office/drawing/2014/main" id="{00000000-0008-0000-0000-000019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1308" name="Line 5">
          <a:extLst>
            <a:ext uri="{FF2B5EF4-FFF2-40B4-BE49-F238E27FC236}">
              <a16:creationId xmlns="" xmlns:a16="http://schemas.microsoft.com/office/drawing/2014/main" id="{00000000-0008-0000-0000-00001C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311" name="Line 659">
          <a:extLst>
            <a:ext uri="{FF2B5EF4-FFF2-40B4-BE49-F238E27FC236}">
              <a16:creationId xmlns="" xmlns:a16="http://schemas.microsoft.com/office/drawing/2014/main" id="{00000000-0008-0000-0000-00001F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1312" name="Line 660">
          <a:extLst>
            <a:ext uri="{FF2B5EF4-FFF2-40B4-BE49-F238E27FC236}">
              <a16:creationId xmlns="" xmlns:a16="http://schemas.microsoft.com/office/drawing/2014/main" id="{00000000-0008-0000-0000-000020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92</xdr:row>
      <xdr:rowOff>19050</xdr:rowOff>
    </xdr:from>
    <xdr:to>
      <xdr:col>35</xdr:col>
      <xdr:colOff>47625</xdr:colOff>
      <xdr:row>94</xdr:row>
      <xdr:rowOff>9525</xdr:rowOff>
    </xdr:to>
    <xdr:sp macro="" textlink="">
      <xdr:nvSpPr>
        <xdr:cNvPr id="1315" name="Line 663">
          <a:extLst>
            <a:ext uri="{FF2B5EF4-FFF2-40B4-BE49-F238E27FC236}">
              <a16:creationId xmlns="" xmlns:a16="http://schemas.microsoft.com/office/drawing/2014/main" id="{00000000-0008-0000-0000-000023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318" name="Line 1">
          <a:extLst>
            <a:ext uri="{FF2B5EF4-FFF2-40B4-BE49-F238E27FC236}">
              <a16:creationId xmlns="" xmlns:a16="http://schemas.microsoft.com/office/drawing/2014/main" id="{00000000-0008-0000-0000-000026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1319" name="Line 2">
          <a:extLst>
            <a:ext uri="{FF2B5EF4-FFF2-40B4-BE49-F238E27FC236}">
              <a16:creationId xmlns="" xmlns:a16="http://schemas.microsoft.com/office/drawing/2014/main" id="{00000000-0008-0000-0000-000027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1322" name="Line 5">
          <a:extLst>
            <a:ext uri="{FF2B5EF4-FFF2-40B4-BE49-F238E27FC236}">
              <a16:creationId xmlns="" xmlns:a16="http://schemas.microsoft.com/office/drawing/2014/main" id="{00000000-0008-0000-0000-00002A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325" name="Line 659">
          <a:extLst>
            <a:ext uri="{FF2B5EF4-FFF2-40B4-BE49-F238E27FC236}">
              <a16:creationId xmlns="" xmlns:a16="http://schemas.microsoft.com/office/drawing/2014/main" id="{00000000-0008-0000-0000-00002D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1326" name="Line 660">
          <a:extLst>
            <a:ext uri="{FF2B5EF4-FFF2-40B4-BE49-F238E27FC236}">
              <a16:creationId xmlns="" xmlns:a16="http://schemas.microsoft.com/office/drawing/2014/main" id="{00000000-0008-0000-0000-00002E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92</xdr:row>
      <xdr:rowOff>19050</xdr:rowOff>
    </xdr:from>
    <xdr:to>
      <xdr:col>43</xdr:col>
      <xdr:colOff>47625</xdr:colOff>
      <xdr:row>94</xdr:row>
      <xdr:rowOff>9525</xdr:rowOff>
    </xdr:to>
    <xdr:sp macro="" textlink="">
      <xdr:nvSpPr>
        <xdr:cNvPr id="1329" name="Line 663">
          <a:extLst>
            <a:ext uri="{FF2B5EF4-FFF2-40B4-BE49-F238E27FC236}">
              <a16:creationId xmlns="" xmlns:a16="http://schemas.microsoft.com/office/drawing/2014/main" id="{00000000-0008-0000-0000-000031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332" name="Line 1">
          <a:extLst>
            <a:ext uri="{FF2B5EF4-FFF2-40B4-BE49-F238E27FC236}">
              <a16:creationId xmlns="" xmlns:a16="http://schemas.microsoft.com/office/drawing/2014/main" id="{00000000-0008-0000-0000-000034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1333" name="Line 2">
          <a:extLst>
            <a:ext uri="{FF2B5EF4-FFF2-40B4-BE49-F238E27FC236}">
              <a16:creationId xmlns="" xmlns:a16="http://schemas.microsoft.com/office/drawing/2014/main" id="{00000000-0008-0000-0000-000035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1336" name="Line 5">
          <a:extLst>
            <a:ext uri="{FF2B5EF4-FFF2-40B4-BE49-F238E27FC236}">
              <a16:creationId xmlns="" xmlns:a16="http://schemas.microsoft.com/office/drawing/2014/main" id="{00000000-0008-0000-0000-000038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339" name="Line 659">
          <a:extLst>
            <a:ext uri="{FF2B5EF4-FFF2-40B4-BE49-F238E27FC236}">
              <a16:creationId xmlns="" xmlns:a16="http://schemas.microsoft.com/office/drawing/2014/main" id="{00000000-0008-0000-0000-00003B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1340" name="Line 660">
          <a:extLst>
            <a:ext uri="{FF2B5EF4-FFF2-40B4-BE49-F238E27FC236}">
              <a16:creationId xmlns="" xmlns:a16="http://schemas.microsoft.com/office/drawing/2014/main" id="{00000000-0008-0000-0000-00003C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92</xdr:row>
      <xdr:rowOff>19050</xdr:rowOff>
    </xdr:from>
    <xdr:to>
      <xdr:col>51</xdr:col>
      <xdr:colOff>47625</xdr:colOff>
      <xdr:row>94</xdr:row>
      <xdr:rowOff>9525</xdr:rowOff>
    </xdr:to>
    <xdr:sp macro="" textlink="">
      <xdr:nvSpPr>
        <xdr:cNvPr id="1343" name="Line 663">
          <a:extLst>
            <a:ext uri="{FF2B5EF4-FFF2-40B4-BE49-F238E27FC236}">
              <a16:creationId xmlns="" xmlns:a16="http://schemas.microsoft.com/office/drawing/2014/main" id="{00000000-0008-0000-0000-00003F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1346" name="Line 1">
          <a:extLst>
            <a:ext uri="{FF2B5EF4-FFF2-40B4-BE49-F238E27FC236}">
              <a16:creationId xmlns="" xmlns:a16="http://schemas.microsoft.com/office/drawing/2014/main" id="{00000000-0008-0000-0000-000042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1347" name="Line 2">
          <a:extLst>
            <a:ext uri="{FF2B5EF4-FFF2-40B4-BE49-F238E27FC236}">
              <a16:creationId xmlns="" xmlns:a16="http://schemas.microsoft.com/office/drawing/2014/main" id="{00000000-0008-0000-0000-000043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1350" name="Line 5">
          <a:extLst>
            <a:ext uri="{FF2B5EF4-FFF2-40B4-BE49-F238E27FC236}">
              <a16:creationId xmlns="" xmlns:a16="http://schemas.microsoft.com/office/drawing/2014/main" id="{00000000-0008-0000-0000-000046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1353" name="Line 659">
          <a:extLst>
            <a:ext uri="{FF2B5EF4-FFF2-40B4-BE49-F238E27FC236}">
              <a16:creationId xmlns="" xmlns:a16="http://schemas.microsoft.com/office/drawing/2014/main" id="{00000000-0008-0000-0000-000049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1354" name="Line 660">
          <a:extLst>
            <a:ext uri="{FF2B5EF4-FFF2-40B4-BE49-F238E27FC236}">
              <a16:creationId xmlns="" xmlns:a16="http://schemas.microsoft.com/office/drawing/2014/main" id="{00000000-0008-0000-0000-00004A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92</xdr:row>
      <xdr:rowOff>19050</xdr:rowOff>
    </xdr:from>
    <xdr:to>
      <xdr:col>59</xdr:col>
      <xdr:colOff>47625</xdr:colOff>
      <xdr:row>94</xdr:row>
      <xdr:rowOff>9525</xdr:rowOff>
    </xdr:to>
    <xdr:sp macro="" textlink="">
      <xdr:nvSpPr>
        <xdr:cNvPr id="1357" name="Line 663">
          <a:extLst>
            <a:ext uri="{FF2B5EF4-FFF2-40B4-BE49-F238E27FC236}">
              <a16:creationId xmlns="" xmlns:a16="http://schemas.microsoft.com/office/drawing/2014/main" id="{00000000-0008-0000-0000-00004D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1360" name="Line 1">
          <a:extLst>
            <a:ext uri="{FF2B5EF4-FFF2-40B4-BE49-F238E27FC236}">
              <a16:creationId xmlns="" xmlns:a16="http://schemas.microsoft.com/office/drawing/2014/main" id="{00000000-0008-0000-0000-000050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1361" name="Line 2">
          <a:extLst>
            <a:ext uri="{FF2B5EF4-FFF2-40B4-BE49-F238E27FC236}">
              <a16:creationId xmlns="" xmlns:a16="http://schemas.microsoft.com/office/drawing/2014/main" id="{00000000-0008-0000-0000-000051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1364" name="Line 5">
          <a:extLst>
            <a:ext uri="{FF2B5EF4-FFF2-40B4-BE49-F238E27FC236}">
              <a16:creationId xmlns="" xmlns:a16="http://schemas.microsoft.com/office/drawing/2014/main" id="{00000000-0008-0000-0000-000054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1367" name="Line 659">
          <a:extLst>
            <a:ext uri="{FF2B5EF4-FFF2-40B4-BE49-F238E27FC236}">
              <a16:creationId xmlns="" xmlns:a16="http://schemas.microsoft.com/office/drawing/2014/main" id="{00000000-0008-0000-0000-000057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1368" name="Line 660">
          <a:extLst>
            <a:ext uri="{FF2B5EF4-FFF2-40B4-BE49-F238E27FC236}">
              <a16:creationId xmlns="" xmlns:a16="http://schemas.microsoft.com/office/drawing/2014/main" id="{00000000-0008-0000-0000-000058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92</xdr:row>
      <xdr:rowOff>19050</xdr:rowOff>
    </xdr:from>
    <xdr:to>
      <xdr:col>67</xdr:col>
      <xdr:colOff>47625</xdr:colOff>
      <xdr:row>94</xdr:row>
      <xdr:rowOff>9525</xdr:rowOff>
    </xdr:to>
    <xdr:sp macro="" textlink="">
      <xdr:nvSpPr>
        <xdr:cNvPr id="1371" name="Line 663">
          <a:extLst>
            <a:ext uri="{FF2B5EF4-FFF2-40B4-BE49-F238E27FC236}">
              <a16:creationId xmlns="" xmlns:a16="http://schemas.microsoft.com/office/drawing/2014/main" id="{00000000-0008-0000-0000-00005B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1374" name="Line 1">
          <a:extLst>
            <a:ext uri="{FF2B5EF4-FFF2-40B4-BE49-F238E27FC236}">
              <a16:creationId xmlns="" xmlns:a16="http://schemas.microsoft.com/office/drawing/2014/main" id="{00000000-0008-0000-0000-00005E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1375" name="Line 2">
          <a:extLst>
            <a:ext uri="{FF2B5EF4-FFF2-40B4-BE49-F238E27FC236}">
              <a16:creationId xmlns="" xmlns:a16="http://schemas.microsoft.com/office/drawing/2014/main" id="{00000000-0008-0000-0000-00005F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1378" name="Line 5">
          <a:extLst>
            <a:ext uri="{FF2B5EF4-FFF2-40B4-BE49-F238E27FC236}">
              <a16:creationId xmlns="" xmlns:a16="http://schemas.microsoft.com/office/drawing/2014/main" id="{00000000-0008-0000-0000-000062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1381" name="Line 659">
          <a:extLst>
            <a:ext uri="{FF2B5EF4-FFF2-40B4-BE49-F238E27FC236}">
              <a16:creationId xmlns="" xmlns:a16="http://schemas.microsoft.com/office/drawing/2014/main" id="{00000000-0008-0000-0000-000065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1382" name="Line 660">
          <a:extLst>
            <a:ext uri="{FF2B5EF4-FFF2-40B4-BE49-F238E27FC236}">
              <a16:creationId xmlns="" xmlns:a16="http://schemas.microsoft.com/office/drawing/2014/main" id="{00000000-0008-0000-0000-000066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92</xdr:row>
      <xdr:rowOff>19050</xdr:rowOff>
    </xdr:from>
    <xdr:to>
      <xdr:col>75</xdr:col>
      <xdr:colOff>47625</xdr:colOff>
      <xdr:row>94</xdr:row>
      <xdr:rowOff>9525</xdr:rowOff>
    </xdr:to>
    <xdr:sp macro="" textlink="">
      <xdr:nvSpPr>
        <xdr:cNvPr id="1385" name="Line 663">
          <a:extLst>
            <a:ext uri="{FF2B5EF4-FFF2-40B4-BE49-F238E27FC236}">
              <a16:creationId xmlns="" xmlns:a16="http://schemas.microsoft.com/office/drawing/2014/main" id="{00000000-0008-0000-0000-000069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1388" name="Line 1">
          <a:extLst>
            <a:ext uri="{FF2B5EF4-FFF2-40B4-BE49-F238E27FC236}">
              <a16:creationId xmlns="" xmlns:a16="http://schemas.microsoft.com/office/drawing/2014/main" id="{00000000-0008-0000-0000-00006C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1389" name="Line 2">
          <a:extLst>
            <a:ext uri="{FF2B5EF4-FFF2-40B4-BE49-F238E27FC236}">
              <a16:creationId xmlns="" xmlns:a16="http://schemas.microsoft.com/office/drawing/2014/main" id="{00000000-0008-0000-0000-00006D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1392" name="Line 5">
          <a:extLst>
            <a:ext uri="{FF2B5EF4-FFF2-40B4-BE49-F238E27FC236}">
              <a16:creationId xmlns="" xmlns:a16="http://schemas.microsoft.com/office/drawing/2014/main" id="{00000000-0008-0000-0000-000070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1395" name="Line 659">
          <a:extLst>
            <a:ext uri="{FF2B5EF4-FFF2-40B4-BE49-F238E27FC236}">
              <a16:creationId xmlns="" xmlns:a16="http://schemas.microsoft.com/office/drawing/2014/main" id="{00000000-0008-0000-0000-000073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1396" name="Line 660">
          <a:extLst>
            <a:ext uri="{FF2B5EF4-FFF2-40B4-BE49-F238E27FC236}">
              <a16:creationId xmlns="" xmlns:a16="http://schemas.microsoft.com/office/drawing/2014/main" id="{00000000-0008-0000-0000-000074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92</xdr:row>
      <xdr:rowOff>19050</xdr:rowOff>
    </xdr:from>
    <xdr:to>
      <xdr:col>83</xdr:col>
      <xdr:colOff>47625</xdr:colOff>
      <xdr:row>94</xdr:row>
      <xdr:rowOff>9525</xdr:rowOff>
    </xdr:to>
    <xdr:sp macro="" textlink="">
      <xdr:nvSpPr>
        <xdr:cNvPr id="1399" name="Line 663">
          <a:extLst>
            <a:ext uri="{FF2B5EF4-FFF2-40B4-BE49-F238E27FC236}">
              <a16:creationId xmlns="" xmlns:a16="http://schemas.microsoft.com/office/drawing/2014/main" id="{00000000-0008-0000-0000-000077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1402" name="Line 1">
          <a:extLst>
            <a:ext uri="{FF2B5EF4-FFF2-40B4-BE49-F238E27FC236}">
              <a16:creationId xmlns="" xmlns:a16="http://schemas.microsoft.com/office/drawing/2014/main" id="{00000000-0008-0000-0000-00007A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1403" name="Line 2">
          <a:extLst>
            <a:ext uri="{FF2B5EF4-FFF2-40B4-BE49-F238E27FC236}">
              <a16:creationId xmlns="" xmlns:a16="http://schemas.microsoft.com/office/drawing/2014/main" id="{00000000-0008-0000-0000-00007B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1406" name="Line 5">
          <a:extLst>
            <a:ext uri="{FF2B5EF4-FFF2-40B4-BE49-F238E27FC236}">
              <a16:creationId xmlns="" xmlns:a16="http://schemas.microsoft.com/office/drawing/2014/main" id="{00000000-0008-0000-0000-00007E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1409" name="Line 659">
          <a:extLst>
            <a:ext uri="{FF2B5EF4-FFF2-40B4-BE49-F238E27FC236}">
              <a16:creationId xmlns="" xmlns:a16="http://schemas.microsoft.com/office/drawing/2014/main" id="{00000000-0008-0000-0000-000081050000}"/>
            </a:ext>
          </a:extLst>
        </xdr:cNvPr>
        <xdr:cNvSpPr>
          <a:spLocks noChangeShapeType="1"/>
        </xdr:cNvSpPr>
      </xdr:nvSpPr>
      <xdr:spPr bwMode="auto">
        <a:xfrm flipH="1">
          <a:off x="9982295250" y="7620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1410" name="Line 660">
          <a:extLst>
            <a:ext uri="{FF2B5EF4-FFF2-40B4-BE49-F238E27FC236}">
              <a16:creationId xmlns="" xmlns:a16="http://schemas.microsoft.com/office/drawing/2014/main" id="{00000000-0008-0000-0000-000082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92</xdr:row>
      <xdr:rowOff>19050</xdr:rowOff>
    </xdr:from>
    <xdr:to>
      <xdr:col>91</xdr:col>
      <xdr:colOff>47625</xdr:colOff>
      <xdr:row>94</xdr:row>
      <xdr:rowOff>9525</xdr:rowOff>
    </xdr:to>
    <xdr:sp macro="" textlink="">
      <xdr:nvSpPr>
        <xdr:cNvPr id="1413" name="Line 663">
          <a:extLst>
            <a:ext uri="{FF2B5EF4-FFF2-40B4-BE49-F238E27FC236}">
              <a16:creationId xmlns="" xmlns:a16="http://schemas.microsoft.com/office/drawing/2014/main" id="{00000000-0008-0000-0000-000085050000}"/>
            </a:ext>
          </a:extLst>
        </xdr:cNvPr>
        <xdr:cNvSpPr>
          <a:spLocks noChangeShapeType="1"/>
        </xdr:cNvSpPr>
      </xdr:nvSpPr>
      <xdr:spPr bwMode="auto">
        <a:xfrm flipH="1">
          <a:off x="9982295250" y="86944200"/>
          <a:ext cx="13525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19050</xdr:rowOff>
    </xdr:from>
    <xdr:to>
      <xdr:col>3</xdr:col>
      <xdr:colOff>47625</xdr:colOff>
      <xdr:row>5</xdr:row>
      <xdr:rowOff>9525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 flipH="1">
          <a:off x="149693757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3</xdr:row>
      <xdr:rowOff>19050</xdr:rowOff>
    </xdr:from>
    <xdr:to>
      <xdr:col>3</xdr:col>
      <xdr:colOff>47625</xdr:colOff>
      <xdr:row>5</xdr:row>
      <xdr:rowOff>9525</xdr:rowOff>
    </xdr:to>
    <xdr:sp macro="" textlink="">
      <xdr:nvSpPr>
        <xdr:cNvPr id="3" name="Lin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149693757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0" name="Line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>
          <a:spLocks noChangeShapeType="1"/>
        </xdr:cNvSpPr>
      </xdr:nvSpPr>
      <xdr:spPr bwMode="auto">
        <a:xfrm flipH="1">
          <a:off x="149628225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1" name="Lin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 flipH="1">
          <a:off x="149628225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8" name="Line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9" name="Line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26" name="Lin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27" name="Lin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34" name="Line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35" name="Line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42" name="Line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43" name="Lin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50" name="Line 49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51" name="Line 50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58" name="Line 57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59" name="Line 58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66" name="Line 65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67" name="Line 66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4" name="Line 7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75" name="Line 74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2" name="Line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83" name="Line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90" name="Line 89">
          <a:extLst>
            <a:ext uri="{FF2B5EF4-FFF2-40B4-BE49-F238E27FC236}">
              <a16:creationId xmlns="" xmlns:a16="http://schemas.microsoft.com/office/drawing/2014/main" id="{00000000-0008-0000-0100-00005A00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91" name="Line 90">
          <a:extLst>
            <a:ext uri="{FF2B5EF4-FFF2-40B4-BE49-F238E27FC236}">
              <a16:creationId xmlns="" xmlns:a16="http://schemas.microsoft.com/office/drawing/2014/main" id="{00000000-0008-0000-0100-00005B00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3</xdr:row>
      <xdr:rowOff>19050</xdr:rowOff>
    </xdr:from>
    <xdr:to>
      <xdr:col>99</xdr:col>
      <xdr:colOff>47625</xdr:colOff>
      <xdr:row>5</xdr:row>
      <xdr:rowOff>9525</xdr:rowOff>
    </xdr:to>
    <xdr:sp macro="" textlink="">
      <xdr:nvSpPr>
        <xdr:cNvPr id="98" name="Line 97">
          <a:extLst>
            <a:ext uri="{FF2B5EF4-FFF2-40B4-BE49-F238E27FC236}">
              <a16:creationId xmlns="" xmlns:a16="http://schemas.microsoft.com/office/drawing/2014/main" id="{00000000-0008-0000-0100-000062000000}"/>
            </a:ext>
          </a:extLst>
        </xdr:cNvPr>
        <xdr:cNvSpPr>
          <a:spLocks noChangeShapeType="1"/>
        </xdr:cNvSpPr>
      </xdr:nvSpPr>
      <xdr:spPr bwMode="auto">
        <a:xfrm flipH="1">
          <a:off x="148902134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47625</xdr:colOff>
      <xdr:row>3</xdr:row>
      <xdr:rowOff>19050</xdr:rowOff>
    </xdr:from>
    <xdr:to>
      <xdr:col>99</xdr:col>
      <xdr:colOff>47625</xdr:colOff>
      <xdr:row>5</xdr:row>
      <xdr:rowOff>9525</xdr:rowOff>
    </xdr:to>
    <xdr:sp macro="" textlink="">
      <xdr:nvSpPr>
        <xdr:cNvPr id="99" name="Line 98">
          <a:extLst>
            <a:ext uri="{FF2B5EF4-FFF2-40B4-BE49-F238E27FC236}">
              <a16:creationId xmlns="" xmlns:a16="http://schemas.microsoft.com/office/drawing/2014/main" id="{00000000-0008-0000-0100-000063000000}"/>
            </a:ext>
          </a:extLst>
        </xdr:cNvPr>
        <xdr:cNvSpPr>
          <a:spLocks noChangeShapeType="1"/>
        </xdr:cNvSpPr>
      </xdr:nvSpPr>
      <xdr:spPr bwMode="auto">
        <a:xfrm flipH="1">
          <a:off x="148902134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06" name="Line 105">
          <a:extLst>
            <a:ext uri="{FF2B5EF4-FFF2-40B4-BE49-F238E27FC236}">
              <a16:creationId xmlns="" xmlns:a16="http://schemas.microsoft.com/office/drawing/2014/main" id="{00000000-0008-0000-0100-00006A000000}"/>
            </a:ext>
          </a:extLst>
        </xdr:cNvPr>
        <xdr:cNvSpPr>
          <a:spLocks noChangeShapeType="1"/>
        </xdr:cNvSpPr>
      </xdr:nvSpPr>
      <xdr:spPr bwMode="auto">
        <a:xfrm flipH="1">
          <a:off x="149628225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47625</xdr:colOff>
      <xdr:row>5</xdr:row>
      <xdr:rowOff>9525</xdr:rowOff>
    </xdr:to>
    <xdr:sp macro="" textlink="">
      <xdr:nvSpPr>
        <xdr:cNvPr id="107" name="Line 106">
          <a:extLst>
            <a:ext uri="{FF2B5EF4-FFF2-40B4-BE49-F238E27FC236}">
              <a16:creationId xmlns="" xmlns:a16="http://schemas.microsoft.com/office/drawing/2014/main" id="{00000000-0008-0000-0100-00006B000000}"/>
            </a:ext>
          </a:extLst>
        </xdr:cNvPr>
        <xdr:cNvSpPr>
          <a:spLocks noChangeShapeType="1"/>
        </xdr:cNvSpPr>
      </xdr:nvSpPr>
      <xdr:spPr bwMode="auto">
        <a:xfrm flipH="1">
          <a:off x="149628225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14" name="Line 113">
          <a:extLst>
            <a:ext uri="{FF2B5EF4-FFF2-40B4-BE49-F238E27FC236}">
              <a16:creationId xmlns="" xmlns:a16="http://schemas.microsoft.com/office/drawing/2014/main" id="{00000000-0008-0000-0100-000072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15" name="Line 114">
          <a:extLst>
            <a:ext uri="{FF2B5EF4-FFF2-40B4-BE49-F238E27FC236}">
              <a16:creationId xmlns="" xmlns:a16="http://schemas.microsoft.com/office/drawing/2014/main" id="{00000000-0008-0000-0100-000073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22" name="Line 121">
          <a:extLst>
            <a:ext uri="{FF2B5EF4-FFF2-40B4-BE49-F238E27FC236}">
              <a16:creationId xmlns="" xmlns:a16="http://schemas.microsoft.com/office/drawing/2014/main" id="{00000000-0008-0000-0100-00007A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3</xdr:row>
      <xdr:rowOff>19050</xdr:rowOff>
    </xdr:from>
    <xdr:to>
      <xdr:col>19</xdr:col>
      <xdr:colOff>47625</xdr:colOff>
      <xdr:row>5</xdr:row>
      <xdr:rowOff>9525</xdr:rowOff>
    </xdr:to>
    <xdr:sp macro="" textlink="">
      <xdr:nvSpPr>
        <xdr:cNvPr id="123" name="Line 122">
          <a:extLst>
            <a:ext uri="{FF2B5EF4-FFF2-40B4-BE49-F238E27FC236}">
              <a16:creationId xmlns="" xmlns:a16="http://schemas.microsoft.com/office/drawing/2014/main" id="{00000000-0008-0000-0100-00007B000000}"/>
            </a:ext>
          </a:extLst>
        </xdr:cNvPr>
        <xdr:cNvSpPr>
          <a:spLocks noChangeShapeType="1"/>
        </xdr:cNvSpPr>
      </xdr:nvSpPr>
      <xdr:spPr bwMode="auto">
        <a:xfrm flipH="1">
          <a:off x="149562597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30" name="Line 129">
          <a:extLst>
            <a:ext uri="{FF2B5EF4-FFF2-40B4-BE49-F238E27FC236}">
              <a16:creationId xmlns="" xmlns:a16="http://schemas.microsoft.com/office/drawing/2014/main" id="{00000000-0008-0000-0100-000082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31" name="Line 130">
          <a:extLst>
            <a:ext uri="{FF2B5EF4-FFF2-40B4-BE49-F238E27FC236}">
              <a16:creationId xmlns="" xmlns:a16="http://schemas.microsoft.com/office/drawing/2014/main" id="{00000000-0008-0000-0100-000083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38" name="Line 137">
          <a:extLst>
            <a:ext uri="{FF2B5EF4-FFF2-40B4-BE49-F238E27FC236}">
              <a16:creationId xmlns="" xmlns:a16="http://schemas.microsoft.com/office/drawing/2014/main" id="{00000000-0008-0000-0100-00008A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3</xdr:row>
      <xdr:rowOff>19050</xdr:rowOff>
    </xdr:from>
    <xdr:to>
      <xdr:col>27</xdr:col>
      <xdr:colOff>47625</xdr:colOff>
      <xdr:row>5</xdr:row>
      <xdr:rowOff>9525</xdr:rowOff>
    </xdr:to>
    <xdr:sp macro="" textlink="">
      <xdr:nvSpPr>
        <xdr:cNvPr id="139" name="Line 138">
          <a:extLst>
            <a:ext uri="{FF2B5EF4-FFF2-40B4-BE49-F238E27FC236}">
              <a16:creationId xmlns=""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 flipH="1">
          <a:off x="149496970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46" name="Line 145">
          <a:extLst>
            <a:ext uri="{FF2B5EF4-FFF2-40B4-BE49-F238E27FC236}">
              <a16:creationId xmlns=""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47" name="Line 146">
          <a:extLst>
            <a:ext uri="{FF2B5EF4-FFF2-40B4-BE49-F238E27FC236}">
              <a16:creationId xmlns=""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54" name="Line 153">
          <a:extLst>
            <a:ext uri="{FF2B5EF4-FFF2-40B4-BE49-F238E27FC236}">
              <a16:creationId xmlns="" xmlns:a16="http://schemas.microsoft.com/office/drawing/2014/main" id="{00000000-0008-0000-0100-00009A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3</xdr:row>
      <xdr:rowOff>19050</xdr:rowOff>
    </xdr:from>
    <xdr:to>
      <xdr:col>35</xdr:col>
      <xdr:colOff>47625</xdr:colOff>
      <xdr:row>5</xdr:row>
      <xdr:rowOff>9525</xdr:rowOff>
    </xdr:to>
    <xdr:sp macro="" textlink="">
      <xdr:nvSpPr>
        <xdr:cNvPr id="155" name="Line 154">
          <a:extLst>
            <a:ext uri="{FF2B5EF4-FFF2-40B4-BE49-F238E27FC236}">
              <a16:creationId xmlns="" xmlns:a16="http://schemas.microsoft.com/office/drawing/2014/main" id="{00000000-0008-0000-0100-00009B000000}"/>
            </a:ext>
          </a:extLst>
        </xdr:cNvPr>
        <xdr:cNvSpPr>
          <a:spLocks noChangeShapeType="1"/>
        </xdr:cNvSpPr>
      </xdr:nvSpPr>
      <xdr:spPr bwMode="auto">
        <a:xfrm flipH="1">
          <a:off x="1494306765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62" name="Line 161">
          <a:extLst>
            <a:ext uri="{FF2B5EF4-FFF2-40B4-BE49-F238E27FC236}">
              <a16:creationId xmlns=""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63" name="Line 162">
          <a:extLst>
            <a:ext uri="{FF2B5EF4-FFF2-40B4-BE49-F238E27FC236}">
              <a16:creationId xmlns="" xmlns:a16="http://schemas.microsoft.com/office/drawing/2014/main" id="{00000000-0008-0000-0100-0000A3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70" name="Line 169">
          <a:extLst>
            <a:ext uri="{FF2B5EF4-FFF2-40B4-BE49-F238E27FC236}">
              <a16:creationId xmlns="" xmlns:a16="http://schemas.microsoft.com/office/drawing/2014/main" id="{00000000-0008-0000-0100-0000AA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3</xdr:row>
      <xdr:rowOff>19050</xdr:rowOff>
    </xdr:from>
    <xdr:to>
      <xdr:col>43</xdr:col>
      <xdr:colOff>47625</xdr:colOff>
      <xdr:row>5</xdr:row>
      <xdr:rowOff>9525</xdr:rowOff>
    </xdr:to>
    <xdr:sp macro="" textlink="">
      <xdr:nvSpPr>
        <xdr:cNvPr id="171" name="Line 170">
          <a:extLst>
            <a:ext uri="{FF2B5EF4-FFF2-40B4-BE49-F238E27FC236}">
              <a16:creationId xmlns="" xmlns:a16="http://schemas.microsoft.com/office/drawing/2014/main" id="{00000000-0008-0000-0100-0000AB000000}"/>
            </a:ext>
          </a:extLst>
        </xdr:cNvPr>
        <xdr:cNvSpPr>
          <a:spLocks noChangeShapeType="1"/>
        </xdr:cNvSpPr>
      </xdr:nvSpPr>
      <xdr:spPr bwMode="auto">
        <a:xfrm flipH="1">
          <a:off x="149364954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78" name="Line 177">
          <a:extLst>
            <a:ext uri="{FF2B5EF4-FFF2-40B4-BE49-F238E27FC236}">
              <a16:creationId xmlns=""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79" name="Line 178">
          <a:extLst>
            <a:ext uri="{FF2B5EF4-FFF2-40B4-BE49-F238E27FC236}">
              <a16:creationId xmlns="" xmlns:a16="http://schemas.microsoft.com/office/drawing/2014/main" id="{00000000-0008-0000-0100-0000B3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86" name="Line 185">
          <a:extLst>
            <a:ext uri="{FF2B5EF4-FFF2-40B4-BE49-F238E27FC236}">
              <a16:creationId xmlns=""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3</xdr:row>
      <xdr:rowOff>19050</xdr:rowOff>
    </xdr:from>
    <xdr:to>
      <xdr:col>51</xdr:col>
      <xdr:colOff>47625</xdr:colOff>
      <xdr:row>5</xdr:row>
      <xdr:rowOff>9525</xdr:rowOff>
    </xdr:to>
    <xdr:sp macro="" textlink="">
      <xdr:nvSpPr>
        <xdr:cNvPr id="187" name="Line 186">
          <a:extLst>
            <a:ext uri="{FF2B5EF4-FFF2-40B4-BE49-F238E27FC236}">
              <a16:creationId xmlns=""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H="1">
          <a:off x="149298945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194" name="Line 193">
          <a:extLst>
            <a:ext uri="{FF2B5EF4-FFF2-40B4-BE49-F238E27FC236}">
              <a16:creationId xmlns="" xmlns:a16="http://schemas.microsoft.com/office/drawing/2014/main" id="{00000000-0008-0000-0100-0000C2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195" name="Line 194">
          <a:extLst>
            <a:ext uri="{FF2B5EF4-FFF2-40B4-BE49-F238E27FC236}">
              <a16:creationId xmlns="" xmlns:a16="http://schemas.microsoft.com/office/drawing/2014/main" id="{00000000-0008-0000-0100-0000C3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202" name="Line 201">
          <a:extLst>
            <a:ext uri="{FF2B5EF4-FFF2-40B4-BE49-F238E27FC236}">
              <a16:creationId xmlns="" xmlns:a16="http://schemas.microsoft.com/office/drawing/2014/main" id="{00000000-0008-0000-0100-0000CA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47625</xdr:colOff>
      <xdr:row>3</xdr:row>
      <xdr:rowOff>19050</xdr:rowOff>
    </xdr:from>
    <xdr:to>
      <xdr:col>59</xdr:col>
      <xdr:colOff>47625</xdr:colOff>
      <xdr:row>5</xdr:row>
      <xdr:rowOff>9525</xdr:rowOff>
    </xdr:to>
    <xdr:sp macro="" textlink="">
      <xdr:nvSpPr>
        <xdr:cNvPr id="203" name="Line 202">
          <a:extLst>
            <a:ext uri="{FF2B5EF4-FFF2-40B4-BE49-F238E27FC236}">
              <a16:creationId xmlns="" xmlns:a16="http://schemas.microsoft.com/office/drawing/2014/main" id="{00000000-0008-0000-0100-0000CB000000}"/>
            </a:ext>
          </a:extLst>
        </xdr:cNvPr>
        <xdr:cNvSpPr>
          <a:spLocks noChangeShapeType="1"/>
        </xdr:cNvSpPr>
      </xdr:nvSpPr>
      <xdr:spPr bwMode="auto">
        <a:xfrm flipH="1">
          <a:off x="149233223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210" name="Line 209">
          <a:extLst>
            <a:ext uri="{FF2B5EF4-FFF2-40B4-BE49-F238E27FC236}">
              <a16:creationId xmlns="" xmlns:a16="http://schemas.microsoft.com/office/drawing/2014/main" id="{00000000-0008-0000-0100-0000D2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211" name="Line 210">
          <a:extLst>
            <a:ext uri="{FF2B5EF4-FFF2-40B4-BE49-F238E27FC236}">
              <a16:creationId xmlns="" xmlns:a16="http://schemas.microsoft.com/office/drawing/2014/main" id="{00000000-0008-0000-0100-0000D3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218" name="Line 217">
          <a:extLst>
            <a:ext uri="{FF2B5EF4-FFF2-40B4-BE49-F238E27FC236}">
              <a16:creationId xmlns="" xmlns:a16="http://schemas.microsoft.com/office/drawing/2014/main" id="{00000000-0008-0000-0100-0000DA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47625</xdr:colOff>
      <xdr:row>3</xdr:row>
      <xdr:rowOff>19050</xdr:rowOff>
    </xdr:from>
    <xdr:to>
      <xdr:col>67</xdr:col>
      <xdr:colOff>47625</xdr:colOff>
      <xdr:row>5</xdr:row>
      <xdr:rowOff>9525</xdr:rowOff>
    </xdr:to>
    <xdr:sp macro="" textlink="">
      <xdr:nvSpPr>
        <xdr:cNvPr id="219" name="Line 218">
          <a:extLst>
            <a:ext uri="{FF2B5EF4-FFF2-40B4-BE49-F238E27FC236}">
              <a16:creationId xmlns="" xmlns:a16="http://schemas.microsoft.com/office/drawing/2014/main" id="{00000000-0008-0000-0100-0000DB000000}"/>
            </a:ext>
          </a:extLst>
        </xdr:cNvPr>
        <xdr:cNvSpPr>
          <a:spLocks noChangeShapeType="1"/>
        </xdr:cNvSpPr>
      </xdr:nvSpPr>
      <xdr:spPr bwMode="auto">
        <a:xfrm flipH="1">
          <a:off x="149167119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226" name="Line 225">
          <a:extLst>
            <a:ext uri="{FF2B5EF4-FFF2-40B4-BE49-F238E27FC236}">
              <a16:creationId xmlns="" xmlns:a16="http://schemas.microsoft.com/office/drawing/2014/main" id="{00000000-0008-0000-0100-0000E2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227" name="Line 226">
          <a:extLst>
            <a:ext uri="{FF2B5EF4-FFF2-40B4-BE49-F238E27FC236}">
              <a16:creationId xmlns="" xmlns:a16="http://schemas.microsoft.com/office/drawing/2014/main" id="{00000000-0008-0000-0100-0000E3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234" name="Line 233">
          <a:extLst>
            <a:ext uri="{FF2B5EF4-FFF2-40B4-BE49-F238E27FC236}">
              <a16:creationId xmlns="" xmlns:a16="http://schemas.microsoft.com/office/drawing/2014/main" id="{00000000-0008-0000-0100-0000EA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47625</xdr:colOff>
      <xdr:row>3</xdr:row>
      <xdr:rowOff>19050</xdr:rowOff>
    </xdr:from>
    <xdr:to>
      <xdr:col>75</xdr:col>
      <xdr:colOff>47625</xdr:colOff>
      <xdr:row>5</xdr:row>
      <xdr:rowOff>9525</xdr:rowOff>
    </xdr:to>
    <xdr:sp macro="" textlink="">
      <xdr:nvSpPr>
        <xdr:cNvPr id="235" name="Line 234">
          <a:extLst>
            <a:ext uri="{FF2B5EF4-FFF2-40B4-BE49-F238E27FC236}">
              <a16:creationId xmlns="" xmlns:a16="http://schemas.microsoft.com/office/drawing/2014/main" id="{00000000-0008-0000-0100-0000EB000000}"/>
            </a:ext>
          </a:extLst>
        </xdr:cNvPr>
        <xdr:cNvSpPr>
          <a:spLocks noChangeShapeType="1"/>
        </xdr:cNvSpPr>
      </xdr:nvSpPr>
      <xdr:spPr bwMode="auto">
        <a:xfrm flipH="1">
          <a:off x="1491010162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242" name="Line 241">
          <a:extLst>
            <a:ext uri="{FF2B5EF4-FFF2-40B4-BE49-F238E27FC236}">
              <a16:creationId xmlns="" xmlns:a16="http://schemas.microsoft.com/office/drawing/2014/main" id="{00000000-0008-0000-0100-0000F2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243" name="Line 242">
          <a:extLst>
            <a:ext uri="{FF2B5EF4-FFF2-40B4-BE49-F238E27FC236}">
              <a16:creationId xmlns="" xmlns:a16="http://schemas.microsoft.com/office/drawing/2014/main" id="{00000000-0008-0000-0100-0000F3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250" name="Line 249">
          <a:extLst>
            <a:ext uri="{FF2B5EF4-FFF2-40B4-BE49-F238E27FC236}">
              <a16:creationId xmlns="" xmlns:a16="http://schemas.microsoft.com/office/drawing/2014/main" id="{00000000-0008-0000-0100-0000FA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47625</xdr:colOff>
      <xdr:row>3</xdr:row>
      <xdr:rowOff>19050</xdr:rowOff>
    </xdr:from>
    <xdr:to>
      <xdr:col>83</xdr:col>
      <xdr:colOff>47625</xdr:colOff>
      <xdr:row>5</xdr:row>
      <xdr:rowOff>9525</xdr:rowOff>
    </xdr:to>
    <xdr:sp macro="" textlink="">
      <xdr:nvSpPr>
        <xdr:cNvPr id="251" name="Line 250">
          <a:extLst>
            <a:ext uri="{FF2B5EF4-FFF2-40B4-BE49-F238E27FC236}">
              <a16:creationId xmlns="" xmlns:a16="http://schemas.microsoft.com/office/drawing/2014/main" id="{00000000-0008-0000-0100-0000FB000000}"/>
            </a:ext>
          </a:extLst>
        </xdr:cNvPr>
        <xdr:cNvSpPr>
          <a:spLocks noChangeShapeType="1"/>
        </xdr:cNvSpPr>
      </xdr:nvSpPr>
      <xdr:spPr bwMode="auto">
        <a:xfrm flipH="1">
          <a:off x="14903500800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258" name="Line 257">
          <a:extLst>
            <a:ext uri="{FF2B5EF4-FFF2-40B4-BE49-F238E27FC236}">
              <a16:creationId xmlns="" xmlns:a16="http://schemas.microsoft.com/office/drawing/2014/main" id="{00000000-0008-0000-0100-00000201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259" name="Line 258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266" name="Line 265">
          <a:extLst>
            <a:ext uri="{FF2B5EF4-FFF2-40B4-BE49-F238E27FC236}">
              <a16:creationId xmlns="" xmlns:a16="http://schemas.microsoft.com/office/drawing/2014/main" id="{00000000-0008-0000-0100-00000A01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47625</xdr:colOff>
      <xdr:row>3</xdr:row>
      <xdr:rowOff>19050</xdr:rowOff>
    </xdr:from>
    <xdr:to>
      <xdr:col>91</xdr:col>
      <xdr:colOff>47625</xdr:colOff>
      <xdr:row>5</xdr:row>
      <xdr:rowOff>9525</xdr:rowOff>
    </xdr:to>
    <xdr:sp macro="" textlink="">
      <xdr:nvSpPr>
        <xdr:cNvPr id="267" name="Line 266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 flipH="1">
          <a:off x="14896861875" y="685800"/>
          <a:ext cx="182880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0;&#1585;&#1575;&#1581;&#1575;&#1578;%20,%20&#1594;&#1610;&#1575;&#1585;&#1575;&#157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جراحات , غيارات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443"/>
  <sheetViews>
    <sheetView rightToLeft="1" tabSelected="1" topLeftCell="BJ1" workbookViewId="0">
      <pane ySplit="2100" topLeftCell="A40" activePane="bottomLeft"/>
      <selection activeCell="AO2" sqref="AO2:AS2"/>
      <selection pane="bottomLeft" activeCell="BX41" sqref="BX41:CA60"/>
    </sheetView>
  </sheetViews>
  <sheetFormatPr defaultColWidth="9.140625" defaultRowHeight="20.100000000000001" customHeight="1" x14ac:dyDescent="0.25"/>
  <cols>
    <col min="1" max="1" width="11.42578125" style="38" customWidth="1"/>
    <col min="2" max="2" width="11" style="39" customWidth="1"/>
    <col min="3" max="3" width="9.28515625" style="39" customWidth="1"/>
    <col min="4" max="7" width="9.140625" style="39"/>
    <col min="8" max="8" width="3.85546875" style="68" customWidth="1"/>
    <col min="9" max="9" width="11" style="38" customWidth="1"/>
    <col min="10" max="10" width="9.140625" style="39"/>
    <col min="11" max="11" width="7.42578125" style="39" customWidth="1"/>
    <col min="12" max="13" width="9.140625" style="39"/>
    <col min="14" max="14" width="9.42578125" style="39" customWidth="1"/>
    <col min="15" max="15" width="9.140625" style="39"/>
    <col min="16" max="16" width="3.85546875" style="39" customWidth="1"/>
    <col min="17" max="17" width="11" style="38" customWidth="1"/>
    <col min="18" max="18" width="9.140625" style="39"/>
    <col min="19" max="19" width="7.42578125" style="39" customWidth="1"/>
    <col min="20" max="23" width="9.140625" style="39"/>
    <col min="24" max="24" width="3.85546875" style="39" customWidth="1"/>
    <col min="25" max="25" width="11" style="38" customWidth="1"/>
    <col min="26" max="26" width="9.140625" style="39"/>
    <col min="27" max="27" width="7.42578125" style="39" customWidth="1"/>
    <col min="28" max="29" width="9.140625" style="39"/>
    <col min="30" max="30" width="9.7109375" style="39" customWidth="1"/>
    <col min="31" max="31" width="9.140625" style="39"/>
    <col min="32" max="32" width="3.85546875" style="39" customWidth="1"/>
    <col min="33" max="33" width="11" style="38" customWidth="1"/>
    <col min="34" max="34" width="9.140625" style="39"/>
    <col min="35" max="35" width="7.42578125" style="39" customWidth="1"/>
    <col min="36" max="39" width="9.140625" style="39"/>
    <col min="40" max="40" width="3.85546875" style="39" customWidth="1"/>
    <col min="41" max="41" width="11" style="38" customWidth="1"/>
    <col min="42" max="42" width="9.140625" style="39"/>
    <col min="43" max="43" width="7.42578125" style="39" customWidth="1"/>
    <col min="44" max="47" width="9.140625" style="39"/>
    <col min="48" max="48" width="3.85546875" style="39" customWidth="1"/>
    <col min="49" max="49" width="11" style="38" customWidth="1"/>
    <col min="50" max="50" width="9.140625" style="39"/>
    <col min="51" max="51" width="7.42578125" style="39" customWidth="1"/>
    <col min="52" max="55" width="9.140625" style="39"/>
    <col min="56" max="56" width="3.85546875" style="39" customWidth="1"/>
    <col min="57" max="57" width="11" style="38" customWidth="1"/>
    <col min="58" max="58" width="9.140625" style="39"/>
    <col min="59" max="59" width="7.42578125" style="39" customWidth="1"/>
    <col min="60" max="63" width="9.140625" style="39"/>
    <col min="64" max="64" width="3.85546875" style="39" customWidth="1"/>
    <col min="65" max="65" width="11" style="38" customWidth="1"/>
    <col min="66" max="66" width="9.140625" style="39"/>
    <col min="67" max="67" width="7.42578125" style="39" customWidth="1"/>
    <col min="68" max="71" width="9.140625" style="39"/>
    <col min="72" max="72" width="3.85546875" style="39" customWidth="1"/>
    <col min="73" max="73" width="11" style="38" customWidth="1"/>
    <col min="74" max="74" width="9.140625" style="39"/>
    <col min="75" max="75" width="7.42578125" style="39" customWidth="1"/>
    <col min="76" max="79" width="9.140625" style="39"/>
    <col min="80" max="80" width="3.85546875" style="39" customWidth="1"/>
    <col min="81" max="81" width="11" style="38" customWidth="1"/>
    <col min="82" max="82" width="9.140625" style="39"/>
    <col min="83" max="83" width="7.42578125" style="39" customWidth="1"/>
    <col min="84" max="87" width="9.140625" style="39"/>
    <col min="88" max="88" width="3.85546875" style="39" customWidth="1"/>
    <col min="89" max="89" width="11" style="38" customWidth="1"/>
    <col min="90" max="90" width="9.140625" style="39"/>
    <col min="91" max="91" width="7.42578125" style="39" customWidth="1"/>
    <col min="92" max="95" width="9.140625" style="39"/>
    <col min="96" max="96" width="3.85546875" style="39" customWidth="1"/>
    <col min="97" max="97" width="11" style="38" customWidth="1"/>
    <col min="98" max="98" width="9.140625" style="39"/>
    <col min="99" max="99" width="7.42578125" style="39" customWidth="1"/>
    <col min="100" max="103" width="12.7109375" style="39" customWidth="1"/>
    <col min="104" max="104" width="3.85546875" style="68" customWidth="1"/>
    <col min="105" max="16384" width="9.140625" style="39"/>
  </cols>
  <sheetData>
    <row r="1" spans="1:104" ht="20.100000000000001" customHeight="1" x14ac:dyDescent="0.25">
      <c r="A1" s="44"/>
      <c r="B1" s="47"/>
      <c r="C1" s="161"/>
      <c r="D1" s="161"/>
      <c r="E1" s="161"/>
      <c r="F1" s="161"/>
      <c r="G1" s="161"/>
      <c r="H1" s="72"/>
      <c r="I1" s="44"/>
      <c r="J1" s="47"/>
      <c r="K1" s="161"/>
      <c r="L1" s="161"/>
      <c r="M1" s="161"/>
      <c r="N1" s="161"/>
      <c r="O1" s="161"/>
      <c r="P1" s="72"/>
      <c r="Q1" s="44"/>
      <c r="R1" s="47"/>
      <c r="S1" s="161"/>
      <c r="T1" s="161"/>
      <c r="U1" s="161"/>
      <c r="V1" s="161"/>
      <c r="W1" s="161"/>
      <c r="X1" s="72"/>
      <c r="Y1" s="44"/>
      <c r="Z1" s="47"/>
      <c r="AA1" s="161"/>
      <c r="AB1" s="161"/>
      <c r="AC1" s="161"/>
      <c r="AD1" s="161"/>
      <c r="AE1" s="161"/>
      <c r="AF1" s="72"/>
      <c r="AG1" s="44"/>
      <c r="AH1" s="47"/>
      <c r="AI1" s="161"/>
      <c r="AJ1" s="161"/>
      <c r="AK1" s="161"/>
      <c r="AL1" s="161"/>
      <c r="AM1" s="161"/>
      <c r="AN1" s="72"/>
      <c r="AO1" s="44"/>
      <c r="AP1" s="47"/>
      <c r="AQ1" s="161"/>
      <c r="AR1" s="161"/>
      <c r="AS1" s="161"/>
      <c r="AT1" s="161"/>
      <c r="AU1" s="161"/>
      <c r="AV1" s="72"/>
      <c r="AW1" s="44"/>
      <c r="AX1" s="47"/>
      <c r="AY1" s="161"/>
      <c r="AZ1" s="161"/>
      <c r="BA1" s="161"/>
      <c r="BB1" s="161"/>
      <c r="BC1" s="161"/>
      <c r="BD1" s="72"/>
      <c r="BE1" s="44"/>
      <c r="BF1" s="47"/>
      <c r="BG1" s="161"/>
      <c r="BH1" s="161"/>
      <c r="BI1" s="161"/>
      <c r="BJ1" s="161"/>
      <c r="BK1" s="161"/>
      <c r="BL1" s="72"/>
      <c r="BM1" s="44"/>
      <c r="BN1" s="47"/>
      <c r="BO1" s="161"/>
      <c r="BP1" s="161"/>
      <c r="BQ1" s="161"/>
      <c r="BR1" s="161"/>
      <c r="BS1" s="161"/>
      <c r="BT1" s="72"/>
      <c r="BU1" s="44"/>
      <c r="BV1" s="47"/>
      <c r="BW1" s="161"/>
      <c r="BX1" s="161"/>
      <c r="BY1" s="161"/>
      <c r="BZ1" s="161"/>
      <c r="CA1" s="161"/>
      <c r="CB1" s="72"/>
      <c r="CC1" s="44"/>
      <c r="CD1" s="47"/>
      <c r="CE1" s="161"/>
      <c r="CF1" s="161"/>
      <c r="CG1" s="161"/>
      <c r="CH1" s="161"/>
      <c r="CI1" s="161"/>
      <c r="CJ1" s="72"/>
      <c r="CK1" s="44"/>
      <c r="CL1" s="47"/>
      <c r="CM1" s="161"/>
      <c r="CN1" s="161"/>
      <c r="CO1" s="161"/>
      <c r="CP1" s="161"/>
      <c r="CQ1" s="161"/>
      <c r="CR1" s="72"/>
      <c r="CS1" s="44"/>
      <c r="CT1" s="1"/>
      <c r="CU1" s="1"/>
    </row>
    <row r="2" spans="1:104" s="41" customFormat="1" ht="20.100000000000001" customHeight="1" x14ac:dyDescent="0.25">
      <c r="A2" s="129" t="s">
        <v>17</v>
      </c>
      <c r="B2" s="129"/>
      <c r="C2" s="129"/>
      <c r="D2" s="129"/>
      <c r="E2" s="129"/>
      <c r="F2" s="40"/>
      <c r="G2" s="4"/>
      <c r="H2" s="73"/>
      <c r="I2" s="129" t="s">
        <v>17</v>
      </c>
      <c r="J2" s="129"/>
      <c r="K2" s="129"/>
      <c r="L2" s="129"/>
      <c r="M2" s="129"/>
      <c r="N2" s="40"/>
      <c r="O2" s="4"/>
      <c r="P2" s="73"/>
      <c r="Q2" s="129" t="s">
        <v>17</v>
      </c>
      <c r="R2" s="129"/>
      <c r="S2" s="129"/>
      <c r="T2" s="129"/>
      <c r="U2" s="129"/>
      <c r="V2" s="40"/>
      <c r="W2" s="4"/>
      <c r="X2" s="73"/>
      <c r="Y2" s="129" t="s">
        <v>17</v>
      </c>
      <c r="Z2" s="129"/>
      <c r="AA2" s="129"/>
      <c r="AB2" s="129"/>
      <c r="AC2" s="129"/>
      <c r="AD2" s="40"/>
      <c r="AE2" s="4"/>
      <c r="AF2" s="73"/>
      <c r="AG2" s="129" t="s">
        <v>17</v>
      </c>
      <c r="AH2" s="129"/>
      <c r="AI2" s="129"/>
      <c r="AJ2" s="129"/>
      <c r="AK2" s="129"/>
      <c r="AL2" s="40"/>
      <c r="AM2" s="4"/>
      <c r="AN2" s="73"/>
      <c r="AO2" s="129" t="s">
        <v>17</v>
      </c>
      <c r="AP2" s="129"/>
      <c r="AQ2" s="129"/>
      <c r="AR2" s="129"/>
      <c r="AS2" s="129"/>
      <c r="AT2" s="40"/>
      <c r="AU2" s="4"/>
      <c r="AV2" s="73"/>
      <c r="AW2" s="129" t="s">
        <v>17</v>
      </c>
      <c r="AX2" s="129"/>
      <c r="AY2" s="129"/>
      <c r="AZ2" s="129"/>
      <c r="BA2" s="129"/>
      <c r="BB2" s="40"/>
      <c r="BC2" s="4"/>
      <c r="BD2" s="73"/>
      <c r="BE2" s="129" t="s">
        <v>17</v>
      </c>
      <c r="BF2" s="129"/>
      <c r="BG2" s="129"/>
      <c r="BH2" s="129"/>
      <c r="BI2" s="129"/>
      <c r="BJ2" s="40"/>
      <c r="BK2" s="4"/>
      <c r="BL2" s="73"/>
      <c r="BM2" s="129" t="s">
        <v>17</v>
      </c>
      <c r="BN2" s="129"/>
      <c r="BO2" s="129"/>
      <c r="BP2" s="129"/>
      <c r="BQ2" s="129"/>
      <c r="BR2" s="40"/>
      <c r="BS2" s="4"/>
      <c r="BT2" s="73"/>
      <c r="BU2" s="129" t="s">
        <v>17</v>
      </c>
      <c r="BV2" s="129"/>
      <c r="BW2" s="129"/>
      <c r="BX2" s="129"/>
      <c r="BY2" s="129"/>
      <c r="BZ2" s="40"/>
      <c r="CA2" s="4"/>
      <c r="CB2" s="73"/>
      <c r="CC2" s="129" t="s">
        <v>17</v>
      </c>
      <c r="CD2" s="129"/>
      <c r="CE2" s="129"/>
      <c r="CF2" s="129"/>
      <c r="CG2" s="129"/>
      <c r="CH2" s="40"/>
      <c r="CI2" s="4"/>
      <c r="CJ2" s="73"/>
      <c r="CK2" s="129" t="s">
        <v>17</v>
      </c>
      <c r="CL2" s="129"/>
      <c r="CM2" s="129"/>
      <c r="CN2" s="129"/>
      <c r="CO2" s="129"/>
      <c r="CP2" s="40"/>
      <c r="CQ2" s="4"/>
      <c r="CR2" s="73"/>
      <c r="CS2" s="129" t="s">
        <v>17</v>
      </c>
      <c r="CT2" s="129"/>
      <c r="CU2" s="129"/>
      <c r="CV2" s="129"/>
      <c r="CW2" s="129"/>
      <c r="CX2" s="40"/>
      <c r="CY2" s="4"/>
      <c r="CZ2" s="68"/>
    </row>
    <row r="3" spans="1:104" s="42" customFormat="1" ht="20.100000000000001" customHeight="1" thickBot="1" x14ac:dyDescent="0.3">
      <c r="A3" s="45"/>
      <c r="C3" s="42" t="s">
        <v>0</v>
      </c>
      <c r="D3" s="25">
        <v>1</v>
      </c>
      <c r="E3" s="42" t="s">
        <v>4</v>
      </c>
      <c r="F3" s="26">
        <v>1447</v>
      </c>
      <c r="G3" s="42" t="s">
        <v>13</v>
      </c>
      <c r="H3" s="74"/>
      <c r="I3" s="45"/>
      <c r="K3" s="42" t="s">
        <v>0</v>
      </c>
      <c r="L3" s="25">
        <v>2</v>
      </c>
      <c r="M3" s="42" t="s">
        <v>4</v>
      </c>
      <c r="N3" s="26">
        <v>1447</v>
      </c>
      <c r="O3" s="42" t="s">
        <v>13</v>
      </c>
      <c r="P3" s="74"/>
      <c r="Q3" s="45"/>
      <c r="S3" s="42" t="s">
        <v>0</v>
      </c>
      <c r="T3" s="25">
        <v>3</v>
      </c>
      <c r="U3" s="42" t="s">
        <v>4</v>
      </c>
      <c r="V3" s="26">
        <v>1447</v>
      </c>
      <c r="W3" s="42" t="s">
        <v>13</v>
      </c>
      <c r="X3" s="74"/>
      <c r="Y3" s="45"/>
      <c r="AA3" s="42" t="s">
        <v>0</v>
      </c>
      <c r="AB3" s="25">
        <v>4</v>
      </c>
      <c r="AC3" s="42" t="s">
        <v>4</v>
      </c>
      <c r="AD3" s="26">
        <v>1447</v>
      </c>
      <c r="AE3" s="42" t="s">
        <v>13</v>
      </c>
      <c r="AF3" s="74"/>
      <c r="AG3" s="45"/>
      <c r="AI3" s="42" t="s">
        <v>0</v>
      </c>
      <c r="AJ3" s="25">
        <v>5</v>
      </c>
      <c r="AK3" s="42" t="s">
        <v>4</v>
      </c>
      <c r="AL3" s="26">
        <v>1447</v>
      </c>
      <c r="AM3" s="42" t="s">
        <v>13</v>
      </c>
      <c r="AN3" s="74"/>
      <c r="AO3" s="45"/>
      <c r="AQ3" s="42" t="s">
        <v>0</v>
      </c>
      <c r="AR3" s="25">
        <v>6</v>
      </c>
      <c r="AS3" s="42" t="s">
        <v>4</v>
      </c>
      <c r="AT3" s="26">
        <v>1447</v>
      </c>
      <c r="AU3" s="42" t="s">
        <v>13</v>
      </c>
      <c r="AV3" s="74"/>
      <c r="AW3" s="45"/>
      <c r="AY3" s="42" t="s">
        <v>0</v>
      </c>
      <c r="AZ3" s="25">
        <v>7</v>
      </c>
      <c r="BA3" s="42" t="s">
        <v>4</v>
      </c>
      <c r="BB3" s="26">
        <v>1447</v>
      </c>
      <c r="BC3" s="42" t="s">
        <v>13</v>
      </c>
      <c r="BD3" s="74"/>
      <c r="BE3" s="45"/>
      <c r="BG3" s="42" t="s">
        <v>0</v>
      </c>
      <c r="BH3" s="25">
        <v>8</v>
      </c>
      <c r="BI3" s="42" t="s">
        <v>4</v>
      </c>
      <c r="BJ3" s="26">
        <v>1447</v>
      </c>
      <c r="BK3" s="42" t="s">
        <v>13</v>
      </c>
      <c r="BL3" s="74"/>
      <c r="BM3" s="45"/>
      <c r="BO3" s="42" t="s">
        <v>0</v>
      </c>
      <c r="BP3" s="25">
        <v>9</v>
      </c>
      <c r="BQ3" s="42" t="s">
        <v>4</v>
      </c>
      <c r="BR3" s="26">
        <v>1447</v>
      </c>
      <c r="BS3" s="42" t="s">
        <v>13</v>
      </c>
      <c r="BT3" s="74"/>
      <c r="BU3" s="45"/>
      <c r="BW3" s="42" t="s">
        <v>0</v>
      </c>
      <c r="BX3" s="25">
        <v>10</v>
      </c>
      <c r="BY3" s="42" t="s">
        <v>4</v>
      </c>
      <c r="BZ3" s="26">
        <v>1447</v>
      </c>
      <c r="CA3" s="42" t="s">
        <v>13</v>
      </c>
      <c r="CB3" s="74"/>
      <c r="CC3" s="45"/>
      <c r="CE3" s="42" t="s">
        <v>0</v>
      </c>
      <c r="CF3" s="25">
        <v>11</v>
      </c>
      <c r="CG3" s="42" t="s">
        <v>4</v>
      </c>
      <c r="CH3" s="26">
        <v>1447</v>
      </c>
      <c r="CI3" s="42" t="s">
        <v>13</v>
      </c>
      <c r="CJ3" s="74"/>
      <c r="CK3" s="45"/>
      <c r="CM3" s="42" t="s">
        <v>0</v>
      </c>
      <c r="CN3" s="25">
        <v>12</v>
      </c>
      <c r="CO3" s="42" t="s">
        <v>4</v>
      </c>
      <c r="CP3" s="26">
        <v>1447</v>
      </c>
      <c r="CQ3" s="42" t="s">
        <v>13</v>
      </c>
      <c r="CR3" s="74"/>
      <c r="CS3" s="37"/>
      <c r="CV3" s="25"/>
      <c r="CW3" s="42" t="s">
        <v>4</v>
      </c>
      <c r="CX3" s="26">
        <f>SUM(CP3)</f>
        <v>1447</v>
      </c>
      <c r="CY3" s="42" t="s">
        <v>13</v>
      </c>
      <c r="CZ3" s="69"/>
    </row>
    <row r="4" spans="1:104" ht="20.100000000000001" customHeight="1" x14ac:dyDescent="0.2">
      <c r="A4" s="157" t="s">
        <v>5</v>
      </c>
      <c r="B4" s="137" t="s">
        <v>16</v>
      </c>
      <c r="C4" s="138"/>
      <c r="D4" s="131" t="s">
        <v>1</v>
      </c>
      <c r="E4" s="131" t="s">
        <v>6</v>
      </c>
      <c r="F4" s="131" t="s">
        <v>2</v>
      </c>
      <c r="G4" s="131" t="s">
        <v>7</v>
      </c>
      <c r="H4" s="73"/>
      <c r="I4" s="157" t="s">
        <v>5</v>
      </c>
      <c r="J4" s="137" t="s">
        <v>16</v>
      </c>
      <c r="K4" s="138"/>
      <c r="L4" s="131" t="s">
        <v>1</v>
      </c>
      <c r="M4" s="131" t="s">
        <v>6</v>
      </c>
      <c r="N4" s="131" t="s">
        <v>2</v>
      </c>
      <c r="O4" s="131" t="s">
        <v>7</v>
      </c>
      <c r="P4" s="73"/>
      <c r="Q4" s="157" t="s">
        <v>5</v>
      </c>
      <c r="R4" s="137" t="s">
        <v>16</v>
      </c>
      <c r="S4" s="138"/>
      <c r="T4" s="131" t="s">
        <v>1</v>
      </c>
      <c r="U4" s="131" t="s">
        <v>6</v>
      </c>
      <c r="V4" s="131" t="s">
        <v>2</v>
      </c>
      <c r="W4" s="131" t="s">
        <v>7</v>
      </c>
      <c r="X4" s="73"/>
      <c r="Y4" s="157" t="s">
        <v>5</v>
      </c>
      <c r="Z4" s="137" t="s">
        <v>16</v>
      </c>
      <c r="AA4" s="138"/>
      <c r="AB4" s="131" t="s">
        <v>1</v>
      </c>
      <c r="AC4" s="131" t="s">
        <v>6</v>
      </c>
      <c r="AD4" s="131" t="s">
        <v>2</v>
      </c>
      <c r="AE4" s="131" t="s">
        <v>7</v>
      </c>
      <c r="AF4" s="73"/>
      <c r="AG4" s="157" t="s">
        <v>5</v>
      </c>
      <c r="AH4" s="137" t="s">
        <v>16</v>
      </c>
      <c r="AI4" s="138"/>
      <c r="AJ4" s="131" t="s">
        <v>1</v>
      </c>
      <c r="AK4" s="131" t="s">
        <v>6</v>
      </c>
      <c r="AL4" s="131" t="s">
        <v>2</v>
      </c>
      <c r="AM4" s="131" t="s">
        <v>7</v>
      </c>
      <c r="AN4" s="73"/>
      <c r="AO4" s="157" t="s">
        <v>5</v>
      </c>
      <c r="AP4" s="137" t="s">
        <v>16</v>
      </c>
      <c r="AQ4" s="138"/>
      <c r="AR4" s="131" t="s">
        <v>1</v>
      </c>
      <c r="AS4" s="131" t="s">
        <v>6</v>
      </c>
      <c r="AT4" s="131" t="s">
        <v>2</v>
      </c>
      <c r="AU4" s="131" t="s">
        <v>7</v>
      </c>
      <c r="AV4" s="73"/>
      <c r="AW4" s="157" t="s">
        <v>5</v>
      </c>
      <c r="AX4" s="137" t="s">
        <v>16</v>
      </c>
      <c r="AY4" s="138"/>
      <c r="AZ4" s="131" t="s">
        <v>1</v>
      </c>
      <c r="BA4" s="131" t="s">
        <v>6</v>
      </c>
      <c r="BB4" s="131" t="s">
        <v>2</v>
      </c>
      <c r="BC4" s="131" t="s">
        <v>7</v>
      </c>
      <c r="BD4" s="73"/>
      <c r="BE4" s="157" t="s">
        <v>5</v>
      </c>
      <c r="BF4" s="137" t="s">
        <v>16</v>
      </c>
      <c r="BG4" s="138"/>
      <c r="BH4" s="131" t="s">
        <v>1</v>
      </c>
      <c r="BI4" s="131" t="s">
        <v>6</v>
      </c>
      <c r="BJ4" s="131" t="s">
        <v>2</v>
      </c>
      <c r="BK4" s="131" t="s">
        <v>7</v>
      </c>
      <c r="BL4" s="73"/>
      <c r="BM4" s="157" t="s">
        <v>5</v>
      </c>
      <c r="BN4" s="137" t="s">
        <v>16</v>
      </c>
      <c r="BO4" s="138"/>
      <c r="BP4" s="131" t="s">
        <v>1</v>
      </c>
      <c r="BQ4" s="131" t="s">
        <v>6</v>
      </c>
      <c r="BR4" s="131" t="s">
        <v>2</v>
      </c>
      <c r="BS4" s="131" t="s">
        <v>7</v>
      </c>
      <c r="BT4" s="73"/>
      <c r="BU4" s="157" t="s">
        <v>5</v>
      </c>
      <c r="BV4" s="137" t="s">
        <v>16</v>
      </c>
      <c r="BW4" s="138"/>
      <c r="BX4" s="131" t="s">
        <v>1</v>
      </c>
      <c r="BY4" s="131" t="s">
        <v>6</v>
      </c>
      <c r="BZ4" s="131" t="s">
        <v>2</v>
      </c>
      <c r="CA4" s="131" t="s">
        <v>7</v>
      </c>
      <c r="CB4" s="73"/>
      <c r="CC4" s="157" t="s">
        <v>5</v>
      </c>
      <c r="CD4" s="137" t="s">
        <v>16</v>
      </c>
      <c r="CE4" s="138"/>
      <c r="CF4" s="131" t="s">
        <v>1</v>
      </c>
      <c r="CG4" s="131" t="s">
        <v>6</v>
      </c>
      <c r="CH4" s="131" t="s">
        <v>2</v>
      </c>
      <c r="CI4" s="131" t="s">
        <v>7</v>
      </c>
      <c r="CJ4" s="73"/>
      <c r="CK4" s="157" t="s">
        <v>5</v>
      </c>
      <c r="CL4" s="137" t="s">
        <v>16</v>
      </c>
      <c r="CM4" s="138"/>
      <c r="CN4" s="131" t="s">
        <v>1</v>
      </c>
      <c r="CO4" s="131" t="s">
        <v>6</v>
      </c>
      <c r="CP4" s="131" t="s">
        <v>2</v>
      </c>
      <c r="CQ4" s="131" t="s">
        <v>7</v>
      </c>
      <c r="CR4" s="73"/>
      <c r="CS4" s="155" t="s">
        <v>5</v>
      </c>
      <c r="CT4" s="137" t="s">
        <v>16</v>
      </c>
      <c r="CU4" s="138"/>
      <c r="CV4" s="131" t="s">
        <v>1</v>
      </c>
      <c r="CW4" s="131" t="s">
        <v>6</v>
      </c>
      <c r="CX4" s="131" t="s">
        <v>2</v>
      </c>
      <c r="CY4" s="133" t="s">
        <v>7</v>
      </c>
    </row>
    <row r="5" spans="1:104" ht="20.100000000000001" customHeight="1" thickBot="1" x14ac:dyDescent="0.25">
      <c r="A5" s="156"/>
      <c r="B5" s="132" t="s">
        <v>15</v>
      </c>
      <c r="C5" s="139"/>
      <c r="D5" s="132"/>
      <c r="E5" s="132"/>
      <c r="F5" s="132"/>
      <c r="G5" s="132"/>
      <c r="H5" s="73"/>
      <c r="I5" s="156"/>
      <c r="J5" s="132" t="s">
        <v>15</v>
      </c>
      <c r="K5" s="139"/>
      <c r="L5" s="132"/>
      <c r="M5" s="132"/>
      <c r="N5" s="132"/>
      <c r="O5" s="132"/>
      <c r="P5" s="73"/>
      <c r="Q5" s="156"/>
      <c r="R5" s="132" t="s">
        <v>15</v>
      </c>
      <c r="S5" s="139"/>
      <c r="T5" s="132"/>
      <c r="U5" s="132"/>
      <c r="V5" s="132"/>
      <c r="W5" s="132"/>
      <c r="X5" s="73"/>
      <c r="Y5" s="156"/>
      <c r="Z5" s="132" t="s">
        <v>15</v>
      </c>
      <c r="AA5" s="139"/>
      <c r="AB5" s="132"/>
      <c r="AC5" s="132"/>
      <c r="AD5" s="132"/>
      <c r="AE5" s="132"/>
      <c r="AF5" s="73"/>
      <c r="AG5" s="156"/>
      <c r="AH5" s="132" t="s">
        <v>15</v>
      </c>
      <c r="AI5" s="139"/>
      <c r="AJ5" s="132"/>
      <c r="AK5" s="132"/>
      <c r="AL5" s="132"/>
      <c r="AM5" s="132"/>
      <c r="AN5" s="73"/>
      <c r="AO5" s="156"/>
      <c r="AP5" s="132" t="s">
        <v>15</v>
      </c>
      <c r="AQ5" s="139"/>
      <c r="AR5" s="132"/>
      <c r="AS5" s="132"/>
      <c r="AT5" s="132"/>
      <c r="AU5" s="132"/>
      <c r="AV5" s="73"/>
      <c r="AW5" s="156"/>
      <c r="AX5" s="132" t="s">
        <v>15</v>
      </c>
      <c r="AY5" s="139"/>
      <c r="AZ5" s="132"/>
      <c r="BA5" s="132"/>
      <c r="BB5" s="132"/>
      <c r="BC5" s="132"/>
      <c r="BD5" s="73"/>
      <c r="BE5" s="156"/>
      <c r="BF5" s="132" t="s">
        <v>15</v>
      </c>
      <c r="BG5" s="139"/>
      <c r="BH5" s="132"/>
      <c r="BI5" s="132"/>
      <c r="BJ5" s="132"/>
      <c r="BK5" s="132"/>
      <c r="BL5" s="73"/>
      <c r="BM5" s="156"/>
      <c r="BN5" s="132" t="s">
        <v>15</v>
      </c>
      <c r="BO5" s="139"/>
      <c r="BP5" s="132"/>
      <c r="BQ5" s="132"/>
      <c r="BR5" s="132"/>
      <c r="BS5" s="132"/>
      <c r="BT5" s="73"/>
      <c r="BU5" s="156"/>
      <c r="BV5" s="132" t="s">
        <v>15</v>
      </c>
      <c r="BW5" s="139"/>
      <c r="BX5" s="132"/>
      <c r="BY5" s="132"/>
      <c r="BZ5" s="132"/>
      <c r="CA5" s="132"/>
      <c r="CB5" s="73"/>
      <c r="CC5" s="156"/>
      <c r="CD5" s="132" t="s">
        <v>15</v>
      </c>
      <c r="CE5" s="139"/>
      <c r="CF5" s="132"/>
      <c r="CG5" s="132"/>
      <c r="CH5" s="132"/>
      <c r="CI5" s="132"/>
      <c r="CJ5" s="73"/>
      <c r="CK5" s="156"/>
      <c r="CL5" s="132" t="s">
        <v>15</v>
      </c>
      <c r="CM5" s="139"/>
      <c r="CN5" s="132"/>
      <c r="CO5" s="132"/>
      <c r="CP5" s="132"/>
      <c r="CQ5" s="132"/>
      <c r="CR5" s="73"/>
      <c r="CS5" s="156"/>
      <c r="CT5" s="132" t="s">
        <v>15</v>
      </c>
      <c r="CU5" s="139"/>
      <c r="CV5" s="132"/>
      <c r="CW5" s="132"/>
      <c r="CX5" s="132"/>
      <c r="CY5" s="134"/>
    </row>
    <row r="6" spans="1:104" ht="20.100000000000001" customHeight="1" thickTop="1" thickBot="1" x14ac:dyDescent="0.3">
      <c r="A6" s="142" t="s">
        <v>20</v>
      </c>
      <c r="B6" s="140" t="s">
        <v>3</v>
      </c>
      <c r="C6" s="6" t="s">
        <v>8</v>
      </c>
      <c r="D6" s="86">
        <v>0</v>
      </c>
      <c r="E6" s="87">
        <v>45</v>
      </c>
      <c r="F6" s="87">
        <v>25</v>
      </c>
      <c r="G6" s="87">
        <v>16</v>
      </c>
      <c r="H6" s="73"/>
      <c r="I6" s="142" t="s">
        <v>20</v>
      </c>
      <c r="J6" s="140" t="s">
        <v>3</v>
      </c>
      <c r="K6" s="6" t="s">
        <v>8</v>
      </c>
      <c r="L6" s="94">
        <v>0</v>
      </c>
      <c r="M6" s="94">
        <v>30</v>
      </c>
      <c r="N6" s="94">
        <v>28</v>
      </c>
      <c r="O6" s="95">
        <v>36</v>
      </c>
      <c r="P6" s="73"/>
      <c r="Q6" s="142" t="s">
        <v>20</v>
      </c>
      <c r="R6" s="140" t="s">
        <v>3</v>
      </c>
      <c r="S6" s="6" t="s">
        <v>8</v>
      </c>
      <c r="T6" s="86">
        <v>12</v>
      </c>
      <c r="U6" s="87">
        <v>31</v>
      </c>
      <c r="V6" s="87">
        <v>19</v>
      </c>
      <c r="W6" s="87">
        <v>51</v>
      </c>
      <c r="X6" s="73"/>
      <c r="Y6" s="142" t="s">
        <v>20</v>
      </c>
      <c r="Z6" s="140" t="s">
        <v>3</v>
      </c>
      <c r="AA6" s="6" t="s">
        <v>8</v>
      </c>
      <c r="AB6" s="86">
        <v>2</v>
      </c>
      <c r="AC6" s="87">
        <v>35</v>
      </c>
      <c r="AD6" s="87">
        <v>44</v>
      </c>
      <c r="AE6" s="87">
        <v>34</v>
      </c>
      <c r="AF6" s="73"/>
      <c r="AG6" s="142" t="s">
        <v>20</v>
      </c>
      <c r="AH6" s="140" t="s">
        <v>3</v>
      </c>
      <c r="AI6" s="6" t="s">
        <v>8</v>
      </c>
      <c r="AJ6" s="86">
        <v>4</v>
      </c>
      <c r="AK6" s="87">
        <v>60</v>
      </c>
      <c r="AL6" s="87">
        <v>28</v>
      </c>
      <c r="AM6" s="87">
        <v>99</v>
      </c>
      <c r="AN6" s="73"/>
      <c r="AO6" s="142" t="s">
        <v>20</v>
      </c>
      <c r="AP6" s="140" t="s">
        <v>3</v>
      </c>
      <c r="AQ6" s="6" t="s">
        <v>8</v>
      </c>
      <c r="AR6" s="86">
        <v>0</v>
      </c>
      <c r="AS6" s="87">
        <v>28</v>
      </c>
      <c r="AT6" s="87">
        <v>14</v>
      </c>
      <c r="AU6" s="87">
        <v>6</v>
      </c>
      <c r="AV6" s="73"/>
      <c r="AW6" s="142" t="s">
        <v>20</v>
      </c>
      <c r="AX6" s="140" t="s">
        <v>3</v>
      </c>
      <c r="AY6" s="6" t="s">
        <v>8</v>
      </c>
      <c r="AZ6" s="94">
        <v>0</v>
      </c>
      <c r="BA6" s="94">
        <v>22</v>
      </c>
      <c r="BB6" s="94">
        <v>20</v>
      </c>
      <c r="BC6" s="95">
        <v>36</v>
      </c>
      <c r="BD6" s="73"/>
      <c r="BE6" s="142" t="s">
        <v>20</v>
      </c>
      <c r="BF6" s="140" t="s">
        <v>3</v>
      </c>
      <c r="BG6" s="6" t="s">
        <v>8</v>
      </c>
      <c r="BH6" s="114">
        <v>0</v>
      </c>
      <c r="BI6" s="114">
        <v>28</v>
      </c>
      <c r="BJ6" s="114">
        <v>14</v>
      </c>
      <c r="BK6" s="114">
        <v>6</v>
      </c>
      <c r="BL6" s="73"/>
      <c r="BM6" s="142" t="s">
        <v>20</v>
      </c>
      <c r="BN6" s="140" t="s">
        <v>3</v>
      </c>
      <c r="BO6" s="6" t="s">
        <v>8</v>
      </c>
      <c r="BP6" s="114">
        <v>25</v>
      </c>
      <c r="BQ6" s="114">
        <v>20</v>
      </c>
      <c r="BR6" s="114">
        <v>9</v>
      </c>
      <c r="BS6" s="114">
        <v>14</v>
      </c>
      <c r="BT6" s="73"/>
      <c r="BU6" s="142" t="s">
        <v>20</v>
      </c>
      <c r="BV6" s="140" t="s">
        <v>3</v>
      </c>
      <c r="BW6" s="6" t="s">
        <v>8</v>
      </c>
      <c r="BX6" s="86">
        <v>0</v>
      </c>
      <c r="BY6" s="87">
        <v>44</v>
      </c>
      <c r="BZ6" s="87">
        <v>24</v>
      </c>
      <c r="CA6" s="87">
        <v>17</v>
      </c>
      <c r="CB6" s="73"/>
      <c r="CC6" s="142" t="s">
        <v>20</v>
      </c>
      <c r="CD6" s="140" t="s">
        <v>3</v>
      </c>
      <c r="CE6" s="6" t="s">
        <v>8</v>
      </c>
      <c r="CF6" s="7">
        <v>0</v>
      </c>
      <c r="CG6" s="7">
        <v>0</v>
      </c>
      <c r="CH6" s="7">
        <v>0</v>
      </c>
      <c r="CI6" s="7">
        <v>0</v>
      </c>
      <c r="CJ6" s="73"/>
      <c r="CK6" s="142" t="s">
        <v>20</v>
      </c>
      <c r="CL6" s="140" t="s">
        <v>3</v>
      </c>
      <c r="CM6" s="6" t="s">
        <v>8</v>
      </c>
      <c r="CN6" s="7">
        <v>0</v>
      </c>
      <c r="CO6" s="7">
        <v>0</v>
      </c>
      <c r="CP6" s="7">
        <v>0</v>
      </c>
      <c r="CQ6" s="7">
        <v>0</v>
      </c>
      <c r="CR6" s="73"/>
      <c r="CS6" s="142" t="str">
        <f>(CK6)</f>
        <v>الربيع والتوفيق</v>
      </c>
      <c r="CT6" s="140" t="s">
        <v>3</v>
      </c>
      <c r="CU6" s="6" t="s">
        <v>8</v>
      </c>
      <c r="CV6" s="8">
        <f t="shared" ref="CV6:CV7" si="0">SUM(D6+L6+T6+AB6+AJ6+AR6+AZ6+BH6+BP6+BX6+CF6+CN6)</f>
        <v>43</v>
      </c>
      <c r="CW6" s="9">
        <f t="shared" ref="CW6:CW7" si="1">SUM(E6+M6+U6+AC6+AK6+AS6+BA6+BI6+BQ6+BY6+CG6+CO6)</f>
        <v>343</v>
      </c>
      <c r="CX6" s="9">
        <f t="shared" ref="CX6:CX7" si="2">SUM(F6+N6+V6+AD6+AL6+AT6+BB6+BJ6+BR6+BZ6+CH6+CP6)</f>
        <v>225</v>
      </c>
      <c r="CY6" s="9">
        <f t="shared" ref="CY6:CY7" si="3">SUM(G6+O6+W6+AE6+AM6+AU6+BC6+BK6+BS6+CA6+CI6+CQ6)</f>
        <v>315</v>
      </c>
    </row>
    <row r="7" spans="1:104" ht="20.100000000000001" customHeight="1" thickBot="1" x14ac:dyDescent="0.3">
      <c r="A7" s="143"/>
      <c r="B7" s="141"/>
      <c r="C7" s="10" t="s">
        <v>9</v>
      </c>
      <c r="D7" s="88">
        <v>0</v>
      </c>
      <c r="E7" s="89">
        <v>20</v>
      </c>
      <c r="F7" s="89">
        <v>40</v>
      </c>
      <c r="G7" s="89">
        <v>25</v>
      </c>
      <c r="H7" s="73"/>
      <c r="I7" s="143"/>
      <c r="J7" s="141"/>
      <c r="K7" s="10" t="s">
        <v>9</v>
      </c>
      <c r="L7" s="98">
        <v>0</v>
      </c>
      <c r="M7" s="98">
        <v>12</v>
      </c>
      <c r="N7" s="98">
        <v>32</v>
      </c>
      <c r="O7" s="99">
        <v>58</v>
      </c>
      <c r="P7" s="73"/>
      <c r="Q7" s="143"/>
      <c r="R7" s="141"/>
      <c r="S7" s="10" t="s">
        <v>9</v>
      </c>
      <c r="T7" s="88">
        <v>13</v>
      </c>
      <c r="U7" s="89">
        <v>22</v>
      </c>
      <c r="V7" s="89">
        <v>31</v>
      </c>
      <c r="W7" s="89">
        <v>52</v>
      </c>
      <c r="X7" s="73"/>
      <c r="Y7" s="143"/>
      <c r="Z7" s="141"/>
      <c r="AA7" s="10" t="s">
        <v>9</v>
      </c>
      <c r="AB7" s="88">
        <v>1</v>
      </c>
      <c r="AC7" s="89">
        <v>8</v>
      </c>
      <c r="AD7" s="89">
        <v>11</v>
      </c>
      <c r="AE7" s="89">
        <v>21</v>
      </c>
      <c r="AF7" s="73"/>
      <c r="AG7" s="143"/>
      <c r="AH7" s="141"/>
      <c r="AI7" s="10" t="s">
        <v>9</v>
      </c>
      <c r="AJ7" s="88">
        <v>2</v>
      </c>
      <c r="AK7" s="89">
        <v>24</v>
      </c>
      <c r="AL7" s="89">
        <v>34</v>
      </c>
      <c r="AM7" s="89">
        <v>106</v>
      </c>
      <c r="AN7" s="73"/>
      <c r="AO7" s="143"/>
      <c r="AP7" s="141"/>
      <c r="AQ7" s="10" t="s">
        <v>9</v>
      </c>
      <c r="AR7" s="88">
        <v>0</v>
      </c>
      <c r="AS7" s="89">
        <v>8</v>
      </c>
      <c r="AT7" s="89">
        <v>17</v>
      </c>
      <c r="AU7" s="89">
        <v>7</v>
      </c>
      <c r="AV7" s="73"/>
      <c r="AW7" s="143"/>
      <c r="AX7" s="141"/>
      <c r="AY7" s="10" t="s">
        <v>9</v>
      </c>
      <c r="AZ7" s="98">
        <v>0</v>
      </c>
      <c r="BA7" s="98">
        <v>10</v>
      </c>
      <c r="BB7" s="98">
        <v>25</v>
      </c>
      <c r="BC7" s="99">
        <v>58</v>
      </c>
      <c r="BD7" s="73"/>
      <c r="BE7" s="143"/>
      <c r="BF7" s="141"/>
      <c r="BG7" s="10" t="s">
        <v>9</v>
      </c>
      <c r="BH7" s="115">
        <v>0</v>
      </c>
      <c r="BI7" s="115">
        <v>8</v>
      </c>
      <c r="BJ7" s="115">
        <v>17</v>
      </c>
      <c r="BK7" s="115">
        <v>7</v>
      </c>
      <c r="BL7" s="73"/>
      <c r="BM7" s="143"/>
      <c r="BN7" s="141"/>
      <c r="BO7" s="10" t="s">
        <v>9</v>
      </c>
      <c r="BP7" s="115">
        <v>35</v>
      </c>
      <c r="BQ7" s="115">
        <v>18</v>
      </c>
      <c r="BR7" s="115">
        <v>8</v>
      </c>
      <c r="BS7" s="115">
        <v>10</v>
      </c>
      <c r="BT7" s="73"/>
      <c r="BU7" s="143"/>
      <c r="BV7" s="141"/>
      <c r="BW7" s="10" t="s">
        <v>9</v>
      </c>
      <c r="BX7" s="88">
        <v>4</v>
      </c>
      <c r="BY7" s="89">
        <v>19</v>
      </c>
      <c r="BZ7" s="89">
        <v>34</v>
      </c>
      <c r="CA7" s="89">
        <v>24</v>
      </c>
      <c r="CB7" s="73"/>
      <c r="CC7" s="143"/>
      <c r="CD7" s="141"/>
      <c r="CE7" s="10" t="s">
        <v>9</v>
      </c>
      <c r="CF7" s="11">
        <v>0</v>
      </c>
      <c r="CG7" s="11">
        <v>0</v>
      </c>
      <c r="CH7" s="11">
        <v>0</v>
      </c>
      <c r="CI7" s="11">
        <v>0</v>
      </c>
      <c r="CJ7" s="73"/>
      <c r="CK7" s="143"/>
      <c r="CL7" s="141"/>
      <c r="CM7" s="10" t="s">
        <v>9</v>
      </c>
      <c r="CN7" s="11">
        <v>0</v>
      </c>
      <c r="CO7" s="11">
        <v>0</v>
      </c>
      <c r="CP7" s="11">
        <v>0</v>
      </c>
      <c r="CQ7" s="11">
        <v>0</v>
      </c>
      <c r="CR7" s="73"/>
      <c r="CS7" s="143"/>
      <c r="CT7" s="141"/>
      <c r="CU7" s="10" t="s">
        <v>9</v>
      </c>
      <c r="CV7" s="12">
        <f t="shared" si="0"/>
        <v>55</v>
      </c>
      <c r="CW7" s="13">
        <f t="shared" si="1"/>
        <v>149</v>
      </c>
      <c r="CX7" s="13">
        <f t="shared" si="2"/>
        <v>249</v>
      </c>
      <c r="CY7" s="13">
        <f t="shared" si="3"/>
        <v>368</v>
      </c>
    </row>
    <row r="8" spans="1:104" ht="20.100000000000001" customHeight="1" thickBot="1" x14ac:dyDescent="0.3">
      <c r="A8" s="143"/>
      <c r="B8" s="145" t="s">
        <v>10</v>
      </c>
      <c r="C8" s="146"/>
      <c r="D8" s="90">
        <v>0</v>
      </c>
      <c r="E8" s="91">
        <v>65</v>
      </c>
      <c r="F8" s="91">
        <v>65</v>
      </c>
      <c r="G8" s="91">
        <v>41</v>
      </c>
      <c r="H8" s="73"/>
      <c r="I8" s="143"/>
      <c r="J8" s="145" t="s">
        <v>10</v>
      </c>
      <c r="K8" s="146"/>
      <c r="L8" s="105">
        <v>0</v>
      </c>
      <c r="M8" s="105">
        <v>42</v>
      </c>
      <c r="N8" s="105">
        <v>60</v>
      </c>
      <c r="O8" s="106">
        <v>94</v>
      </c>
      <c r="P8" s="73"/>
      <c r="Q8" s="143"/>
      <c r="R8" s="145" t="s">
        <v>10</v>
      </c>
      <c r="S8" s="146"/>
      <c r="T8" s="90">
        <v>25</v>
      </c>
      <c r="U8" s="91">
        <v>53</v>
      </c>
      <c r="V8" s="91">
        <v>50</v>
      </c>
      <c r="W8" s="91">
        <v>103</v>
      </c>
      <c r="X8" s="73"/>
      <c r="Y8" s="143"/>
      <c r="Z8" s="145" t="s">
        <v>10</v>
      </c>
      <c r="AA8" s="146"/>
      <c r="AB8" s="90">
        <v>3</v>
      </c>
      <c r="AC8" s="91">
        <v>43</v>
      </c>
      <c r="AD8" s="91">
        <v>55</v>
      </c>
      <c r="AE8" s="91">
        <v>55</v>
      </c>
      <c r="AF8" s="73"/>
      <c r="AG8" s="143"/>
      <c r="AH8" s="145" t="s">
        <v>10</v>
      </c>
      <c r="AI8" s="146"/>
      <c r="AJ8" s="90">
        <v>6</v>
      </c>
      <c r="AK8" s="91">
        <v>84</v>
      </c>
      <c r="AL8" s="91">
        <v>62</v>
      </c>
      <c r="AM8" s="91">
        <v>205</v>
      </c>
      <c r="AN8" s="73"/>
      <c r="AO8" s="143"/>
      <c r="AP8" s="145" t="s">
        <v>10</v>
      </c>
      <c r="AQ8" s="146"/>
      <c r="AR8" s="90">
        <v>0</v>
      </c>
      <c r="AS8" s="91">
        <v>36</v>
      </c>
      <c r="AT8" s="91">
        <v>31</v>
      </c>
      <c r="AU8" s="91">
        <v>13</v>
      </c>
      <c r="AV8" s="73"/>
      <c r="AW8" s="143"/>
      <c r="AX8" s="145" t="s">
        <v>10</v>
      </c>
      <c r="AY8" s="146"/>
      <c r="AZ8" s="105">
        <v>0</v>
      </c>
      <c r="BA8" s="105">
        <v>32</v>
      </c>
      <c r="BB8" s="105">
        <v>45</v>
      </c>
      <c r="BC8" s="106">
        <v>94</v>
      </c>
      <c r="BD8" s="73"/>
      <c r="BE8" s="143"/>
      <c r="BF8" s="145" t="s">
        <v>10</v>
      </c>
      <c r="BG8" s="146"/>
      <c r="BH8" s="116">
        <f t="shared" ref="BH8:BK8" si="4">SUM(BH6:BH7)</f>
        <v>0</v>
      </c>
      <c r="BI8" s="116">
        <f t="shared" si="4"/>
        <v>36</v>
      </c>
      <c r="BJ8" s="116">
        <v>31</v>
      </c>
      <c r="BK8" s="116">
        <f t="shared" si="4"/>
        <v>13</v>
      </c>
      <c r="BL8" s="73"/>
      <c r="BM8" s="143"/>
      <c r="BN8" s="145" t="s">
        <v>10</v>
      </c>
      <c r="BO8" s="146"/>
      <c r="BP8" s="116">
        <f t="shared" ref="BP8:BS8" si="5">SUM(BP6:BP7)</f>
        <v>60</v>
      </c>
      <c r="BQ8" s="116">
        <f t="shared" si="5"/>
        <v>38</v>
      </c>
      <c r="BR8" s="116">
        <f t="shared" si="5"/>
        <v>17</v>
      </c>
      <c r="BS8" s="116">
        <f t="shared" si="5"/>
        <v>24</v>
      </c>
      <c r="BT8" s="73"/>
      <c r="BU8" s="143"/>
      <c r="BV8" s="145" t="s">
        <v>10</v>
      </c>
      <c r="BW8" s="146"/>
      <c r="BX8" s="90">
        <v>4</v>
      </c>
      <c r="BY8" s="91">
        <v>63</v>
      </c>
      <c r="BZ8" s="91">
        <v>58</v>
      </c>
      <c r="CA8" s="91">
        <v>41</v>
      </c>
      <c r="CB8" s="73"/>
      <c r="CC8" s="143"/>
      <c r="CD8" s="145" t="s">
        <v>10</v>
      </c>
      <c r="CE8" s="146"/>
      <c r="CF8" s="14">
        <f>SUM(CF6:CF7)</f>
        <v>0</v>
      </c>
      <c r="CG8" s="14">
        <f>SUM(CG6:CG7)</f>
        <v>0</v>
      </c>
      <c r="CH8" s="14">
        <f>SUM(CH6:CH7)</f>
        <v>0</v>
      </c>
      <c r="CI8" s="14">
        <f>SUM(CI6:CI7)</f>
        <v>0</v>
      </c>
      <c r="CJ8" s="73"/>
      <c r="CK8" s="143"/>
      <c r="CL8" s="145" t="s">
        <v>10</v>
      </c>
      <c r="CM8" s="146"/>
      <c r="CN8" s="14">
        <f>SUM(CN6:CN7)</f>
        <v>0</v>
      </c>
      <c r="CO8" s="14">
        <f>SUM(CO6:CO7)</f>
        <v>0</v>
      </c>
      <c r="CP8" s="14">
        <f>SUM(CP6:CP7)</f>
        <v>0</v>
      </c>
      <c r="CQ8" s="14">
        <f>SUM(CQ6:CQ7)</f>
        <v>0</v>
      </c>
      <c r="CR8" s="73"/>
      <c r="CS8" s="143"/>
      <c r="CT8" s="145" t="s">
        <v>10</v>
      </c>
      <c r="CU8" s="146"/>
      <c r="CV8" s="16">
        <f>SUM(CV6:CV7)</f>
        <v>98</v>
      </c>
      <c r="CW8" s="16">
        <f>SUM(CW6:CW7)</f>
        <v>492</v>
      </c>
      <c r="CX8" s="16">
        <f>SUM(CX6:CX7)</f>
        <v>474</v>
      </c>
      <c r="CY8" s="20">
        <f>SUM(CY6:CY7)</f>
        <v>683</v>
      </c>
    </row>
    <row r="9" spans="1:104" ht="20.100000000000001" customHeight="1" thickBot="1" x14ac:dyDescent="0.3">
      <c r="A9" s="143"/>
      <c r="B9" s="153" t="s">
        <v>11</v>
      </c>
      <c r="C9" s="6" t="s">
        <v>8</v>
      </c>
      <c r="D9" s="92">
        <v>0</v>
      </c>
      <c r="E9" s="93">
        <v>1</v>
      </c>
      <c r="F9" s="93">
        <v>0</v>
      </c>
      <c r="G9" s="93">
        <v>0</v>
      </c>
      <c r="H9" s="73"/>
      <c r="I9" s="143"/>
      <c r="J9" s="153" t="s">
        <v>11</v>
      </c>
      <c r="K9" s="6" t="s">
        <v>8</v>
      </c>
      <c r="L9" s="98">
        <v>0</v>
      </c>
      <c r="M9" s="98">
        <v>7</v>
      </c>
      <c r="N9" s="98">
        <v>6</v>
      </c>
      <c r="O9" s="99">
        <v>16</v>
      </c>
      <c r="P9" s="73"/>
      <c r="Q9" s="143"/>
      <c r="R9" s="153" t="s">
        <v>11</v>
      </c>
      <c r="S9" s="6" t="s">
        <v>8</v>
      </c>
      <c r="T9" s="92">
        <v>0</v>
      </c>
      <c r="U9" s="93">
        <v>3</v>
      </c>
      <c r="V9" s="93">
        <v>3</v>
      </c>
      <c r="W9" s="93">
        <v>5</v>
      </c>
      <c r="X9" s="73"/>
      <c r="Y9" s="143"/>
      <c r="Z9" s="153" t="s">
        <v>11</v>
      </c>
      <c r="AA9" s="6" t="s">
        <v>8</v>
      </c>
      <c r="AB9" s="92">
        <v>0</v>
      </c>
      <c r="AC9" s="93">
        <v>11</v>
      </c>
      <c r="AD9" s="93">
        <v>1</v>
      </c>
      <c r="AE9" s="93">
        <v>0</v>
      </c>
      <c r="AF9" s="73"/>
      <c r="AG9" s="143"/>
      <c r="AH9" s="153" t="s">
        <v>11</v>
      </c>
      <c r="AI9" s="6" t="s">
        <v>8</v>
      </c>
      <c r="AJ9" s="92">
        <v>0</v>
      </c>
      <c r="AK9" s="93">
        <v>5</v>
      </c>
      <c r="AL9" s="93">
        <v>2</v>
      </c>
      <c r="AM9" s="93">
        <v>0</v>
      </c>
      <c r="AN9" s="73"/>
      <c r="AO9" s="143"/>
      <c r="AP9" s="153" t="s">
        <v>11</v>
      </c>
      <c r="AQ9" s="6" t="s">
        <v>8</v>
      </c>
      <c r="AR9" s="92">
        <v>0</v>
      </c>
      <c r="AS9" s="93">
        <v>4</v>
      </c>
      <c r="AT9" s="93">
        <v>5</v>
      </c>
      <c r="AU9" s="93">
        <v>0</v>
      </c>
      <c r="AV9" s="73"/>
      <c r="AW9" s="143"/>
      <c r="AX9" s="153" t="s">
        <v>11</v>
      </c>
      <c r="AY9" s="6" t="s">
        <v>8</v>
      </c>
      <c r="AZ9" s="98">
        <v>0</v>
      </c>
      <c r="BA9" s="98">
        <v>5</v>
      </c>
      <c r="BB9" s="98">
        <v>5</v>
      </c>
      <c r="BC9" s="99">
        <v>15</v>
      </c>
      <c r="BD9" s="73"/>
      <c r="BE9" s="143"/>
      <c r="BF9" s="153" t="s">
        <v>11</v>
      </c>
      <c r="BG9" s="6" t="s">
        <v>8</v>
      </c>
      <c r="BH9" s="114">
        <v>0</v>
      </c>
      <c r="BI9" s="114">
        <v>4</v>
      </c>
      <c r="BJ9" s="114">
        <v>5</v>
      </c>
      <c r="BK9" s="114">
        <v>0</v>
      </c>
      <c r="BL9" s="73"/>
      <c r="BM9" s="143"/>
      <c r="BN9" s="153" t="s">
        <v>11</v>
      </c>
      <c r="BO9" s="6" t="s">
        <v>8</v>
      </c>
      <c r="BP9" s="114">
        <v>0</v>
      </c>
      <c r="BQ9" s="114">
        <v>6</v>
      </c>
      <c r="BR9" s="114">
        <v>0</v>
      </c>
      <c r="BS9" s="114">
        <v>2</v>
      </c>
      <c r="BT9" s="73"/>
      <c r="BU9" s="143"/>
      <c r="BV9" s="153" t="s">
        <v>11</v>
      </c>
      <c r="BW9" s="6" t="s">
        <v>8</v>
      </c>
      <c r="BX9" s="92">
        <v>1</v>
      </c>
      <c r="BY9" s="93">
        <v>7</v>
      </c>
      <c r="BZ9" s="93">
        <v>7</v>
      </c>
      <c r="CA9" s="93">
        <v>3</v>
      </c>
      <c r="CB9" s="73"/>
      <c r="CC9" s="143"/>
      <c r="CD9" s="153" t="s">
        <v>11</v>
      </c>
      <c r="CE9" s="6" t="s">
        <v>8</v>
      </c>
      <c r="CF9" s="7">
        <v>0</v>
      </c>
      <c r="CG9" s="7">
        <v>0</v>
      </c>
      <c r="CH9" s="7">
        <v>0</v>
      </c>
      <c r="CI9" s="7">
        <v>0</v>
      </c>
      <c r="CJ9" s="73"/>
      <c r="CK9" s="143"/>
      <c r="CL9" s="153" t="s">
        <v>11</v>
      </c>
      <c r="CM9" s="6" t="s">
        <v>8</v>
      </c>
      <c r="CN9" s="7">
        <v>0</v>
      </c>
      <c r="CO9" s="7">
        <v>0</v>
      </c>
      <c r="CP9" s="7">
        <v>0</v>
      </c>
      <c r="CQ9" s="7">
        <v>0</v>
      </c>
      <c r="CR9" s="73"/>
      <c r="CS9" s="143"/>
      <c r="CT9" s="153" t="s">
        <v>11</v>
      </c>
      <c r="CU9" s="6" t="s">
        <v>8</v>
      </c>
      <c r="CV9" s="8">
        <f t="shared" ref="CV9:CV10" si="6">SUM(D9+L9+T9+AB9+AJ9+AR9+AZ9+BH9+BP9+BX9+CF9+CN9)</f>
        <v>1</v>
      </c>
      <c r="CW9" s="9">
        <f t="shared" ref="CW9:CW10" si="7">SUM(E9+M9+U9+AC9+AK9+AS9+BA9+BI9+BQ9+BY9+CG9+CO9)</f>
        <v>53</v>
      </c>
      <c r="CX9" s="9">
        <f t="shared" ref="CX9:CX10" si="8">SUM(F9+N9+V9+AD9+AL9+AT9+BB9+BJ9+BR9+BZ9+CH9+CP9)</f>
        <v>34</v>
      </c>
      <c r="CY9" s="9">
        <f t="shared" ref="CY9:CY10" si="9">SUM(G9+O9+W9+AE9+AM9+AU9+BC9+BK9+BS9+CA9+CI9+CQ9)</f>
        <v>41</v>
      </c>
    </row>
    <row r="10" spans="1:104" ht="20.100000000000001" customHeight="1" thickBot="1" x14ac:dyDescent="0.3">
      <c r="A10" s="143"/>
      <c r="B10" s="154"/>
      <c r="C10" s="10" t="s">
        <v>9</v>
      </c>
      <c r="D10" s="88">
        <v>0</v>
      </c>
      <c r="E10" s="89">
        <v>1</v>
      </c>
      <c r="F10" s="89">
        <v>0</v>
      </c>
      <c r="G10" s="89">
        <v>0</v>
      </c>
      <c r="H10" s="73"/>
      <c r="I10" s="143"/>
      <c r="J10" s="154"/>
      <c r="K10" s="10" t="s">
        <v>9</v>
      </c>
      <c r="L10" s="98">
        <v>0</v>
      </c>
      <c r="M10" s="98">
        <v>3</v>
      </c>
      <c r="N10" s="98">
        <v>3</v>
      </c>
      <c r="O10" s="99">
        <v>1</v>
      </c>
      <c r="P10" s="73"/>
      <c r="Q10" s="143"/>
      <c r="R10" s="154"/>
      <c r="S10" s="10" t="s">
        <v>9</v>
      </c>
      <c r="T10" s="88">
        <v>0</v>
      </c>
      <c r="U10" s="89">
        <v>0</v>
      </c>
      <c r="V10" s="89">
        <v>4</v>
      </c>
      <c r="W10" s="89">
        <v>0</v>
      </c>
      <c r="X10" s="73"/>
      <c r="Y10" s="143"/>
      <c r="Z10" s="154"/>
      <c r="AA10" s="10" t="s">
        <v>9</v>
      </c>
      <c r="AB10" s="88">
        <v>0</v>
      </c>
      <c r="AC10" s="89">
        <v>1</v>
      </c>
      <c r="AD10" s="89">
        <v>0</v>
      </c>
      <c r="AE10" s="89">
        <v>3</v>
      </c>
      <c r="AF10" s="73"/>
      <c r="AG10" s="143"/>
      <c r="AH10" s="154"/>
      <c r="AI10" s="10" t="s">
        <v>9</v>
      </c>
      <c r="AJ10" s="88">
        <v>0</v>
      </c>
      <c r="AK10" s="89">
        <v>0</v>
      </c>
      <c r="AL10" s="89">
        <v>2</v>
      </c>
      <c r="AM10" s="89">
        <v>2</v>
      </c>
      <c r="AN10" s="73"/>
      <c r="AO10" s="143"/>
      <c r="AP10" s="154"/>
      <c r="AQ10" s="10" t="s">
        <v>9</v>
      </c>
      <c r="AR10" s="88">
        <v>0</v>
      </c>
      <c r="AS10" s="89">
        <v>0</v>
      </c>
      <c r="AT10" s="89">
        <v>2</v>
      </c>
      <c r="AU10" s="89">
        <v>1</v>
      </c>
      <c r="AV10" s="73"/>
      <c r="AW10" s="143"/>
      <c r="AX10" s="154"/>
      <c r="AY10" s="10" t="s">
        <v>9</v>
      </c>
      <c r="AZ10" s="98">
        <v>0</v>
      </c>
      <c r="BA10" s="98">
        <v>2</v>
      </c>
      <c r="BB10" s="98">
        <v>1</v>
      </c>
      <c r="BC10" s="99">
        <v>1</v>
      </c>
      <c r="BD10" s="73"/>
      <c r="BE10" s="143"/>
      <c r="BF10" s="154"/>
      <c r="BG10" s="10" t="s">
        <v>9</v>
      </c>
      <c r="BH10" s="115">
        <v>0</v>
      </c>
      <c r="BI10" s="115">
        <v>0</v>
      </c>
      <c r="BJ10" s="115">
        <v>2</v>
      </c>
      <c r="BK10" s="115">
        <v>1</v>
      </c>
      <c r="BL10" s="73"/>
      <c r="BM10" s="143"/>
      <c r="BN10" s="154"/>
      <c r="BO10" s="10" t="s">
        <v>9</v>
      </c>
      <c r="BP10" s="115">
        <v>0</v>
      </c>
      <c r="BQ10" s="115">
        <v>2</v>
      </c>
      <c r="BR10" s="115">
        <v>0</v>
      </c>
      <c r="BS10" s="115">
        <v>2</v>
      </c>
      <c r="BT10" s="73"/>
      <c r="BU10" s="143"/>
      <c r="BV10" s="154"/>
      <c r="BW10" s="10" t="s">
        <v>9</v>
      </c>
      <c r="BX10" s="88">
        <v>0</v>
      </c>
      <c r="BY10" s="89">
        <v>1</v>
      </c>
      <c r="BZ10" s="89">
        <v>8</v>
      </c>
      <c r="CA10" s="89">
        <v>1</v>
      </c>
      <c r="CB10" s="73"/>
      <c r="CC10" s="143"/>
      <c r="CD10" s="154"/>
      <c r="CE10" s="10" t="s">
        <v>9</v>
      </c>
      <c r="CF10" s="11">
        <v>0</v>
      </c>
      <c r="CG10" s="11">
        <v>0</v>
      </c>
      <c r="CH10" s="11">
        <v>0</v>
      </c>
      <c r="CI10" s="11">
        <v>0</v>
      </c>
      <c r="CJ10" s="73"/>
      <c r="CK10" s="143"/>
      <c r="CL10" s="154"/>
      <c r="CM10" s="10" t="s">
        <v>9</v>
      </c>
      <c r="CN10" s="11">
        <v>0</v>
      </c>
      <c r="CO10" s="11">
        <v>0</v>
      </c>
      <c r="CP10" s="11">
        <v>0</v>
      </c>
      <c r="CQ10" s="11">
        <v>0</v>
      </c>
      <c r="CR10" s="73"/>
      <c r="CS10" s="143"/>
      <c r="CT10" s="154"/>
      <c r="CU10" s="10" t="s">
        <v>9</v>
      </c>
      <c r="CV10" s="12">
        <f t="shared" si="6"/>
        <v>0</v>
      </c>
      <c r="CW10" s="13">
        <f t="shared" si="7"/>
        <v>10</v>
      </c>
      <c r="CX10" s="13">
        <f t="shared" si="8"/>
        <v>22</v>
      </c>
      <c r="CY10" s="13">
        <f t="shared" si="9"/>
        <v>12</v>
      </c>
    </row>
    <row r="11" spans="1:104" ht="20.100000000000001" customHeight="1" thickBot="1" x14ac:dyDescent="0.3">
      <c r="A11" s="144"/>
      <c r="B11" s="151" t="s">
        <v>14</v>
      </c>
      <c r="C11" s="152"/>
      <c r="D11" s="14">
        <f>SUM(D9:D10)</f>
        <v>0</v>
      </c>
      <c r="E11" s="14">
        <f>SUM(E9:E10)</f>
        <v>2</v>
      </c>
      <c r="F11" s="14">
        <f>SUM(F9:F10)</f>
        <v>0</v>
      </c>
      <c r="G11" s="14">
        <f>SUM(G9:G10)</f>
        <v>0</v>
      </c>
      <c r="H11" s="73"/>
      <c r="I11" s="144"/>
      <c r="J11" s="151" t="s">
        <v>14</v>
      </c>
      <c r="K11" s="152"/>
      <c r="L11" s="14">
        <f>SUM(L9:L10)</f>
        <v>0</v>
      </c>
      <c r="M11" s="14">
        <f>SUM(M9:M10)</f>
        <v>10</v>
      </c>
      <c r="N11" s="14">
        <f>SUM(N9:N10)</f>
        <v>9</v>
      </c>
      <c r="O11" s="14">
        <f>SUM(O9:O10)</f>
        <v>17</v>
      </c>
      <c r="P11" s="73"/>
      <c r="Q11" s="144"/>
      <c r="R11" s="151" t="s">
        <v>14</v>
      </c>
      <c r="S11" s="152"/>
      <c r="T11" s="90">
        <v>0</v>
      </c>
      <c r="U11" s="91">
        <v>3</v>
      </c>
      <c r="V11" s="91">
        <v>7</v>
      </c>
      <c r="W11" s="91">
        <v>5</v>
      </c>
      <c r="X11" s="73"/>
      <c r="Y11" s="144"/>
      <c r="Z11" s="151" t="s">
        <v>14</v>
      </c>
      <c r="AA11" s="152"/>
      <c r="AB11" s="90">
        <v>0</v>
      </c>
      <c r="AC11" s="91">
        <v>12</v>
      </c>
      <c r="AD11" s="91">
        <v>1</v>
      </c>
      <c r="AE11" s="91">
        <v>3</v>
      </c>
      <c r="AF11" s="73"/>
      <c r="AG11" s="144"/>
      <c r="AH11" s="151" t="s">
        <v>14</v>
      </c>
      <c r="AI11" s="152"/>
      <c r="AJ11" s="14">
        <f>SUM(AJ9:AJ10)</f>
        <v>0</v>
      </c>
      <c r="AK11" s="14">
        <f>SUM(AK9:AK10)</f>
        <v>5</v>
      </c>
      <c r="AL11" s="14">
        <f>SUM(AL9:AL10)</f>
        <v>4</v>
      </c>
      <c r="AM11" s="14">
        <f>SUM(AM9:AM10)</f>
        <v>2</v>
      </c>
      <c r="AN11" s="73"/>
      <c r="AO11" s="144"/>
      <c r="AP11" s="151" t="s">
        <v>14</v>
      </c>
      <c r="AQ11" s="152"/>
      <c r="AR11" s="90">
        <v>0</v>
      </c>
      <c r="AS11" s="91">
        <v>4</v>
      </c>
      <c r="AT11" s="91">
        <v>7</v>
      </c>
      <c r="AU11" s="91">
        <v>1</v>
      </c>
      <c r="AV11" s="73"/>
      <c r="AW11" s="144"/>
      <c r="AX11" s="151" t="s">
        <v>14</v>
      </c>
      <c r="AY11" s="152"/>
      <c r="AZ11" s="113">
        <v>0</v>
      </c>
      <c r="BA11" s="113">
        <v>7</v>
      </c>
      <c r="BB11" s="113">
        <v>6</v>
      </c>
      <c r="BC11" s="103">
        <v>16</v>
      </c>
      <c r="BD11" s="73"/>
      <c r="BE11" s="144"/>
      <c r="BF11" s="151" t="s">
        <v>14</v>
      </c>
      <c r="BG11" s="152"/>
      <c r="BH11" s="116">
        <f t="shared" ref="BH11:BK11" si="10">SUM(BH9:BH10)</f>
        <v>0</v>
      </c>
      <c r="BI11" s="116">
        <f t="shared" si="10"/>
        <v>4</v>
      </c>
      <c r="BJ11" s="116">
        <f t="shared" si="10"/>
        <v>7</v>
      </c>
      <c r="BK11" s="116">
        <f t="shared" si="10"/>
        <v>1</v>
      </c>
      <c r="BL11" s="73"/>
      <c r="BM11" s="144"/>
      <c r="BN11" s="151" t="s">
        <v>14</v>
      </c>
      <c r="BO11" s="152"/>
      <c r="BP11" s="116">
        <f t="shared" ref="BP11:BS11" si="11">SUM(BP9:BP10)</f>
        <v>0</v>
      </c>
      <c r="BQ11" s="116">
        <f t="shared" si="11"/>
        <v>8</v>
      </c>
      <c r="BR11" s="116">
        <f t="shared" si="11"/>
        <v>0</v>
      </c>
      <c r="BS11" s="116">
        <f t="shared" si="11"/>
        <v>4</v>
      </c>
      <c r="BT11" s="73"/>
      <c r="BU11" s="144"/>
      <c r="BV11" s="151" t="s">
        <v>14</v>
      </c>
      <c r="BW11" s="152"/>
      <c r="BX11" s="90">
        <v>1</v>
      </c>
      <c r="BY11" s="91">
        <v>8</v>
      </c>
      <c r="BZ11" s="91">
        <v>15</v>
      </c>
      <c r="CA11" s="91">
        <v>4</v>
      </c>
      <c r="CB11" s="73"/>
      <c r="CC11" s="144"/>
      <c r="CD11" s="151" t="s">
        <v>14</v>
      </c>
      <c r="CE11" s="152"/>
      <c r="CF11" s="14">
        <f>SUM(CF9:CF10)</f>
        <v>0</v>
      </c>
      <c r="CG11" s="14">
        <f>SUM(CG9:CG10)</f>
        <v>0</v>
      </c>
      <c r="CH11" s="14">
        <f>SUM(CH9:CH10)</f>
        <v>0</v>
      </c>
      <c r="CI11" s="14">
        <f>SUM(CI9:CI10)</f>
        <v>0</v>
      </c>
      <c r="CJ11" s="73"/>
      <c r="CK11" s="144"/>
      <c r="CL11" s="151" t="s">
        <v>14</v>
      </c>
      <c r="CM11" s="152"/>
      <c r="CN11" s="14">
        <f>SUM(CN9:CN10)</f>
        <v>0</v>
      </c>
      <c r="CO11" s="14">
        <f>SUM(CO9:CO10)</f>
        <v>0</v>
      </c>
      <c r="CP11" s="14">
        <f>SUM(CP9:CP10)</f>
        <v>0</v>
      </c>
      <c r="CQ11" s="14">
        <f>SUM(CQ9:CQ10)</f>
        <v>0</v>
      </c>
      <c r="CR11" s="73"/>
      <c r="CS11" s="144"/>
      <c r="CT11" s="151" t="s">
        <v>14</v>
      </c>
      <c r="CU11" s="152"/>
      <c r="CV11" s="14">
        <f>SUM(CV9:CV10)</f>
        <v>1</v>
      </c>
      <c r="CW11" s="14">
        <f>SUM(CW9:CW10)</f>
        <v>63</v>
      </c>
      <c r="CX11" s="14">
        <f>SUM(CX9:CX10)</f>
        <v>56</v>
      </c>
      <c r="CY11" s="15">
        <f>SUM(CY9:CY10)</f>
        <v>53</v>
      </c>
    </row>
    <row r="12" spans="1:104" ht="20.100000000000001" customHeight="1" thickBot="1" x14ac:dyDescent="0.25">
      <c r="A12" s="17"/>
      <c r="B12" s="149" t="s">
        <v>12</v>
      </c>
      <c r="C12" s="150"/>
      <c r="D12" s="18">
        <f>SUM(D8+D11)</f>
        <v>0</v>
      </c>
      <c r="E12" s="18">
        <f>SUM(E8+E11)</f>
        <v>67</v>
      </c>
      <c r="F12" s="18">
        <f>SUM(F8+F11)</f>
        <v>65</v>
      </c>
      <c r="G12" s="18">
        <f>SUM(G8+G11)</f>
        <v>41</v>
      </c>
      <c r="H12" s="73"/>
      <c r="I12" s="17"/>
      <c r="J12" s="149" t="s">
        <v>12</v>
      </c>
      <c r="K12" s="150"/>
      <c r="L12" s="18">
        <f>SUM(L8+L11)</f>
        <v>0</v>
      </c>
      <c r="M12" s="18">
        <f>SUM(M8+M11)</f>
        <v>52</v>
      </c>
      <c r="N12" s="18">
        <f>SUM(N8+N11)</f>
        <v>69</v>
      </c>
      <c r="O12" s="18">
        <f>SUM(O8+O11)</f>
        <v>111</v>
      </c>
      <c r="P12" s="73"/>
      <c r="Q12" s="17"/>
      <c r="R12" s="149" t="s">
        <v>12</v>
      </c>
      <c r="S12" s="150"/>
      <c r="T12" s="107">
        <v>25</v>
      </c>
      <c r="U12" s="108">
        <v>56</v>
      </c>
      <c r="V12" s="108">
        <v>57</v>
      </c>
      <c r="W12" s="108">
        <v>108</v>
      </c>
      <c r="X12" s="73"/>
      <c r="Y12" s="17"/>
      <c r="Z12" s="149" t="s">
        <v>12</v>
      </c>
      <c r="AA12" s="150"/>
      <c r="AB12" s="107">
        <v>3</v>
      </c>
      <c r="AC12" s="108">
        <v>55</v>
      </c>
      <c r="AD12" s="108">
        <v>56</v>
      </c>
      <c r="AE12" s="108">
        <v>58</v>
      </c>
      <c r="AF12" s="73"/>
      <c r="AG12" s="17"/>
      <c r="AH12" s="149" t="s">
        <v>12</v>
      </c>
      <c r="AI12" s="150"/>
      <c r="AJ12" s="18">
        <f>SUM(AJ8+AJ11)</f>
        <v>6</v>
      </c>
      <c r="AK12" s="18">
        <f>SUM(AK8+AK11)</f>
        <v>89</v>
      </c>
      <c r="AL12" s="18">
        <f>SUM(AL8+AL11)</f>
        <v>66</v>
      </c>
      <c r="AM12" s="18">
        <f>SUM(AM8+AM11)</f>
        <v>207</v>
      </c>
      <c r="AN12" s="73"/>
      <c r="AO12" s="17"/>
      <c r="AP12" s="149" t="s">
        <v>12</v>
      </c>
      <c r="AQ12" s="150"/>
      <c r="AR12" s="107">
        <v>0</v>
      </c>
      <c r="AS12" s="108">
        <v>40</v>
      </c>
      <c r="AT12" s="108">
        <v>38</v>
      </c>
      <c r="AU12" s="108">
        <v>14</v>
      </c>
      <c r="AV12" s="73"/>
      <c r="AW12" s="17"/>
      <c r="AX12" s="149" t="s">
        <v>12</v>
      </c>
      <c r="AY12" s="150"/>
      <c r="AZ12" s="107">
        <v>0</v>
      </c>
      <c r="BA12" s="108">
        <v>39</v>
      </c>
      <c r="BB12" s="108">
        <v>51</v>
      </c>
      <c r="BC12" s="108">
        <v>110</v>
      </c>
      <c r="BD12" s="73"/>
      <c r="BE12" s="17"/>
      <c r="BF12" s="149" t="s">
        <v>12</v>
      </c>
      <c r="BG12" s="150"/>
      <c r="BH12" s="117">
        <f t="shared" ref="BH12:BK12" si="12">SUM(BH8+BH11)</f>
        <v>0</v>
      </c>
      <c r="BI12" s="117">
        <f t="shared" si="12"/>
        <v>40</v>
      </c>
      <c r="BJ12" s="117">
        <f t="shared" si="12"/>
        <v>38</v>
      </c>
      <c r="BK12" s="117">
        <f t="shared" si="12"/>
        <v>14</v>
      </c>
      <c r="BL12" s="73"/>
      <c r="BM12" s="17"/>
      <c r="BN12" s="149" t="s">
        <v>12</v>
      </c>
      <c r="BO12" s="150"/>
      <c r="BP12" s="117">
        <f t="shared" ref="BP12:BS12" si="13">SUM(BP8+BP11)</f>
        <v>60</v>
      </c>
      <c r="BQ12" s="117">
        <f t="shared" si="13"/>
        <v>46</v>
      </c>
      <c r="BR12" s="117">
        <f t="shared" si="13"/>
        <v>17</v>
      </c>
      <c r="BS12" s="117">
        <f t="shared" si="13"/>
        <v>28</v>
      </c>
      <c r="BT12" s="73"/>
      <c r="BU12" s="17"/>
      <c r="BV12" s="149" t="s">
        <v>12</v>
      </c>
      <c r="BW12" s="150"/>
      <c r="BX12" s="18">
        <f>SUM(BX8+BX11)</f>
        <v>5</v>
      </c>
      <c r="BY12" s="18">
        <f>SUM(BY8+BY11)</f>
        <v>71</v>
      </c>
      <c r="BZ12" s="18">
        <f>SUM(BZ8+BZ11)</f>
        <v>73</v>
      </c>
      <c r="CA12" s="18">
        <f>SUM(CA8+CA11)</f>
        <v>45</v>
      </c>
      <c r="CB12" s="73"/>
      <c r="CC12" s="17"/>
      <c r="CD12" s="149" t="s">
        <v>12</v>
      </c>
      <c r="CE12" s="150"/>
      <c r="CF12" s="18">
        <f>SUM(CF8+CF11)</f>
        <v>0</v>
      </c>
      <c r="CG12" s="18">
        <f>SUM(CG8+CG11)</f>
        <v>0</v>
      </c>
      <c r="CH12" s="18">
        <f>SUM(CH8+CH11)</f>
        <v>0</v>
      </c>
      <c r="CI12" s="18">
        <f>SUM(CI8+CI11)</f>
        <v>0</v>
      </c>
      <c r="CJ12" s="73"/>
      <c r="CK12" s="17"/>
      <c r="CL12" s="149" t="s">
        <v>12</v>
      </c>
      <c r="CM12" s="150"/>
      <c r="CN12" s="18">
        <f>SUM(CN8+CN11)</f>
        <v>0</v>
      </c>
      <c r="CO12" s="18">
        <f>SUM(CO8+CO11)</f>
        <v>0</v>
      </c>
      <c r="CP12" s="18">
        <f>SUM(CP8+CP11)</f>
        <v>0</v>
      </c>
      <c r="CQ12" s="18">
        <f>SUM(CQ8+CQ11)</f>
        <v>0</v>
      </c>
      <c r="CR12" s="73"/>
      <c r="CS12" s="17"/>
      <c r="CT12" s="149" t="s">
        <v>12</v>
      </c>
      <c r="CU12" s="150"/>
      <c r="CV12" s="18">
        <f>SUM(CV8+CV11)</f>
        <v>99</v>
      </c>
      <c r="CW12" s="18">
        <f>SUM(CW8+CW11)</f>
        <v>555</v>
      </c>
      <c r="CX12" s="18">
        <f>SUM(CX8+CX11)</f>
        <v>530</v>
      </c>
      <c r="CY12" s="23">
        <f>SUM(CY8+CY11)</f>
        <v>736</v>
      </c>
    </row>
    <row r="13" spans="1:104" ht="20.100000000000001" customHeight="1" thickTop="1" thickBot="1" x14ac:dyDescent="0.25">
      <c r="A13" s="142" t="s">
        <v>21</v>
      </c>
      <c r="B13" s="140" t="s">
        <v>3</v>
      </c>
      <c r="C13" s="6" t="s">
        <v>8</v>
      </c>
      <c r="D13" s="86">
        <v>0</v>
      </c>
      <c r="E13" s="87">
        <v>9</v>
      </c>
      <c r="F13" s="87">
        <v>10</v>
      </c>
      <c r="G13" s="87">
        <v>12</v>
      </c>
      <c r="H13" s="73"/>
      <c r="I13" s="142" t="s">
        <v>21</v>
      </c>
      <c r="J13" s="140" t="s">
        <v>3</v>
      </c>
      <c r="K13" s="6" t="s">
        <v>8</v>
      </c>
      <c r="L13" s="86">
        <v>0</v>
      </c>
      <c r="M13" s="87">
        <v>5</v>
      </c>
      <c r="N13" s="87">
        <v>6</v>
      </c>
      <c r="O13" s="87">
        <v>2</v>
      </c>
      <c r="P13" s="73"/>
      <c r="Q13" s="142" t="s">
        <v>21</v>
      </c>
      <c r="R13" s="140" t="s">
        <v>3</v>
      </c>
      <c r="S13" s="6" t="s">
        <v>8</v>
      </c>
      <c r="T13" s="92">
        <v>0</v>
      </c>
      <c r="U13" s="93">
        <v>30</v>
      </c>
      <c r="V13" s="93">
        <v>10</v>
      </c>
      <c r="W13" s="93">
        <v>20</v>
      </c>
      <c r="X13" s="73"/>
      <c r="Y13" s="142" t="s">
        <v>21</v>
      </c>
      <c r="Z13" s="140" t="s">
        <v>3</v>
      </c>
      <c r="AA13" s="6" t="s">
        <v>8</v>
      </c>
      <c r="AB13" s="92">
        <v>0</v>
      </c>
      <c r="AC13" s="93">
        <v>32</v>
      </c>
      <c r="AD13" s="93">
        <v>61</v>
      </c>
      <c r="AE13" s="93">
        <v>9</v>
      </c>
      <c r="AF13" s="73"/>
      <c r="AG13" s="142" t="s">
        <v>21</v>
      </c>
      <c r="AH13" s="140" t="s">
        <v>3</v>
      </c>
      <c r="AI13" s="6" t="s">
        <v>8</v>
      </c>
      <c r="AJ13" s="7">
        <v>0</v>
      </c>
      <c r="AK13" s="7">
        <v>0</v>
      </c>
      <c r="AL13" s="7">
        <v>0</v>
      </c>
      <c r="AM13" s="7">
        <v>0</v>
      </c>
      <c r="AN13" s="73"/>
      <c r="AO13" s="142" t="s">
        <v>21</v>
      </c>
      <c r="AP13" s="140" t="s">
        <v>3</v>
      </c>
      <c r="AQ13" s="6" t="s">
        <v>8</v>
      </c>
      <c r="AR13" s="92">
        <v>0</v>
      </c>
      <c r="AS13" s="93">
        <v>159</v>
      </c>
      <c r="AT13" s="93">
        <v>358</v>
      </c>
      <c r="AU13" s="93">
        <v>373</v>
      </c>
      <c r="AV13" s="73"/>
      <c r="AW13" s="142" t="s">
        <v>21</v>
      </c>
      <c r="AX13" s="140" t="s">
        <v>3</v>
      </c>
      <c r="AY13" s="6" t="s">
        <v>8</v>
      </c>
      <c r="AZ13" s="92">
        <v>0</v>
      </c>
      <c r="BA13" s="93">
        <v>12</v>
      </c>
      <c r="BB13" s="93">
        <v>6</v>
      </c>
      <c r="BC13" s="93">
        <v>10</v>
      </c>
      <c r="BD13" s="73"/>
      <c r="BE13" s="142" t="s">
        <v>21</v>
      </c>
      <c r="BF13" s="140" t="s">
        <v>3</v>
      </c>
      <c r="BG13" s="6" t="s">
        <v>8</v>
      </c>
      <c r="BH13" s="118">
        <v>0</v>
      </c>
      <c r="BI13" s="119">
        <v>159</v>
      </c>
      <c r="BJ13" s="119">
        <v>358</v>
      </c>
      <c r="BK13" s="119">
        <v>373</v>
      </c>
      <c r="BL13" s="73"/>
      <c r="BM13" s="142" t="s">
        <v>21</v>
      </c>
      <c r="BN13" s="140" t="s">
        <v>3</v>
      </c>
      <c r="BO13" s="6" t="s">
        <v>8</v>
      </c>
      <c r="BP13" s="114">
        <v>0</v>
      </c>
      <c r="BQ13" s="114">
        <v>3</v>
      </c>
      <c r="BR13" s="114">
        <v>6</v>
      </c>
      <c r="BS13" s="114">
        <v>3</v>
      </c>
      <c r="BT13" s="73"/>
      <c r="BU13" s="142" t="s">
        <v>21</v>
      </c>
      <c r="BV13" s="140" t="s">
        <v>3</v>
      </c>
      <c r="BW13" s="6" t="s">
        <v>8</v>
      </c>
      <c r="BX13" s="7">
        <v>0</v>
      </c>
      <c r="BY13" s="7">
        <v>0</v>
      </c>
      <c r="BZ13" s="7">
        <v>0</v>
      </c>
      <c r="CA13" s="7">
        <v>0</v>
      </c>
      <c r="CB13" s="73"/>
      <c r="CC13" s="142" t="s">
        <v>21</v>
      </c>
      <c r="CD13" s="140" t="s">
        <v>3</v>
      </c>
      <c r="CE13" s="6" t="s">
        <v>8</v>
      </c>
      <c r="CF13" s="7">
        <v>0</v>
      </c>
      <c r="CG13" s="7">
        <v>0</v>
      </c>
      <c r="CH13" s="7">
        <v>0</v>
      </c>
      <c r="CI13" s="7">
        <v>0</v>
      </c>
      <c r="CJ13" s="73"/>
      <c r="CK13" s="142" t="s">
        <v>21</v>
      </c>
      <c r="CL13" s="140" t="s">
        <v>3</v>
      </c>
      <c r="CM13" s="6" t="s">
        <v>8</v>
      </c>
      <c r="CN13" s="7">
        <v>0</v>
      </c>
      <c r="CO13" s="7">
        <v>0</v>
      </c>
      <c r="CP13" s="7">
        <v>0</v>
      </c>
      <c r="CQ13" s="7">
        <v>0</v>
      </c>
      <c r="CR13" s="73"/>
      <c r="CS13" s="142" t="str">
        <f>(CK13)</f>
        <v>الجامعة</v>
      </c>
      <c r="CT13" s="140" t="s">
        <v>3</v>
      </c>
      <c r="CU13" s="6" t="s">
        <v>8</v>
      </c>
      <c r="CV13" s="8">
        <f t="shared" ref="CV13:CV14" si="14">SUM(D13+L13+T13+AB13+AJ13+AR13+AZ13+BH13+BP13+BX13+CF13+CN13)</f>
        <v>0</v>
      </c>
      <c r="CW13" s="9">
        <f t="shared" ref="CW13:CW14" si="15">SUM(E13+M13+U13+AC13+AK13+AS13+BA13+BI13+BQ13+BY13+CG13+CO13)</f>
        <v>409</v>
      </c>
      <c r="CX13" s="9">
        <f t="shared" ref="CX13:CX14" si="16">SUM(F13+N13+V13+AD13+AL13+AT13+BB13+BJ13+BR13+BZ13+CH13+CP13)</f>
        <v>815</v>
      </c>
      <c r="CY13" s="9">
        <f t="shared" ref="CY13:CY14" si="17">SUM(G13+O13+W13+AE13+AM13+AU13+BC13+BK13+BS13+CA13+CI13+CQ13)</f>
        <v>802</v>
      </c>
    </row>
    <row r="14" spans="1:104" ht="20.100000000000001" customHeight="1" thickBot="1" x14ac:dyDescent="0.25">
      <c r="A14" s="143"/>
      <c r="B14" s="141"/>
      <c r="C14" s="10" t="s">
        <v>9</v>
      </c>
      <c r="D14" s="88">
        <v>0</v>
      </c>
      <c r="E14" s="89">
        <v>0</v>
      </c>
      <c r="F14" s="89">
        <v>0</v>
      </c>
      <c r="G14" s="89">
        <v>0</v>
      </c>
      <c r="H14" s="73"/>
      <c r="I14" s="143"/>
      <c r="J14" s="141"/>
      <c r="K14" s="10" t="s">
        <v>9</v>
      </c>
      <c r="L14" s="88">
        <v>0</v>
      </c>
      <c r="M14" s="89">
        <v>0</v>
      </c>
      <c r="N14" s="89">
        <v>4</v>
      </c>
      <c r="O14" s="89">
        <v>5</v>
      </c>
      <c r="P14" s="73"/>
      <c r="Q14" s="143"/>
      <c r="R14" s="141"/>
      <c r="S14" s="10" t="s">
        <v>9</v>
      </c>
      <c r="T14" s="88">
        <v>0</v>
      </c>
      <c r="U14" s="89">
        <v>5</v>
      </c>
      <c r="V14" s="89">
        <v>6</v>
      </c>
      <c r="W14" s="89">
        <v>0</v>
      </c>
      <c r="X14" s="73"/>
      <c r="Y14" s="143"/>
      <c r="Z14" s="141"/>
      <c r="AA14" s="10" t="s">
        <v>9</v>
      </c>
      <c r="AB14" s="88">
        <v>0</v>
      </c>
      <c r="AC14" s="89">
        <v>2</v>
      </c>
      <c r="AD14" s="89">
        <v>22</v>
      </c>
      <c r="AE14" s="89">
        <v>5</v>
      </c>
      <c r="AF14" s="73"/>
      <c r="AG14" s="143"/>
      <c r="AH14" s="141"/>
      <c r="AI14" s="10" t="s">
        <v>9</v>
      </c>
      <c r="AJ14" s="11">
        <v>0</v>
      </c>
      <c r="AK14" s="11">
        <v>0</v>
      </c>
      <c r="AL14" s="11">
        <v>0</v>
      </c>
      <c r="AM14" s="11">
        <v>0</v>
      </c>
      <c r="AN14" s="73"/>
      <c r="AO14" s="143"/>
      <c r="AP14" s="141"/>
      <c r="AQ14" s="10" t="s">
        <v>9</v>
      </c>
      <c r="AR14" s="88">
        <v>0</v>
      </c>
      <c r="AS14" s="89">
        <v>173</v>
      </c>
      <c r="AT14" s="89">
        <v>327</v>
      </c>
      <c r="AU14" s="89">
        <v>376</v>
      </c>
      <c r="AV14" s="73"/>
      <c r="AW14" s="143"/>
      <c r="AX14" s="141"/>
      <c r="AY14" s="10" t="s">
        <v>9</v>
      </c>
      <c r="AZ14" s="88">
        <v>0</v>
      </c>
      <c r="BA14" s="89">
        <v>0</v>
      </c>
      <c r="BB14" s="89">
        <v>2</v>
      </c>
      <c r="BC14" s="89">
        <v>3</v>
      </c>
      <c r="BD14" s="73"/>
      <c r="BE14" s="143"/>
      <c r="BF14" s="141"/>
      <c r="BG14" s="10" t="s">
        <v>9</v>
      </c>
      <c r="BH14" s="120">
        <v>0</v>
      </c>
      <c r="BI14" s="121">
        <v>173</v>
      </c>
      <c r="BJ14" s="121">
        <v>327</v>
      </c>
      <c r="BK14" s="121">
        <v>376</v>
      </c>
      <c r="BL14" s="73"/>
      <c r="BM14" s="143"/>
      <c r="BN14" s="141"/>
      <c r="BO14" s="10" t="s">
        <v>9</v>
      </c>
      <c r="BP14" s="115">
        <v>0</v>
      </c>
      <c r="BQ14" s="115">
        <v>4</v>
      </c>
      <c r="BR14" s="115">
        <v>4</v>
      </c>
      <c r="BS14" s="115">
        <v>7</v>
      </c>
      <c r="BT14" s="73"/>
      <c r="BU14" s="143"/>
      <c r="BV14" s="141"/>
      <c r="BW14" s="10" t="s">
        <v>9</v>
      </c>
      <c r="BX14" s="11">
        <v>0</v>
      </c>
      <c r="BY14" s="11">
        <v>0</v>
      </c>
      <c r="BZ14" s="11">
        <v>0</v>
      </c>
      <c r="CA14" s="11">
        <v>0</v>
      </c>
      <c r="CB14" s="73"/>
      <c r="CC14" s="143"/>
      <c r="CD14" s="141"/>
      <c r="CE14" s="10" t="s">
        <v>9</v>
      </c>
      <c r="CF14" s="11">
        <v>0</v>
      </c>
      <c r="CG14" s="11">
        <v>0</v>
      </c>
      <c r="CH14" s="11">
        <v>0</v>
      </c>
      <c r="CI14" s="11">
        <v>0</v>
      </c>
      <c r="CJ14" s="73"/>
      <c r="CK14" s="143"/>
      <c r="CL14" s="141"/>
      <c r="CM14" s="10" t="s">
        <v>9</v>
      </c>
      <c r="CN14" s="11">
        <v>0</v>
      </c>
      <c r="CO14" s="11">
        <v>0</v>
      </c>
      <c r="CP14" s="11">
        <v>0</v>
      </c>
      <c r="CQ14" s="11">
        <v>0</v>
      </c>
      <c r="CR14" s="73"/>
      <c r="CS14" s="143"/>
      <c r="CT14" s="141"/>
      <c r="CU14" s="10" t="s">
        <v>9</v>
      </c>
      <c r="CV14" s="12">
        <f t="shared" si="14"/>
        <v>0</v>
      </c>
      <c r="CW14" s="13">
        <f t="shared" si="15"/>
        <v>357</v>
      </c>
      <c r="CX14" s="13">
        <f t="shared" si="16"/>
        <v>692</v>
      </c>
      <c r="CY14" s="13">
        <f t="shared" si="17"/>
        <v>772</v>
      </c>
    </row>
    <row r="15" spans="1:104" ht="20.100000000000001" customHeight="1" thickBot="1" x14ac:dyDescent="0.25">
      <c r="A15" s="143"/>
      <c r="B15" s="145" t="s">
        <v>10</v>
      </c>
      <c r="C15" s="158"/>
      <c r="D15" s="90">
        <v>0</v>
      </c>
      <c r="E15" s="91">
        <v>9</v>
      </c>
      <c r="F15" s="91">
        <v>10</v>
      </c>
      <c r="G15" s="91">
        <v>12</v>
      </c>
      <c r="H15" s="73"/>
      <c r="I15" s="143"/>
      <c r="J15" s="145" t="s">
        <v>10</v>
      </c>
      <c r="K15" s="158"/>
      <c r="L15" s="90">
        <v>0</v>
      </c>
      <c r="M15" s="91">
        <v>5</v>
      </c>
      <c r="N15" s="91">
        <v>10</v>
      </c>
      <c r="O15" s="91">
        <v>7</v>
      </c>
      <c r="P15" s="73"/>
      <c r="Q15" s="143"/>
      <c r="R15" s="145" t="s">
        <v>10</v>
      </c>
      <c r="S15" s="158"/>
      <c r="T15" s="90">
        <v>0</v>
      </c>
      <c r="U15" s="91">
        <v>35</v>
      </c>
      <c r="V15" s="91">
        <v>16</v>
      </c>
      <c r="W15" s="91">
        <v>20</v>
      </c>
      <c r="X15" s="73"/>
      <c r="Y15" s="143"/>
      <c r="Z15" s="145" t="s">
        <v>10</v>
      </c>
      <c r="AA15" s="158"/>
      <c r="AB15" s="90">
        <v>0</v>
      </c>
      <c r="AC15" s="91">
        <v>34</v>
      </c>
      <c r="AD15" s="91">
        <v>83</v>
      </c>
      <c r="AE15" s="91">
        <v>14</v>
      </c>
      <c r="AF15" s="73"/>
      <c r="AG15" s="143"/>
      <c r="AH15" s="145" t="s">
        <v>10</v>
      </c>
      <c r="AI15" s="158"/>
      <c r="AJ15" s="14">
        <f>SUM(AJ13:AJ14)</f>
        <v>0</v>
      </c>
      <c r="AK15" s="14">
        <f>SUM(AK13:AK14)</f>
        <v>0</v>
      </c>
      <c r="AL15" s="14">
        <f>SUM(AL13:AL14)</f>
        <v>0</v>
      </c>
      <c r="AM15" s="14">
        <f>SUM(AM13:AM14)</f>
        <v>0</v>
      </c>
      <c r="AN15" s="73"/>
      <c r="AO15" s="143"/>
      <c r="AP15" s="145" t="s">
        <v>10</v>
      </c>
      <c r="AQ15" s="158"/>
      <c r="AR15" s="90">
        <v>0</v>
      </c>
      <c r="AS15" s="91">
        <v>332</v>
      </c>
      <c r="AT15" s="91">
        <v>685</v>
      </c>
      <c r="AU15" s="91">
        <v>749</v>
      </c>
      <c r="AV15" s="73"/>
      <c r="AW15" s="143"/>
      <c r="AX15" s="145" t="s">
        <v>10</v>
      </c>
      <c r="AY15" s="158"/>
      <c r="AZ15" s="90">
        <v>0</v>
      </c>
      <c r="BA15" s="91">
        <v>12</v>
      </c>
      <c r="BB15" s="91">
        <v>8</v>
      </c>
      <c r="BC15" s="91">
        <v>13</v>
      </c>
      <c r="BD15" s="73"/>
      <c r="BE15" s="143"/>
      <c r="BF15" s="145" t="s">
        <v>10</v>
      </c>
      <c r="BG15" s="158"/>
      <c r="BH15" s="116">
        <f t="shared" ref="BH15:BK15" si="18">SUM(BH13:BH14)</f>
        <v>0</v>
      </c>
      <c r="BI15" s="116">
        <f t="shared" si="18"/>
        <v>332</v>
      </c>
      <c r="BJ15" s="116">
        <f t="shared" si="18"/>
        <v>685</v>
      </c>
      <c r="BK15" s="116">
        <f t="shared" si="18"/>
        <v>749</v>
      </c>
      <c r="BL15" s="73"/>
      <c r="BM15" s="143"/>
      <c r="BN15" s="145" t="s">
        <v>10</v>
      </c>
      <c r="BO15" s="146"/>
      <c r="BP15" s="116">
        <f t="shared" ref="BP15:BS15" si="19">SUM(BP13:BP14)</f>
        <v>0</v>
      </c>
      <c r="BQ15" s="116">
        <f t="shared" si="19"/>
        <v>7</v>
      </c>
      <c r="BR15" s="116">
        <f t="shared" si="19"/>
        <v>10</v>
      </c>
      <c r="BS15" s="116">
        <f t="shared" si="19"/>
        <v>10</v>
      </c>
      <c r="BT15" s="73"/>
      <c r="BU15" s="143"/>
      <c r="BV15" s="145" t="s">
        <v>10</v>
      </c>
      <c r="BW15" s="146"/>
      <c r="BX15" s="14">
        <f>SUM(BX13:BX14)</f>
        <v>0</v>
      </c>
      <c r="BY15" s="14">
        <f>SUM(BY13:BY14)</f>
        <v>0</v>
      </c>
      <c r="BZ15" s="14">
        <f>SUM(BZ13:BZ14)</f>
        <v>0</v>
      </c>
      <c r="CA15" s="14">
        <f>SUM(CA13:CA14)</f>
        <v>0</v>
      </c>
      <c r="CB15" s="73"/>
      <c r="CC15" s="143"/>
      <c r="CD15" s="145" t="s">
        <v>10</v>
      </c>
      <c r="CE15" s="146"/>
      <c r="CF15" s="14">
        <f>SUM(CF13:CF14)</f>
        <v>0</v>
      </c>
      <c r="CG15" s="14">
        <f>SUM(CG13:CG14)</f>
        <v>0</v>
      </c>
      <c r="CH15" s="14">
        <f>SUM(CH13:CH14)</f>
        <v>0</v>
      </c>
      <c r="CI15" s="14">
        <f>SUM(CI13:CI14)</f>
        <v>0</v>
      </c>
      <c r="CJ15" s="73"/>
      <c r="CK15" s="143"/>
      <c r="CL15" s="145" t="s">
        <v>10</v>
      </c>
      <c r="CM15" s="146"/>
      <c r="CN15" s="14">
        <f>SUM(CN13:CN14)</f>
        <v>0</v>
      </c>
      <c r="CO15" s="14">
        <f>SUM(CO13:CO14)</f>
        <v>0</v>
      </c>
      <c r="CP15" s="14">
        <f>SUM(CP13:CP14)</f>
        <v>0</v>
      </c>
      <c r="CQ15" s="14">
        <f>SUM(CQ13:CQ14)</f>
        <v>0</v>
      </c>
      <c r="CR15" s="73"/>
      <c r="CS15" s="143"/>
      <c r="CT15" s="145" t="s">
        <v>10</v>
      </c>
      <c r="CU15" s="146"/>
      <c r="CV15" s="16">
        <f>SUM(CV13:CV14)</f>
        <v>0</v>
      </c>
      <c r="CW15" s="16">
        <f>SUM(CW13:CW14)</f>
        <v>766</v>
      </c>
      <c r="CX15" s="16">
        <f>SUM(CX13:CX14)</f>
        <v>1507</v>
      </c>
      <c r="CY15" s="20">
        <f>SUM(CY13:CY14)</f>
        <v>1574</v>
      </c>
    </row>
    <row r="16" spans="1:104" ht="20.100000000000001" customHeight="1" thickTop="1" thickBot="1" x14ac:dyDescent="0.25">
      <c r="A16" s="143"/>
      <c r="B16" s="133" t="s">
        <v>11</v>
      </c>
      <c r="C16" s="6" t="s">
        <v>8</v>
      </c>
      <c r="D16" s="92">
        <v>0</v>
      </c>
      <c r="E16" s="93">
        <v>0</v>
      </c>
      <c r="F16" s="93">
        <v>0</v>
      </c>
      <c r="G16" s="93">
        <v>0</v>
      </c>
      <c r="H16" s="73"/>
      <c r="I16" s="143"/>
      <c r="J16" s="133" t="s">
        <v>11</v>
      </c>
      <c r="K16" s="6" t="s">
        <v>8</v>
      </c>
      <c r="L16" s="92">
        <v>0</v>
      </c>
      <c r="M16" s="93">
        <v>0</v>
      </c>
      <c r="N16" s="93">
        <v>0</v>
      </c>
      <c r="O16" s="93">
        <v>3</v>
      </c>
      <c r="P16" s="73"/>
      <c r="Q16" s="143"/>
      <c r="R16" s="133" t="s">
        <v>11</v>
      </c>
      <c r="S16" s="6" t="s">
        <v>8</v>
      </c>
      <c r="T16" s="92">
        <v>0</v>
      </c>
      <c r="U16" s="93">
        <v>10</v>
      </c>
      <c r="V16" s="93">
        <v>5</v>
      </c>
      <c r="W16" s="93">
        <v>0</v>
      </c>
      <c r="X16" s="73"/>
      <c r="Y16" s="143"/>
      <c r="Z16" s="133" t="s">
        <v>11</v>
      </c>
      <c r="AA16" s="6" t="s">
        <v>8</v>
      </c>
      <c r="AB16" s="92">
        <v>0</v>
      </c>
      <c r="AC16" s="93">
        <v>1</v>
      </c>
      <c r="AD16" s="93">
        <v>0</v>
      </c>
      <c r="AE16" s="93">
        <v>2</v>
      </c>
      <c r="AF16" s="73"/>
      <c r="AG16" s="143"/>
      <c r="AH16" s="133" t="s">
        <v>11</v>
      </c>
      <c r="AI16" s="6" t="s">
        <v>8</v>
      </c>
      <c r="AJ16" s="7">
        <v>0</v>
      </c>
      <c r="AK16" s="7">
        <v>0</v>
      </c>
      <c r="AL16" s="7">
        <v>0</v>
      </c>
      <c r="AM16" s="7">
        <v>0</v>
      </c>
      <c r="AN16" s="73"/>
      <c r="AO16" s="143"/>
      <c r="AP16" s="133" t="s">
        <v>11</v>
      </c>
      <c r="AQ16" s="6" t="s">
        <v>8</v>
      </c>
      <c r="AR16" s="92">
        <v>0</v>
      </c>
      <c r="AS16" s="93">
        <v>114</v>
      </c>
      <c r="AT16" s="93">
        <v>129</v>
      </c>
      <c r="AU16" s="93">
        <v>94</v>
      </c>
      <c r="AV16" s="73"/>
      <c r="AW16" s="143"/>
      <c r="AX16" s="133" t="s">
        <v>11</v>
      </c>
      <c r="AY16" s="6" t="s">
        <v>8</v>
      </c>
      <c r="AZ16" s="92">
        <v>0</v>
      </c>
      <c r="BA16" s="93">
        <v>0</v>
      </c>
      <c r="BB16" s="93">
        <v>0</v>
      </c>
      <c r="BC16" s="93">
        <v>0</v>
      </c>
      <c r="BD16" s="73"/>
      <c r="BE16" s="143"/>
      <c r="BF16" s="133" t="s">
        <v>11</v>
      </c>
      <c r="BG16" s="6" t="s">
        <v>8</v>
      </c>
      <c r="BH16" s="118">
        <v>0</v>
      </c>
      <c r="BI16" s="119">
        <v>114</v>
      </c>
      <c r="BJ16" s="119">
        <v>129</v>
      </c>
      <c r="BK16" s="119">
        <v>94</v>
      </c>
      <c r="BL16" s="73"/>
      <c r="BM16" s="143"/>
      <c r="BN16" s="153" t="s">
        <v>11</v>
      </c>
      <c r="BO16" s="6" t="s">
        <v>8</v>
      </c>
      <c r="BP16" s="114">
        <v>0</v>
      </c>
      <c r="BQ16" s="114">
        <v>2</v>
      </c>
      <c r="BR16" s="114">
        <v>3</v>
      </c>
      <c r="BS16" s="114">
        <v>0</v>
      </c>
      <c r="BT16" s="73"/>
      <c r="BU16" s="143"/>
      <c r="BV16" s="153" t="s">
        <v>11</v>
      </c>
      <c r="BW16" s="6" t="s">
        <v>8</v>
      </c>
      <c r="BX16" s="7">
        <v>0</v>
      </c>
      <c r="BY16" s="7">
        <v>0</v>
      </c>
      <c r="BZ16" s="7">
        <v>0</v>
      </c>
      <c r="CA16" s="7">
        <v>0</v>
      </c>
      <c r="CB16" s="73"/>
      <c r="CC16" s="143"/>
      <c r="CD16" s="153" t="s">
        <v>11</v>
      </c>
      <c r="CE16" s="6" t="s">
        <v>8</v>
      </c>
      <c r="CF16" s="7">
        <v>0</v>
      </c>
      <c r="CG16" s="7">
        <v>0</v>
      </c>
      <c r="CH16" s="7">
        <v>0</v>
      </c>
      <c r="CI16" s="7">
        <v>0</v>
      </c>
      <c r="CJ16" s="73"/>
      <c r="CK16" s="143"/>
      <c r="CL16" s="153" t="s">
        <v>11</v>
      </c>
      <c r="CM16" s="6" t="s">
        <v>8</v>
      </c>
      <c r="CN16" s="7">
        <v>0</v>
      </c>
      <c r="CO16" s="7">
        <v>0</v>
      </c>
      <c r="CP16" s="7">
        <v>0</v>
      </c>
      <c r="CQ16" s="7">
        <v>0</v>
      </c>
      <c r="CR16" s="73"/>
      <c r="CS16" s="143"/>
      <c r="CT16" s="153" t="s">
        <v>11</v>
      </c>
      <c r="CU16" s="6" t="s">
        <v>8</v>
      </c>
      <c r="CV16" s="8">
        <f t="shared" ref="CV16:CV17" si="20">SUM(D16+L16+T16+AB16+AJ16+AR16+AZ16+BH16+BP16+BX16+CF16+CN16)</f>
        <v>0</v>
      </c>
      <c r="CW16" s="9">
        <f t="shared" ref="CW16:CW17" si="21">SUM(E16+M16+U16+AC16+AK16+AS16+BA16+BI16+BQ16+BY16+CG16+CO16)</f>
        <v>241</v>
      </c>
      <c r="CX16" s="9">
        <f t="shared" ref="CX16:CX17" si="22">SUM(F16+N16+V16+AD16+AL16+AT16+BB16+BJ16+BR16+BZ16+CH16+CP16)</f>
        <v>266</v>
      </c>
      <c r="CY16" s="9">
        <f t="shared" ref="CY16:CY17" si="23">SUM(G16+O16+W16+AE16+AM16+AU16+BC16+BK16+BS16+CA16+CI16+CQ16)</f>
        <v>193</v>
      </c>
    </row>
    <row r="17" spans="1:103" ht="20.100000000000001" customHeight="1" thickBot="1" x14ac:dyDescent="0.25">
      <c r="A17" s="143"/>
      <c r="B17" s="134"/>
      <c r="C17" s="10" t="s">
        <v>9</v>
      </c>
      <c r="D17" s="88">
        <v>0</v>
      </c>
      <c r="E17" s="89">
        <v>0</v>
      </c>
      <c r="F17" s="89">
        <v>3</v>
      </c>
      <c r="G17" s="89">
        <v>0</v>
      </c>
      <c r="H17" s="73"/>
      <c r="I17" s="143"/>
      <c r="J17" s="134"/>
      <c r="K17" s="10" t="s">
        <v>9</v>
      </c>
      <c r="L17" s="88">
        <v>0</v>
      </c>
      <c r="M17" s="89">
        <v>0</v>
      </c>
      <c r="N17" s="89">
        <v>4</v>
      </c>
      <c r="O17" s="89">
        <v>0</v>
      </c>
      <c r="P17" s="73"/>
      <c r="Q17" s="143"/>
      <c r="R17" s="134"/>
      <c r="S17" s="10" t="s">
        <v>9</v>
      </c>
      <c r="T17" s="88">
        <v>0</v>
      </c>
      <c r="U17" s="89">
        <v>5</v>
      </c>
      <c r="V17" s="89">
        <v>5</v>
      </c>
      <c r="W17" s="89">
        <v>5</v>
      </c>
      <c r="X17" s="73"/>
      <c r="Y17" s="143"/>
      <c r="Z17" s="134"/>
      <c r="AA17" s="10" t="s">
        <v>9</v>
      </c>
      <c r="AB17" s="88">
        <v>0</v>
      </c>
      <c r="AC17" s="89">
        <v>5</v>
      </c>
      <c r="AD17" s="89">
        <v>0</v>
      </c>
      <c r="AE17" s="89">
        <v>1</v>
      </c>
      <c r="AF17" s="73"/>
      <c r="AG17" s="143"/>
      <c r="AH17" s="134"/>
      <c r="AI17" s="10" t="s">
        <v>9</v>
      </c>
      <c r="AJ17" s="11">
        <v>0</v>
      </c>
      <c r="AK17" s="11">
        <v>0</v>
      </c>
      <c r="AL17" s="11">
        <v>0</v>
      </c>
      <c r="AM17" s="11">
        <v>0</v>
      </c>
      <c r="AN17" s="73"/>
      <c r="AO17" s="143"/>
      <c r="AP17" s="134"/>
      <c r="AQ17" s="10" t="s">
        <v>9</v>
      </c>
      <c r="AR17" s="88">
        <v>0</v>
      </c>
      <c r="AS17" s="89">
        <v>81</v>
      </c>
      <c r="AT17" s="89">
        <v>80</v>
      </c>
      <c r="AU17" s="89">
        <v>98</v>
      </c>
      <c r="AV17" s="73"/>
      <c r="AW17" s="143"/>
      <c r="AX17" s="134"/>
      <c r="AY17" s="10" t="s">
        <v>9</v>
      </c>
      <c r="AZ17" s="88">
        <v>0</v>
      </c>
      <c r="BA17" s="89">
        <v>0</v>
      </c>
      <c r="BB17" s="89">
        <v>0</v>
      </c>
      <c r="BC17" s="89">
        <v>0</v>
      </c>
      <c r="BD17" s="73"/>
      <c r="BE17" s="143"/>
      <c r="BF17" s="134"/>
      <c r="BG17" s="10" t="s">
        <v>9</v>
      </c>
      <c r="BH17" s="120">
        <v>0</v>
      </c>
      <c r="BI17" s="121">
        <v>81</v>
      </c>
      <c r="BJ17" s="121">
        <v>80</v>
      </c>
      <c r="BK17" s="121">
        <v>98</v>
      </c>
      <c r="BL17" s="73"/>
      <c r="BM17" s="143"/>
      <c r="BN17" s="154"/>
      <c r="BO17" s="10" t="s">
        <v>9</v>
      </c>
      <c r="BP17" s="115">
        <v>0</v>
      </c>
      <c r="BQ17" s="115">
        <v>0</v>
      </c>
      <c r="BR17" s="115">
        <v>0</v>
      </c>
      <c r="BS17" s="115">
        <v>0</v>
      </c>
      <c r="BT17" s="73"/>
      <c r="BU17" s="143"/>
      <c r="BV17" s="154"/>
      <c r="BW17" s="10" t="s">
        <v>9</v>
      </c>
      <c r="BX17" s="11">
        <v>0</v>
      </c>
      <c r="BY17" s="11">
        <v>0</v>
      </c>
      <c r="BZ17" s="11">
        <v>0</v>
      </c>
      <c r="CA17" s="11">
        <v>0</v>
      </c>
      <c r="CB17" s="73"/>
      <c r="CC17" s="143"/>
      <c r="CD17" s="154"/>
      <c r="CE17" s="10" t="s">
        <v>9</v>
      </c>
      <c r="CF17" s="11">
        <v>0</v>
      </c>
      <c r="CG17" s="11">
        <v>0</v>
      </c>
      <c r="CH17" s="11">
        <v>0</v>
      </c>
      <c r="CI17" s="11">
        <v>0</v>
      </c>
      <c r="CJ17" s="73"/>
      <c r="CK17" s="143"/>
      <c r="CL17" s="154"/>
      <c r="CM17" s="10" t="s">
        <v>9</v>
      </c>
      <c r="CN17" s="11">
        <v>0</v>
      </c>
      <c r="CO17" s="11">
        <v>0</v>
      </c>
      <c r="CP17" s="11">
        <v>0</v>
      </c>
      <c r="CQ17" s="11">
        <v>0</v>
      </c>
      <c r="CR17" s="73"/>
      <c r="CS17" s="143"/>
      <c r="CT17" s="154"/>
      <c r="CU17" s="10" t="s">
        <v>9</v>
      </c>
      <c r="CV17" s="12">
        <f t="shared" si="20"/>
        <v>0</v>
      </c>
      <c r="CW17" s="13">
        <f t="shared" si="21"/>
        <v>172</v>
      </c>
      <c r="CX17" s="13">
        <f t="shared" si="22"/>
        <v>172</v>
      </c>
      <c r="CY17" s="13">
        <f t="shared" si="23"/>
        <v>202</v>
      </c>
    </row>
    <row r="18" spans="1:103" ht="20.100000000000001" customHeight="1" thickBot="1" x14ac:dyDescent="0.25">
      <c r="A18" s="144"/>
      <c r="B18" s="145" t="s">
        <v>14</v>
      </c>
      <c r="C18" s="158"/>
      <c r="D18" s="14">
        <f>SUM(D16:D17)</f>
        <v>0</v>
      </c>
      <c r="E18" s="14">
        <f>SUM(E16:E17)</f>
        <v>0</v>
      </c>
      <c r="F18" s="14">
        <f>SUM(F16:F17)</f>
        <v>3</v>
      </c>
      <c r="G18" s="14">
        <f>SUM(G16:G17)</f>
        <v>0</v>
      </c>
      <c r="H18" s="73"/>
      <c r="I18" s="144"/>
      <c r="J18" s="145" t="s">
        <v>14</v>
      </c>
      <c r="K18" s="158"/>
      <c r="L18" s="14">
        <f>SUM(L16:L17)</f>
        <v>0</v>
      </c>
      <c r="M18" s="14">
        <f>SUM(M16:M17)</f>
        <v>0</v>
      </c>
      <c r="N18" s="14">
        <f>SUM(N16:N17)</f>
        <v>4</v>
      </c>
      <c r="O18" s="14">
        <f>SUM(O16:O17)</f>
        <v>3</v>
      </c>
      <c r="P18" s="73"/>
      <c r="Q18" s="144"/>
      <c r="R18" s="145" t="s">
        <v>14</v>
      </c>
      <c r="S18" s="158"/>
      <c r="T18" s="90">
        <v>0</v>
      </c>
      <c r="U18" s="91">
        <v>15</v>
      </c>
      <c r="V18" s="91">
        <v>10</v>
      </c>
      <c r="W18" s="91">
        <v>5</v>
      </c>
      <c r="X18" s="73"/>
      <c r="Y18" s="144"/>
      <c r="Z18" s="145" t="s">
        <v>14</v>
      </c>
      <c r="AA18" s="158"/>
      <c r="AB18" s="90">
        <v>0</v>
      </c>
      <c r="AC18" s="91">
        <v>6</v>
      </c>
      <c r="AD18" s="91">
        <v>0</v>
      </c>
      <c r="AE18" s="91">
        <v>3</v>
      </c>
      <c r="AF18" s="73"/>
      <c r="AG18" s="144"/>
      <c r="AH18" s="145" t="s">
        <v>14</v>
      </c>
      <c r="AI18" s="158"/>
      <c r="AJ18" s="14">
        <f>SUM(AJ16:AJ17)</f>
        <v>0</v>
      </c>
      <c r="AK18" s="14">
        <f>SUM(AK16:AK17)</f>
        <v>0</v>
      </c>
      <c r="AL18" s="14">
        <f>SUM(AL16:AL17)</f>
        <v>0</v>
      </c>
      <c r="AM18" s="14">
        <f>SUM(AM16:AM17)</f>
        <v>0</v>
      </c>
      <c r="AN18" s="73"/>
      <c r="AO18" s="144"/>
      <c r="AP18" s="145" t="s">
        <v>14</v>
      </c>
      <c r="AQ18" s="158"/>
      <c r="AR18" s="90">
        <v>0</v>
      </c>
      <c r="AS18" s="91">
        <v>195</v>
      </c>
      <c r="AT18" s="91">
        <v>209</v>
      </c>
      <c r="AU18" s="91">
        <v>192</v>
      </c>
      <c r="AV18" s="73"/>
      <c r="AW18" s="144"/>
      <c r="AX18" s="145" t="s">
        <v>14</v>
      </c>
      <c r="AY18" s="158"/>
      <c r="AZ18" s="90">
        <v>0</v>
      </c>
      <c r="BA18" s="91">
        <v>0</v>
      </c>
      <c r="BB18" s="91">
        <v>0</v>
      </c>
      <c r="BC18" s="91">
        <v>0</v>
      </c>
      <c r="BD18" s="73"/>
      <c r="BE18" s="144"/>
      <c r="BF18" s="145" t="s">
        <v>14</v>
      </c>
      <c r="BG18" s="158"/>
      <c r="BH18" s="116">
        <f t="shared" ref="BH18:BK18" si="24">SUM(BH16:BH17)</f>
        <v>0</v>
      </c>
      <c r="BI18" s="116">
        <f t="shared" si="24"/>
        <v>195</v>
      </c>
      <c r="BJ18" s="116">
        <f t="shared" si="24"/>
        <v>209</v>
      </c>
      <c r="BK18" s="116">
        <f t="shared" si="24"/>
        <v>192</v>
      </c>
      <c r="BL18" s="73"/>
      <c r="BM18" s="144"/>
      <c r="BN18" s="151" t="s">
        <v>14</v>
      </c>
      <c r="BO18" s="152"/>
      <c r="BP18" s="116">
        <f t="shared" ref="BP18:BS18" si="25">SUM(BP16:BP17)</f>
        <v>0</v>
      </c>
      <c r="BQ18" s="116">
        <f t="shared" si="25"/>
        <v>2</v>
      </c>
      <c r="BR18" s="116">
        <f t="shared" si="25"/>
        <v>3</v>
      </c>
      <c r="BS18" s="116">
        <f t="shared" si="25"/>
        <v>0</v>
      </c>
      <c r="BT18" s="73"/>
      <c r="BU18" s="144"/>
      <c r="BV18" s="151" t="s">
        <v>14</v>
      </c>
      <c r="BW18" s="152"/>
      <c r="BX18" s="14">
        <f>SUM(BX16:BX17)</f>
        <v>0</v>
      </c>
      <c r="BY18" s="14">
        <f>SUM(BY16:BY17)</f>
        <v>0</v>
      </c>
      <c r="BZ18" s="14">
        <f>SUM(BZ16:BZ17)</f>
        <v>0</v>
      </c>
      <c r="CA18" s="14">
        <f>SUM(CA16:CA17)</f>
        <v>0</v>
      </c>
      <c r="CB18" s="73"/>
      <c r="CC18" s="144"/>
      <c r="CD18" s="151" t="s">
        <v>14</v>
      </c>
      <c r="CE18" s="152"/>
      <c r="CF18" s="14">
        <f>SUM(CF16:CF17)</f>
        <v>0</v>
      </c>
      <c r="CG18" s="14">
        <f>SUM(CG16:CG17)</f>
        <v>0</v>
      </c>
      <c r="CH18" s="14">
        <f>SUM(CH16:CH17)</f>
        <v>0</v>
      </c>
      <c r="CI18" s="14">
        <f>SUM(CI16:CI17)</f>
        <v>0</v>
      </c>
      <c r="CJ18" s="73"/>
      <c r="CK18" s="144"/>
      <c r="CL18" s="151" t="s">
        <v>14</v>
      </c>
      <c r="CM18" s="152"/>
      <c r="CN18" s="14">
        <f>SUM(CN16:CN17)</f>
        <v>0</v>
      </c>
      <c r="CO18" s="14">
        <f>SUM(CO16:CO17)</f>
        <v>0</v>
      </c>
      <c r="CP18" s="14">
        <f>SUM(CP16:CP17)</f>
        <v>0</v>
      </c>
      <c r="CQ18" s="14">
        <f>SUM(CQ16:CQ17)</f>
        <v>0</v>
      </c>
      <c r="CR18" s="73"/>
      <c r="CS18" s="144"/>
      <c r="CT18" s="151" t="s">
        <v>14</v>
      </c>
      <c r="CU18" s="152"/>
      <c r="CV18" s="14">
        <f>SUM(CV16:CV17)</f>
        <v>0</v>
      </c>
      <c r="CW18" s="14">
        <f>SUM(CW16:CW17)</f>
        <v>413</v>
      </c>
      <c r="CX18" s="14">
        <f>SUM(CX16:CX17)</f>
        <v>438</v>
      </c>
      <c r="CY18" s="15">
        <f>SUM(CY16:CY17)</f>
        <v>395</v>
      </c>
    </row>
    <row r="19" spans="1:103" ht="20.100000000000001" customHeight="1" thickBot="1" x14ac:dyDescent="0.25">
      <c r="A19" s="17"/>
      <c r="B19" s="149" t="s">
        <v>12</v>
      </c>
      <c r="C19" s="150"/>
      <c r="D19" s="18">
        <f>SUM(D15+D18)</f>
        <v>0</v>
      </c>
      <c r="E19" s="18">
        <f>SUM(E15+E18)</f>
        <v>9</v>
      </c>
      <c r="F19" s="18">
        <f>SUM(F15+F18)</f>
        <v>13</v>
      </c>
      <c r="G19" s="18">
        <f>SUM(G15+G18)</f>
        <v>12</v>
      </c>
      <c r="H19" s="73"/>
      <c r="I19" s="17"/>
      <c r="J19" s="149" t="s">
        <v>12</v>
      </c>
      <c r="K19" s="150"/>
      <c r="L19" s="18">
        <f>SUM(L15+L18)</f>
        <v>0</v>
      </c>
      <c r="M19" s="18">
        <f>SUM(M15+M18)</f>
        <v>5</v>
      </c>
      <c r="N19" s="18">
        <f>SUM(N15+N18)</f>
        <v>14</v>
      </c>
      <c r="O19" s="18">
        <f>SUM(O15+O18)</f>
        <v>10</v>
      </c>
      <c r="P19" s="73"/>
      <c r="Q19" s="17"/>
      <c r="R19" s="149" t="s">
        <v>12</v>
      </c>
      <c r="S19" s="150"/>
      <c r="T19" s="107">
        <v>0</v>
      </c>
      <c r="U19" s="108">
        <v>50</v>
      </c>
      <c r="V19" s="108">
        <v>26</v>
      </c>
      <c r="W19" s="108">
        <v>25</v>
      </c>
      <c r="X19" s="73"/>
      <c r="Y19" s="17"/>
      <c r="Z19" s="149" t="s">
        <v>12</v>
      </c>
      <c r="AA19" s="150"/>
      <c r="AB19" s="107">
        <v>0</v>
      </c>
      <c r="AC19" s="108">
        <v>40</v>
      </c>
      <c r="AD19" s="108">
        <v>83</v>
      </c>
      <c r="AE19" s="108">
        <v>17</v>
      </c>
      <c r="AF19" s="73"/>
      <c r="AG19" s="17"/>
      <c r="AH19" s="149" t="s">
        <v>12</v>
      </c>
      <c r="AI19" s="150"/>
      <c r="AJ19" s="18">
        <f>SUM(AJ15+AJ18)</f>
        <v>0</v>
      </c>
      <c r="AK19" s="18">
        <f>SUM(AK15+AK18)</f>
        <v>0</v>
      </c>
      <c r="AL19" s="18">
        <f>SUM(AL15+AL18)</f>
        <v>0</v>
      </c>
      <c r="AM19" s="18">
        <f>SUM(AM15+AM18)</f>
        <v>0</v>
      </c>
      <c r="AN19" s="73"/>
      <c r="AO19" s="17"/>
      <c r="AP19" s="149" t="s">
        <v>12</v>
      </c>
      <c r="AQ19" s="150"/>
      <c r="AR19" s="107">
        <v>0</v>
      </c>
      <c r="AS19" s="108">
        <v>527</v>
      </c>
      <c r="AT19" s="108">
        <v>894</v>
      </c>
      <c r="AU19" s="108">
        <v>941</v>
      </c>
      <c r="AV19" s="73"/>
      <c r="AW19" s="17"/>
      <c r="AX19" s="149" t="s">
        <v>12</v>
      </c>
      <c r="AY19" s="150"/>
      <c r="AZ19" s="107">
        <v>0</v>
      </c>
      <c r="BA19" s="108">
        <v>12</v>
      </c>
      <c r="BB19" s="108">
        <v>8</v>
      </c>
      <c r="BC19" s="108">
        <v>13</v>
      </c>
      <c r="BD19" s="73"/>
      <c r="BE19" s="17"/>
      <c r="BF19" s="149" t="s">
        <v>12</v>
      </c>
      <c r="BG19" s="150"/>
      <c r="BH19" s="117">
        <f t="shared" ref="BH19:BK19" si="26">SUM(BH15+BH18)</f>
        <v>0</v>
      </c>
      <c r="BI19" s="117">
        <f t="shared" si="26"/>
        <v>527</v>
      </c>
      <c r="BJ19" s="117">
        <f t="shared" si="26"/>
        <v>894</v>
      </c>
      <c r="BK19" s="117">
        <f t="shared" si="26"/>
        <v>941</v>
      </c>
      <c r="BL19" s="73"/>
      <c r="BM19" s="17"/>
      <c r="BN19" s="149" t="s">
        <v>12</v>
      </c>
      <c r="BO19" s="150"/>
      <c r="BP19" s="117">
        <f t="shared" ref="BP19:BS19" si="27">SUM(BP15+BP18)</f>
        <v>0</v>
      </c>
      <c r="BQ19" s="117">
        <f t="shared" si="27"/>
        <v>9</v>
      </c>
      <c r="BR19" s="117">
        <f t="shared" si="27"/>
        <v>13</v>
      </c>
      <c r="BS19" s="117">
        <f t="shared" si="27"/>
        <v>10</v>
      </c>
      <c r="BT19" s="73"/>
      <c r="BU19" s="17"/>
      <c r="BV19" s="149" t="s">
        <v>12</v>
      </c>
      <c r="BW19" s="150"/>
      <c r="BX19" s="18">
        <f>SUM(BX15+BX18)</f>
        <v>0</v>
      </c>
      <c r="BY19" s="18">
        <f>SUM(BY15+BY18)</f>
        <v>0</v>
      </c>
      <c r="BZ19" s="18">
        <f>SUM(BZ15+BZ18)</f>
        <v>0</v>
      </c>
      <c r="CA19" s="18">
        <f>SUM(CA15+CA18)</f>
        <v>0</v>
      </c>
      <c r="CB19" s="73"/>
      <c r="CC19" s="17"/>
      <c r="CD19" s="149" t="s">
        <v>12</v>
      </c>
      <c r="CE19" s="150"/>
      <c r="CF19" s="18">
        <f>SUM(CF15+CF18)</f>
        <v>0</v>
      </c>
      <c r="CG19" s="18">
        <f>SUM(CG15+CG18)</f>
        <v>0</v>
      </c>
      <c r="CH19" s="18">
        <f>SUM(CH15+CH18)</f>
        <v>0</v>
      </c>
      <c r="CI19" s="18">
        <f>SUM(CI15+CI18)</f>
        <v>0</v>
      </c>
      <c r="CJ19" s="73"/>
      <c r="CK19" s="17"/>
      <c r="CL19" s="149" t="s">
        <v>12</v>
      </c>
      <c r="CM19" s="150"/>
      <c r="CN19" s="18">
        <f>SUM(CN15+CN18)</f>
        <v>0</v>
      </c>
      <c r="CO19" s="18">
        <f>SUM(CO15+CO18)</f>
        <v>0</v>
      </c>
      <c r="CP19" s="18">
        <f>SUM(CP15+CP18)</f>
        <v>0</v>
      </c>
      <c r="CQ19" s="18">
        <f>SUM(CQ15+CQ18)</f>
        <v>0</v>
      </c>
      <c r="CR19" s="73"/>
      <c r="CS19" s="17"/>
      <c r="CT19" s="149" t="s">
        <v>12</v>
      </c>
      <c r="CU19" s="150"/>
      <c r="CV19" s="18">
        <f>SUM(CV15+CV18)</f>
        <v>0</v>
      </c>
      <c r="CW19" s="18">
        <f>SUM(CW15+CW18)</f>
        <v>1179</v>
      </c>
      <c r="CX19" s="18">
        <f>SUM(CX15+CX18)</f>
        <v>1945</v>
      </c>
      <c r="CY19" s="23">
        <f>SUM(CY15+CY18)</f>
        <v>1969</v>
      </c>
    </row>
    <row r="20" spans="1:103" ht="20.100000000000001" customHeight="1" thickTop="1" thickBot="1" x14ac:dyDescent="0.3">
      <c r="A20" s="142" t="s">
        <v>22</v>
      </c>
      <c r="B20" s="140" t="s">
        <v>3</v>
      </c>
      <c r="C20" s="6" t="s">
        <v>8</v>
      </c>
      <c r="D20" s="94">
        <v>0</v>
      </c>
      <c r="E20" s="94">
        <v>98</v>
      </c>
      <c r="F20" s="94">
        <v>301</v>
      </c>
      <c r="G20" s="95">
        <v>211</v>
      </c>
      <c r="H20" s="73"/>
      <c r="I20" s="142" t="s">
        <v>22</v>
      </c>
      <c r="J20" s="140" t="s">
        <v>3</v>
      </c>
      <c r="K20" s="6" t="s">
        <v>8</v>
      </c>
      <c r="L20" s="94">
        <v>0</v>
      </c>
      <c r="M20" s="94">
        <v>178</v>
      </c>
      <c r="N20" s="94">
        <v>154</v>
      </c>
      <c r="O20" s="95">
        <v>158</v>
      </c>
      <c r="P20" s="73"/>
      <c r="Q20" s="142" t="s">
        <v>22</v>
      </c>
      <c r="R20" s="140" t="s">
        <v>3</v>
      </c>
      <c r="S20" s="6" t="s">
        <v>8</v>
      </c>
      <c r="T20" s="92">
        <v>2</v>
      </c>
      <c r="U20" s="93">
        <v>35</v>
      </c>
      <c r="V20" s="93">
        <v>44</v>
      </c>
      <c r="W20" s="93">
        <v>34</v>
      </c>
      <c r="X20" s="73"/>
      <c r="Y20" s="142" t="s">
        <v>22</v>
      </c>
      <c r="Z20" s="140" t="s">
        <v>3</v>
      </c>
      <c r="AA20" s="6" t="s">
        <v>8</v>
      </c>
      <c r="AB20" s="92">
        <v>0</v>
      </c>
      <c r="AC20" s="93">
        <v>0</v>
      </c>
      <c r="AD20" s="93">
        <v>0</v>
      </c>
      <c r="AE20" s="93">
        <v>0</v>
      </c>
      <c r="AF20" s="73"/>
      <c r="AG20" s="142" t="s">
        <v>22</v>
      </c>
      <c r="AH20" s="140" t="s">
        <v>3</v>
      </c>
      <c r="AI20" s="6" t="s">
        <v>8</v>
      </c>
      <c r="AJ20" s="86">
        <v>2</v>
      </c>
      <c r="AK20" s="87">
        <v>62</v>
      </c>
      <c r="AL20" s="87">
        <v>29</v>
      </c>
      <c r="AM20" s="87">
        <v>64</v>
      </c>
      <c r="AN20" s="73"/>
      <c r="AO20" s="142" t="s">
        <v>22</v>
      </c>
      <c r="AP20" s="140" t="s">
        <v>3</v>
      </c>
      <c r="AQ20" s="6" t="s">
        <v>8</v>
      </c>
      <c r="AR20" s="111">
        <v>0</v>
      </c>
      <c r="AS20" s="98">
        <v>78</v>
      </c>
      <c r="AT20" s="98">
        <v>298</v>
      </c>
      <c r="AU20" s="99">
        <v>302</v>
      </c>
      <c r="AV20" s="73"/>
      <c r="AW20" s="142" t="s">
        <v>22</v>
      </c>
      <c r="AX20" s="140" t="s">
        <v>3</v>
      </c>
      <c r="AY20" s="6" t="s">
        <v>8</v>
      </c>
      <c r="AZ20" s="111">
        <v>0</v>
      </c>
      <c r="BA20" s="98">
        <v>78</v>
      </c>
      <c r="BB20" s="98">
        <v>298</v>
      </c>
      <c r="BC20" s="99">
        <v>302</v>
      </c>
      <c r="BD20" s="73"/>
      <c r="BE20" s="142" t="s">
        <v>22</v>
      </c>
      <c r="BF20" s="140" t="s">
        <v>3</v>
      </c>
      <c r="BG20" s="6" t="s">
        <v>8</v>
      </c>
      <c r="BH20" s="114">
        <v>0</v>
      </c>
      <c r="BI20" s="114">
        <v>78</v>
      </c>
      <c r="BJ20" s="114">
        <v>298</v>
      </c>
      <c r="BK20" s="114">
        <v>302</v>
      </c>
      <c r="BL20" s="73"/>
      <c r="BM20" s="142" t="s">
        <v>22</v>
      </c>
      <c r="BN20" s="140" t="s">
        <v>3</v>
      </c>
      <c r="BO20" s="6" t="s">
        <v>8</v>
      </c>
      <c r="BP20" s="114"/>
      <c r="BQ20" s="114">
        <v>21</v>
      </c>
      <c r="BR20" s="114">
        <v>45</v>
      </c>
      <c r="BS20" s="114">
        <v>66</v>
      </c>
      <c r="BT20" s="73"/>
      <c r="BU20" s="142" t="s">
        <v>22</v>
      </c>
      <c r="BV20" s="140" t="s">
        <v>3</v>
      </c>
      <c r="BW20" s="6" t="s">
        <v>8</v>
      </c>
      <c r="BX20" s="94">
        <v>0</v>
      </c>
      <c r="BY20" s="94">
        <v>98</v>
      </c>
      <c r="BZ20" s="94">
        <v>301</v>
      </c>
      <c r="CA20" s="95">
        <v>211</v>
      </c>
      <c r="CB20" s="73"/>
      <c r="CC20" s="142" t="s">
        <v>22</v>
      </c>
      <c r="CD20" s="140" t="s">
        <v>3</v>
      </c>
      <c r="CE20" s="6" t="s">
        <v>8</v>
      </c>
      <c r="CF20" s="7">
        <v>0</v>
      </c>
      <c r="CG20" s="7">
        <v>0</v>
      </c>
      <c r="CH20" s="7">
        <v>0</v>
      </c>
      <c r="CI20" s="7">
        <v>0</v>
      </c>
      <c r="CJ20" s="73"/>
      <c r="CK20" s="142" t="s">
        <v>22</v>
      </c>
      <c r="CL20" s="140" t="s">
        <v>3</v>
      </c>
      <c r="CM20" s="6" t="s">
        <v>8</v>
      </c>
      <c r="CN20" s="7">
        <v>0</v>
      </c>
      <c r="CO20" s="7">
        <v>0</v>
      </c>
      <c r="CP20" s="7">
        <v>0</v>
      </c>
      <c r="CQ20" s="7">
        <v>0</v>
      </c>
      <c r="CR20" s="73"/>
      <c r="CS20" s="142" t="str">
        <f>(CK20)</f>
        <v>السليمانية</v>
      </c>
      <c r="CT20" s="140" t="s">
        <v>3</v>
      </c>
      <c r="CU20" s="6" t="s">
        <v>8</v>
      </c>
      <c r="CV20" s="8">
        <f t="shared" ref="CV20:CV21" si="28">SUM(D20+L20+T20+AB20+AJ20+AR20+AZ20+BH20+BP20+BX20+CF20+CN20)</f>
        <v>4</v>
      </c>
      <c r="CW20" s="9">
        <f t="shared" ref="CW20:CW21" si="29">SUM(E20+M20+U20+AC20+AK20+AS20+BA20+BI20+BQ20+BY20+CG20+CO20)</f>
        <v>726</v>
      </c>
      <c r="CX20" s="9">
        <f t="shared" ref="CX20:CX21" si="30">SUM(F20+N20+V20+AD20+AL20+AT20+BB20+BJ20+BR20+BZ20+CH20+CP20)</f>
        <v>1768</v>
      </c>
      <c r="CY20" s="9">
        <f t="shared" ref="CY20:CY21" si="31">SUM(G20+O20+W20+AE20+AM20+AU20+BC20+BK20+BS20+CA20+CI20+CQ20)</f>
        <v>1650</v>
      </c>
    </row>
    <row r="21" spans="1:103" ht="20.100000000000001" customHeight="1" thickBot="1" x14ac:dyDescent="0.3">
      <c r="A21" s="143"/>
      <c r="B21" s="141"/>
      <c r="C21" s="10" t="s">
        <v>9</v>
      </c>
      <c r="D21" s="96">
        <v>0</v>
      </c>
      <c r="E21" s="96">
        <v>65</v>
      </c>
      <c r="F21" s="96">
        <v>280</v>
      </c>
      <c r="G21" s="97">
        <v>190</v>
      </c>
      <c r="H21" s="73"/>
      <c r="I21" s="143"/>
      <c r="J21" s="141"/>
      <c r="K21" s="10" t="s">
        <v>9</v>
      </c>
      <c r="L21" s="96">
        <v>0</v>
      </c>
      <c r="M21" s="96">
        <v>165</v>
      </c>
      <c r="N21" s="96">
        <v>124</v>
      </c>
      <c r="O21" s="97">
        <v>187</v>
      </c>
      <c r="P21" s="73"/>
      <c r="Q21" s="143"/>
      <c r="R21" s="141"/>
      <c r="S21" s="10" t="s">
        <v>9</v>
      </c>
      <c r="T21" s="88">
        <v>1</v>
      </c>
      <c r="U21" s="89">
        <v>8</v>
      </c>
      <c r="V21" s="89">
        <v>11</v>
      </c>
      <c r="W21" s="89">
        <v>21</v>
      </c>
      <c r="X21" s="73"/>
      <c r="Y21" s="143"/>
      <c r="Z21" s="141"/>
      <c r="AA21" s="10" t="s">
        <v>9</v>
      </c>
      <c r="AB21" s="88">
        <v>0</v>
      </c>
      <c r="AC21" s="89">
        <v>0</v>
      </c>
      <c r="AD21" s="89">
        <v>0</v>
      </c>
      <c r="AE21" s="89">
        <v>0</v>
      </c>
      <c r="AF21" s="73"/>
      <c r="AG21" s="143"/>
      <c r="AH21" s="141"/>
      <c r="AI21" s="10" t="s">
        <v>9</v>
      </c>
      <c r="AJ21" s="88">
        <v>1</v>
      </c>
      <c r="AK21" s="89">
        <v>19</v>
      </c>
      <c r="AL21" s="89">
        <v>40</v>
      </c>
      <c r="AM21" s="89">
        <v>51</v>
      </c>
      <c r="AN21" s="73"/>
      <c r="AO21" s="143"/>
      <c r="AP21" s="141"/>
      <c r="AQ21" s="10" t="s">
        <v>9</v>
      </c>
      <c r="AR21" s="112">
        <v>0</v>
      </c>
      <c r="AS21" s="96">
        <v>98</v>
      </c>
      <c r="AT21" s="96">
        <v>201</v>
      </c>
      <c r="AU21" s="97">
        <v>206</v>
      </c>
      <c r="AV21" s="73"/>
      <c r="AW21" s="143"/>
      <c r="AX21" s="141"/>
      <c r="AY21" s="10" t="s">
        <v>9</v>
      </c>
      <c r="AZ21" s="112">
        <v>0</v>
      </c>
      <c r="BA21" s="96">
        <v>98</v>
      </c>
      <c r="BB21" s="96">
        <v>201</v>
      </c>
      <c r="BC21" s="97">
        <v>206</v>
      </c>
      <c r="BD21" s="73"/>
      <c r="BE21" s="143"/>
      <c r="BF21" s="141"/>
      <c r="BG21" s="10" t="s">
        <v>9</v>
      </c>
      <c r="BH21" s="115">
        <v>0</v>
      </c>
      <c r="BI21" s="115">
        <v>98</v>
      </c>
      <c r="BJ21" s="115">
        <v>201</v>
      </c>
      <c r="BK21" s="115">
        <v>206</v>
      </c>
      <c r="BL21" s="73"/>
      <c r="BM21" s="143"/>
      <c r="BN21" s="141"/>
      <c r="BO21" s="10" t="s">
        <v>9</v>
      </c>
      <c r="BP21" s="115">
        <v>0</v>
      </c>
      <c r="BQ21" s="115">
        <v>25</v>
      </c>
      <c r="BR21" s="115">
        <v>50</v>
      </c>
      <c r="BS21" s="115">
        <v>71</v>
      </c>
      <c r="BT21" s="73"/>
      <c r="BU21" s="143"/>
      <c r="BV21" s="141"/>
      <c r="BW21" s="10" t="s">
        <v>9</v>
      </c>
      <c r="BX21" s="96">
        <v>0</v>
      </c>
      <c r="BY21" s="96">
        <v>65</v>
      </c>
      <c r="BZ21" s="96">
        <v>280</v>
      </c>
      <c r="CA21" s="97">
        <v>190</v>
      </c>
      <c r="CB21" s="73"/>
      <c r="CC21" s="143"/>
      <c r="CD21" s="141"/>
      <c r="CE21" s="10" t="s">
        <v>9</v>
      </c>
      <c r="CF21" s="11">
        <v>0</v>
      </c>
      <c r="CG21" s="11">
        <v>0</v>
      </c>
      <c r="CH21" s="11">
        <v>0</v>
      </c>
      <c r="CI21" s="11">
        <v>0</v>
      </c>
      <c r="CJ21" s="73"/>
      <c r="CK21" s="143"/>
      <c r="CL21" s="141"/>
      <c r="CM21" s="10" t="s">
        <v>9</v>
      </c>
      <c r="CN21" s="11">
        <v>0</v>
      </c>
      <c r="CO21" s="11">
        <v>0</v>
      </c>
      <c r="CP21" s="11">
        <v>0</v>
      </c>
      <c r="CQ21" s="11">
        <v>0</v>
      </c>
      <c r="CR21" s="73"/>
      <c r="CS21" s="143"/>
      <c r="CT21" s="141"/>
      <c r="CU21" s="10" t="s">
        <v>9</v>
      </c>
      <c r="CV21" s="12">
        <f t="shared" si="28"/>
        <v>2</v>
      </c>
      <c r="CW21" s="13">
        <f t="shared" si="29"/>
        <v>641</v>
      </c>
      <c r="CX21" s="13">
        <f t="shared" si="30"/>
        <v>1388</v>
      </c>
      <c r="CY21" s="13">
        <f t="shared" si="31"/>
        <v>1328</v>
      </c>
    </row>
    <row r="22" spans="1:103" ht="20.100000000000001" customHeight="1" thickBot="1" x14ac:dyDescent="0.25">
      <c r="A22" s="143"/>
      <c r="B22" s="145" t="s">
        <v>10</v>
      </c>
      <c r="C22" s="146"/>
      <c r="D22" s="90">
        <v>0</v>
      </c>
      <c r="E22" s="91">
        <v>163</v>
      </c>
      <c r="F22" s="91">
        <v>581</v>
      </c>
      <c r="G22" s="91">
        <v>401</v>
      </c>
      <c r="H22" s="73"/>
      <c r="I22" s="143"/>
      <c r="J22" s="145" t="s">
        <v>10</v>
      </c>
      <c r="K22" s="146"/>
      <c r="L22" s="90">
        <v>0</v>
      </c>
      <c r="M22" s="91">
        <v>343</v>
      </c>
      <c r="N22" s="91">
        <v>278</v>
      </c>
      <c r="O22" s="91">
        <v>345</v>
      </c>
      <c r="P22" s="73"/>
      <c r="Q22" s="143"/>
      <c r="R22" s="145" t="s">
        <v>10</v>
      </c>
      <c r="S22" s="146"/>
      <c r="T22" s="90">
        <v>3</v>
      </c>
      <c r="U22" s="91">
        <v>43</v>
      </c>
      <c r="V22" s="91">
        <v>55</v>
      </c>
      <c r="W22" s="91">
        <v>55</v>
      </c>
      <c r="X22" s="73"/>
      <c r="Y22" s="143"/>
      <c r="Z22" s="145" t="s">
        <v>10</v>
      </c>
      <c r="AA22" s="146"/>
      <c r="AB22" s="90">
        <v>0</v>
      </c>
      <c r="AC22" s="91">
        <v>0</v>
      </c>
      <c r="AD22" s="91">
        <v>0</v>
      </c>
      <c r="AE22" s="91">
        <v>0</v>
      </c>
      <c r="AF22" s="73"/>
      <c r="AG22" s="143"/>
      <c r="AH22" s="145" t="s">
        <v>10</v>
      </c>
      <c r="AI22" s="146"/>
      <c r="AJ22" s="90">
        <v>3</v>
      </c>
      <c r="AK22" s="91">
        <v>81</v>
      </c>
      <c r="AL22" s="91">
        <v>69</v>
      </c>
      <c r="AM22" s="91">
        <v>115</v>
      </c>
      <c r="AN22" s="73"/>
      <c r="AO22" s="143"/>
      <c r="AP22" s="145" t="s">
        <v>10</v>
      </c>
      <c r="AQ22" s="146"/>
      <c r="AR22" s="90">
        <v>0</v>
      </c>
      <c r="AS22" s="91">
        <v>176</v>
      </c>
      <c r="AT22" s="91">
        <v>499</v>
      </c>
      <c r="AU22" s="91">
        <v>508</v>
      </c>
      <c r="AV22" s="73"/>
      <c r="AW22" s="143"/>
      <c r="AX22" s="145" t="s">
        <v>10</v>
      </c>
      <c r="AY22" s="146"/>
      <c r="AZ22" s="90">
        <v>0</v>
      </c>
      <c r="BA22" s="91">
        <v>176</v>
      </c>
      <c r="BB22" s="91">
        <v>499</v>
      </c>
      <c r="BC22" s="91">
        <v>508</v>
      </c>
      <c r="BD22" s="73"/>
      <c r="BE22" s="143"/>
      <c r="BF22" s="145" t="s">
        <v>10</v>
      </c>
      <c r="BG22" s="146"/>
      <c r="BH22" s="116">
        <f t="shared" ref="BH22:BK22" si="32">SUM(BH20:BH21)</f>
        <v>0</v>
      </c>
      <c r="BI22" s="116">
        <f t="shared" si="32"/>
        <v>176</v>
      </c>
      <c r="BJ22" s="116">
        <f t="shared" si="32"/>
        <v>499</v>
      </c>
      <c r="BK22" s="116">
        <f t="shared" si="32"/>
        <v>508</v>
      </c>
      <c r="BL22" s="73"/>
      <c r="BM22" s="143"/>
      <c r="BN22" s="145" t="s">
        <v>10</v>
      </c>
      <c r="BO22" s="146"/>
      <c r="BP22" s="116">
        <f t="shared" ref="BP22:BS22" si="33">SUM(BP20:BP21)</f>
        <v>0</v>
      </c>
      <c r="BQ22" s="116">
        <f t="shared" si="33"/>
        <v>46</v>
      </c>
      <c r="BR22" s="116">
        <f t="shared" si="33"/>
        <v>95</v>
      </c>
      <c r="BS22" s="116">
        <f t="shared" si="33"/>
        <v>137</v>
      </c>
      <c r="BT22" s="73"/>
      <c r="BU22" s="143"/>
      <c r="BV22" s="145" t="s">
        <v>10</v>
      </c>
      <c r="BW22" s="146"/>
      <c r="BX22" s="90">
        <v>0</v>
      </c>
      <c r="BY22" s="91">
        <v>163</v>
      </c>
      <c r="BZ22" s="91">
        <v>581</v>
      </c>
      <c r="CA22" s="91">
        <v>401</v>
      </c>
      <c r="CB22" s="73"/>
      <c r="CC22" s="143"/>
      <c r="CD22" s="145" t="s">
        <v>10</v>
      </c>
      <c r="CE22" s="146"/>
      <c r="CF22" s="14">
        <f>SUM(CF20:CF21)</f>
        <v>0</v>
      </c>
      <c r="CG22" s="14">
        <f>SUM(CG20:CG21)</f>
        <v>0</v>
      </c>
      <c r="CH22" s="14">
        <f>SUM(CH20:CH21)</f>
        <v>0</v>
      </c>
      <c r="CI22" s="14">
        <f>SUM(CI20:CI21)</f>
        <v>0</v>
      </c>
      <c r="CJ22" s="73"/>
      <c r="CK22" s="143"/>
      <c r="CL22" s="145" t="s">
        <v>10</v>
      </c>
      <c r="CM22" s="146"/>
      <c r="CN22" s="14">
        <f>SUM(CN20:CN21)</f>
        <v>0</v>
      </c>
      <c r="CO22" s="14">
        <f>SUM(CO20:CO21)</f>
        <v>0</v>
      </c>
      <c r="CP22" s="14">
        <f>SUM(CP20:CP21)</f>
        <v>0</v>
      </c>
      <c r="CQ22" s="14">
        <f>SUM(CQ20:CQ21)</f>
        <v>0</v>
      </c>
      <c r="CR22" s="73"/>
      <c r="CS22" s="143"/>
      <c r="CT22" s="145" t="s">
        <v>10</v>
      </c>
      <c r="CU22" s="146"/>
      <c r="CV22" s="16">
        <f>SUM(CV20:CV21)</f>
        <v>6</v>
      </c>
      <c r="CW22" s="16">
        <f>SUM(CW20:CW21)</f>
        <v>1367</v>
      </c>
      <c r="CX22" s="16">
        <f>SUM(CX20:CX21)</f>
        <v>3156</v>
      </c>
      <c r="CY22" s="20">
        <f>SUM(CY20:CY21)</f>
        <v>2978</v>
      </c>
    </row>
    <row r="23" spans="1:103" ht="20.100000000000001" customHeight="1" thickBot="1" x14ac:dyDescent="0.3">
      <c r="A23" s="143"/>
      <c r="B23" s="153" t="s">
        <v>11</v>
      </c>
      <c r="C23" s="6" t="s">
        <v>8</v>
      </c>
      <c r="D23" s="98">
        <v>0</v>
      </c>
      <c r="E23" s="98">
        <v>32</v>
      </c>
      <c r="F23" s="98">
        <v>144</v>
      </c>
      <c r="G23" s="99">
        <v>111</v>
      </c>
      <c r="H23" s="73"/>
      <c r="I23" s="143"/>
      <c r="J23" s="153" t="s">
        <v>11</v>
      </c>
      <c r="K23" s="6" t="s">
        <v>8</v>
      </c>
      <c r="L23" s="98">
        <v>0</v>
      </c>
      <c r="M23" s="98">
        <v>112</v>
      </c>
      <c r="N23" s="98">
        <v>141</v>
      </c>
      <c r="O23" s="99">
        <v>96</v>
      </c>
      <c r="P23" s="73"/>
      <c r="Q23" s="143"/>
      <c r="R23" s="153" t="s">
        <v>11</v>
      </c>
      <c r="S23" s="6" t="s">
        <v>8</v>
      </c>
      <c r="T23" s="92">
        <v>0</v>
      </c>
      <c r="U23" s="93">
        <v>16</v>
      </c>
      <c r="V23" s="93">
        <v>35</v>
      </c>
      <c r="W23" s="93">
        <v>28</v>
      </c>
      <c r="X23" s="73"/>
      <c r="Y23" s="143"/>
      <c r="Z23" s="153" t="s">
        <v>11</v>
      </c>
      <c r="AA23" s="6" t="s">
        <v>8</v>
      </c>
      <c r="AB23" s="92">
        <v>0</v>
      </c>
      <c r="AC23" s="93">
        <v>0</v>
      </c>
      <c r="AD23" s="93">
        <v>0</v>
      </c>
      <c r="AE23" s="93">
        <v>0</v>
      </c>
      <c r="AF23" s="73"/>
      <c r="AG23" s="143"/>
      <c r="AH23" s="153" t="s">
        <v>11</v>
      </c>
      <c r="AI23" s="6" t="s">
        <v>8</v>
      </c>
      <c r="AJ23" s="92">
        <v>0</v>
      </c>
      <c r="AK23" s="93">
        <v>14</v>
      </c>
      <c r="AL23" s="93">
        <v>16</v>
      </c>
      <c r="AM23" s="93">
        <v>3</v>
      </c>
      <c r="AN23" s="73"/>
      <c r="AO23" s="143"/>
      <c r="AP23" s="153" t="s">
        <v>11</v>
      </c>
      <c r="AQ23" s="6" t="s">
        <v>8</v>
      </c>
      <c r="AR23" s="92">
        <v>0</v>
      </c>
      <c r="AS23" s="93">
        <v>95</v>
      </c>
      <c r="AT23" s="93">
        <v>102</v>
      </c>
      <c r="AU23" s="93">
        <v>82</v>
      </c>
      <c r="AV23" s="73"/>
      <c r="AW23" s="143"/>
      <c r="AX23" s="153" t="s">
        <v>11</v>
      </c>
      <c r="AY23" s="6" t="s">
        <v>8</v>
      </c>
      <c r="AZ23" s="111">
        <v>0</v>
      </c>
      <c r="BA23" s="98">
        <v>54</v>
      </c>
      <c r="BB23" s="98">
        <v>147</v>
      </c>
      <c r="BC23" s="99">
        <v>120</v>
      </c>
      <c r="BD23" s="73"/>
      <c r="BE23" s="143"/>
      <c r="BF23" s="153" t="s">
        <v>11</v>
      </c>
      <c r="BG23" s="6" t="s">
        <v>8</v>
      </c>
      <c r="BH23" s="114">
        <v>0</v>
      </c>
      <c r="BI23" s="114">
        <v>95</v>
      </c>
      <c r="BJ23" s="114">
        <v>102</v>
      </c>
      <c r="BK23" s="114">
        <v>82</v>
      </c>
      <c r="BL23" s="73"/>
      <c r="BM23" s="143"/>
      <c r="BN23" s="153" t="s">
        <v>11</v>
      </c>
      <c r="BO23" s="6" t="s">
        <v>8</v>
      </c>
      <c r="BP23" s="114">
        <v>0</v>
      </c>
      <c r="BQ23" s="114">
        <v>5</v>
      </c>
      <c r="BR23" s="114">
        <v>7</v>
      </c>
      <c r="BS23" s="114">
        <v>8</v>
      </c>
      <c r="BT23" s="73"/>
      <c r="BU23" s="143"/>
      <c r="BV23" s="153" t="s">
        <v>11</v>
      </c>
      <c r="BW23" s="6" t="s">
        <v>8</v>
      </c>
      <c r="BX23" s="98">
        <v>0</v>
      </c>
      <c r="BY23" s="98">
        <v>32</v>
      </c>
      <c r="BZ23" s="98">
        <v>144</v>
      </c>
      <c r="CA23" s="99">
        <v>111</v>
      </c>
      <c r="CB23" s="73"/>
      <c r="CC23" s="143"/>
      <c r="CD23" s="153" t="s">
        <v>11</v>
      </c>
      <c r="CE23" s="6" t="s">
        <v>8</v>
      </c>
      <c r="CF23" s="7">
        <v>0</v>
      </c>
      <c r="CG23" s="7">
        <v>0</v>
      </c>
      <c r="CH23" s="7">
        <v>0</v>
      </c>
      <c r="CI23" s="7">
        <v>0</v>
      </c>
      <c r="CJ23" s="73"/>
      <c r="CK23" s="143"/>
      <c r="CL23" s="153" t="s">
        <v>11</v>
      </c>
      <c r="CM23" s="6" t="s">
        <v>8</v>
      </c>
      <c r="CN23" s="7">
        <v>0</v>
      </c>
      <c r="CO23" s="7">
        <v>0</v>
      </c>
      <c r="CP23" s="7">
        <v>0</v>
      </c>
      <c r="CQ23" s="7">
        <v>0</v>
      </c>
      <c r="CR23" s="73"/>
      <c r="CS23" s="143"/>
      <c r="CT23" s="153" t="s">
        <v>11</v>
      </c>
      <c r="CU23" s="6" t="s">
        <v>8</v>
      </c>
      <c r="CV23" s="8">
        <f t="shared" ref="CV23:CV24" si="34">SUM(D23+L23+T23+AB23+AJ23+AR23+AZ23+BH23+BP23+BX23+CF23+CN23)</f>
        <v>0</v>
      </c>
      <c r="CW23" s="9">
        <f t="shared" ref="CW23:CW24" si="35">SUM(E23+M23+U23+AC23+AK23+AS23+BA23+BI23+BQ23+BY23+CG23+CO23)</f>
        <v>455</v>
      </c>
      <c r="CX23" s="9">
        <f t="shared" ref="CX23:CX24" si="36">SUM(F23+N23+V23+AD23+AL23+AT23+BB23+BJ23+BR23+BZ23+CH23+CP23)</f>
        <v>838</v>
      </c>
      <c r="CY23" s="9">
        <f t="shared" ref="CY23:CY24" si="37">SUM(G23+O23+W23+AE23+AM23+AU23+BC23+BK23+BS23+CA23+CI23+CQ23)</f>
        <v>641</v>
      </c>
    </row>
    <row r="24" spans="1:103" ht="20.100000000000001" customHeight="1" thickBot="1" x14ac:dyDescent="0.3">
      <c r="A24" s="143"/>
      <c r="B24" s="154"/>
      <c r="C24" s="10" t="s">
        <v>9</v>
      </c>
      <c r="D24" s="96">
        <v>0</v>
      </c>
      <c r="E24" s="96">
        <v>22</v>
      </c>
      <c r="F24" s="96">
        <v>80</v>
      </c>
      <c r="G24" s="97">
        <v>89</v>
      </c>
      <c r="H24" s="73"/>
      <c r="I24" s="143"/>
      <c r="J24" s="154"/>
      <c r="K24" s="10" t="s">
        <v>9</v>
      </c>
      <c r="L24" s="96">
        <v>0</v>
      </c>
      <c r="M24" s="96">
        <v>69</v>
      </c>
      <c r="N24" s="96">
        <v>87</v>
      </c>
      <c r="O24" s="97">
        <v>78</v>
      </c>
      <c r="P24" s="73"/>
      <c r="Q24" s="143"/>
      <c r="R24" s="154"/>
      <c r="S24" s="10" t="s">
        <v>9</v>
      </c>
      <c r="T24" s="88">
        <v>0</v>
      </c>
      <c r="U24" s="89">
        <v>2</v>
      </c>
      <c r="V24" s="89">
        <v>15</v>
      </c>
      <c r="W24" s="89">
        <v>5</v>
      </c>
      <c r="X24" s="73"/>
      <c r="Y24" s="143"/>
      <c r="Z24" s="154"/>
      <c r="AA24" s="10" t="s">
        <v>9</v>
      </c>
      <c r="AB24" s="88">
        <v>0</v>
      </c>
      <c r="AC24" s="89">
        <v>0</v>
      </c>
      <c r="AD24" s="89">
        <v>0</v>
      </c>
      <c r="AE24" s="89">
        <v>0</v>
      </c>
      <c r="AF24" s="73"/>
      <c r="AG24" s="143"/>
      <c r="AH24" s="154"/>
      <c r="AI24" s="10" t="s">
        <v>9</v>
      </c>
      <c r="AJ24" s="88">
        <v>0</v>
      </c>
      <c r="AK24" s="89">
        <v>2</v>
      </c>
      <c r="AL24" s="89">
        <v>4</v>
      </c>
      <c r="AM24" s="89">
        <v>1</v>
      </c>
      <c r="AN24" s="73"/>
      <c r="AO24" s="143"/>
      <c r="AP24" s="154"/>
      <c r="AQ24" s="10" t="s">
        <v>9</v>
      </c>
      <c r="AR24" s="88">
        <v>0</v>
      </c>
      <c r="AS24" s="89">
        <v>63</v>
      </c>
      <c r="AT24" s="89">
        <v>52</v>
      </c>
      <c r="AU24" s="89">
        <v>79</v>
      </c>
      <c r="AV24" s="73"/>
      <c r="AW24" s="143"/>
      <c r="AX24" s="154"/>
      <c r="AY24" s="10" t="s">
        <v>9</v>
      </c>
      <c r="AZ24" s="112">
        <v>0</v>
      </c>
      <c r="BA24" s="96">
        <v>25</v>
      </c>
      <c r="BB24" s="96">
        <v>66</v>
      </c>
      <c r="BC24" s="97">
        <v>101</v>
      </c>
      <c r="BD24" s="73"/>
      <c r="BE24" s="143"/>
      <c r="BF24" s="154"/>
      <c r="BG24" s="10" t="s">
        <v>9</v>
      </c>
      <c r="BH24" s="115">
        <v>0</v>
      </c>
      <c r="BI24" s="115">
        <v>63</v>
      </c>
      <c r="BJ24" s="115">
        <v>52</v>
      </c>
      <c r="BK24" s="115">
        <v>79</v>
      </c>
      <c r="BL24" s="73"/>
      <c r="BM24" s="143"/>
      <c r="BN24" s="154"/>
      <c r="BO24" s="10" t="s">
        <v>9</v>
      </c>
      <c r="BP24" s="115">
        <v>0</v>
      </c>
      <c r="BQ24" s="115">
        <v>6</v>
      </c>
      <c r="BR24" s="115">
        <v>5</v>
      </c>
      <c r="BS24" s="115">
        <v>0</v>
      </c>
      <c r="BT24" s="73"/>
      <c r="BU24" s="143"/>
      <c r="BV24" s="154"/>
      <c r="BW24" s="10" t="s">
        <v>9</v>
      </c>
      <c r="BX24" s="96">
        <v>0</v>
      </c>
      <c r="BY24" s="96">
        <v>22</v>
      </c>
      <c r="BZ24" s="96">
        <v>80</v>
      </c>
      <c r="CA24" s="97">
        <v>89</v>
      </c>
      <c r="CB24" s="73"/>
      <c r="CC24" s="143"/>
      <c r="CD24" s="154"/>
      <c r="CE24" s="10" t="s">
        <v>9</v>
      </c>
      <c r="CF24" s="11">
        <v>0</v>
      </c>
      <c r="CG24" s="11">
        <v>0</v>
      </c>
      <c r="CH24" s="11">
        <v>0</v>
      </c>
      <c r="CI24" s="11">
        <v>0</v>
      </c>
      <c r="CJ24" s="73"/>
      <c r="CK24" s="143"/>
      <c r="CL24" s="154"/>
      <c r="CM24" s="10" t="s">
        <v>9</v>
      </c>
      <c r="CN24" s="11">
        <v>0</v>
      </c>
      <c r="CO24" s="11">
        <v>0</v>
      </c>
      <c r="CP24" s="11">
        <v>0</v>
      </c>
      <c r="CQ24" s="11">
        <v>0</v>
      </c>
      <c r="CR24" s="73"/>
      <c r="CS24" s="143"/>
      <c r="CT24" s="154"/>
      <c r="CU24" s="10" t="s">
        <v>9</v>
      </c>
      <c r="CV24" s="12">
        <f t="shared" si="34"/>
        <v>0</v>
      </c>
      <c r="CW24" s="13">
        <f t="shared" si="35"/>
        <v>274</v>
      </c>
      <c r="CX24" s="13">
        <f t="shared" si="36"/>
        <v>441</v>
      </c>
      <c r="CY24" s="13">
        <f t="shared" si="37"/>
        <v>521</v>
      </c>
    </row>
    <row r="25" spans="1:103" ht="20.100000000000001" customHeight="1" thickBot="1" x14ac:dyDescent="0.25">
      <c r="A25" s="144"/>
      <c r="B25" s="151" t="s">
        <v>14</v>
      </c>
      <c r="C25" s="152"/>
      <c r="D25" s="14">
        <f>SUM(D23:D24)</f>
        <v>0</v>
      </c>
      <c r="E25" s="14">
        <f>SUM(E23:E24)</f>
        <v>54</v>
      </c>
      <c r="F25" s="14">
        <f>SUM(F23:F24)</f>
        <v>224</v>
      </c>
      <c r="G25" s="14">
        <f>SUM(G23:G24)</f>
        <v>200</v>
      </c>
      <c r="H25" s="73"/>
      <c r="I25" s="144"/>
      <c r="J25" s="151" t="s">
        <v>14</v>
      </c>
      <c r="K25" s="152"/>
      <c r="L25" s="14">
        <f>SUM(L23:L24)</f>
        <v>0</v>
      </c>
      <c r="M25" s="14">
        <f>SUM(M23:M24)</f>
        <v>181</v>
      </c>
      <c r="N25" s="14">
        <f>SUM(N23:N24)</f>
        <v>228</v>
      </c>
      <c r="O25" s="14">
        <f>SUM(O23:O24)</f>
        <v>174</v>
      </c>
      <c r="P25" s="73"/>
      <c r="Q25" s="144"/>
      <c r="R25" s="151" t="s">
        <v>14</v>
      </c>
      <c r="S25" s="152"/>
      <c r="T25" s="90">
        <v>0</v>
      </c>
      <c r="U25" s="91">
        <v>18</v>
      </c>
      <c r="V25" s="91">
        <v>50</v>
      </c>
      <c r="W25" s="91">
        <v>33</v>
      </c>
      <c r="X25" s="73"/>
      <c r="Y25" s="144"/>
      <c r="Z25" s="151" t="s">
        <v>14</v>
      </c>
      <c r="AA25" s="152"/>
      <c r="AB25" s="90">
        <v>0</v>
      </c>
      <c r="AC25" s="91">
        <v>0</v>
      </c>
      <c r="AD25" s="91">
        <v>0</v>
      </c>
      <c r="AE25" s="91">
        <v>0</v>
      </c>
      <c r="AF25" s="73"/>
      <c r="AG25" s="144"/>
      <c r="AH25" s="151" t="s">
        <v>14</v>
      </c>
      <c r="AI25" s="152"/>
      <c r="AJ25" s="14">
        <f>SUM(AJ23:AJ24)</f>
        <v>0</v>
      </c>
      <c r="AK25" s="14">
        <f>SUM(AK23:AK24)</f>
        <v>16</v>
      </c>
      <c r="AL25" s="14">
        <f>SUM(AL23:AL24)</f>
        <v>20</v>
      </c>
      <c r="AM25" s="14">
        <f>SUM(AM23:AM24)</f>
        <v>4</v>
      </c>
      <c r="AN25" s="73"/>
      <c r="AO25" s="144"/>
      <c r="AP25" s="151" t="s">
        <v>14</v>
      </c>
      <c r="AQ25" s="152"/>
      <c r="AR25" s="90">
        <v>0</v>
      </c>
      <c r="AS25" s="91">
        <v>158</v>
      </c>
      <c r="AT25" s="91">
        <v>154</v>
      </c>
      <c r="AU25" s="91">
        <v>161</v>
      </c>
      <c r="AV25" s="73"/>
      <c r="AW25" s="144"/>
      <c r="AX25" s="151" t="s">
        <v>14</v>
      </c>
      <c r="AY25" s="152"/>
      <c r="AZ25" s="90">
        <v>0</v>
      </c>
      <c r="BA25" s="91">
        <v>79</v>
      </c>
      <c r="BB25" s="91">
        <v>213</v>
      </c>
      <c r="BC25" s="91">
        <v>221</v>
      </c>
      <c r="BD25" s="73"/>
      <c r="BE25" s="144"/>
      <c r="BF25" s="151" t="s">
        <v>14</v>
      </c>
      <c r="BG25" s="152"/>
      <c r="BH25" s="116">
        <f t="shared" ref="BH25:BK25" si="38">SUM(BH23:BH24)</f>
        <v>0</v>
      </c>
      <c r="BI25" s="116">
        <f t="shared" si="38"/>
        <v>158</v>
      </c>
      <c r="BJ25" s="116">
        <f t="shared" si="38"/>
        <v>154</v>
      </c>
      <c r="BK25" s="116">
        <f t="shared" si="38"/>
        <v>161</v>
      </c>
      <c r="BL25" s="73"/>
      <c r="BM25" s="144"/>
      <c r="BN25" s="151" t="s">
        <v>14</v>
      </c>
      <c r="BO25" s="152"/>
      <c r="BP25" s="116">
        <f t="shared" ref="BP25:BS25" si="39">SUM(BP23:BP24)</f>
        <v>0</v>
      </c>
      <c r="BQ25" s="116">
        <f t="shared" si="39"/>
        <v>11</v>
      </c>
      <c r="BR25" s="116">
        <f t="shared" si="39"/>
        <v>12</v>
      </c>
      <c r="BS25" s="116">
        <f t="shared" si="39"/>
        <v>8</v>
      </c>
      <c r="BT25" s="73"/>
      <c r="BU25" s="144"/>
      <c r="BV25" s="151" t="s">
        <v>14</v>
      </c>
      <c r="BW25" s="152"/>
      <c r="BX25" s="90">
        <v>0</v>
      </c>
      <c r="BY25" s="91">
        <v>54</v>
      </c>
      <c r="BZ25" s="91">
        <v>224</v>
      </c>
      <c r="CA25" s="91">
        <v>200</v>
      </c>
      <c r="CB25" s="73"/>
      <c r="CC25" s="144"/>
      <c r="CD25" s="151" t="s">
        <v>14</v>
      </c>
      <c r="CE25" s="152"/>
      <c r="CF25" s="14">
        <f>SUM(CF23:CF24)</f>
        <v>0</v>
      </c>
      <c r="CG25" s="14">
        <f>SUM(CG23:CG24)</f>
        <v>0</v>
      </c>
      <c r="CH25" s="14">
        <f>SUM(CH23:CH24)</f>
        <v>0</v>
      </c>
      <c r="CI25" s="14">
        <f>SUM(CI23:CI24)</f>
        <v>0</v>
      </c>
      <c r="CJ25" s="73"/>
      <c r="CK25" s="144"/>
      <c r="CL25" s="151" t="s">
        <v>14</v>
      </c>
      <c r="CM25" s="152"/>
      <c r="CN25" s="14">
        <f>SUM(CN23:CN24)</f>
        <v>0</v>
      </c>
      <c r="CO25" s="14">
        <f>SUM(CO23:CO24)</f>
        <v>0</v>
      </c>
      <c r="CP25" s="14">
        <f>SUM(CP23:CP24)</f>
        <v>0</v>
      </c>
      <c r="CQ25" s="14">
        <f>SUM(CQ23:CQ24)</f>
        <v>0</v>
      </c>
      <c r="CR25" s="73"/>
      <c r="CS25" s="144"/>
      <c r="CT25" s="151" t="s">
        <v>14</v>
      </c>
      <c r="CU25" s="152"/>
      <c r="CV25" s="14">
        <f>SUM(CV23:CV24)</f>
        <v>0</v>
      </c>
      <c r="CW25" s="14">
        <f>SUM(CW23:CW24)</f>
        <v>729</v>
      </c>
      <c r="CX25" s="14">
        <f>SUM(CX23:CX24)</f>
        <v>1279</v>
      </c>
      <c r="CY25" s="15">
        <f>SUM(CY23:CY24)</f>
        <v>1162</v>
      </c>
    </row>
    <row r="26" spans="1:103" ht="20.100000000000001" customHeight="1" thickBot="1" x14ac:dyDescent="0.25">
      <c r="A26" s="17"/>
      <c r="B26" s="149" t="s">
        <v>12</v>
      </c>
      <c r="C26" s="150"/>
      <c r="D26" s="18">
        <f>SUM(D22+D25)</f>
        <v>0</v>
      </c>
      <c r="E26" s="18">
        <f>SUM(E22+E25)</f>
        <v>217</v>
      </c>
      <c r="F26" s="18">
        <f>SUM(F22+F25)</f>
        <v>805</v>
      </c>
      <c r="G26" s="18">
        <f>SUM(G22+G25)</f>
        <v>601</v>
      </c>
      <c r="H26" s="73"/>
      <c r="I26" s="17"/>
      <c r="J26" s="149" t="s">
        <v>12</v>
      </c>
      <c r="K26" s="150"/>
      <c r="L26" s="18">
        <f>SUM(L22+L25)</f>
        <v>0</v>
      </c>
      <c r="M26" s="18">
        <f>SUM(M22+M25)</f>
        <v>524</v>
      </c>
      <c r="N26" s="18">
        <f>SUM(N22+N25)</f>
        <v>506</v>
      </c>
      <c r="O26" s="18">
        <f>SUM(O22+O25)</f>
        <v>519</v>
      </c>
      <c r="P26" s="73"/>
      <c r="Q26" s="17"/>
      <c r="R26" s="149" t="s">
        <v>12</v>
      </c>
      <c r="S26" s="150"/>
      <c r="T26" s="107">
        <v>3</v>
      </c>
      <c r="U26" s="108">
        <v>61</v>
      </c>
      <c r="V26" s="108">
        <v>105</v>
      </c>
      <c r="W26" s="108">
        <v>88</v>
      </c>
      <c r="X26" s="73"/>
      <c r="Y26" s="17"/>
      <c r="Z26" s="149" t="s">
        <v>12</v>
      </c>
      <c r="AA26" s="150"/>
      <c r="AB26" s="107">
        <v>0</v>
      </c>
      <c r="AC26" s="108">
        <v>0</v>
      </c>
      <c r="AD26" s="108">
        <v>0</v>
      </c>
      <c r="AE26" s="108">
        <v>0</v>
      </c>
      <c r="AF26" s="73"/>
      <c r="AG26" s="17"/>
      <c r="AH26" s="149" t="s">
        <v>12</v>
      </c>
      <c r="AI26" s="150"/>
      <c r="AJ26" s="18">
        <f>SUM(AJ22+AJ25)</f>
        <v>3</v>
      </c>
      <c r="AK26" s="18">
        <f>SUM(AK22+AK25)</f>
        <v>97</v>
      </c>
      <c r="AL26" s="18">
        <f>SUM(AL22+AL25)</f>
        <v>89</v>
      </c>
      <c r="AM26" s="18">
        <f>SUM(AM22+AM25)</f>
        <v>119</v>
      </c>
      <c r="AN26" s="73"/>
      <c r="AO26" s="17"/>
      <c r="AP26" s="149" t="s">
        <v>12</v>
      </c>
      <c r="AQ26" s="150"/>
      <c r="AR26" s="107">
        <v>0</v>
      </c>
      <c r="AS26" s="108">
        <v>334</v>
      </c>
      <c r="AT26" s="108">
        <v>653</v>
      </c>
      <c r="AU26" s="108">
        <v>669</v>
      </c>
      <c r="AV26" s="73"/>
      <c r="AW26" s="17"/>
      <c r="AX26" s="149" t="s">
        <v>12</v>
      </c>
      <c r="AY26" s="150"/>
      <c r="AZ26" s="107">
        <v>0</v>
      </c>
      <c r="BA26" s="108">
        <v>255</v>
      </c>
      <c r="BB26" s="108">
        <v>712</v>
      </c>
      <c r="BC26" s="108">
        <v>729</v>
      </c>
      <c r="BD26" s="73"/>
      <c r="BE26" s="17"/>
      <c r="BF26" s="149" t="s">
        <v>12</v>
      </c>
      <c r="BG26" s="150"/>
      <c r="BH26" s="117">
        <f t="shared" ref="BH26:BK26" si="40">SUM(BH22+BH25)</f>
        <v>0</v>
      </c>
      <c r="BI26" s="117">
        <f t="shared" si="40"/>
        <v>334</v>
      </c>
      <c r="BJ26" s="117">
        <f t="shared" si="40"/>
        <v>653</v>
      </c>
      <c r="BK26" s="117">
        <f t="shared" si="40"/>
        <v>669</v>
      </c>
      <c r="BL26" s="73"/>
      <c r="BM26" s="17"/>
      <c r="BN26" s="149" t="s">
        <v>12</v>
      </c>
      <c r="BO26" s="150"/>
      <c r="BP26" s="117">
        <f t="shared" ref="BP26:BS26" si="41">SUM(BP22+BP25)</f>
        <v>0</v>
      </c>
      <c r="BQ26" s="117">
        <f t="shared" si="41"/>
        <v>57</v>
      </c>
      <c r="BR26" s="117">
        <f t="shared" si="41"/>
        <v>107</v>
      </c>
      <c r="BS26" s="117">
        <f t="shared" si="41"/>
        <v>145</v>
      </c>
      <c r="BT26" s="73"/>
      <c r="BU26" s="17"/>
      <c r="BV26" s="149" t="s">
        <v>12</v>
      </c>
      <c r="BW26" s="150"/>
      <c r="BX26" s="107">
        <v>0</v>
      </c>
      <c r="BY26" s="108">
        <v>217</v>
      </c>
      <c r="BZ26" s="108">
        <v>805</v>
      </c>
      <c r="CA26" s="108">
        <v>601</v>
      </c>
      <c r="CB26" s="73"/>
      <c r="CC26" s="17"/>
      <c r="CD26" s="149" t="s">
        <v>12</v>
      </c>
      <c r="CE26" s="150"/>
      <c r="CF26" s="18">
        <f>SUM(CF22+CF25)</f>
        <v>0</v>
      </c>
      <c r="CG26" s="18">
        <f>SUM(CG22+CG25)</f>
        <v>0</v>
      </c>
      <c r="CH26" s="18">
        <f>SUM(CH22+CH25)</f>
        <v>0</v>
      </c>
      <c r="CI26" s="18">
        <f>SUM(CI22+CI25)</f>
        <v>0</v>
      </c>
      <c r="CJ26" s="73"/>
      <c r="CK26" s="17"/>
      <c r="CL26" s="149" t="s">
        <v>12</v>
      </c>
      <c r="CM26" s="150"/>
      <c r="CN26" s="18">
        <f>SUM(CN22+CN25)</f>
        <v>0</v>
      </c>
      <c r="CO26" s="18">
        <f>SUM(CO22+CO25)</f>
        <v>0</v>
      </c>
      <c r="CP26" s="18">
        <f>SUM(CP22+CP25)</f>
        <v>0</v>
      </c>
      <c r="CQ26" s="18">
        <f>SUM(CQ22+CQ25)</f>
        <v>0</v>
      </c>
      <c r="CR26" s="73"/>
      <c r="CS26" s="17"/>
      <c r="CT26" s="149" t="s">
        <v>12</v>
      </c>
      <c r="CU26" s="150"/>
      <c r="CV26" s="18">
        <f>SUM(CV22+CV25)</f>
        <v>6</v>
      </c>
      <c r="CW26" s="18">
        <f>SUM(CW22+CW25)</f>
        <v>2096</v>
      </c>
      <c r="CX26" s="18">
        <f>SUM(CX22+CX25)</f>
        <v>4435</v>
      </c>
      <c r="CY26" s="23">
        <f>SUM(CY22+CY25)</f>
        <v>4140</v>
      </c>
    </row>
    <row r="27" spans="1:103" ht="20.100000000000001" customHeight="1" thickTop="1" thickBot="1" x14ac:dyDescent="0.25">
      <c r="A27" s="142" t="s">
        <v>23</v>
      </c>
      <c r="B27" s="140" t="s">
        <v>3</v>
      </c>
      <c r="C27" s="6" t="s">
        <v>8</v>
      </c>
      <c r="D27" s="86">
        <v>0</v>
      </c>
      <c r="E27" s="87">
        <v>81</v>
      </c>
      <c r="F27" s="87">
        <v>99</v>
      </c>
      <c r="G27" s="87">
        <v>120</v>
      </c>
      <c r="H27" s="73"/>
      <c r="I27" s="142" t="s">
        <v>23</v>
      </c>
      <c r="J27" s="140" t="s">
        <v>3</v>
      </c>
      <c r="K27" s="6" t="s">
        <v>8</v>
      </c>
      <c r="L27" s="7">
        <v>0</v>
      </c>
      <c r="M27" s="7">
        <v>0</v>
      </c>
      <c r="N27" s="7">
        <v>0</v>
      </c>
      <c r="O27" s="7">
        <v>0</v>
      </c>
      <c r="P27" s="73"/>
      <c r="Q27" s="142" t="s">
        <v>23</v>
      </c>
      <c r="R27" s="140" t="s">
        <v>3</v>
      </c>
      <c r="S27" s="6" t="s">
        <v>8</v>
      </c>
      <c r="T27" s="86">
        <v>0</v>
      </c>
      <c r="U27" s="87">
        <v>56</v>
      </c>
      <c r="V27" s="87">
        <v>36</v>
      </c>
      <c r="W27" s="87">
        <v>33</v>
      </c>
      <c r="X27" s="73"/>
      <c r="Y27" s="142" t="s">
        <v>23</v>
      </c>
      <c r="Z27" s="140" t="s">
        <v>3</v>
      </c>
      <c r="AA27" s="6" t="s">
        <v>8</v>
      </c>
      <c r="AB27" s="92">
        <v>0</v>
      </c>
      <c r="AC27" s="93">
        <v>0</v>
      </c>
      <c r="AD27" s="93">
        <v>0</v>
      </c>
      <c r="AE27" s="93">
        <v>0</v>
      </c>
      <c r="AF27" s="73"/>
      <c r="AG27" s="142" t="s">
        <v>23</v>
      </c>
      <c r="AH27" s="140" t="s">
        <v>3</v>
      </c>
      <c r="AI27" s="6" t="s">
        <v>8</v>
      </c>
      <c r="AJ27" s="86">
        <v>0</v>
      </c>
      <c r="AK27" s="87">
        <v>21</v>
      </c>
      <c r="AL27" s="87">
        <v>20</v>
      </c>
      <c r="AM27" s="87">
        <v>26</v>
      </c>
      <c r="AN27" s="73"/>
      <c r="AO27" s="142" t="s">
        <v>23</v>
      </c>
      <c r="AP27" s="140" t="s">
        <v>3</v>
      </c>
      <c r="AQ27" s="6" t="s">
        <v>8</v>
      </c>
      <c r="AR27" s="86">
        <v>0</v>
      </c>
      <c r="AS27" s="87">
        <v>18</v>
      </c>
      <c r="AT27" s="87">
        <v>19</v>
      </c>
      <c r="AU27" s="87">
        <v>23</v>
      </c>
      <c r="AV27" s="73"/>
      <c r="AW27" s="142" t="s">
        <v>23</v>
      </c>
      <c r="AX27" s="140" t="s">
        <v>3</v>
      </c>
      <c r="AY27" s="6" t="s">
        <v>8</v>
      </c>
      <c r="AZ27" s="92">
        <v>0</v>
      </c>
      <c r="BA27" s="93">
        <v>89</v>
      </c>
      <c r="BB27" s="93">
        <v>110</v>
      </c>
      <c r="BC27" s="93">
        <v>102</v>
      </c>
      <c r="BD27" s="73"/>
      <c r="BE27" s="142" t="s">
        <v>23</v>
      </c>
      <c r="BF27" s="140" t="s">
        <v>3</v>
      </c>
      <c r="BG27" s="6" t="s">
        <v>8</v>
      </c>
      <c r="BH27" s="118">
        <v>0</v>
      </c>
      <c r="BI27" s="119">
        <v>18</v>
      </c>
      <c r="BJ27" s="119">
        <v>1</v>
      </c>
      <c r="BK27" s="119">
        <v>31</v>
      </c>
      <c r="BL27" s="73"/>
      <c r="BM27" s="142" t="s">
        <v>23</v>
      </c>
      <c r="BN27" s="140" t="s">
        <v>3</v>
      </c>
      <c r="BO27" s="6" t="s">
        <v>8</v>
      </c>
      <c r="BP27" s="114">
        <v>2</v>
      </c>
      <c r="BQ27" s="114">
        <v>35</v>
      </c>
      <c r="BR27" s="114">
        <v>22</v>
      </c>
      <c r="BS27" s="114">
        <v>58</v>
      </c>
      <c r="BT27" s="73"/>
      <c r="BU27" s="142" t="s">
        <v>23</v>
      </c>
      <c r="BV27" s="140" t="s">
        <v>3</v>
      </c>
      <c r="BW27" s="6" t="s">
        <v>8</v>
      </c>
      <c r="BX27" s="92">
        <v>0</v>
      </c>
      <c r="BY27" s="93">
        <v>81</v>
      </c>
      <c r="BZ27" s="93">
        <v>99</v>
      </c>
      <c r="CA27" s="93">
        <v>120</v>
      </c>
      <c r="CB27" s="73"/>
      <c r="CC27" s="142" t="s">
        <v>23</v>
      </c>
      <c r="CD27" s="140" t="s">
        <v>3</v>
      </c>
      <c r="CE27" s="6" t="s">
        <v>8</v>
      </c>
      <c r="CF27" s="7">
        <v>0</v>
      </c>
      <c r="CG27" s="7">
        <v>0</v>
      </c>
      <c r="CH27" s="7">
        <v>0</v>
      </c>
      <c r="CI27" s="7">
        <v>0</v>
      </c>
      <c r="CJ27" s="73"/>
      <c r="CK27" s="142" t="s">
        <v>23</v>
      </c>
      <c r="CL27" s="140" t="s">
        <v>3</v>
      </c>
      <c r="CM27" s="6" t="s">
        <v>8</v>
      </c>
      <c r="CN27" s="7">
        <v>0</v>
      </c>
      <c r="CO27" s="7">
        <v>0</v>
      </c>
      <c r="CP27" s="7">
        <v>0</v>
      </c>
      <c r="CQ27" s="7">
        <v>0</v>
      </c>
      <c r="CR27" s="73"/>
      <c r="CS27" s="142" t="str">
        <f>(CK27)</f>
        <v>المطار القديم</v>
      </c>
      <c r="CT27" s="140" t="s">
        <v>3</v>
      </c>
      <c r="CU27" s="6" t="s">
        <v>8</v>
      </c>
      <c r="CV27" s="8">
        <f t="shared" ref="CV27:CV28" si="42">SUM(D27+L27+T27+AB27+AJ27+AR27+AZ27+BH27+BP27+BX27+CF27+CN27)</f>
        <v>2</v>
      </c>
      <c r="CW27" s="9">
        <f t="shared" ref="CW27:CW28" si="43">SUM(E27+M27+U27+AC27+AK27+AS27+BA27+BI27+BQ27+BY27+CG27+CO27)</f>
        <v>399</v>
      </c>
      <c r="CX27" s="9">
        <f t="shared" ref="CX27:CX28" si="44">SUM(F27+N27+V27+AD27+AL27+AT27+BB27+BJ27+BR27+BZ27+CH27+CP27)</f>
        <v>406</v>
      </c>
      <c r="CY27" s="9">
        <f t="shared" ref="CY27:CY28" si="45">SUM(G27+O27+W27+AE27+AM27+AU27+BC27+BK27+BS27+CA27+CI27+CQ27)</f>
        <v>513</v>
      </c>
    </row>
    <row r="28" spans="1:103" ht="20.100000000000001" customHeight="1" thickBot="1" x14ac:dyDescent="0.25">
      <c r="A28" s="143"/>
      <c r="B28" s="141"/>
      <c r="C28" s="10" t="s">
        <v>9</v>
      </c>
      <c r="D28" s="88">
        <v>0</v>
      </c>
      <c r="E28" s="89">
        <v>25</v>
      </c>
      <c r="F28" s="89">
        <v>40</v>
      </c>
      <c r="G28" s="89">
        <v>35</v>
      </c>
      <c r="H28" s="73"/>
      <c r="I28" s="143"/>
      <c r="J28" s="141"/>
      <c r="K28" s="10" t="s">
        <v>9</v>
      </c>
      <c r="L28" s="11">
        <v>0</v>
      </c>
      <c r="M28" s="11">
        <v>0</v>
      </c>
      <c r="N28" s="11">
        <v>0</v>
      </c>
      <c r="O28" s="11">
        <v>0</v>
      </c>
      <c r="P28" s="73"/>
      <c r="Q28" s="143"/>
      <c r="R28" s="141"/>
      <c r="S28" s="10" t="s">
        <v>9</v>
      </c>
      <c r="T28" s="88">
        <v>0</v>
      </c>
      <c r="U28" s="89">
        <v>33</v>
      </c>
      <c r="V28" s="89">
        <v>6</v>
      </c>
      <c r="W28" s="89">
        <v>11</v>
      </c>
      <c r="X28" s="73"/>
      <c r="Y28" s="143"/>
      <c r="Z28" s="141"/>
      <c r="AA28" s="10" t="s">
        <v>9</v>
      </c>
      <c r="AB28" s="88">
        <v>0</v>
      </c>
      <c r="AC28" s="89">
        <v>0</v>
      </c>
      <c r="AD28" s="89">
        <v>0</v>
      </c>
      <c r="AE28" s="89">
        <v>0</v>
      </c>
      <c r="AF28" s="73"/>
      <c r="AG28" s="143"/>
      <c r="AH28" s="141"/>
      <c r="AI28" s="10" t="s">
        <v>9</v>
      </c>
      <c r="AJ28" s="88">
        <v>0</v>
      </c>
      <c r="AK28" s="89">
        <v>5</v>
      </c>
      <c r="AL28" s="89">
        <v>9</v>
      </c>
      <c r="AM28" s="89">
        <v>10</v>
      </c>
      <c r="AN28" s="73"/>
      <c r="AO28" s="143"/>
      <c r="AP28" s="141"/>
      <c r="AQ28" s="10" t="s">
        <v>9</v>
      </c>
      <c r="AR28" s="88">
        <v>0</v>
      </c>
      <c r="AS28" s="89">
        <v>8</v>
      </c>
      <c r="AT28" s="89">
        <v>21</v>
      </c>
      <c r="AU28" s="89">
        <v>27</v>
      </c>
      <c r="AV28" s="73"/>
      <c r="AW28" s="143"/>
      <c r="AX28" s="141"/>
      <c r="AY28" s="10" t="s">
        <v>9</v>
      </c>
      <c r="AZ28" s="88">
        <v>0</v>
      </c>
      <c r="BA28" s="89">
        <v>49</v>
      </c>
      <c r="BB28" s="89">
        <v>87</v>
      </c>
      <c r="BC28" s="89">
        <v>76</v>
      </c>
      <c r="BD28" s="73"/>
      <c r="BE28" s="143"/>
      <c r="BF28" s="141"/>
      <c r="BG28" s="10" t="s">
        <v>9</v>
      </c>
      <c r="BH28" s="120">
        <v>0</v>
      </c>
      <c r="BI28" s="121">
        <v>3</v>
      </c>
      <c r="BJ28" s="121">
        <v>0</v>
      </c>
      <c r="BK28" s="121">
        <v>9</v>
      </c>
      <c r="BL28" s="73"/>
      <c r="BM28" s="143"/>
      <c r="BN28" s="141"/>
      <c r="BO28" s="10" t="s">
        <v>9</v>
      </c>
      <c r="BP28" s="115">
        <v>0</v>
      </c>
      <c r="BQ28" s="115">
        <v>8</v>
      </c>
      <c r="BR28" s="115">
        <v>10</v>
      </c>
      <c r="BS28" s="115">
        <v>9</v>
      </c>
      <c r="BT28" s="73"/>
      <c r="BU28" s="143"/>
      <c r="BV28" s="141"/>
      <c r="BW28" s="10" t="s">
        <v>9</v>
      </c>
      <c r="BX28" s="88">
        <v>0</v>
      </c>
      <c r="BY28" s="89">
        <v>25</v>
      </c>
      <c r="BZ28" s="89">
        <v>40</v>
      </c>
      <c r="CA28" s="89">
        <v>35</v>
      </c>
      <c r="CB28" s="73"/>
      <c r="CC28" s="143"/>
      <c r="CD28" s="141"/>
      <c r="CE28" s="10" t="s">
        <v>9</v>
      </c>
      <c r="CF28" s="11">
        <v>0</v>
      </c>
      <c r="CG28" s="11">
        <v>0</v>
      </c>
      <c r="CH28" s="11">
        <v>0</v>
      </c>
      <c r="CI28" s="11">
        <v>0</v>
      </c>
      <c r="CJ28" s="73"/>
      <c r="CK28" s="143"/>
      <c r="CL28" s="141"/>
      <c r="CM28" s="10" t="s">
        <v>9</v>
      </c>
      <c r="CN28" s="11">
        <v>0</v>
      </c>
      <c r="CO28" s="11">
        <v>0</v>
      </c>
      <c r="CP28" s="11">
        <v>0</v>
      </c>
      <c r="CQ28" s="11">
        <v>0</v>
      </c>
      <c r="CR28" s="73"/>
      <c r="CS28" s="143"/>
      <c r="CT28" s="141"/>
      <c r="CU28" s="10" t="s">
        <v>9</v>
      </c>
      <c r="CV28" s="12">
        <f t="shared" si="42"/>
        <v>0</v>
      </c>
      <c r="CW28" s="13">
        <f t="shared" si="43"/>
        <v>156</v>
      </c>
      <c r="CX28" s="13">
        <f t="shared" si="44"/>
        <v>213</v>
      </c>
      <c r="CY28" s="13">
        <f t="shared" si="45"/>
        <v>212</v>
      </c>
    </row>
    <row r="29" spans="1:103" ht="20.100000000000001" customHeight="1" thickBot="1" x14ac:dyDescent="0.25">
      <c r="A29" s="143"/>
      <c r="B29" s="145" t="s">
        <v>10</v>
      </c>
      <c r="C29" s="146"/>
      <c r="D29" s="90">
        <v>0</v>
      </c>
      <c r="E29" s="91">
        <v>106</v>
      </c>
      <c r="F29" s="91">
        <v>139</v>
      </c>
      <c r="G29" s="91">
        <v>155</v>
      </c>
      <c r="H29" s="73"/>
      <c r="I29" s="143"/>
      <c r="J29" s="145" t="s">
        <v>10</v>
      </c>
      <c r="K29" s="146"/>
      <c r="L29" s="14">
        <f>SUM(L27:L28)</f>
        <v>0</v>
      </c>
      <c r="M29" s="14">
        <f>SUM(M27:M28)</f>
        <v>0</v>
      </c>
      <c r="N29" s="14">
        <f>SUM(N27:N28)</f>
        <v>0</v>
      </c>
      <c r="O29" s="14">
        <f>SUM(O27:O28)</f>
        <v>0</v>
      </c>
      <c r="P29" s="73"/>
      <c r="Q29" s="143"/>
      <c r="R29" s="145" t="s">
        <v>10</v>
      </c>
      <c r="S29" s="146"/>
      <c r="T29" s="90">
        <v>0</v>
      </c>
      <c r="U29" s="91">
        <v>89</v>
      </c>
      <c r="V29" s="91">
        <v>42</v>
      </c>
      <c r="W29" s="91">
        <v>44</v>
      </c>
      <c r="X29" s="73"/>
      <c r="Y29" s="143"/>
      <c r="Z29" s="145" t="s">
        <v>10</v>
      </c>
      <c r="AA29" s="146"/>
      <c r="AB29" s="90">
        <v>0</v>
      </c>
      <c r="AC29" s="91">
        <v>0</v>
      </c>
      <c r="AD29" s="91">
        <v>0</v>
      </c>
      <c r="AE29" s="91">
        <v>0</v>
      </c>
      <c r="AF29" s="73"/>
      <c r="AG29" s="143"/>
      <c r="AH29" s="145" t="s">
        <v>10</v>
      </c>
      <c r="AI29" s="146"/>
      <c r="AJ29" s="90">
        <v>0</v>
      </c>
      <c r="AK29" s="91">
        <v>26</v>
      </c>
      <c r="AL29" s="91">
        <v>29</v>
      </c>
      <c r="AM29" s="91">
        <v>36</v>
      </c>
      <c r="AN29" s="73"/>
      <c r="AO29" s="143"/>
      <c r="AP29" s="145" t="s">
        <v>10</v>
      </c>
      <c r="AQ29" s="146"/>
      <c r="AR29" s="90">
        <v>0</v>
      </c>
      <c r="AS29" s="91">
        <v>26</v>
      </c>
      <c r="AT29" s="91">
        <v>40</v>
      </c>
      <c r="AU29" s="91">
        <v>50</v>
      </c>
      <c r="AV29" s="73"/>
      <c r="AW29" s="143"/>
      <c r="AX29" s="145" t="s">
        <v>10</v>
      </c>
      <c r="AY29" s="146"/>
      <c r="AZ29" s="90">
        <v>0</v>
      </c>
      <c r="BA29" s="91">
        <v>138</v>
      </c>
      <c r="BB29" s="91">
        <v>197</v>
      </c>
      <c r="BC29" s="91">
        <v>178</v>
      </c>
      <c r="BD29" s="73"/>
      <c r="BE29" s="143"/>
      <c r="BF29" s="145" t="s">
        <v>10</v>
      </c>
      <c r="BG29" s="146"/>
      <c r="BH29" s="116">
        <f t="shared" ref="BH29:BK29" si="46">SUM(BH27:BH28)</f>
        <v>0</v>
      </c>
      <c r="BI29" s="116">
        <f t="shared" si="46"/>
        <v>21</v>
      </c>
      <c r="BJ29" s="116">
        <f t="shared" si="46"/>
        <v>1</v>
      </c>
      <c r="BK29" s="116">
        <f t="shared" si="46"/>
        <v>40</v>
      </c>
      <c r="BL29" s="73"/>
      <c r="BM29" s="143"/>
      <c r="BN29" s="145" t="s">
        <v>10</v>
      </c>
      <c r="BO29" s="146"/>
      <c r="BP29" s="116">
        <f t="shared" ref="BP29:BS29" si="47">SUM(BP27:BP28)</f>
        <v>2</v>
      </c>
      <c r="BQ29" s="116">
        <f t="shared" si="47"/>
        <v>43</v>
      </c>
      <c r="BR29" s="116">
        <f t="shared" si="47"/>
        <v>32</v>
      </c>
      <c r="BS29" s="116">
        <f t="shared" si="47"/>
        <v>67</v>
      </c>
      <c r="BT29" s="73"/>
      <c r="BU29" s="143"/>
      <c r="BV29" s="145" t="s">
        <v>10</v>
      </c>
      <c r="BW29" s="146"/>
      <c r="BX29" s="90">
        <v>0</v>
      </c>
      <c r="BY29" s="91">
        <v>106</v>
      </c>
      <c r="BZ29" s="91">
        <v>139</v>
      </c>
      <c r="CA29" s="91">
        <v>155</v>
      </c>
      <c r="CB29" s="73"/>
      <c r="CC29" s="143"/>
      <c r="CD29" s="145" t="s">
        <v>10</v>
      </c>
      <c r="CE29" s="146"/>
      <c r="CF29" s="14">
        <f>SUM(CF27:CF28)</f>
        <v>0</v>
      </c>
      <c r="CG29" s="14">
        <f>SUM(CG27:CG28)</f>
        <v>0</v>
      </c>
      <c r="CH29" s="14">
        <f>SUM(CH27:CH28)</f>
        <v>0</v>
      </c>
      <c r="CI29" s="14">
        <f>SUM(CI27:CI28)</f>
        <v>0</v>
      </c>
      <c r="CJ29" s="73"/>
      <c r="CK29" s="143"/>
      <c r="CL29" s="145" t="s">
        <v>10</v>
      </c>
      <c r="CM29" s="146"/>
      <c r="CN29" s="14">
        <f>SUM(CN27:CN28)</f>
        <v>0</v>
      </c>
      <c r="CO29" s="14">
        <f>SUM(CO27:CO28)</f>
        <v>0</v>
      </c>
      <c r="CP29" s="14">
        <f>SUM(CP27:CP28)</f>
        <v>0</v>
      </c>
      <c r="CQ29" s="14">
        <f>SUM(CQ27:CQ28)</f>
        <v>0</v>
      </c>
      <c r="CR29" s="73"/>
      <c r="CS29" s="143"/>
      <c r="CT29" s="145" t="s">
        <v>10</v>
      </c>
      <c r="CU29" s="146"/>
      <c r="CV29" s="16">
        <f>SUM(CV27:CV28)</f>
        <v>2</v>
      </c>
      <c r="CW29" s="16">
        <f>SUM(CW27:CW28)</f>
        <v>555</v>
      </c>
      <c r="CX29" s="16">
        <f>SUM(CX27:CX28)</f>
        <v>619</v>
      </c>
      <c r="CY29" s="20">
        <f>SUM(CY27:CY28)</f>
        <v>725</v>
      </c>
    </row>
    <row r="30" spans="1:103" ht="20.100000000000001" customHeight="1" thickTop="1" thickBot="1" x14ac:dyDescent="0.25">
      <c r="A30" s="143"/>
      <c r="B30" s="153" t="s">
        <v>11</v>
      </c>
      <c r="C30" s="6" t="s">
        <v>8</v>
      </c>
      <c r="D30" s="92">
        <v>0</v>
      </c>
      <c r="E30" s="93">
        <v>10</v>
      </c>
      <c r="F30" s="93">
        <v>11</v>
      </c>
      <c r="G30" s="93">
        <v>1</v>
      </c>
      <c r="H30" s="73"/>
      <c r="I30" s="143"/>
      <c r="J30" s="153" t="s">
        <v>11</v>
      </c>
      <c r="K30" s="6" t="s">
        <v>8</v>
      </c>
      <c r="L30" s="7">
        <v>0</v>
      </c>
      <c r="M30" s="7">
        <v>0</v>
      </c>
      <c r="N30" s="7">
        <v>0</v>
      </c>
      <c r="O30" s="7">
        <v>0</v>
      </c>
      <c r="P30" s="73"/>
      <c r="Q30" s="143"/>
      <c r="R30" s="153" t="s">
        <v>11</v>
      </c>
      <c r="S30" s="6" t="s">
        <v>8</v>
      </c>
      <c r="T30" s="92">
        <v>0</v>
      </c>
      <c r="U30" s="93">
        <v>2</v>
      </c>
      <c r="V30" s="93">
        <v>5</v>
      </c>
      <c r="W30" s="93">
        <v>0</v>
      </c>
      <c r="X30" s="73"/>
      <c r="Y30" s="143"/>
      <c r="Z30" s="153" t="s">
        <v>11</v>
      </c>
      <c r="AA30" s="6" t="s">
        <v>8</v>
      </c>
      <c r="AB30" s="92">
        <v>0</v>
      </c>
      <c r="AC30" s="93">
        <v>0</v>
      </c>
      <c r="AD30" s="93">
        <v>0</v>
      </c>
      <c r="AE30" s="93">
        <v>0</v>
      </c>
      <c r="AF30" s="73"/>
      <c r="AG30" s="143"/>
      <c r="AH30" s="153" t="s">
        <v>11</v>
      </c>
      <c r="AI30" s="6" t="s">
        <v>8</v>
      </c>
      <c r="AJ30" s="92">
        <v>0</v>
      </c>
      <c r="AK30" s="93">
        <v>2</v>
      </c>
      <c r="AL30" s="93">
        <v>3</v>
      </c>
      <c r="AM30" s="93">
        <v>0</v>
      </c>
      <c r="AN30" s="73"/>
      <c r="AO30" s="143"/>
      <c r="AP30" s="153" t="s">
        <v>11</v>
      </c>
      <c r="AQ30" s="6" t="s">
        <v>8</v>
      </c>
      <c r="AR30" s="92">
        <v>0</v>
      </c>
      <c r="AS30" s="93">
        <v>4</v>
      </c>
      <c r="AT30" s="93">
        <v>6</v>
      </c>
      <c r="AU30" s="93">
        <v>0</v>
      </c>
      <c r="AV30" s="73"/>
      <c r="AW30" s="143"/>
      <c r="AX30" s="153" t="s">
        <v>11</v>
      </c>
      <c r="AY30" s="6" t="s">
        <v>8</v>
      </c>
      <c r="AZ30" s="92">
        <v>0</v>
      </c>
      <c r="BA30" s="93">
        <v>16</v>
      </c>
      <c r="BB30" s="93">
        <v>6</v>
      </c>
      <c r="BC30" s="93">
        <v>5</v>
      </c>
      <c r="BD30" s="73"/>
      <c r="BE30" s="143"/>
      <c r="BF30" s="153" t="s">
        <v>11</v>
      </c>
      <c r="BG30" s="6" t="s">
        <v>8</v>
      </c>
      <c r="BH30" s="118">
        <v>0</v>
      </c>
      <c r="BI30" s="119">
        <v>2</v>
      </c>
      <c r="BJ30" s="119">
        <v>0</v>
      </c>
      <c r="BK30" s="119">
        <v>2</v>
      </c>
      <c r="BL30" s="73"/>
      <c r="BM30" s="143"/>
      <c r="BN30" s="153" t="s">
        <v>11</v>
      </c>
      <c r="BO30" s="6" t="s">
        <v>8</v>
      </c>
      <c r="BP30" s="7">
        <v>0</v>
      </c>
      <c r="BQ30" s="7">
        <v>0</v>
      </c>
      <c r="BR30" s="7">
        <v>0</v>
      </c>
      <c r="BS30" s="7">
        <v>0</v>
      </c>
      <c r="BT30" s="73"/>
      <c r="BU30" s="143"/>
      <c r="BV30" s="153" t="s">
        <v>11</v>
      </c>
      <c r="BW30" s="6" t="s">
        <v>8</v>
      </c>
      <c r="BX30" s="92">
        <v>0</v>
      </c>
      <c r="BY30" s="93">
        <v>10</v>
      </c>
      <c r="BZ30" s="93">
        <v>11</v>
      </c>
      <c r="CA30" s="93">
        <v>1</v>
      </c>
      <c r="CB30" s="73"/>
      <c r="CC30" s="143"/>
      <c r="CD30" s="153" t="s">
        <v>11</v>
      </c>
      <c r="CE30" s="6" t="s">
        <v>8</v>
      </c>
      <c r="CF30" s="7">
        <v>0</v>
      </c>
      <c r="CG30" s="7">
        <v>0</v>
      </c>
      <c r="CH30" s="7">
        <v>0</v>
      </c>
      <c r="CI30" s="7">
        <v>0</v>
      </c>
      <c r="CJ30" s="73"/>
      <c r="CK30" s="143"/>
      <c r="CL30" s="153" t="s">
        <v>11</v>
      </c>
      <c r="CM30" s="6" t="s">
        <v>8</v>
      </c>
      <c r="CN30" s="7">
        <v>0</v>
      </c>
      <c r="CO30" s="7">
        <v>0</v>
      </c>
      <c r="CP30" s="7">
        <v>0</v>
      </c>
      <c r="CQ30" s="7">
        <v>0</v>
      </c>
      <c r="CR30" s="73"/>
      <c r="CS30" s="143"/>
      <c r="CT30" s="153" t="s">
        <v>11</v>
      </c>
      <c r="CU30" s="6" t="s">
        <v>8</v>
      </c>
      <c r="CV30" s="8">
        <f t="shared" ref="CV30:CV31" si="48">SUM(D30+L30+T30+AB30+AJ30+AR30+AZ30+BH30+BP30+BX30+CF30+CN30)</f>
        <v>0</v>
      </c>
      <c r="CW30" s="9">
        <f t="shared" ref="CW30:CW31" si="49">SUM(E30+M30+U30+AC30+AK30+AS30+BA30+BI30+BQ30+BY30+CG30+CO30)</f>
        <v>46</v>
      </c>
      <c r="CX30" s="9">
        <f t="shared" ref="CX30:CX31" si="50">SUM(F30+N30+V30+AD30+AL30+AT30+BB30+BJ30+BR30+BZ30+CH30+CP30)</f>
        <v>42</v>
      </c>
      <c r="CY30" s="9">
        <f t="shared" ref="CY30:CY31" si="51">SUM(G30+O30+W30+AE30+AM30+AU30+BC30+BK30+BS30+CA30+CI30+CQ30)</f>
        <v>9</v>
      </c>
    </row>
    <row r="31" spans="1:103" ht="20.100000000000001" customHeight="1" thickBot="1" x14ac:dyDescent="0.25">
      <c r="A31" s="143"/>
      <c r="B31" s="154"/>
      <c r="C31" s="10" t="s">
        <v>9</v>
      </c>
      <c r="D31" s="88">
        <v>0</v>
      </c>
      <c r="E31" s="89">
        <v>2</v>
      </c>
      <c r="F31" s="89">
        <v>5</v>
      </c>
      <c r="G31" s="89">
        <v>5</v>
      </c>
      <c r="H31" s="73"/>
      <c r="I31" s="143"/>
      <c r="J31" s="154"/>
      <c r="K31" s="10" t="s">
        <v>9</v>
      </c>
      <c r="L31" s="11">
        <v>0</v>
      </c>
      <c r="M31" s="11">
        <v>0</v>
      </c>
      <c r="N31" s="11">
        <v>0</v>
      </c>
      <c r="O31" s="11">
        <v>0</v>
      </c>
      <c r="P31" s="73"/>
      <c r="Q31" s="143"/>
      <c r="R31" s="154"/>
      <c r="S31" s="10" t="s">
        <v>9</v>
      </c>
      <c r="T31" s="88">
        <v>0</v>
      </c>
      <c r="U31" s="89">
        <v>3</v>
      </c>
      <c r="V31" s="89">
        <v>1</v>
      </c>
      <c r="W31" s="89">
        <v>0</v>
      </c>
      <c r="X31" s="73"/>
      <c r="Y31" s="143"/>
      <c r="Z31" s="154"/>
      <c r="AA31" s="10" t="s">
        <v>9</v>
      </c>
      <c r="AB31" s="88">
        <v>0</v>
      </c>
      <c r="AC31" s="89">
        <v>0</v>
      </c>
      <c r="AD31" s="89">
        <v>0</v>
      </c>
      <c r="AE31" s="89">
        <v>0</v>
      </c>
      <c r="AF31" s="73"/>
      <c r="AG31" s="143"/>
      <c r="AH31" s="154"/>
      <c r="AI31" s="10" t="s">
        <v>9</v>
      </c>
      <c r="AJ31" s="88">
        <v>0</v>
      </c>
      <c r="AK31" s="89">
        <v>0</v>
      </c>
      <c r="AL31" s="89">
        <v>0</v>
      </c>
      <c r="AM31" s="89">
        <v>0</v>
      </c>
      <c r="AN31" s="73"/>
      <c r="AO31" s="143"/>
      <c r="AP31" s="154"/>
      <c r="AQ31" s="10" t="s">
        <v>9</v>
      </c>
      <c r="AR31" s="88">
        <v>0</v>
      </c>
      <c r="AS31" s="89">
        <v>0</v>
      </c>
      <c r="AT31" s="89">
        <v>0</v>
      </c>
      <c r="AU31" s="89">
        <v>0</v>
      </c>
      <c r="AV31" s="73"/>
      <c r="AW31" s="143"/>
      <c r="AX31" s="154"/>
      <c r="AY31" s="10" t="s">
        <v>9</v>
      </c>
      <c r="AZ31" s="88">
        <v>0</v>
      </c>
      <c r="BA31" s="89">
        <v>6</v>
      </c>
      <c r="BB31" s="89">
        <v>10</v>
      </c>
      <c r="BC31" s="89">
        <v>11</v>
      </c>
      <c r="BD31" s="73"/>
      <c r="BE31" s="143"/>
      <c r="BF31" s="154"/>
      <c r="BG31" s="10" t="s">
        <v>9</v>
      </c>
      <c r="BH31" s="120">
        <v>0</v>
      </c>
      <c r="BI31" s="121">
        <v>0</v>
      </c>
      <c r="BJ31" s="121">
        <v>0</v>
      </c>
      <c r="BK31" s="121">
        <v>0</v>
      </c>
      <c r="BL31" s="73"/>
      <c r="BM31" s="143"/>
      <c r="BN31" s="154"/>
      <c r="BO31" s="10" t="s">
        <v>9</v>
      </c>
      <c r="BP31" s="11">
        <v>0</v>
      </c>
      <c r="BQ31" s="11">
        <v>0</v>
      </c>
      <c r="BR31" s="11">
        <v>0</v>
      </c>
      <c r="BS31" s="11">
        <v>0</v>
      </c>
      <c r="BT31" s="73"/>
      <c r="BU31" s="143"/>
      <c r="BV31" s="154"/>
      <c r="BW31" s="10" t="s">
        <v>9</v>
      </c>
      <c r="BX31" s="88">
        <v>0</v>
      </c>
      <c r="BY31" s="89">
        <v>2</v>
      </c>
      <c r="BZ31" s="89">
        <v>5</v>
      </c>
      <c r="CA31" s="89">
        <v>5</v>
      </c>
      <c r="CB31" s="73"/>
      <c r="CC31" s="143"/>
      <c r="CD31" s="154"/>
      <c r="CE31" s="10" t="s">
        <v>9</v>
      </c>
      <c r="CF31" s="11">
        <v>0</v>
      </c>
      <c r="CG31" s="11">
        <v>0</v>
      </c>
      <c r="CH31" s="11">
        <v>0</v>
      </c>
      <c r="CI31" s="11">
        <v>0</v>
      </c>
      <c r="CJ31" s="73"/>
      <c r="CK31" s="143"/>
      <c r="CL31" s="154"/>
      <c r="CM31" s="10" t="s">
        <v>9</v>
      </c>
      <c r="CN31" s="11">
        <v>0</v>
      </c>
      <c r="CO31" s="11">
        <v>0</v>
      </c>
      <c r="CP31" s="11">
        <v>0</v>
      </c>
      <c r="CQ31" s="11">
        <v>0</v>
      </c>
      <c r="CR31" s="73"/>
      <c r="CS31" s="143"/>
      <c r="CT31" s="154"/>
      <c r="CU31" s="10" t="s">
        <v>9</v>
      </c>
      <c r="CV31" s="12">
        <f t="shared" si="48"/>
        <v>0</v>
      </c>
      <c r="CW31" s="13">
        <f t="shared" si="49"/>
        <v>13</v>
      </c>
      <c r="CX31" s="13">
        <f t="shared" si="50"/>
        <v>21</v>
      </c>
      <c r="CY31" s="13">
        <f t="shared" si="51"/>
        <v>21</v>
      </c>
    </row>
    <row r="32" spans="1:103" ht="20.100000000000001" customHeight="1" thickBot="1" x14ac:dyDescent="0.25">
      <c r="A32" s="144"/>
      <c r="B32" s="151" t="s">
        <v>14</v>
      </c>
      <c r="C32" s="152"/>
      <c r="D32" s="14">
        <f>SUM(D30:D31)</f>
        <v>0</v>
      </c>
      <c r="E32" s="14">
        <f>SUM(E30:E31)</f>
        <v>12</v>
      </c>
      <c r="F32" s="14">
        <f>SUM(F30:F31)</f>
        <v>16</v>
      </c>
      <c r="G32" s="14">
        <f>SUM(G30:G31)</f>
        <v>6</v>
      </c>
      <c r="H32" s="73"/>
      <c r="I32" s="144"/>
      <c r="J32" s="151" t="s">
        <v>14</v>
      </c>
      <c r="K32" s="152"/>
      <c r="L32" s="14">
        <f>SUM(L30:L31)</f>
        <v>0</v>
      </c>
      <c r="M32" s="14">
        <f>SUM(M30:M31)</f>
        <v>0</v>
      </c>
      <c r="N32" s="14">
        <f>SUM(N30:N31)</f>
        <v>0</v>
      </c>
      <c r="O32" s="14">
        <f>SUM(O30:O31)</f>
        <v>0</v>
      </c>
      <c r="P32" s="73"/>
      <c r="Q32" s="144"/>
      <c r="R32" s="151" t="s">
        <v>14</v>
      </c>
      <c r="S32" s="152"/>
      <c r="T32" s="90">
        <v>0</v>
      </c>
      <c r="U32" s="91">
        <v>0</v>
      </c>
      <c r="V32" s="91">
        <v>0</v>
      </c>
      <c r="W32" s="91">
        <v>0</v>
      </c>
      <c r="X32" s="73"/>
      <c r="Y32" s="144"/>
      <c r="Z32" s="151" t="s">
        <v>14</v>
      </c>
      <c r="AA32" s="152"/>
      <c r="AB32" s="90">
        <v>0</v>
      </c>
      <c r="AC32" s="91">
        <v>0</v>
      </c>
      <c r="AD32" s="91">
        <v>0</v>
      </c>
      <c r="AE32" s="91">
        <v>0</v>
      </c>
      <c r="AF32" s="73"/>
      <c r="AG32" s="144"/>
      <c r="AH32" s="151" t="s">
        <v>14</v>
      </c>
      <c r="AI32" s="152"/>
      <c r="AJ32" s="14">
        <f>SUM(AJ30:AJ31)</f>
        <v>0</v>
      </c>
      <c r="AK32" s="14">
        <f>SUM(AK30:AK31)</f>
        <v>2</v>
      </c>
      <c r="AL32" s="14">
        <f>SUM(AL30:AL31)</f>
        <v>3</v>
      </c>
      <c r="AM32" s="14">
        <f>SUM(AM30:AM31)</f>
        <v>0</v>
      </c>
      <c r="AN32" s="73"/>
      <c r="AO32" s="144"/>
      <c r="AP32" s="151" t="s">
        <v>14</v>
      </c>
      <c r="AQ32" s="152"/>
      <c r="AR32" s="90">
        <v>0</v>
      </c>
      <c r="AS32" s="91">
        <v>4</v>
      </c>
      <c r="AT32" s="91">
        <v>6</v>
      </c>
      <c r="AU32" s="91">
        <v>0</v>
      </c>
      <c r="AV32" s="73"/>
      <c r="AW32" s="144"/>
      <c r="AX32" s="151" t="s">
        <v>14</v>
      </c>
      <c r="AY32" s="152"/>
      <c r="AZ32" s="90">
        <v>0</v>
      </c>
      <c r="BA32" s="91">
        <v>22</v>
      </c>
      <c r="BB32" s="91">
        <v>16</v>
      </c>
      <c r="BC32" s="91">
        <v>16</v>
      </c>
      <c r="BD32" s="73"/>
      <c r="BE32" s="144"/>
      <c r="BF32" s="151" t="s">
        <v>14</v>
      </c>
      <c r="BG32" s="152"/>
      <c r="BH32" s="116">
        <f t="shared" ref="BH32:BK32" si="52">SUM(BH30:BH31)</f>
        <v>0</v>
      </c>
      <c r="BI32" s="116">
        <f t="shared" si="52"/>
        <v>2</v>
      </c>
      <c r="BJ32" s="116">
        <f t="shared" si="52"/>
        <v>0</v>
      </c>
      <c r="BK32" s="116">
        <f t="shared" si="52"/>
        <v>2</v>
      </c>
      <c r="BL32" s="73"/>
      <c r="BM32" s="144"/>
      <c r="BN32" s="151" t="s">
        <v>14</v>
      </c>
      <c r="BO32" s="152"/>
      <c r="BP32" s="14">
        <f>SUM(BP30:BP31)</f>
        <v>0</v>
      </c>
      <c r="BQ32" s="14">
        <f>SUM(BQ30:BQ31)</f>
        <v>0</v>
      </c>
      <c r="BR32" s="14">
        <f>SUM(BR30:BR31)</f>
        <v>0</v>
      </c>
      <c r="BS32" s="14">
        <f>SUM(BS30:BS31)</f>
        <v>0</v>
      </c>
      <c r="BT32" s="73"/>
      <c r="BU32" s="144"/>
      <c r="BV32" s="151" t="s">
        <v>14</v>
      </c>
      <c r="BW32" s="152"/>
      <c r="BX32" s="90">
        <v>0</v>
      </c>
      <c r="BY32" s="91">
        <v>12</v>
      </c>
      <c r="BZ32" s="91">
        <v>16</v>
      </c>
      <c r="CA32" s="91">
        <v>6</v>
      </c>
      <c r="CB32" s="73"/>
      <c r="CC32" s="144"/>
      <c r="CD32" s="151" t="s">
        <v>14</v>
      </c>
      <c r="CE32" s="152"/>
      <c r="CF32" s="14">
        <f>SUM(CF30:CF31)</f>
        <v>0</v>
      </c>
      <c r="CG32" s="14">
        <f>SUM(CG30:CG31)</f>
        <v>0</v>
      </c>
      <c r="CH32" s="14">
        <f>SUM(CH30:CH31)</f>
        <v>0</v>
      </c>
      <c r="CI32" s="14">
        <f>SUM(CI30:CI31)</f>
        <v>0</v>
      </c>
      <c r="CJ32" s="73"/>
      <c r="CK32" s="144"/>
      <c r="CL32" s="151" t="s">
        <v>14</v>
      </c>
      <c r="CM32" s="152"/>
      <c r="CN32" s="14">
        <f>SUM(CN30:CN31)</f>
        <v>0</v>
      </c>
      <c r="CO32" s="14">
        <f>SUM(CO30:CO31)</f>
        <v>0</v>
      </c>
      <c r="CP32" s="14">
        <f>SUM(CP30:CP31)</f>
        <v>0</v>
      </c>
      <c r="CQ32" s="14">
        <f>SUM(CQ30:CQ31)</f>
        <v>0</v>
      </c>
      <c r="CR32" s="73"/>
      <c r="CS32" s="144"/>
      <c r="CT32" s="151" t="s">
        <v>14</v>
      </c>
      <c r="CU32" s="152"/>
      <c r="CV32" s="14">
        <f>SUM(CV30:CV31)</f>
        <v>0</v>
      </c>
      <c r="CW32" s="14">
        <f>SUM(CW30:CW31)</f>
        <v>59</v>
      </c>
      <c r="CX32" s="14">
        <f>SUM(CX30:CX31)</f>
        <v>63</v>
      </c>
      <c r="CY32" s="15">
        <f>SUM(CY30:CY31)</f>
        <v>30</v>
      </c>
    </row>
    <row r="33" spans="1:103" ht="20.100000000000001" customHeight="1" thickBot="1" x14ac:dyDescent="0.25">
      <c r="A33" s="17"/>
      <c r="B33" s="149" t="s">
        <v>12</v>
      </c>
      <c r="C33" s="150"/>
      <c r="D33" s="18">
        <f>SUM(D29+D32)</f>
        <v>0</v>
      </c>
      <c r="E33" s="18">
        <f>SUM(E29+E32)</f>
        <v>118</v>
      </c>
      <c r="F33" s="18">
        <f>SUM(F29+F32)</f>
        <v>155</v>
      </c>
      <c r="G33" s="18">
        <f>SUM(G29+G32)</f>
        <v>161</v>
      </c>
      <c r="H33" s="73"/>
      <c r="I33" s="17"/>
      <c r="J33" s="149" t="s">
        <v>12</v>
      </c>
      <c r="K33" s="150"/>
      <c r="L33" s="18">
        <f>SUM(L29+L32)</f>
        <v>0</v>
      </c>
      <c r="M33" s="18">
        <f>SUM(M29+M32)</f>
        <v>0</v>
      </c>
      <c r="N33" s="18">
        <f>SUM(N29+N32)</f>
        <v>0</v>
      </c>
      <c r="O33" s="18">
        <f>SUM(O29+O32)</f>
        <v>0</v>
      </c>
      <c r="P33" s="73"/>
      <c r="Q33" s="17"/>
      <c r="R33" s="149" t="s">
        <v>12</v>
      </c>
      <c r="S33" s="150"/>
      <c r="T33" s="107">
        <v>0</v>
      </c>
      <c r="U33" s="108">
        <v>0</v>
      </c>
      <c r="V33" s="108">
        <v>0</v>
      </c>
      <c r="W33" s="108">
        <v>0</v>
      </c>
      <c r="X33" s="73"/>
      <c r="Y33" s="17"/>
      <c r="Z33" s="149" t="s">
        <v>12</v>
      </c>
      <c r="AA33" s="150"/>
      <c r="AB33" s="107">
        <v>0</v>
      </c>
      <c r="AC33" s="108">
        <v>0</v>
      </c>
      <c r="AD33" s="108">
        <v>0</v>
      </c>
      <c r="AE33" s="108">
        <v>0</v>
      </c>
      <c r="AF33" s="73"/>
      <c r="AG33" s="17"/>
      <c r="AH33" s="149" t="s">
        <v>12</v>
      </c>
      <c r="AI33" s="150"/>
      <c r="AJ33" s="18">
        <f>SUM(AJ29+AJ32)</f>
        <v>0</v>
      </c>
      <c r="AK33" s="18">
        <f>SUM(AK29+AK32)</f>
        <v>28</v>
      </c>
      <c r="AL33" s="18">
        <f>SUM(AL29+AL32)</f>
        <v>32</v>
      </c>
      <c r="AM33" s="18">
        <f>SUM(AM29+AM32)</f>
        <v>36</v>
      </c>
      <c r="AN33" s="73"/>
      <c r="AO33" s="17"/>
      <c r="AP33" s="149" t="s">
        <v>12</v>
      </c>
      <c r="AQ33" s="150"/>
      <c r="AR33" s="107">
        <v>0</v>
      </c>
      <c r="AS33" s="108">
        <v>0</v>
      </c>
      <c r="AT33" s="108">
        <v>0</v>
      </c>
      <c r="AU33" s="108">
        <v>0</v>
      </c>
      <c r="AV33" s="73"/>
      <c r="AW33" s="17"/>
      <c r="AX33" s="149" t="s">
        <v>12</v>
      </c>
      <c r="AY33" s="150"/>
      <c r="AZ33" s="107">
        <v>0</v>
      </c>
      <c r="BA33" s="108">
        <v>160</v>
      </c>
      <c r="BB33" s="108">
        <v>213</v>
      </c>
      <c r="BC33" s="108">
        <v>194</v>
      </c>
      <c r="BD33" s="73"/>
      <c r="BE33" s="17"/>
      <c r="BF33" s="149" t="s">
        <v>12</v>
      </c>
      <c r="BG33" s="150"/>
      <c r="BH33" s="117">
        <f t="shared" ref="BH33:BK33" si="53">SUM(BH29+BH32)</f>
        <v>0</v>
      </c>
      <c r="BI33" s="117">
        <f t="shared" si="53"/>
        <v>23</v>
      </c>
      <c r="BJ33" s="117">
        <f t="shared" si="53"/>
        <v>1</v>
      </c>
      <c r="BK33" s="117">
        <f t="shared" si="53"/>
        <v>42</v>
      </c>
      <c r="BL33" s="73"/>
      <c r="BM33" s="17"/>
      <c r="BN33" s="149" t="s">
        <v>12</v>
      </c>
      <c r="BO33" s="150"/>
      <c r="BP33" s="18">
        <f>SUM(BP29+BP32)</f>
        <v>2</v>
      </c>
      <c r="BQ33" s="18">
        <f>SUM(BQ29+BQ32)</f>
        <v>43</v>
      </c>
      <c r="BR33" s="18">
        <f>SUM(BR29+BR32)</f>
        <v>32</v>
      </c>
      <c r="BS33" s="18">
        <f>SUM(BS29+BS32)</f>
        <v>67</v>
      </c>
      <c r="BT33" s="73"/>
      <c r="BU33" s="17"/>
      <c r="BV33" s="149" t="s">
        <v>12</v>
      </c>
      <c r="BW33" s="150"/>
      <c r="BX33" s="107">
        <v>0</v>
      </c>
      <c r="BY33" s="108">
        <v>118</v>
      </c>
      <c r="BZ33" s="108">
        <v>155</v>
      </c>
      <c r="CA33" s="108">
        <v>161</v>
      </c>
      <c r="CB33" s="73"/>
      <c r="CC33" s="17"/>
      <c r="CD33" s="149" t="s">
        <v>12</v>
      </c>
      <c r="CE33" s="150"/>
      <c r="CF33" s="18">
        <f>SUM(CF29+CF32)</f>
        <v>0</v>
      </c>
      <c r="CG33" s="18">
        <f>SUM(CG29+CG32)</f>
        <v>0</v>
      </c>
      <c r="CH33" s="18">
        <f>SUM(CH29+CH32)</f>
        <v>0</v>
      </c>
      <c r="CI33" s="18">
        <f>SUM(CI29+CI32)</f>
        <v>0</v>
      </c>
      <c r="CJ33" s="73"/>
      <c r="CK33" s="17"/>
      <c r="CL33" s="149" t="s">
        <v>12</v>
      </c>
      <c r="CM33" s="150"/>
      <c r="CN33" s="18">
        <f>SUM(CN29+CN32)</f>
        <v>0</v>
      </c>
      <c r="CO33" s="18">
        <f>SUM(CO29+CO32)</f>
        <v>0</v>
      </c>
      <c r="CP33" s="18">
        <f>SUM(CP29+CP32)</f>
        <v>0</v>
      </c>
      <c r="CQ33" s="18">
        <f>SUM(CQ29+CQ32)</f>
        <v>0</v>
      </c>
      <c r="CR33" s="73"/>
      <c r="CS33" s="17"/>
      <c r="CT33" s="149" t="s">
        <v>12</v>
      </c>
      <c r="CU33" s="150"/>
      <c r="CV33" s="18">
        <f>SUM(CV29+CV32)</f>
        <v>2</v>
      </c>
      <c r="CW33" s="18">
        <f>SUM(CW29+CW32)</f>
        <v>614</v>
      </c>
      <c r="CX33" s="18">
        <f>SUM(CX29+CX32)</f>
        <v>682</v>
      </c>
      <c r="CY33" s="23">
        <f>SUM(CY29+CY32)</f>
        <v>755</v>
      </c>
    </row>
    <row r="34" spans="1:103" ht="20.100000000000001" customHeight="1" thickTop="1" thickBot="1" x14ac:dyDescent="0.25">
      <c r="A34" s="142" t="s">
        <v>24</v>
      </c>
      <c r="B34" s="140" t="s">
        <v>3</v>
      </c>
      <c r="C34" s="6" t="s">
        <v>8</v>
      </c>
      <c r="D34" s="7">
        <v>0</v>
      </c>
      <c r="E34" s="7">
        <v>0</v>
      </c>
      <c r="F34" s="7">
        <v>0</v>
      </c>
      <c r="G34" s="7">
        <v>0</v>
      </c>
      <c r="H34" s="73"/>
      <c r="I34" s="142" t="s">
        <v>24</v>
      </c>
      <c r="J34" s="140" t="s">
        <v>3</v>
      </c>
      <c r="K34" s="6" t="s">
        <v>8</v>
      </c>
      <c r="L34" s="7">
        <v>0</v>
      </c>
      <c r="M34" s="7">
        <v>0</v>
      </c>
      <c r="N34" s="7">
        <v>0</v>
      </c>
      <c r="O34" s="7">
        <v>0</v>
      </c>
      <c r="P34" s="73"/>
      <c r="Q34" s="142" t="s">
        <v>24</v>
      </c>
      <c r="R34" s="140" t="s">
        <v>3</v>
      </c>
      <c r="S34" s="6" t="s">
        <v>8</v>
      </c>
      <c r="T34" s="92">
        <v>0</v>
      </c>
      <c r="U34" s="93">
        <v>0</v>
      </c>
      <c r="V34" s="93">
        <v>0</v>
      </c>
      <c r="W34" s="93">
        <v>0</v>
      </c>
      <c r="X34" s="73"/>
      <c r="Y34" s="142" t="s">
        <v>24</v>
      </c>
      <c r="Z34" s="140" t="s">
        <v>3</v>
      </c>
      <c r="AA34" s="6" t="s">
        <v>8</v>
      </c>
      <c r="AB34" s="92">
        <v>0</v>
      </c>
      <c r="AC34" s="93">
        <v>0</v>
      </c>
      <c r="AD34" s="93">
        <v>0</v>
      </c>
      <c r="AE34" s="93">
        <v>0</v>
      </c>
      <c r="AF34" s="73"/>
      <c r="AG34" s="142" t="s">
        <v>24</v>
      </c>
      <c r="AH34" s="140" t="s">
        <v>3</v>
      </c>
      <c r="AI34" s="6" t="s">
        <v>8</v>
      </c>
      <c r="AJ34" s="7">
        <v>0</v>
      </c>
      <c r="AK34" s="7">
        <v>0</v>
      </c>
      <c r="AL34" s="7">
        <v>0</v>
      </c>
      <c r="AM34" s="7">
        <v>0</v>
      </c>
      <c r="AN34" s="73"/>
      <c r="AO34" s="142" t="s">
        <v>24</v>
      </c>
      <c r="AP34" s="140" t="s">
        <v>3</v>
      </c>
      <c r="AQ34" s="6" t="s">
        <v>8</v>
      </c>
      <c r="AR34" s="92">
        <v>0</v>
      </c>
      <c r="AS34" s="93">
        <v>0</v>
      </c>
      <c r="AT34" s="93">
        <v>0</v>
      </c>
      <c r="AU34" s="93">
        <v>0</v>
      </c>
      <c r="AV34" s="73"/>
      <c r="AW34" s="142" t="s">
        <v>24</v>
      </c>
      <c r="AX34" s="140" t="s">
        <v>3</v>
      </c>
      <c r="AY34" s="6" t="s">
        <v>8</v>
      </c>
      <c r="AZ34" s="92">
        <v>0</v>
      </c>
      <c r="BA34" s="93">
        <v>0</v>
      </c>
      <c r="BB34" s="93">
        <v>0</v>
      </c>
      <c r="BC34" s="93">
        <v>0</v>
      </c>
      <c r="BD34" s="73"/>
      <c r="BE34" s="142" t="s">
        <v>24</v>
      </c>
      <c r="BF34" s="140" t="s">
        <v>3</v>
      </c>
      <c r="BG34" s="6" t="s">
        <v>8</v>
      </c>
      <c r="BH34" s="114">
        <v>0</v>
      </c>
      <c r="BI34" s="114">
        <v>0</v>
      </c>
      <c r="BJ34" s="114">
        <v>0</v>
      </c>
      <c r="BK34" s="114">
        <v>0</v>
      </c>
      <c r="BL34" s="73"/>
      <c r="BM34" s="142" t="s">
        <v>24</v>
      </c>
      <c r="BN34" s="140" t="s">
        <v>3</v>
      </c>
      <c r="BO34" s="6" t="s">
        <v>8</v>
      </c>
      <c r="BP34" s="7">
        <v>0</v>
      </c>
      <c r="BQ34" s="7">
        <v>0</v>
      </c>
      <c r="BR34" s="7">
        <v>0</v>
      </c>
      <c r="BS34" s="7">
        <v>0</v>
      </c>
      <c r="BT34" s="73"/>
      <c r="BU34" s="142" t="s">
        <v>24</v>
      </c>
      <c r="BV34" s="140" t="s">
        <v>3</v>
      </c>
      <c r="BW34" s="6" t="s">
        <v>8</v>
      </c>
      <c r="BX34" s="86">
        <v>0</v>
      </c>
      <c r="BY34" s="87">
        <v>9</v>
      </c>
      <c r="BZ34" s="87">
        <v>10</v>
      </c>
      <c r="CA34" s="87">
        <v>12</v>
      </c>
      <c r="CB34" s="73"/>
      <c r="CC34" s="142" t="s">
        <v>24</v>
      </c>
      <c r="CD34" s="140" t="s">
        <v>3</v>
      </c>
      <c r="CE34" s="6" t="s">
        <v>8</v>
      </c>
      <c r="CF34" s="7">
        <v>0</v>
      </c>
      <c r="CG34" s="7">
        <v>0</v>
      </c>
      <c r="CH34" s="7">
        <v>0</v>
      </c>
      <c r="CI34" s="7">
        <v>0</v>
      </c>
      <c r="CJ34" s="73"/>
      <c r="CK34" s="142" t="s">
        <v>24</v>
      </c>
      <c r="CL34" s="140" t="s">
        <v>3</v>
      </c>
      <c r="CM34" s="6" t="s">
        <v>8</v>
      </c>
      <c r="CN34" s="7">
        <v>0</v>
      </c>
      <c r="CO34" s="7">
        <v>0</v>
      </c>
      <c r="CP34" s="7">
        <v>0</v>
      </c>
      <c r="CQ34" s="7">
        <v>0</v>
      </c>
      <c r="CR34" s="73"/>
      <c r="CS34" s="142" t="str">
        <f>(CK34)</f>
        <v>الروابي</v>
      </c>
      <c r="CT34" s="140" t="s">
        <v>3</v>
      </c>
      <c r="CU34" s="6" t="s">
        <v>8</v>
      </c>
      <c r="CV34" s="8">
        <f t="shared" ref="CV34:CV35" si="54">SUM(D34+L34+T34+AB34+AJ34+AR34+AZ34+BH34+BP34+BX34+CF34+CN34)</f>
        <v>0</v>
      </c>
      <c r="CW34" s="9">
        <f t="shared" ref="CW34:CW35" si="55">SUM(E34+M34+U34+AC34+AK34+AS34+BA34+BI34+BQ34+BY34+CG34+CO34)</f>
        <v>9</v>
      </c>
      <c r="CX34" s="9">
        <f t="shared" ref="CX34:CX35" si="56">SUM(F34+N34+V34+AD34+AL34+AT34+BB34+BJ34+BR34+BZ34+CH34+CP34)</f>
        <v>10</v>
      </c>
      <c r="CY34" s="9">
        <f t="shared" ref="CY34:CY35" si="57">SUM(G34+O34+W34+AE34+AM34+AU34+BC34+BK34+BS34+CA34+CI34+CQ34)</f>
        <v>12</v>
      </c>
    </row>
    <row r="35" spans="1:103" ht="20.100000000000001" customHeight="1" thickBot="1" x14ac:dyDescent="0.25">
      <c r="A35" s="143"/>
      <c r="B35" s="141"/>
      <c r="C35" s="10" t="s">
        <v>9</v>
      </c>
      <c r="D35" s="11">
        <v>0</v>
      </c>
      <c r="E35" s="11">
        <v>0</v>
      </c>
      <c r="F35" s="11">
        <v>0</v>
      </c>
      <c r="G35" s="11">
        <v>0</v>
      </c>
      <c r="H35" s="73"/>
      <c r="I35" s="143"/>
      <c r="J35" s="141"/>
      <c r="K35" s="10" t="s">
        <v>9</v>
      </c>
      <c r="L35" s="11">
        <v>0</v>
      </c>
      <c r="M35" s="11">
        <v>0</v>
      </c>
      <c r="N35" s="11">
        <v>0</v>
      </c>
      <c r="O35" s="11">
        <v>0</v>
      </c>
      <c r="P35" s="73"/>
      <c r="Q35" s="143"/>
      <c r="R35" s="141"/>
      <c r="S35" s="10" t="s">
        <v>9</v>
      </c>
      <c r="T35" s="88">
        <v>0</v>
      </c>
      <c r="U35" s="89">
        <v>0</v>
      </c>
      <c r="V35" s="89">
        <v>0</v>
      </c>
      <c r="W35" s="89">
        <v>0</v>
      </c>
      <c r="X35" s="73"/>
      <c r="Y35" s="143"/>
      <c r="Z35" s="141"/>
      <c r="AA35" s="10" t="s">
        <v>9</v>
      </c>
      <c r="AB35" s="88">
        <v>0</v>
      </c>
      <c r="AC35" s="89">
        <v>0</v>
      </c>
      <c r="AD35" s="89">
        <v>0</v>
      </c>
      <c r="AE35" s="89">
        <v>0</v>
      </c>
      <c r="AF35" s="73"/>
      <c r="AG35" s="143"/>
      <c r="AH35" s="141"/>
      <c r="AI35" s="10" t="s">
        <v>9</v>
      </c>
      <c r="AJ35" s="11">
        <v>0</v>
      </c>
      <c r="AK35" s="11">
        <v>0</v>
      </c>
      <c r="AL35" s="11">
        <v>0</v>
      </c>
      <c r="AM35" s="11">
        <v>0</v>
      </c>
      <c r="AN35" s="73"/>
      <c r="AO35" s="143"/>
      <c r="AP35" s="141"/>
      <c r="AQ35" s="10" t="s">
        <v>9</v>
      </c>
      <c r="AR35" s="88">
        <v>0</v>
      </c>
      <c r="AS35" s="89">
        <v>0</v>
      </c>
      <c r="AT35" s="89">
        <v>0</v>
      </c>
      <c r="AU35" s="89">
        <v>0</v>
      </c>
      <c r="AV35" s="73"/>
      <c r="AW35" s="143"/>
      <c r="AX35" s="141"/>
      <c r="AY35" s="10" t="s">
        <v>9</v>
      </c>
      <c r="AZ35" s="88">
        <v>0</v>
      </c>
      <c r="BA35" s="89">
        <v>0</v>
      </c>
      <c r="BB35" s="89">
        <v>0</v>
      </c>
      <c r="BC35" s="89">
        <v>0</v>
      </c>
      <c r="BD35" s="73"/>
      <c r="BE35" s="143"/>
      <c r="BF35" s="141"/>
      <c r="BG35" s="10" t="s">
        <v>9</v>
      </c>
      <c r="BH35" s="115">
        <v>0</v>
      </c>
      <c r="BI35" s="115">
        <v>0</v>
      </c>
      <c r="BJ35" s="115">
        <v>0</v>
      </c>
      <c r="BK35" s="115">
        <v>0</v>
      </c>
      <c r="BL35" s="73"/>
      <c r="BM35" s="143"/>
      <c r="BN35" s="141"/>
      <c r="BO35" s="10" t="s">
        <v>9</v>
      </c>
      <c r="BP35" s="11">
        <v>0</v>
      </c>
      <c r="BQ35" s="11">
        <v>0</v>
      </c>
      <c r="BR35" s="11">
        <v>0</v>
      </c>
      <c r="BS35" s="11">
        <v>0</v>
      </c>
      <c r="BT35" s="73"/>
      <c r="BU35" s="143"/>
      <c r="BV35" s="141"/>
      <c r="BW35" s="10" t="s">
        <v>9</v>
      </c>
      <c r="BX35" s="88">
        <v>0</v>
      </c>
      <c r="BY35" s="89">
        <v>0</v>
      </c>
      <c r="BZ35" s="89">
        <v>0</v>
      </c>
      <c r="CA35" s="89">
        <v>0</v>
      </c>
      <c r="CB35" s="73"/>
      <c r="CC35" s="143"/>
      <c r="CD35" s="141"/>
      <c r="CE35" s="10" t="s">
        <v>9</v>
      </c>
      <c r="CF35" s="11">
        <v>0</v>
      </c>
      <c r="CG35" s="11">
        <v>0</v>
      </c>
      <c r="CH35" s="11">
        <v>0</v>
      </c>
      <c r="CI35" s="11">
        <v>0</v>
      </c>
      <c r="CJ35" s="73"/>
      <c r="CK35" s="143"/>
      <c r="CL35" s="141"/>
      <c r="CM35" s="10" t="s">
        <v>9</v>
      </c>
      <c r="CN35" s="11">
        <v>0</v>
      </c>
      <c r="CO35" s="11">
        <v>0</v>
      </c>
      <c r="CP35" s="11">
        <v>0</v>
      </c>
      <c r="CQ35" s="11">
        <v>0</v>
      </c>
      <c r="CR35" s="73"/>
      <c r="CS35" s="143"/>
      <c r="CT35" s="141"/>
      <c r="CU35" s="10" t="s">
        <v>9</v>
      </c>
      <c r="CV35" s="12">
        <f t="shared" si="54"/>
        <v>0</v>
      </c>
      <c r="CW35" s="13">
        <f t="shared" si="55"/>
        <v>0</v>
      </c>
      <c r="CX35" s="13">
        <f t="shared" si="56"/>
        <v>0</v>
      </c>
      <c r="CY35" s="13">
        <f t="shared" si="57"/>
        <v>0</v>
      </c>
    </row>
    <row r="36" spans="1:103" ht="20.100000000000001" customHeight="1" thickBot="1" x14ac:dyDescent="0.25">
      <c r="A36" s="143"/>
      <c r="B36" s="145" t="s">
        <v>10</v>
      </c>
      <c r="C36" s="146"/>
      <c r="D36" s="14">
        <f>SUM(D34:D35)</f>
        <v>0</v>
      </c>
      <c r="E36" s="14">
        <f>SUM(E34:E35)</f>
        <v>0</v>
      </c>
      <c r="F36" s="14">
        <f>SUM(F34:F35)</f>
        <v>0</v>
      </c>
      <c r="G36" s="14">
        <f>SUM(G34:G35)</f>
        <v>0</v>
      </c>
      <c r="H36" s="73"/>
      <c r="I36" s="143"/>
      <c r="J36" s="145" t="s">
        <v>10</v>
      </c>
      <c r="K36" s="146"/>
      <c r="L36" s="14">
        <f>SUM(L34:L35)</f>
        <v>0</v>
      </c>
      <c r="M36" s="14">
        <f>SUM(M34:M35)</f>
        <v>0</v>
      </c>
      <c r="N36" s="14">
        <f>SUM(N34:N35)</f>
        <v>0</v>
      </c>
      <c r="O36" s="14">
        <f>SUM(O34:O35)</f>
        <v>0</v>
      </c>
      <c r="P36" s="73"/>
      <c r="Q36" s="143"/>
      <c r="R36" s="145" t="s">
        <v>10</v>
      </c>
      <c r="S36" s="146"/>
      <c r="T36" s="90">
        <v>0</v>
      </c>
      <c r="U36" s="91">
        <v>0</v>
      </c>
      <c r="V36" s="91">
        <v>0</v>
      </c>
      <c r="W36" s="91">
        <v>0</v>
      </c>
      <c r="X36" s="73"/>
      <c r="Y36" s="143"/>
      <c r="Z36" s="145" t="s">
        <v>10</v>
      </c>
      <c r="AA36" s="146"/>
      <c r="AB36" s="90">
        <v>0</v>
      </c>
      <c r="AC36" s="91">
        <v>0</v>
      </c>
      <c r="AD36" s="91">
        <v>0</v>
      </c>
      <c r="AE36" s="91">
        <v>0</v>
      </c>
      <c r="AF36" s="73"/>
      <c r="AG36" s="143"/>
      <c r="AH36" s="145" t="s">
        <v>10</v>
      </c>
      <c r="AI36" s="146"/>
      <c r="AJ36" s="14">
        <f>SUM(AJ34:AJ35)</f>
        <v>0</v>
      </c>
      <c r="AK36" s="14">
        <f>SUM(AK34:AK35)</f>
        <v>0</v>
      </c>
      <c r="AL36" s="14">
        <f>SUM(AL34:AL35)</f>
        <v>0</v>
      </c>
      <c r="AM36" s="14">
        <f>SUM(AM34:AM35)</f>
        <v>0</v>
      </c>
      <c r="AN36" s="73"/>
      <c r="AO36" s="143"/>
      <c r="AP36" s="145" t="s">
        <v>10</v>
      </c>
      <c r="AQ36" s="146"/>
      <c r="AR36" s="90">
        <v>0</v>
      </c>
      <c r="AS36" s="91">
        <v>0</v>
      </c>
      <c r="AT36" s="91">
        <v>0</v>
      </c>
      <c r="AU36" s="91">
        <v>0</v>
      </c>
      <c r="AV36" s="73"/>
      <c r="AW36" s="143"/>
      <c r="AX36" s="145" t="s">
        <v>10</v>
      </c>
      <c r="AY36" s="146"/>
      <c r="AZ36" s="90">
        <v>0</v>
      </c>
      <c r="BA36" s="91">
        <v>0</v>
      </c>
      <c r="BB36" s="91">
        <v>0</v>
      </c>
      <c r="BC36" s="91">
        <v>0</v>
      </c>
      <c r="BD36" s="73"/>
      <c r="BE36" s="143"/>
      <c r="BF36" s="145" t="s">
        <v>10</v>
      </c>
      <c r="BG36" s="146"/>
      <c r="BH36" s="116">
        <f t="shared" ref="BH36:BK36" si="58">SUM(BH34:BH35)</f>
        <v>0</v>
      </c>
      <c r="BI36" s="116">
        <f t="shared" si="58"/>
        <v>0</v>
      </c>
      <c r="BJ36" s="116">
        <f t="shared" si="58"/>
        <v>0</v>
      </c>
      <c r="BK36" s="116">
        <f t="shared" si="58"/>
        <v>0</v>
      </c>
      <c r="BL36" s="73"/>
      <c r="BM36" s="143"/>
      <c r="BN36" s="145" t="s">
        <v>10</v>
      </c>
      <c r="BO36" s="146"/>
      <c r="BP36" s="14">
        <f>SUM(BP34:BP35)</f>
        <v>0</v>
      </c>
      <c r="BQ36" s="14">
        <f>SUM(BQ34:BQ35)</f>
        <v>0</v>
      </c>
      <c r="BR36" s="14">
        <f>SUM(BR34:BR35)</f>
        <v>0</v>
      </c>
      <c r="BS36" s="14">
        <f>SUM(BS34:BS35)</f>
        <v>0</v>
      </c>
      <c r="BT36" s="73"/>
      <c r="BU36" s="143"/>
      <c r="BV36" s="145" t="s">
        <v>10</v>
      </c>
      <c r="BW36" s="146"/>
      <c r="BX36" s="90">
        <v>0</v>
      </c>
      <c r="BY36" s="91">
        <v>9</v>
      </c>
      <c r="BZ36" s="91">
        <v>10</v>
      </c>
      <c r="CA36" s="91">
        <v>12</v>
      </c>
      <c r="CB36" s="73"/>
      <c r="CC36" s="143"/>
      <c r="CD36" s="145" t="s">
        <v>10</v>
      </c>
      <c r="CE36" s="146"/>
      <c r="CF36" s="14">
        <f>SUM(CF34:CF35)</f>
        <v>0</v>
      </c>
      <c r="CG36" s="14">
        <f>SUM(CG34:CG35)</f>
        <v>0</v>
      </c>
      <c r="CH36" s="14">
        <f>SUM(CH34:CH35)</f>
        <v>0</v>
      </c>
      <c r="CI36" s="14">
        <f>SUM(CI34:CI35)</f>
        <v>0</v>
      </c>
      <c r="CJ36" s="73"/>
      <c r="CK36" s="143"/>
      <c r="CL36" s="145" t="s">
        <v>10</v>
      </c>
      <c r="CM36" s="146"/>
      <c r="CN36" s="14">
        <f>SUM(CN34:CN35)</f>
        <v>0</v>
      </c>
      <c r="CO36" s="14">
        <f>SUM(CO34:CO35)</f>
        <v>0</v>
      </c>
      <c r="CP36" s="14">
        <f>SUM(CP34:CP35)</f>
        <v>0</v>
      </c>
      <c r="CQ36" s="14">
        <f>SUM(CQ34:CQ35)</f>
        <v>0</v>
      </c>
      <c r="CR36" s="73"/>
      <c r="CS36" s="143"/>
      <c r="CT36" s="145" t="s">
        <v>10</v>
      </c>
      <c r="CU36" s="146"/>
      <c r="CV36" s="16">
        <f>SUM(CV34:CV35)</f>
        <v>0</v>
      </c>
      <c r="CW36" s="16">
        <f>SUM(CW34:CW35)</f>
        <v>9</v>
      </c>
      <c r="CX36" s="16">
        <f>SUM(CX34:CX35)</f>
        <v>10</v>
      </c>
      <c r="CY36" s="20">
        <f>SUM(CY34:CY35)</f>
        <v>12</v>
      </c>
    </row>
    <row r="37" spans="1:103" ht="20.100000000000001" customHeight="1" thickBot="1" x14ac:dyDescent="0.25">
      <c r="A37" s="143"/>
      <c r="B37" s="153" t="s">
        <v>11</v>
      </c>
      <c r="C37" s="6" t="s">
        <v>8</v>
      </c>
      <c r="D37" s="7">
        <v>0</v>
      </c>
      <c r="E37" s="7">
        <v>0</v>
      </c>
      <c r="F37" s="7">
        <v>0</v>
      </c>
      <c r="G37" s="7">
        <v>0</v>
      </c>
      <c r="H37" s="73"/>
      <c r="I37" s="143"/>
      <c r="J37" s="153" t="s">
        <v>11</v>
      </c>
      <c r="K37" s="6" t="s">
        <v>8</v>
      </c>
      <c r="L37" s="7">
        <v>0</v>
      </c>
      <c r="M37" s="7">
        <v>0</v>
      </c>
      <c r="N37" s="7">
        <v>0</v>
      </c>
      <c r="O37" s="7">
        <v>0</v>
      </c>
      <c r="P37" s="73"/>
      <c r="Q37" s="143"/>
      <c r="R37" s="153" t="s">
        <v>11</v>
      </c>
      <c r="S37" s="6" t="s">
        <v>8</v>
      </c>
      <c r="T37" s="92">
        <v>0</v>
      </c>
      <c r="U37" s="93">
        <v>0</v>
      </c>
      <c r="V37" s="93">
        <v>0</v>
      </c>
      <c r="W37" s="93">
        <v>0</v>
      </c>
      <c r="X37" s="73"/>
      <c r="Y37" s="143"/>
      <c r="Z37" s="153" t="s">
        <v>11</v>
      </c>
      <c r="AA37" s="6" t="s">
        <v>8</v>
      </c>
      <c r="AB37" s="92">
        <v>0</v>
      </c>
      <c r="AC37" s="93">
        <v>0</v>
      </c>
      <c r="AD37" s="93">
        <v>0</v>
      </c>
      <c r="AE37" s="93">
        <v>0</v>
      </c>
      <c r="AF37" s="73"/>
      <c r="AG37" s="143"/>
      <c r="AH37" s="153" t="s">
        <v>11</v>
      </c>
      <c r="AI37" s="6" t="s">
        <v>8</v>
      </c>
      <c r="AJ37" s="7">
        <v>0</v>
      </c>
      <c r="AK37" s="7">
        <v>0</v>
      </c>
      <c r="AL37" s="7">
        <v>0</v>
      </c>
      <c r="AM37" s="7">
        <v>0</v>
      </c>
      <c r="AN37" s="73"/>
      <c r="AO37" s="143"/>
      <c r="AP37" s="153" t="s">
        <v>11</v>
      </c>
      <c r="AQ37" s="6" t="s">
        <v>8</v>
      </c>
      <c r="AR37" s="92">
        <v>0</v>
      </c>
      <c r="AS37" s="93">
        <v>0</v>
      </c>
      <c r="AT37" s="93">
        <v>0</v>
      </c>
      <c r="AU37" s="93">
        <v>0</v>
      </c>
      <c r="AV37" s="73"/>
      <c r="AW37" s="143"/>
      <c r="AX37" s="153" t="s">
        <v>11</v>
      </c>
      <c r="AY37" s="6" t="s">
        <v>8</v>
      </c>
      <c r="AZ37" s="92">
        <v>0</v>
      </c>
      <c r="BA37" s="93">
        <v>0</v>
      </c>
      <c r="BB37" s="93">
        <v>0</v>
      </c>
      <c r="BC37" s="93">
        <v>0</v>
      </c>
      <c r="BD37" s="73"/>
      <c r="BE37" s="143"/>
      <c r="BF37" s="153" t="s">
        <v>11</v>
      </c>
      <c r="BG37" s="6" t="s">
        <v>8</v>
      </c>
      <c r="BH37" s="114">
        <v>0</v>
      </c>
      <c r="BI37" s="114">
        <v>0</v>
      </c>
      <c r="BJ37" s="114">
        <v>0</v>
      </c>
      <c r="BK37" s="114">
        <v>0</v>
      </c>
      <c r="BL37" s="73"/>
      <c r="BM37" s="143"/>
      <c r="BN37" s="153" t="s">
        <v>11</v>
      </c>
      <c r="BO37" s="6" t="s">
        <v>8</v>
      </c>
      <c r="BP37" s="7">
        <v>0</v>
      </c>
      <c r="BQ37" s="7">
        <v>0</v>
      </c>
      <c r="BR37" s="7">
        <v>0</v>
      </c>
      <c r="BS37" s="7">
        <v>0</v>
      </c>
      <c r="BT37" s="73"/>
      <c r="BU37" s="143"/>
      <c r="BV37" s="153" t="s">
        <v>11</v>
      </c>
      <c r="BW37" s="6" t="s">
        <v>8</v>
      </c>
      <c r="BX37" s="92">
        <v>0</v>
      </c>
      <c r="BY37" s="93">
        <v>0</v>
      </c>
      <c r="BZ37" s="93">
        <v>0</v>
      </c>
      <c r="CA37" s="93">
        <v>0</v>
      </c>
      <c r="CB37" s="73"/>
      <c r="CC37" s="143"/>
      <c r="CD37" s="153" t="s">
        <v>11</v>
      </c>
      <c r="CE37" s="6" t="s">
        <v>8</v>
      </c>
      <c r="CF37" s="7">
        <v>0</v>
      </c>
      <c r="CG37" s="7">
        <v>0</v>
      </c>
      <c r="CH37" s="7">
        <v>0</v>
      </c>
      <c r="CI37" s="7">
        <v>0</v>
      </c>
      <c r="CJ37" s="73"/>
      <c r="CK37" s="143"/>
      <c r="CL37" s="153" t="s">
        <v>11</v>
      </c>
      <c r="CM37" s="6" t="s">
        <v>8</v>
      </c>
      <c r="CN37" s="7">
        <v>0</v>
      </c>
      <c r="CO37" s="7">
        <v>0</v>
      </c>
      <c r="CP37" s="7">
        <v>0</v>
      </c>
      <c r="CQ37" s="7">
        <v>0</v>
      </c>
      <c r="CR37" s="73"/>
      <c r="CS37" s="143"/>
      <c r="CT37" s="153" t="s">
        <v>11</v>
      </c>
      <c r="CU37" s="6" t="s">
        <v>8</v>
      </c>
      <c r="CV37" s="8">
        <f t="shared" ref="CV37:CV38" si="59">SUM(D37+L37+T37+AB37+AJ37+AR37+AZ37+BH37+BP37+BX37+CF37+CN37)</f>
        <v>0</v>
      </c>
      <c r="CW37" s="9">
        <f t="shared" ref="CW37:CW38" si="60">SUM(E37+M37+U37+AC37+AK37+AS37+BA37+BI37+BQ37+BY37+CG37+CO37)</f>
        <v>0</v>
      </c>
      <c r="CX37" s="9">
        <f t="shared" ref="CX37:CX38" si="61">SUM(F37+N37+V37+AD37+AL37+AT37+BB37+BJ37+BR37+BZ37+CH37+CP37)</f>
        <v>0</v>
      </c>
      <c r="CY37" s="9">
        <f t="shared" ref="CY37:CY38" si="62">SUM(G37+O37+W37+AE37+AM37+AU37+BC37+BK37+BS37+CA37+CI37+CQ37)</f>
        <v>0</v>
      </c>
    </row>
    <row r="38" spans="1:103" ht="20.100000000000001" customHeight="1" thickBot="1" x14ac:dyDescent="0.25">
      <c r="A38" s="143"/>
      <c r="B38" s="154"/>
      <c r="C38" s="10" t="s">
        <v>9</v>
      </c>
      <c r="D38" s="11">
        <v>0</v>
      </c>
      <c r="E38" s="11">
        <v>0</v>
      </c>
      <c r="F38" s="11">
        <v>0</v>
      </c>
      <c r="G38" s="11">
        <v>0</v>
      </c>
      <c r="H38" s="73"/>
      <c r="I38" s="143"/>
      <c r="J38" s="154"/>
      <c r="K38" s="10" t="s">
        <v>9</v>
      </c>
      <c r="L38" s="11">
        <v>0</v>
      </c>
      <c r="M38" s="11">
        <v>0</v>
      </c>
      <c r="N38" s="11">
        <v>0</v>
      </c>
      <c r="O38" s="11">
        <v>0</v>
      </c>
      <c r="P38" s="73"/>
      <c r="Q38" s="143"/>
      <c r="R38" s="154"/>
      <c r="S38" s="10" t="s">
        <v>9</v>
      </c>
      <c r="T38" s="88">
        <v>0</v>
      </c>
      <c r="U38" s="89">
        <v>0</v>
      </c>
      <c r="V38" s="89">
        <v>0</v>
      </c>
      <c r="W38" s="89">
        <v>0</v>
      </c>
      <c r="X38" s="73"/>
      <c r="Y38" s="143"/>
      <c r="Z38" s="154"/>
      <c r="AA38" s="10" t="s">
        <v>9</v>
      </c>
      <c r="AB38" s="88">
        <v>0</v>
      </c>
      <c r="AC38" s="89">
        <v>0</v>
      </c>
      <c r="AD38" s="89">
        <v>0</v>
      </c>
      <c r="AE38" s="89">
        <v>0</v>
      </c>
      <c r="AF38" s="73"/>
      <c r="AG38" s="143"/>
      <c r="AH38" s="154"/>
      <c r="AI38" s="10" t="s">
        <v>9</v>
      </c>
      <c r="AJ38" s="11">
        <v>0</v>
      </c>
      <c r="AK38" s="11">
        <v>0</v>
      </c>
      <c r="AL38" s="11">
        <v>0</v>
      </c>
      <c r="AM38" s="11">
        <v>0</v>
      </c>
      <c r="AN38" s="73"/>
      <c r="AO38" s="143"/>
      <c r="AP38" s="154"/>
      <c r="AQ38" s="10" t="s">
        <v>9</v>
      </c>
      <c r="AR38" s="88">
        <v>0</v>
      </c>
      <c r="AS38" s="89">
        <v>0</v>
      </c>
      <c r="AT38" s="89">
        <v>0</v>
      </c>
      <c r="AU38" s="89">
        <v>0</v>
      </c>
      <c r="AV38" s="73"/>
      <c r="AW38" s="143"/>
      <c r="AX38" s="154"/>
      <c r="AY38" s="10" t="s">
        <v>9</v>
      </c>
      <c r="AZ38" s="88">
        <v>0</v>
      </c>
      <c r="BA38" s="89">
        <v>0</v>
      </c>
      <c r="BB38" s="89">
        <v>0</v>
      </c>
      <c r="BC38" s="89">
        <v>0</v>
      </c>
      <c r="BD38" s="73"/>
      <c r="BE38" s="143"/>
      <c r="BF38" s="154"/>
      <c r="BG38" s="10" t="s">
        <v>9</v>
      </c>
      <c r="BH38" s="115">
        <v>0</v>
      </c>
      <c r="BI38" s="115">
        <v>0</v>
      </c>
      <c r="BJ38" s="115">
        <v>0</v>
      </c>
      <c r="BK38" s="115">
        <v>0</v>
      </c>
      <c r="BL38" s="73"/>
      <c r="BM38" s="143"/>
      <c r="BN38" s="154"/>
      <c r="BO38" s="10" t="s">
        <v>9</v>
      </c>
      <c r="BP38" s="11">
        <v>0</v>
      </c>
      <c r="BQ38" s="11">
        <v>0</v>
      </c>
      <c r="BR38" s="11">
        <v>0</v>
      </c>
      <c r="BS38" s="11">
        <v>0</v>
      </c>
      <c r="BT38" s="73"/>
      <c r="BU38" s="143"/>
      <c r="BV38" s="154"/>
      <c r="BW38" s="10" t="s">
        <v>9</v>
      </c>
      <c r="BX38" s="88">
        <v>0</v>
      </c>
      <c r="BY38" s="89">
        <v>0</v>
      </c>
      <c r="BZ38" s="89">
        <v>3</v>
      </c>
      <c r="CA38" s="89">
        <v>0</v>
      </c>
      <c r="CB38" s="73"/>
      <c r="CC38" s="143"/>
      <c r="CD38" s="154"/>
      <c r="CE38" s="10" t="s">
        <v>9</v>
      </c>
      <c r="CF38" s="11">
        <v>0</v>
      </c>
      <c r="CG38" s="11">
        <v>0</v>
      </c>
      <c r="CH38" s="11">
        <v>0</v>
      </c>
      <c r="CI38" s="11">
        <v>0</v>
      </c>
      <c r="CJ38" s="73"/>
      <c r="CK38" s="143"/>
      <c r="CL38" s="154"/>
      <c r="CM38" s="10" t="s">
        <v>9</v>
      </c>
      <c r="CN38" s="11">
        <v>0</v>
      </c>
      <c r="CO38" s="11">
        <v>0</v>
      </c>
      <c r="CP38" s="11">
        <v>0</v>
      </c>
      <c r="CQ38" s="11">
        <v>0</v>
      </c>
      <c r="CR38" s="73"/>
      <c r="CS38" s="143"/>
      <c r="CT38" s="154"/>
      <c r="CU38" s="10" t="s">
        <v>9</v>
      </c>
      <c r="CV38" s="12">
        <f t="shared" si="59"/>
        <v>0</v>
      </c>
      <c r="CW38" s="13">
        <f t="shared" si="60"/>
        <v>0</v>
      </c>
      <c r="CX38" s="13">
        <f t="shared" si="61"/>
        <v>3</v>
      </c>
      <c r="CY38" s="13">
        <f t="shared" si="62"/>
        <v>0</v>
      </c>
    </row>
    <row r="39" spans="1:103" ht="20.100000000000001" customHeight="1" thickBot="1" x14ac:dyDescent="0.25">
      <c r="A39" s="144"/>
      <c r="B39" s="151" t="s">
        <v>14</v>
      </c>
      <c r="C39" s="152"/>
      <c r="D39" s="14">
        <f>SUM(D37:D38)</f>
        <v>0</v>
      </c>
      <c r="E39" s="14">
        <f>SUM(E37:E38)</f>
        <v>0</v>
      </c>
      <c r="F39" s="14">
        <f>SUM(F37:F38)</f>
        <v>0</v>
      </c>
      <c r="G39" s="14">
        <f>SUM(G37:G38)</f>
        <v>0</v>
      </c>
      <c r="H39" s="73"/>
      <c r="I39" s="144"/>
      <c r="J39" s="151" t="s">
        <v>14</v>
      </c>
      <c r="K39" s="152"/>
      <c r="L39" s="14">
        <f>SUM(L37:L38)</f>
        <v>0</v>
      </c>
      <c r="M39" s="14">
        <f>SUM(M37:M38)</f>
        <v>0</v>
      </c>
      <c r="N39" s="14">
        <f>SUM(N37:N38)</f>
        <v>0</v>
      </c>
      <c r="O39" s="14">
        <f>SUM(O37:O38)</f>
        <v>0</v>
      </c>
      <c r="P39" s="73"/>
      <c r="Q39" s="144"/>
      <c r="R39" s="151" t="s">
        <v>14</v>
      </c>
      <c r="S39" s="152"/>
      <c r="T39" s="90">
        <v>0</v>
      </c>
      <c r="U39" s="91">
        <v>0</v>
      </c>
      <c r="V39" s="91">
        <v>0</v>
      </c>
      <c r="W39" s="91">
        <v>0</v>
      </c>
      <c r="X39" s="73"/>
      <c r="Y39" s="144"/>
      <c r="Z39" s="151" t="s">
        <v>14</v>
      </c>
      <c r="AA39" s="152"/>
      <c r="AB39" s="90">
        <v>0</v>
      </c>
      <c r="AC39" s="91">
        <v>0</v>
      </c>
      <c r="AD39" s="91">
        <v>0</v>
      </c>
      <c r="AE39" s="91">
        <v>0</v>
      </c>
      <c r="AF39" s="73"/>
      <c r="AG39" s="144"/>
      <c r="AH39" s="151" t="s">
        <v>14</v>
      </c>
      <c r="AI39" s="152"/>
      <c r="AJ39" s="14">
        <f>SUM(AJ37:AJ38)</f>
        <v>0</v>
      </c>
      <c r="AK39" s="14">
        <f>SUM(AK37:AK38)</f>
        <v>0</v>
      </c>
      <c r="AL39" s="14">
        <f>SUM(AL37:AL38)</f>
        <v>0</v>
      </c>
      <c r="AM39" s="14">
        <f>SUM(AM37:AM38)</f>
        <v>0</v>
      </c>
      <c r="AN39" s="73"/>
      <c r="AO39" s="144"/>
      <c r="AP39" s="151" t="s">
        <v>14</v>
      </c>
      <c r="AQ39" s="152"/>
      <c r="AR39" s="90">
        <v>0</v>
      </c>
      <c r="AS39" s="91">
        <v>0</v>
      </c>
      <c r="AT39" s="91">
        <v>0</v>
      </c>
      <c r="AU39" s="91">
        <v>0</v>
      </c>
      <c r="AV39" s="73"/>
      <c r="AW39" s="144"/>
      <c r="AX39" s="151" t="s">
        <v>14</v>
      </c>
      <c r="AY39" s="152"/>
      <c r="AZ39" s="90">
        <v>0</v>
      </c>
      <c r="BA39" s="91">
        <v>0</v>
      </c>
      <c r="BB39" s="91">
        <v>0</v>
      </c>
      <c r="BC39" s="91">
        <v>0</v>
      </c>
      <c r="BD39" s="73"/>
      <c r="BE39" s="144"/>
      <c r="BF39" s="151" t="s">
        <v>14</v>
      </c>
      <c r="BG39" s="152"/>
      <c r="BH39" s="116">
        <f t="shared" ref="BH39:BK39" si="63">SUM(BH37:BH38)</f>
        <v>0</v>
      </c>
      <c r="BI39" s="116">
        <f t="shared" si="63"/>
        <v>0</v>
      </c>
      <c r="BJ39" s="116">
        <f t="shared" si="63"/>
        <v>0</v>
      </c>
      <c r="BK39" s="116">
        <f t="shared" si="63"/>
        <v>0</v>
      </c>
      <c r="BL39" s="73"/>
      <c r="BM39" s="144"/>
      <c r="BN39" s="151" t="s">
        <v>14</v>
      </c>
      <c r="BO39" s="152"/>
      <c r="BP39" s="14">
        <f>SUM(BP37:BP38)</f>
        <v>0</v>
      </c>
      <c r="BQ39" s="14">
        <f>SUM(BQ37:BQ38)</f>
        <v>0</v>
      </c>
      <c r="BR39" s="14">
        <f>SUM(BR37:BR38)</f>
        <v>0</v>
      </c>
      <c r="BS39" s="14">
        <f>SUM(BS37:BS38)</f>
        <v>0</v>
      </c>
      <c r="BT39" s="73"/>
      <c r="BU39" s="144"/>
      <c r="BV39" s="151" t="s">
        <v>14</v>
      </c>
      <c r="BW39" s="152"/>
      <c r="BX39" s="90">
        <v>0</v>
      </c>
      <c r="BY39" s="91">
        <v>0</v>
      </c>
      <c r="BZ39" s="91">
        <v>3</v>
      </c>
      <c r="CA39" s="91">
        <v>0</v>
      </c>
      <c r="CB39" s="73"/>
      <c r="CC39" s="144"/>
      <c r="CD39" s="151" t="s">
        <v>14</v>
      </c>
      <c r="CE39" s="152"/>
      <c r="CF39" s="14">
        <f>SUM(CF37:CF38)</f>
        <v>0</v>
      </c>
      <c r="CG39" s="14">
        <f>SUM(CG37:CG38)</f>
        <v>0</v>
      </c>
      <c r="CH39" s="14">
        <f>SUM(CH37:CH38)</f>
        <v>0</v>
      </c>
      <c r="CI39" s="14">
        <f>SUM(CI37:CI38)</f>
        <v>0</v>
      </c>
      <c r="CJ39" s="73"/>
      <c r="CK39" s="144"/>
      <c r="CL39" s="151" t="s">
        <v>14</v>
      </c>
      <c r="CM39" s="152"/>
      <c r="CN39" s="14">
        <f>SUM(CN37:CN38)</f>
        <v>0</v>
      </c>
      <c r="CO39" s="14">
        <f>SUM(CO37:CO38)</f>
        <v>0</v>
      </c>
      <c r="CP39" s="14">
        <f>SUM(CP37:CP38)</f>
        <v>0</v>
      </c>
      <c r="CQ39" s="14">
        <f>SUM(CQ37:CQ38)</f>
        <v>0</v>
      </c>
      <c r="CR39" s="73"/>
      <c r="CS39" s="144"/>
      <c r="CT39" s="151" t="s">
        <v>14</v>
      </c>
      <c r="CU39" s="152"/>
      <c r="CV39" s="14">
        <f>SUM(CV37:CV38)</f>
        <v>0</v>
      </c>
      <c r="CW39" s="14">
        <f>SUM(CW37:CW38)</f>
        <v>0</v>
      </c>
      <c r="CX39" s="14">
        <f>SUM(CX37:CX38)</f>
        <v>3</v>
      </c>
      <c r="CY39" s="15">
        <f>SUM(CY37:CY38)</f>
        <v>0</v>
      </c>
    </row>
    <row r="40" spans="1:103" ht="20.100000000000001" customHeight="1" thickBot="1" x14ac:dyDescent="0.25">
      <c r="A40" s="17"/>
      <c r="B40" s="149" t="s">
        <v>12</v>
      </c>
      <c r="C40" s="150"/>
      <c r="D40" s="18">
        <f>SUM(D36+D39)</f>
        <v>0</v>
      </c>
      <c r="E40" s="18">
        <f>SUM(E36+E39)</f>
        <v>0</v>
      </c>
      <c r="F40" s="18">
        <f>SUM(F36+F39)</f>
        <v>0</v>
      </c>
      <c r="G40" s="18">
        <f>SUM(G36+G39)</f>
        <v>0</v>
      </c>
      <c r="H40" s="73"/>
      <c r="I40" s="17"/>
      <c r="J40" s="149" t="s">
        <v>12</v>
      </c>
      <c r="K40" s="150"/>
      <c r="L40" s="18">
        <f>SUM(L36+L39)</f>
        <v>0</v>
      </c>
      <c r="M40" s="18">
        <f>SUM(M36+M39)</f>
        <v>0</v>
      </c>
      <c r="N40" s="18">
        <f>SUM(N36+N39)</f>
        <v>0</v>
      </c>
      <c r="O40" s="18">
        <f>SUM(O36+O39)</f>
        <v>0</v>
      </c>
      <c r="P40" s="73"/>
      <c r="Q40" s="17"/>
      <c r="R40" s="149" t="s">
        <v>12</v>
      </c>
      <c r="S40" s="150"/>
      <c r="T40" s="107">
        <v>0</v>
      </c>
      <c r="U40" s="108">
        <v>0</v>
      </c>
      <c r="V40" s="108">
        <v>0</v>
      </c>
      <c r="W40" s="108">
        <v>0</v>
      </c>
      <c r="X40" s="73"/>
      <c r="Y40" s="17"/>
      <c r="Z40" s="149" t="s">
        <v>12</v>
      </c>
      <c r="AA40" s="150"/>
      <c r="AB40" s="107">
        <v>0</v>
      </c>
      <c r="AC40" s="108">
        <v>0</v>
      </c>
      <c r="AD40" s="108">
        <v>0</v>
      </c>
      <c r="AE40" s="108">
        <v>0</v>
      </c>
      <c r="AF40" s="73"/>
      <c r="AG40" s="17"/>
      <c r="AH40" s="149" t="s">
        <v>12</v>
      </c>
      <c r="AI40" s="150"/>
      <c r="AJ40" s="18">
        <f>SUM(AJ36+AJ39)</f>
        <v>0</v>
      </c>
      <c r="AK40" s="18">
        <f>SUM(AK36+AK39)</f>
        <v>0</v>
      </c>
      <c r="AL40" s="18">
        <f>SUM(AL36+AL39)</f>
        <v>0</v>
      </c>
      <c r="AM40" s="18">
        <f>SUM(AM36+AM39)</f>
        <v>0</v>
      </c>
      <c r="AN40" s="73"/>
      <c r="AO40" s="17"/>
      <c r="AP40" s="149" t="s">
        <v>12</v>
      </c>
      <c r="AQ40" s="150"/>
      <c r="AR40" s="107">
        <v>0</v>
      </c>
      <c r="AS40" s="108">
        <v>0</v>
      </c>
      <c r="AT40" s="108">
        <v>0</v>
      </c>
      <c r="AU40" s="108">
        <v>0</v>
      </c>
      <c r="AV40" s="73"/>
      <c r="AW40" s="17"/>
      <c r="AX40" s="149" t="s">
        <v>12</v>
      </c>
      <c r="AY40" s="150"/>
      <c r="AZ40" s="107">
        <v>0</v>
      </c>
      <c r="BA40" s="108">
        <v>0</v>
      </c>
      <c r="BB40" s="108">
        <v>0</v>
      </c>
      <c r="BC40" s="108">
        <v>0</v>
      </c>
      <c r="BD40" s="73"/>
      <c r="BE40" s="17"/>
      <c r="BF40" s="149" t="s">
        <v>12</v>
      </c>
      <c r="BG40" s="150"/>
      <c r="BH40" s="117">
        <f t="shared" ref="BH40:BK40" si="64">SUM(BH36+BH39)</f>
        <v>0</v>
      </c>
      <c r="BI40" s="117">
        <f t="shared" si="64"/>
        <v>0</v>
      </c>
      <c r="BJ40" s="117">
        <f t="shared" si="64"/>
        <v>0</v>
      </c>
      <c r="BK40" s="117">
        <f t="shared" si="64"/>
        <v>0</v>
      </c>
      <c r="BL40" s="73"/>
      <c r="BM40" s="17"/>
      <c r="BN40" s="149" t="s">
        <v>12</v>
      </c>
      <c r="BO40" s="150"/>
      <c r="BP40" s="18">
        <f>SUM(BP36+BP39)</f>
        <v>0</v>
      </c>
      <c r="BQ40" s="18">
        <f>SUM(BQ36+BQ39)</f>
        <v>0</v>
      </c>
      <c r="BR40" s="18">
        <f>SUM(BR36+BR39)</f>
        <v>0</v>
      </c>
      <c r="BS40" s="18">
        <f>SUM(BS36+BS39)</f>
        <v>0</v>
      </c>
      <c r="BT40" s="73"/>
      <c r="BU40" s="17"/>
      <c r="BV40" s="149" t="s">
        <v>12</v>
      </c>
      <c r="BW40" s="150"/>
      <c r="BX40" s="18">
        <f>SUM(BX36+BX39)</f>
        <v>0</v>
      </c>
      <c r="BY40" s="18">
        <f>SUM(BY36+BY39)</f>
        <v>9</v>
      </c>
      <c r="BZ40" s="18">
        <f>SUM(BZ36+BZ39)</f>
        <v>13</v>
      </c>
      <c r="CA40" s="18">
        <f>SUM(CA36+CA39)</f>
        <v>12</v>
      </c>
      <c r="CB40" s="73"/>
      <c r="CC40" s="17"/>
      <c r="CD40" s="149" t="s">
        <v>12</v>
      </c>
      <c r="CE40" s="150"/>
      <c r="CF40" s="18">
        <f>SUM(CF36+CF39)</f>
        <v>0</v>
      </c>
      <c r="CG40" s="18">
        <f>SUM(CG36+CG39)</f>
        <v>0</v>
      </c>
      <c r="CH40" s="18">
        <f>SUM(CH36+CH39)</f>
        <v>0</v>
      </c>
      <c r="CI40" s="18">
        <f>SUM(CI36+CI39)</f>
        <v>0</v>
      </c>
      <c r="CJ40" s="73"/>
      <c r="CK40" s="17"/>
      <c r="CL40" s="149" t="s">
        <v>12</v>
      </c>
      <c r="CM40" s="150"/>
      <c r="CN40" s="18">
        <f>SUM(CN36+CN39)</f>
        <v>0</v>
      </c>
      <c r="CO40" s="18">
        <f>SUM(CO36+CO39)</f>
        <v>0</v>
      </c>
      <c r="CP40" s="18">
        <f>SUM(CP36+CP39)</f>
        <v>0</v>
      </c>
      <c r="CQ40" s="18">
        <f>SUM(CQ36+CQ39)</f>
        <v>0</v>
      </c>
      <c r="CR40" s="73"/>
      <c r="CS40" s="17"/>
      <c r="CT40" s="149" t="s">
        <v>12</v>
      </c>
      <c r="CU40" s="150"/>
      <c r="CV40" s="18">
        <f>SUM(CV36+CV39)</f>
        <v>0</v>
      </c>
      <c r="CW40" s="18">
        <f>SUM(CW36+CW39)</f>
        <v>9</v>
      </c>
      <c r="CX40" s="18">
        <f>SUM(CX36+CX39)</f>
        <v>13</v>
      </c>
      <c r="CY40" s="23">
        <f>SUM(CY36+CY39)</f>
        <v>12</v>
      </c>
    </row>
    <row r="41" spans="1:103" ht="20.100000000000001" customHeight="1" thickTop="1" thickBot="1" x14ac:dyDescent="0.3">
      <c r="A41" s="142" t="s">
        <v>25</v>
      </c>
      <c r="B41" s="140" t="s">
        <v>3</v>
      </c>
      <c r="C41" s="6" t="s">
        <v>8</v>
      </c>
      <c r="D41" s="86">
        <v>0</v>
      </c>
      <c r="E41" s="87">
        <v>17</v>
      </c>
      <c r="F41" s="87">
        <v>9</v>
      </c>
      <c r="G41" s="87">
        <v>10</v>
      </c>
      <c r="H41" s="73"/>
      <c r="I41" s="142" t="s">
        <v>25</v>
      </c>
      <c r="J41" s="140" t="s">
        <v>3</v>
      </c>
      <c r="K41" s="6" t="s">
        <v>8</v>
      </c>
      <c r="L41" s="86">
        <v>0</v>
      </c>
      <c r="M41" s="87">
        <v>49</v>
      </c>
      <c r="N41" s="87">
        <v>29</v>
      </c>
      <c r="O41" s="87">
        <v>13</v>
      </c>
      <c r="P41" s="73"/>
      <c r="Q41" s="142" t="s">
        <v>25</v>
      </c>
      <c r="R41" s="140" t="s">
        <v>3</v>
      </c>
      <c r="S41" s="6" t="s">
        <v>8</v>
      </c>
      <c r="T41" s="92">
        <v>0</v>
      </c>
      <c r="U41" s="93">
        <v>70</v>
      </c>
      <c r="V41" s="93">
        <v>62</v>
      </c>
      <c r="W41" s="93">
        <v>28</v>
      </c>
      <c r="X41" s="73"/>
      <c r="Y41" s="142" t="s">
        <v>25</v>
      </c>
      <c r="Z41" s="140" t="s">
        <v>3</v>
      </c>
      <c r="AA41" s="6" t="s">
        <v>8</v>
      </c>
      <c r="AB41" s="92">
        <v>0</v>
      </c>
      <c r="AC41" s="93">
        <v>61</v>
      </c>
      <c r="AD41" s="93">
        <v>49</v>
      </c>
      <c r="AE41" s="93">
        <v>40</v>
      </c>
      <c r="AF41" s="73"/>
      <c r="AG41" s="142" t="s">
        <v>25</v>
      </c>
      <c r="AH41" s="140" t="s">
        <v>3</v>
      </c>
      <c r="AI41" s="6" t="s">
        <v>8</v>
      </c>
      <c r="AJ41" s="86">
        <v>0</v>
      </c>
      <c r="AK41" s="87">
        <v>35</v>
      </c>
      <c r="AL41" s="87">
        <v>40</v>
      </c>
      <c r="AM41" s="87">
        <v>35</v>
      </c>
      <c r="AN41" s="73"/>
      <c r="AO41" s="142" t="s">
        <v>25</v>
      </c>
      <c r="AP41" s="140" t="s">
        <v>3</v>
      </c>
      <c r="AQ41" s="6" t="s">
        <v>8</v>
      </c>
      <c r="AR41" s="92">
        <v>0</v>
      </c>
      <c r="AS41" s="93">
        <v>45</v>
      </c>
      <c r="AT41" s="93">
        <v>25</v>
      </c>
      <c r="AU41" s="93">
        <v>16</v>
      </c>
      <c r="AV41" s="73"/>
      <c r="AW41" s="142" t="s">
        <v>25</v>
      </c>
      <c r="AX41" s="140" t="s">
        <v>3</v>
      </c>
      <c r="AY41" s="6" t="s">
        <v>8</v>
      </c>
      <c r="AZ41" s="92">
        <v>0</v>
      </c>
      <c r="BA41" s="93">
        <v>18</v>
      </c>
      <c r="BB41" s="93">
        <v>10</v>
      </c>
      <c r="BC41" s="93">
        <v>12</v>
      </c>
      <c r="BD41" s="73"/>
      <c r="BE41" s="142" t="s">
        <v>25</v>
      </c>
      <c r="BF41" s="140" t="s">
        <v>3</v>
      </c>
      <c r="BG41" s="6" t="s">
        <v>8</v>
      </c>
      <c r="BH41" s="118">
        <v>0</v>
      </c>
      <c r="BI41" s="119">
        <v>45</v>
      </c>
      <c r="BJ41" s="119">
        <v>25</v>
      </c>
      <c r="BK41" s="119">
        <v>16</v>
      </c>
      <c r="BL41" s="73"/>
      <c r="BM41" s="142" t="s">
        <v>25</v>
      </c>
      <c r="BN41" s="140" t="s">
        <v>3</v>
      </c>
      <c r="BO41" s="6" t="s">
        <v>8</v>
      </c>
      <c r="BP41" s="122">
        <v>0</v>
      </c>
      <c r="BQ41" s="122">
        <v>25</v>
      </c>
      <c r="BR41" s="122">
        <v>20</v>
      </c>
      <c r="BS41" s="122">
        <v>22</v>
      </c>
      <c r="BT41" s="73"/>
      <c r="BU41" s="142" t="s">
        <v>25</v>
      </c>
      <c r="BV41" s="140" t="s">
        <v>3</v>
      </c>
      <c r="BW41" s="6" t="s">
        <v>8</v>
      </c>
      <c r="BX41" s="86">
        <v>0</v>
      </c>
      <c r="BY41" s="87">
        <v>17</v>
      </c>
      <c r="BZ41" s="87">
        <v>9</v>
      </c>
      <c r="CA41" s="87">
        <v>10</v>
      </c>
      <c r="CB41" s="73"/>
      <c r="CC41" s="142" t="s">
        <v>25</v>
      </c>
      <c r="CD41" s="140" t="s">
        <v>3</v>
      </c>
      <c r="CE41" s="6" t="s">
        <v>8</v>
      </c>
      <c r="CF41" s="7">
        <v>0</v>
      </c>
      <c r="CG41" s="7">
        <v>0</v>
      </c>
      <c r="CH41" s="7">
        <v>0</v>
      </c>
      <c r="CI41" s="7">
        <v>0</v>
      </c>
      <c r="CJ41" s="73"/>
      <c r="CK41" s="142" t="s">
        <v>25</v>
      </c>
      <c r="CL41" s="140" t="s">
        <v>3</v>
      </c>
      <c r="CM41" s="6" t="s">
        <v>8</v>
      </c>
      <c r="CN41" s="7">
        <v>0</v>
      </c>
      <c r="CO41" s="7">
        <v>0</v>
      </c>
      <c r="CP41" s="7">
        <v>0</v>
      </c>
      <c r="CQ41" s="7">
        <v>0</v>
      </c>
      <c r="CR41" s="73"/>
      <c r="CS41" s="142" t="str">
        <f>(CK41)</f>
        <v>قويزة</v>
      </c>
      <c r="CT41" s="140" t="s">
        <v>3</v>
      </c>
      <c r="CU41" s="6" t="s">
        <v>8</v>
      </c>
      <c r="CV41" s="8">
        <f t="shared" ref="CV41:CV42" si="65">SUM(D41+L41+T41+AB41+AJ41+AR41+AZ41+BH41+BP41+BX41+CF41+CN41)</f>
        <v>0</v>
      </c>
      <c r="CW41" s="9">
        <f t="shared" ref="CW41:CW42" si="66">SUM(E41+M41+U41+AC41+AK41+AS41+BA41+BI41+BQ41+BY41+CG41+CO41)</f>
        <v>382</v>
      </c>
      <c r="CX41" s="9">
        <f t="shared" ref="CX41:CX42" si="67">SUM(F41+N41+V41+AD41+AL41+AT41+BB41+BJ41+BR41+BZ41+CH41+CP41)</f>
        <v>278</v>
      </c>
      <c r="CY41" s="9">
        <f t="shared" ref="CY41:CY42" si="68">SUM(G41+O41+W41+AE41+AM41+AU41+BC41+BK41+BS41+CA41+CI41+CQ41)</f>
        <v>202</v>
      </c>
    </row>
    <row r="42" spans="1:103" ht="20.100000000000001" customHeight="1" thickBot="1" x14ac:dyDescent="0.3">
      <c r="A42" s="143"/>
      <c r="B42" s="141"/>
      <c r="C42" s="10" t="s">
        <v>9</v>
      </c>
      <c r="D42" s="88">
        <v>0</v>
      </c>
      <c r="E42" s="89">
        <v>8</v>
      </c>
      <c r="F42" s="89">
        <v>12</v>
      </c>
      <c r="G42" s="89">
        <v>12</v>
      </c>
      <c r="H42" s="73"/>
      <c r="I42" s="143"/>
      <c r="J42" s="141"/>
      <c r="K42" s="10" t="s">
        <v>9</v>
      </c>
      <c r="L42" s="88">
        <v>0</v>
      </c>
      <c r="M42" s="89">
        <v>40</v>
      </c>
      <c r="N42" s="89">
        <v>25</v>
      </c>
      <c r="O42" s="89">
        <v>17</v>
      </c>
      <c r="P42" s="73"/>
      <c r="Q42" s="143"/>
      <c r="R42" s="141"/>
      <c r="S42" s="10" t="s">
        <v>9</v>
      </c>
      <c r="T42" s="88">
        <v>0</v>
      </c>
      <c r="U42" s="89">
        <v>77</v>
      </c>
      <c r="V42" s="89">
        <v>60</v>
      </c>
      <c r="W42" s="89">
        <v>17</v>
      </c>
      <c r="X42" s="73"/>
      <c r="Y42" s="143"/>
      <c r="Z42" s="141"/>
      <c r="AA42" s="10" t="s">
        <v>9</v>
      </c>
      <c r="AB42" s="88">
        <v>0</v>
      </c>
      <c r="AC42" s="89">
        <v>68</v>
      </c>
      <c r="AD42" s="89">
        <v>51</v>
      </c>
      <c r="AE42" s="89">
        <v>39</v>
      </c>
      <c r="AF42" s="73"/>
      <c r="AG42" s="143"/>
      <c r="AH42" s="141"/>
      <c r="AI42" s="10" t="s">
        <v>9</v>
      </c>
      <c r="AJ42" s="88">
        <v>0</v>
      </c>
      <c r="AK42" s="89">
        <v>34</v>
      </c>
      <c r="AL42" s="89">
        <v>23</v>
      </c>
      <c r="AM42" s="89">
        <v>32</v>
      </c>
      <c r="AN42" s="73"/>
      <c r="AO42" s="143"/>
      <c r="AP42" s="141"/>
      <c r="AQ42" s="10" t="s">
        <v>9</v>
      </c>
      <c r="AR42" s="88">
        <v>0</v>
      </c>
      <c r="AS42" s="89">
        <v>20</v>
      </c>
      <c r="AT42" s="89">
        <v>40</v>
      </c>
      <c r="AU42" s="89">
        <v>25</v>
      </c>
      <c r="AV42" s="73"/>
      <c r="AW42" s="143"/>
      <c r="AX42" s="141"/>
      <c r="AY42" s="10" t="s">
        <v>9</v>
      </c>
      <c r="AZ42" s="88">
        <v>0</v>
      </c>
      <c r="BA42" s="89">
        <v>14</v>
      </c>
      <c r="BB42" s="89">
        <v>15</v>
      </c>
      <c r="BC42" s="89">
        <v>14</v>
      </c>
      <c r="BD42" s="73"/>
      <c r="BE42" s="143"/>
      <c r="BF42" s="141"/>
      <c r="BG42" s="10" t="s">
        <v>9</v>
      </c>
      <c r="BH42" s="120">
        <v>0</v>
      </c>
      <c r="BI42" s="121">
        <v>20</v>
      </c>
      <c r="BJ42" s="121">
        <v>40</v>
      </c>
      <c r="BK42" s="121">
        <v>25</v>
      </c>
      <c r="BL42" s="73"/>
      <c r="BM42" s="143"/>
      <c r="BN42" s="141"/>
      <c r="BO42" s="10" t="s">
        <v>9</v>
      </c>
      <c r="BP42" s="122">
        <v>0</v>
      </c>
      <c r="BQ42" s="122">
        <v>19</v>
      </c>
      <c r="BR42" s="122">
        <v>21</v>
      </c>
      <c r="BS42" s="122">
        <v>15</v>
      </c>
      <c r="BT42" s="73"/>
      <c r="BU42" s="143"/>
      <c r="BV42" s="141"/>
      <c r="BW42" s="10" t="s">
        <v>9</v>
      </c>
      <c r="BX42" s="88">
        <v>0</v>
      </c>
      <c r="BY42" s="89">
        <v>8</v>
      </c>
      <c r="BZ42" s="89">
        <v>12</v>
      </c>
      <c r="CA42" s="89">
        <v>12</v>
      </c>
      <c r="CB42" s="73"/>
      <c r="CC42" s="143"/>
      <c r="CD42" s="141"/>
      <c r="CE42" s="10" t="s">
        <v>9</v>
      </c>
      <c r="CF42" s="11">
        <v>0</v>
      </c>
      <c r="CG42" s="11">
        <v>0</v>
      </c>
      <c r="CH42" s="11">
        <v>0</v>
      </c>
      <c r="CI42" s="11">
        <v>0</v>
      </c>
      <c r="CJ42" s="73"/>
      <c r="CK42" s="143"/>
      <c r="CL42" s="141"/>
      <c r="CM42" s="10" t="s">
        <v>9</v>
      </c>
      <c r="CN42" s="11">
        <v>0</v>
      </c>
      <c r="CO42" s="11">
        <v>0</v>
      </c>
      <c r="CP42" s="11">
        <v>0</v>
      </c>
      <c r="CQ42" s="11">
        <v>0</v>
      </c>
      <c r="CR42" s="73"/>
      <c r="CS42" s="143"/>
      <c r="CT42" s="141"/>
      <c r="CU42" s="10" t="s">
        <v>9</v>
      </c>
      <c r="CV42" s="12">
        <f t="shared" si="65"/>
        <v>0</v>
      </c>
      <c r="CW42" s="13">
        <f t="shared" si="66"/>
        <v>308</v>
      </c>
      <c r="CX42" s="13">
        <f t="shared" si="67"/>
        <v>299</v>
      </c>
      <c r="CY42" s="13">
        <f t="shared" si="68"/>
        <v>208</v>
      </c>
    </row>
    <row r="43" spans="1:103" ht="20.100000000000001" customHeight="1" thickBot="1" x14ac:dyDescent="0.3">
      <c r="A43" s="143"/>
      <c r="B43" s="145" t="s">
        <v>10</v>
      </c>
      <c r="C43" s="146"/>
      <c r="D43" s="90">
        <v>0</v>
      </c>
      <c r="E43" s="91">
        <v>25</v>
      </c>
      <c r="F43" s="91">
        <v>21</v>
      </c>
      <c r="G43" s="91">
        <v>22</v>
      </c>
      <c r="H43" s="73"/>
      <c r="I43" s="143"/>
      <c r="J43" s="145" t="s">
        <v>10</v>
      </c>
      <c r="K43" s="146"/>
      <c r="L43" s="90">
        <v>0</v>
      </c>
      <c r="M43" s="91">
        <v>89</v>
      </c>
      <c r="N43" s="91">
        <v>54</v>
      </c>
      <c r="O43" s="91">
        <v>30</v>
      </c>
      <c r="P43" s="73"/>
      <c r="Q43" s="143"/>
      <c r="R43" s="145" t="s">
        <v>10</v>
      </c>
      <c r="S43" s="146"/>
      <c r="T43" s="90">
        <v>0</v>
      </c>
      <c r="U43" s="91">
        <v>147</v>
      </c>
      <c r="V43" s="91">
        <v>122</v>
      </c>
      <c r="W43" s="91">
        <v>45</v>
      </c>
      <c r="X43" s="73"/>
      <c r="Y43" s="143"/>
      <c r="Z43" s="145" t="s">
        <v>10</v>
      </c>
      <c r="AA43" s="146"/>
      <c r="AB43" s="90">
        <v>0</v>
      </c>
      <c r="AC43" s="91">
        <v>129</v>
      </c>
      <c r="AD43" s="91">
        <v>100</v>
      </c>
      <c r="AE43" s="91">
        <v>79</v>
      </c>
      <c r="AF43" s="73"/>
      <c r="AG43" s="143"/>
      <c r="AH43" s="145" t="s">
        <v>10</v>
      </c>
      <c r="AI43" s="146"/>
      <c r="AJ43" s="90">
        <v>0</v>
      </c>
      <c r="AK43" s="91">
        <v>69</v>
      </c>
      <c r="AL43" s="91">
        <v>63</v>
      </c>
      <c r="AM43" s="91">
        <v>67</v>
      </c>
      <c r="AN43" s="73"/>
      <c r="AO43" s="143"/>
      <c r="AP43" s="145" t="s">
        <v>10</v>
      </c>
      <c r="AQ43" s="146"/>
      <c r="AR43" s="90">
        <v>0</v>
      </c>
      <c r="AS43" s="91">
        <v>65</v>
      </c>
      <c r="AT43" s="91">
        <v>65</v>
      </c>
      <c r="AU43" s="91">
        <v>41</v>
      </c>
      <c r="AV43" s="73"/>
      <c r="AW43" s="143"/>
      <c r="AX43" s="145" t="s">
        <v>10</v>
      </c>
      <c r="AY43" s="146"/>
      <c r="AZ43" s="90">
        <v>0</v>
      </c>
      <c r="BA43" s="91">
        <v>32</v>
      </c>
      <c r="BB43" s="91">
        <v>25</v>
      </c>
      <c r="BC43" s="91">
        <v>26</v>
      </c>
      <c r="BD43" s="73"/>
      <c r="BE43" s="143"/>
      <c r="BF43" s="145" t="s">
        <v>10</v>
      </c>
      <c r="BG43" s="146"/>
      <c r="BH43" s="116">
        <f t="shared" ref="BH43:BK43" si="69">SUM(BH41:BH42)</f>
        <v>0</v>
      </c>
      <c r="BI43" s="116">
        <f t="shared" si="69"/>
        <v>65</v>
      </c>
      <c r="BJ43" s="116">
        <f t="shared" si="69"/>
        <v>65</v>
      </c>
      <c r="BK43" s="116">
        <f t="shared" si="69"/>
        <v>41</v>
      </c>
      <c r="BL43" s="73"/>
      <c r="BM43" s="143"/>
      <c r="BN43" s="145" t="s">
        <v>10</v>
      </c>
      <c r="BO43" s="146"/>
      <c r="BP43" s="123">
        <f t="shared" ref="BP43:BS43" si="70">SUM(BP41:BP42)</f>
        <v>0</v>
      </c>
      <c r="BQ43" s="123">
        <f t="shared" si="70"/>
        <v>44</v>
      </c>
      <c r="BR43" s="123">
        <f t="shared" si="70"/>
        <v>41</v>
      </c>
      <c r="BS43" s="123">
        <f t="shared" si="70"/>
        <v>37</v>
      </c>
      <c r="BT43" s="73"/>
      <c r="BU43" s="143"/>
      <c r="BV43" s="145" t="s">
        <v>10</v>
      </c>
      <c r="BW43" s="146"/>
      <c r="BX43" s="90">
        <v>0</v>
      </c>
      <c r="BY43" s="91">
        <v>25</v>
      </c>
      <c r="BZ43" s="91">
        <v>21</v>
      </c>
      <c r="CA43" s="91">
        <v>22</v>
      </c>
      <c r="CB43" s="73"/>
      <c r="CC43" s="143"/>
      <c r="CD43" s="145" t="s">
        <v>10</v>
      </c>
      <c r="CE43" s="146"/>
      <c r="CF43" s="14">
        <f>SUM(CF41:CF42)</f>
        <v>0</v>
      </c>
      <c r="CG43" s="14">
        <f>SUM(CG41:CG42)</f>
        <v>0</v>
      </c>
      <c r="CH43" s="14">
        <f>SUM(CH41:CH42)</f>
        <v>0</v>
      </c>
      <c r="CI43" s="14">
        <f>SUM(CI41:CI42)</f>
        <v>0</v>
      </c>
      <c r="CJ43" s="73"/>
      <c r="CK43" s="143"/>
      <c r="CL43" s="145" t="s">
        <v>10</v>
      </c>
      <c r="CM43" s="146"/>
      <c r="CN43" s="14">
        <f>SUM(CN41:CN42)</f>
        <v>0</v>
      </c>
      <c r="CO43" s="14">
        <f>SUM(CO41:CO42)</f>
        <v>0</v>
      </c>
      <c r="CP43" s="14">
        <f>SUM(CP41:CP42)</f>
        <v>0</v>
      </c>
      <c r="CQ43" s="14">
        <f>SUM(CQ41:CQ42)</f>
        <v>0</v>
      </c>
      <c r="CR43" s="73"/>
      <c r="CS43" s="143"/>
      <c r="CT43" s="145" t="s">
        <v>10</v>
      </c>
      <c r="CU43" s="146"/>
      <c r="CV43" s="16">
        <f>SUM(CV41:CV42)</f>
        <v>0</v>
      </c>
      <c r="CW43" s="16">
        <f>SUM(CW41:CW42)</f>
        <v>690</v>
      </c>
      <c r="CX43" s="16">
        <f>SUM(CX41:CX42)</f>
        <v>577</v>
      </c>
      <c r="CY43" s="20">
        <f>SUM(CY41:CY42)</f>
        <v>410</v>
      </c>
    </row>
    <row r="44" spans="1:103" ht="20.100000000000001" customHeight="1" thickBot="1" x14ac:dyDescent="0.3">
      <c r="A44" s="143"/>
      <c r="B44" s="153" t="s">
        <v>11</v>
      </c>
      <c r="C44" s="6" t="s">
        <v>8</v>
      </c>
      <c r="D44" s="92">
        <v>0</v>
      </c>
      <c r="E44" s="93">
        <v>4</v>
      </c>
      <c r="F44" s="93">
        <v>1</v>
      </c>
      <c r="G44" s="93">
        <v>4</v>
      </c>
      <c r="H44" s="73"/>
      <c r="I44" s="143"/>
      <c r="J44" s="153" t="s">
        <v>11</v>
      </c>
      <c r="K44" s="6" t="s">
        <v>8</v>
      </c>
      <c r="L44" s="92">
        <v>0</v>
      </c>
      <c r="M44" s="93">
        <v>1</v>
      </c>
      <c r="N44" s="93">
        <v>0</v>
      </c>
      <c r="O44" s="93">
        <v>1</v>
      </c>
      <c r="P44" s="73"/>
      <c r="Q44" s="143"/>
      <c r="R44" s="153" t="s">
        <v>11</v>
      </c>
      <c r="S44" s="6" t="s">
        <v>8</v>
      </c>
      <c r="T44" s="92">
        <v>0</v>
      </c>
      <c r="U44" s="93">
        <v>0</v>
      </c>
      <c r="V44" s="93">
        <v>0</v>
      </c>
      <c r="W44" s="93">
        <v>0</v>
      </c>
      <c r="X44" s="73"/>
      <c r="Y44" s="143"/>
      <c r="Z44" s="153" t="s">
        <v>11</v>
      </c>
      <c r="AA44" s="6" t="s">
        <v>8</v>
      </c>
      <c r="AB44" s="92">
        <v>0</v>
      </c>
      <c r="AC44" s="93">
        <v>0</v>
      </c>
      <c r="AD44" s="93">
        <v>0</v>
      </c>
      <c r="AE44" s="93">
        <v>0</v>
      </c>
      <c r="AF44" s="73"/>
      <c r="AG44" s="143"/>
      <c r="AH44" s="153" t="s">
        <v>11</v>
      </c>
      <c r="AI44" s="6" t="s">
        <v>8</v>
      </c>
      <c r="AJ44" s="92">
        <v>0</v>
      </c>
      <c r="AK44" s="93">
        <v>2</v>
      </c>
      <c r="AL44" s="93">
        <v>2</v>
      </c>
      <c r="AM44" s="93">
        <v>1</v>
      </c>
      <c r="AN44" s="73"/>
      <c r="AO44" s="143"/>
      <c r="AP44" s="153" t="s">
        <v>11</v>
      </c>
      <c r="AQ44" s="6" t="s">
        <v>8</v>
      </c>
      <c r="AR44" s="92">
        <v>0</v>
      </c>
      <c r="AS44" s="93">
        <v>0</v>
      </c>
      <c r="AT44" s="93">
        <v>0</v>
      </c>
      <c r="AU44" s="93">
        <v>0</v>
      </c>
      <c r="AV44" s="73"/>
      <c r="AW44" s="143"/>
      <c r="AX44" s="153" t="s">
        <v>11</v>
      </c>
      <c r="AY44" s="6" t="s">
        <v>8</v>
      </c>
      <c r="AZ44" s="92">
        <v>0</v>
      </c>
      <c r="BA44" s="93">
        <v>2</v>
      </c>
      <c r="BB44" s="93">
        <v>1</v>
      </c>
      <c r="BC44" s="93">
        <v>1</v>
      </c>
      <c r="BD44" s="73"/>
      <c r="BE44" s="143"/>
      <c r="BF44" s="153" t="s">
        <v>11</v>
      </c>
      <c r="BG44" s="6" t="s">
        <v>8</v>
      </c>
      <c r="BH44" s="114">
        <v>0</v>
      </c>
      <c r="BI44" s="114">
        <v>0</v>
      </c>
      <c r="BJ44" s="114">
        <v>0</v>
      </c>
      <c r="BK44" s="114">
        <v>0</v>
      </c>
      <c r="BL44" s="73"/>
      <c r="BM44" s="143"/>
      <c r="BN44" s="153" t="s">
        <v>11</v>
      </c>
      <c r="BO44" s="6" t="s">
        <v>8</v>
      </c>
      <c r="BP44" s="122">
        <v>0</v>
      </c>
      <c r="BQ44" s="122">
        <v>1</v>
      </c>
      <c r="BR44" s="122">
        <v>0</v>
      </c>
      <c r="BS44" s="122">
        <v>0</v>
      </c>
      <c r="BT44" s="73"/>
      <c r="BU44" s="143"/>
      <c r="BV44" s="153" t="s">
        <v>11</v>
      </c>
      <c r="BW44" s="6" t="s">
        <v>8</v>
      </c>
      <c r="BX44" s="92">
        <v>0</v>
      </c>
      <c r="BY44" s="93">
        <v>4</v>
      </c>
      <c r="BZ44" s="93">
        <v>1</v>
      </c>
      <c r="CA44" s="93">
        <v>4</v>
      </c>
      <c r="CB44" s="73"/>
      <c r="CC44" s="143"/>
      <c r="CD44" s="153" t="s">
        <v>11</v>
      </c>
      <c r="CE44" s="6" t="s">
        <v>8</v>
      </c>
      <c r="CF44" s="7">
        <v>0</v>
      </c>
      <c r="CG44" s="7">
        <v>0</v>
      </c>
      <c r="CH44" s="7">
        <v>0</v>
      </c>
      <c r="CI44" s="7">
        <v>0</v>
      </c>
      <c r="CJ44" s="73"/>
      <c r="CK44" s="143"/>
      <c r="CL44" s="153" t="s">
        <v>11</v>
      </c>
      <c r="CM44" s="6" t="s">
        <v>8</v>
      </c>
      <c r="CN44" s="7">
        <v>0</v>
      </c>
      <c r="CO44" s="7">
        <v>0</v>
      </c>
      <c r="CP44" s="7">
        <v>0</v>
      </c>
      <c r="CQ44" s="7">
        <v>0</v>
      </c>
      <c r="CR44" s="73"/>
      <c r="CS44" s="143"/>
      <c r="CT44" s="153" t="s">
        <v>11</v>
      </c>
      <c r="CU44" s="6" t="s">
        <v>8</v>
      </c>
      <c r="CV44" s="8">
        <f t="shared" ref="CV44:CV45" si="71">SUM(D44+L44+T44+AB44+AJ44+AR44+AZ44+BH44+BP44+BX44+CF44+CN44)</f>
        <v>0</v>
      </c>
      <c r="CW44" s="9">
        <f t="shared" ref="CW44:CW45" si="72">SUM(E44+M44+U44+AC44+AK44+AS44+BA44+BI44+BQ44+BY44+CG44+CO44)</f>
        <v>14</v>
      </c>
      <c r="CX44" s="9">
        <f t="shared" ref="CX44:CX45" si="73">SUM(F44+N44+V44+AD44+AL44+AT44+BB44+BJ44+BR44+BZ44+CH44+CP44)</f>
        <v>5</v>
      </c>
      <c r="CY44" s="9">
        <f t="shared" ref="CY44:CY45" si="74">SUM(G44+O44+W44+AE44+AM44+AU44+BC44+BK44+BS44+CA44+CI44+CQ44)</f>
        <v>11</v>
      </c>
    </row>
    <row r="45" spans="1:103" ht="20.100000000000001" customHeight="1" thickBot="1" x14ac:dyDescent="0.3">
      <c r="A45" s="143"/>
      <c r="B45" s="154"/>
      <c r="C45" s="10" t="s">
        <v>9</v>
      </c>
      <c r="D45" s="88">
        <v>0</v>
      </c>
      <c r="E45" s="89">
        <v>0</v>
      </c>
      <c r="F45" s="89">
        <v>2</v>
      </c>
      <c r="G45" s="89">
        <v>2</v>
      </c>
      <c r="H45" s="73"/>
      <c r="I45" s="143"/>
      <c r="J45" s="154"/>
      <c r="K45" s="10" t="s">
        <v>9</v>
      </c>
      <c r="L45" s="88">
        <v>0</v>
      </c>
      <c r="M45" s="89">
        <v>1</v>
      </c>
      <c r="N45" s="89">
        <v>0</v>
      </c>
      <c r="O45" s="89">
        <v>0</v>
      </c>
      <c r="P45" s="73"/>
      <c r="Q45" s="143"/>
      <c r="R45" s="154"/>
      <c r="S45" s="10" t="s">
        <v>9</v>
      </c>
      <c r="T45" s="88">
        <v>0</v>
      </c>
      <c r="U45" s="89">
        <v>0</v>
      </c>
      <c r="V45" s="89">
        <v>0</v>
      </c>
      <c r="W45" s="89">
        <v>0</v>
      </c>
      <c r="X45" s="73"/>
      <c r="Y45" s="143"/>
      <c r="Z45" s="154"/>
      <c r="AA45" s="10" t="s">
        <v>9</v>
      </c>
      <c r="AB45" s="88">
        <v>0</v>
      </c>
      <c r="AC45" s="89">
        <v>0</v>
      </c>
      <c r="AD45" s="89">
        <v>0</v>
      </c>
      <c r="AE45" s="89">
        <v>0</v>
      </c>
      <c r="AF45" s="73"/>
      <c r="AG45" s="143"/>
      <c r="AH45" s="154"/>
      <c r="AI45" s="10" t="s">
        <v>9</v>
      </c>
      <c r="AJ45" s="88">
        <v>0</v>
      </c>
      <c r="AK45" s="89">
        <v>1</v>
      </c>
      <c r="AL45" s="89">
        <v>2</v>
      </c>
      <c r="AM45" s="89">
        <v>2</v>
      </c>
      <c r="AN45" s="73"/>
      <c r="AO45" s="143"/>
      <c r="AP45" s="154"/>
      <c r="AQ45" s="10" t="s">
        <v>9</v>
      </c>
      <c r="AR45" s="88">
        <v>0</v>
      </c>
      <c r="AS45" s="89">
        <v>0</v>
      </c>
      <c r="AT45" s="89">
        <v>0</v>
      </c>
      <c r="AU45" s="89">
        <v>0</v>
      </c>
      <c r="AV45" s="73"/>
      <c r="AW45" s="143"/>
      <c r="AX45" s="154"/>
      <c r="AY45" s="10" t="s">
        <v>9</v>
      </c>
      <c r="AZ45" s="88">
        <v>0</v>
      </c>
      <c r="BA45" s="89">
        <v>1</v>
      </c>
      <c r="BB45" s="89">
        <v>0</v>
      </c>
      <c r="BC45" s="89">
        <v>0</v>
      </c>
      <c r="BD45" s="73"/>
      <c r="BE45" s="143"/>
      <c r="BF45" s="154"/>
      <c r="BG45" s="10" t="s">
        <v>9</v>
      </c>
      <c r="BH45" s="115">
        <v>0</v>
      </c>
      <c r="BI45" s="115">
        <v>0</v>
      </c>
      <c r="BJ45" s="115">
        <v>0</v>
      </c>
      <c r="BK45" s="115">
        <v>0</v>
      </c>
      <c r="BL45" s="73"/>
      <c r="BM45" s="143"/>
      <c r="BN45" s="154"/>
      <c r="BO45" s="10" t="s">
        <v>9</v>
      </c>
      <c r="BP45" s="122">
        <v>0</v>
      </c>
      <c r="BQ45" s="122">
        <v>0</v>
      </c>
      <c r="BR45" s="122">
        <v>0</v>
      </c>
      <c r="BS45" s="122">
        <v>1</v>
      </c>
      <c r="BT45" s="73"/>
      <c r="BU45" s="143"/>
      <c r="BV45" s="154"/>
      <c r="BW45" s="10" t="s">
        <v>9</v>
      </c>
      <c r="BX45" s="88">
        <v>0</v>
      </c>
      <c r="BY45" s="89">
        <v>0</v>
      </c>
      <c r="BZ45" s="89">
        <v>2</v>
      </c>
      <c r="CA45" s="89">
        <v>2</v>
      </c>
      <c r="CB45" s="73"/>
      <c r="CC45" s="143"/>
      <c r="CD45" s="154"/>
      <c r="CE45" s="10" t="s">
        <v>9</v>
      </c>
      <c r="CF45" s="11">
        <v>0</v>
      </c>
      <c r="CG45" s="11">
        <v>0</v>
      </c>
      <c r="CH45" s="11">
        <v>0</v>
      </c>
      <c r="CI45" s="11">
        <v>0</v>
      </c>
      <c r="CJ45" s="73"/>
      <c r="CK45" s="143"/>
      <c r="CL45" s="154"/>
      <c r="CM45" s="10" t="s">
        <v>9</v>
      </c>
      <c r="CN45" s="11">
        <v>0</v>
      </c>
      <c r="CO45" s="11">
        <v>0</v>
      </c>
      <c r="CP45" s="11">
        <v>0</v>
      </c>
      <c r="CQ45" s="11">
        <v>0</v>
      </c>
      <c r="CR45" s="73"/>
      <c r="CS45" s="143"/>
      <c r="CT45" s="154"/>
      <c r="CU45" s="10" t="s">
        <v>9</v>
      </c>
      <c r="CV45" s="12">
        <f t="shared" si="71"/>
        <v>0</v>
      </c>
      <c r="CW45" s="13">
        <f t="shared" si="72"/>
        <v>3</v>
      </c>
      <c r="CX45" s="13">
        <f t="shared" si="73"/>
        <v>6</v>
      </c>
      <c r="CY45" s="13">
        <f t="shared" si="74"/>
        <v>7</v>
      </c>
    </row>
    <row r="46" spans="1:103" ht="20.100000000000001" customHeight="1" thickBot="1" x14ac:dyDescent="0.3">
      <c r="A46" s="144"/>
      <c r="B46" s="151" t="s">
        <v>14</v>
      </c>
      <c r="C46" s="152"/>
      <c r="D46" s="14">
        <f>SUM(D44:D45)</f>
        <v>0</v>
      </c>
      <c r="E46" s="14">
        <f>SUM(E44:E45)</f>
        <v>4</v>
      </c>
      <c r="F46" s="14">
        <f>SUM(F44:F45)</f>
        <v>3</v>
      </c>
      <c r="G46" s="14">
        <f>SUM(G44:G45)</f>
        <v>6</v>
      </c>
      <c r="H46" s="73"/>
      <c r="I46" s="144"/>
      <c r="J46" s="151" t="s">
        <v>14</v>
      </c>
      <c r="K46" s="152"/>
      <c r="L46" s="14">
        <f>SUM(L44:L45)</f>
        <v>0</v>
      </c>
      <c r="M46" s="14">
        <f>SUM(M44:M45)</f>
        <v>2</v>
      </c>
      <c r="N46" s="14">
        <f>SUM(N44:N45)</f>
        <v>0</v>
      </c>
      <c r="O46" s="14">
        <f>SUM(O44:O45)</f>
        <v>1</v>
      </c>
      <c r="P46" s="73"/>
      <c r="Q46" s="144"/>
      <c r="R46" s="151" t="s">
        <v>14</v>
      </c>
      <c r="S46" s="152"/>
      <c r="T46" s="90">
        <v>0</v>
      </c>
      <c r="U46" s="91">
        <v>0</v>
      </c>
      <c r="V46" s="91">
        <v>0</v>
      </c>
      <c r="W46" s="91">
        <v>0</v>
      </c>
      <c r="X46" s="73"/>
      <c r="Y46" s="144"/>
      <c r="Z46" s="151" t="s">
        <v>14</v>
      </c>
      <c r="AA46" s="152"/>
      <c r="AB46" s="90">
        <v>0</v>
      </c>
      <c r="AC46" s="91">
        <v>0</v>
      </c>
      <c r="AD46" s="91">
        <v>0</v>
      </c>
      <c r="AE46" s="91">
        <v>0</v>
      </c>
      <c r="AF46" s="73"/>
      <c r="AG46" s="144"/>
      <c r="AH46" s="151" t="s">
        <v>14</v>
      </c>
      <c r="AI46" s="152"/>
      <c r="AJ46" s="14">
        <f>SUM(AJ44:AJ45)</f>
        <v>0</v>
      </c>
      <c r="AK46" s="14">
        <f>SUM(AK44:AK45)</f>
        <v>3</v>
      </c>
      <c r="AL46" s="14">
        <f>SUM(AL44:AL45)</f>
        <v>4</v>
      </c>
      <c r="AM46" s="14">
        <f>SUM(AM44:AM45)</f>
        <v>3</v>
      </c>
      <c r="AN46" s="73"/>
      <c r="AO46" s="144"/>
      <c r="AP46" s="151" t="s">
        <v>14</v>
      </c>
      <c r="AQ46" s="152"/>
      <c r="AR46" s="90">
        <v>0</v>
      </c>
      <c r="AS46" s="91">
        <v>0</v>
      </c>
      <c r="AT46" s="91">
        <v>0</v>
      </c>
      <c r="AU46" s="91">
        <v>0</v>
      </c>
      <c r="AV46" s="73"/>
      <c r="AW46" s="144"/>
      <c r="AX46" s="151" t="s">
        <v>14</v>
      </c>
      <c r="AY46" s="152"/>
      <c r="AZ46" s="90">
        <v>0</v>
      </c>
      <c r="BA46" s="91">
        <v>3</v>
      </c>
      <c r="BB46" s="91">
        <v>1</v>
      </c>
      <c r="BC46" s="91">
        <v>1</v>
      </c>
      <c r="BD46" s="73"/>
      <c r="BE46" s="144"/>
      <c r="BF46" s="151" t="s">
        <v>14</v>
      </c>
      <c r="BG46" s="152"/>
      <c r="BH46" s="116">
        <f t="shared" ref="BH46:BK46" si="75">SUM(BH44:BH45)</f>
        <v>0</v>
      </c>
      <c r="BI46" s="116">
        <f t="shared" si="75"/>
        <v>0</v>
      </c>
      <c r="BJ46" s="116">
        <f t="shared" si="75"/>
        <v>0</v>
      </c>
      <c r="BK46" s="116">
        <f t="shared" si="75"/>
        <v>0</v>
      </c>
      <c r="BL46" s="73"/>
      <c r="BM46" s="144"/>
      <c r="BN46" s="151" t="s">
        <v>14</v>
      </c>
      <c r="BO46" s="152"/>
      <c r="BP46" s="123">
        <f t="shared" ref="BP46:BS46" si="76">SUM(BP44:BP45)</f>
        <v>0</v>
      </c>
      <c r="BQ46" s="123">
        <f t="shared" si="76"/>
        <v>1</v>
      </c>
      <c r="BR46" s="123">
        <f t="shared" si="76"/>
        <v>0</v>
      </c>
      <c r="BS46" s="123">
        <f t="shared" si="76"/>
        <v>1</v>
      </c>
      <c r="BT46" s="73"/>
      <c r="BU46" s="144"/>
      <c r="BV46" s="151" t="s">
        <v>14</v>
      </c>
      <c r="BW46" s="152"/>
      <c r="BX46" s="90">
        <v>0</v>
      </c>
      <c r="BY46" s="91">
        <v>4</v>
      </c>
      <c r="BZ46" s="91">
        <v>3</v>
      </c>
      <c r="CA46" s="91">
        <v>6</v>
      </c>
      <c r="CB46" s="73"/>
      <c r="CC46" s="144"/>
      <c r="CD46" s="151" t="s">
        <v>14</v>
      </c>
      <c r="CE46" s="152"/>
      <c r="CF46" s="14">
        <f>SUM(CF44:CF45)</f>
        <v>0</v>
      </c>
      <c r="CG46" s="14">
        <f>SUM(CG44:CG45)</f>
        <v>0</v>
      </c>
      <c r="CH46" s="14">
        <f>SUM(CH44:CH45)</f>
        <v>0</v>
      </c>
      <c r="CI46" s="14">
        <f>SUM(CI44:CI45)</f>
        <v>0</v>
      </c>
      <c r="CJ46" s="73"/>
      <c r="CK46" s="144"/>
      <c r="CL46" s="151" t="s">
        <v>14</v>
      </c>
      <c r="CM46" s="152"/>
      <c r="CN46" s="14">
        <f>SUM(CN44:CN45)</f>
        <v>0</v>
      </c>
      <c r="CO46" s="14">
        <f>SUM(CO44:CO45)</f>
        <v>0</v>
      </c>
      <c r="CP46" s="14">
        <f>SUM(CP44:CP45)</f>
        <v>0</v>
      </c>
      <c r="CQ46" s="14">
        <f>SUM(CQ44:CQ45)</f>
        <v>0</v>
      </c>
      <c r="CR46" s="73"/>
      <c r="CS46" s="144"/>
      <c r="CT46" s="151" t="s">
        <v>14</v>
      </c>
      <c r="CU46" s="152"/>
      <c r="CV46" s="14">
        <f>SUM(CV44:CV45)</f>
        <v>0</v>
      </c>
      <c r="CW46" s="14">
        <f>SUM(CW44:CW45)</f>
        <v>17</v>
      </c>
      <c r="CX46" s="14">
        <f>SUM(CX44:CX45)</f>
        <v>11</v>
      </c>
      <c r="CY46" s="15">
        <f>SUM(CY44:CY45)</f>
        <v>18</v>
      </c>
    </row>
    <row r="47" spans="1:103" ht="20.100000000000001" customHeight="1" thickBot="1" x14ac:dyDescent="0.3">
      <c r="A47" s="17"/>
      <c r="B47" s="149" t="s">
        <v>12</v>
      </c>
      <c r="C47" s="150"/>
      <c r="D47" s="18">
        <f>SUM(D43+D46)</f>
        <v>0</v>
      </c>
      <c r="E47" s="18">
        <f>SUM(E43+E46)</f>
        <v>29</v>
      </c>
      <c r="F47" s="18">
        <f>SUM(F43+F46)</f>
        <v>24</v>
      </c>
      <c r="G47" s="18">
        <f>SUM(G43+G46)</f>
        <v>28</v>
      </c>
      <c r="H47" s="73"/>
      <c r="I47" s="17"/>
      <c r="J47" s="149" t="s">
        <v>12</v>
      </c>
      <c r="K47" s="150"/>
      <c r="L47" s="18">
        <f>SUM(L43+L46)</f>
        <v>0</v>
      </c>
      <c r="M47" s="18">
        <f>SUM(M43+M46)</f>
        <v>91</v>
      </c>
      <c r="N47" s="18">
        <f>SUM(N43+N46)</f>
        <v>54</v>
      </c>
      <c r="O47" s="18">
        <f>SUM(O43+O46)</f>
        <v>31</v>
      </c>
      <c r="P47" s="73"/>
      <c r="Q47" s="17"/>
      <c r="R47" s="149" t="s">
        <v>12</v>
      </c>
      <c r="S47" s="150"/>
      <c r="T47" s="107">
        <v>0</v>
      </c>
      <c r="U47" s="108">
        <v>147</v>
      </c>
      <c r="V47" s="108">
        <v>122</v>
      </c>
      <c r="W47" s="108">
        <v>45</v>
      </c>
      <c r="X47" s="73"/>
      <c r="Y47" s="17"/>
      <c r="Z47" s="149" t="s">
        <v>12</v>
      </c>
      <c r="AA47" s="150"/>
      <c r="AB47" s="107">
        <v>0</v>
      </c>
      <c r="AC47" s="108">
        <v>129</v>
      </c>
      <c r="AD47" s="108">
        <v>100</v>
      </c>
      <c r="AE47" s="108">
        <v>79</v>
      </c>
      <c r="AF47" s="73"/>
      <c r="AG47" s="17"/>
      <c r="AH47" s="149" t="s">
        <v>12</v>
      </c>
      <c r="AI47" s="150"/>
      <c r="AJ47" s="18">
        <f>SUM(AJ43+AJ46)</f>
        <v>0</v>
      </c>
      <c r="AK47" s="18">
        <f>SUM(AK43+AK46)</f>
        <v>72</v>
      </c>
      <c r="AL47" s="18">
        <f>SUM(AL43+AL46)</f>
        <v>67</v>
      </c>
      <c r="AM47" s="18">
        <f>SUM(AM43+AM46)</f>
        <v>70</v>
      </c>
      <c r="AN47" s="73"/>
      <c r="AO47" s="17"/>
      <c r="AP47" s="149" t="s">
        <v>12</v>
      </c>
      <c r="AQ47" s="150"/>
      <c r="AR47" s="107">
        <v>0</v>
      </c>
      <c r="AS47" s="108">
        <v>65</v>
      </c>
      <c r="AT47" s="108">
        <v>65</v>
      </c>
      <c r="AU47" s="108">
        <v>41</v>
      </c>
      <c r="AV47" s="73"/>
      <c r="AW47" s="17"/>
      <c r="AX47" s="149" t="s">
        <v>12</v>
      </c>
      <c r="AY47" s="150"/>
      <c r="AZ47" s="107">
        <v>0</v>
      </c>
      <c r="BA47" s="108">
        <v>35</v>
      </c>
      <c r="BB47" s="108">
        <v>26</v>
      </c>
      <c r="BC47" s="108">
        <v>27</v>
      </c>
      <c r="BD47" s="73"/>
      <c r="BE47" s="17"/>
      <c r="BF47" s="149" t="s">
        <v>12</v>
      </c>
      <c r="BG47" s="150"/>
      <c r="BH47" s="117">
        <f t="shared" ref="BH47:BK47" si="77">SUM(BH43+BH46)</f>
        <v>0</v>
      </c>
      <c r="BI47" s="117">
        <f t="shared" si="77"/>
        <v>65</v>
      </c>
      <c r="BJ47" s="117">
        <f t="shared" si="77"/>
        <v>65</v>
      </c>
      <c r="BK47" s="117">
        <f t="shared" si="77"/>
        <v>41</v>
      </c>
      <c r="BL47" s="73"/>
      <c r="BM47" s="17"/>
      <c r="BN47" s="149" t="s">
        <v>12</v>
      </c>
      <c r="BO47" s="150"/>
      <c r="BP47" s="124">
        <f t="shared" ref="BP47:BS47" si="78">SUM(BP43+BP46)</f>
        <v>0</v>
      </c>
      <c r="BQ47" s="124">
        <f t="shared" si="78"/>
        <v>45</v>
      </c>
      <c r="BR47" s="124">
        <f t="shared" si="78"/>
        <v>41</v>
      </c>
      <c r="BS47" s="124">
        <f t="shared" si="78"/>
        <v>38</v>
      </c>
      <c r="BT47" s="73"/>
      <c r="BU47" s="17"/>
      <c r="BV47" s="149" t="s">
        <v>12</v>
      </c>
      <c r="BW47" s="150"/>
      <c r="BX47" s="107">
        <v>0</v>
      </c>
      <c r="BY47" s="108">
        <v>29</v>
      </c>
      <c r="BZ47" s="108">
        <v>24</v>
      </c>
      <c r="CA47" s="108">
        <v>28</v>
      </c>
      <c r="CB47" s="73"/>
      <c r="CC47" s="17"/>
      <c r="CD47" s="149" t="s">
        <v>12</v>
      </c>
      <c r="CE47" s="150"/>
      <c r="CF47" s="18">
        <f>SUM(CF43+CF46)</f>
        <v>0</v>
      </c>
      <c r="CG47" s="18">
        <f>SUM(CG43+CG46)</f>
        <v>0</v>
      </c>
      <c r="CH47" s="18">
        <f>SUM(CH43+CH46)</f>
        <v>0</v>
      </c>
      <c r="CI47" s="18">
        <f>SUM(CI43+CI46)</f>
        <v>0</v>
      </c>
      <c r="CJ47" s="73"/>
      <c r="CK47" s="17"/>
      <c r="CL47" s="149" t="s">
        <v>12</v>
      </c>
      <c r="CM47" s="150"/>
      <c r="CN47" s="18">
        <f>SUM(CN43+CN46)</f>
        <v>0</v>
      </c>
      <c r="CO47" s="18">
        <f>SUM(CO43+CO46)</f>
        <v>0</v>
      </c>
      <c r="CP47" s="18">
        <f>SUM(CP43+CP46)</f>
        <v>0</v>
      </c>
      <c r="CQ47" s="18">
        <f>SUM(CQ43+CQ46)</f>
        <v>0</v>
      </c>
      <c r="CR47" s="73"/>
      <c r="CS47" s="17"/>
      <c r="CT47" s="149" t="s">
        <v>12</v>
      </c>
      <c r="CU47" s="150"/>
      <c r="CV47" s="18">
        <f>SUM(CV43+CV46)</f>
        <v>0</v>
      </c>
      <c r="CW47" s="18">
        <f>SUM(CW43+CW46)</f>
        <v>707</v>
      </c>
      <c r="CX47" s="18">
        <f>SUM(CX43+CX46)</f>
        <v>588</v>
      </c>
      <c r="CY47" s="23">
        <f>SUM(CY43+CY46)</f>
        <v>428</v>
      </c>
    </row>
    <row r="48" spans="1:103" ht="20.100000000000001" customHeight="1" thickTop="1" thickBot="1" x14ac:dyDescent="0.3">
      <c r="A48" s="142" t="s">
        <v>26</v>
      </c>
      <c r="B48" s="140" t="s">
        <v>3</v>
      </c>
      <c r="C48" s="6" t="s">
        <v>8</v>
      </c>
      <c r="D48" s="86">
        <v>0</v>
      </c>
      <c r="E48" s="87">
        <v>203</v>
      </c>
      <c r="F48" s="87">
        <v>213</v>
      </c>
      <c r="G48" s="87">
        <v>196</v>
      </c>
      <c r="H48" s="73"/>
      <c r="I48" s="142" t="s">
        <v>26</v>
      </c>
      <c r="J48" s="140" t="s">
        <v>3</v>
      </c>
      <c r="K48" s="6" t="s">
        <v>8</v>
      </c>
      <c r="L48" s="86">
        <v>0</v>
      </c>
      <c r="M48" s="87">
        <v>235</v>
      </c>
      <c r="N48" s="87">
        <v>256</v>
      </c>
      <c r="O48" s="87">
        <v>267</v>
      </c>
      <c r="P48" s="73"/>
      <c r="Q48" s="142" t="s">
        <v>26</v>
      </c>
      <c r="R48" s="140" t="s">
        <v>3</v>
      </c>
      <c r="S48" s="6" t="s">
        <v>8</v>
      </c>
      <c r="T48" s="92">
        <v>0</v>
      </c>
      <c r="U48" s="93">
        <v>122</v>
      </c>
      <c r="V48" s="93">
        <v>156</v>
      </c>
      <c r="W48" s="93">
        <v>323</v>
      </c>
      <c r="X48" s="73"/>
      <c r="Y48" s="142" t="s">
        <v>26</v>
      </c>
      <c r="Z48" s="140" t="s">
        <v>3</v>
      </c>
      <c r="AA48" s="6" t="s">
        <v>8</v>
      </c>
      <c r="AB48" s="92">
        <v>0</v>
      </c>
      <c r="AC48" s="93">
        <v>65</v>
      </c>
      <c r="AD48" s="93">
        <v>186</v>
      </c>
      <c r="AE48" s="93">
        <v>115</v>
      </c>
      <c r="AF48" s="73"/>
      <c r="AG48" s="142" t="s">
        <v>26</v>
      </c>
      <c r="AH48" s="140" t="s">
        <v>3</v>
      </c>
      <c r="AI48" s="6" t="s">
        <v>8</v>
      </c>
      <c r="AJ48" s="86">
        <v>0</v>
      </c>
      <c r="AK48" s="87">
        <v>132</v>
      </c>
      <c r="AL48" s="87">
        <v>245</v>
      </c>
      <c r="AM48" s="87">
        <v>231</v>
      </c>
      <c r="AN48" s="73"/>
      <c r="AO48" s="142" t="s">
        <v>26</v>
      </c>
      <c r="AP48" s="140" t="s">
        <v>3</v>
      </c>
      <c r="AQ48" s="6" t="s">
        <v>8</v>
      </c>
      <c r="AR48" s="92">
        <v>0</v>
      </c>
      <c r="AS48" s="93">
        <v>53</v>
      </c>
      <c r="AT48" s="93">
        <v>46</v>
      </c>
      <c r="AU48" s="93">
        <v>65</v>
      </c>
      <c r="AV48" s="73"/>
      <c r="AW48" s="142" t="s">
        <v>26</v>
      </c>
      <c r="AX48" s="140" t="s">
        <v>3</v>
      </c>
      <c r="AY48" s="6" t="s">
        <v>8</v>
      </c>
      <c r="AZ48" s="92">
        <v>0</v>
      </c>
      <c r="BA48" s="93">
        <v>154</v>
      </c>
      <c r="BB48" s="93">
        <v>214</v>
      </c>
      <c r="BC48" s="93">
        <v>245</v>
      </c>
      <c r="BD48" s="73"/>
      <c r="BE48" s="142" t="s">
        <v>26</v>
      </c>
      <c r="BF48" s="140" t="s">
        <v>3</v>
      </c>
      <c r="BG48" s="6" t="s">
        <v>8</v>
      </c>
      <c r="BH48" s="114">
        <v>0</v>
      </c>
      <c r="BI48" s="114">
        <v>53</v>
      </c>
      <c r="BJ48" s="114">
        <v>46</v>
      </c>
      <c r="BK48" s="114">
        <v>65</v>
      </c>
      <c r="BL48" s="73"/>
      <c r="BM48" s="142" t="s">
        <v>26</v>
      </c>
      <c r="BN48" s="140" t="s">
        <v>3</v>
      </c>
      <c r="BO48" s="6" t="s">
        <v>8</v>
      </c>
      <c r="BP48" s="125">
        <v>0</v>
      </c>
      <c r="BQ48" s="125">
        <v>149</v>
      </c>
      <c r="BR48" s="125">
        <v>177</v>
      </c>
      <c r="BS48" s="125">
        <v>229</v>
      </c>
      <c r="BT48" s="73"/>
      <c r="BU48" s="142" t="s">
        <v>26</v>
      </c>
      <c r="BV48" s="140" t="s">
        <v>3</v>
      </c>
      <c r="BW48" s="6" t="s">
        <v>8</v>
      </c>
      <c r="BX48" s="92">
        <v>0</v>
      </c>
      <c r="BY48" s="93">
        <v>203</v>
      </c>
      <c r="BZ48" s="93">
        <v>213</v>
      </c>
      <c r="CA48" s="93">
        <v>196</v>
      </c>
      <c r="CB48" s="73"/>
      <c r="CC48" s="142" t="s">
        <v>26</v>
      </c>
      <c r="CD48" s="140" t="s">
        <v>3</v>
      </c>
      <c r="CE48" s="6" t="s">
        <v>8</v>
      </c>
      <c r="CF48" s="7">
        <v>0</v>
      </c>
      <c r="CG48" s="7">
        <v>0</v>
      </c>
      <c r="CH48" s="7">
        <v>0</v>
      </c>
      <c r="CI48" s="7">
        <v>0</v>
      </c>
      <c r="CJ48" s="73"/>
      <c r="CK48" s="142" t="s">
        <v>26</v>
      </c>
      <c r="CL48" s="140" t="s">
        <v>3</v>
      </c>
      <c r="CM48" s="6" t="s">
        <v>8</v>
      </c>
      <c r="CN48" s="7">
        <v>0</v>
      </c>
      <c r="CO48" s="7">
        <v>0</v>
      </c>
      <c r="CP48" s="7">
        <v>0</v>
      </c>
      <c r="CQ48" s="7">
        <v>0</v>
      </c>
      <c r="CR48" s="73"/>
      <c r="CS48" s="142" t="str">
        <f>(CK48)</f>
        <v>الرغامة</v>
      </c>
      <c r="CT48" s="140" t="s">
        <v>3</v>
      </c>
      <c r="CU48" s="6" t="s">
        <v>8</v>
      </c>
      <c r="CV48" s="8">
        <f t="shared" ref="CV48:CV49" si="79">SUM(D48+L48+T48+AB48+AJ48+AR48+AZ48+BH48+BP48+BX48+CF48+CN48)</f>
        <v>0</v>
      </c>
      <c r="CW48" s="9">
        <f t="shared" ref="CW48:CW49" si="80">SUM(E48+M48+U48+AC48+AK48+AS48+BA48+BI48+BQ48+BY48+CG48+CO48)</f>
        <v>1369</v>
      </c>
      <c r="CX48" s="9">
        <f t="shared" ref="CX48:CX49" si="81">SUM(F48+N48+V48+AD48+AL48+AT48+BB48+BJ48+BR48+BZ48+CH48+CP48)</f>
        <v>1752</v>
      </c>
      <c r="CY48" s="9">
        <f t="shared" ref="CY48:CY49" si="82">SUM(G48+O48+W48+AE48+AM48+AU48+BC48+BK48+BS48+CA48+CI48+CQ48)</f>
        <v>1932</v>
      </c>
    </row>
    <row r="49" spans="1:103" ht="20.100000000000001" customHeight="1" thickBot="1" x14ac:dyDescent="0.3">
      <c r="A49" s="143"/>
      <c r="B49" s="141"/>
      <c r="C49" s="10" t="s">
        <v>9</v>
      </c>
      <c r="D49" s="88">
        <v>0</v>
      </c>
      <c r="E49" s="89">
        <v>197</v>
      </c>
      <c r="F49" s="89">
        <v>245</v>
      </c>
      <c r="G49" s="89">
        <v>206</v>
      </c>
      <c r="H49" s="73"/>
      <c r="I49" s="143"/>
      <c r="J49" s="141"/>
      <c r="K49" s="10" t="s">
        <v>9</v>
      </c>
      <c r="L49" s="88">
        <v>0</v>
      </c>
      <c r="M49" s="89">
        <v>212</v>
      </c>
      <c r="N49" s="89">
        <v>289</v>
      </c>
      <c r="O49" s="89">
        <v>295</v>
      </c>
      <c r="P49" s="73"/>
      <c r="Q49" s="143"/>
      <c r="R49" s="141"/>
      <c r="S49" s="10" t="s">
        <v>9</v>
      </c>
      <c r="T49" s="88">
        <v>0</v>
      </c>
      <c r="U49" s="89">
        <v>89</v>
      </c>
      <c r="V49" s="89">
        <v>212</v>
      </c>
      <c r="W49" s="89">
        <v>211</v>
      </c>
      <c r="X49" s="73"/>
      <c r="Y49" s="143"/>
      <c r="Z49" s="141"/>
      <c r="AA49" s="10" t="s">
        <v>9</v>
      </c>
      <c r="AB49" s="88">
        <v>0</v>
      </c>
      <c r="AC49" s="89">
        <v>96</v>
      </c>
      <c r="AD49" s="89">
        <v>195</v>
      </c>
      <c r="AE49" s="89">
        <v>146</v>
      </c>
      <c r="AF49" s="73"/>
      <c r="AG49" s="143"/>
      <c r="AH49" s="141"/>
      <c r="AI49" s="10" t="s">
        <v>9</v>
      </c>
      <c r="AJ49" s="88">
        <v>0</v>
      </c>
      <c r="AK49" s="89">
        <v>145</v>
      </c>
      <c r="AL49" s="89">
        <v>254</v>
      </c>
      <c r="AM49" s="89">
        <v>256</v>
      </c>
      <c r="AN49" s="73"/>
      <c r="AO49" s="143"/>
      <c r="AP49" s="141"/>
      <c r="AQ49" s="10" t="s">
        <v>9</v>
      </c>
      <c r="AR49" s="88">
        <v>0</v>
      </c>
      <c r="AS49" s="89">
        <v>67</v>
      </c>
      <c r="AT49" s="89">
        <v>55</v>
      </c>
      <c r="AU49" s="89">
        <v>63</v>
      </c>
      <c r="AV49" s="73"/>
      <c r="AW49" s="143"/>
      <c r="AX49" s="141"/>
      <c r="AY49" s="10" t="s">
        <v>9</v>
      </c>
      <c r="AZ49" s="88">
        <v>0</v>
      </c>
      <c r="BA49" s="89">
        <v>123</v>
      </c>
      <c r="BB49" s="89">
        <v>224</v>
      </c>
      <c r="BC49" s="89">
        <v>253</v>
      </c>
      <c r="BD49" s="73"/>
      <c r="BE49" s="143"/>
      <c r="BF49" s="141"/>
      <c r="BG49" s="10" t="s">
        <v>9</v>
      </c>
      <c r="BH49" s="115">
        <v>0</v>
      </c>
      <c r="BI49" s="115">
        <v>67</v>
      </c>
      <c r="BJ49" s="115">
        <v>55</v>
      </c>
      <c r="BK49" s="115">
        <v>63</v>
      </c>
      <c r="BL49" s="73"/>
      <c r="BM49" s="143"/>
      <c r="BN49" s="141"/>
      <c r="BO49" s="10" t="s">
        <v>9</v>
      </c>
      <c r="BP49" s="126">
        <v>0</v>
      </c>
      <c r="BQ49" s="126">
        <v>163</v>
      </c>
      <c r="BR49" s="126">
        <v>145</v>
      </c>
      <c r="BS49" s="126">
        <v>225</v>
      </c>
      <c r="BT49" s="73"/>
      <c r="BU49" s="143"/>
      <c r="BV49" s="141"/>
      <c r="BW49" s="10" t="s">
        <v>9</v>
      </c>
      <c r="BX49" s="88">
        <v>0</v>
      </c>
      <c r="BY49" s="89">
        <v>197</v>
      </c>
      <c r="BZ49" s="89">
        <v>245</v>
      </c>
      <c r="CA49" s="89">
        <v>206</v>
      </c>
      <c r="CB49" s="73"/>
      <c r="CC49" s="143"/>
      <c r="CD49" s="141"/>
      <c r="CE49" s="10" t="s">
        <v>9</v>
      </c>
      <c r="CF49" s="11">
        <v>0</v>
      </c>
      <c r="CG49" s="11">
        <v>0</v>
      </c>
      <c r="CH49" s="11">
        <v>0</v>
      </c>
      <c r="CI49" s="11">
        <v>0</v>
      </c>
      <c r="CJ49" s="73"/>
      <c r="CK49" s="143"/>
      <c r="CL49" s="141"/>
      <c r="CM49" s="10" t="s">
        <v>9</v>
      </c>
      <c r="CN49" s="11">
        <v>0</v>
      </c>
      <c r="CO49" s="11">
        <v>0</v>
      </c>
      <c r="CP49" s="11">
        <v>0</v>
      </c>
      <c r="CQ49" s="11">
        <v>0</v>
      </c>
      <c r="CR49" s="73"/>
      <c r="CS49" s="143"/>
      <c r="CT49" s="141"/>
      <c r="CU49" s="10" t="s">
        <v>9</v>
      </c>
      <c r="CV49" s="12">
        <f t="shared" si="79"/>
        <v>0</v>
      </c>
      <c r="CW49" s="13">
        <f t="shared" si="80"/>
        <v>1356</v>
      </c>
      <c r="CX49" s="13">
        <f t="shared" si="81"/>
        <v>1919</v>
      </c>
      <c r="CY49" s="13">
        <f t="shared" si="82"/>
        <v>1924</v>
      </c>
    </row>
    <row r="50" spans="1:103" ht="20.100000000000001" customHeight="1" thickBot="1" x14ac:dyDescent="0.3">
      <c r="A50" s="143"/>
      <c r="B50" s="145" t="s">
        <v>10</v>
      </c>
      <c r="C50" s="146"/>
      <c r="D50" s="90">
        <v>0</v>
      </c>
      <c r="E50" s="91">
        <v>400</v>
      </c>
      <c r="F50" s="91">
        <v>458</v>
      </c>
      <c r="G50" s="91">
        <v>402</v>
      </c>
      <c r="H50" s="73"/>
      <c r="I50" s="143"/>
      <c r="J50" s="145" t="s">
        <v>10</v>
      </c>
      <c r="K50" s="146"/>
      <c r="L50" s="90">
        <v>0</v>
      </c>
      <c r="M50" s="91">
        <v>447</v>
      </c>
      <c r="N50" s="91">
        <v>545</v>
      </c>
      <c r="O50" s="91">
        <v>562</v>
      </c>
      <c r="P50" s="73"/>
      <c r="Q50" s="143"/>
      <c r="R50" s="145" t="s">
        <v>10</v>
      </c>
      <c r="S50" s="146"/>
      <c r="T50" s="90">
        <v>0</v>
      </c>
      <c r="U50" s="91">
        <v>211</v>
      </c>
      <c r="V50" s="91">
        <v>368</v>
      </c>
      <c r="W50" s="91">
        <v>534</v>
      </c>
      <c r="X50" s="73"/>
      <c r="Y50" s="143"/>
      <c r="Z50" s="145" t="s">
        <v>10</v>
      </c>
      <c r="AA50" s="146"/>
      <c r="AB50" s="90">
        <v>0</v>
      </c>
      <c r="AC50" s="91">
        <v>161</v>
      </c>
      <c r="AD50" s="91">
        <v>381</v>
      </c>
      <c r="AE50" s="91">
        <v>261</v>
      </c>
      <c r="AF50" s="73"/>
      <c r="AG50" s="143"/>
      <c r="AH50" s="145" t="s">
        <v>10</v>
      </c>
      <c r="AI50" s="146"/>
      <c r="AJ50" s="90">
        <v>0</v>
      </c>
      <c r="AK50" s="91">
        <v>277</v>
      </c>
      <c r="AL50" s="91">
        <v>499</v>
      </c>
      <c r="AM50" s="91">
        <v>487</v>
      </c>
      <c r="AN50" s="73"/>
      <c r="AO50" s="143"/>
      <c r="AP50" s="145" t="s">
        <v>10</v>
      </c>
      <c r="AQ50" s="146"/>
      <c r="AR50" s="90">
        <v>0</v>
      </c>
      <c r="AS50" s="91">
        <v>120</v>
      </c>
      <c r="AT50" s="91">
        <v>101</v>
      </c>
      <c r="AU50" s="91">
        <v>128</v>
      </c>
      <c r="AV50" s="73"/>
      <c r="AW50" s="143"/>
      <c r="AX50" s="145" t="s">
        <v>10</v>
      </c>
      <c r="AY50" s="146"/>
      <c r="AZ50" s="90">
        <v>0</v>
      </c>
      <c r="BA50" s="91">
        <v>277</v>
      </c>
      <c r="BB50" s="91">
        <v>438</v>
      </c>
      <c r="BC50" s="91">
        <v>498</v>
      </c>
      <c r="BD50" s="73"/>
      <c r="BE50" s="143"/>
      <c r="BF50" s="145" t="s">
        <v>10</v>
      </c>
      <c r="BG50" s="146"/>
      <c r="BH50" s="116">
        <f t="shared" ref="BH50:BK50" si="83">SUM(BH48:BH49)</f>
        <v>0</v>
      </c>
      <c r="BI50" s="116">
        <f t="shared" si="83"/>
        <v>120</v>
      </c>
      <c r="BJ50" s="116">
        <f t="shared" si="83"/>
        <v>101</v>
      </c>
      <c r="BK50" s="116">
        <f t="shared" si="83"/>
        <v>128</v>
      </c>
      <c r="BL50" s="73"/>
      <c r="BM50" s="143"/>
      <c r="BN50" s="145" t="s">
        <v>10</v>
      </c>
      <c r="BO50" s="146"/>
      <c r="BP50" s="127">
        <f t="shared" ref="BP50:BS50" si="84">SUM(BP48:BP49)</f>
        <v>0</v>
      </c>
      <c r="BQ50" s="127">
        <f t="shared" si="84"/>
        <v>312</v>
      </c>
      <c r="BR50" s="127">
        <f t="shared" si="84"/>
        <v>322</v>
      </c>
      <c r="BS50" s="127">
        <f t="shared" si="84"/>
        <v>454</v>
      </c>
      <c r="BT50" s="73"/>
      <c r="BU50" s="143"/>
      <c r="BV50" s="145" t="s">
        <v>10</v>
      </c>
      <c r="BW50" s="146"/>
      <c r="BX50" s="90">
        <v>0</v>
      </c>
      <c r="BY50" s="91">
        <v>400</v>
      </c>
      <c r="BZ50" s="91">
        <v>458</v>
      </c>
      <c r="CA50" s="91">
        <v>402</v>
      </c>
      <c r="CB50" s="73"/>
      <c r="CC50" s="143"/>
      <c r="CD50" s="145" t="s">
        <v>10</v>
      </c>
      <c r="CE50" s="146"/>
      <c r="CF50" s="14">
        <f>SUM(CF48:CF49)</f>
        <v>0</v>
      </c>
      <c r="CG50" s="14">
        <f>SUM(CG48:CG49)</f>
        <v>0</v>
      </c>
      <c r="CH50" s="14">
        <f>SUM(CH48:CH49)</f>
        <v>0</v>
      </c>
      <c r="CI50" s="14">
        <f>SUM(CI48:CI49)</f>
        <v>0</v>
      </c>
      <c r="CJ50" s="73"/>
      <c r="CK50" s="143"/>
      <c r="CL50" s="145" t="s">
        <v>10</v>
      </c>
      <c r="CM50" s="146"/>
      <c r="CN50" s="14">
        <f>SUM(CN48:CN49)</f>
        <v>0</v>
      </c>
      <c r="CO50" s="14">
        <f>SUM(CO48:CO49)</f>
        <v>0</v>
      </c>
      <c r="CP50" s="14">
        <f>SUM(CP48:CP49)</f>
        <v>0</v>
      </c>
      <c r="CQ50" s="14">
        <f>SUM(CQ48:CQ49)</f>
        <v>0</v>
      </c>
      <c r="CR50" s="73"/>
      <c r="CS50" s="143"/>
      <c r="CT50" s="145" t="s">
        <v>10</v>
      </c>
      <c r="CU50" s="146"/>
      <c r="CV50" s="16">
        <f>SUM(CV48:CV49)</f>
        <v>0</v>
      </c>
      <c r="CW50" s="16">
        <f>SUM(CW48:CW49)</f>
        <v>2725</v>
      </c>
      <c r="CX50" s="16">
        <f>SUM(CX48:CX49)</f>
        <v>3671</v>
      </c>
      <c r="CY50" s="20">
        <f>SUM(CY48:CY49)</f>
        <v>3856</v>
      </c>
    </row>
    <row r="51" spans="1:103" ht="20.100000000000001" customHeight="1" thickBot="1" x14ac:dyDescent="0.3">
      <c r="A51" s="143"/>
      <c r="B51" s="153" t="s">
        <v>11</v>
      </c>
      <c r="C51" s="6" t="s">
        <v>8</v>
      </c>
      <c r="D51" s="92">
        <v>0</v>
      </c>
      <c r="E51" s="93">
        <v>33</v>
      </c>
      <c r="F51" s="93">
        <v>22</v>
      </c>
      <c r="G51" s="93">
        <v>25</v>
      </c>
      <c r="H51" s="73"/>
      <c r="I51" s="143"/>
      <c r="J51" s="153" t="s">
        <v>11</v>
      </c>
      <c r="K51" s="6" t="s">
        <v>8</v>
      </c>
      <c r="L51" s="92">
        <v>0</v>
      </c>
      <c r="M51" s="93">
        <v>9</v>
      </c>
      <c r="N51" s="93">
        <v>22</v>
      </c>
      <c r="O51" s="93">
        <v>16</v>
      </c>
      <c r="P51" s="73"/>
      <c r="Q51" s="143"/>
      <c r="R51" s="153" t="s">
        <v>11</v>
      </c>
      <c r="S51" s="6" t="s">
        <v>8</v>
      </c>
      <c r="T51" s="92">
        <v>0</v>
      </c>
      <c r="U51" s="93">
        <v>2</v>
      </c>
      <c r="V51" s="93">
        <v>6</v>
      </c>
      <c r="W51" s="93">
        <v>12</v>
      </c>
      <c r="X51" s="73"/>
      <c r="Y51" s="143"/>
      <c r="Z51" s="153" t="s">
        <v>11</v>
      </c>
      <c r="AA51" s="6" t="s">
        <v>8</v>
      </c>
      <c r="AB51" s="92">
        <v>0</v>
      </c>
      <c r="AC51" s="93">
        <v>6</v>
      </c>
      <c r="AD51" s="93">
        <v>26</v>
      </c>
      <c r="AE51" s="93">
        <v>33</v>
      </c>
      <c r="AF51" s="73"/>
      <c r="AG51" s="143"/>
      <c r="AH51" s="153" t="s">
        <v>11</v>
      </c>
      <c r="AI51" s="6" t="s">
        <v>8</v>
      </c>
      <c r="AJ51" s="92">
        <v>0</v>
      </c>
      <c r="AK51" s="93">
        <v>34</v>
      </c>
      <c r="AL51" s="93">
        <v>18</v>
      </c>
      <c r="AM51" s="93">
        <v>12</v>
      </c>
      <c r="AN51" s="73"/>
      <c r="AO51" s="143"/>
      <c r="AP51" s="153" t="s">
        <v>11</v>
      </c>
      <c r="AQ51" s="6" t="s">
        <v>8</v>
      </c>
      <c r="AR51" s="92">
        <v>0</v>
      </c>
      <c r="AS51" s="93">
        <v>15</v>
      </c>
      <c r="AT51" s="93">
        <v>22</v>
      </c>
      <c r="AU51" s="93">
        <v>12</v>
      </c>
      <c r="AV51" s="73"/>
      <c r="AW51" s="143"/>
      <c r="AX51" s="153" t="s">
        <v>11</v>
      </c>
      <c r="AY51" s="6" t="s">
        <v>8</v>
      </c>
      <c r="AZ51" s="92">
        <v>0</v>
      </c>
      <c r="BA51" s="93">
        <v>15</v>
      </c>
      <c r="BB51" s="93">
        <v>9</v>
      </c>
      <c r="BC51" s="93">
        <v>22</v>
      </c>
      <c r="BD51" s="73"/>
      <c r="BE51" s="143"/>
      <c r="BF51" s="153" t="s">
        <v>11</v>
      </c>
      <c r="BG51" s="6" t="s">
        <v>8</v>
      </c>
      <c r="BH51" s="114">
        <v>0</v>
      </c>
      <c r="BI51" s="114">
        <v>15</v>
      </c>
      <c r="BJ51" s="114">
        <v>22</v>
      </c>
      <c r="BK51" s="114">
        <v>12</v>
      </c>
      <c r="BL51" s="73"/>
      <c r="BM51" s="143"/>
      <c r="BN51" s="153" t="s">
        <v>11</v>
      </c>
      <c r="BO51" s="6" t="s">
        <v>8</v>
      </c>
      <c r="BP51" s="126">
        <v>0</v>
      </c>
      <c r="BQ51" s="126">
        <v>99</v>
      </c>
      <c r="BR51" s="126">
        <v>74</v>
      </c>
      <c r="BS51" s="126">
        <v>37</v>
      </c>
      <c r="BT51" s="73"/>
      <c r="BU51" s="143"/>
      <c r="BV51" s="153" t="s">
        <v>11</v>
      </c>
      <c r="BW51" s="6" t="s">
        <v>8</v>
      </c>
      <c r="BX51" s="92">
        <v>0</v>
      </c>
      <c r="BY51" s="93">
        <v>33</v>
      </c>
      <c r="BZ51" s="93">
        <v>22</v>
      </c>
      <c r="CA51" s="93">
        <v>25</v>
      </c>
      <c r="CB51" s="73"/>
      <c r="CC51" s="143"/>
      <c r="CD51" s="153" t="s">
        <v>11</v>
      </c>
      <c r="CE51" s="6" t="s">
        <v>8</v>
      </c>
      <c r="CF51" s="7">
        <v>0</v>
      </c>
      <c r="CG51" s="7">
        <v>0</v>
      </c>
      <c r="CH51" s="7">
        <v>0</v>
      </c>
      <c r="CI51" s="7">
        <v>0</v>
      </c>
      <c r="CJ51" s="73"/>
      <c r="CK51" s="143"/>
      <c r="CL51" s="153" t="s">
        <v>11</v>
      </c>
      <c r="CM51" s="6" t="s">
        <v>8</v>
      </c>
      <c r="CN51" s="7">
        <v>0</v>
      </c>
      <c r="CO51" s="7">
        <v>0</v>
      </c>
      <c r="CP51" s="7">
        <v>0</v>
      </c>
      <c r="CQ51" s="7">
        <v>0</v>
      </c>
      <c r="CR51" s="73"/>
      <c r="CS51" s="143"/>
      <c r="CT51" s="153" t="s">
        <v>11</v>
      </c>
      <c r="CU51" s="6" t="s">
        <v>8</v>
      </c>
      <c r="CV51" s="8">
        <f t="shared" ref="CV51:CV52" si="85">SUM(D51+L51+T51+AB51+AJ51+AR51+AZ51+BH51+BP51+BX51+CF51+CN51)</f>
        <v>0</v>
      </c>
      <c r="CW51" s="9">
        <f t="shared" ref="CW51:CW52" si="86">SUM(E51+M51+U51+AC51+AK51+AS51+BA51+BI51+BQ51+BY51+CG51+CO51)</f>
        <v>261</v>
      </c>
      <c r="CX51" s="9">
        <f t="shared" ref="CX51:CX52" si="87">SUM(F51+N51+V51+AD51+AL51+AT51+BB51+BJ51+BR51+BZ51+CH51+CP51)</f>
        <v>243</v>
      </c>
      <c r="CY51" s="9">
        <f t="shared" ref="CY51:CY52" si="88">SUM(G51+O51+W51+AE51+AM51+AU51+BC51+BK51+BS51+CA51+CI51+CQ51)</f>
        <v>206</v>
      </c>
    </row>
    <row r="52" spans="1:103" ht="20.100000000000001" customHeight="1" thickBot="1" x14ac:dyDescent="0.3">
      <c r="A52" s="143"/>
      <c r="B52" s="154"/>
      <c r="C52" s="10" t="s">
        <v>9</v>
      </c>
      <c r="D52" s="88">
        <v>0</v>
      </c>
      <c r="E52" s="89">
        <v>45</v>
      </c>
      <c r="F52" s="89">
        <v>26</v>
      </c>
      <c r="G52" s="89">
        <v>28</v>
      </c>
      <c r="H52" s="73"/>
      <c r="I52" s="143"/>
      <c r="J52" s="154"/>
      <c r="K52" s="10" t="s">
        <v>9</v>
      </c>
      <c r="L52" s="88">
        <v>0</v>
      </c>
      <c r="M52" s="89">
        <v>19</v>
      </c>
      <c r="N52" s="89">
        <v>27</v>
      </c>
      <c r="O52" s="89">
        <v>23</v>
      </c>
      <c r="P52" s="73"/>
      <c r="Q52" s="143"/>
      <c r="R52" s="154"/>
      <c r="S52" s="10" t="s">
        <v>9</v>
      </c>
      <c r="T52" s="88">
        <v>0</v>
      </c>
      <c r="U52" s="89">
        <v>7</v>
      </c>
      <c r="V52" s="89">
        <v>8</v>
      </c>
      <c r="W52" s="89">
        <v>19</v>
      </c>
      <c r="X52" s="73"/>
      <c r="Y52" s="143"/>
      <c r="Z52" s="154"/>
      <c r="AA52" s="10" t="s">
        <v>9</v>
      </c>
      <c r="AB52" s="88">
        <v>0</v>
      </c>
      <c r="AC52" s="89">
        <v>13</v>
      </c>
      <c r="AD52" s="89">
        <v>32</v>
      </c>
      <c r="AE52" s="89">
        <v>24</v>
      </c>
      <c r="AF52" s="73"/>
      <c r="AG52" s="143"/>
      <c r="AH52" s="154"/>
      <c r="AI52" s="10" t="s">
        <v>9</v>
      </c>
      <c r="AJ52" s="88">
        <v>0</v>
      </c>
      <c r="AK52" s="89">
        <v>32</v>
      </c>
      <c r="AL52" s="89">
        <v>32</v>
      </c>
      <c r="AM52" s="89">
        <v>16</v>
      </c>
      <c r="AN52" s="73"/>
      <c r="AO52" s="143"/>
      <c r="AP52" s="154"/>
      <c r="AQ52" s="10" t="s">
        <v>9</v>
      </c>
      <c r="AR52" s="88">
        <v>0</v>
      </c>
      <c r="AS52" s="89">
        <v>18</v>
      </c>
      <c r="AT52" s="89">
        <v>26</v>
      </c>
      <c r="AU52" s="89">
        <v>18</v>
      </c>
      <c r="AV52" s="73"/>
      <c r="AW52" s="143"/>
      <c r="AX52" s="154"/>
      <c r="AY52" s="10" t="s">
        <v>9</v>
      </c>
      <c r="AZ52" s="88">
        <v>0</v>
      </c>
      <c r="BA52" s="89">
        <v>6</v>
      </c>
      <c r="BB52" s="89">
        <v>12</v>
      </c>
      <c r="BC52" s="89">
        <v>18</v>
      </c>
      <c r="BD52" s="73"/>
      <c r="BE52" s="143"/>
      <c r="BF52" s="154"/>
      <c r="BG52" s="10" t="s">
        <v>9</v>
      </c>
      <c r="BH52" s="115">
        <v>0</v>
      </c>
      <c r="BI52" s="115">
        <v>18</v>
      </c>
      <c r="BJ52" s="115">
        <v>26</v>
      </c>
      <c r="BK52" s="115">
        <v>18</v>
      </c>
      <c r="BL52" s="73"/>
      <c r="BM52" s="143"/>
      <c r="BN52" s="154"/>
      <c r="BO52" s="10" t="s">
        <v>9</v>
      </c>
      <c r="BP52" s="125">
        <v>0</v>
      </c>
      <c r="BQ52" s="125">
        <v>94</v>
      </c>
      <c r="BR52" s="125">
        <v>76</v>
      </c>
      <c r="BS52" s="125">
        <v>98</v>
      </c>
      <c r="BT52" s="73"/>
      <c r="BU52" s="143"/>
      <c r="BV52" s="154"/>
      <c r="BW52" s="10" t="s">
        <v>9</v>
      </c>
      <c r="BX52" s="88">
        <v>0</v>
      </c>
      <c r="BY52" s="89">
        <v>45</v>
      </c>
      <c r="BZ52" s="89">
        <v>26</v>
      </c>
      <c r="CA52" s="89">
        <v>28</v>
      </c>
      <c r="CB52" s="73"/>
      <c r="CC52" s="143"/>
      <c r="CD52" s="154"/>
      <c r="CE52" s="10" t="s">
        <v>9</v>
      </c>
      <c r="CF52" s="11">
        <v>0</v>
      </c>
      <c r="CG52" s="11">
        <v>0</v>
      </c>
      <c r="CH52" s="11">
        <v>0</v>
      </c>
      <c r="CI52" s="11">
        <v>0</v>
      </c>
      <c r="CJ52" s="73"/>
      <c r="CK52" s="143"/>
      <c r="CL52" s="154"/>
      <c r="CM52" s="10" t="s">
        <v>9</v>
      </c>
      <c r="CN52" s="11">
        <v>0</v>
      </c>
      <c r="CO52" s="11">
        <v>0</v>
      </c>
      <c r="CP52" s="11">
        <v>0</v>
      </c>
      <c r="CQ52" s="11">
        <v>0</v>
      </c>
      <c r="CR52" s="73"/>
      <c r="CS52" s="143"/>
      <c r="CT52" s="154"/>
      <c r="CU52" s="10" t="s">
        <v>9</v>
      </c>
      <c r="CV52" s="12">
        <f t="shared" si="85"/>
        <v>0</v>
      </c>
      <c r="CW52" s="13">
        <f t="shared" si="86"/>
        <v>297</v>
      </c>
      <c r="CX52" s="13">
        <f t="shared" si="87"/>
        <v>291</v>
      </c>
      <c r="CY52" s="13">
        <f t="shared" si="88"/>
        <v>290</v>
      </c>
    </row>
    <row r="53" spans="1:103" ht="20.100000000000001" customHeight="1" thickBot="1" x14ac:dyDescent="0.3">
      <c r="A53" s="144"/>
      <c r="B53" s="151" t="s">
        <v>14</v>
      </c>
      <c r="C53" s="152"/>
      <c r="D53" s="14">
        <f>SUM(D51:D52)</f>
        <v>0</v>
      </c>
      <c r="E53" s="14">
        <f>SUM(E51:E52)</f>
        <v>78</v>
      </c>
      <c r="F53" s="14">
        <f>SUM(F51:F52)</f>
        <v>48</v>
      </c>
      <c r="G53" s="14">
        <f>SUM(G51:G52)</f>
        <v>53</v>
      </c>
      <c r="H53" s="73"/>
      <c r="I53" s="144"/>
      <c r="J53" s="151" t="s">
        <v>14</v>
      </c>
      <c r="K53" s="152"/>
      <c r="L53" s="14">
        <f>SUM(L51:L52)</f>
        <v>0</v>
      </c>
      <c r="M53" s="14">
        <f>SUM(M51:M52)</f>
        <v>28</v>
      </c>
      <c r="N53" s="14">
        <f>SUM(N51:N52)</f>
        <v>49</v>
      </c>
      <c r="O53" s="14">
        <f>SUM(O51:O52)</f>
        <v>39</v>
      </c>
      <c r="P53" s="73"/>
      <c r="Q53" s="144"/>
      <c r="R53" s="151" t="s">
        <v>14</v>
      </c>
      <c r="S53" s="152"/>
      <c r="T53" s="90">
        <v>0</v>
      </c>
      <c r="U53" s="91">
        <v>9</v>
      </c>
      <c r="V53" s="91">
        <v>14</v>
      </c>
      <c r="W53" s="91">
        <v>31</v>
      </c>
      <c r="X53" s="73"/>
      <c r="Y53" s="144"/>
      <c r="Z53" s="151" t="s">
        <v>14</v>
      </c>
      <c r="AA53" s="152"/>
      <c r="AB53" s="90">
        <v>0</v>
      </c>
      <c r="AC53" s="91">
        <v>19</v>
      </c>
      <c r="AD53" s="91">
        <v>58</v>
      </c>
      <c r="AE53" s="91">
        <v>57</v>
      </c>
      <c r="AF53" s="73"/>
      <c r="AG53" s="144"/>
      <c r="AH53" s="151" t="s">
        <v>14</v>
      </c>
      <c r="AI53" s="152"/>
      <c r="AJ53" s="14">
        <f>SUM(AJ51:AJ52)</f>
        <v>0</v>
      </c>
      <c r="AK53" s="14">
        <f>SUM(AK51:AK52)</f>
        <v>66</v>
      </c>
      <c r="AL53" s="14">
        <f>SUM(AL51:AL52)</f>
        <v>50</v>
      </c>
      <c r="AM53" s="14">
        <f>SUM(AM51:AM52)</f>
        <v>28</v>
      </c>
      <c r="AN53" s="73"/>
      <c r="AO53" s="144"/>
      <c r="AP53" s="151" t="s">
        <v>14</v>
      </c>
      <c r="AQ53" s="152"/>
      <c r="AR53" s="90">
        <v>0</v>
      </c>
      <c r="AS53" s="91">
        <v>33</v>
      </c>
      <c r="AT53" s="91">
        <v>48</v>
      </c>
      <c r="AU53" s="91">
        <v>30</v>
      </c>
      <c r="AV53" s="73"/>
      <c r="AW53" s="144"/>
      <c r="AX53" s="151" t="s">
        <v>14</v>
      </c>
      <c r="AY53" s="152"/>
      <c r="AZ53" s="90">
        <v>0</v>
      </c>
      <c r="BA53" s="91">
        <v>21</v>
      </c>
      <c r="BB53" s="91">
        <v>21</v>
      </c>
      <c r="BC53" s="91">
        <v>40</v>
      </c>
      <c r="BD53" s="73"/>
      <c r="BE53" s="144"/>
      <c r="BF53" s="151" t="s">
        <v>14</v>
      </c>
      <c r="BG53" s="152"/>
      <c r="BH53" s="116">
        <f t="shared" ref="BH53:BK53" si="89">SUM(BH51:BH52)</f>
        <v>0</v>
      </c>
      <c r="BI53" s="116">
        <f t="shared" si="89"/>
        <v>33</v>
      </c>
      <c r="BJ53" s="116">
        <f t="shared" si="89"/>
        <v>48</v>
      </c>
      <c r="BK53" s="116">
        <f t="shared" si="89"/>
        <v>30</v>
      </c>
      <c r="BL53" s="73"/>
      <c r="BM53" s="144"/>
      <c r="BN53" s="151" t="s">
        <v>14</v>
      </c>
      <c r="BO53" s="152"/>
      <c r="BP53" s="128">
        <f t="shared" ref="BP53:BS53" si="90">SUM(BP51:BP52)</f>
        <v>0</v>
      </c>
      <c r="BQ53" s="128">
        <f t="shared" si="90"/>
        <v>193</v>
      </c>
      <c r="BR53" s="128">
        <f t="shared" si="90"/>
        <v>150</v>
      </c>
      <c r="BS53" s="128">
        <f t="shared" si="90"/>
        <v>135</v>
      </c>
      <c r="BT53" s="73"/>
      <c r="BU53" s="144"/>
      <c r="BV53" s="151" t="s">
        <v>14</v>
      </c>
      <c r="BW53" s="152"/>
      <c r="BX53" s="90">
        <v>0</v>
      </c>
      <c r="BY53" s="91">
        <v>78</v>
      </c>
      <c r="BZ53" s="91">
        <v>48</v>
      </c>
      <c r="CA53" s="91">
        <v>53</v>
      </c>
      <c r="CB53" s="73"/>
      <c r="CC53" s="144"/>
      <c r="CD53" s="151" t="s">
        <v>14</v>
      </c>
      <c r="CE53" s="152"/>
      <c r="CF53" s="14">
        <f>SUM(CF51:CF52)</f>
        <v>0</v>
      </c>
      <c r="CG53" s="14">
        <f>SUM(CG51:CG52)</f>
        <v>0</v>
      </c>
      <c r="CH53" s="14">
        <f>SUM(CH51:CH52)</f>
        <v>0</v>
      </c>
      <c r="CI53" s="14">
        <f>SUM(CI51:CI52)</f>
        <v>0</v>
      </c>
      <c r="CJ53" s="73"/>
      <c r="CK53" s="144"/>
      <c r="CL53" s="151" t="s">
        <v>14</v>
      </c>
      <c r="CM53" s="152"/>
      <c r="CN53" s="14">
        <f>SUM(CN51:CN52)</f>
        <v>0</v>
      </c>
      <c r="CO53" s="14">
        <f>SUM(CO51:CO52)</f>
        <v>0</v>
      </c>
      <c r="CP53" s="14">
        <f>SUM(CP51:CP52)</f>
        <v>0</v>
      </c>
      <c r="CQ53" s="14">
        <f>SUM(CQ51:CQ52)</f>
        <v>0</v>
      </c>
      <c r="CR53" s="73"/>
      <c r="CS53" s="144"/>
      <c r="CT53" s="151" t="s">
        <v>14</v>
      </c>
      <c r="CU53" s="152"/>
      <c r="CV53" s="14">
        <f>SUM(CV51:CV52)</f>
        <v>0</v>
      </c>
      <c r="CW53" s="14">
        <f>SUM(CW51:CW52)</f>
        <v>558</v>
      </c>
      <c r="CX53" s="14">
        <f>SUM(CX51:CX52)</f>
        <v>534</v>
      </c>
      <c r="CY53" s="15">
        <f>SUM(CY51:CY52)</f>
        <v>496</v>
      </c>
    </row>
    <row r="54" spans="1:103" ht="20.100000000000001" customHeight="1" thickBot="1" x14ac:dyDescent="0.3">
      <c r="A54" s="17"/>
      <c r="B54" s="149" t="s">
        <v>12</v>
      </c>
      <c r="C54" s="150"/>
      <c r="D54" s="18">
        <f>SUM(D50+D53)</f>
        <v>0</v>
      </c>
      <c r="E54" s="18">
        <f>SUM(E50+E53)</f>
        <v>478</v>
      </c>
      <c r="F54" s="18">
        <f>SUM(F50+F53)</f>
        <v>506</v>
      </c>
      <c r="G54" s="18">
        <f>SUM(G50+G53)</f>
        <v>455</v>
      </c>
      <c r="H54" s="73"/>
      <c r="I54" s="17"/>
      <c r="J54" s="149" t="s">
        <v>12</v>
      </c>
      <c r="K54" s="150"/>
      <c r="L54" s="18">
        <f>SUM(L50+L53)</f>
        <v>0</v>
      </c>
      <c r="M54" s="18">
        <f>SUM(M50+M53)</f>
        <v>475</v>
      </c>
      <c r="N54" s="18">
        <f>SUM(N50+N53)</f>
        <v>594</v>
      </c>
      <c r="O54" s="18">
        <f>SUM(O50+O53)</f>
        <v>601</v>
      </c>
      <c r="P54" s="73"/>
      <c r="Q54" s="17"/>
      <c r="R54" s="149" t="s">
        <v>12</v>
      </c>
      <c r="S54" s="150"/>
      <c r="T54" s="107">
        <v>0</v>
      </c>
      <c r="U54" s="108">
        <v>220</v>
      </c>
      <c r="V54" s="108">
        <v>382</v>
      </c>
      <c r="W54" s="108">
        <v>565</v>
      </c>
      <c r="X54" s="73"/>
      <c r="Y54" s="17"/>
      <c r="Z54" s="149" t="s">
        <v>12</v>
      </c>
      <c r="AA54" s="150"/>
      <c r="AB54" s="107">
        <v>0</v>
      </c>
      <c r="AC54" s="108">
        <v>180</v>
      </c>
      <c r="AD54" s="108">
        <v>439</v>
      </c>
      <c r="AE54" s="108">
        <v>318</v>
      </c>
      <c r="AF54" s="73"/>
      <c r="AG54" s="17"/>
      <c r="AH54" s="149" t="s">
        <v>12</v>
      </c>
      <c r="AI54" s="150"/>
      <c r="AJ54" s="18">
        <f>SUM(AJ50+AJ53)</f>
        <v>0</v>
      </c>
      <c r="AK54" s="18">
        <f>SUM(AK50+AK53)</f>
        <v>343</v>
      </c>
      <c r="AL54" s="18">
        <f>SUM(AL50+AL53)</f>
        <v>549</v>
      </c>
      <c r="AM54" s="18">
        <f>SUM(AM50+AM53)</f>
        <v>515</v>
      </c>
      <c r="AN54" s="73"/>
      <c r="AO54" s="17"/>
      <c r="AP54" s="149" t="s">
        <v>12</v>
      </c>
      <c r="AQ54" s="150"/>
      <c r="AR54" s="107">
        <v>0</v>
      </c>
      <c r="AS54" s="108">
        <v>153</v>
      </c>
      <c r="AT54" s="108">
        <v>149</v>
      </c>
      <c r="AU54" s="108">
        <v>158</v>
      </c>
      <c r="AV54" s="73"/>
      <c r="AW54" s="17"/>
      <c r="AX54" s="149" t="s">
        <v>12</v>
      </c>
      <c r="AY54" s="150"/>
      <c r="AZ54" s="107">
        <v>0</v>
      </c>
      <c r="BA54" s="108">
        <v>298</v>
      </c>
      <c r="BB54" s="108">
        <v>459</v>
      </c>
      <c r="BC54" s="108">
        <v>538</v>
      </c>
      <c r="BD54" s="73"/>
      <c r="BE54" s="17"/>
      <c r="BF54" s="149" t="s">
        <v>12</v>
      </c>
      <c r="BG54" s="150"/>
      <c r="BH54" s="117">
        <f t="shared" ref="BH54:BK54" si="91">SUM(BH50+BH53)</f>
        <v>0</v>
      </c>
      <c r="BI54" s="117">
        <f t="shared" si="91"/>
        <v>153</v>
      </c>
      <c r="BJ54" s="117">
        <f t="shared" si="91"/>
        <v>149</v>
      </c>
      <c r="BK54" s="117">
        <f t="shared" si="91"/>
        <v>158</v>
      </c>
      <c r="BL54" s="73"/>
      <c r="BM54" s="17"/>
      <c r="BN54" s="149" t="s">
        <v>12</v>
      </c>
      <c r="BO54" s="150"/>
      <c r="BP54" s="124">
        <f t="shared" ref="BP54:BS54" si="92">SUM(BP50+BP53)</f>
        <v>0</v>
      </c>
      <c r="BQ54" s="124">
        <f t="shared" si="92"/>
        <v>505</v>
      </c>
      <c r="BR54" s="124">
        <f t="shared" si="92"/>
        <v>472</v>
      </c>
      <c r="BS54" s="124">
        <f t="shared" si="92"/>
        <v>589</v>
      </c>
      <c r="BT54" s="73"/>
      <c r="BU54" s="17"/>
      <c r="BV54" s="149" t="s">
        <v>12</v>
      </c>
      <c r="BW54" s="150"/>
      <c r="BX54" s="107">
        <v>0</v>
      </c>
      <c r="BY54" s="108">
        <v>478</v>
      </c>
      <c r="BZ54" s="108">
        <v>506</v>
      </c>
      <c r="CA54" s="108">
        <v>455</v>
      </c>
      <c r="CB54" s="73"/>
      <c r="CC54" s="17"/>
      <c r="CD54" s="149" t="s">
        <v>12</v>
      </c>
      <c r="CE54" s="150"/>
      <c r="CF54" s="18">
        <f>SUM(CF50+CF53)</f>
        <v>0</v>
      </c>
      <c r="CG54" s="18">
        <f>SUM(CG50+CG53)</f>
        <v>0</v>
      </c>
      <c r="CH54" s="18">
        <f>SUM(CH50+CH53)</f>
        <v>0</v>
      </c>
      <c r="CI54" s="18">
        <f>SUM(CI50+CI53)</f>
        <v>0</v>
      </c>
      <c r="CJ54" s="73"/>
      <c r="CK54" s="17"/>
      <c r="CL54" s="149" t="s">
        <v>12</v>
      </c>
      <c r="CM54" s="150"/>
      <c r="CN54" s="18">
        <f>SUM(CN50+CN53)</f>
        <v>0</v>
      </c>
      <c r="CO54" s="18">
        <f>SUM(CO50+CO53)</f>
        <v>0</v>
      </c>
      <c r="CP54" s="18">
        <f>SUM(CP50+CP53)</f>
        <v>0</v>
      </c>
      <c r="CQ54" s="18">
        <f>SUM(CQ50+CQ53)</f>
        <v>0</v>
      </c>
      <c r="CR54" s="73"/>
      <c r="CS54" s="17"/>
      <c r="CT54" s="149" t="s">
        <v>12</v>
      </c>
      <c r="CU54" s="150"/>
      <c r="CV54" s="18">
        <f>SUM(CV50+CV53)</f>
        <v>0</v>
      </c>
      <c r="CW54" s="18">
        <f>SUM(CW50+CW53)</f>
        <v>3283</v>
      </c>
      <c r="CX54" s="18">
        <f>SUM(CX50+CX53)</f>
        <v>4205</v>
      </c>
      <c r="CY54" s="23">
        <f>SUM(CY50+CY53)</f>
        <v>4352</v>
      </c>
    </row>
    <row r="55" spans="1:103" ht="20.100000000000001" customHeight="1" thickTop="1" thickBot="1" x14ac:dyDescent="0.3">
      <c r="A55" s="142" t="s">
        <v>30</v>
      </c>
      <c r="B55" s="140" t="s">
        <v>3</v>
      </c>
      <c r="C55" s="6" t="s">
        <v>8</v>
      </c>
      <c r="D55" s="100">
        <v>0</v>
      </c>
      <c r="E55" s="95">
        <v>72</v>
      </c>
      <c r="F55" s="95">
        <v>67</v>
      </c>
      <c r="G55" s="95">
        <v>111</v>
      </c>
      <c r="H55" s="73"/>
      <c r="I55" s="142" t="s">
        <v>30</v>
      </c>
      <c r="J55" s="140" t="s">
        <v>3</v>
      </c>
      <c r="K55" s="6" t="s">
        <v>8</v>
      </c>
      <c r="L55" s="100">
        <v>0</v>
      </c>
      <c r="M55" s="95">
        <v>72</v>
      </c>
      <c r="N55" s="95">
        <v>67</v>
      </c>
      <c r="O55" s="95">
        <v>111</v>
      </c>
      <c r="P55" s="73"/>
      <c r="Q55" s="142" t="s">
        <v>30</v>
      </c>
      <c r="R55" s="140" t="s">
        <v>3</v>
      </c>
      <c r="S55" s="6" t="s">
        <v>8</v>
      </c>
      <c r="T55" s="92">
        <v>0</v>
      </c>
      <c r="U55" s="93">
        <v>189</v>
      </c>
      <c r="V55" s="93">
        <v>339</v>
      </c>
      <c r="W55" s="93">
        <v>108</v>
      </c>
      <c r="X55" s="73"/>
      <c r="Y55" s="142" t="s">
        <v>30</v>
      </c>
      <c r="Z55" s="140" t="s">
        <v>3</v>
      </c>
      <c r="AA55" s="6" t="s">
        <v>8</v>
      </c>
      <c r="AB55" s="104">
        <v>1</v>
      </c>
      <c r="AC55" s="99">
        <v>110</v>
      </c>
      <c r="AD55" s="99">
        <v>169</v>
      </c>
      <c r="AE55" s="99">
        <v>187</v>
      </c>
      <c r="AF55" s="73"/>
      <c r="AG55" s="142" t="s">
        <v>30</v>
      </c>
      <c r="AH55" s="140" t="s">
        <v>3</v>
      </c>
      <c r="AI55" s="6" t="s">
        <v>8</v>
      </c>
      <c r="AJ55" s="86">
        <v>0</v>
      </c>
      <c r="AK55" s="87">
        <v>156</v>
      </c>
      <c r="AL55" s="87">
        <v>254</v>
      </c>
      <c r="AM55" s="87">
        <v>231</v>
      </c>
      <c r="AN55" s="73"/>
      <c r="AO55" s="142" t="s">
        <v>30</v>
      </c>
      <c r="AP55" s="140" t="s">
        <v>3</v>
      </c>
      <c r="AQ55" s="6" t="s">
        <v>8</v>
      </c>
      <c r="AR55" s="92">
        <v>2</v>
      </c>
      <c r="AS55" s="93">
        <v>142</v>
      </c>
      <c r="AT55" s="93">
        <v>45</v>
      </c>
      <c r="AU55" s="93">
        <v>62</v>
      </c>
      <c r="AV55" s="73"/>
      <c r="AW55" s="142" t="s">
        <v>30</v>
      </c>
      <c r="AX55" s="140" t="s">
        <v>3</v>
      </c>
      <c r="AY55" s="6" t="s">
        <v>8</v>
      </c>
      <c r="AZ55" s="92">
        <v>194</v>
      </c>
      <c r="BA55" s="93">
        <v>100</v>
      </c>
      <c r="BB55" s="93">
        <v>102</v>
      </c>
      <c r="BC55" s="93">
        <v>196</v>
      </c>
      <c r="BD55" s="73"/>
      <c r="BE55" s="142" t="s">
        <v>30</v>
      </c>
      <c r="BF55" s="140" t="s">
        <v>3</v>
      </c>
      <c r="BG55" s="6" t="s">
        <v>8</v>
      </c>
      <c r="BH55" s="118">
        <v>2</v>
      </c>
      <c r="BI55" s="119">
        <v>142</v>
      </c>
      <c r="BJ55" s="119">
        <v>45</v>
      </c>
      <c r="BK55" s="119">
        <v>62</v>
      </c>
      <c r="BL55" s="73"/>
      <c r="BM55" s="142" t="s">
        <v>30</v>
      </c>
      <c r="BN55" s="140" t="s">
        <v>3</v>
      </c>
      <c r="BO55" s="6" t="s">
        <v>8</v>
      </c>
      <c r="BP55" s="114">
        <v>0</v>
      </c>
      <c r="BQ55" s="114">
        <v>93</v>
      </c>
      <c r="BR55" s="114">
        <v>42</v>
      </c>
      <c r="BS55" s="114">
        <v>73</v>
      </c>
      <c r="BT55" s="73"/>
      <c r="BU55" s="142" t="s">
        <v>30</v>
      </c>
      <c r="BV55" s="140" t="s">
        <v>3</v>
      </c>
      <c r="BW55" s="6" t="s">
        <v>8</v>
      </c>
      <c r="BX55" s="104">
        <v>0</v>
      </c>
      <c r="BY55" s="99">
        <v>72</v>
      </c>
      <c r="BZ55" s="99">
        <v>67</v>
      </c>
      <c r="CA55" s="99">
        <v>111</v>
      </c>
      <c r="CB55" s="73"/>
      <c r="CC55" s="142" t="s">
        <v>30</v>
      </c>
      <c r="CD55" s="140" t="s">
        <v>3</v>
      </c>
      <c r="CE55" s="6" t="s">
        <v>8</v>
      </c>
      <c r="CF55" s="7">
        <v>0</v>
      </c>
      <c r="CG55" s="7">
        <v>0</v>
      </c>
      <c r="CH55" s="7">
        <v>0</v>
      </c>
      <c r="CI55" s="7">
        <v>0</v>
      </c>
      <c r="CJ55" s="73"/>
      <c r="CK55" s="142" t="s">
        <v>30</v>
      </c>
      <c r="CL55" s="140" t="s">
        <v>3</v>
      </c>
      <c r="CM55" s="6" t="s">
        <v>8</v>
      </c>
      <c r="CN55" s="7">
        <v>0</v>
      </c>
      <c r="CO55" s="7">
        <v>0</v>
      </c>
      <c r="CP55" s="7">
        <v>0</v>
      </c>
      <c r="CQ55" s="7">
        <v>0</v>
      </c>
      <c r="CR55" s="73"/>
      <c r="CS55" s="142" t="str">
        <f>(CK55)</f>
        <v>الواحة</v>
      </c>
      <c r="CT55" s="140" t="s">
        <v>3</v>
      </c>
      <c r="CU55" s="6" t="s">
        <v>8</v>
      </c>
      <c r="CV55" s="8">
        <f t="shared" ref="CV55:CV56" si="93">SUM(D55+L55+T55+AB55+AJ55+AR55+AZ55+BH55+BP55+BX55+CF55+CN55)</f>
        <v>199</v>
      </c>
      <c r="CW55" s="9">
        <f t="shared" ref="CW55:CW56" si="94">SUM(E55+M55+U55+AC55+AK55+AS55+BA55+BI55+BQ55+BY55+CG55+CO55)</f>
        <v>1148</v>
      </c>
      <c r="CX55" s="9">
        <f t="shared" ref="CX55:CX56" si="95">SUM(F55+N55+V55+AD55+AL55+AT55+BB55+BJ55+BR55+BZ55+CH55+CP55)</f>
        <v>1197</v>
      </c>
      <c r="CY55" s="9">
        <f t="shared" ref="CY55:CY56" si="96">SUM(G55+O55+W55+AE55+AM55+AU55+BC55+BK55+BS55+CA55+CI55+CQ55)</f>
        <v>1252</v>
      </c>
    </row>
    <row r="56" spans="1:103" ht="20.100000000000001" customHeight="1" thickBot="1" x14ac:dyDescent="0.3">
      <c r="A56" s="143"/>
      <c r="B56" s="141"/>
      <c r="C56" s="10" t="s">
        <v>9</v>
      </c>
      <c r="D56" s="101">
        <v>0</v>
      </c>
      <c r="E56" s="97">
        <v>79</v>
      </c>
      <c r="F56" s="97">
        <v>45</v>
      </c>
      <c r="G56" s="97">
        <v>121</v>
      </c>
      <c r="H56" s="73"/>
      <c r="I56" s="143"/>
      <c r="J56" s="141"/>
      <c r="K56" s="10" t="s">
        <v>9</v>
      </c>
      <c r="L56" s="101">
        <v>0</v>
      </c>
      <c r="M56" s="97">
        <v>79</v>
      </c>
      <c r="N56" s="97">
        <v>45</v>
      </c>
      <c r="O56" s="97">
        <v>121</v>
      </c>
      <c r="P56" s="73"/>
      <c r="Q56" s="143"/>
      <c r="R56" s="141"/>
      <c r="S56" s="10" t="s">
        <v>9</v>
      </c>
      <c r="T56" s="88">
        <v>0</v>
      </c>
      <c r="U56" s="89">
        <v>195</v>
      </c>
      <c r="V56" s="89">
        <v>315</v>
      </c>
      <c r="W56" s="89">
        <v>95</v>
      </c>
      <c r="X56" s="73"/>
      <c r="Y56" s="143"/>
      <c r="Z56" s="141"/>
      <c r="AA56" s="10" t="s">
        <v>9</v>
      </c>
      <c r="AB56" s="101">
        <v>1</v>
      </c>
      <c r="AC56" s="97">
        <v>98</v>
      </c>
      <c r="AD56" s="97">
        <v>178</v>
      </c>
      <c r="AE56" s="97">
        <v>178</v>
      </c>
      <c r="AF56" s="73"/>
      <c r="AG56" s="143"/>
      <c r="AH56" s="141"/>
      <c r="AI56" s="10" t="s">
        <v>9</v>
      </c>
      <c r="AJ56" s="88">
        <v>0</v>
      </c>
      <c r="AK56" s="89">
        <v>175</v>
      </c>
      <c r="AL56" s="89">
        <v>245</v>
      </c>
      <c r="AM56" s="89">
        <v>214</v>
      </c>
      <c r="AN56" s="73"/>
      <c r="AO56" s="143"/>
      <c r="AP56" s="141"/>
      <c r="AQ56" s="10" t="s">
        <v>9</v>
      </c>
      <c r="AR56" s="88">
        <v>1</v>
      </c>
      <c r="AS56" s="89">
        <v>123</v>
      </c>
      <c r="AT56" s="89">
        <v>65</v>
      </c>
      <c r="AU56" s="89">
        <v>61</v>
      </c>
      <c r="AV56" s="73"/>
      <c r="AW56" s="143"/>
      <c r="AX56" s="141"/>
      <c r="AY56" s="10" t="s">
        <v>9</v>
      </c>
      <c r="AZ56" s="88">
        <v>49</v>
      </c>
      <c r="BA56" s="89">
        <v>87</v>
      </c>
      <c r="BB56" s="89">
        <v>76</v>
      </c>
      <c r="BC56" s="89">
        <v>206</v>
      </c>
      <c r="BD56" s="73"/>
      <c r="BE56" s="143"/>
      <c r="BF56" s="141"/>
      <c r="BG56" s="10" t="s">
        <v>9</v>
      </c>
      <c r="BH56" s="120">
        <v>1</v>
      </c>
      <c r="BI56" s="121">
        <v>123</v>
      </c>
      <c r="BJ56" s="121">
        <v>65</v>
      </c>
      <c r="BK56" s="121">
        <v>61</v>
      </c>
      <c r="BL56" s="73"/>
      <c r="BM56" s="143"/>
      <c r="BN56" s="141"/>
      <c r="BO56" s="10" t="s">
        <v>9</v>
      </c>
      <c r="BP56" s="115">
        <v>0</v>
      </c>
      <c r="BQ56" s="115">
        <v>69</v>
      </c>
      <c r="BR56" s="115">
        <v>37</v>
      </c>
      <c r="BS56" s="115">
        <v>66</v>
      </c>
      <c r="BT56" s="73"/>
      <c r="BU56" s="143"/>
      <c r="BV56" s="141"/>
      <c r="BW56" s="10" t="s">
        <v>9</v>
      </c>
      <c r="BX56" s="101">
        <v>0</v>
      </c>
      <c r="BY56" s="97">
        <v>79</v>
      </c>
      <c r="BZ56" s="97">
        <v>45</v>
      </c>
      <c r="CA56" s="97">
        <v>121</v>
      </c>
      <c r="CB56" s="73"/>
      <c r="CC56" s="143"/>
      <c r="CD56" s="141"/>
      <c r="CE56" s="10" t="s">
        <v>9</v>
      </c>
      <c r="CF56" s="11">
        <v>0</v>
      </c>
      <c r="CG56" s="11">
        <v>0</v>
      </c>
      <c r="CH56" s="11">
        <v>0</v>
      </c>
      <c r="CI56" s="11">
        <v>0</v>
      </c>
      <c r="CJ56" s="73"/>
      <c r="CK56" s="143"/>
      <c r="CL56" s="141"/>
      <c r="CM56" s="10" t="s">
        <v>9</v>
      </c>
      <c r="CN56" s="11">
        <v>0</v>
      </c>
      <c r="CO56" s="11">
        <v>0</v>
      </c>
      <c r="CP56" s="11">
        <v>0</v>
      </c>
      <c r="CQ56" s="11">
        <v>0</v>
      </c>
      <c r="CR56" s="73"/>
      <c r="CS56" s="143"/>
      <c r="CT56" s="141"/>
      <c r="CU56" s="10" t="s">
        <v>9</v>
      </c>
      <c r="CV56" s="12">
        <f t="shared" si="93"/>
        <v>52</v>
      </c>
      <c r="CW56" s="13">
        <f t="shared" si="94"/>
        <v>1107</v>
      </c>
      <c r="CX56" s="13">
        <f t="shared" si="95"/>
        <v>1116</v>
      </c>
      <c r="CY56" s="13">
        <f t="shared" si="96"/>
        <v>1244</v>
      </c>
    </row>
    <row r="57" spans="1:103" ht="20.100000000000001" customHeight="1" thickBot="1" x14ac:dyDescent="0.3">
      <c r="A57" s="143"/>
      <c r="B57" s="145" t="s">
        <v>10</v>
      </c>
      <c r="C57" s="146"/>
      <c r="D57" s="102">
        <v>0</v>
      </c>
      <c r="E57" s="103">
        <v>151</v>
      </c>
      <c r="F57" s="103">
        <v>112</v>
      </c>
      <c r="G57" s="103">
        <v>232</v>
      </c>
      <c r="H57" s="73"/>
      <c r="I57" s="143"/>
      <c r="J57" s="145" t="s">
        <v>10</v>
      </c>
      <c r="K57" s="146"/>
      <c r="L57" s="102">
        <v>0</v>
      </c>
      <c r="M57" s="103">
        <v>151</v>
      </c>
      <c r="N57" s="103">
        <v>112</v>
      </c>
      <c r="O57" s="103">
        <v>232</v>
      </c>
      <c r="P57" s="73"/>
      <c r="Q57" s="143"/>
      <c r="R57" s="145" t="s">
        <v>10</v>
      </c>
      <c r="S57" s="146"/>
      <c r="T57" s="90">
        <v>0</v>
      </c>
      <c r="U57" s="91">
        <v>384</v>
      </c>
      <c r="V57" s="91">
        <v>654</v>
      </c>
      <c r="W57" s="91">
        <v>203</v>
      </c>
      <c r="X57" s="73"/>
      <c r="Y57" s="143"/>
      <c r="Z57" s="145" t="s">
        <v>10</v>
      </c>
      <c r="AA57" s="146"/>
      <c r="AB57" s="102">
        <v>2</v>
      </c>
      <c r="AC57" s="103">
        <v>208</v>
      </c>
      <c r="AD57" s="103">
        <v>347</v>
      </c>
      <c r="AE57" s="103">
        <v>365</v>
      </c>
      <c r="AF57" s="73"/>
      <c r="AG57" s="143"/>
      <c r="AH57" s="145" t="s">
        <v>10</v>
      </c>
      <c r="AI57" s="146"/>
      <c r="AJ57" s="90">
        <v>0</v>
      </c>
      <c r="AK57" s="91">
        <v>331</v>
      </c>
      <c r="AL57" s="91">
        <v>499</v>
      </c>
      <c r="AM57" s="91">
        <v>445</v>
      </c>
      <c r="AN57" s="73"/>
      <c r="AO57" s="143"/>
      <c r="AP57" s="145" t="s">
        <v>10</v>
      </c>
      <c r="AQ57" s="146"/>
      <c r="AR57" s="90">
        <v>3</v>
      </c>
      <c r="AS57" s="91">
        <v>265</v>
      </c>
      <c r="AT57" s="91">
        <v>110</v>
      </c>
      <c r="AU57" s="91">
        <v>123</v>
      </c>
      <c r="AV57" s="73"/>
      <c r="AW57" s="143"/>
      <c r="AX57" s="145" t="s">
        <v>10</v>
      </c>
      <c r="AY57" s="146"/>
      <c r="AZ57" s="90">
        <v>243</v>
      </c>
      <c r="BA57" s="91">
        <v>187</v>
      </c>
      <c r="BB57" s="91">
        <v>178</v>
      </c>
      <c r="BC57" s="91">
        <v>402</v>
      </c>
      <c r="BD57" s="73"/>
      <c r="BE57" s="143"/>
      <c r="BF57" s="145" t="s">
        <v>10</v>
      </c>
      <c r="BG57" s="146"/>
      <c r="BH57" s="116">
        <f t="shared" ref="BH57:BK57" si="97">SUM(BH55:BH56)</f>
        <v>3</v>
      </c>
      <c r="BI57" s="116">
        <f t="shared" si="97"/>
        <v>265</v>
      </c>
      <c r="BJ57" s="116">
        <f t="shared" si="97"/>
        <v>110</v>
      </c>
      <c r="BK57" s="116">
        <f t="shared" si="97"/>
        <v>123</v>
      </c>
      <c r="BL57" s="73"/>
      <c r="BM57" s="143"/>
      <c r="BN57" s="145" t="s">
        <v>10</v>
      </c>
      <c r="BO57" s="146"/>
      <c r="BP57" s="116">
        <f t="shared" ref="BP57:BS57" si="98">SUM(BP55:BP56)</f>
        <v>0</v>
      </c>
      <c r="BQ57" s="116">
        <f t="shared" si="98"/>
        <v>162</v>
      </c>
      <c r="BR57" s="116">
        <f t="shared" si="98"/>
        <v>79</v>
      </c>
      <c r="BS57" s="116">
        <f t="shared" si="98"/>
        <v>139</v>
      </c>
      <c r="BT57" s="73"/>
      <c r="BU57" s="143"/>
      <c r="BV57" s="145" t="s">
        <v>10</v>
      </c>
      <c r="BW57" s="146"/>
      <c r="BX57" s="102">
        <v>0</v>
      </c>
      <c r="BY57" s="103">
        <v>151</v>
      </c>
      <c r="BZ57" s="103">
        <v>112</v>
      </c>
      <c r="CA57" s="103">
        <v>232</v>
      </c>
      <c r="CB57" s="73"/>
      <c r="CC57" s="143"/>
      <c r="CD57" s="145" t="s">
        <v>10</v>
      </c>
      <c r="CE57" s="146"/>
      <c r="CF57" s="14">
        <f>SUM(CF55:CF56)</f>
        <v>0</v>
      </c>
      <c r="CG57" s="14">
        <f>SUM(CG55:CG56)</f>
        <v>0</v>
      </c>
      <c r="CH57" s="14">
        <f>SUM(CH55:CH56)</f>
        <v>0</v>
      </c>
      <c r="CI57" s="14">
        <f>SUM(CI55:CI56)</f>
        <v>0</v>
      </c>
      <c r="CJ57" s="73"/>
      <c r="CK57" s="143"/>
      <c r="CL57" s="145" t="s">
        <v>10</v>
      </c>
      <c r="CM57" s="146"/>
      <c r="CN57" s="14">
        <f>SUM(CN55:CN56)</f>
        <v>0</v>
      </c>
      <c r="CO57" s="14">
        <f>SUM(CO55:CO56)</f>
        <v>0</v>
      </c>
      <c r="CP57" s="14">
        <f>SUM(CP55:CP56)</f>
        <v>0</v>
      </c>
      <c r="CQ57" s="14">
        <f>SUM(CQ55:CQ56)</f>
        <v>0</v>
      </c>
      <c r="CR57" s="73"/>
      <c r="CS57" s="143"/>
      <c r="CT57" s="145" t="s">
        <v>10</v>
      </c>
      <c r="CU57" s="146"/>
      <c r="CV57" s="16">
        <f>SUM(CV55:CV56)</f>
        <v>251</v>
      </c>
      <c r="CW57" s="16">
        <f>SUM(CW55:CW56)</f>
        <v>2255</v>
      </c>
      <c r="CX57" s="16">
        <f>SUM(CX55:CX56)</f>
        <v>2313</v>
      </c>
      <c r="CY57" s="20">
        <f>SUM(CY55:CY56)</f>
        <v>2496</v>
      </c>
    </row>
    <row r="58" spans="1:103" ht="20.100000000000001" customHeight="1" thickTop="1" thickBot="1" x14ac:dyDescent="0.3">
      <c r="A58" s="143"/>
      <c r="B58" s="153" t="s">
        <v>11</v>
      </c>
      <c r="C58" s="6" t="s">
        <v>8</v>
      </c>
      <c r="D58" s="104">
        <v>0</v>
      </c>
      <c r="E58" s="99">
        <v>24</v>
      </c>
      <c r="F58" s="99">
        <v>9</v>
      </c>
      <c r="G58" s="99">
        <v>12</v>
      </c>
      <c r="H58" s="73"/>
      <c r="I58" s="143"/>
      <c r="J58" s="153" t="s">
        <v>11</v>
      </c>
      <c r="K58" s="6" t="s">
        <v>8</v>
      </c>
      <c r="L58" s="104">
        <v>0</v>
      </c>
      <c r="M58" s="99">
        <v>24</v>
      </c>
      <c r="N58" s="99">
        <v>9</v>
      </c>
      <c r="O58" s="99">
        <v>12</v>
      </c>
      <c r="P58" s="73"/>
      <c r="Q58" s="143"/>
      <c r="R58" s="153" t="s">
        <v>11</v>
      </c>
      <c r="S58" s="6" t="s">
        <v>8</v>
      </c>
      <c r="T58" s="92">
        <v>0</v>
      </c>
      <c r="U58" s="93">
        <v>26</v>
      </c>
      <c r="V58" s="93">
        <v>55</v>
      </c>
      <c r="W58" s="93">
        <v>9</v>
      </c>
      <c r="X58" s="73"/>
      <c r="Y58" s="143"/>
      <c r="Z58" s="153" t="s">
        <v>11</v>
      </c>
      <c r="AA58" s="6" t="s">
        <v>8</v>
      </c>
      <c r="AB58" s="104">
        <v>0</v>
      </c>
      <c r="AC58" s="99">
        <v>35</v>
      </c>
      <c r="AD58" s="99">
        <v>41</v>
      </c>
      <c r="AE58" s="99">
        <v>44</v>
      </c>
      <c r="AF58" s="73"/>
      <c r="AG58" s="143"/>
      <c r="AH58" s="153" t="s">
        <v>11</v>
      </c>
      <c r="AI58" s="6" t="s">
        <v>8</v>
      </c>
      <c r="AJ58" s="92">
        <v>0</v>
      </c>
      <c r="AK58" s="93">
        <v>33</v>
      </c>
      <c r="AL58" s="93">
        <v>15</v>
      </c>
      <c r="AM58" s="93">
        <v>29</v>
      </c>
      <c r="AN58" s="73"/>
      <c r="AO58" s="143"/>
      <c r="AP58" s="153" t="s">
        <v>11</v>
      </c>
      <c r="AQ58" s="6" t="s">
        <v>8</v>
      </c>
      <c r="AR58" s="92">
        <v>0</v>
      </c>
      <c r="AS58" s="93">
        <v>12</v>
      </c>
      <c r="AT58" s="93">
        <v>3</v>
      </c>
      <c r="AU58" s="93">
        <v>5</v>
      </c>
      <c r="AV58" s="73"/>
      <c r="AW58" s="143"/>
      <c r="AX58" s="153" t="s">
        <v>11</v>
      </c>
      <c r="AY58" s="6" t="s">
        <v>8</v>
      </c>
      <c r="AZ58" s="92">
        <v>16</v>
      </c>
      <c r="BA58" s="93">
        <v>6</v>
      </c>
      <c r="BB58" s="93">
        <v>5</v>
      </c>
      <c r="BC58" s="93">
        <v>25</v>
      </c>
      <c r="BD58" s="73"/>
      <c r="BE58" s="143"/>
      <c r="BF58" s="153" t="s">
        <v>11</v>
      </c>
      <c r="BG58" s="6" t="s">
        <v>8</v>
      </c>
      <c r="BH58" s="118">
        <v>0</v>
      </c>
      <c r="BI58" s="119">
        <v>12</v>
      </c>
      <c r="BJ58" s="119">
        <v>3</v>
      </c>
      <c r="BK58" s="119">
        <v>5</v>
      </c>
      <c r="BL58" s="73"/>
      <c r="BM58" s="143"/>
      <c r="BN58" s="153" t="s">
        <v>11</v>
      </c>
      <c r="BO58" s="6" t="s">
        <v>8</v>
      </c>
      <c r="BP58" s="114">
        <v>0</v>
      </c>
      <c r="BQ58" s="114">
        <v>13</v>
      </c>
      <c r="BR58" s="114">
        <v>13</v>
      </c>
      <c r="BS58" s="114">
        <v>19</v>
      </c>
      <c r="BT58" s="73"/>
      <c r="BU58" s="143"/>
      <c r="BV58" s="153" t="s">
        <v>11</v>
      </c>
      <c r="BW58" s="6" t="s">
        <v>8</v>
      </c>
      <c r="BX58" s="104">
        <v>0</v>
      </c>
      <c r="BY58" s="99">
        <v>24</v>
      </c>
      <c r="BZ58" s="99">
        <v>9</v>
      </c>
      <c r="CA58" s="99">
        <v>12</v>
      </c>
      <c r="CB58" s="73"/>
      <c r="CC58" s="143"/>
      <c r="CD58" s="153" t="s">
        <v>11</v>
      </c>
      <c r="CE58" s="6" t="s">
        <v>8</v>
      </c>
      <c r="CF58" s="7">
        <v>0</v>
      </c>
      <c r="CG58" s="7">
        <v>0</v>
      </c>
      <c r="CH58" s="7">
        <v>0</v>
      </c>
      <c r="CI58" s="7">
        <v>0</v>
      </c>
      <c r="CJ58" s="73"/>
      <c r="CK58" s="143"/>
      <c r="CL58" s="153" t="s">
        <v>11</v>
      </c>
      <c r="CM58" s="6" t="s">
        <v>8</v>
      </c>
      <c r="CN58" s="7">
        <v>0</v>
      </c>
      <c r="CO58" s="7">
        <v>0</v>
      </c>
      <c r="CP58" s="7">
        <v>0</v>
      </c>
      <c r="CQ58" s="7">
        <v>0</v>
      </c>
      <c r="CR58" s="73"/>
      <c r="CS58" s="143"/>
      <c r="CT58" s="153" t="s">
        <v>11</v>
      </c>
      <c r="CU58" s="6" t="s">
        <v>8</v>
      </c>
      <c r="CV58" s="8">
        <f t="shared" ref="CV58:CV59" si="99">SUM(D58+L58+T58+AB58+AJ58+AR58+AZ58+BH58+BP58+BX58+CF58+CN58)</f>
        <v>16</v>
      </c>
      <c r="CW58" s="9">
        <f t="shared" ref="CW58:CW59" si="100">SUM(E58+M58+U58+AC58+AK58+AS58+BA58+BI58+BQ58+BY58+CG58+CO58)</f>
        <v>209</v>
      </c>
      <c r="CX58" s="9">
        <f t="shared" ref="CX58:CX59" si="101">SUM(F58+N58+V58+AD58+AL58+AT58+BB58+BJ58+BR58+BZ58+CH58+CP58)</f>
        <v>162</v>
      </c>
      <c r="CY58" s="9">
        <f t="shared" ref="CY58:CY59" si="102">SUM(G58+O58+W58+AE58+AM58+AU58+BC58+BK58+BS58+CA58+CI58+CQ58)</f>
        <v>172</v>
      </c>
    </row>
    <row r="59" spans="1:103" ht="20.100000000000001" customHeight="1" thickBot="1" x14ac:dyDescent="0.3">
      <c r="A59" s="143"/>
      <c r="B59" s="154"/>
      <c r="C59" s="10" t="s">
        <v>9</v>
      </c>
      <c r="D59" s="101">
        <v>0</v>
      </c>
      <c r="E59" s="97">
        <v>23</v>
      </c>
      <c r="F59" s="97">
        <v>5</v>
      </c>
      <c r="G59" s="97">
        <v>13</v>
      </c>
      <c r="H59" s="73"/>
      <c r="I59" s="143"/>
      <c r="J59" s="154"/>
      <c r="K59" s="10" t="s">
        <v>9</v>
      </c>
      <c r="L59" s="101">
        <v>0</v>
      </c>
      <c r="M59" s="97">
        <v>23</v>
      </c>
      <c r="N59" s="97">
        <v>5</v>
      </c>
      <c r="O59" s="97">
        <v>13</v>
      </c>
      <c r="P59" s="73"/>
      <c r="Q59" s="143"/>
      <c r="R59" s="154"/>
      <c r="S59" s="10" t="s">
        <v>9</v>
      </c>
      <c r="T59" s="88">
        <v>0</v>
      </c>
      <c r="U59" s="89">
        <v>18</v>
      </c>
      <c r="V59" s="89">
        <v>49</v>
      </c>
      <c r="W59" s="89">
        <v>7</v>
      </c>
      <c r="X59" s="73"/>
      <c r="Y59" s="143"/>
      <c r="Z59" s="154"/>
      <c r="AA59" s="10" t="s">
        <v>9</v>
      </c>
      <c r="AB59" s="101">
        <v>0</v>
      </c>
      <c r="AC59" s="97">
        <v>39</v>
      </c>
      <c r="AD59" s="97">
        <v>43</v>
      </c>
      <c r="AE59" s="97">
        <v>41</v>
      </c>
      <c r="AF59" s="73"/>
      <c r="AG59" s="143"/>
      <c r="AH59" s="154"/>
      <c r="AI59" s="10" t="s">
        <v>9</v>
      </c>
      <c r="AJ59" s="88">
        <v>0</v>
      </c>
      <c r="AK59" s="89">
        <v>39</v>
      </c>
      <c r="AL59" s="89">
        <v>17</v>
      </c>
      <c r="AM59" s="89">
        <v>24</v>
      </c>
      <c r="AN59" s="73"/>
      <c r="AO59" s="143"/>
      <c r="AP59" s="154"/>
      <c r="AQ59" s="10" t="s">
        <v>9</v>
      </c>
      <c r="AR59" s="88">
        <v>0</v>
      </c>
      <c r="AS59" s="89">
        <v>13</v>
      </c>
      <c r="AT59" s="89">
        <v>5</v>
      </c>
      <c r="AU59" s="89">
        <v>3</v>
      </c>
      <c r="AV59" s="73"/>
      <c r="AW59" s="143"/>
      <c r="AX59" s="154"/>
      <c r="AY59" s="10" t="s">
        <v>9</v>
      </c>
      <c r="AZ59" s="88">
        <v>6</v>
      </c>
      <c r="BA59" s="89">
        <v>10</v>
      </c>
      <c r="BB59" s="89">
        <v>11</v>
      </c>
      <c r="BC59" s="89">
        <v>28</v>
      </c>
      <c r="BD59" s="73"/>
      <c r="BE59" s="143"/>
      <c r="BF59" s="154"/>
      <c r="BG59" s="10" t="s">
        <v>9</v>
      </c>
      <c r="BH59" s="120">
        <v>0</v>
      </c>
      <c r="BI59" s="121">
        <v>13</v>
      </c>
      <c r="BJ59" s="121">
        <v>5</v>
      </c>
      <c r="BK59" s="121">
        <v>3</v>
      </c>
      <c r="BL59" s="73"/>
      <c r="BM59" s="143"/>
      <c r="BN59" s="154"/>
      <c r="BO59" s="10" t="s">
        <v>9</v>
      </c>
      <c r="BP59" s="115">
        <v>0</v>
      </c>
      <c r="BQ59" s="115">
        <v>18</v>
      </c>
      <c r="BR59" s="115">
        <v>8</v>
      </c>
      <c r="BS59" s="115">
        <v>11</v>
      </c>
      <c r="BT59" s="73"/>
      <c r="BU59" s="143"/>
      <c r="BV59" s="154"/>
      <c r="BW59" s="10" t="s">
        <v>9</v>
      </c>
      <c r="BX59" s="101">
        <v>0</v>
      </c>
      <c r="BY59" s="97">
        <v>23</v>
      </c>
      <c r="BZ59" s="97">
        <v>5</v>
      </c>
      <c r="CA59" s="97">
        <v>13</v>
      </c>
      <c r="CB59" s="73"/>
      <c r="CC59" s="143"/>
      <c r="CD59" s="154"/>
      <c r="CE59" s="10" t="s">
        <v>9</v>
      </c>
      <c r="CF59" s="11">
        <v>0</v>
      </c>
      <c r="CG59" s="11">
        <v>0</v>
      </c>
      <c r="CH59" s="11">
        <v>0</v>
      </c>
      <c r="CI59" s="11">
        <v>0</v>
      </c>
      <c r="CJ59" s="73"/>
      <c r="CK59" s="143"/>
      <c r="CL59" s="154"/>
      <c r="CM59" s="10" t="s">
        <v>9</v>
      </c>
      <c r="CN59" s="11">
        <v>0</v>
      </c>
      <c r="CO59" s="11">
        <v>0</v>
      </c>
      <c r="CP59" s="11">
        <v>0</v>
      </c>
      <c r="CQ59" s="11">
        <v>0</v>
      </c>
      <c r="CR59" s="73"/>
      <c r="CS59" s="143"/>
      <c r="CT59" s="154"/>
      <c r="CU59" s="10" t="s">
        <v>9</v>
      </c>
      <c r="CV59" s="12">
        <f t="shared" si="99"/>
        <v>6</v>
      </c>
      <c r="CW59" s="13">
        <f t="shared" si="100"/>
        <v>219</v>
      </c>
      <c r="CX59" s="13">
        <f t="shared" si="101"/>
        <v>153</v>
      </c>
      <c r="CY59" s="13">
        <f t="shared" si="102"/>
        <v>156</v>
      </c>
    </row>
    <row r="60" spans="1:103" ht="20.100000000000001" customHeight="1" thickBot="1" x14ac:dyDescent="0.3">
      <c r="A60" s="144"/>
      <c r="B60" s="151" t="s">
        <v>14</v>
      </c>
      <c r="C60" s="152"/>
      <c r="D60" s="14">
        <f>SUM(D58:D59)</f>
        <v>0</v>
      </c>
      <c r="E60" s="14">
        <f>SUM(E58:E59)</f>
        <v>47</v>
      </c>
      <c r="F60" s="14">
        <f>SUM(F58:F59)</f>
        <v>14</v>
      </c>
      <c r="G60" s="14">
        <f>SUM(G58:G59)</f>
        <v>25</v>
      </c>
      <c r="H60" s="73"/>
      <c r="I60" s="144"/>
      <c r="J60" s="151" t="s">
        <v>14</v>
      </c>
      <c r="K60" s="152"/>
      <c r="L60" s="14">
        <f>SUM(L58:L59)</f>
        <v>0</v>
      </c>
      <c r="M60" s="14">
        <f>SUM(M58:M59)</f>
        <v>47</v>
      </c>
      <c r="N60" s="14">
        <f>SUM(N58:N59)</f>
        <v>14</v>
      </c>
      <c r="O60" s="14">
        <f>SUM(O58:O59)</f>
        <v>25</v>
      </c>
      <c r="P60" s="73"/>
      <c r="Q60" s="144"/>
      <c r="R60" s="151" t="s">
        <v>14</v>
      </c>
      <c r="S60" s="152"/>
      <c r="T60" s="90">
        <v>0</v>
      </c>
      <c r="U60" s="91">
        <v>44</v>
      </c>
      <c r="V60" s="91">
        <v>104</v>
      </c>
      <c r="W60" s="91">
        <v>16</v>
      </c>
      <c r="X60" s="73"/>
      <c r="Y60" s="144"/>
      <c r="Z60" s="151" t="s">
        <v>14</v>
      </c>
      <c r="AA60" s="152"/>
      <c r="AB60" s="102">
        <v>0</v>
      </c>
      <c r="AC60" s="103">
        <v>74</v>
      </c>
      <c r="AD60" s="103">
        <v>84</v>
      </c>
      <c r="AE60" s="103">
        <v>85</v>
      </c>
      <c r="AF60" s="73"/>
      <c r="AG60" s="144"/>
      <c r="AH60" s="151" t="s">
        <v>14</v>
      </c>
      <c r="AI60" s="152"/>
      <c r="AJ60" s="14">
        <f>SUM(AJ58:AJ59)</f>
        <v>0</v>
      </c>
      <c r="AK60" s="14">
        <f>SUM(AK58:AK59)</f>
        <v>72</v>
      </c>
      <c r="AL60" s="14">
        <f>SUM(AL58:AL59)</f>
        <v>32</v>
      </c>
      <c r="AM60" s="14">
        <f>SUM(AM58:AM59)</f>
        <v>53</v>
      </c>
      <c r="AN60" s="73"/>
      <c r="AO60" s="144"/>
      <c r="AP60" s="151" t="s">
        <v>14</v>
      </c>
      <c r="AQ60" s="152"/>
      <c r="AR60" s="90">
        <v>0</v>
      </c>
      <c r="AS60" s="91">
        <v>25</v>
      </c>
      <c r="AT60" s="91">
        <v>8</v>
      </c>
      <c r="AU60" s="91">
        <v>8</v>
      </c>
      <c r="AV60" s="73"/>
      <c r="AW60" s="144"/>
      <c r="AX60" s="151" t="s">
        <v>14</v>
      </c>
      <c r="AY60" s="152"/>
      <c r="AZ60" s="90">
        <v>22</v>
      </c>
      <c r="BA60" s="91">
        <v>16</v>
      </c>
      <c r="BB60" s="91">
        <v>16</v>
      </c>
      <c r="BC60" s="91">
        <v>53</v>
      </c>
      <c r="BD60" s="73"/>
      <c r="BE60" s="144"/>
      <c r="BF60" s="151" t="s">
        <v>14</v>
      </c>
      <c r="BG60" s="152"/>
      <c r="BH60" s="116">
        <f t="shared" ref="BH60:BK60" si="103">SUM(BH58:BH59)</f>
        <v>0</v>
      </c>
      <c r="BI60" s="116">
        <f t="shared" si="103"/>
        <v>25</v>
      </c>
      <c r="BJ60" s="116">
        <f t="shared" si="103"/>
        <v>8</v>
      </c>
      <c r="BK60" s="116">
        <f t="shared" si="103"/>
        <v>8</v>
      </c>
      <c r="BL60" s="73"/>
      <c r="BM60" s="144"/>
      <c r="BN60" s="151" t="s">
        <v>14</v>
      </c>
      <c r="BO60" s="152"/>
      <c r="BP60" s="116">
        <f t="shared" ref="BP60:BS60" si="104">SUM(BP58:BP59)</f>
        <v>0</v>
      </c>
      <c r="BQ60" s="116">
        <f t="shared" si="104"/>
        <v>31</v>
      </c>
      <c r="BR60" s="116">
        <f t="shared" si="104"/>
        <v>21</v>
      </c>
      <c r="BS60" s="116">
        <f t="shared" si="104"/>
        <v>30</v>
      </c>
      <c r="BT60" s="73"/>
      <c r="BU60" s="144"/>
      <c r="BV60" s="151" t="s">
        <v>14</v>
      </c>
      <c r="BW60" s="152"/>
      <c r="BX60" s="102">
        <v>0</v>
      </c>
      <c r="BY60" s="103">
        <v>47</v>
      </c>
      <c r="BZ60" s="103">
        <v>14</v>
      </c>
      <c r="CA60" s="103">
        <v>25</v>
      </c>
      <c r="CB60" s="73"/>
      <c r="CC60" s="144"/>
      <c r="CD60" s="151" t="s">
        <v>14</v>
      </c>
      <c r="CE60" s="152"/>
      <c r="CF60" s="14">
        <f>SUM(CF58:CF59)</f>
        <v>0</v>
      </c>
      <c r="CG60" s="14">
        <f>SUM(CG58:CG59)</f>
        <v>0</v>
      </c>
      <c r="CH60" s="14">
        <f>SUM(CH58:CH59)</f>
        <v>0</v>
      </c>
      <c r="CI60" s="14">
        <f>SUM(CI58:CI59)</f>
        <v>0</v>
      </c>
      <c r="CJ60" s="73"/>
      <c r="CK60" s="144"/>
      <c r="CL60" s="151" t="s">
        <v>14</v>
      </c>
      <c r="CM60" s="152"/>
      <c r="CN60" s="14">
        <f>SUM(CN58:CN59)</f>
        <v>0</v>
      </c>
      <c r="CO60" s="14">
        <f>SUM(CO58:CO59)</f>
        <v>0</v>
      </c>
      <c r="CP60" s="14">
        <f>SUM(CP58:CP59)</f>
        <v>0</v>
      </c>
      <c r="CQ60" s="14">
        <f>SUM(CQ58:CQ59)</f>
        <v>0</v>
      </c>
      <c r="CR60" s="73"/>
      <c r="CS60" s="144"/>
      <c r="CT60" s="151" t="s">
        <v>14</v>
      </c>
      <c r="CU60" s="152"/>
      <c r="CV60" s="14">
        <f>SUM(CV58:CV59)</f>
        <v>22</v>
      </c>
      <c r="CW60" s="14">
        <f>SUM(CW58:CW59)</f>
        <v>428</v>
      </c>
      <c r="CX60" s="14">
        <f>SUM(CX58:CX59)</f>
        <v>315</v>
      </c>
      <c r="CY60" s="15">
        <f>SUM(CY58:CY59)</f>
        <v>328</v>
      </c>
    </row>
    <row r="61" spans="1:103" ht="20.100000000000001" customHeight="1" thickBot="1" x14ac:dyDescent="0.3">
      <c r="A61" s="17"/>
      <c r="B61" s="149" t="s">
        <v>12</v>
      </c>
      <c r="C61" s="150"/>
      <c r="D61" s="18">
        <f>SUM(D57+D60)</f>
        <v>0</v>
      </c>
      <c r="E61" s="18">
        <f>SUM(E57+E60)</f>
        <v>198</v>
      </c>
      <c r="F61" s="18">
        <f>SUM(F57+F60)</f>
        <v>126</v>
      </c>
      <c r="G61" s="18">
        <f>SUM(G57+G60)</f>
        <v>257</v>
      </c>
      <c r="H61" s="73"/>
      <c r="I61" s="17"/>
      <c r="J61" s="149" t="s">
        <v>12</v>
      </c>
      <c r="K61" s="150"/>
      <c r="L61" s="18">
        <f>SUM(L57+L60)</f>
        <v>0</v>
      </c>
      <c r="M61" s="18">
        <f>SUM(M57+M60)</f>
        <v>198</v>
      </c>
      <c r="N61" s="18">
        <f>SUM(N57+N60)</f>
        <v>126</v>
      </c>
      <c r="O61" s="18">
        <f>SUM(O57+O60)</f>
        <v>257</v>
      </c>
      <c r="P61" s="73"/>
      <c r="Q61" s="17"/>
      <c r="R61" s="149" t="s">
        <v>12</v>
      </c>
      <c r="S61" s="150"/>
      <c r="T61" s="107">
        <v>0</v>
      </c>
      <c r="U61" s="108">
        <v>428</v>
      </c>
      <c r="V61" s="108">
        <v>758</v>
      </c>
      <c r="W61" s="108">
        <v>219</v>
      </c>
      <c r="X61" s="73"/>
      <c r="Y61" s="17"/>
      <c r="Z61" s="149" t="s">
        <v>12</v>
      </c>
      <c r="AA61" s="150"/>
      <c r="AB61" s="109">
        <v>2</v>
      </c>
      <c r="AC61" s="110">
        <v>282</v>
      </c>
      <c r="AD61" s="110">
        <v>431</v>
      </c>
      <c r="AE61" s="110">
        <v>450</v>
      </c>
      <c r="AF61" s="73"/>
      <c r="AG61" s="17"/>
      <c r="AH61" s="149" t="s">
        <v>12</v>
      </c>
      <c r="AI61" s="150"/>
      <c r="AJ61" s="18">
        <f>SUM(AJ57+AJ60)</f>
        <v>0</v>
      </c>
      <c r="AK61" s="18">
        <f>SUM(AK57+AK60)</f>
        <v>403</v>
      </c>
      <c r="AL61" s="18">
        <f>SUM(AL57+AL60)</f>
        <v>531</v>
      </c>
      <c r="AM61" s="18">
        <f>SUM(AM57+AM60)</f>
        <v>498</v>
      </c>
      <c r="AN61" s="73"/>
      <c r="AO61" s="17"/>
      <c r="AP61" s="149" t="s">
        <v>12</v>
      </c>
      <c r="AQ61" s="150"/>
      <c r="AR61" s="107">
        <v>3</v>
      </c>
      <c r="AS61" s="108">
        <v>290</v>
      </c>
      <c r="AT61" s="108">
        <v>118</v>
      </c>
      <c r="AU61" s="108">
        <v>131</v>
      </c>
      <c r="AV61" s="73"/>
      <c r="AW61" s="17"/>
      <c r="AX61" s="149" t="s">
        <v>12</v>
      </c>
      <c r="AY61" s="150"/>
      <c r="AZ61" s="107">
        <v>265</v>
      </c>
      <c r="BA61" s="108">
        <v>203</v>
      </c>
      <c r="BB61" s="108">
        <v>194</v>
      </c>
      <c r="BC61" s="108">
        <v>455</v>
      </c>
      <c r="BD61" s="73"/>
      <c r="BE61" s="17"/>
      <c r="BF61" s="149" t="s">
        <v>12</v>
      </c>
      <c r="BG61" s="150"/>
      <c r="BH61" s="117">
        <f t="shared" ref="BH61:BK61" si="105">SUM(BH57+BH60)</f>
        <v>3</v>
      </c>
      <c r="BI61" s="117">
        <f t="shared" si="105"/>
        <v>290</v>
      </c>
      <c r="BJ61" s="117">
        <f t="shared" si="105"/>
        <v>118</v>
      </c>
      <c r="BK61" s="117">
        <f t="shared" si="105"/>
        <v>131</v>
      </c>
      <c r="BL61" s="73"/>
      <c r="BM61" s="17"/>
      <c r="BN61" s="149" t="s">
        <v>12</v>
      </c>
      <c r="BO61" s="150"/>
      <c r="BP61" s="117">
        <f t="shared" ref="BP61:BS61" si="106">SUM(BP57+BP60)</f>
        <v>0</v>
      </c>
      <c r="BQ61" s="117">
        <f t="shared" si="106"/>
        <v>193</v>
      </c>
      <c r="BR61" s="117">
        <f t="shared" si="106"/>
        <v>100</v>
      </c>
      <c r="BS61" s="117">
        <f t="shared" si="106"/>
        <v>169</v>
      </c>
      <c r="BT61" s="73"/>
      <c r="BU61" s="17"/>
      <c r="BV61" s="149" t="s">
        <v>12</v>
      </c>
      <c r="BW61" s="150"/>
      <c r="BX61" s="18">
        <f>SUM(BX57+BX60)</f>
        <v>0</v>
      </c>
      <c r="BY61" s="18">
        <f>SUM(BY57+BY60)</f>
        <v>198</v>
      </c>
      <c r="BZ61" s="18">
        <f>SUM(BZ57+BZ60)</f>
        <v>126</v>
      </c>
      <c r="CA61" s="18">
        <f>SUM(CA57+CA60)</f>
        <v>257</v>
      </c>
      <c r="CB61" s="73"/>
      <c r="CC61" s="17"/>
      <c r="CD61" s="149" t="s">
        <v>12</v>
      </c>
      <c r="CE61" s="150"/>
      <c r="CF61" s="18">
        <f>SUM(CF57+CF60)</f>
        <v>0</v>
      </c>
      <c r="CG61" s="18">
        <f>SUM(CG57+CG60)</f>
        <v>0</v>
      </c>
      <c r="CH61" s="18">
        <f>SUM(CH57+CH60)</f>
        <v>0</v>
      </c>
      <c r="CI61" s="18">
        <f>SUM(CI57+CI60)</f>
        <v>0</v>
      </c>
      <c r="CJ61" s="73"/>
      <c r="CK61" s="17"/>
      <c r="CL61" s="149" t="s">
        <v>12</v>
      </c>
      <c r="CM61" s="150"/>
      <c r="CN61" s="18">
        <f>SUM(CN57+CN60)</f>
        <v>0</v>
      </c>
      <c r="CO61" s="18">
        <f>SUM(CO57+CO60)</f>
        <v>0</v>
      </c>
      <c r="CP61" s="18">
        <f>SUM(CP57+CP60)</f>
        <v>0</v>
      </c>
      <c r="CQ61" s="18">
        <f>SUM(CQ57+CQ60)</f>
        <v>0</v>
      </c>
      <c r="CR61" s="73"/>
      <c r="CS61" s="17"/>
      <c r="CT61" s="149" t="s">
        <v>12</v>
      </c>
      <c r="CU61" s="150"/>
      <c r="CV61" s="18">
        <f>SUM(CV57+CV60)</f>
        <v>273</v>
      </c>
      <c r="CW61" s="18">
        <f>SUM(CW57+CW60)</f>
        <v>2683</v>
      </c>
      <c r="CX61" s="18">
        <f>SUM(CX57+CX60)</f>
        <v>2628</v>
      </c>
      <c r="CY61" s="23">
        <f>SUM(CY57+CY60)</f>
        <v>2824</v>
      </c>
    </row>
    <row r="62" spans="1:103" ht="20.100000000000001" customHeight="1" thickBot="1" x14ac:dyDescent="0.25">
      <c r="A62" s="142">
        <v>0</v>
      </c>
      <c r="B62" s="140" t="s">
        <v>3</v>
      </c>
      <c r="C62" s="6" t="s">
        <v>8</v>
      </c>
      <c r="D62" s="7">
        <v>0</v>
      </c>
      <c r="E62" s="7">
        <v>0</v>
      </c>
      <c r="F62" s="7">
        <v>0</v>
      </c>
      <c r="G62" s="7">
        <v>0</v>
      </c>
      <c r="H62" s="73"/>
      <c r="I62" s="142">
        <v>0</v>
      </c>
      <c r="J62" s="140" t="s">
        <v>3</v>
      </c>
      <c r="K62" s="6" t="s">
        <v>8</v>
      </c>
      <c r="L62" s="7">
        <v>0</v>
      </c>
      <c r="M62" s="7">
        <v>0</v>
      </c>
      <c r="N62" s="7">
        <v>0</v>
      </c>
      <c r="O62" s="7">
        <v>0</v>
      </c>
      <c r="P62" s="73"/>
      <c r="Q62" s="142">
        <v>0</v>
      </c>
      <c r="R62" s="140" t="s">
        <v>3</v>
      </c>
      <c r="S62" s="6" t="s">
        <v>8</v>
      </c>
      <c r="T62" s="7">
        <v>0</v>
      </c>
      <c r="U62" s="7">
        <v>0</v>
      </c>
      <c r="V62" s="7">
        <v>0</v>
      </c>
      <c r="W62" s="7">
        <v>0</v>
      </c>
      <c r="X62" s="73"/>
      <c r="Y62" s="142">
        <v>0</v>
      </c>
      <c r="Z62" s="140" t="s">
        <v>3</v>
      </c>
      <c r="AA62" s="6" t="s">
        <v>8</v>
      </c>
      <c r="AB62" s="92">
        <v>0</v>
      </c>
      <c r="AC62" s="93">
        <v>0</v>
      </c>
      <c r="AD62" s="93">
        <v>0</v>
      </c>
      <c r="AE62" s="93">
        <v>0</v>
      </c>
      <c r="AF62" s="73"/>
      <c r="AG62" s="142">
        <v>0</v>
      </c>
      <c r="AH62" s="140" t="s">
        <v>3</v>
      </c>
      <c r="AI62" s="6" t="s">
        <v>8</v>
      </c>
      <c r="AJ62" s="7">
        <v>0</v>
      </c>
      <c r="AK62" s="7">
        <v>0</v>
      </c>
      <c r="AL62" s="7">
        <v>0</v>
      </c>
      <c r="AM62" s="7">
        <v>0</v>
      </c>
      <c r="AN62" s="73"/>
      <c r="AO62" s="142">
        <v>0</v>
      </c>
      <c r="AP62" s="140" t="s">
        <v>3</v>
      </c>
      <c r="AQ62" s="6" t="s">
        <v>8</v>
      </c>
      <c r="AR62" s="7">
        <v>0</v>
      </c>
      <c r="AS62" s="7">
        <v>0</v>
      </c>
      <c r="AT62" s="7">
        <v>0</v>
      </c>
      <c r="AU62" s="7">
        <v>0</v>
      </c>
      <c r="AV62" s="73"/>
      <c r="AW62" s="142">
        <v>0</v>
      </c>
      <c r="AX62" s="140" t="s">
        <v>3</v>
      </c>
      <c r="AY62" s="6" t="s">
        <v>8</v>
      </c>
      <c r="AZ62" s="92">
        <v>0</v>
      </c>
      <c r="BA62" s="93">
        <v>0</v>
      </c>
      <c r="BB62" s="93">
        <v>0</v>
      </c>
      <c r="BC62" s="93">
        <v>0</v>
      </c>
      <c r="BD62" s="73"/>
      <c r="BE62" s="142">
        <v>0</v>
      </c>
      <c r="BF62" s="140" t="s">
        <v>3</v>
      </c>
      <c r="BG62" s="6" t="s">
        <v>8</v>
      </c>
      <c r="BH62" s="114">
        <v>0</v>
      </c>
      <c r="BI62" s="114">
        <v>0</v>
      </c>
      <c r="BJ62" s="114">
        <v>0</v>
      </c>
      <c r="BK62" s="114">
        <v>0</v>
      </c>
      <c r="BL62" s="73"/>
      <c r="BM62" s="142">
        <v>0</v>
      </c>
      <c r="BN62" s="140" t="s">
        <v>3</v>
      </c>
      <c r="BO62" s="6" t="s">
        <v>8</v>
      </c>
      <c r="BP62" s="7">
        <v>0</v>
      </c>
      <c r="BQ62" s="7">
        <v>0</v>
      </c>
      <c r="BR62" s="7">
        <v>0</v>
      </c>
      <c r="BS62" s="7">
        <v>0</v>
      </c>
      <c r="BT62" s="73"/>
      <c r="BU62" s="142">
        <v>0</v>
      </c>
      <c r="BV62" s="140" t="s">
        <v>3</v>
      </c>
      <c r="BW62" s="6" t="s">
        <v>8</v>
      </c>
      <c r="BX62" s="7">
        <v>0</v>
      </c>
      <c r="BY62" s="7">
        <v>0</v>
      </c>
      <c r="BZ62" s="7">
        <v>0</v>
      </c>
      <c r="CA62" s="7">
        <v>0</v>
      </c>
      <c r="CB62" s="73"/>
      <c r="CC62" s="142">
        <v>0</v>
      </c>
      <c r="CD62" s="140" t="s">
        <v>3</v>
      </c>
      <c r="CE62" s="6" t="s">
        <v>8</v>
      </c>
      <c r="CF62" s="7">
        <v>0</v>
      </c>
      <c r="CG62" s="7">
        <v>0</v>
      </c>
      <c r="CH62" s="7">
        <v>0</v>
      </c>
      <c r="CI62" s="7">
        <v>0</v>
      </c>
      <c r="CJ62" s="73"/>
      <c r="CK62" s="142">
        <v>0</v>
      </c>
      <c r="CL62" s="140" t="s">
        <v>3</v>
      </c>
      <c r="CM62" s="6" t="s">
        <v>8</v>
      </c>
      <c r="CN62" s="7">
        <v>0</v>
      </c>
      <c r="CO62" s="7">
        <v>0</v>
      </c>
      <c r="CP62" s="7">
        <v>0</v>
      </c>
      <c r="CQ62" s="7">
        <v>0</v>
      </c>
      <c r="CR62" s="73"/>
      <c r="CS62" s="142">
        <f>(CK62)</f>
        <v>0</v>
      </c>
      <c r="CT62" s="140" t="s">
        <v>3</v>
      </c>
      <c r="CU62" s="6" t="s">
        <v>8</v>
      </c>
      <c r="CV62" s="8">
        <f t="shared" ref="CV62:CV63" si="107">SUM(D62+L62+T62+AB62+AJ62+AR62+AZ62+BH62+BP62+BX62+CF62+CN62)</f>
        <v>0</v>
      </c>
      <c r="CW62" s="9">
        <f t="shared" ref="CW62:CW63" si="108">SUM(E62+M62+U62+AC62+AK62+AS62+BA62+BI62+BQ62+BY62+CG62+CO62)</f>
        <v>0</v>
      </c>
      <c r="CX62" s="9">
        <f t="shared" ref="CX62:CX63" si="109">SUM(F62+N62+V62+AD62+AL62+AT62+BB62+BJ62+BR62+BZ62+CH62+CP62)</f>
        <v>0</v>
      </c>
      <c r="CY62" s="9">
        <f t="shared" ref="CY62:CY63" si="110">SUM(G62+O62+W62+AE62+AM62+AU62+BC62+BK62+BS62+CA62+CI62+CQ62)</f>
        <v>0</v>
      </c>
    </row>
    <row r="63" spans="1:103" ht="20.100000000000001" customHeight="1" thickBot="1" x14ac:dyDescent="0.25">
      <c r="A63" s="143"/>
      <c r="B63" s="141"/>
      <c r="C63" s="10" t="s">
        <v>9</v>
      </c>
      <c r="D63" s="11">
        <v>0</v>
      </c>
      <c r="E63" s="11">
        <v>0</v>
      </c>
      <c r="F63" s="11">
        <v>0</v>
      </c>
      <c r="G63" s="11">
        <v>0</v>
      </c>
      <c r="H63" s="73"/>
      <c r="I63" s="143"/>
      <c r="J63" s="141"/>
      <c r="K63" s="10" t="s">
        <v>9</v>
      </c>
      <c r="L63" s="11">
        <v>0</v>
      </c>
      <c r="M63" s="11">
        <v>0</v>
      </c>
      <c r="N63" s="11">
        <v>0</v>
      </c>
      <c r="O63" s="11">
        <v>0</v>
      </c>
      <c r="P63" s="73"/>
      <c r="Q63" s="143"/>
      <c r="R63" s="141"/>
      <c r="S63" s="10" t="s">
        <v>9</v>
      </c>
      <c r="T63" s="11">
        <v>0</v>
      </c>
      <c r="U63" s="11">
        <v>0</v>
      </c>
      <c r="V63" s="11">
        <v>0</v>
      </c>
      <c r="W63" s="11">
        <v>0</v>
      </c>
      <c r="X63" s="73"/>
      <c r="Y63" s="143"/>
      <c r="Z63" s="141"/>
      <c r="AA63" s="10" t="s">
        <v>9</v>
      </c>
      <c r="AB63" s="88">
        <v>0</v>
      </c>
      <c r="AC63" s="89">
        <v>0</v>
      </c>
      <c r="AD63" s="89">
        <v>0</v>
      </c>
      <c r="AE63" s="89">
        <v>0</v>
      </c>
      <c r="AF63" s="73"/>
      <c r="AG63" s="143"/>
      <c r="AH63" s="141"/>
      <c r="AI63" s="10" t="s">
        <v>9</v>
      </c>
      <c r="AJ63" s="11">
        <v>0</v>
      </c>
      <c r="AK63" s="11">
        <v>0</v>
      </c>
      <c r="AL63" s="11">
        <v>0</v>
      </c>
      <c r="AM63" s="11">
        <v>0</v>
      </c>
      <c r="AN63" s="73"/>
      <c r="AO63" s="143"/>
      <c r="AP63" s="141"/>
      <c r="AQ63" s="10" t="s">
        <v>9</v>
      </c>
      <c r="AR63" s="11">
        <v>0</v>
      </c>
      <c r="AS63" s="11">
        <v>0</v>
      </c>
      <c r="AT63" s="11">
        <v>0</v>
      </c>
      <c r="AU63" s="11">
        <v>0</v>
      </c>
      <c r="AV63" s="73"/>
      <c r="AW63" s="143"/>
      <c r="AX63" s="141"/>
      <c r="AY63" s="10" t="s">
        <v>9</v>
      </c>
      <c r="AZ63" s="11">
        <v>0</v>
      </c>
      <c r="BA63" s="11">
        <v>0</v>
      </c>
      <c r="BB63" s="11">
        <v>0</v>
      </c>
      <c r="BC63" s="11">
        <v>0</v>
      </c>
      <c r="BD63" s="73"/>
      <c r="BE63" s="143"/>
      <c r="BF63" s="141"/>
      <c r="BG63" s="10" t="s">
        <v>9</v>
      </c>
      <c r="BH63" s="115">
        <v>0</v>
      </c>
      <c r="BI63" s="115">
        <v>0</v>
      </c>
      <c r="BJ63" s="115">
        <v>0</v>
      </c>
      <c r="BK63" s="115">
        <v>0</v>
      </c>
      <c r="BL63" s="73"/>
      <c r="BM63" s="143"/>
      <c r="BN63" s="141"/>
      <c r="BO63" s="10" t="s">
        <v>9</v>
      </c>
      <c r="BP63" s="11">
        <v>0</v>
      </c>
      <c r="BQ63" s="11">
        <v>0</v>
      </c>
      <c r="BR63" s="11">
        <v>0</v>
      </c>
      <c r="BS63" s="11">
        <v>0</v>
      </c>
      <c r="BT63" s="73"/>
      <c r="BU63" s="143"/>
      <c r="BV63" s="141"/>
      <c r="BW63" s="10" t="s">
        <v>9</v>
      </c>
      <c r="BX63" s="11">
        <v>0</v>
      </c>
      <c r="BY63" s="11">
        <v>0</v>
      </c>
      <c r="BZ63" s="11">
        <v>0</v>
      </c>
      <c r="CA63" s="11">
        <v>0</v>
      </c>
      <c r="CB63" s="73"/>
      <c r="CC63" s="143"/>
      <c r="CD63" s="141"/>
      <c r="CE63" s="10" t="s">
        <v>9</v>
      </c>
      <c r="CF63" s="11">
        <v>0</v>
      </c>
      <c r="CG63" s="11">
        <v>0</v>
      </c>
      <c r="CH63" s="11">
        <v>0</v>
      </c>
      <c r="CI63" s="11">
        <v>0</v>
      </c>
      <c r="CJ63" s="73"/>
      <c r="CK63" s="143"/>
      <c r="CL63" s="141"/>
      <c r="CM63" s="10" t="s">
        <v>9</v>
      </c>
      <c r="CN63" s="11">
        <v>0</v>
      </c>
      <c r="CO63" s="11">
        <v>0</v>
      </c>
      <c r="CP63" s="11">
        <v>0</v>
      </c>
      <c r="CQ63" s="11">
        <v>0</v>
      </c>
      <c r="CR63" s="73"/>
      <c r="CS63" s="143"/>
      <c r="CT63" s="141"/>
      <c r="CU63" s="10" t="s">
        <v>9</v>
      </c>
      <c r="CV63" s="12">
        <f t="shared" si="107"/>
        <v>0</v>
      </c>
      <c r="CW63" s="13">
        <f t="shared" si="108"/>
        <v>0</v>
      </c>
      <c r="CX63" s="13">
        <f t="shared" si="109"/>
        <v>0</v>
      </c>
      <c r="CY63" s="13">
        <f t="shared" si="110"/>
        <v>0</v>
      </c>
    </row>
    <row r="64" spans="1:103" ht="20.100000000000001" customHeight="1" thickBot="1" x14ac:dyDescent="0.25">
      <c r="A64" s="143"/>
      <c r="B64" s="145" t="s">
        <v>10</v>
      </c>
      <c r="C64" s="146"/>
      <c r="D64" s="14">
        <f>SUM(D62:D63)</f>
        <v>0</v>
      </c>
      <c r="E64" s="14">
        <f>SUM(E62:E63)</f>
        <v>0</v>
      </c>
      <c r="F64" s="14">
        <f>SUM(F62:F63)</f>
        <v>0</v>
      </c>
      <c r="G64" s="14">
        <f>SUM(G62:G63)</f>
        <v>0</v>
      </c>
      <c r="H64" s="73"/>
      <c r="I64" s="143"/>
      <c r="J64" s="145" t="s">
        <v>10</v>
      </c>
      <c r="K64" s="146"/>
      <c r="L64" s="14">
        <f>SUM(L62:L63)</f>
        <v>0</v>
      </c>
      <c r="M64" s="14">
        <f>SUM(M62:M63)</f>
        <v>0</v>
      </c>
      <c r="N64" s="14">
        <f>SUM(N62:N63)</f>
        <v>0</v>
      </c>
      <c r="O64" s="14">
        <f>SUM(O62:O63)</f>
        <v>0</v>
      </c>
      <c r="P64" s="73"/>
      <c r="Q64" s="143"/>
      <c r="R64" s="145" t="s">
        <v>10</v>
      </c>
      <c r="S64" s="146"/>
      <c r="T64" s="14">
        <f>SUM(T62:T63)</f>
        <v>0</v>
      </c>
      <c r="U64" s="14">
        <f>SUM(U62:U63)</f>
        <v>0</v>
      </c>
      <c r="V64" s="14">
        <f>SUM(V62:V63)</f>
        <v>0</v>
      </c>
      <c r="W64" s="14">
        <f>SUM(W62:W63)</f>
        <v>0</v>
      </c>
      <c r="X64" s="73"/>
      <c r="Y64" s="143"/>
      <c r="Z64" s="145" t="s">
        <v>10</v>
      </c>
      <c r="AA64" s="146"/>
      <c r="AB64" s="90">
        <v>0</v>
      </c>
      <c r="AC64" s="91">
        <v>0</v>
      </c>
      <c r="AD64" s="91">
        <v>0</v>
      </c>
      <c r="AE64" s="91">
        <v>0</v>
      </c>
      <c r="AF64" s="73"/>
      <c r="AG64" s="143"/>
      <c r="AH64" s="145" t="s">
        <v>10</v>
      </c>
      <c r="AI64" s="146"/>
      <c r="AJ64" s="14">
        <f>SUM(AJ62:AJ63)</f>
        <v>0</v>
      </c>
      <c r="AK64" s="14">
        <f>SUM(AK62:AK63)</f>
        <v>0</v>
      </c>
      <c r="AL64" s="14">
        <f>SUM(AL62:AL63)</f>
        <v>0</v>
      </c>
      <c r="AM64" s="14">
        <f>SUM(AM62:AM63)</f>
        <v>0</v>
      </c>
      <c r="AN64" s="73"/>
      <c r="AO64" s="143"/>
      <c r="AP64" s="145" t="s">
        <v>10</v>
      </c>
      <c r="AQ64" s="146"/>
      <c r="AR64" s="14">
        <f>SUM(AR62:AR63)</f>
        <v>0</v>
      </c>
      <c r="AS64" s="14">
        <f>SUM(AS62:AS63)</f>
        <v>0</v>
      </c>
      <c r="AT64" s="14">
        <f>SUM(AT62:AT63)</f>
        <v>0</v>
      </c>
      <c r="AU64" s="14">
        <f>SUM(AU62:AU63)</f>
        <v>0</v>
      </c>
      <c r="AV64" s="73"/>
      <c r="AW64" s="143"/>
      <c r="AX64" s="145" t="s">
        <v>10</v>
      </c>
      <c r="AY64" s="146"/>
      <c r="AZ64" s="14">
        <f>SUM(AZ62:AZ63)</f>
        <v>0</v>
      </c>
      <c r="BA64" s="14">
        <f>SUM(BA62:BA63)</f>
        <v>0</v>
      </c>
      <c r="BB64" s="14">
        <f>SUM(BB62:BB63)</f>
        <v>0</v>
      </c>
      <c r="BC64" s="14">
        <f>SUM(BC62:BC63)</f>
        <v>0</v>
      </c>
      <c r="BD64" s="73"/>
      <c r="BE64" s="143"/>
      <c r="BF64" s="145" t="s">
        <v>10</v>
      </c>
      <c r="BG64" s="146"/>
      <c r="BH64" s="116">
        <f t="shared" ref="BH64:BK64" si="111">SUM(BH62:BH63)</f>
        <v>0</v>
      </c>
      <c r="BI64" s="116">
        <f t="shared" si="111"/>
        <v>0</v>
      </c>
      <c r="BJ64" s="116">
        <f t="shared" si="111"/>
        <v>0</v>
      </c>
      <c r="BK64" s="116">
        <f t="shared" si="111"/>
        <v>0</v>
      </c>
      <c r="BL64" s="73"/>
      <c r="BM64" s="143"/>
      <c r="BN64" s="145" t="s">
        <v>10</v>
      </c>
      <c r="BO64" s="146"/>
      <c r="BP64" s="14">
        <f>SUM(BP62:BP63)</f>
        <v>0</v>
      </c>
      <c r="BQ64" s="14">
        <f>SUM(BQ62:BQ63)</f>
        <v>0</v>
      </c>
      <c r="BR64" s="14">
        <f>SUM(BR62:BR63)</f>
        <v>0</v>
      </c>
      <c r="BS64" s="14">
        <f>SUM(BS62:BS63)</f>
        <v>0</v>
      </c>
      <c r="BT64" s="73"/>
      <c r="BU64" s="143"/>
      <c r="BV64" s="145" t="s">
        <v>10</v>
      </c>
      <c r="BW64" s="146"/>
      <c r="BX64" s="14">
        <f>SUM(BX62:BX63)</f>
        <v>0</v>
      </c>
      <c r="BY64" s="14">
        <f>SUM(BY62:BY63)</f>
        <v>0</v>
      </c>
      <c r="BZ64" s="14">
        <f>SUM(BZ62:BZ63)</f>
        <v>0</v>
      </c>
      <c r="CA64" s="14">
        <f>SUM(CA62:CA63)</f>
        <v>0</v>
      </c>
      <c r="CB64" s="73"/>
      <c r="CC64" s="143"/>
      <c r="CD64" s="145" t="s">
        <v>10</v>
      </c>
      <c r="CE64" s="146"/>
      <c r="CF64" s="14">
        <f>SUM(CF62:CF63)</f>
        <v>0</v>
      </c>
      <c r="CG64" s="14">
        <f>SUM(CG62:CG63)</f>
        <v>0</v>
      </c>
      <c r="CH64" s="14">
        <f>SUM(CH62:CH63)</f>
        <v>0</v>
      </c>
      <c r="CI64" s="14">
        <f>SUM(CI62:CI63)</f>
        <v>0</v>
      </c>
      <c r="CJ64" s="73"/>
      <c r="CK64" s="143"/>
      <c r="CL64" s="145" t="s">
        <v>10</v>
      </c>
      <c r="CM64" s="146"/>
      <c r="CN64" s="14">
        <f>SUM(CN62:CN63)</f>
        <v>0</v>
      </c>
      <c r="CO64" s="14">
        <f>SUM(CO62:CO63)</f>
        <v>0</v>
      </c>
      <c r="CP64" s="14">
        <f>SUM(CP62:CP63)</f>
        <v>0</v>
      </c>
      <c r="CQ64" s="14">
        <f>SUM(CQ62:CQ63)</f>
        <v>0</v>
      </c>
      <c r="CR64" s="73"/>
      <c r="CS64" s="143"/>
      <c r="CT64" s="145" t="s">
        <v>10</v>
      </c>
      <c r="CU64" s="146"/>
      <c r="CV64" s="16">
        <f>SUM(CV62:CV63)</f>
        <v>0</v>
      </c>
      <c r="CW64" s="16">
        <f>SUM(CW62:CW63)</f>
        <v>0</v>
      </c>
      <c r="CX64" s="16">
        <f>SUM(CX62:CX63)</f>
        <v>0</v>
      </c>
      <c r="CY64" s="20">
        <f>SUM(CY62:CY63)</f>
        <v>0</v>
      </c>
    </row>
    <row r="65" spans="1:103" ht="20.100000000000001" customHeight="1" thickBot="1" x14ac:dyDescent="0.25">
      <c r="A65" s="143"/>
      <c r="B65" s="153" t="s">
        <v>11</v>
      </c>
      <c r="C65" s="6" t="s">
        <v>8</v>
      </c>
      <c r="D65" s="7">
        <v>0</v>
      </c>
      <c r="E65" s="7">
        <v>0</v>
      </c>
      <c r="F65" s="7">
        <v>0</v>
      </c>
      <c r="G65" s="7">
        <v>0</v>
      </c>
      <c r="H65" s="73"/>
      <c r="I65" s="143"/>
      <c r="J65" s="153" t="s">
        <v>11</v>
      </c>
      <c r="K65" s="6" t="s">
        <v>8</v>
      </c>
      <c r="L65" s="7">
        <v>0</v>
      </c>
      <c r="M65" s="7">
        <v>0</v>
      </c>
      <c r="N65" s="7">
        <v>0</v>
      </c>
      <c r="O65" s="7">
        <v>0</v>
      </c>
      <c r="P65" s="73"/>
      <c r="Q65" s="143"/>
      <c r="R65" s="153" t="s">
        <v>11</v>
      </c>
      <c r="S65" s="6" t="s">
        <v>8</v>
      </c>
      <c r="T65" s="7">
        <v>0</v>
      </c>
      <c r="U65" s="7">
        <v>0</v>
      </c>
      <c r="V65" s="7">
        <v>0</v>
      </c>
      <c r="W65" s="7">
        <v>0</v>
      </c>
      <c r="X65" s="73"/>
      <c r="Y65" s="143"/>
      <c r="Z65" s="153" t="s">
        <v>11</v>
      </c>
      <c r="AA65" s="6" t="s">
        <v>8</v>
      </c>
      <c r="AB65" s="92">
        <v>0</v>
      </c>
      <c r="AC65" s="93">
        <v>0</v>
      </c>
      <c r="AD65" s="93">
        <v>0</v>
      </c>
      <c r="AE65" s="93">
        <v>0</v>
      </c>
      <c r="AF65" s="73"/>
      <c r="AG65" s="143"/>
      <c r="AH65" s="153" t="s">
        <v>11</v>
      </c>
      <c r="AI65" s="6" t="s">
        <v>8</v>
      </c>
      <c r="AJ65" s="7">
        <v>0</v>
      </c>
      <c r="AK65" s="7">
        <v>0</v>
      </c>
      <c r="AL65" s="7">
        <v>0</v>
      </c>
      <c r="AM65" s="7">
        <v>0</v>
      </c>
      <c r="AN65" s="73"/>
      <c r="AO65" s="143"/>
      <c r="AP65" s="153" t="s">
        <v>11</v>
      </c>
      <c r="AQ65" s="6" t="s">
        <v>8</v>
      </c>
      <c r="AR65" s="7">
        <v>0</v>
      </c>
      <c r="AS65" s="7">
        <v>0</v>
      </c>
      <c r="AT65" s="7">
        <v>0</v>
      </c>
      <c r="AU65" s="7">
        <v>0</v>
      </c>
      <c r="AV65" s="73"/>
      <c r="AW65" s="143"/>
      <c r="AX65" s="153" t="s">
        <v>11</v>
      </c>
      <c r="AY65" s="6" t="s">
        <v>8</v>
      </c>
      <c r="AZ65" s="7">
        <v>0</v>
      </c>
      <c r="BA65" s="7">
        <v>0</v>
      </c>
      <c r="BB65" s="7">
        <v>0</v>
      </c>
      <c r="BC65" s="7">
        <v>0</v>
      </c>
      <c r="BD65" s="73"/>
      <c r="BE65" s="143"/>
      <c r="BF65" s="153" t="s">
        <v>11</v>
      </c>
      <c r="BG65" s="6" t="s">
        <v>8</v>
      </c>
      <c r="BH65" s="114">
        <v>0</v>
      </c>
      <c r="BI65" s="114">
        <v>0</v>
      </c>
      <c r="BJ65" s="114">
        <v>0</v>
      </c>
      <c r="BK65" s="114">
        <v>0</v>
      </c>
      <c r="BL65" s="73"/>
      <c r="BM65" s="143"/>
      <c r="BN65" s="153" t="s">
        <v>11</v>
      </c>
      <c r="BO65" s="6" t="s">
        <v>8</v>
      </c>
      <c r="BP65" s="7">
        <v>0</v>
      </c>
      <c r="BQ65" s="7">
        <v>0</v>
      </c>
      <c r="BR65" s="7">
        <v>0</v>
      </c>
      <c r="BS65" s="7">
        <v>0</v>
      </c>
      <c r="BT65" s="73"/>
      <c r="BU65" s="143"/>
      <c r="BV65" s="153" t="s">
        <v>11</v>
      </c>
      <c r="BW65" s="6" t="s">
        <v>8</v>
      </c>
      <c r="BX65" s="7">
        <v>0</v>
      </c>
      <c r="BY65" s="7">
        <v>0</v>
      </c>
      <c r="BZ65" s="7">
        <v>0</v>
      </c>
      <c r="CA65" s="7">
        <v>0</v>
      </c>
      <c r="CB65" s="73"/>
      <c r="CC65" s="143"/>
      <c r="CD65" s="153" t="s">
        <v>11</v>
      </c>
      <c r="CE65" s="6" t="s">
        <v>8</v>
      </c>
      <c r="CF65" s="7">
        <v>0</v>
      </c>
      <c r="CG65" s="7">
        <v>0</v>
      </c>
      <c r="CH65" s="7">
        <v>0</v>
      </c>
      <c r="CI65" s="7">
        <v>0</v>
      </c>
      <c r="CJ65" s="73"/>
      <c r="CK65" s="143"/>
      <c r="CL65" s="153" t="s">
        <v>11</v>
      </c>
      <c r="CM65" s="6" t="s">
        <v>8</v>
      </c>
      <c r="CN65" s="7">
        <v>0</v>
      </c>
      <c r="CO65" s="7">
        <v>0</v>
      </c>
      <c r="CP65" s="7">
        <v>0</v>
      </c>
      <c r="CQ65" s="7">
        <v>0</v>
      </c>
      <c r="CR65" s="73"/>
      <c r="CS65" s="143"/>
      <c r="CT65" s="153" t="s">
        <v>11</v>
      </c>
      <c r="CU65" s="6" t="s">
        <v>8</v>
      </c>
      <c r="CV65" s="8">
        <f t="shared" ref="CV65:CV66" si="112">SUM(D65+L65+T65+AB65+AJ65+AR65+AZ65+BH65+BP65+BX65+CF65+CN65)</f>
        <v>0</v>
      </c>
      <c r="CW65" s="9">
        <f t="shared" ref="CW65:CW66" si="113">SUM(E65+M65+U65+AC65+AK65+AS65+BA65+BI65+BQ65+BY65+CG65+CO65)</f>
        <v>0</v>
      </c>
      <c r="CX65" s="9">
        <f t="shared" ref="CX65:CX66" si="114">SUM(F65+N65+V65+AD65+AL65+AT65+BB65+BJ65+BR65+BZ65+CH65+CP65)</f>
        <v>0</v>
      </c>
      <c r="CY65" s="9">
        <f t="shared" ref="CY65:CY66" si="115">SUM(G65+O65+W65+AE65+AM65+AU65+BC65+BK65+BS65+CA65+CI65+CQ65)</f>
        <v>0</v>
      </c>
    </row>
    <row r="66" spans="1:103" ht="20.100000000000001" customHeight="1" thickBot="1" x14ac:dyDescent="0.25">
      <c r="A66" s="143"/>
      <c r="B66" s="154"/>
      <c r="C66" s="10" t="s">
        <v>9</v>
      </c>
      <c r="D66" s="11">
        <v>0</v>
      </c>
      <c r="E66" s="11">
        <v>0</v>
      </c>
      <c r="F66" s="11">
        <v>0</v>
      </c>
      <c r="G66" s="11">
        <v>0</v>
      </c>
      <c r="H66" s="73"/>
      <c r="I66" s="143"/>
      <c r="J66" s="154"/>
      <c r="K66" s="10" t="s">
        <v>9</v>
      </c>
      <c r="L66" s="11">
        <v>0</v>
      </c>
      <c r="M66" s="11">
        <v>0</v>
      </c>
      <c r="N66" s="11">
        <v>0</v>
      </c>
      <c r="O66" s="11">
        <v>0</v>
      </c>
      <c r="P66" s="73"/>
      <c r="Q66" s="143"/>
      <c r="R66" s="154"/>
      <c r="S66" s="10" t="s">
        <v>9</v>
      </c>
      <c r="T66" s="11">
        <v>0</v>
      </c>
      <c r="U66" s="11">
        <v>0</v>
      </c>
      <c r="V66" s="11">
        <v>0</v>
      </c>
      <c r="W66" s="11">
        <v>0</v>
      </c>
      <c r="X66" s="73"/>
      <c r="Y66" s="143"/>
      <c r="Z66" s="154"/>
      <c r="AA66" s="10" t="s">
        <v>9</v>
      </c>
      <c r="AB66" s="11">
        <v>0</v>
      </c>
      <c r="AC66" s="11">
        <v>0</v>
      </c>
      <c r="AD66" s="11">
        <v>0</v>
      </c>
      <c r="AE66" s="11">
        <v>0</v>
      </c>
      <c r="AF66" s="73"/>
      <c r="AG66" s="143"/>
      <c r="AH66" s="154"/>
      <c r="AI66" s="10" t="s">
        <v>9</v>
      </c>
      <c r="AJ66" s="11">
        <v>0</v>
      </c>
      <c r="AK66" s="11">
        <v>0</v>
      </c>
      <c r="AL66" s="11">
        <v>0</v>
      </c>
      <c r="AM66" s="11">
        <v>0</v>
      </c>
      <c r="AN66" s="73"/>
      <c r="AO66" s="143"/>
      <c r="AP66" s="154"/>
      <c r="AQ66" s="10" t="s">
        <v>9</v>
      </c>
      <c r="AR66" s="11">
        <v>0</v>
      </c>
      <c r="AS66" s="11">
        <v>0</v>
      </c>
      <c r="AT66" s="11">
        <v>0</v>
      </c>
      <c r="AU66" s="11">
        <v>0</v>
      </c>
      <c r="AV66" s="73"/>
      <c r="AW66" s="143"/>
      <c r="AX66" s="154"/>
      <c r="AY66" s="10" t="s">
        <v>9</v>
      </c>
      <c r="AZ66" s="11">
        <v>0</v>
      </c>
      <c r="BA66" s="11">
        <v>0</v>
      </c>
      <c r="BB66" s="11">
        <v>0</v>
      </c>
      <c r="BC66" s="11">
        <v>0</v>
      </c>
      <c r="BD66" s="73"/>
      <c r="BE66" s="143"/>
      <c r="BF66" s="154"/>
      <c r="BG66" s="10" t="s">
        <v>9</v>
      </c>
      <c r="BH66" s="115">
        <v>0</v>
      </c>
      <c r="BI66" s="115">
        <v>0</v>
      </c>
      <c r="BJ66" s="115">
        <v>0</v>
      </c>
      <c r="BK66" s="115">
        <v>0</v>
      </c>
      <c r="BL66" s="73"/>
      <c r="BM66" s="143"/>
      <c r="BN66" s="154"/>
      <c r="BO66" s="10" t="s">
        <v>9</v>
      </c>
      <c r="BP66" s="11">
        <v>0</v>
      </c>
      <c r="BQ66" s="11">
        <v>0</v>
      </c>
      <c r="BR66" s="11">
        <v>0</v>
      </c>
      <c r="BS66" s="11">
        <v>0</v>
      </c>
      <c r="BT66" s="73"/>
      <c r="BU66" s="143"/>
      <c r="BV66" s="154"/>
      <c r="BW66" s="10" t="s">
        <v>9</v>
      </c>
      <c r="BX66" s="11">
        <v>0</v>
      </c>
      <c r="BY66" s="11">
        <v>0</v>
      </c>
      <c r="BZ66" s="11">
        <v>0</v>
      </c>
      <c r="CA66" s="11">
        <v>0</v>
      </c>
      <c r="CB66" s="73"/>
      <c r="CC66" s="143"/>
      <c r="CD66" s="154"/>
      <c r="CE66" s="10" t="s">
        <v>9</v>
      </c>
      <c r="CF66" s="11">
        <v>0</v>
      </c>
      <c r="CG66" s="11">
        <v>0</v>
      </c>
      <c r="CH66" s="11">
        <v>0</v>
      </c>
      <c r="CI66" s="11">
        <v>0</v>
      </c>
      <c r="CJ66" s="73"/>
      <c r="CK66" s="143"/>
      <c r="CL66" s="154"/>
      <c r="CM66" s="10" t="s">
        <v>9</v>
      </c>
      <c r="CN66" s="11">
        <v>0</v>
      </c>
      <c r="CO66" s="11">
        <v>0</v>
      </c>
      <c r="CP66" s="11">
        <v>0</v>
      </c>
      <c r="CQ66" s="11">
        <v>0</v>
      </c>
      <c r="CR66" s="73"/>
      <c r="CS66" s="143"/>
      <c r="CT66" s="154"/>
      <c r="CU66" s="10" t="s">
        <v>9</v>
      </c>
      <c r="CV66" s="12">
        <f t="shared" si="112"/>
        <v>0</v>
      </c>
      <c r="CW66" s="13">
        <f t="shared" si="113"/>
        <v>0</v>
      </c>
      <c r="CX66" s="13">
        <f t="shared" si="114"/>
        <v>0</v>
      </c>
      <c r="CY66" s="13">
        <f t="shared" si="115"/>
        <v>0</v>
      </c>
    </row>
    <row r="67" spans="1:103" ht="20.100000000000001" customHeight="1" thickBot="1" x14ac:dyDescent="0.25">
      <c r="A67" s="144"/>
      <c r="B67" s="151" t="s">
        <v>14</v>
      </c>
      <c r="C67" s="152"/>
      <c r="D67" s="14">
        <f>SUM(D65:D66)</f>
        <v>0</v>
      </c>
      <c r="E67" s="14">
        <f>SUM(E65:E66)</f>
        <v>0</v>
      </c>
      <c r="F67" s="14">
        <f>SUM(F65:F66)</f>
        <v>0</v>
      </c>
      <c r="G67" s="14">
        <f>SUM(G65:G66)</f>
        <v>0</v>
      </c>
      <c r="H67" s="73"/>
      <c r="I67" s="144"/>
      <c r="J67" s="151" t="s">
        <v>14</v>
      </c>
      <c r="K67" s="152"/>
      <c r="L67" s="14">
        <f>SUM(L65:L66)</f>
        <v>0</v>
      </c>
      <c r="M67" s="14">
        <f>SUM(M65:M66)</f>
        <v>0</v>
      </c>
      <c r="N67" s="14">
        <f>SUM(N65:N66)</f>
        <v>0</v>
      </c>
      <c r="O67" s="14">
        <f>SUM(O65:O66)</f>
        <v>0</v>
      </c>
      <c r="P67" s="73"/>
      <c r="Q67" s="144"/>
      <c r="R67" s="151" t="s">
        <v>14</v>
      </c>
      <c r="S67" s="152"/>
      <c r="T67" s="14">
        <f>SUM(T65:T66)</f>
        <v>0</v>
      </c>
      <c r="U67" s="14">
        <f>SUM(U65:U66)</f>
        <v>0</v>
      </c>
      <c r="V67" s="14">
        <f>SUM(V65:V66)</f>
        <v>0</v>
      </c>
      <c r="W67" s="14">
        <f>SUM(W65:W66)</f>
        <v>0</v>
      </c>
      <c r="X67" s="73"/>
      <c r="Y67" s="144"/>
      <c r="Z67" s="151" t="s">
        <v>14</v>
      </c>
      <c r="AA67" s="152"/>
      <c r="AB67" s="14">
        <f>SUM(AB65:AB66)</f>
        <v>0</v>
      </c>
      <c r="AC67" s="14">
        <f>SUM(AC65:AC66)</f>
        <v>0</v>
      </c>
      <c r="AD67" s="14">
        <f>SUM(AD65:AD66)</f>
        <v>0</v>
      </c>
      <c r="AE67" s="14">
        <f>SUM(AE65:AE66)</f>
        <v>0</v>
      </c>
      <c r="AF67" s="73"/>
      <c r="AG67" s="144"/>
      <c r="AH67" s="151" t="s">
        <v>14</v>
      </c>
      <c r="AI67" s="152"/>
      <c r="AJ67" s="14">
        <f>SUM(AJ65:AJ66)</f>
        <v>0</v>
      </c>
      <c r="AK67" s="14">
        <f>SUM(AK65:AK66)</f>
        <v>0</v>
      </c>
      <c r="AL67" s="14">
        <f>SUM(AL65:AL66)</f>
        <v>0</v>
      </c>
      <c r="AM67" s="14">
        <f>SUM(AM65:AM66)</f>
        <v>0</v>
      </c>
      <c r="AN67" s="73"/>
      <c r="AO67" s="144"/>
      <c r="AP67" s="151" t="s">
        <v>14</v>
      </c>
      <c r="AQ67" s="152"/>
      <c r="AR67" s="14">
        <f>SUM(AR65:AR66)</f>
        <v>0</v>
      </c>
      <c r="AS67" s="14">
        <f>SUM(AS65:AS66)</f>
        <v>0</v>
      </c>
      <c r="AT67" s="14">
        <f>SUM(AT65:AT66)</f>
        <v>0</v>
      </c>
      <c r="AU67" s="14">
        <f>SUM(AU65:AU66)</f>
        <v>0</v>
      </c>
      <c r="AV67" s="73"/>
      <c r="AW67" s="144"/>
      <c r="AX67" s="151" t="s">
        <v>14</v>
      </c>
      <c r="AY67" s="152"/>
      <c r="AZ67" s="14">
        <f>SUM(AZ65:AZ66)</f>
        <v>0</v>
      </c>
      <c r="BA67" s="14">
        <f>SUM(BA65:BA66)</f>
        <v>0</v>
      </c>
      <c r="BB67" s="14">
        <f>SUM(BB65:BB66)</f>
        <v>0</v>
      </c>
      <c r="BC67" s="14">
        <f>SUM(BC65:BC66)</f>
        <v>0</v>
      </c>
      <c r="BD67" s="73"/>
      <c r="BE67" s="144"/>
      <c r="BF67" s="151" t="s">
        <v>14</v>
      </c>
      <c r="BG67" s="152"/>
      <c r="BH67" s="116">
        <f t="shared" ref="BH67:BK67" si="116">SUM(BH65:BH66)</f>
        <v>0</v>
      </c>
      <c r="BI67" s="116">
        <f t="shared" si="116"/>
        <v>0</v>
      </c>
      <c r="BJ67" s="116">
        <f t="shared" si="116"/>
        <v>0</v>
      </c>
      <c r="BK67" s="116">
        <f t="shared" si="116"/>
        <v>0</v>
      </c>
      <c r="BL67" s="73"/>
      <c r="BM67" s="144"/>
      <c r="BN67" s="151" t="s">
        <v>14</v>
      </c>
      <c r="BO67" s="152"/>
      <c r="BP67" s="14">
        <f>SUM(BP65:BP66)</f>
        <v>0</v>
      </c>
      <c r="BQ67" s="14">
        <f>SUM(BQ65:BQ66)</f>
        <v>0</v>
      </c>
      <c r="BR67" s="14">
        <f>SUM(BR65:BR66)</f>
        <v>0</v>
      </c>
      <c r="BS67" s="14">
        <f>SUM(BS65:BS66)</f>
        <v>0</v>
      </c>
      <c r="BT67" s="73"/>
      <c r="BU67" s="144"/>
      <c r="BV67" s="151" t="s">
        <v>14</v>
      </c>
      <c r="BW67" s="152"/>
      <c r="BX67" s="14">
        <f>SUM(BX65:BX66)</f>
        <v>0</v>
      </c>
      <c r="BY67" s="14">
        <f>SUM(BY65:BY66)</f>
        <v>0</v>
      </c>
      <c r="BZ67" s="14">
        <f>SUM(BZ65:BZ66)</f>
        <v>0</v>
      </c>
      <c r="CA67" s="14">
        <f>SUM(CA65:CA66)</f>
        <v>0</v>
      </c>
      <c r="CB67" s="73"/>
      <c r="CC67" s="144"/>
      <c r="CD67" s="151" t="s">
        <v>14</v>
      </c>
      <c r="CE67" s="152"/>
      <c r="CF67" s="14">
        <f>SUM(CF65:CF66)</f>
        <v>0</v>
      </c>
      <c r="CG67" s="14">
        <f>SUM(CG65:CG66)</f>
        <v>0</v>
      </c>
      <c r="CH67" s="14">
        <f>SUM(CH65:CH66)</f>
        <v>0</v>
      </c>
      <c r="CI67" s="14">
        <f>SUM(CI65:CI66)</f>
        <v>0</v>
      </c>
      <c r="CJ67" s="73"/>
      <c r="CK67" s="144"/>
      <c r="CL67" s="151" t="s">
        <v>14</v>
      </c>
      <c r="CM67" s="152"/>
      <c r="CN67" s="14">
        <f>SUM(CN65:CN66)</f>
        <v>0</v>
      </c>
      <c r="CO67" s="14">
        <f>SUM(CO65:CO66)</f>
        <v>0</v>
      </c>
      <c r="CP67" s="14">
        <f>SUM(CP65:CP66)</f>
        <v>0</v>
      </c>
      <c r="CQ67" s="14">
        <f>SUM(CQ65:CQ66)</f>
        <v>0</v>
      </c>
      <c r="CR67" s="73"/>
      <c r="CS67" s="144"/>
      <c r="CT67" s="151" t="s">
        <v>14</v>
      </c>
      <c r="CU67" s="152"/>
      <c r="CV67" s="14">
        <f>SUM(CV65:CV66)</f>
        <v>0</v>
      </c>
      <c r="CW67" s="14">
        <f>SUM(CW65:CW66)</f>
        <v>0</v>
      </c>
      <c r="CX67" s="14">
        <f>SUM(CX65:CX66)</f>
        <v>0</v>
      </c>
      <c r="CY67" s="15">
        <f>SUM(CY65:CY66)</f>
        <v>0</v>
      </c>
    </row>
    <row r="68" spans="1:103" ht="20.100000000000001" customHeight="1" thickBot="1" x14ac:dyDescent="0.25">
      <c r="A68" s="17"/>
      <c r="B68" s="149" t="s">
        <v>12</v>
      </c>
      <c r="C68" s="150"/>
      <c r="D68" s="18">
        <f>SUM(D64+D67)</f>
        <v>0</v>
      </c>
      <c r="E68" s="18">
        <f>SUM(E64+E67)</f>
        <v>0</v>
      </c>
      <c r="F68" s="18">
        <f>SUM(F64+F67)</f>
        <v>0</v>
      </c>
      <c r="G68" s="18">
        <f>SUM(G64+G67)</f>
        <v>0</v>
      </c>
      <c r="H68" s="73"/>
      <c r="I68" s="17"/>
      <c r="J68" s="149" t="s">
        <v>12</v>
      </c>
      <c r="K68" s="150"/>
      <c r="L68" s="18">
        <f>SUM(L64+L67)</f>
        <v>0</v>
      </c>
      <c r="M68" s="18">
        <f>SUM(M64+M67)</f>
        <v>0</v>
      </c>
      <c r="N68" s="18">
        <f>SUM(N64+N67)</f>
        <v>0</v>
      </c>
      <c r="O68" s="18">
        <f>SUM(O64+O67)</f>
        <v>0</v>
      </c>
      <c r="P68" s="73"/>
      <c r="Q68" s="17"/>
      <c r="R68" s="149" t="s">
        <v>12</v>
      </c>
      <c r="S68" s="150"/>
      <c r="T68" s="18">
        <f>SUM(T64+T67)</f>
        <v>0</v>
      </c>
      <c r="U68" s="18">
        <f>SUM(U64+U67)</f>
        <v>0</v>
      </c>
      <c r="V68" s="18">
        <f>SUM(V64+V67)</f>
        <v>0</v>
      </c>
      <c r="W68" s="18">
        <f>SUM(W64+W67)</f>
        <v>0</v>
      </c>
      <c r="X68" s="73"/>
      <c r="Y68" s="17"/>
      <c r="Z68" s="149" t="s">
        <v>12</v>
      </c>
      <c r="AA68" s="150"/>
      <c r="AB68" s="18">
        <f>SUM(AB64+AB67)</f>
        <v>0</v>
      </c>
      <c r="AC68" s="18">
        <f>SUM(AC64+AC67)</f>
        <v>0</v>
      </c>
      <c r="AD68" s="18">
        <f>SUM(AD64+AD67)</f>
        <v>0</v>
      </c>
      <c r="AE68" s="18">
        <f>SUM(AE64+AE67)</f>
        <v>0</v>
      </c>
      <c r="AF68" s="73"/>
      <c r="AG68" s="17"/>
      <c r="AH68" s="149" t="s">
        <v>12</v>
      </c>
      <c r="AI68" s="150"/>
      <c r="AJ68" s="18">
        <f>SUM(AJ64+AJ67)</f>
        <v>0</v>
      </c>
      <c r="AK68" s="18">
        <f>SUM(AK64+AK67)</f>
        <v>0</v>
      </c>
      <c r="AL68" s="18">
        <f>SUM(AL64+AL67)</f>
        <v>0</v>
      </c>
      <c r="AM68" s="18">
        <f>SUM(AM64+AM67)</f>
        <v>0</v>
      </c>
      <c r="AN68" s="73"/>
      <c r="AO68" s="17"/>
      <c r="AP68" s="149" t="s">
        <v>12</v>
      </c>
      <c r="AQ68" s="150"/>
      <c r="AR68" s="18">
        <f>SUM(AR64+AR67)</f>
        <v>0</v>
      </c>
      <c r="AS68" s="18">
        <f>SUM(AS64+AS67)</f>
        <v>0</v>
      </c>
      <c r="AT68" s="18">
        <f>SUM(AT64+AT67)</f>
        <v>0</v>
      </c>
      <c r="AU68" s="18">
        <f>SUM(AU64+AU67)</f>
        <v>0</v>
      </c>
      <c r="AV68" s="73"/>
      <c r="AW68" s="17"/>
      <c r="AX68" s="149" t="s">
        <v>12</v>
      </c>
      <c r="AY68" s="150"/>
      <c r="AZ68" s="18">
        <f>SUM(AZ64+AZ67)</f>
        <v>0</v>
      </c>
      <c r="BA68" s="18">
        <f>SUM(BA64+BA67)</f>
        <v>0</v>
      </c>
      <c r="BB68" s="18">
        <f>SUM(BB64+BB67)</f>
        <v>0</v>
      </c>
      <c r="BC68" s="18">
        <f>SUM(BC64+BC67)</f>
        <v>0</v>
      </c>
      <c r="BD68" s="73"/>
      <c r="BE68" s="17"/>
      <c r="BF68" s="149" t="s">
        <v>12</v>
      </c>
      <c r="BG68" s="150"/>
      <c r="BH68" s="117">
        <f t="shared" ref="BH68:BK68" si="117">SUM(BH64+BH67)</f>
        <v>0</v>
      </c>
      <c r="BI68" s="117">
        <f t="shared" si="117"/>
        <v>0</v>
      </c>
      <c r="BJ68" s="117">
        <f t="shared" si="117"/>
        <v>0</v>
      </c>
      <c r="BK68" s="117">
        <f t="shared" si="117"/>
        <v>0</v>
      </c>
      <c r="BL68" s="73"/>
      <c r="BM68" s="17"/>
      <c r="BN68" s="149" t="s">
        <v>12</v>
      </c>
      <c r="BO68" s="150"/>
      <c r="BP68" s="18">
        <f>SUM(BP64+BP67)</f>
        <v>0</v>
      </c>
      <c r="BQ68" s="18">
        <f>SUM(BQ64+BQ67)</f>
        <v>0</v>
      </c>
      <c r="BR68" s="18">
        <f>SUM(BR64+BR67)</f>
        <v>0</v>
      </c>
      <c r="BS68" s="18">
        <f>SUM(BS64+BS67)</f>
        <v>0</v>
      </c>
      <c r="BT68" s="73"/>
      <c r="BU68" s="17"/>
      <c r="BV68" s="149" t="s">
        <v>12</v>
      </c>
      <c r="BW68" s="150"/>
      <c r="BX68" s="18">
        <f>SUM(BX64+BX67)</f>
        <v>0</v>
      </c>
      <c r="BY68" s="18">
        <f>SUM(BY64+BY67)</f>
        <v>0</v>
      </c>
      <c r="BZ68" s="18">
        <f>SUM(BZ64+BZ67)</f>
        <v>0</v>
      </c>
      <c r="CA68" s="18">
        <f>SUM(CA64+CA67)</f>
        <v>0</v>
      </c>
      <c r="CB68" s="73"/>
      <c r="CC68" s="17"/>
      <c r="CD68" s="149" t="s">
        <v>12</v>
      </c>
      <c r="CE68" s="150"/>
      <c r="CF68" s="18">
        <f>SUM(CF64+CF67)</f>
        <v>0</v>
      </c>
      <c r="CG68" s="18">
        <f>SUM(CG64+CG67)</f>
        <v>0</v>
      </c>
      <c r="CH68" s="18">
        <f>SUM(CH64+CH67)</f>
        <v>0</v>
      </c>
      <c r="CI68" s="18">
        <f>SUM(CI64+CI67)</f>
        <v>0</v>
      </c>
      <c r="CJ68" s="73"/>
      <c r="CK68" s="17"/>
      <c r="CL68" s="149" t="s">
        <v>12</v>
      </c>
      <c r="CM68" s="150"/>
      <c r="CN68" s="18">
        <f>SUM(CN64+CN67)</f>
        <v>0</v>
      </c>
      <c r="CO68" s="18">
        <f>SUM(CO64+CO67)</f>
        <v>0</v>
      </c>
      <c r="CP68" s="18">
        <f>SUM(CP64+CP67)</f>
        <v>0</v>
      </c>
      <c r="CQ68" s="18">
        <f>SUM(CQ64+CQ67)</f>
        <v>0</v>
      </c>
      <c r="CR68" s="73"/>
      <c r="CS68" s="17"/>
      <c r="CT68" s="149" t="s">
        <v>12</v>
      </c>
      <c r="CU68" s="150"/>
      <c r="CV68" s="18">
        <f>SUM(CV64+CV67)</f>
        <v>0</v>
      </c>
      <c r="CW68" s="18">
        <f>SUM(CW64+CW67)</f>
        <v>0</v>
      </c>
      <c r="CX68" s="18">
        <f>SUM(CX64+CX67)</f>
        <v>0</v>
      </c>
      <c r="CY68" s="23">
        <f>SUM(CY64+CY67)</f>
        <v>0</v>
      </c>
    </row>
    <row r="69" spans="1:103" ht="20.100000000000001" customHeight="1" x14ac:dyDescent="0.2">
      <c r="A69" s="142">
        <v>0</v>
      </c>
      <c r="B69" s="140" t="s">
        <v>3</v>
      </c>
      <c r="C69" s="6" t="s">
        <v>8</v>
      </c>
      <c r="D69" s="7">
        <v>0</v>
      </c>
      <c r="E69" s="7">
        <v>0</v>
      </c>
      <c r="F69" s="7">
        <v>0</v>
      </c>
      <c r="G69" s="7">
        <v>0</v>
      </c>
      <c r="H69" s="73"/>
      <c r="I69" s="142">
        <v>0</v>
      </c>
      <c r="J69" s="140" t="s">
        <v>3</v>
      </c>
      <c r="K69" s="6" t="s">
        <v>8</v>
      </c>
      <c r="L69" s="7">
        <v>0</v>
      </c>
      <c r="M69" s="7">
        <v>0</v>
      </c>
      <c r="N69" s="7">
        <v>0</v>
      </c>
      <c r="O69" s="7">
        <v>0</v>
      </c>
      <c r="P69" s="73"/>
      <c r="Q69" s="142">
        <v>0</v>
      </c>
      <c r="R69" s="140" t="s">
        <v>3</v>
      </c>
      <c r="S69" s="6" t="s">
        <v>8</v>
      </c>
      <c r="T69" s="7">
        <v>0</v>
      </c>
      <c r="U69" s="7">
        <v>0</v>
      </c>
      <c r="V69" s="7">
        <v>0</v>
      </c>
      <c r="W69" s="7">
        <v>0</v>
      </c>
      <c r="X69" s="73"/>
      <c r="Y69" s="142">
        <v>0</v>
      </c>
      <c r="Z69" s="140" t="s">
        <v>3</v>
      </c>
      <c r="AA69" s="6" t="s">
        <v>8</v>
      </c>
      <c r="AB69" s="7">
        <v>0</v>
      </c>
      <c r="AC69" s="7">
        <v>0</v>
      </c>
      <c r="AD69" s="7">
        <v>0</v>
      </c>
      <c r="AE69" s="7">
        <v>0</v>
      </c>
      <c r="AF69" s="73"/>
      <c r="AG69" s="142">
        <v>0</v>
      </c>
      <c r="AH69" s="140" t="s">
        <v>3</v>
      </c>
      <c r="AI69" s="6" t="s">
        <v>8</v>
      </c>
      <c r="AJ69" s="7">
        <v>0</v>
      </c>
      <c r="AK69" s="7">
        <v>0</v>
      </c>
      <c r="AL69" s="7">
        <v>0</v>
      </c>
      <c r="AM69" s="7">
        <v>0</v>
      </c>
      <c r="AN69" s="73"/>
      <c r="AO69" s="142">
        <v>0</v>
      </c>
      <c r="AP69" s="140" t="s">
        <v>3</v>
      </c>
      <c r="AQ69" s="6" t="s">
        <v>8</v>
      </c>
      <c r="AR69" s="7">
        <v>0</v>
      </c>
      <c r="AS69" s="7">
        <v>0</v>
      </c>
      <c r="AT69" s="7">
        <v>0</v>
      </c>
      <c r="AU69" s="7">
        <v>0</v>
      </c>
      <c r="AV69" s="73"/>
      <c r="AW69" s="142">
        <v>0</v>
      </c>
      <c r="AX69" s="140" t="s">
        <v>3</v>
      </c>
      <c r="AY69" s="6" t="s">
        <v>8</v>
      </c>
      <c r="AZ69" s="7">
        <v>0</v>
      </c>
      <c r="BA69" s="7">
        <v>0</v>
      </c>
      <c r="BB69" s="7">
        <v>0</v>
      </c>
      <c r="BC69" s="7">
        <v>0</v>
      </c>
      <c r="BD69" s="73"/>
      <c r="BE69" s="142">
        <v>0</v>
      </c>
      <c r="BF69" s="140" t="s">
        <v>3</v>
      </c>
      <c r="BG69" s="6" t="s">
        <v>8</v>
      </c>
      <c r="BH69" s="114">
        <v>0</v>
      </c>
      <c r="BI69" s="114">
        <v>0</v>
      </c>
      <c r="BJ69" s="114">
        <v>0</v>
      </c>
      <c r="BK69" s="114">
        <v>0</v>
      </c>
      <c r="BL69" s="73"/>
      <c r="BM69" s="142">
        <v>0</v>
      </c>
      <c r="BN69" s="140" t="s">
        <v>3</v>
      </c>
      <c r="BO69" s="6" t="s">
        <v>8</v>
      </c>
      <c r="BP69" s="7">
        <v>0</v>
      </c>
      <c r="BQ69" s="7">
        <v>0</v>
      </c>
      <c r="BR69" s="7">
        <v>0</v>
      </c>
      <c r="BS69" s="7">
        <v>0</v>
      </c>
      <c r="BT69" s="73"/>
      <c r="BU69" s="142">
        <v>0</v>
      </c>
      <c r="BV69" s="140" t="s">
        <v>3</v>
      </c>
      <c r="BW69" s="6" t="s">
        <v>8</v>
      </c>
      <c r="BX69" s="7">
        <v>0</v>
      </c>
      <c r="BY69" s="7">
        <v>0</v>
      </c>
      <c r="BZ69" s="7">
        <v>0</v>
      </c>
      <c r="CA69" s="7">
        <v>0</v>
      </c>
      <c r="CB69" s="73"/>
      <c r="CC69" s="142">
        <v>0</v>
      </c>
      <c r="CD69" s="140" t="s">
        <v>3</v>
      </c>
      <c r="CE69" s="6" t="s">
        <v>8</v>
      </c>
      <c r="CF69" s="7">
        <v>0</v>
      </c>
      <c r="CG69" s="7">
        <v>0</v>
      </c>
      <c r="CH69" s="7">
        <v>0</v>
      </c>
      <c r="CI69" s="7">
        <v>0</v>
      </c>
      <c r="CJ69" s="73"/>
      <c r="CK69" s="142">
        <v>0</v>
      </c>
      <c r="CL69" s="140" t="s">
        <v>3</v>
      </c>
      <c r="CM69" s="6" t="s">
        <v>8</v>
      </c>
      <c r="CN69" s="7">
        <v>0</v>
      </c>
      <c r="CO69" s="7">
        <v>0</v>
      </c>
      <c r="CP69" s="7">
        <v>0</v>
      </c>
      <c r="CQ69" s="7">
        <v>0</v>
      </c>
      <c r="CR69" s="73"/>
      <c r="CS69" s="142">
        <f>(CK69)</f>
        <v>0</v>
      </c>
      <c r="CT69" s="140" t="s">
        <v>3</v>
      </c>
      <c r="CU69" s="6" t="s">
        <v>8</v>
      </c>
      <c r="CV69" s="8">
        <f t="shared" ref="CV69:CV70" si="118">SUM(D69+L69+T69+AB69+AJ69+AR69+AZ69+BH69+BP69+BX69+CF69+CN69)</f>
        <v>0</v>
      </c>
      <c r="CW69" s="9">
        <f t="shared" ref="CW69:CW70" si="119">SUM(E69+M69+U69+AC69+AK69+AS69+BA69+BI69+BQ69+BY69+CG69+CO69)</f>
        <v>0</v>
      </c>
      <c r="CX69" s="9">
        <f t="shared" ref="CX69:CX70" si="120">SUM(F69+N69+V69+AD69+AL69+AT69+BB69+BJ69+BR69+BZ69+CH69+CP69)</f>
        <v>0</v>
      </c>
      <c r="CY69" s="9">
        <f t="shared" ref="CY69:CY70" si="121">SUM(G69+O69+W69+AE69+AM69+AU69+BC69+BK69+BS69+CA69+CI69+CQ69)</f>
        <v>0</v>
      </c>
    </row>
    <row r="70" spans="1:103" ht="20.100000000000001" customHeight="1" thickBot="1" x14ac:dyDescent="0.25">
      <c r="A70" s="143"/>
      <c r="B70" s="141"/>
      <c r="C70" s="10" t="s">
        <v>9</v>
      </c>
      <c r="D70" s="11">
        <v>0</v>
      </c>
      <c r="E70" s="11">
        <v>0</v>
      </c>
      <c r="F70" s="11">
        <v>0</v>
      </c>
      <c r="G70" s="11">
        <v>0</v>
      </c>
      <c r="H70" s="73"/>
      <c r="I70" s="143"/>
      <c r="J70" s="141"/>
      <c r="K70" s="10" t="s">
        <v>9</v>
      </c>
      <c r="L70" s="11">
        <v>0</v>
      </c>
      <c r="M70" s="11">
        <v>0</v>
      </c>
      <c r="N70" s="11">
        <v>0</v>
      </c>
      <c r="O70" s="11">
        <v>0</v>
      </c>
      <c r="P70" s="73"/>
      <c r="Q70" s="143"/>
      <c r="R70" s="141"/>
      <c r="S70" s="10" t="s">
        <v>9</v>
      </c>
      <c r="T70" s="11">
        <v>0</v>
      </c>
      <c r="U70" s="11">
        <v>0</v>
      </c>
      <c r="V70" s="11">
        <v>0</v>
      </c>
      <c r="W70" s="11">
        <v>0</v>
      </c>
      <c r="X70" s="73"/>
      <c r="Y70" s="143"/>
      <c r="Z70" s="141"/>
      <c r="AA70" s="10" t="s">
        <v>9</v>
      </c>
      <c r="AB70" s="11">
        <v>0</v>
      </c>
      <c r="AC70" s="11">
        <v>0</v>
      </c>
      <c r="AD70" s="11">
        <v>0</v>
      </c>
      <c r="AE70" s="11">
        <v>0</v>
      </c>
      <c r="AF70" s="73"/>
      <c r="AG70" s="143"/>
      <c r="AH70" s="141"/>
      <c r="AI70" s="10" t="s">
        <v>9</v>
      </c>
      <c r="AJ70" s="11">
        <v>0</v>
      </c>
      <c r="AK70" s="11">
        <v>0</v>
      </c>
      <c r="AL70" s="11">
        <v>0</v>
      </c>
      <c r="AM70" s="11">
        <v>0</v>
      </c>
      <c r="AN70" s="73"/>
      <c r="AO70" s="143"/>
      <c r="AP70" s="141"/>
      <c r="AQ70" s="10" t="s">
        <v>9</v>
      </c>
      <c r="AR70" s="11">
        <v>0</v>
      </c>
      <c r="AS70" s="11">
        <v>0</v>
      </c>
      <c r="AT70" s="11">
        <v>0</v>
      </c>
      <c r="AU70" s="11">
        <v>0</v>
      </c>
      <c r="AV70" s="73"/>
      <c r="AW70" s="143"/>
      <c r="AX70" s="141"/>
      <c r="AY70" s="10" t="s">
        <v>9</v>
      </c>
      <c r="AZ70" s="11">
        <v>0</v>
      </c>
      <c r="BA70" s="11">
        <v>0</v>
      </c>
      <c r="BB70" s="11">
        <v>0</v>
      </c>
      <c r="BC70" s="11">
        <v>0</v>
      </c>
      <c r="BD70" s="73"/>
      <c r="BE70" s="143"/>
      <c r="BF70" s="141"/>
      <c r="BG70" s="10" t="s">
        <v>9</v>
      </c>
      <c r="BH70" s="115">
        <v>0</v>
      </c>
      <c r="BI70" s="115">
        <v>0</v>
      </c>
      <c r="BJ70" s="115">
        <v>0</v>
      </c>
      <c r="BK70" s="115">
        <v>0</v>
      </c>
      <c r="BL70" s="73"/>
      <c r="BM70" s="143"/>
      <c r="BN70" s="141"/>
      <c r="BO70" s="10" t="s">
        <v>9</v>
      </c>
      <c r="BP70" s="11">
        <v>0</v>
      </c>
      <c r="BQ70" s="11">
        <v>0</v>
      </c>
      <c r="BR70" s="11">
        <v>0</v>
      </c>
      <c r="BS70" s="11">
        <v>0</v>
      </c>
      <c r="BT70" s="73"/>
      <c r="BU70" s="143"/>
      <c r="BV70" s="141"/>
      <c r="BW70" s="10" t="s">
        <v>9</v>
      </c>
      <c r="BX70" s="11">
        <v>0</v>
      </c>
      <c r="BY70" s="11">
        <v>0</v>
      </c>
      <c r="BZ70" s="11">
        <v>0</v>
      </c>
      <c r="CA70" s="11">
        <v>0</v>
      </c>
      <c r="CB70" s="73"/>
      <c r="CC70" s="143"/>
      <c r="CD70" s="141"/>
      <c r="CE70" s="10" t="s">
        <v>9</v>
      </c>
      <c r="CF70" s="11">
        <v>0</v>
      </c>
      <c r="CG70" s="11">
        <v>0</v>
      </c>
      <c r="CH70" s="11">
        <v>0</v>
      </c>
      <c r="CI70" s="11">
        <v>0</v>
      </c>
      <c r="CJ70" s="73"/>
      <c r="CK70" s="143"/>
      <c r="CL70" s="141"/>
      <c r="CM70" s="10" t="s">
        <v>9</v>
      </c>
      <c r="CN70" s="11">
        <v>0</v>
      </c>
      <c r="CO70" s="11">
        <v>0</v>
      </c>
      <c r="CP70" s="11">
        <v>0</v>
      </c>
      <c r="CQ70" s="11">
        <v>0</v>
      </c>
      <c r="CR70" s="73"/>
      <c r="CS70" s="143"/>
      <c r="CT70" s="141"/>
      <c r="CU70" s="10" t="s">
        <v>9</v>
      </c>
      <c r="CV70" s="12">
        <f t="shared" si="118"/>
        <v>0</v>
      </c>
      <c r="CW70" s="13">
        <f t="shared" si="119"/>
        <v>0</v>
      </c>
      <c r="CX70" s="13">
        <f t="shared" si="120"/>
        <v>0</v>
      </c>
      <c r="CY70" s="13">
        <f t="shared" si="121"/>
        <v>0</v>
      </c>
    </row>
    <row r="71" spans="1:103" ht="20.100000000000001" customHeight="1" thickBot="1" x14ac:dyDescent="0.25">
      <c r="A71" s="143"/>
      <c r="B71" s="145" t="s">
        <v>10</v>
      </c>
      <c r="C71" s="146"/>
      <c r="D71" s="14">
        <f>SUM(D69:D70)</f>
        <v>0</v>
      </c>
      <c r="E71" s="14">
        <f>SUM(E69:E70)</f>
        <v>0</v>
      </c>
      <c r="F71" s="14">
        <f>SUM(F69:F70)</f>
        <v>0</v>
      </c>
      <c r="G71" s="14">
        <f>SUM(G69:G70)</f>
        <v>0</v>
      </c>
      <c r="H71" s="73"/>
      <c r="I71" s="143"/>
      <c r="J71" s="145" t="s">
        <v>10</v>
      </c>
      <c r="K71" s="146"/>
      <c r="L71" s="14">
        <f>SUM(L69:L70)</f>
        <v>0</v>
      </c>
      <c r="M71" s="14">
        <f>SUM(M69:M70)</f>
        <v>0</v>
      </c>
      <c r="N71" s="14">
        <f>SUM(N69:N70)</f>
        <v>0</v>
      </c>
      <c r="O71" s="14">
        <f>SUM(O69:O70)</f>
        <v>0</v>
      </c>
      <c r="P71" s="73"/>
      <c r="Q71" s="143"/>
      <c r="R71" s="145" t="s">
        <v>10</v>
      </c>
      <c r="S71" s="146"/>
      <c r="T71" s="14">
        <f>SUM(T69:T70)</f>
        <v>0</v>
      </c>
      <c r="U71" s="14">
        <f>SUM(U69:U70)</f>
        <v>0</v>
      </c>
      <c r="V71" s="14">
        <f>SUM(V69:V70)</f>
        <v>0</v>
      </c>
      <c r="W71" s="14">
        <f>SUM(W69:W70)</f>
        <v>0</v>
      </c>
      <c r="X71" s="73"/>
      <c r="Y71" s="143"/>
      <c r="Z71" s="145" t="s">
        <v>10</v>
      </c>
      <c r="AA71" s="146"/>
      <c r="AB71" s="14">
        <f>SUM(AB69:AB70)</f>
        <v>0</v>
      </c>
      <c r="AC71" s="14">
        <f>SUM(AC69:AC70)</f>
        <v>0</v>
      </c>
      <c r="AD71" s="14">
        <f>SUM(AD69:AD70)</f>
        <v>0</v>
      </c>
      <c r="AE71" s="14">
        <f>SUM(AE69:AE70)</f>
        <v>0</v>
      </c>
      <c r="AF71" s="73"/>
      <c r="AG71" s="143"/>
      <c r="AH71" s="145" t="s">
        <v>10</v>
      </c>
      <c r="AI71" s="146"/>
      <c r="AJ71" s="14">
        <f>SUM(AJ69:AJ70)</f>
        <v>0</v>
      </c>
      <c r="AK71" s="14">
        <f>SUM(AK69:AK70)</f>
        <v>0</v>
      </c>
      <c r="AL71" s="14">
        <f>SUM(AL69:AL70)</f>
        <v>0</v>
      </c>
      <c r="AM71" s="14">
        <f>SUM(AM69:AM70)</f>
        <v>0</v>
      </c>
      <c r="AN71" s="73"/>
      <c r="AO71" s="143"/>
      <c r="AP71" s="145" t="s">
        <v>10</v>
      </c>
      <c r="AQ71" s="146"/>
      <c r="AR71" s="14">
        <f>SUM(AR69:AR70)</f>
        <v>0</v>
      </c>
      <c r="AS71" s="14">
        <f>SUM(AS69:AS70)</f>
        <v>0</v>
      </c>
      <c r="AT71" s="14">
        <f>SUM(AT69:AT70)</f>
        <v>0</v>
      </c>
      <c r="AU71" s="14">
        <f>SUM(AU69:AU70)</f>
        <v>0</v>
      </c>
      <c r="AV71" s="73"/>
      <c r="AW71" s="143"/>
      <c r="AX71" s="145" t="s">
        <v>10</v>
      </c>
      <c r="AY71" s="146"/>
      <c r="AZ71" s="14">
        <f>SUM(AZ69:AZ70)</f>
        <v>0</v>
      </c>
      <c r="BA71" s="14">
        <f>SUM(BA69:BA70)</f>
        <v>0</v>
      </c>
      <c r="BB71" s="14">
        <f>SUM(BB69:BB70)</f>
        <v>0</v>
      </c>
      <c r="BC71" s="14">
        <f>SUM(BC69:BC70)</f>
        <v>0</v>
      </c>
      <c r="BD71" s="73"/>
      <c r="BE71" s="143"/>
      <c r="BF71" s="145" t="s">
        <v>10</v>
      </c>
      <c r="BG71" s="146"/>
      <c r="BH71" s="116">
        <f t="shared" ref="BH71:BK71" si="122">SUM(BH69:BH70)</f>
        <v>0</v>
      </c>
      <c r="BI71" s="116">
        <f t="shared" si="122"/>
        <v>0</v>
      </c>
      <c r="BJ71" s="116">
        <f t="shared" si="122"/>
        <v>0</v>
      </c>
      <c r="BK71" s="116">
        <f t="shared" si="122"/>
        <v>0</v>
      </c>
      <c r="BL71" s="73"/>
      <c r="BM71" s="143"/>
      <c r="BN71" s="145" t="s">
        <v>10</v>
      </c>
      <c r="BO71" s="146"/>
      <c r="BP71" s="14">
        <f>SUM(BP69:BP70)</f>
        <v>0</v>
      </c>
      <c r="BQ71" s="14">
        <f>SUM(BQ69:BQ70)</f>
        <v>0</v>
      </c>
      <c r="BR71" s="14">
        <f>SUM(BR69:BR70)</f>
        <v>0</v>
      </c>
      <c r="BS71" s="14">
        <f>SUM(BS69:BS70)</f>
        <v>0</v>
      </c>
      <c r="BT71" s="73"/>
      <c r="BU71" s="143"/>
      <c r="BV71" s="145" t="s">
        <v>10</v>
      </c>
      <c r="BW71" s="146"/>
      <c r="BX71" s="14">
        <f>SUM(BX69:BX70)</f>
        <v>0</v>
      </c>
      <c r="BY71" s="14">
        <f>SUM(BY69:BY70)</f>
        <v>0</v>
      </c>
      <c r="BZ71" s="14">
        <f>SUM(BZ69:BZ70)</f>
        <v>0</v>
      </c>
      <c r="CA71" s="14">
        <f>SUM(CA69:CA70)</f>
        <v>0</v>
      </c>
      <c r="CB71" s="73"/>
      <c r="CC71" s="143"/>
      <c r="CD71" s="145" t="s">
        <v>10</v>
      </c>
      <c r="CE71" s="146"/>
      <c r="CF71" s="14">
        <f>SUM(CF69:CF70)</f>
        <v>0</v>
      </c>
      <c r="CG71" s="14">
        <f>SUM(CG69:CG70)</f>
        <v>0</v>
      </c>
      <c r="CH71" s="14">
        <f>SUM(CH69:CH70)</f>
        <v>0</v>
      </c>
      <c r="CI71" s="14">
        <f>SUM(CI69:CI70)</f>
        <v>0</v>
      </c>
      <c r="CJ71" s="73"/>
      <c r="CK71" s="143"/>
      <c r="CL71" s="145" t="s">
        <v>10</v>
      </c>
      <c r="CM71" s="146"/>
      <c r="CN71" s="14">
        <f>SUM(CN69:CN70)</f>
        <v>0</v>
      </c>
      <c r="CO71" s="14">
        <f>SUM(CO69:CO70)</f>
        <v>0</v>
      </c>
      <c r="CP71" s="14">
        <f>SUM(CP69:CP70)</f>
        <v>0</v>
      </c>
      <c r="CQ71" s="14">
        <f>SUM(CQ69:CQ70)</f>
        <v>0</v>
      </c>
      <c r="CR71" s="73"/>
      <c r="CS71" s="143"/>
      <c r="CT71" s="145" t="s">
        <v>10</v>
      </c>
      <c r="CU71" s="146"/>
      <c r="CV71" s="16">
        <f>SUM(CV69:CV70)</f>
        <v>0</v>
      </c>
      <c r="CW71" s="16">
        <f>SUM(CW69:CW70)</f>
        <v>0</v>
      </c>
      <c r="CX71" s="16">
        <f>SUM(CX69:CX70)</f>
        <v>0</v>
      </c>
      <c r="CY71" s="20">
        <f>SUM(CY69:CY70)</f>
        <v>0</v>
      </c>
    </row>
    <row r="72" spans="1:103" ht="20.100000000000001" customHeight="1" x14ac:dyDescent="0.2">
      <c r="A72" s="143"/>
      <c r="B72" s="153" t="s">
        <v>11</v>
      </c>
      <c r="C72" s="6" t="s">
        <v>8</v>
      </c>
      <c r="D72" s="7">
        <v>0</v>
      </c>
      <c r="E72" s="7">
        <v>0</v>
      </c>
      <c r="F72" s="7">
        <v>0</v>
      </c>
      <c r="G72" s="7">
        <v>0</v>
      </c>
      <c r="H72" s="73"/>
      <c r="I72" s="143"/>
      <c r="J72" s="153" t="s">
        <v>11</v>
      </c>
      <c r="K72" s="6" t="s">
        <v>8</v>
      </c>
      <c r="L72" s="7">
        <v>0</v>
      </c>
      <c r="M72" s="7">
        <v>0</v>
      </c>
      <c r="N72" s="7">
        <v>0</v>
      </c>
      <c r="O72" s="7">
        <v>0</v>
      </c>
      <c r="P72" s="73"/>
      <c r="Q72" s="143"/>
      <c r="R72" s="153" t="s">
        <v>11</v>
      </c>
      <c r="S72" s="6" t="s">
        <v>8</v>
      </c>
      <c r="T72" s="7">
        <v>0</v>
      </c>
      <c r="U72" s="7">
        <v>0</v>
      </c>
      <c r="V72" s="7">
        <v>0</v>
      </c>
      <c r="W72" s="7">
        <v>0</v>
      </c>
      <c r="X72" s="73"/>
      <c r="Y72" s="143"/>
      <c r="Z72" s="153" t="s">
        <v>11</v>
      </c>
      <c r="AA72" s="6" t="s">
        <v>8</v>
      </c>
      <c r="AB72" s="7">
        <v>0</v>
      </c>
      <c r="AC72" s="7">
        <v>0</v>
      </c>
      <c r="AD72" s="7">
        <v>0</v>
      </c>
      <c r="AE72" s="7">
        <v>0</v>
      </c>
      <c r="AF72" s="73"/>
      <c r="AG72" s="143"/>
      <c r="AH72" s="153" t="s">
        <v>11</v>
      </c>
      <c r="AI72" s="6" t="s">
        <v>8</v>
      </c>
      <c r="AJ72" s="7">
        <v>0</v>
      </c>
      <c r="AK72" s="7">
        <v>0</v>
      </c>
      <c r="AL72" s="7">
        <v>0</v>
      </c>
      <c r="AM72" s="7">
        <v>0</v>
      </c>
      <c r="AN72" s="73"/>
      <c r="AO72" s="143"/>
      <c r="AP72" s="153" t="s">
        <v>11</v>
      </c>
      <c r="AQ72" s="6" t="s">
        <v>8</v>
      </c>
      <c r="AR72" s="7">
        <v>0</v>
      </c>
      <c r="AS72" s="7">
        <v>0</v>
      </c>
      <c r="AT72" s="7">
        <v>0</v>
      </c>
      <c r="AU72" s="7">
        <v>0</v>
      </c>
      <c r="AV72" s="73"/>
      <c r="AW72" s="143"/>
      <c r="AX72" s="153" t="s">
        <v>11</v>
      </c>
      <c r="AY72" s="6" t="s">
        <v>8</v>
      </c>
      <c r="AZ72" s="7">
        <v>0</v>
      </c>
      <c r="BA72" s="7">
        <v>0</v>
      </c>
      <c r="BB72" s="7">
        <v>0</v>
      </c>
      <c r="BC72" s="7">
        <v>0</v>
      </c>
      <c r="BD72" s="73"/>
      <c r="BE72" s="143"/>
      <c r="BF72" s="153" t="s">
        <v>11</v>
      </c>
      <c r="BG72" s="6" t="s">
        <v>8</v>
      </c>
      <c r="BH72" s="114">
        <v>0</v>
      </c>
      <c r="BI72" s="114">
        <v>0</v>
      </c>
      <c r="BJ72" s="114">
        <v>0</v>
      </c>
      <c r="BK72" s="114">
        <v>0</v>
      </c>
      <c r="BL72" s="73"/>
      <c r="BM72" s="143"/>
      <c r="BN72" s="153" t="s">
        <v>11</v>
      </c>
      <c r="BO72" s="6" t="s">
        <v>8</v>
      </c>
      <c r="BP72" s="7">
        <v>0</v>
      </c>
      <c r="BQ72" s="7">
        <v>0</v>
      </c>
      <c r="BR72" s="7">
        <v>0</v>
      </c>
      <c r="BS72" s="7">
        <v>0</v>
      </c>
      <c r="BT72" s="73"/>
      <c r="BU72" s="143"/>
      <c r="BV72" s="153" t="s">
        <v>11</v>
      </c>
      <c r="BW72" s="6" t="s">
        <v>8</v>
      </c>
      <c r="BX72" s="7">
        <v>0</v>
      </c>
      <c r="BY72" s="7">
        <v>0</v>
      </c>
      <c r="BZ72" s="7">
        <v>0</v>
      </c>
      <c r="CA72" s="7">
        <v>0</v>
      </c>
      <c r="CB72" s="73"/>
      <c r="CC72" s="143"/>
      <c r="CD72" s="153" t="s">
        <v>11</v>
      </c>
      <c r="CE72" s="6" t="s">
        <v>8</v>
      </c>
      <c r="CF72" s="7">
        <v>0</v>
      </c>
      <c r="CG72" s="7">
        <v>0</v>
      </c>
      <c r="CH72" s="7">
        <v>0</v>
      </c>
      <c r="CI72" s="7">
        <v>0</v>
      </c>
      <c r="CJ72" s="73"/>
      <c r="CK72" s="143"/>
      <c r="CL72" s="153" t="s">
        <v>11</v>
      </c>
      <c r="CM72" s="6" t="s">
        <v>8</v>
      </c>
      <c r="CN72" s="7">
        <v>0</v>
      </c>
      <c r="CO72" s="7">
        <v>0</v>
      </c>
      <c r="CP72" s="7">
        <v>0</v>
      </c>
      <c r="CQ72" s="7">
        <v>0</v>
      </c>
      <c r="CR72" s="73"/>
      <c r="CS72" s="143"/>
      <c r="CT72" s="153" t="s">
        <v>11</v>
      </c>
      <c r="CU72" s="6" t="s">
        <v>8</v>
      </c>
      <c r="CV72" s="8">
        <f t="shared" ref="CV72:CV73" si="123">SUM(D72+L72+T72+AB72+AJ72+AR72+AZ72+BH72+BP72+BX72+CF72+CN72)</f>
        <v>0</v>
      </c>
      <c r="CW72" s="9">
        <f t="shared" ref="CW72:CW73" si="124">SUM(E72+M72+U72+AC72+AK72+AS72+BA72+BI72+BQ72+BY72+CG72+CO72)</f>
        <v>0</v>
      </c>
      <c r="CX72" s="9">
        <f t="shared" ref="CX72:CX73" si="125">SUM(F72+N72+V72+AD72+AL72+AT72+BB72+BJ72+BR72+BZ72+CH72+CP72)</f>
        <v>0</v>
      </c>
      <c r="CY72" s="9">
        <f t="shared" ref="CY72:CY73" si="126">SUM(G72+O72+W72+AE72+AM72+AU72+BC72+BK72+BS72+CA72+CI72+CQ72)</f>
        <v>0</v>
      </c>
    </row>
    <row r="73" spans="1:103" ht="20.100000000000001" customHeight="1" thickBot="1" x14ac:dyDescent="0.25">
      <c r="A73" s="143"/>
      <c r="B73" s="154"/>
      <c r="C73" s="10" t="s">
        <v>9</v>
      </c>
      <c r="D73" s="11">
        <v>0</v>
      </c>
      <c r="E73" s="11">
        <v>0</v>
      </c>
      <c r="F73" s="11">
        <v>0</v>
      </c>
      <c r="G73" s="11">
        <v>0</v>
      </c>
      <c r="H73" s="73"/>
      <c r="I73" s="143"/>
      <c r="J73" s="154"/>
      <c r="K73" s="10" t="s">
        <v>9</v>
      </c>
      <c r="L73" s="11">
        <v>0</v>
      </c>
      <c r="M73" s="11">
        <v>0</v>
      </c>
      <c r="N73" s="11">
        <v>0</v>
      </c>
      <c r="O73" s="11">
        <v>0</v>
      </c>
      <c r="P73" s="73"/>
      <c r="Q73" s="143"/>
      <c r="R73" s="154"/>
      <c r="S73" s="10" t="s">
        <v>9</v>
      </c>
      <c r="T73" s="11">
        <v>0</v>
      </c>
      <c r="U73" s="11">
        <v>0</v>
      </c>
      <c r="V73" s="11">
        <v>0</v>
      </c>
      <c r="W73" s="11">
        <v>0</v>
      </c>
      <c r="X73" s="73"/>
      <c r="Y73" s="143"/>
      <c r="Z73" s="154"/>
      <c r="AA73" s="10" t="s">
        <v>9</v>
      </c>
      <c r="AB73" s="11">
        <v>0</v>
      </c>
      <c r="AC73" s="11">
        <v>0</v>
      </c>
      <c r="AD73" s="11">
        <v>0</v>
      </c>
      <c r="AE73" s="11">
        <v>0</v>
      </c>
      <c r="AF73" s="73"/>
      <c r="AG73" s="143"/>
      <c r="AH73" s="154"/>
      <c r="AI73" s="10" t="s">
        <v>9</v>
      </c>
      <c r="AJ73" s="11">
        <v>0</v>
      </c>
      <c r="AK73" s="11">
        <v>0</v>
      </c>
      <c r="AL73" s="11">
        <v>0</v>
      </c>
      <c r="AM73" s="11">
        <v>0</v>
      </c>
      <c r="AN73" s="73"/>
      <c r="AO73" s="143"/>
      <c r="AP73" s="154"/>
      <c r="AQ73" s="10" t="s">
        <v>9</v>
      </c>
      <c r="AR73" s="11">
        <v>0</v>
      </c>
      <c r="AS73" s="11">
        <v>0</v>
      </c>
      <c r="AT73" s="11">
        <v>0</v>
      </c>
      <c r="AU73" s="11">
        <v>0</v>
      </c>
      <c r="AV73" s="73"/>
      <c r="AW73" s="143"/>
      <c r="AX73" s="154"/>
      <c r="AY73" s="10" t="s">
        <v>9</v>
      </c>
      <c r="AZ73" s="11">
        <v>0</v>
      </c>
      <c r="BA73" s="11">
        <v>0</v>
      </c>
      <c r="BB73" s="11">
        <v>0</v>
      </c>
      <c r="BC73" s="11">
        <v>0</v>
      </c>
      <c r="BD73" s="73"/>
      <c r="BE73" s="143"/>
      <c r="BF73" s="154"/>
      <c r="BG73" s="10" t="s">
        <v>9</v>
      </c>
      <c r="BH73" s="115">
        <v>0</v>
      </c>
      <c r="BI73" s="115">
        <v>0</v>
      </c>
      <c r="BJ73" s="115">
        <v>0</v>
      </c>
      <c r="BK73" s="115">
        <v>0</v>
      </c>
      <c r="BL73" s="73"/>
      <c r="BM73" s="143"/>
      <c r="BN73" s="154"/>
      <c r="BO73" s="10" t="s">
        <v>9</v>
      </c>
      <c r="BP73" s="11">
        <v>0</v>
      </c>
      <c r="BQ73" s="11">
        <v>0</v>
      </c>
      <c r="BR73" s="11">
        <v>0</v>
      </c>
      <c r="BS73" s="11">
        <v>0</v>
      </c>
      <c r="BT73" s="73"/>
      <c r="BU73" s="143"/>
      <c r="BV73" s="154"/>
      <c r="BW73" s="10" t="s">
        <v>9</v>
      </c>
      <c r="BX73" s="11">
        <v>0</v>
      </c>
      <c r="BY73" s="11">
        <v>0</v>
      </c>
      <c r="BZ73" s="11">
        <v>0</v>
      </c>
      <c r="CA73" s="11">
        <v>0</v>
      </c>
      <c r="CB73" s="73"/>
      <c r="CC73" s="143"/>
      <c r="CD73" s="154"/>
      <c r="CE73" s="10" t="s">
        <v>9</v>
      </c>
      <c r="CF73" s="11">
        <v>0</v>
      </c>
      <c r="CG73" s="11">
        <v>0</v>
      </c>
      <c r="CH73" s="11">
        <v>0</v>
      </c>
      <c r="CI73" s="11">
        <v>0</v>
      </c>
      <c r="CJ73" s="73"/>
      <c r="CK73" s="143"/>
      <c r="CL73" s="154"/>
      <c r="CM73" s="10" t="s">
        <v>9</v>
      </c>
      <c r="CN73" s="11">
        <v>0</v>
      </c>
      <c r="CO73" s="11">
        <v>0</v>
      </c>
      <c r="CP73" s="11">
        <v>0</v>
      </c>
      <c r="CQ73" s="11">
        <v>0</v>
      </c>
      <c r="CR73" s="73"/>
      <c r="CS73" s="143"/>
      <c r="CT73" s="154"/>
      <c r="CU73" s="10" t="s">
        <v>9</v>
      </c>
      <c r="CV73" s="12">
        <f t="shared" si="123"/>
        <v>0</v>
      </c>
      <c r="CW73" s="13">
        <f t="shared" si="124"/>
        <v>0</v>
      </c>
      <c r="CX73" s="13">
        <f t="shared" si="125"/>
        <v>0</v>
      </c>
      <c r="CY73" s="13">
        <f t="shared" si="126"/>
        <v>0</v>
      </c>
    </row>
    <row r="74" spans="1:103" ht="20.100000000000001" customHeight="1" thickBot="1" x14ac:dyDescent="0.25">
      <c r="A74" s="144"/>
      <c r="B74" s="151" t="s">
        <v>14</v>
      </c>
      <c r="C74" s="152"/>
      <c r="D74" s="14">
        <f>SUM(D72:D73)</f>
        <v>0</v>
      </c>
      <c r="E74" s="14">
        <f>SUM(E72:E73)</f>
        <v>0</v>
      </c>
      <c r="F74" s="14">
        <f>SUM(F72:F73)</f>
        <v>0</v>
      </c>
      <c r="G74" s="14">
        <f>SUM(G72:G73)</f>
        <v>0</v>
      </c>
      <c r="H74" s="73"/>
      <c r="I74" s="144"/>
      <c r="J74" s="151" t="s">
        <v>14</v>
      </c>
      <c r="K74" s="152"/>
      <c r="L74" s="14">
        <f>SUM(L72:L73)</f>
        <v>0</v>
      </c>
      <c r="M74" s="14">
        <f>SUM(M72:M73)</f>
        <v>0</v>
      </c>
      <c r="N74" s="14">
        <f>SUM(N72:N73)</f>
        <v>0</v>
      </c>
      <c r="O74" s="14">
        <f>SUM(O72:O73)</f>
        <v>0</v>
      </c>
      <c r="P74" s="73"/>
      <c r="Q74" s="144"/>
      <c r="R74" s="151" t="s">
        <v>14</v>
      </c>
      <c r="S74" s="152"/>
      <c r="T74" s="14">
        <f>SUM(T72:T73)</f>
        <v>0</v>
      </c>
      <c r="U74" s="14">
        <f>SUM(U72:U73)</f>
        <v>0</v>
      </c>
      <c r="V74" s="14">
        <f>SUM(V72:V73)</f>
        <v>0</v>
      </c>
      <c r="W74" s="14">
        <f>SUM(W72:W73)</f>
        <v>0</v>
      </c>
      <c r="X74" s="73"/>
      <c r="Y74" s="144"/>
      <c r="Z74" s="151" t="s">
        <v>14</v>
      </c>
      <c r="AA74" s="152"/>
      <c r="AB74" s="14">
        <f>SUM(AB72:AB73)</f>
        <v>0</v>
      </c>
      <c r="AC74" s="14">
        <f>SUM(AC72:AC73)</f>
        <v>0</v>
      </c>
      <c r="AD74" s="14">
        <f>SUM(AD72:AD73)</f>
        <v>0</v>
      </c>
      <c r="AE74" s="14">
        <f>SUM(AE72:AE73)</f>
        <v>0</v>
      </c>
      <c r="AF74" s="73"/>
      <c r="AG74" s="144"/>
      <c r="AH74" s="151" t="s">
        <v>14</v>
      </c>
      <c r="AI74" s="152"/>
      <c r="AJ74" s="14">
        <f>SUM(AJ72:AJ73)</f>
        <v>0</v>
      </c>
      <c r="AK74" s="14">
        <f>SUM(AK72:AK73)</f>
        <v>0</v>
      </c>
      <c r="AL74" s="14">
        <f>SUM(AL72:AL73)</f>
        <v>0</v>
      </c>
      <c r="AM74" s="14">
        <f>SUM(AM72:AM73)</f>
        <v>0</v>
      </c>
      <c r="AN74" s="73"/>
      <c r="AO74" s="144"/>
      <c r="AP74" s="151" t="s">
        <v>14</v>
      </c>
      <c r="AQ74" s="152"/>
      <c r="AR74" s="14">
        <f>SUM(AR72:AR73)</f>
        <v>0</v>
      </c>
      <c r="AS74" s="14">
        <f>SUM(AS72:AS73)</f>
        <v>0</v>
      </c>
      <c r="AT74" s="14">
        <f>SUM(AT72:AT73)</f>
        <v>0</v>
      </c>
      <c r="AU74" s="14">
        <f>SUM(AU72:AU73)</f>
        <v>0</v>
      </c>
      <c r="AV74" s="73"/>
      <c r="AW74" s="144"/>
      <c r="AX74" s="151" t="s">
        <v>14</v>
      </c>
      <c r="AY74" s="152"/>
      <c r="AZ74" s="14">
        <f>SUM(AZ72:AZ73)</f>
        <v>0</v>
      </c>
      <c r="BA74" s="14">
        <f>SUM(BA72:BA73)</f>
        <v>0</v>
      </c>
      <c r="BB74" s="14">
        <f>SUM(BB72:BB73)</f>
        <v>0</v>
      </c>
      <c r="BC74" s="14">
        <f>SUM(BC72:BC73)</f>
        <v>0</v>
      </c>
      <c r="BD74" s="73"/>
      <c r="BE74" s="144"/>
      <c r="BF74" s="151" t="s">
        <v>14</v>
      </c>
      <c r="BG74" s="152"/>
      <c r="BH74" s="116">
        <f t="shared" ref="BH74:BK74" si="127">SUM(BH72:BH73)</f>
        <v>0</v>
      </c>
      <c r="BI74" s="116">
        <f t="shared" si="127"/>
        <v>0</v>
      </c>
      <c r="BJ74" s="116">
        <f t="shared" si="127"/>
        <v>0</v>
      </c>
      <c r="BK74" s="116">
        <f t="shared" si="127"/>
        <v>0</v>
      </c>
      <c r="BL74" s="73"/>
      <c r="BM74" s="144"/>
      <c r="BN74" s="151" t="s">
        <v>14</v>
      </c>
      <c r="BO74" s="152"/>
      <c r="BP74" s="14">
        <f>SUM(BP72:BP73)</f>
        <v>0</v>
      </c>
      <c r="BQ74" s="14">
        <f>SUM(BQ72:BQ73)</f>
        <v>0</v>
      </c>
      <c r="BR74" s="14">
        <f>SUM(BR72:BR73)</f>
        <v>0</v>
      </c>
      <c r="BS74" s="14">
        <f>SUM(BS72:BS73)</f>
        <v>0</v>
      </c>
      <c r="BT74" s="73"/>
      <c r="BU74" s="144"/>
      <c r="BV74" s="151" t="s">
        <v>14</v>
      </c>
      <c r="BW74" s="152"/>
      <c r="BX74" s="14">
        <f>SUM(BX72:BX73)</f>
        <v>0</v>
      </c>
      <c r="BY74" s="14">
        <f>SUM(BY72:BY73)</f>
        <v>0</v>
      </c>
      <c r="BZ74" s="14">
        <f>SUM(BZ72:BZ73)</f>
        <v>0</v>
      </c>
      <c r="CA74" s="14">
        <f>SUM(CA72:CA73)</f>
        <v>0</v>
      </c>
      <c r="CB74" s="73"/>
      <c r="CC74" s="144"/>
      <c r="CD74" s="151" t="s">
        <v>14</v>
      </c>
      <c r="CE74" s="152"/>
      <c r="CF74" s="14">
        <f>SUM(CF72:CF73)</f>
        <v>0</v>
      </c>
      <c r="CG74" s="14">
        <f>SUM(CG72:CG73)</f>
        <v>0</v>
      </c>
      <c r="CH74" s="14">
        <f>SUM(CH72:CH73)</f>
        <v>0</v>
      </c>
      <c r="CI74" s="14">
        <f>SUM(CI72:CI73)</f>
        <v>0</v>
      </c>
      <c r="CJ74" s="73"/>
      <c r="CK74" s="144"/>
      <c r="CL74" s="151" t="s">
        <v>14</v>
      </c>
      <c r="CM74" s="152"/>
      <c r="CN74" s="14">
        <f>SUM(CN72:CN73)</f>
        <v>0</v>
      </c>
      <c r="CO74" s="14">
        <f>SUM(CO72:CO73)</f>
        <v>0</v>
      </c>
      <c r="CP74" s="14">
        <f>SUM(CP72:CP73)</f>
        <v>0</v>
      </c>
      <c r="CQ74" s="14">
        <f>SUM(CQ72:CQ73)</f>
        <v>0</v>
      </c>
      <c r="CR74" s="73"/>
      <c r="CS74" s="144"/>
      <c r="CT74" s="151" t="s">
        <v>14</v>
      </c>
      <c r="CU74" s="152"/>
      <c r="CV74" s="14">
        <f>SUM(CV72:CV73)</f>
        <v>0</v>
      </c>
      <c r="CW74" s="14">
        <f>SUM(CW72:CW73)</f>
        <v>0</v>
      </c>
      <c r="CX74" s="14">
        <f>SUM(CX72:CX73)</f>
        <v>0</v>
      </c>
      <c r="CY74" s="15">
        <f>SUM(CY72:CY73)</f>
        <v>0</v>
      </c>
    </row>
    <row r="75" spans="1:103" ht="20.100000000000001" customHeight="1" thickBot="1" x14ac:dyDescent="0.25">
      <c r="A75" s="17"/>
      <c r="B75" s="149" t="s">
        <v>12</v>
      </c>
      <c r="C75" s="150"/>
      <c r="D75" s="18">
        <f>SUM(D71+D74)</f>
        <v>0</v>
      </c>
      <c r="E75" s="18">
        <f>SUM(E71+E74)</f>
        <v>0</v>
      </c>
      <c r="F75" s="18">
        <f>SUM(F71+F74)</f>
        <v>0</v>
      </c>
      <c r="G75" s="18">
        <f>SUM(G71+G74)</f>
        <v>0</v>
      </c>
      <c r="H75" s="73"/>
      <c r="I75" s="17"/>
      <c r="J75" s="149" t="s">
        <v>12</v>
      </c>
      <c r="K75" s="150"/>
      <c r="L75" s="18">
        <f>SUM(L71+L74)</f>
        <v>0</v>
      </c>
      <c r="M75" s="18">
        <f>SUM(M71+M74)</f>
        <v>0</v>
      </c>
      <c r="N75" s="18">
        <f>SUM(N71+N74)</f>
        <v>0</v>
      </c>
      <c r="O75" s="18">
        <f>SUM(O71+O74)</f>
        <v>0</v>
      </c>
      <c r="P75" s="73"/>
      <c r="Q75" s="17"/>
      <c r="R75" s="149" t="s">
        <v>12</v>
      </c>
      <c r="S75" s="150"/>
      <c r="T75" s="18">
        <f>SUM(T71+T74)</f>
        <v>0</v>
      </c>
      <c r="U75" s="18">
        <f>SUM(U71+U74)</f>
        <v>0</v>
      </c>
      <c r="V75" s="18">
        <f>SUM(V71+V74)</f>
        <v>0</v>
      </c>
      <c r="W75" s="18">
        <f>SUM(W71+W74)</f>
        <v>0</v>
      </c>
      <c r="X75" s="73"/>
      <c r="Y75" s="17"/>
      <c r="Z75" s="149" t="s">
        <v>12</v>
      </c>
      <c r="AA75" s="150"/>
      <c r="AB75" s="18">
        <f>SUM(AB71+AB74)</f>
        <v>0</v>
      </c>
      <c r="AC75" s="18">
        <f>SUM(AC71+AC74)</f>
        <v>0</v>
      </c>
      <c r="AD75" s="18">
        <f>SUM(AD71+AD74)</f>
        <v>0</v>
      </c>
      <c r="AE75" s="18">
        <f>SUM(AE71+AE74)</f>
        <v>0</v>
      </c>
      <c r="AF75" s="73"/>
      <c r="AG75" s="17"/>
      <c r="AH75" s="149" t="s">
        <v>12</v>
      </c>
      <c r="AI75" s="150"/>
      <c r="AJ75" s="18">
        <f>SUM(AJ71+AJ74)</f>
        <v>0</v>
      </c>
      <c r="AK75" s="18">
        <f>SUM(AK71+AK74)</f>
        <v>0</v>
      </c>
      <c r="AL75" s="18">
        <f>SUM(AL71+AL74)</f>
        <v>0</v>
      </c>
      <c r="AM75" s="18">
        <f>SUM(AM71+AM74)</f>
        <v>0</v>
      </c>
      <c r="AN75" s="73"/>
      <c r="AO75" s="17"/>
      <c r="AP75" s="149" t="s">
        <v>12</v>
      </c>
      <c r="AQ75" s="150"/>
      <c r="AR75" s="18">
        <f>SUM(AR71+AR74)</f>
        <v>0</v>
      </c>
      <c r="AS75" s="18">
        <f>SUM(AS71+AS74)</f>
        <v>0</v>
      </c>
      <c r="AT75" s="18">
        <f>SUM(AT71+AT74)</f>
        <v>0</v>
      </c>
      <c r="AU75" s="18">
        <f>SUM(AU71+AU74)</f>
        <v>0</v>
      </c>
      <c r="AV75" s="73"/>
      <c r="AW75" s="17"/>
      <c r="AX75" s="149" t="s">
        <v>12</v>
      </c>
      <c r="AY75" s="150"/>
      <c r="AZ75" s="18">
        <f>SUM(AZ71+AZ74)</f>
        <v>0</v>
      </c>
      <c r="BA75" s="18">
        <f>SUM(BA71+BA74)</f>
        <v>0</v>
      </c>
      <c r="BB75" s="18">
        <f>SUM(BB71+BB74)</f>
        <v>0</v>
      </c>
      <c r="BC75" s="18">
        <f>SUM(BC71+BC74)</f>
        <v>0</v>
      </c>
      <c r="BD75" s="73"/>
      <c r="BE75" s="17"/>
      <c r="BF75" s="149" t="s">
        <v>12</v>
      </c>
      <c r="BG75" s="150"/>
      <c r="BH75" s="117">
        <f t="shared" ref="BH75:BK75" si="128">SUM(BH71+BH74)</f>
        <v>0</v>
      </c>
      <c r="BI75" s="117">
        <f t="shared" si="128"/>
        <v>0</v>
      </c>
      <c r="BJ75" s="117">
        <f t="shared" si="128"/>
        <v>0</v>
      </c>
      <c r="BK75" s="117">
        <f t="shared" si="128"/>
        <v>0</v>
      </c>
      <c r="BL75" s="73"/>
      <c r="BM75" s="17"/>
      <c r="BN75" s="149" t="s">
        <v>12</v>
      </c>
      <c r="BO75" s="150"/>
      <c r="BP75" s="18">
        <f>SUM(BP71+BP74)</f>
        <v>0</v>
      </c>
      <c r="BQ75" s="18">
        <f>SUM(BQ71+BQ74)</f>
        <v>0</v>
      </c>
      <c r="BR75" s="18">
        <f>SUM(BR71+BR74)</f>
        <v>0</v>
      </c>
      <c r="BS75" s="18">
        <f>SUM(BS71+BS74)</f>
        <v>0</v>
      </c>
      <c r="BT75" s="73"/>
      <c r="BU75" s="17"/>
      <c r="BV75" s="149" t="s">
        <v>12</v>
      </c>
      <c r="BW75" s="150"/>
      <c r="BX75" s="18">
        <f>SUM(BX71+BX74)</f>
        <v>0</v>
      </c>
      <c r="BY75" s="18">
        <f>SUM(BY71+BY74)</f>
        <v>0</v>
      </c>
      <c r="BZ75" s="18">
        <f>SUM(BZ71+BZ74)</f>
        <v>0</v>
      </c>
      <c r="CA75" s="18">
        <f>SUM(CA71+CA74)</f>
        <v>0</v>
      </c>
      <c r="CB75" s="73"/>
      <c r="CC75" s="17"/>
      <c r="CD75" s="149" t="s">
        <v>12</v>
      </c>
      <c r="CE75" s="150"/>
      <c r="CF75" s="18">
        <f>SUM(CF71+CF74)</f>
        <v>0</v>
      </c>
      <c r="CG75" s="18">
        <f>SUM(CG71+CG74)</f>
        <v>0</v>
      </c>
      <c r="CH75" s="18">
        <f>SUM(CH71+CH74)</f>
        <v>0</v>
      </c>
      <c r="CI75" s="18">
        <f>SUM(CI71+CI74)</f>
        <v>0</v>
      </c>
      <c r="CJ75" s="73"/>
      <c r="CK75" s="17"/>
      <c r="CL75" s="149" t="s">
        <v>12</v>
      </c>
      <c r="CM75" s="150"/>
      <c r="CN75" s="18">
        <f>SUM(CN71+CN74)</f>
        <v>0</v>
      </c>
      <c r="CO75" s="18">
        <f>SUM(CO71+CO74)</f>
        <v>0</v>
      </c>
      <c r="CP75" s="18">
        <f>SUM(CP71+CP74)</f>
        <v>0</v>
      </c>
      <c r="CQ75" s="18">
        <f>SUM(CQ71+CQ74)</f>
        <v>0</v>
      </c>
      <c r="CR75" s="73"/>
      <c r="CS75" s="17"/>
      <c r="CT75" s="149" t="s">
        <v>12</v>
      </c>
      <c r="CU75" s="150"/>
      <c r="CV75" s="18">
        <f>SUM(CV71+CV74)</f>
        <v>0</v>
      </c>
      <c r="CW75" s="18">
        <f>SUM(CW71+CW74)</f>
        <v>0</v>
      </c>
      <c r="CX75" s="18">
        <f>SUM(CX71+CX74)</f>
        <v>0</v>
      </c>
      <c r="CY75" s="23">
        <f>SUM(CY71+CY74)</f>
        <v>0</v>
      </c>
    </row>
    <row r="76" spans="1:103" ht="20.100000000000001" customHeight="1" x14ac:dyDescent="0.2">
      <c r="A76" s="142">
        <v>0</v>
      </c>
      <c r="B76" s="140" t="s">
        <v>3</v>
      </c>
      <c r="C76" s="6" t="s">
        <v>8</v>
      </c>
      <c r="D76" s="7">
        <v>0</v>
      </c>
      <c r="E76" s="7">
        <v>0</v>
      </c>
      <c r="F76" s="7">
        <v>0</v>
      </c>
      <c r="G76" s="7">
        <v>0</v>
      </c>
      <c r="H76" s="73"/>
      <c r="I76" s="142">
        <v>0</v>
      </c>
      <c r="J76" s="140" t="s">
        <v>3</v>
      </c>
      <c r="K76" s="6" t="s">
        <v>8</v>
      </c>
      <c r="L76" s="7">
        <v>0</v>
      </c>
      <c r="M76" s="7">
        <v>0</v>
      </c>
      <c r="N76" s="7">
        <v>0</v>
      </c>
      <c r="O76" s="7">
        <v>0</v>
      </c>
      <c r="P76" s="73"/>
      <c r="Q76" s="142">
        <v>0</v>
      </c>
      <c r="R76" s="140" t="s">
        <v>3</v>
      </c>
      <c r="S76" s="6" t="s">
        <v>8</v>
      </c>
      <c r="T76" s="7">
        <v>0</v>
      </c>
      <c r="U76" s="7">
        <v>0</v>
      </c>
      <c r="V76" s="7">
        <v>0</v>
      </c>
      <c r="W76" s="7">
        <v>0</v>
      </c>
      <c r="X76" s="73"/>
      <c r="Y76" s="142">
        <v>0</v>
      </c>
      <c r="Z76" s="140" t="s">
        <v>3</v>
      </c>
      <c r="AA76" s="6" t="s">
        <v>8</v>
      </c>
      <c r="AB76" s="7">
        <v>0</v>
      </c>
      <c r="AC76" s="7">
        <v>0</v>
      </c>
      <c r="AD76" s="7">
        <v>0</v>
      </c>
      <c r="AE76" s="7">
        <v>0</v>
      </c>
      <c r="AF76" s="73"/>
      <c r="AG76" s="142">
        <v>0</v>
      </c>
      <c r="AH76" s="140" t="s">
        <v>3</v>
      </c>
      <c r="AI76" s="6" t="s">
        <v>8</v>
      </c>
      <c r="AJ76" s="7">
        <v>0</v>
      </c>
      <c r="AK76" s="7">
        <v>0</v>
      </c>
      <c r="AL76" s="7">
        <v>0</v>
      </c>
      <c r="AM76" s="7">
        <v>0</v>
      </c>
      <c r="AN76" s="73"/>
      <c r="AO76" s="142">
        <v>0</v>
      </c>
      <c r="AP76" s="140" t="s">
        <v>3</v>
      </c>
      <c r="AQ76" s="6" t="s">
        <v>8</v>
      </c>
      <c r="AR76" s="7">
        <v>0</v>
      </c>
      <c r="AS76" s="7">
        <v>0</v>
      </c>
      <c r="AT76" s="7">
        <v>0</v>
      </c>
      <c r="AU76" s="7">
        <v>0</v>
      </c>
      <c r="AV76" s="73"/>
      <c r="AW76" s="142">
        <v>0</v>
      </c>
      <c r="AX76" s="140" t="s">
        <v>3</v>
      </c>
      <c r="AY76" s="6" t="s">
        <v>8</v>
      </c>
      <c r="AZ76" s="7">
        <v>0</v>
      </c>
      <c r="BA76" s="7">
        <v>0</v>
      </c>
      <c r="BB76" s="7">
        <v>0</v>
      </c>
      <c r="BC76" s="7">
        <v>0</v>
      </c>
      <c r="BD76" s="73"/>
      <c r="BE76" s="142">
        <v>0</v>
      </c>
      <c r="BF76" s="140" t="s">
        <v>3</v>
      </c>
      <c r="BG76" s="6" t="s">
        <v>8</v>
      </c>
      <c r="BH76" s="114">
        <v>0</v>
      </c>
      <c r="BI76" s="114">
        <v>0</v>
      </c>
      <c r="BJ76" s="114">
        <v>0</v>
      </c>
      <c r="BK76" s="114">
        <v>0</v>
      </c>
      <c r="BL76" s="73"/>
      <c r="BM76" s="142">
        <v>0</v>
      </c>
      <c r="BN76" s="140" t="s">
        <v>3</v>
      </c>
      <c r="BO76" s="6" t="s">
        <v>8</v>
      </c>
      <c r="BP76" s="7">
        <v>0</v>
      </c>
      <c r="BQ76" s="7">
        <v>0</v>
      </c>
      <c r="BR76" s="7">
        <v>0</v>
      </c>
      <c r="BS76" s="7">
        <v>0</v>
      </c>
      <c r="BT76" s="73"/>
      <c r="BU76" s="142">
        <v>0</v>
      </c>
      <c r="BV76" s="140" t="s">
        <v>3</v>
      </c>
      <c r="BW76" s="6" t="s">
        <v>8</v>
      </c>
      <c r="BX76" s="7">
        <v>0</v>
      </c>
      <c r="BY76" s="7">
        <v>0</v>
      </c>
      <c r="BZ76" s="7">
        <v>0</v>
      </c>
      <c r="CA76" s="7">
        <v>0</v>
      </c>
      <c r="CB76" s="73"/>
      <c r="CC76" s="142">
        <v>0</v>
      </c>
      <c r="CD76" s="140" t="s">
        <v>3</v>
      </c>
      <c r="CE76" s="6" t="s">
        <v>8</v>
      </c>
      <c r="CF76" s="7">
        <v>0</v>
      </c>
      <c r="CG76" s="7">
        <v>0</v>
      </c>
      <c r="CH76" s="7">
        <v>0</v>
      </c>
      <c r="CI76" s="7">
        <v>0</v>
      </c>
      <c r="CJ76" s="73"/>
      <c r="CK76" s="142">
        <v>0</v>
      </c>
      <c r="CL76" s="140" t="s">
        <v>3</v>
      </c>
      <c r="CM76" s="6" t="s">
        <v>8</v>
      </c>
      <c r="CN76" s="7">
        <v>0</v>
      </c>
      <c r="CO76" s="7">
        <v>0</v>
      </c>
      <c r="CP76" s="7">
        <v>0</v>
      </c>
      <c r="CQ76" s="7">
        <v>0</v>
      </c>
      <c r="CR76" s="73"/>
      <c r="CS76" s="142">
        <f>(CK76)</f>
        <v>0</v>
      </c>
      <c r="CT76" s="140" t="s">
        <v>3</v>
      </c>
      <c r="CU76" s="6" t="s">
        <v>8</v>
      </c>
      <c r="CV76" s="8">
        <f t="shared" ref="CV76:CV77" si="129">SUM(D76+L76+T76+AB76+AJ76+AR76+AZ76+BH76+BP76+BX76+CF76+CN76)</f>
        <v>0</v>
      </c>
      <c r="CW76" s="9">
        <f t="shared" ref="CW76:CW77" si="130">SUM(E76+M76+U76+AC76+AK76+AS76+BA76+BI76+BQ76+BY76+CG76+CO76)</f>
        <v>0</v>
      </c>
      <c r="CX76" s="9">
        <f t="shared" ref="CX76:CX77" si="131">SUM(F76+N76+V76+AD76+AL76+AT76+BB76+BJ76+BR76+BZ76+CH76+CP76)</f>
        <v>0</v>
      </c>
      <c r="CY76" s="9">
        <f t="shared" ref="CY76:CY77" si="132">SUM(G76+O76+W76+AE76+AM76+AU76+BC76+BK76+BS76+CA76+CI76+CQ76)</f>
        <v>0</v>
      </c>
    </row>
    <row r="77" spans="1:103" ht="20.100000000000001" customHeight="1" thickBot="1" x14ac:dyDescent="0.25">
      <c r="A77" s="143"/>
      <c r="B77" s="141"/>
      <c r="C77" s="10" t="s">
        <v>9</v>
      </c>
      <c r="D77" s="11">
        <v>0</v>
      </c>
      <c r="E77" s="11">
        <v>0</v>
      </c>
      <c r="F77" s="11">
        <v>0</v>
      </c>
      <c r="G77" s="11">
        <v>0</v>
      </c>
      <c r="H77" s="73"/>
      <c r="I77" s="143"/>
      <c r="J77" s="141"/>
      <c r="K77" s="10" t="s">
        <v>9</v>
      </c>
      <c r="L77" s="11">
        <v>0</v>
      </c>
      <c r="M77" s="11">
        <v>0</v>
      </c>
      <c r="N77" s="11">
        <v>0</v>
      </c>
      <c r="O77" s="11">
        <v>0</v>
      </c>
      <c r="P77" s="73"/>
      <c r="Q77" s="143"/>
      <c r="R77" s="141"/>
      <c r="S77" s="10" t="s">
        <v>9</v>
      </c>
      <c r="T77" s="11">
        <v>0</v>
      </c>
      <c r="U77" s="11">
        <v>0</v>
      </c>
      <c r="V77" s="11">
        <v>0</v>
      </c>
      <c r="W77" s="11">
        <v>0</v>
      </c>
      <c r="X77" s="73"/>
      <c r="Y77" s="143"/>
      <c r="Z77" s="141"/>
      <c r="AA77" s="10" t="s">
        <v>9</v>
      </c>
      <c r="AB77" s="11">
        <v>0</v>
      </c>
      <c r="AC77" s="11">
        <v>0</v>
      </c>
      <c r="AD77" s="11">
        <v>0</v>
      </c>
      <c r="AE77" s="11">
        <v>0</v>
      </c>
      <c r="AF77" s="73"/>
      <c r="AG77" s="143"/>
      <c r="AH77" s="141"/>
      <c r="AI77" s="10" t="s">
        <v>9</v>
      </c>
      <c r="AJ77" s="11">
        <v>0</v>
      </c>
      <c r="AK77" s="11">
        <v>0</v>
      </c>
      <c r="AL77" s="11">
        <v>0</v>
      </c>
      <c r="AM77" s="11">
        <v>0</v>
      </c>
      <c r="AN77" s="73"/>
      <c r="AO77" s="143"/>
      <c r="AP77" s="141"/>
      <c r="AQ77" s="10" t="s">
        <v>9</v>
      </c>
      <c r="AR77" s="11">
        <v>0</v>
      </c>
      <c r="AS77" s="11">
        <v>0</v>
      </c>
      <c r="AT77" s="11">
        <v>0</v>
      </c>
      <c r="AU77" s="11">
        <v>0</v>
      </c>
      <c r="AV77" s="73"/>
      <c r="AW77" s="143"/>
      <c r="AX77" s="141"/>
      <c r="AY77" s="10" t="s">
        <v>9</v>
      </c>
      <c r="AZ77" s="11">
        <v>0</v>
      </c>
      <c r="BA77" s="11">
        <v>0</v>
      </c>
      <c r="BB77" s="11">
        <v>0</v>
      </c>
      <c r="BC77" s="11">
        <v>0</v>
      </c>
      <c r="BD77" s="73"/>
      <c r="BE77" s="143"/>
      <c r="BF77" s="141"/>
      <c r="BG77" s="10" t="s">
        <v>9</v>
      </c>
      <c r="BH77" s="115">
        <v>0</v>
      </c>
      <c r="BI77" s="115">
        <v>0</v>
      </c>
      <c r="BJ77" s="115">
        <v>0</v>
      </c>
      <c r="BK77" s="115">
        <v>0</v>
      </c>
      <c r="BL77" s="73"/>
      <c r="BM77" s="143"/>
      <c r="BN77" s="141"/>
      <c r="BO77" s="10" t="s">
        <v>9</v>
      </c>
      <c r="BP77" s="11">
        <v>0</v>
      </c>
      <c r="BQ77" s="11">
        <v>0</v>
      </c>
      <c r="BR77" s="11">
        <v>0</v>
      </c>
      <c r="BS77" s="11">
        <v>0</v>
      </c>
      <c r="BT77" s="73"/>
      <c r="BU77" s="143"/>
      <c r="BV77" s="141"/>
      <c r="BW77" s="10" t="s">
        <v>9</v>
      </c>
      <c r="BX77" s="11">
        <v>0</v>
      </c>
      <c r="BY77" s="11">
        <v>0</v>
      </c>
      <c r="BZ77" s="11">
        <v>0</v>
      </c>
      <c r="CA77" s="11">
        <v>0</v>
      </c>
      <c r="CB77" s="73"/>
      <c r="CC77" s="143"/>
      <c r="CD77" s="141"/>
      <c r="CE77" s="10" t="s">
        <v>9</v>
      </c>
      <c r="CF77" s="11">
        <v>0</v>
      </c>
      <c r="CG77" s="11">
        <v>0</v>
      </c>
      <c r="CH77" s="11">
        <v>0</v>
      </c>
      <c r="CI77" s="11">
        <v>0</v>
      </c>
      <c r="CJ77" s="73"/>
      <c r="CK77" s="143"/>
      <c r="CL77" s="141"/>
      <c r="CM77" s="10" t="s">
        <v>9</v>
      </c>
      <c r="CN77" s="11">
        <v>0</v>
      </c>
      <c r="CO77" s="11">
        <v>0</v>
      </c>
      <c r="CP77" s="11">
        <v>0</v>
      </c>
      <c r="CQ77" s="11">
        <v>0</v>
      </c>
      <c r="CR77" s="73"/>
      <c r="CS77" s="143"/>
      <c r="CT77" s="141"/>
      <c r="CU77" s="10" t="s">
        <v>9</v>
      </c>
      <c r="CV77" s="12">
        <f t="shared" si="129"/>
        <v>0</v>
      </c>
      <c r="CW77" s="13">
        <f t="shared" si="130"/>
        <v>0</v>
      </c>
      <c r="CX77" s="13">
        <f t="shared" si="131"/>
        <v>0</v>
      </c>
      <c r="CY77" s="13">
        <f t="shared" si="132"/>
        <v>0</v>
      </c>
    </row>
    <row r="78" spans="1:103" ht="20.100000000000001" customHeight="1" thickBot="1" x14ac:dyDescent="0.25">
      <c r="A78" s="143"/>
      <c r="B78" s="145" t="s">
        <v>10</v>
      </c>
      <c r="C78" s="146"/>
      <c r="D78" s="14">
        <f>SUM(D76:D77)</f>
        <v>0</v>
      </c>
      <c r="E78" s="14">
        <f>SUM(E76:E77)</f>
        <v>0</v>
      </c>
      <c r="F78" s="14">
        <f>SUM(F76:F77)</f>
        <v>0</v>
      </c>
      <c r="G78" s="14">
        <f>SUM(G76:G77)</f>
        <v>0</v>
      </c>
      <c r="H78" s="73"/>
      <c r="I78" s="143"/>
      <c r="J78" s="145" t="s">
        <v>10</v>
      </c>
      <c r="K78" s="146"/>
      <c r="L78" s="14">
        <f>SUM(L76:L77)</f>
        <v>0</v>
      </c>
      <c r="M78" s="14">
        <f>SUM(M76:M77)</f>
        <v>0</v>
      </c>
      <c r="N78" s="14">
        <f>SUM(N76:N77)</f>
        <v>0</v>
      </c>
      <c r="O78" s="14">
        <f>SUM(O76:O77)</f>
        <v>0</v>
      </c>
      <c r="P78" s="73"/>
      <c r="Q78" s="143"/>
      <c r="R78" s="145" t="s">
        <v>10</v>
      </c>
      <c r="S78" s="146"/>
      <c r="T78" s="14">
        <f>SUM(T76:T77)</f>
        <v>0</v>
      </c>
      <c r="U78" s="14">
        <f>SUM(U76:U77)</f>
        <v>0</v>
      </c>
      <c r="V78" s="14">
        <f>SUM(V76:V77)</f>
        <v>0</v>
      </c>
      <c r="W78" s="14">
        <f>SUM(W76:W77)</f>
        <v>0</v>
      </c>
      <c r="X78" s="73"/>
      <c r="Y78" s="143"/>
      <c r="Z78" s="145" t="s">
        <v>10</v>
      </c>
      <c r="AA78" s="146"/>
      <c r="AB78" s="14">
        <f>SUM(AB76:AB77)</f>
        <v>0</v>
      </c>
      <c r="AC78" s="14">
        <f>SUM(AC76:AC77)</f>
        <v>0</v>
      </c>
      <c r="AD78" s="14">
        <f>SUM(AD76:AD77)</f>
        <v>0</v>
      </c>
      <c r="AE78" s="14">
        <f>SUM(AE76:AE77)</f>
        <v>0</v>
      </c>
      <c r="AF78" s="73"/>
      <c r="AG78" s="143"/>
      <c r="AH78" s="145" t="s">
        <v>10</v>
      </c>
      <c r="AI78" s="146"/>
      <c r="AJ78" s="14">
        <f>SUM(AJ76:AJ77)</f>
        <v>0</v>
      </c>
      <c r="AK78" s="14">
        <f>SUM(AK76:AK77)</f>
        <v>0</v>
      </c>
      <c r="AL78" s="14">
        <f>SUM(AL76:AL77)</f>
        <v>0</v>
      </c>
      <c r="AM78" s="14">
        <f>SUM(AM76:AM77)</f>
        <v>0</v>
      </c>
      <c r="AN78" s="73"/>
      <c r="AO78" s="143"/>
      <c r="AP78" s="145" t="s">
        <v>10</v>
      </c>
      <c r="AQ78" s="146"/>
      <c r="AR78" s="14">
        <f>SUM(AR76:AR77)</f>
        <v>0</v>
      </c>
      <c r="AS78" s="14">
        <f>SUM(AS76:AS77)</f>
        <v>0</v>
      </c>
      <c r="AT78" s="14">
        <f>SUM(AT76:AT77)</f>
        <v>0</v>
      </c>
      <c r="AU78" s="14">
        <f>SUM(AU76:AU77)</f>
        <v>0</v>
      </c>
      <c r="AV78" s="73"/>
      <c r="AW78" s="143"/>
      <c r="AX78" s="145" t="s">
        <v>10</v>
      </c>
      <c r="AY78" s="146"/>
      <c r="AZ78" s="14">
        <f>SUM(AZ76:AZ77)</f>
        <v>0</v>
      </c>
      <c r="BA78" s="14">
        <f>SUM(BA76:BA77)</f>
        <v>0</v>
      </c>
      <c r="BB78" s="14">
        <f>SUM(BB76:BB77)</f>
        <v>0</v>
      </c>
      <c r="BC78" s="14">
        <f>SUM(BC76:BC77)</f>
        <v>0</v>
      </c>
      <c r="BD78" s="73"/>
      <c r="BE78" s="143"/>
      <c r="BF78" s="145" t="s">
        <v>10</v>
      </c>
      <c r="BG78" s="146"/>
      <c r="BH78" s="116">
        <f t="shared" ref="BH78:BK78" si="133">SUM(BH76:BH77)</f>
        <v>0</v>
      </c>
      <c r="BI78" s="116">
        <f t="shared" si="133"/>
        <v>0</v>
      </c>
      <c r="BJ78" s="116">
        <f t="shared" si="133"/>
        <v>0</v>
      </c>
      <c r="BK78" s="116">
        <f t="shared" si="133"/>
        <v>0</v>
      </c>
      <c r="BL78" s="73"/>
      <c r="BM78" s="143"/>
      <c r="BN78" s="145" t="s">
        <v>10</v>
      </c>
      <c r="BO78" s="146"/>
      <c r="BP78" s="14">
        <f>SUM(BP76:BP77)</f>
        <v>0</v>
      </c>
      <c r="BQ78" s="14">
        <f>SUM(BQ76:BQ77)</f>
        <v>0</v>
      </c>
      <c r="BR78" s="14">
        <f>SUM(BR76:BR77)</f>
        <v>0</v>
      </c>
      <c r="BS78" s="14">
        <f>SUM(BS76:BS77)</f>
        <v>0</v>
      </c>
      <c r="BT78" s="73"/>
      <c r="BU78" s="143"/>
      <c r="BV78" s="145" t="s">
        <v>10</v>
      </c>
      <c r="BW78" s="146"/>
      <c r="BX78" s="14">
        <f>SUM(BX76:BX77)</f>
        <v>0</v>
      </c>
      <c r="BY78" s="14">
        <f>SUM(BY76:BY77)</f>
        <v>0</v>
      </c>
      <c r="BZ78" s="14">
        <f>SUM(BZ76:BZ77)</f>
        <v>0</v>
      </c>
      <c r="CA78" s="14">
        <f>SUM(CA76:CA77)</f>
        <v>0</v>
      </c>
      <c r="CB78" s="73"/>
      <c r="CC78" s="143"/>
      <c r="CD78" s="145" t="s">
        <v>10</v>
      </c>
      <c r="CE78" s="146"/>
      <c r="CF78" s="14">
        <f>SUM(CF76:CF77)</f>
        <v>0</v>
      </c>
      <c r="CG78" s="14">
        <f>SUM(CG76:CG77)</f>
        <v>0</v>
      </c>
      <c r="CH78" s="14">
        <f>SUM(CH76:CH77)</f>
        <v>0</v>
      </c>
      <c r="CI78" s="14">
        <f>SUM(CI76:CI77)</f>
        <v>0</v>
      </c>
      <c r="CJ78" s="73"/>
      <c r="CK78" s="143"/>
      <c r="CL78" s="145" t="s">
        <v>10</v>
      </c>
      <c r="CM78" s="146"/>
      <c r="CN78" s="14">
        <f>SUM(CN76:CN77)</f>
        <v>0</v>
      </c>
      <c r="CO78" s="14">
        <f>SUM(CO76:CO77)</f>
        <v>0</v>
      </c>
      <c r="CP78" s="14">
        <f>SUM(CP76:CP77)</f>
        <v>0</v>
      </c>
      <c r="CQ78" s="14">
        <f>SUM(CQ76:CQ77)</f>
        <v>0</v>
      </c>
      <c r="CR78" s="73"/>
      <c r="CS78" s="143"/>
      <c r="CT78" s="145" t="s">
        <v>10</v>
      </c>
      <c r="CU78" s="146"/>
      <c r="CV78" s="16">
        <f>SUM(CV76:CV77)</f>
        <v>0</v>
      </c>
      <c r="CW78" s="16">
        <f>SUM(CW76:CW77)</f>
        <v>0</v>
      </c>
      <c r="CX78" s="16">
        <f>SUM(CX76:CX77)</f>
        <v>0</v>
      </c>
      <c r="CY78" s="20">
        <f>SUM(CY76:CY77)</f>
        <v>0</v>
      </c>
    </row>
    <row r="79" spans="1:103" ht="20.100000000000001" customHeight="1" x14ac:dyDescent="0.2">
      <c r="A79" s="143"/>
      <c r="B79" s="153" t="s">
        <v>11</v>
      </c>
      <c r="C79" s="6" t="s">
        <v>8</v>
      </c>
      <c r="D79" s="7">
        <v>0</v>
      </c>
      <c r="E79" s="7">
        <v>0</v>
      </c>
      <c r="F79" s="7">
        <v>0</v>
      </c>
      <c r="G79" s="7">
        <v>0</v>
      </c>
      <c r="H79" s="73"/>
      <c r="I79" s="143"/>
      <c r="J79" s="153" t="s">
        <v>11</v>
      </c>
      <c r="K79" s="6" t="s">
        <v>8</v>
      </c>
      <c r="L79" s="7">
        <v>0</v>
      </c>
      <c r="M79" s="7">
        <v>0</v>
      </c>
      <c r="N79" s="7">
        <v>0</v>
      </c>
      <c r="O79" s="7">
        <v>0</v>
      </c>
      <c r="P79" s="73"/>
      <c r="Q79" s="143"/>
      <c r="R79" s="153" t="s">
        <v>11</v>
      </c>
      <c r="S79" s="6" t="s">
        <v>8</v>
      </c>
      <c r="T79" s="7">
        <v>0</v>
      </c>
      <c r="U79" s="7">
        <v>0</v>
      </c>
      <c r="V79" s="7">
        <v>0</v>
      </c>
      <c r="W79" s="7">
        <v>0</v>
      </c>
      <c r="X79" s="73"/>
      <c r="Y79" s="143"/>
      <c r="Z79" s="153" t="s">
        <v>11</v>
      </c>
      <c r="AA79" s="6" t="s">
        <v>8</v>
      </c>
      <c r="AB79" s="7">
        <v>0</v>
      </c>
      <c r="AC79" s="7">
        <v>0</v>
      </c>
      <c r="AD79" s="7">
        <v>0</v>
      </c>
      <c r="AE79" s="7">
        <v>0</v>
      </c>
      <c r="AF79" s="73"/>
      <c r="AG79" s="143"/>
      <c r="AH79" s="153" t="s">
        <v>11</v>
      </c>
      <c r="AI79" s="6" t="s">
        <v>8</v>
      </c>
      <c r="AJ79" s="7">
        <v>0</v>
      </c>
      <c r="AK79" s="7">
        <v>0</v>
      </c>
      <c r="AL79" s="7">
        <v>0</v>
      </c>
      <c r="AM79" s="7">
        <v>0</v>
      </c>
      <c r="AN79" s="73"/>
      <c r="AO79" s="143"/>
      <c r="AP79" s="153" t="s">
        <v>11</v>
      </c>
      <c r="AQ79" s="6" t="s">
        <v>8</v>
      </c>
      <c r="AR79" s="7">
        <v>0</v>
      </c>
      <c r="AS79" s="7">
        <v>0</v>
      </c>
      <c r="AT79" s="7">
        <v>0</v>
      </c>
      <c r="AU79" s="7">
        <v>0</v>
      </c>
      <c r="AV79" s="73"/>
      <c r="AW79" s="143"/>
      <c r="AX79" s="153" t="s">
        <v>11</v>
      </c>
      <c r="AY79" s="6" t="s">
        <v>8</v>
      </c>
      <c r="AZ79" s="7">
        <v>0</v>
      </c>
      <c r="BA79" s="7">
        <v>0</v>
      </c>
      <c r="BB79" s="7">
        <v>0</v>
      </c>
      <c r="BC79" s="7">
        <v>0</v>
      </c>
      <c r="BD79" s="73"/>
      <c r="BE79" s="143"/>
      <c r="BF79" s="153" t="s">
        <v>11</v>
      </c>
      <c r="BG79" s="6" t="s">
        <v>8</v>
      </c>
      <c r="BH79" s="114">
        <v>0</v>
      </c>
      <c r="BI79" s="114">
        <v>0</v>
      </c>
      <c r="BJ79" s="114">
        <v>0</v>
      </c>
      <c r="BK79" s="114">
        <v>0</v>
      </c>
      <c r="BL79" s="73"/>
      <c r="BM79" s="143"/>
      <c r="BN79" s="153" t="s">
        <v>11</v>
      </c>
      <c r="BO79" s="6" t="s">
        <v>8</v>
      </c>
      <c r="BP79" s="7">
        <v>0</v>
      </c>
      <c r="BQ79" s="7">
        <v>0</v>
      </c>
      <c r="BR79" s="7">
        <v>0</v>
      </c>
      <c r="BS79" s="7">
        <v>0</v>
      </c>
      <c r="BT79" s="73"/>
      <c r="BU79" s="143"/>
      <c r="BV79" s="153" t="s">
        <v>11</v>
      </c>
      <c r="BW79" s="6" t="s">
        <v>8</v>
      </c>
      <c r="BX79" s="7">
        <v>0</v>
      </c>
      <c r="BY79" s="7">
        <v>0</v>
      </c>
      <c r="BZ79" s="7">
        <v>0</v>
      </c>
      <c r="CA79" s="7">
        <v>0</v>
      </c>
      <c r="CB79" s="73"/>
      <c r="CC79" s="143"/>
      <c r="CD79" s="153" t="s">
        <v>11</v>
      </c>
      <c r="CE79" s="6" t="s">
        <v>8</v>
      </c>
      <c r="CF79" s="7">
        <v>0</v>
      </c>
      <c r="CG79" s="7">
        <v>0</v>
      </c>
      <c r="CH79" s="7">
        <v>0</v>
      </c>
      <c r="CI79" s="7">
        <v>0</v>
      </c>
      <c r="CJ79" s="73"/>
      <c r="CK79" s="143"/>
      <c r="CL79" s="153" t="s">
        <v>11</v>
      </c>
      <c r="CM79" s="6" t="s">
        <v>8</v>
      </c>
      <c r="CN79" s="7">
        <v>0</v>
      </c>
      <c r="CO79" s="7">
        <v>0</v>
      </c>
      <c r="CP79" s="7">
        <v>0</v>
      </c>
      <c r="CQ79" s="7">
        <v>0</v>
      </c>
      <c r="CR79" s="73"/>
      <c r="CS79" s="143"/>
      <c r="CT79" s="153" t="s">
        <v>11</v>
      </c>
      <c r="CU79" s="6" t="s">
        <v>8</v>
      </c>
      <c r="CV79" s="8">
        <f t="shared" ref="CV79:CV80" si="134">SUM(D79+L79+T79+AB79+AJ79+AR79+AZ79+BH79+BP79+BX79+CF79+CN79)</f>
        <v>0</v>
      </c>
      <c r="CW79" s="9">
        <f t="shared" ref="CW79:CW80" si="135">SUM(E79+M79+U79+AC79+AK79+AS79+BA79+BI79+BQ79+BY79+CG79+CO79)</f>
        <v>0</v>
      </c>
      <c r="CX79" s="9">
        <f t="shared" ref="CX79:CX80" si="136">SUM(F79+N79+V79+AD79+AL79+AT79+BB79+BJ79+BR79+BZ79+CH79+CP79)</f>
        <v>0</v>
      </c>
      <c r="CY79" s="9">
        <f t="shared" ref="CY79:CY80" si="137">SUM(G79+O79+W79+AE79+AM79+AU79+BC79+BK79+BS79+CA79+CI79+CQ79)</f>
        <v>0</v>
      </c>
    </row>
    <row r="80" spans="1:103" ht="20.100000000000001" customHeight="1" thickBot="1" x14ac:dyDescent="0.25">
      <c r="A80" s="143"/>
      <c r="B80" s="154"/>
      <c r="C80" s="10" t="s">
        <v>9</v>
      </c>
      <c r="D80" s="11">
        <v>0</v>
      </c>
      <c r="E80" s="11">
        <v>0</v>
      </c>
      <c r="F80" s="11">
        <v>0</v>
      </c>
      <c r="G80" s="11">
        <v>0</v>
      </c>
      <c r="H80" s="73"/>
      <c r="I80" s="143"/>
      <c r="J80" s="154"/>
      <c r="K80" s="10" t="s">
        <v>9</v>
      </c>
      <c r="L80" s="11">
        <v>0</v>
      </c>
      <c r="M80" s="11">
        <v>0</v>
      </c>
      <c r="N80" s="11">
        <v>0</v>
      </c>
      <c r="O80" s="11">
        <v>0</v>
      </c>
      <c r="P80" s="73"/>
      <c r="Q80" s="143"/>
      <c r="R80" s="154"/>
      <c r="S80" s="10" t="s">
        <v>9</v>
      </c>
      <c r="T80" s="11">
        <v>0</v>
      </c>
      <c r="U80" s="11">
        <v>0</v>
      </c>
      <c r="V80" s="11">
        <v>0</v>
      </c>
      <c r="W80" s="11">
        <v>0</v>
      </c>
      <c r="X80" s="73"/>
      <c r="Y80" s="143"/>
      <c r="Z80" s="154"/>
      <c r="AA80" s="10" t="s">
        <v>9</v>
      </c>
      <c r="AB80" s="11">
        <v>0</v>
      </c>
      <c r="AC80" s="11">
        <v>0</v>
      </c>
      <c r="AD80" s="11">
        <v>0</v>
      </c>
      <c r="AE80" s="11">
        <v>0</v>
      </c>
      <c r="AF80" s="73"/>
      <c r="AG80" s="143"/>
      <c r="AH80" s="154"/>
      <c r="AI80" s="10" t="s">
        <v>9</v>
      </c>
      <c r="AJ80" s="11">
        <v>0</v>
      </c>
      <c r="AK80" s="11">
        <v>0</v>
      </c>
      <c r="AL80" s="11">
        <v>0</v>
      </c>
      <c r="AM80" s="11">
        <v>0</v>
      </c>
      <c r="AN80" s="73"/>
      <c r="AO80" s="143"/>
      <c r="AP80" s="154"/>
      <c r="AQ80" s="10" t="s">
        <v>9</v>
      </c>
      <c r="AR80" s="11">
        <v>0</v>
      </c>
      <c r="AS80" s="11">
        <v>0</v>
      </c>
      <c r="AT80" s="11">
        <v>0</v>
      </c>
      <c r="AU80" s="11">
        <v>0</v>
      </c>
      <c r="AV80" s="73"/>
      <c r="AW80" s="143"/>
      <c r="AX80" s="154"/>
      <c r="AY80" s="10" t="s">
        <v>9</v>
      </c>
      <c r="AZ80" s="11">
        <v>0</v>
      </c>
      <c r="BA80" s="11">
        <v>0</v>
      </c>
      <c r="BB80" s="11">
        <v>0</v>
      </c>
      <c r="BC80" s="11">
        <v>0</v>
      </c>
      <c r="BD80" s="73"/>
      <c r="BE80" s="143"/>
      <c r="BF80" s="154"/>
      <c r="BG80" s="10" t="s">
        <v>9</v>
      </c>
      <c r="BH80" s="115">
        <v>0</v>
      </c>
      <c r="BI80" s="115">
        <v>0</v>
      </c>
      <c r="BJ80" s="115">
        <v>0</v>
      </c>
      <c r="BK80" s="115">
        <v>0</v>
      </c>
      <c r="BL80" s="73"/>
      <c r="BM80" s="143"/>
      <c r="BN80" s="154"/>
      <c r="BO80" s="10" t="s">
        <v>9</v>
      </c>
      <c r="BP80" s="11">
        <v>0</v>
      </c>
      <c r="BQ80" s="11">
        <v>0</v>
      </c>
      <c r="BR80" s="11">
        <v>0</v>
      </c>
      <c r="BS80" s="11">
        <v>0</v>
      </c>
      <c r="BT80" s="73"/>
      <c r="BU80" s="143"/>
      <c r="BV80" s="154"/>
      <c r="BW80" s="10" t="s">
        <v>9</v>
      </c>
      <c r="BX80" s="11">
        <v>0</v>
      </c>
      <c r="BY80" s="11">
        <v>0</v>
      </c>
      <c r="BZ80" s="11">
        <v>0</v>
      </c>
      <c r="CA80" s="11">
        <v>0</v>
      </c>
      <c r="CB80" s="73"/>
      <c r="CC80" s="143"/>
      <c r="CD80" s="154"/>
      <c r="CE80" s="10" t="s">
        <v>9</v>
      </c>
      <c r="CF80" s="11">
        <v>0</v>
      </c>
      <c r="CG80" s="11">
        <v>0</v>
      </c>
      <c r="CH80" s="11">
        <v>0</v>
      </c>
      <c r="CI80" s="11">
        <v>0</v>
      </c>
      <c r="CJ80" s="73"/>
      <c r="CK80" s="143"/>
      <c r="CL80" s="154"/>
      <c r="CM80" s="10" t="s">
        <v>9</v>
      </c>
      <c r="CN80" s="11">
        <v>0</v>
      </c>
      <c r="CO80" s="11">
        <v>0</v>
      </c>
      <c r="CP80" s="11">
        <v>0</v>
      </c>
      <c r="CQ80" s="11">
        <v>0</v>
      </c>
      <c r="CR80" s="73"/>
      <c r="CS80" s="143"/>
      <c r="CT80" s="154"/>
      <c r="CU80" s="10" t="s">
        <v>9</v>
      </c>
      <c r="CV80" s="12">
        <f t="shared" si="134"/>
        <v>0</v>
      </c>
      <c r="CW80" s="13">
        <f t="shared" si="135"/>
        <v>0</v>
      </c>
      <c r="CX80" s="13">
        <f t="shared" si="136"/>
        <v>0</v>
      </c>
      <c r="CY80" s="13">
        <f t="shared" si="137"/>
        <v>0</v>
      </c>
    </row>
    <row r="81" spans="1:104" ht="20.100000000000001" customHeight="1" thickBot="1" x14ac:dyDescent="0.25">
      <c r="A81" s="144"/>
      <c r="B81" s="151" t="s">
        <v>14</v>
      </c>
      <c r="C81" s="152"/>
      <c r="D81" s="14">
        <f>SUM(D79:D80)</f>
        <v>0</v>
      </c>
      <c r="E81" s="14">
        <f>SUM(E79:E80)</f>
        <v>0</v>
      </c>
      <c r="F81" s="14">
        <f>SUM(F79:F80)</f>
        <v>0</v>
      </c>
      <c r="G81" s="14">
        <f>SUM(G79:G80)</f>
        <v>0</v>
      </c>
      <c r="H81" s="73"/>
      <c r="I81" s="144"/>
      <c r="J81" s="151" t="s">
        <v>14</v>
      </c>
      <c r="K81" s="152"/>
      <c r="L81" s="14">
        <f>SUM(L79:L80)</f>
        <v>0</v>
      </c>
      <c r="M81" s="14">
        <f>SUM(M79:M80)</f>
        <v>0</v>
      </c>
      <c r="N81" s="14">
        <f>SUM(N79:N80)</f>
        <v>0</v>
      </c>
      <c r="O81" s="14">
        <f>SUM(O79:O80)</f>
        <v>0</v>
      </c>
      <c r="P81" s="73"/>
      <c r="Q81" s="144"/>
      <c r="R81" s="151" t="s">
        <v>14</v>
      </c>
      <c r="S81" s="152"/>
      <c r="T81" s="14">
        <f>SUM(T79:T80)</f>
        <v>0</v>
      </c>
      <c r="U81" s="14">
        <f>SUM(U79:U80)</f>
        <v>0</v>
      </c>
      <c r="V81" s="14">
        <f>SUM(V79:V80)</f>
        <v>0</v>
      </c>
      <c r="W81" s="14">
        <f>SUM(W79:W80)</f>
        <v>0</v>
      </c>
      <c r="X81" s="73"/>
      <c r="Y81" s="144"/>
      <c r="Z81" s="151" t="s">
        <v>14</v>
      </c>
      <c r="AA81" s="152"/>
      <c r="AB81" s="14">
        <f>SUM(AB79:AB80)</f>
        <v>0</v>
      </c>
      <c r="AC81" s="14">
        <f>SUM(AC79:AC80)</f>
        <v>0</v>
      </c>
      <c r="AD81" s="14">
        <f>SUM(AD79:AD80)</f>
        <v>0</v>
      </c>
      <c r="AE81" s="14">
        <f>SUM(AE79:AE80)</f>
        <v>0</v>
      </c>
      <c r="AF81" s="73"/>
      <c r="AG81" s="144"/>
      <c r="AH81" s="151" t="s">
        <v>14</v>
      </c>
      <c r="AI81" s="152"/>
      <c r="AJ81" s="14">
        <f>SUM(AJ79:AJ80)</f>
        <v>0</v>
      </c>
      <c r="AK81" s="14">
        <f>SUM(AK79:AK80)</f>
        <v>0</v>
      </c>
      <c r="AL81" s="14">
        <f>SUM(AL79:AL80)</f>
        <v>0</v>
      </c>
      <c r="AM81" s="14">
        <f>SUM(AM79:AM80)</f>
        <v>0</v>
      </c>
      <c r="AN81" s="73"/>
      <c r="AO81" s="144"/>
      <c r="AP81" s="151" t="s">
        <v>14</v>
      </c>
      <c r="AQ81" s="152"/>
      <c r="AR81" s="14">
        <f>SUM(AR79:AR80)</f>
        <v>0</v>
      </c>
      <c r="AS81" s="14">
        <f>SUM(AS79:AS80)</f>
        <v>0</v>
      </c>
      <c r="AT81" s="14">
        <f>SUM(AT79:AT80)</f>
        <v>0</v>
      </c>
      <c r="AU81" s="14">
        <f>SUM(AU79:AU80)</f>
        <v>0</v>
      </c>
      <c r="AV81" s="73"/>
      <c r="AW81" s="144"/>
      <c r="AX81" s="151" t="s">
        <v>14</v>
      </c>
      <c r="AY81" s="152"/>
      <c r="AZ81" s="14">
        <f>SUM(AZ79:AZ80)</f>
        <v>0</v>
      </c>
      <c r="BA81" s="14">
        <f>SUM(BA79:BA80)</f>
        <v>0</v>
      </c>
      <c r="BB81" s="14">
        <f>SUM(BB79:BB80)</f>
        <v>0</v>
      </c>
      <c r="BC81" s="14">
        <f>SUM(BC79:BC80)</f>
        <v>0</v>
      </c>
      <c r="BD81" s="73"/>
      <c r="BE81" s="144"/>
      <c r="BF81" s="151" t="s">
        <v>14</v>
      </c>
      <c r="BG81" s="152"/>
      <c r="BH81" s="116">
        <f t="shared" ref="BH81:BK81" si="138">SUM(BH79:BH80)</f>
        <v>0</v>
      </c>
      <c r="BI81" s="116">
        <f t="shared" si="138"/>
        <v>0</v>
      </c>
      <c r="BJ81" s="116">
        <f t="shared" si="138"/>
        <v>0</v>
      </c>
      <c r="BK81" s="116">
        <f t="shared" si="138"/>
        <v>0</v>
      </c>
      <c r="BL81" s="73"/>
      <c r="BM81" s="144"/>
      <c r="BN81" s="151" t="s">
        <v>14</v>
      </c>
      <c r="BO81" s="152"/>
      <c r="BP81" s="14">
        <f>SUM(BP79:BP80)</f>
        <v>0</v>
      </c>
      <c r="BQ81" s="14">
        <f>SUM(BQ79:BQ80)</f>
        <v>0</v>
      </c>
      <c r="BR81" s="14">
        <f>SUM(BR79:BR80)</f>
        <v>0</v>
      </c>
      <c r="BS81" s="14">
        <f>SUM(BS79:BS80)</f>
        <v>0</v>
      </c>
      <c r="BT81" s="73"/>
      <c r="BU81" s="144"/>
      <c r="BV81" s="151" t="s">
        <v>14</v>
      </c>
      <c r="BW81" s="152"/>
      <c r="BX81" s="14">
        <f>SUM(BX79:BX80)</f>
        <v>0</v>
      </c>
      <c r="BY81" s="14">
        <f>SUM(BY79:BY80)</f>
        <v>0</v>
      </c>
      <c r="BZ81" s="14">
        <f>SUM(BZ79:BZ80)</f>
        <v>0</v>
      </c>
      <c r="CA81" s="14">
        <f>SUM(CA79:CA80)</f>
        <v>0</v>
      </c>
      <c r="CB81" s="73"/>
      <c r="CC81" s="144"/>
      <c r="CD81" s="151" t="s">
        <v>14</v>
      </c>
      <c r="CE81" s="152"/>
      <c r="CF81" s="14">
        <f>SUM(CF79:CF80)</f>
        <v>0</v>
      </c>
      <c r="CG81" s="14">
        <f>SUM(CG79:CG80)</f>
        <v>0</v>
      </c>
      <c r="CH81" s="14">
        <f>SUM(CH79:CH80)</f>
        <v>0</v>
      </c>
      <c r="CI81" s="14">
        <f>SUM(CI79:CI80)</f>
        <v>0</v>
      </c>
      <c r="CJ81" s="73"/>
      <c r="CK81" s="144"/>
      <c r="CL81" s="151" t="s">
        <v>14</v>
      </c>
      <c r="CM81" s="152"/>
      <c r="CN81" s="14">
        <f>SUM(CN79:CN80)</f>
        <v>0</v>
      </c>
      <c r="CO81" s="14">
        <f>SUM(CO79:CO80)</f>
        <v>0</v>
      </c>
      <c r="CP81" s="14">
        <f>SUM(CP79:CP80)</f>
        <v>0</v>
      </c>
      <c r="CQ81" s="14">
        <f>SUM(CQ79:CQ80)</f>
        <v>0</v>
      </c>
      <c r="CR81" s="73"/>
      <c r="CS81" s="144"/>
      <c r="CT81" s="151" t="s">
        <v>14</v>
      </c>
      <c r="CU81" s="152"/>
      <c r="CV81" s="14">
        <f>SUM(CV79:CV80)</f>
        <v>0</v>
      </c>
      <c r="CW81" s="14">
        <f>SUM(CW79:CW80)</f>
        <v>0</v>
      </c>
      <c r="CX81" s="14">
        <f>SUM(CX79:CX80)</f>
        <v>0</v>
      </c>
      <c r="CY81" s="15">
        <f>SUM(CY79:CY80)</f>
        <v>0</v>
      </c>
    </row>
    <row r="82" spans="1:104" ht="20.100000000000001" customHeight="1" thickBot="1" x14ac:dyDescent="0.25">
      <c r="A82" s="17"/>
      <c r="B82" s="149" t="s">
        <v>12</v>
      </c>
      <c r="C82" s="150"/>
      <c r="D82" s="18">
        <f>SUM(D78+D81)</f>
        <v>0</v>
      </c>
      <c r="E82" s="18">
        <f>SUM(E78+E81)</f>
        <v>0</v>
      </c>
      <c r="F82" s="18">
        <f>SUM(F78+F81)</f>
        <v>0</v>
      </c>
      <c r="G82" s="18">
        <f>SUM(G78+G81)</f>
        <v>0</v>
      </c>
      <c r="H82" s="73"/>
      <c r="I82" s="17"/>
      <c r="J82" s="149" t="s">
        <v>12</v>
      </c>
      <c r="K82" s="150"/>
      <c r="L82" s="18">
        <f>SUM(L78+L81)</f>
        <v>0</v>
      </c>
      <c r="M82" s="18">
        <f>SUM(M78+M81)</f>
        <v>0</v>
      </c>
      <c r="N82" s="18">
        <f>SUM(N78+N81)</f>
        <v>0</v>
      </c>
      <c r="O82" s="18">
        <f>SUM(O78+O81)</f>
        <v>0</v>
      </c>
      <c r="P82" s="73"/>
      <c r="Q82" s="17"/>
      <c r="R82" s="149" t="s">
        <v>12</v>
      </c>
      <c r="S82" s="150"/>
      <c r="T82" s="18">
        <f>SUM(T78+T81)</f>
        <v>0</v>
      </c>
      <c r="U82" s="18">
        <f>SUM(U78+U81)</f>
        <v>0</v>
      </c>
      <c r="V82" s="18">
        <f>SUM(V78+V81)</f>
        <v>0</v>
      </c>
      <c r="W82" s="18">
        <f>SUM(W78+W81)</f>
        <v>0</v>
      </c>
      <c r="X82" s="73"/>
      <c r="Y82" s="17"/>
      <c r="Z82" s="149" t="s">
        <v>12</v>
      </c>
      <c r="AA82" s="150"/>
      <c r="AB82" s="18">
        <f>SUM(AB78+AB81)</f>
        <v>0</v>
      </c>
      <c r="AC82" s="18">
        <f>SUM(AC78+AC81)</f>
        <v>0</v>
      </c>
      <c r="AD82" s="18">
        <f>SUM(AD78+AD81)</f>
        <v>0</v>
      </c>
      <c r="AE82" s="18">
        <f>SUM(AE78+AE81)</f>
        <v>0</v>
      </c>
      <c r="AF82" s="73"/>
      <c r="AG82" s="17"/>
      <c r="AH82" s="149" t="s">
        <v>12</v>
      </c>
      <c r="AI82" s="150"/>
      <c r="AJ82" s="18">
        <f>SUM(AJ78+AJ81)</f>
        <v>0</v>
      </c>
      <c r="AK82" s="18">
        <f>SUM(AK78+AK81)</f>
        <v>0</v>
      </c>
      <c r="AL82" s="18">
        <f>SUM(AL78+AL81)</f>
        <v>0</v>
      </c>
      <c r="AM82" s="18">
        <f>SUM(AM78+AM81)</f>
        <v>0</v>
      </c>
      <c r="AN82" s="73"/>
      <c r="AO82" s="17"/>
      <c r="AP82" s="149" t="s">
        <v>12</v>
      </c>
      <c r="AQ82" s="150"/>
      <c r="AR82" s="18">
        <f>SUM(AR78+AR81)</f>
        <v>0</v>
      </c>
      <c r="AS82" s="18">
        <f>SUM(AS78+AS81)</f>
        <v>0</v>
      </c>
      <c r="AT82" s="18">
        <f>SUM(AT78+AT81)</f>
        <v>0</v>
      </c>
      <c r="AU82" s="18">
        <f>SUM(AU78+AU81)</f>
        <v>0</v>
      </c>
      <c r="AV82" s="73"/>
      <c r="AW82" s="17"/>
      <c r="AX82" s="149" t="s">
        <v>12</v>
      </c>
      <c r="AY82" s="150"/>
      <c r="AZ82" s="18">
        <f>SUM(AZ78+AZ81)</f>
        <v>0</v>
      </c>
      <c r="BA82" s="18">
        <f>SUM(BA78+BA81)</f>
        <v>0</v>
      </c>
      <c r="BB82" s="18">
        <f>SUM(BB78+BB81)</f>
        <v>0</v>
      </c>
      <c r="BC82" s="18">
        <f>SUM(BC78+BC81)</f>
        <v>0</v>
      </c>
      <c r="BD82" s="73"/>
      <c r="BE82" s="17"/>
      <c r="BF82" s="149" t="s">
        <v>12</v>
      </c>
      <c r="BG82" s="150"/>
      <c r="BH82" s="117">
        <f t="shared" ref="BH82:BK82" si="139">SUM(BH78+BH81)</f>
        <v>0</v>
      </c>
      <c r="BI82" s="117">
        <f t="shared" si="139"/>
        <v>0</v>
      </c>
      <c r="BJ82" s="117">
        <f t="shared" si="139"/>
        <v>0</v>
      </c>
      <c r="BK82" s="117">
        <f t="shared" si="139"/>
        <v>0</v>
      </c>
      <c r="BL82" s="73"/>
      <c r="BM82" s="17"/>
      <c r="BN82" s="149" t="s">
        <v>12</v>
      </c>
      <c r="BO82" s="150"/>
      <c r="BP82" s="18">
        <f>SUM(BP78+BP81)</f>
        <v>0</v>
      </c>
      <c r="BQ82" s="18">
        <f>SUM(BQ78+BQ81)</f>
        <v>0</v>
      </c>
      <c r="BR82" s="18">
        <f>SUM(BR78+BR81)</f>
        <v>0</v>
      </c>
      <c r="BS82" s="18">
        <f>SUM(BS78+BS81)</f>
        <v>0</v>
      </c>
      <c r="BT82" s="73"/>
      <c r="BU82" s="17"/>
      <c r="BV82" s="149" t="s">
        <v>12</v>
      </c>
      <c r="BW82" s="150"/>
      <c r="BX82" s="18">
        <f>SUM(BX78+BX81)</f>
        <v>0</v>
      </c>
      <c r="BY82" s="18">
        <f>SUM(BY78+BY81)</f>
        <v>0</v>
      </c>
      <c r="BZ82" s="18">
        <f>SUM(BZ78+BZ81)</f>
        <v>0</v>
      </c>
      <c r="CA82" s="18">
        <f>SUM(CA78+CA81)</f>
        <v>0</v>
      </c>
      <c r="CB82" s="73"/>
      <c r="CC82" s="17"/>
      <c r="CD82" s="149" t="s">
        <v>12</v>
      </c>
      <c r="CE82" s="150"/>
      <c r="CF82" s="18">
        <f>SUM(CF78+CF81)</f>
        <v>0</v>
      </c>
      <c r="CG82" s="18">
        <f>SUM(CG78+CG81)</f>
        <v>0</v>
      </c>
      <c r="CH82" s="18">
        <f>SUM(CH78+CH81)</f>
        <v>0</v>
      </c>
      <c r="CI82" s="18">
        <f>SUM(CI78+CI81)</f>
        <v>0</v>
      </c>
      <c r="CJ82" s="73"/>
      <c r="CK82" s="17"/>
      <c r="CL82" s="149" t="s">
        <v>12</v>
      </c>
      <c r="CM82" s="150"/>
      <c r="CN82" s="18">
        <f>SUM(CN78+CN81)</f>
        <v>0</v>
      </c>
      <c r="CO82" s="18">
        <f>SUM(CO78+CO81)</f>
        <v>0</v>
      </c>
      <c r="CP82" s="18">
        <f>SUM(CP78+CP81)</f>
        <v>0</v>
      </c>
      <c r="CQ82" s="18">
        <f>SUM(CQ78+CQ81)</f>
        <v>0</v>
      </c>
      <c r="CR82" s="73"/>
      <c r="CS82" s="17"/>
      <c r="CT82" s="149" t="s">
        <v>12</v>
      </c>
      <c r="CU82" s="150"/>
      <c r="CV82" s="18">
        <f>SUM(CV78+CV81)</f>
        <v>0</v>
      </c>
      <c r="CW82" s="18">
        <f>SUM(CW78+CW81)</f>
        <v>0</v>
      </c>
      <c r="CX82" s="18">
        <f>SUM(CX78+CX81)</f>
        <v>0</v>
      </c>
      <c r="CY82" s="23">
        <f>SUM(CY78+CY81)</f>
        <v>0</v>
      </c>
    </row>
    <row r="83" spans="1:104" ht="20.100000000000001" customHeight="1" x14ac:dyDescent="0.2">
      <c r="A83" s="142">
        <v>0</v>
      </c>
      <c r="B83" s="140" t="s">
        <v>3</v>
      </c>
      <c r="C83" s="6" t="s">
        <v>8</v>
      </c>
      <c r="D83" s="7">
        <v>0</v>
      </c>
      <c r="E83" s="7">
        <v>0</v>
      </c>
      <c r="F83" s="7">
        <v>0</v>
      </c>
      <c r="G83" s="7">
        <v>0</v>
      </c>
      <c r="H83" s="73"/>
      <c r="I83" s="142">
        <v>0</v>
      </c>
      <c r="J83" s="140" t="s">
        <v>3</v>
      </c>
      <c r="K83" s="6" t="s">
        <v>8</v>
      </c>
      <c r="L83" s="7">
        <v>0</v>
      </c>
      <c r="M83" s="7">
        <v>0</v>
      </c>
      <c r="N83" s="7">
        <v>0</v>
      </c>
      <c r="O83" s="7">
        <v>0</v>
      </c>
      <c r="P83" s="73"/>
      <c r="Q83" s="142">
        <v>0</v>
      </c>
      <c r="R83" s="140" t="s">
        <v>3</v>
      </c>
      <c r="S83" s="6" t="s">
        <v>8</v>
      </c>
      <c r="T83" s="7">
        <v>0</v>
      </c>
      <c r="U83" s="7">
        <v>0</v>
      </c>
      <c r="V83" s="7">
        <v>0</v>
      </c>
      <c r="W83" s="7">
        <v>0</v>
      </c>
      <c r="X83" s="73"/>
      <c r="Y83" s="142">
        <v>0</v>
      </c>
      <c r="Z83" s="140" t="s">
        <v>3</v>
      </c>
      <c r="AA83" s="6" t="s">
        <v>8</v>
      </c>
      <c r="AB83" s="7">
        <v>0</v>
      </c>
      <c r="AC83" s="7">
        <v>0</v>
      </c>
      <c r="AD83" s="7">
        <v>0</v>
      </c>
      <c r="AE83" s="7">
        <v>0</v>
      </c>
      <c r="AF83" s="73"/>
      <c r="AG83" s="142">
        <v>0</v>
      </c>
      <c r="AH83" s="140" t="s">
        <v>3</v>
      </c>
      <c r="AI83" s="6" t="s">
        <v>8</v>
      </c>
      <c r="AJ83" s="7">
        <v>0</v>
      </c>
      <c r="AK83" s="7">
        <v>0</v>
      </c>
      <c r="AL83" s="7">
        <v>0</v>
      </c>
      <c r="AM83" s="7">
        <v>0</v>
      </c>
      <c r="AN83" s="73"/>
      <c r="AO83" s="142">
        <v>0</v>
      </c>
      <c r="AP83" s="140" t="s">
        <v>3</v>
      </c>
      <c r="AQ83" s="6" t="s">
        <v>8</v>
      </c>
      <c r="AR83" s="7">
        <v>0</v>
      </c>
      <c r="AS83" s="7">
        <v>0</v>
      </c>
      <c r="AT83" s="7">
        <v>0</v>
      </c>
      <c r="AU83" s="7">
        <v>0</v>
      </c>
      <c r="AV83" s="73"/>
      <c r="AW83" s="142">
        <v>0</v>
      </c>
      <c r="AX83" s="140" t="s">
        <v>3</v>
      </c>
      <c r="AY83" s="6" t="s">
        <v>8</v>
      </c>
      <c r="AZ83" s="7">
        <v>0</v>
      </c>
      <c r="BA83" s="7">
        <v>0</v>
      </c>
      <c r="BB83" s="7">
        <v>0</v>
      </c>
      <c r="BC83" s="7">
        <v>0</v>
      </c>
      <c r="BD83" s="73"/>
      <c r="BE83" s="142">
        <v>0</v>
      </c>
      <c r="BF83" s="140" t="s">
        <v>3</v>
      </c>
      <c r="BG83" s="6" t="s">
        <v>8</v>
      </c>
      <c r="BH83" s="114">
        <v>0</v>
      </c>
      <c r="BI83" s="114">
        <v>0</v>
      </c>
      <c r="BJ83" s="114">
        <v>0</v>
      </c>
      <c r="BK83" s="114">
        <v>0</v>
      </c>
      <c r="BL83" s="73"/>
      <c r="BM83" s="142">
        <v>0</v>
      </c>
      <c r="BN83" s="140" t="s">
        <v>3</v>
      </c>
      <c r="BO83" s="6" t="s">
        <v>8</v>
      </c>
      <c r="BP83" s="7">
        <v>0</v>
      </c>
      <c r="BQ83" s="7">
        <v>0</v>
      </c>
      <c r="BR83" s="7">
        <v>0</v>
      </c>
      <c r="BS83" s="7">
        <v>0</v>
      </c>
      <c r="BT83" s="73"/>
      <c r="BU83" s="142">
        <v>0</v>
      </c>
      <c r="BV83" s="140" t="s">
        <v>3</v>
      </c>
      <c r="BW83" s="6" t="s">
        <v>8</v>
      </c>
      <c r="BX83" s="7">
        <v>0</v>
      </c>
      <c r="BY83" s="7">
        <v>0</v>
      </c>
      <c r="BZ83" s="7">
        <v>0</v>
      </c>
      <c r="CA83" s="7">
        <v>0</v>
      </c>
      <c r="CB83" s="73"/>
      <c r="CC83" s="142">
        <v>0</v>
      </c>
      <c r="CD83" s="140" t="s">
        <v>3</v>
      </c>
      <c r="CE83" s="6" t="s">
        <v>8</v>
      </c>
      <c r="CF83" s="7">
        <v>0</v>
      </c>
      <c r="CG83" s="7">
        <v>0</v>
      </c>
      <c r="CH83" s="7">
        <v>0</v>
      </c>
      <c r="CI83" s="7">
        <v>0</v>
      </c>
      <c r="CJ83" s="73"/>
      <c r="CK83" s="142">
        <v>0</v>
      </c>
      <c r="CL83" s="140" t="s">
        <v>3</v>
      </c>
      <c r="CM83" s="6" t="s">
        <v>8</v>
      </c>
      <c r="CN83" s="7">
        <v>0</v>
      </c>
      <c r="CO83" s="7">
        <v>0</v>
      </c>
      <c r="CP83" s="7">
        <v>0</v>
      </c>
      <c r="CQ83" s="7">
        <v>0</v>
      </c>
      <c r="CR83" s="73"/>
      <c r="CS83" s="142">
        <f>(CK83)</f>
        <v>0</v>
      </c>
      <c r="CT83" s="140" t="s">
        <v>3</v>
      </c>
      <c r="CU83" s="6" t="s">
        <v>8</v>
      </c>
      <c r="CV83" s="8">
        <f t="shared" ref="CV83:CV84" si="140">SUM(D83+L83+T83+AB83+AJ83+AR83+AZ83+BH83+BP83+BX83+CF83+CN83)</f>
        <v>0</v>
      </c>
      <c r="CW83" s="9">
        <f t="shared" ref="CW83:CW84" si="141">SUM(E83+M83+U83+AC83+AK83+AS83+BA83+BI83+BQ83+BY83+CG83+CO83)</f>
        <v>0</v>
      </c>
      <c r="CX83" s="9">
        <f t="shared" ref="CX83:CX84" si="142">SUM(F83+N83+V83+AD83+AL83+AT83+BB83+BJ83+BR83+BZ83+CH83+CP83)</f>
        <v>0</v>
      </c>
      <c r="CY83" s="9">
        <f t="shared" ref="CY83:CY84" si="143">SUM(G83+O83+W83+AE83+AM83+AU83+BC83+BK83+BS83+CA83+CI83+CQ83)</f>
        <v>0</v>
      </c>
    </row>
    <row r="84" spans="1:104" ht="20.100000000000001" customHeight="1" thickBot="1" x14ac:dyDescent="0.25">
      <c r="A84" s="143"/>
      <c r="B84" s="141"/>
      <c r="C84" s="10" t="s">
        <v>9</v>
      </c>
      <c r="D84" s="11">
        <v>0</v>
      </c>
      <c r="E84" s="11">
        <v>0</v>
      </c>
      <c r="F84" s="11">
        <v>0</v>
      </c>
      <c r="G84" s="11">
        <v>0</v>
      </c>
      <c r="H84" s="73"/>
      <c r="I84" s="143"/>
      <c r="J84" s="141"/>
      <c r="K84" s="10" t="s">
        <v>9</v>
      </c>
      <c r="L84" s="11">
        <v>0</v>
      </c>
      <c r="M84" s="11">
        <v>0</v>
      </c>
      <c r="N84" s="11">
        <v>0</v>
      </c>
      <c r="O84" s="11">
        <v>0</v>
      </c>
      <c r="P84" s="73"/>
      <c r="Q84" s="143"/>
      <c r="R84" s="141"/>
      <c r="S84" s="10" t="s">
        <v>9</v>
      </c>
      <c r="T84" s="11">
        <v>0</v>
      </c>
      <c r="U84" s="11">
        <v>0</v>
      </c>
      <c r="V84" s="11">
        <v>0</v>
      </c>
      <c r="W84" s="11">
        <v>0</v>
      </c>
      <c r="X84" s="73"/>
      <c r="Y84" s="143"/>
      <c r="Z84" s="141"/>
      <c r="AA84" s="10" t="s">
        <v>9</v>
      </c>
      <c r="AB84" s="11">
        <v>0</v>
      </c>
      <c r="AC84" s="11">
        <v>0</v>
      </c>
      <c r="AD84" s="11">
        <v>0</v>
      </c>
      <c r="AE84" s="11">
        <v>0</v>
      </c>
      <c r="AF84" s="73"/>
      <c r="AG84" s="143"/>
      <c r="AH84" s="141"/>
      <c r="AI84" s="10" t="s">
        <v>9</v>
      </c>
      <c r="AJ84" s="11">
        <v>0</v>
      </c>
      <c r="AK84" s="11">
        <v>0</v>
      </c>
      <c r="AL84" s="11">
        <v>0</v>
      </c>
      <c r="AM84" s="11">
        <v>0</v>
      </c>
      <c r="AN84" s="73"/>
      <c r="AO84" s="143"/>
      <c r="AP84" s="141"/>
      <c r="AQ84" s="10" t="s">
        <v>9</v>
      </c>
      <c r="AR84" s="11">
        <v>0</v>
      </c>
      <c r="AS84" s="11">
        <v>0</v>
      </c>
      <c r="AT84" s="11">
        <v>0</v>
      </c>
      <c r="AU84" s="11">
        <v>0</v>
      </c>
      <c r="AV84" s="73"/>
      <c r="AW84" s="143"/>
      <c r="AX84" s="141"/>
      <c r="AY84" s="10" t="s">
        <v>9</v>
      </c>
      <c r="AZ84" s="11">
        <v>0</v>
      </c>
      <c r="BA84" s="11">
        <v>0</v>
      </c>
      <c r="BB84" s="11">
        <v>0</v>
      </c>
      <c r="BC84" s="11">
        <v>0</v>
      </c>
      <c r="BD84" s="73"/>
      <c r="BE84" s="143"/>
      <c r="BF84" s="141"/>
      <c r="BG84" s="10" t="s">
        <v>9</v>
      </c>
      <c r="BH84" s="115">
        <v>0</v>
      </c>
      <c r="BI84" s="115">
        <v>0</v>
      </c>
      <c r="BJ84" s="115">
        <v>0</v>
      </c>
      <c r="BK84" s="115">
        <v>0</v>
      </c>
      <c r="BL84" s="73"/>
      <c r="BM84" s="143"/>
      <c r="BN84" s="141"/>
      <c r="BO84" s="10" t="s">
        <v>9</v>
      </c>
      <c r="BP84" s="11">
        <v>0</v>
      </c>
      <c r="BQ84" s="11">
        <v>0</v>
      </c>
      <c r="BR84" s="11">
        <v>0</v>
      </c>
      <c r="BS84" s="11">
        <v>0</v>
      </c>
      <c r="BT84" s="73"/>
      <c r="BU84" s="143"/>
      <c r="BV84" s="141"/>
      <c r="BW84" s="10" t="s">
        <v>9</v>
      </c>
      <c r="BX84" s="11">
        <v>0</v>
      </c>
      <c r="BY84" s="11">
        <v>0</v>
      </c>
      <c r="BZ84" s="11">
        <v>0</v>
      </c>
      <c r="CA84" s="11">
        <v>0</v>
      </c>
      <c r="CB84" s="73"/>
      <c r="CC84" s="143"/>
      <c r="CD84" s="141"/>
      <c r="CE84" s="10" t="s">
        <v>9</v>
      </c>
      <c r="CF84" s="11">
        <v>0</v>
      </c>
      <c r="CG84" s="11">
        <v>0</v>
      </c>
      <c r="CH84" s="11">
        <v>0</v>
      </c>
      <c r="CI84" s="11">
        <v>0</v>
      </c>
      <c r="CJ84" s="73"/>
      <c r="CK84" s="143"/>
      <c r="CL84" s="141"/>
      <c r="CM84" s="10" t="s">
        <v>9</v>
      </c>
      <c r="CN84" s="11">
        <v>0</v>
      </c>
      <c r="CO84" s="11">
        <v>0</v>
      </c>
      <c r="CP84" s="11">
        <v>0</v>
      </c>
      <c r="CQ84" s="11">
        <v>0</v>
      </c>
      <c r="CR84" s="73"/>
      <c r="CS84" s="143"/>
      <c r="CT84" s="141"/>
      <c r="CU84" s="10" t="s">
        <v>9</v>
      </c>
      <c r="CV84" s="12">
        <f t="shared" si="140"/>
        <v>0</v>
      </c>
      <c r="CW84" s="13">
        <f t="shared" si="141"/>
        <v>0</v>
      </c>
      <c r="CX84" s="13">
        <f t="shared" si="142"/>
        <v>0</v>
      </c>
      <c r="CY84" s="13">
        <f t="shared" si="143"/>
        <v>0</v>
      </c>
    </row>
    <row r="85" spans="1:104" ht="20.100000000000001" customHeight="1" thickBot="1" x14ac:dyDescent="0.25">
      <c r="A85" s="143"/>
      <c r="B85" s="145" t="s">
        <v>10</v>
      </c>
      <c r="C85" s="146"/>
      <c r="D85" s="14">
        <f>SUM(D83:D84)</f>
        <v>0</v>
      </c>
      <c r="E85" s="14">
        <f>SUM(E83:E84)</f>
        <v>0</v>
      </c>
      <c r="F85" s="14">
        <f>SUM(F83:F84)</f>
        <v>0</v>
      </c>
      <c r="G85" s="14">
        <f>SUM(G83:G84)</f>
        <v>0</v>
      </c>
      <c r="H85" s="73"/>
      <c r="I85" s="143"/>
      <c r="J85" s="145" t="s">
        <v>10</v>
      </c>
      <c r="K85" s="146"/>
      <c r="L85" s="14">
        <f>SUM(L83:L84)</f>
        <v>0</v>
      </c>
      <c r="M85" s="14">
        <f>SUM(M83:M84)</f>
        <v>0</v>
      </c>
      <c r="N85" s="14">
        <f>SUM(N83:N84)</f>
        <v>0</v>
      </c>
      <c r="O85" s="14">
        <f>SUM(O83:O84)</f>
        <v>0</v>
      </c>
      <c r="P85" s="73"/>
      <c r="Q85" s="143"/>
      <c r="R85" s="145" t="s">
        <v>10</v>
      </c>
      <c r="S85" s="146"/>
      <c r="T85" s="14">
        <f>SUM(T83:T84)</f>
        <v>0</v>
      </c>
      <c r="U85" s="14">
        <f>SUM(U83:U84)</f>
        <v>0</v>
      </c>
      <c r="V85" s="14">
        <f>SUM(V83:V84)</f>
        <v>0</v>
      </c>
      <c r="W85" s="14">
        <f>SUM(W83:W84)</f>
        <v>0</v>
      </c>
      <c r="X85" s="73"/>
      <c r="Y85" s="143"/>
      <c r="Z85" s="145" t="s">
        <v>10</v>
      </c>
      <c r="AA85" s="146"/>
      <c r="AB85" s="14">
        <f>SUM(AB83:AB84)</f>
        <v>0</v>
      </c>
      <c r="AC85" s="14">
        <f>SUM(AC83:AC84)</f>
        <v>0</v>
      </c>
      <c r="AD85" s="14">
        <f>SUM(AD83:AD84)</f>
        <v>0</v>
      </c>
      <c r="AE85" s="14">
        <f>SUM(AE83:AE84)</f>
        <v>0</v>
      </c>
      <c r="AF85" s="73"/>
      <c r="AG85" s="143"/>
      <c r="AH85" s="145" t="s">
        <v>10</v>
      </c>
      <c r="AI85" s="146"/>
      <c r="AJ85" s="14">
        <f>SUM(AJ83:AJ84)</f>
        <v>0</v>
      </c>
      <c r="AK85" s="14">
        <f>SUM(AK83:AK84)</f>
        <v>0</v>
      </c>
      <c r="AL85" s="14">
        <f>SUM(AL83:AL84)</f>
        <v>0</v>
      </c>
      <c r="AM85" s="14">
        <f>SUM(AM83:AM84)</f>
        <v>0</v>
      </c>
      <c r="AN85" s="73"/>
      <c r="AO85" s="143"/>
      <c r="AP85" s="145" t="s">
        <v>10</v>
      </c>
      <c r="AQ85" s="146"/>
      <c r="AR85" s="14">
        <f>SUM(AR83:AR84)</f>
        <v>0</v>
      </c>
      <c r="AS85" s="14">
        <f>SUM(AS83:AS84)</f>
        <v>0</v>
      </c>
      <c r="AT85" s="14">
        <f>SUM(AT83:AT84)</f>
        <v>0</v>
      </c>
      <c r="AU85" s="14">
        <f>SUM(AU83:AU84)</f>
        <v>0</v>
      </c>
      <c r="AV85" s="73"/>
      <c r="AW85" s="143"/>
      <c r="AX85" s="145" t="s">
        <v>10</v>
      </c>
      <c r="AY85" s="146"/>
      <c r="AZ85" s="14">
        <f>SUM(AZ83:AZ84)</f>
        <v>0</v>
      </c>
      <c r="BA85" s="14">
        <f>SUM(BA83:BA84)</f>
        <v>0</v>
      </c>
      <c r="BB85" s="14">
        <f>SUM(BB83:BB84)</f>
        <v>0</v>
      </c>
      <c r="BC85" s="14">
        <f>SUM(BC83:BC84)</f>
        <v>0</v>
      </c>
      <c r="BD85" s="73"/>
      <c r="BE85" s="143"/>
      <c r="BF85" s="145" t="s">
        <v>10</v>
      </c>
      <c r="BG85" s="146"/>
      <c r="BH85" s="14">
        <f>SUM(BH83:BH84)</f>
        <v>0</v>
      </c>
      <c r="BI85" s="14">
        <f>SUM(BI83:BI84)</f>
        <v>0</v>
      </c>
      <c r="BJ85" s="14">
        <f>SUM(BJ83:BJ84)</f>
        <v>0</v>
      </c>
      <c r="BK85" s="14">
        <f>SUM(BK83:BK84)</f>
        <v>0</v>
      </c>
      <c r="BL85" s="73"/>
      <c r="BM85" s="143"/>
      <c r="BN85" s="145" t="s">
        <v>10</v>
      </c>
      <c r="BO85" s="146"/>
      <c r="BP85" s="14">
        <f>SUM(BP83:BP84)</f>
        <v>0</v>
      </c>
      <c r="BQ85" s="14">
        <f>SUM(BQ83:BQ84)</f>
        <v>0</v>
      </c>
      <c r="BR85" s="14">
        <f>SUM(BR83:BR84)</f>
        <v>0</v>
      </c>
      <c r="BS85" s="14">
        <f>SUM(BS83:BS84)</f>
        <v>0</v>
      </c>
      <c r="BT85" s="73"/>
      <c r="BU85" s="143"/>
      <c r="BV85" s="145" t="s">
        <v>10</v>
      </c>
      <c r="BW85" s="146"/>
      <c r="BX85" s="14">
        <f>SUM(BX83:BX84)</f>
        <v>0</v>
      </c>
      <c r="BY85" s="14">
        <f>SUM(BY83:BY84)</f>
        <v>0</v>
      </c>
      <c r="BZ85" s="14">
        <f>SUM(BZ83:BZ84)</f>
        <v>0</v>
      </c>
      <c r="CA85" s="14">
        <f>SUM(CA83:CA84)</f>
        <v>0</v>
      </c>
      <c r="CB85" s="73"/>
      <c r="CC85" s="143"/>
      <c r="CD85" s="145" t="s">
        <v>10</v>
      </c>
      <c r="CE85" s="146"/>
      <c r="CF85" s="14">
        <f>SUM(CF83:CF84)</f>
        <v>0</v>
      </c>
      <c r="CG85" s="14">
        <f>SUM(CG83:CG84)</f>
        <v>0</v>
      </c>
      <c r="CH85" s="14">
        <f>SUM(CH83:CH84)</f>
        <v>0</v>
      </c>
      <c r="CI85" s="14">
        <f>SUM(CI83:CI84)</f>
        <v>0</v>
      </c>
      <c r="CJ85" s="73"/>
      <c r="CK85" s="143"/>
      <c r="CL85" s="145" t="s">
        <v>10</v>
      </c>
      <c r="CM85" s="146"/>
      <c r="CN85" s="14">
        <f>SUM(CN83:CN84)</f>
        <v>0</v>
      </c>
      <c r="CO85" s="14">
        <f>SUM(CO83:CO84)</f>
        <v>0</v>
      </c>
      <c r="CP85" s="14">
        <f>SUM(CP83:CP84)</f>
        <v>0</v>
      </c>
      <c r="CQ85" s="14">
        <f>SUM(CQ83:CQ84)</f>
        <v>0</v>
      </c>
      <c r="CR85" s="73"/>
      <c r="CS85" s="143"/>
      <c r="CT85" s="145" t="s">
        <v>10</v>
      </c>
      <c r="CU85" s="146"/>
      <c r="CV85" s="16">
        <f>SUM(CV83:CV84)</f>
        <v>0</v>
      </c>
      <c r="CW85" s="16">
        <f>SUM(CW83:CW84)</f>
        <v>0</v>
      </c>
      <c r="CX85" s="16">
        <f>SUM(CX83:CX84)</f>
        <v>0</v>
      </c>
      <c r="CY85" s="20">
        <f>SUM(CY83:CY84)</f>
        <v>0</v>
      </c>
    </row>
    <row r="86" spans="1:104" ht="20.100000000000001" customHeight="1" x14ac:dyDescent="0.2">
      <c r="A86" s="143"/>
      <c r="B86" s="153" t="s">
        <v>11</v>
      </c>
      <c r="C86" s="6" t="s">
        <v>8</v>
      </c>
      <c r="D86" s="7">
        <v>0</v>
      </c>
      <c r="E86" s="7">
        <v>0</v>
      </c>
      <c r="F86" s="7">
        <v>0</v>
      </c>
      <c r="G86" s="7">
        <v>0</v>
      </c>
      <c r="H86" s="73"/>
      <c r="I86" s="143"/>
      <c r="J86" s="153" t="s">
        <v>11</v>
      </c>
      <c r="K86" s="6" t="s">
        <v>8</v>
      </c>
      <c r="L86" s="7">
        <v>0</v>
      </c>
      <c r="M86" s="7">
        <v>0</v>
      </c>
      <c r="N86" s="7">
        <v>0</v>
      </c>
      <c r="O86" s="7">
        <v>0</v>
      </c>
      <c r="P86" s="73"/>
      <c r="Q86" s="143"/>
      <c r="R86" s="153" t="s">
        <v>11</v>
      </c>
      <c r="S86" s="6" t="s">
        <v>8</v>
      </c>
      <c r="T86" s="7">
        <v>0</v>
      </c>
      <c r="U86" s="7">
        <v>0</v>
      </c>
      <c r="V86" s="7">
        <v>0</v>
      </c>
      <c r="W86" s="7">
        <v>0</v>
      </c>
      <c r="X86" s="73"/>
      <c r="Y86" s="143"/>
      <c r="Z86" s="153" t="s">
        <v>11</v>
      </c>
      <c r="AA86" s="6" t="s">
        <v>8</v>
      </c>
      <c r="AB86" s="7">
        <v>0</v>
      </c>
      <c r="AC86" s="7">
        <v>0</v>
      </c>
      <c r="AD86" s="7">
        <v>0</v>
      </c>
      <c r="AE86" s="7">
        <v>0</v>
      </c>
      <c r="AF86" s="73"/>
      <c r="AG86" s="143"/>
      <c r="AH86" s="153" t="s">
        <v>11</v>
      </c>
      <c r="AI86" s="6" t="s">
        <v>8</v>
      </c>
      <c r="AJ86" s="7">
        <v>0</v>
      </c>
      <c r="AK86" s="7">
        <v>0</v>
      </c>
      <c r="AL86" s="7">
        <v>0</v>
      </c>
      <c r="AM86" s="7">
        <v>0</v>
      </c>
      <c r="AN86" s="73"/>
      <c r="AO86" s="143"/>
      <c r="AP86" s="153" t="s">
        <v>11</v>
      </c>
      <c r="AQ86" s="6" t="s">
        <v>8</v>
      </c>
      <c r="AR86" s="7">
        <v>0</v>
      </c>
      <c r="AS86" s="7">
        <v>0</v>
      </c>
      <c r="AT86" s="7">
        <v>0</v>
      </c>
      <c r="AU86" s="7">
        <v>0</v>
      </c>
      <c r="AV86" s="73"/>
      <c r="AW86" s="143"/>
      <c r="AX86" s="153" t="s">
        <v>11</v>
      </c>
      <c r="AY86" s="6" t="s">
        <v>8</v>
      </c>
      <c r="AZ86" s="7">
        <v>0</v>
      </c>
      <c r="BA86" s="7">
        <v>0</v>
      </c>
      <c r="BB86" s="7">
        <v>0</v>
      </c>
      <c r="BC86" s="7">
        <v>0</v>
      </c>
      <c r="BD86" s="73"/>
      <c r="BE86" s="143"/>
      <c r="BF86" s="153" t="s">
        <v>11</v>
      </c>
      <c r="BG86" s="6" t="s">
        <v>8</v>
      </c>
      <c r="BH86" s="7">
        <v>0</v>
      </c>
      <c r="BI86" s="7">
        <v>0</v>
      </c>
      <c r="BJ86" s="7">
        <v>0</v>
      </c>
      <c r="BK86" s="7">
        <v>0</v>
      </c>
      <c r="BL86" s="73"/>
      <c r="BM86" s="143"/>
      <c r="BN86" s="153" t="s">
        <v>11</v>
      </c>
      <c r="BO86" s="6" t="s">
        <v>8</v>
      </c>
      <c r="BP86" s="7">
        <v>0</v>
      </c>
      <c r="BQ86" s="7">
        <v>0</v>
      </c>
      <c r="BR86" s="7">
        <v>0</v>
      </c>
      <c r="BS86" s="7">
        <v>0</v>
      </c>
      <c r="BT86" s="73"/>
      <c r="BU86" s="143"/>
      <c r="BV86" s="153" t="s">
        <v>11</v>
      </c>
      <c r="BW86" s="6" t="s">
        <v>8</v>
      </c>
      <c r="BX86" s="7">
        <v>0</v>
      </c>
      <c r="BY86" s="7">
        <v>0</v>
      </c>
      <c r="BZ86" s="7">
        <v>0</v>
      </c>
      <c r="CA86" s="7">
        <v>0</v>
      </c>
      <c r="CB86" s="73"/>
      <c r="CC86" s="143"/>
      <c r="CD86" s="153" t="s">
        <v>11</v>
      </c>
      <c r="CE86" s="6" t="s">
        <v>8</v>
      </c>
      <c r="CF86" s="7">
        <v>0</v>
      </c>
      <c r="CG86" s="7">
        <v>0</v>
      </c>
      <c r="CH86" s="7">
        <v>0</v>
      </c>
      <c r="CI86" s="7">
        <v>0</v>
      </c>
      <c r="CJ86" s="73"/>
      <c r="CK86" s="143"/>
      <c r="CL86" s="153" t="s">
        <v>11</v>
      </c>
      <c r="CM86" s="6" t="s">
        <v>8</v>
      </c>
      <c r="CN86" s="7">
        <v>0</v>
      </c>
      <c r="CO86" s="7">
        <v>0</v>
      </c>
      <c r="CP86" s="7">
        <v>0</v>
      </c>
      <c r="CQ86" s="7">
        <v>0</v>
      </c>
      <c r="CR86" s="73"/>
      <c r="CS86" s="143"/>
      <c r="CT86" s="153" t="s">
        <v>11</v>
      </c>
      <c r="CU86" s="6" t="s">
        <v>8</v>
      </c>
      <c r="CV86" s="8">
        <f t="shared" ref="CV86:CV87" si="144">SUM(D86+L86+T86+AB86+AJ86+AR86+AZ86+BH86+BP86+BX86+CF86+CN86)</f>
        <v>0</v>
      </c>
      <c r="CW86" s="9">
        <f t="shared" ref="CW86:CW87" si="145">SUM(E86+M86+U86+AC86+AK86+AS86+BA86+BI86+BQ86+BY86+CG86+CO86)</f>
        <v>0</v>
      </c>
      <c r="CX86" s="9">
        <f t="shared" ref="CX86:CX87" si="146">SUM(F86+N86+V86+AD86+AL86+AT86+BB86+BJ86+BR86+BZ86+CH86+CP86)</f>
        <v>0</v>
      </c>
      <c r="CY86" s="9">
        <f t="shared" ref="CY86:CY87" si="147">SUM(G86+O86+W86+AE86+AM86+AU86+BC86+BK86+BS86+CA86+CI86+CQ86)</f>
        <v>0</v>
      </c>
    </row>
    <row r="87" spans="1:104" ht="20.100000000000001" customHeight="1" thickBot="1" x14ac:dyDescent="0.25">
      <c r="A87" s="143"/>
      <c r="B87" s="154"/>
      <c r="C87" s="10" t="s">
        <v>9</v>
      </c>
      <c r="D87" s="11">
        <v>0</v>
      </c>
      <c r="E87" s="11">
        <v>0</v>
      </c>
      <c r="F87" s="11">
        <v>0</v>
      </c>
      <c r="G87" s="11">
        <v>0</v>
      </c>
      <c r="H87" s="73"/>
      <c r="I87" s="143"/>
      <c r="J87" s="154"/>
      <c r="K87" s="10" t="s">
        <v>9</v>
      </c>
      <c r="L87" s="11">
        <v>0</v>
      </c>
      <c r="M87" s="11">
        <v>0</v>
      </c>
      <c r="N87" s="11">
        <v>0</v>
      </c>
      <c r="O87" s="11">
        <v>0</v>
      </c>
      <c r="P87" s="73"/>
      <c r="Q87" s="143"/>
      <c r="R87" s="154"/>
      <c r="S87" s="10" t="s">
        <v>9</v>
      </c>
      <c r="T87" s="11">
        <v>0</v>
      </c>
      <c r="U87" s="11">
        <v>0</v>
      </c>
      <c r="V87" s="11">
        <v>0</v>
      </c>
      <c r="W87" s="11">
        <v>0</v>
      </c>
      <c r="X87" s="73"/>
      <c r="Y87" s="143"/>
      <c r="Z87" s="154"/>
      <c r="AA87" s="10" t="s">
        <v>9</v>
      </c>
      <c r="AB87" s="11">
        <v>0</v>
      </c>
      <c r="AC87" s="11">
        <v>0</v>
      </c>
      <c r="AD87" s="11">
        <v>0</v>
      </c>
      <c r="AE87" s="11">
        <v>0</v>
      </c>
      <c r="AF87" s="73"/>
      <c r="AG87" s="143"/>
      <c r="AH87" s="154"/>
      <c r="AI87" s="10" t="s">
        <v>9</v>
      </c>
      <c r="AJ87" s="11">
        <v>0</v>
      </c>
      <c r="AK87" s="11">
        <v>0</v>
      </c>
      <c r="AL87" s="11">
        <v>0</v>
      </c>
      <c r="AM87" s="11">
        <v>0</v>
      </c>
      <c r="AN87" s="73"/>
      <c r="AO87" s="143"/>
      <c r="AP87" s="154"/>
      <c r="AQ87" s="10" t="s">
        <v>9</v>
      </c>
      <c r="AR87" s="11">
        <v>0</v>
      </c>
      <c r="AS87" s="11">
        <v>0</v>
      </c>
      <c r="AT87" s="11">
        <v>0</v>
      </c>
      <c r="AU87" s="11">
        <v>0</v>
      </c>
      <c r="AV87" s="73"/>
      <c r="AW87" s="143"/>
      <c r="AX87" s="154"/>
      <c r="AY87" s="10" t="s">
        <v>9</v>
      </c>
      <c r="AZ87" s="11">
        <v>0</v>
      </c>
      <c r="BA87" s="11">
        <v>0</v>
      </c>
      <c r="BB87" s="11">
        <v>0</v>
      </c>
      <c r="BC87" s="11">
        <v>0</v>
      </c>
      <c r="BD87" s="73"/>
      <c r="BE87" s="143"/>
      <c r="BF87" s="154"/>
      <c r="BG87" s="10" t="s">
        <v>9</v>
      </c>
      <c r="BH87" s="11">
        <v>0</v>
      </c>
      <c r="BI87" s="11">
        <v>0</v>
      </c>
      <c r="BJ87" s="11">
        <v>0</v>
      </c>
      <c r="BK87" s="11">
        <v>0</v>
      </c>
      <c r="BL87" s="73"/>
      <c r="BM87" s="143"/>
      <c r="BN87" s="154"/>
      <c r="BO87" s="10" t="s">
        <v>9</v>
      </c>
      <c r="BP87" s="11">
        <v>0</v>
      </c>
      <c r="BQ87" s="11">
        <v>0</v>
      </c>
      <c r="BR87" s="11">
        <v>0</v>
      </c>
      <c r="BS87" s="11">
        <v>0</v>
      </c>
      <c r="BT87" s="73"/>
      <c r="BU87" s="143"/>
      <c r="BV87" s="154"/>
      <c r="BW87" s="10" t="s">
        <v>9</v>
      </c>
      <c r="BX87" s="11">
        <v>0</v>
      </c>
      <c r="BY87" s="11">
        <v>0</v>
      </c>
      <c r="BZ87" s="11">
        <v>0</v>
      </c>
      <c r="CA87" s="11">
        <v>0</v>
      </c>
      <c r="CB87" s="73"/>
      <c r="CC87" s="143"/>
      <c r="CD87" s="154"/>
      <c r="CE87" s="10" t="s">
        <v>9</v>
      </c>
      <c r="CF87" s="11">
        <v>0</v>
      </c>
      <c r="CG87" s="11">
        <v>0</v>
      </c>
      <c r="CH87" s="11">
        <v>0</v>
      </c>
      <c r="CI87" s="11">
        <v>0</v>
      </c>
      <c r="CJ87" s="73"/>
      <c r="CK87" s="143"/>
      <c r="CL87" s="154"/>
      <c r="CM87" s="10" t="s">
        <v>9</v>
      </c>
      <c r="CN87" s="11">
        <v>0</v>
      </c>
      <c r="CO87" s="11">
        <v>0</v>
      </c>
      <c r="CP87" s="11">
        <v>0</v>
      </c>
      <c r="CQ87" s="11">
        <v>0</v>
      </c>
      <c r="CR87" s="73"/>
      <c r="CS87" s="143"/>
      <c r="CT87" s="154"/>
      <c r="CU87" s="10" t="s">
        <v>9</v>
      </c>
      <c r="CV87" s="12">
        <f t="shared" si="144"/>
        <v>0</v>
      </c>
      <c r="CW87" s="13">
        <f t="shared" si="145"/>
        <v>0</v>
      </c>
      <c r="CX87" s="13">
        <f t="shared" si="146"/>
        <v>0</v>
      </c>
      <c r="CY87" s="13">
        <f t="shared" si="147"/>
        <v>0</v>
      </c>
    </row>
    <row r="88" spans="1:104" ht="20.100000000000001" customHeight="1" thickBot="1" x14ac:dyDescent="0.25">
      <c r="A88" s="144"/>
      <c r="B88" s="151" t="s">
        <v>14</v>
      </c>
      <c r="C88" s="152"/>
      <c r="D88" s="14">
        <f>SUM(D86:D87)</f>
        <v>0</v>
      </c>
      <c r="E88" s="14">
        <f>SUM(E86:E87)</f>
        <v>0</v>
      </c>
      <c r="F88" s="14">
        <f>SUM(F86:F87)</f>
        <v>0</v>
      </c>
      <c r="G88" s="14">
        <f>SUM(G86:G87)</f>
        <v>0</v>
      </c>
      <c r="H88" s="73"/>
      <c r="I88" s="144"/>
      <c r="J88" s="151" t="s">
        <v>14</v>
      </c>
      <c r="K88" s="152"/>
      <c r="L88" s="14">
        <f>SUM(L86:L87)</f>
        <v>0</v>
      </c>
      <c r="M88" s="14">
        <f>SUM(M86:M87)</f>
        <v>0</v>
      </c>
      <c r="N88" s="14">
        <f>SUM(N86:N87)</f>
        <v>0</v>
      </c>
      <c r="O88" s="14">
        <f>SUM(O86:O87)</f>
        <v>0</v>
      </c>
      <c r="P88" s="73"/>
      <c r="Q88" s="144"/>
      <c r="R88" s="151" t="s">
        <v>14</v>
      </c>
      <c r="S88" s="152"/>
      <c r="T88" s="14">
        <f>SUM(T86:T87)</f>
        <v>0</v>
      </c>
      <c r="U88" s="14">
        <f>SUM(U86:U87)</f>
        <v>0</v>
      </c>
      <c r="V88" s="14">
        <f>SUM(V86:V87)</f>
        <v>0</v>
      </c>
      <c r="W88" s="14">
        <f>SUM(W86:W87)</f>
        <v>0</v>
      </c>
      <c r="X88" s="73"/>
      <c r="Y88" s="144"/>
      <c r="Z88" s="151" t="s">
        <v>14</v>
      </c>
      <c r="AA88" s="152"/>
      <c r="AB88" s="14">
        <f>SUM(AB86:AB87)</f>
        <v>0</v>
      </c>
      <c r="AC88" s="14">
        <f>SUM(AC86:AC87)</f>
        <v>0</v>
      </c>
      <c r="AD88" s="14">
        <f>SUM(AD86:AD87)</f>
        <v>0</v>
      </c>
      <c r="AE88" s="14">
        <f>SUM(AE86:AE87)</f>
        <v>0</v>
      </c>
      <c r="AF88" s="73"/>
      <c r="AG88" s="144"/>
      <c r="AH88" s="151" t="s">
        <v>14</v>
      </c>
      <c r="AI88" s="152"/>
      <c r="AJ88" s="14">
        <f>SUM(AJ86:AJ87)</f>
        <v>0</v>
      </c>
      <c r="AK88" s="14">
        <f>SUM(AK86:AK87)</f>
        <v>0</v>
      </c>
      <c r="AL88" s="14">
        <f>SUM(AL86:AL87)</f>
        <v>0</v>
      </c>
      <c r="AM88" s="14">
        <f>SUM(AM86:AM87)</f>
        <v>0</v>
      </c>
      <c r="AN88" s="73"/>
      <c r="AO88" s="144"/>
      <c r="AP88" s="151" t="s">
        <v>14</v>
      </c>
      <c r="AQ88" s="152"/>
      <c r="AR88" s="14">
        <f>SUM(AR86:AR87)</f>
        <v>0</v>
      </c>
      <c r="AS88" s="14">
        <f>SUM(AS86:AS87)</f>
        <v>0</v>
      </c>
      <c r="AT88" s="14">
        <f>SUM(AT86:AT87)</f>
        <v>0</v>
      </c>
      <c r="AU88" s="14">
        <f>SUM(AU86:AU87)</f>
        <v>0</v>
      </c>
      <c r="AV88" s="73"/>
      <c r="AW88" s="144"/>
      <c r="AX88" s="151" t="s">
        <v>14</v>
      </c>
      <c r="AY88" s="152"/>
      <c r="AZ88" s="14">
        <f>SUM(AZ86:AZ87)</f>
        <v>0</v>
      </c>
      <c r="BA88" s="14">
        <f>SUM(BA86:BA87)</f>
        <v>0</v>
      </c>
      <c r="BB88" s="14">
        <f>SUM(BB86:BB87)</f>
        <v>0</v>
      </c>
      <c r="BC88" s="14">
        <f>SUM(BC86:BC87)</f>
        <v>0</v>
      </c>
      <c r="BD88" s="73"/>
      <c r="BE88" s="144"/>
      <c r="BF88" s="151" t="s">
        <v>14</v>
      </c>
      <c r="BG88" s="152"/>
      <c r="BH88" s="14">
        <f>SUM(BH86:BH87)</f>
        <v>0</v>
      </c>
      <c r="BI88" s="14">
        <f>SUM(BI86:BI87)</f>
        <v>0</v>
      </c>
      <c r="BJ88" s="14">
        <f>SUM(BJ86:BJ87)</f>
        <v>0</v>
      </c>
      <c r="BK88" s="14">
        <f>SUM(BK86:BK87)</f>
        <v>0</v>
      </c>
      <c r="BL88" s="73"/>
      <c r="BM88" s="144"/>
      <c r="BN88" s="151" t="s">
        <v>14</v>
      </c>
      <c r="BO88" s="152"/>
      <c r="BP88" s="14">
        <f>SUM(BP86:BP87)</f>
        <v>0</v>
      </c>
      <c r="BQ88" s="14">
        <f>SUM(BQ86:BQ87)</f>
        <v>0</v>
      </c>
      <c r="BR88" s="14">
        <f>SUM(BR86:BR87)</f>
        <v>0</v>
      </c>
      <c r="BS88" s="14">
        <f>SUM(BS86:BS87)</f>
        <v>0</v>
      </c>
      <c r="BT88" s="73"/>
      <c r="BU88" s="144"/>
      <c r="BV88" s="151" t="s">
        <v>14</v>
      </c>
      <c r="BW88" s="152"/>
      <c r="BX88" s="14">
        <f>SUM(BX86:BX87)</f>
        <v>0</v>
      </c>
      <c r="BY88" s="14">
        <f>SUM(BY86:BY87)</f>
        <v>0</v>
      </c>
      <c r="BZ88" s="14">
        <f>SUM(BZ86:BZ87)</f>
        <v>0</v>
      </c>
      <c r="CA88" s="14">
        <f>SUM(CA86:CA87)</f>
        <v>0</v>
      </c>
      <c r="CB88" s="73"/>
      <c r="CC88" s="144"/>
      <c r="CD88" s="151" t="s">
        <v>14</v>
      </c>
      <c r="CE88" s="152"/>
      <c r="CF88" s="14">
        <f>SUM(CF86:CF87)</f>
        <v>0</v>
      </c>
      <c r="CG88" s="14">
        <f>SUM(CG86:CG87)</f>
        <v>0</v>
      </c>
      <c r="CH88" s="14">
        <f>SUM(CH86:CH87)</f>
        <v>0</v>
      </c>
      <c r="CI88" s="14">
        <f>SUM(CI86:CI87)</f>
        <v>0</v>
      </c>
      <c r="CJ88" s="73"/>
      <c r="CK88" s="144"/>
      <c r="CL88" s="151" t="s">
        <v>14</v>
      </c>
      <c r="CM88" s="152"/>
      <c r="CN88" s="14">
        <f>SUM(CN86:CN87)</f>
        <v>0</v>
      </c>
      <c r="CO88" s="14">
        <f>SUM(CO86:CO87)</f>
        <v>0</v>
      </c>
      <c r="CP88" s="14">
        <f>SUM(CP86:CP87)</f>
        <v>0</v>
      </c>
      <c r="CQ88" s="14">
        <f>SUM(CQ86:CQ87)</f>
        <v>0</v>
      </c>
      <c r="CR88" s="73"/>
      <c r="CS88" s="144"/>
      <c r="CT88" s="151" t="s">
        <v>14</v>
      </c>
      <c r="CU88" s="152"/>
      <c r="CV88" s="14">
        <f>SUM(CV86:CV87)</f>
        <v>0</v>
      </c>
      <c r="CW88" s="14">
        <f>SUM(CW86:CW87)</f>
        <v>0</v>
      </c>
      <c r="CX88" s="14">
        <f>SUM(CX86:CX87)</f>
        <v>0</v>
      </c>
      <c r="CY88" s="15">
        <f>SUM(CY86:CY87)</f>
        <v>0</v>
      </c>
    </row>
    <row r="89" spans="1:104" ht="20.100000000000001" customHeight="1" thickBot="1" x14ac:dyDescent="0.25">
      <c r="A89" s="85"/>
      <c r="B89" s="149" t="s">
        <v>12</v>
      </c>
      <c r="C89" s="150"/>
      <c r="D89" s="18">
        <f>SUM(D85+D88)</f>
        <v>0</v>
      </c>
      <c r="E89" s="18">
        <f>SUM(E85+E88)</f>
        <v>0</v>
      </c>
      <c r="F89" s="18">
        <f>SUM(F85+F88)</f>
        <v>0</v>
      </c>
      <c r="G89" s="18">
        <f>SUM(G85+G88)</f>
        <v>0</v>
      </c>
      <c r="H89" s="73"/>
      <c r="I89" s="85"/>
      <c r="J89" s="149" t="s">
        <v>12</v>
      </c>
      <c r="K89" s="150"/>
      <c r="L89" s="18">
        <f>SUM(L85+L88)</f>
        <v>0</v>
      </c>
      <c r="M89" s="18">
        <f>SUM(M85+M88)</f>
        <v>0</v>
      </c>
      <c r="N89" s="18">
        <f>SUM(N85+N88)</f>
        <v>0</v>
      </c>
      <c r="O89" s="18">
        <f>SUM(O85+O88)</f>
        <v>0</v>
      </c>
      <c r="P89" s="73"/>
      <c r="Q89" s="85"/>
      <c r="R89" s="149" t="s">
        <v>12</v>
      </c>
      <c r="S89" s="150"/>
      <c r="T89" s="18">
        <f>SUM(T85+T88)</f>
        <v>0</v>
      </c>
      <c r="U89" s="18">
        <f>SUM(U85+U88)</f>
        <v>0</v>
      </c>
      <c r="V89" s="18">
        <f>SUM(V85+V88)</f>
        <v>0</v>
      </c>
      <c r="W89" s="18">
        <f>SUM(W85+W88)</f>
        <v>0</v>
      </c>
      <c r="X89" s="73"/>
      <c r="Y89" s="85"/>
      <c r="Z89" s="149" t="s">
        <v>12</v>
      </c>
      <c r="AA89" s="150"/>
      <c r="AB89" s="18">
        <f>SUM(AB85+AB88)</f>
        <v>0</v>
      </c>
      <c r="AC89" s="18">
        <f>SUM(AC85+AC88)</f>
        <v>0</v>
      </c>
      <c r="AD89" s="18">
        <f>SUM(AD85+AD88)</f>
        <v>0</v>
      </c>
      <c r="AE89" s="18">
        <f>SUM(AE85+AE88)</f>
        <v>0</v>
      </c>
      <c r="AF89" s="73"/>
      <c r="AG89" s="85"/>
      <c r="AH89" s="149" t="s">
        <v>12</v>
      </c>
      <c r="AI89" s="150"/>
      <c r="AJ89" s="18">
        <f>SUM(AJ85+AJ88)</f>
        <v>0</v>
      </c>
      <c r="AK89" s="18">
        <f>SUM(AK85+AK88)</f>
        <v>0</v>
      </c>
      <c r="AL89" s="18">
        <f>SUM(AL85+AL88)</f>
        <v>0</v>
      </c>
      <c r="AM89" s="18">
        <f>SUM(AM85+AM88)</f>
        <v>0</v>
      </c>
      <c r="AN89" s="73"/>
      <c r="AO89" s="85"/>
      <c r="AP89" s="149" t="s">
        <v>12</v>
      </c>
      <c r="AQ89" s="150"/>
      <c r="AR89" s="18">
        <f>SUM(AR85+AR88)</f>
        <v>0</v>
      </c>
      <c r="AS89" s="18">
        <f>SUM(AS85+AS88)</f>
        <v>0</v>
      </c>
      <c r="AT89" s="18">
        <f>SUM(AT85+AT88)</f>
        <v>0</v>
      </c>
      <c r="AU89" s="18">
        <f>SUM(AU85+AU88)</f>
        <v>0</v>
      </c>
      <c r="AV89" s="73"/>
      <c r="AW89" s="85"/>
      <c r="AX89" s="149" t="s">
        <v>12</v>
      </c>
      <c r="AY89" s="150"/>
      <c r="AZ89" s="18">
        <f>SUM(AZ85+AZ88)</f>
        <v>0</v>
      </c>
      <c r="BA89" s="18">
        <f>SUM(BA85+BA88)</f>
        <v>0</v>
      </c>
      <c r="BB89" s="18">
        <f>SUM(BB85+BB88)</f>
        <v>0</v>
      </c>
      <c r="BC89" s="18">
        <f>SUM(BC85+BC88)</f>
        <v>0</v>
      </c>
      <c r="BD89" s="73"/>
      <c r="BE89" s="85"/>
      <c r="BF89" s="149" t="s">
        <v>12</v>
      </c>
      <c r="BG89" s="150"/>
      <c r="BH89" s="18">
        <f>SUM(BH85+BH88)</f>
        <v>0</v>
      </c>
      <c r="BI89" s="18">
        <f>SUM(BI85+BI88)</f>
        <v>0</v>
      </c>
      <c r="BJ89" s="18">
        <f>SUM(BJ85+BJ88)</f>
        <v>0</v>
      </c>
      <c r="BK89" s="18">
        <f>SUM(BK85+BK88)</f>
        <v>0</v>
      </c>
      <c r="BL89" s="73"/>
      <c r="BM89" s="85"/>
      <c r="BN89" s="149" t="s">
        <v>12</v>
      </c>
      <c r="BO89" s="150"/>
      <c r="BP89" s="18">
        <f>SUM(BP85+BP88)</f>
        <v>0</v>
      </c>
      <c r="BQ89" s="18">
        <f>SUM(BQ85+BQ88)</f>
        <v>0</v>
      </c>
      <c r="BR89" s="18">
        <f>SUM(BR85+BR88)</f>
        <v>0</v>
      </c>
      <c r="BS89" s="18">
        <f>SUM(BS85+BS88)</f>
        <v>0</v>
      </c>
      <c r="BT89" s="73"/>
      <c r="BU89" s="85"/>
      <c r="BV89" s="149" t="s">
        <v>12</v>
      </c>
      <c r="BW89" s="150"/>
      <c r="BX89" s="18">
        <f>SUM(BX85+BX88)</f>
        <v>0</v>
      </c>
      <c r="BY89" s="18">
        <f>SUM(BY85+BY88)</f>
        <v>0</v>
      </c>
      <c r="BZ89" s="18">
        <f>SUM(BZ85+BZ88)</f>
        <v>0</v>
      </c>
      <c r="CA89" s="18">
        <f>SUM(CA85+CA88)</f>
        <v>0</v>
      </c>
      <c r="CB89" s="73"/>
      <c r="CC89" s="85"/>
      <c r="CD89" s="149" t="s">
        <v>12</v>
      </c>
      <c r="CE89" s="150"/>
      <c r="CF89" s="18">
        <f>SUM(CF85+CF88)</f>
        <v>0</v>
      </c>
      <c r="CG89" s="18">
        <f>SUM(CG85+CG88)</f>
        <v>0</v>
      </c>
      <c r="CH89" s="18">
        <f>SUM(CH85+CH88)</f>
        <v>0</v>
      </c>
      <c r="CI89" s="18">
        <f>SUM(CI85+CI88)</f>
        <v>0</v>
      </c>
      <c r="CJ89" s="73"/>
      <c r="CK89" s="85"/>
      <c r="CL89" s="149" t="s">
        <v>12</v>
      </c>
      <c r="CM89" s="150"/>
      <c r="CN89" s="18">
        <f>SUM(CN85+CN88)</f>
        <v>0</v>
      </c>
      <c r="CO89" s="18">
        <f>SUM(CO85+CO88)</f>
        <v>0</v>
      </c>
      <c r="CP89" s="18">
        <f>SUM(CP85+CP88)</f>
        <v>0</v>
      </c>
      <c r="CQ89" s="18">
        <f>SUM(CQ85+CQ88)</f>
        <v>0</v>
      </c>
      <c r="CR89" s="73"/>
      <c r="CS89" s="85"/>
      <c r="CT89" s="149" t="s">
        <v>12</v>
      </c>
      <c r="CU89" s="150"/>
      <c r="CV89" s="18">
        <f>SUM(CV85+CV88)</f>
        <v>0</v>
      </c>
      <c r="CW89" s="18">
        <f>SUM(CW85+CW88)</f>
        <v>0</v>
      </c>
      <c r="CX89" s="18">
        <f>SUM(CX85+CX88)</f>
        <v>0</v>
      </c>
      <c r="CY89" s="23">
        <f>SUM(CY85+CY88)</f>
        <v>0</v>
      </c>
    </row>
    <row r="90" spans="1:104" ht="20.100000000000001" customHeight="1" x14ac:dyDescent="0.25">
      <c r="A90" s="46"/>
      <c r="B90" s="1"/>
      <c r="C90" s="1"/>
      <c r="H90" s="75"/>
      <c r="I90" s="46"/>
      <c r="J90" s="1"/>
      <c r="K90" s="1"/>
      <c r="P90" s="75"/>
      <c r="Q90" s="46"/>
      <c r="R90" s="1"/>
      <c r="S90" s="1"/>
      <c r="X90" s="75"/>
      <c r="Y90" s="46"/>
      <c r="Z90" s="1"/>
      <c r="AA90" s="1"/>
      <c r="AF90" s="75"/>
      <c r="AG90" s="46"/>
      <c r="AH90" s="1"/>
      <c r="AI90" s="1"/>
      <c r="AN90" s="75"/>
      <c r="AO90" s="46"/>
      <c r="AP90" s="1"/>
      <c r="AQ90" s="1"/>
      <c r="AV90" s="75"/>
      <c r="AW90" s="46"/>
      <c r="AX90" s="1"/>
      <c r="AY90" s="1"/>
      <c r="BD90" s="75"/>
      <c r="BE90" s="46"/>
      <c r="BF90" s="1"/>
      <c r="BG90" s="1"/>
      <c r="BL90" s="75"/>
      <c r="BM90" s="46"/>
      <c r="BN90" s="1"/>
      <c r="BO90" s="1"/>
      <c r="BT90" s="75"/>
      <c r="BU90" s="46"/>
      <c r="BV90" s="1"/>
      <c r="BW90" s="1"/>
      <c r="CB90" s="75"/>
      <c r="CC90" s="46"/>
      <c r="CD90" s="1"/>
      <c r="CE90" s="1"/>
      <c r="CJ90" s="75"/>
      <c r="CK90" s="46"/>
      <c r="CL90" s="1"/>
      <c r="CM90" s="1"/>
      <c r="CR90" s="75"/>
      <c r="CS90" s="43"/>
      <c r="CT90" s="1"/>
      <c r="CU90" s="1"/>
    </row>
    <row r="91" spans="1:104" s="41" customFormat="1" ht="19.5" customHeight="1" x14ac:dyDescent="0.25">
      <c r="A91" s="130" t="s">
        <v>17</v>
      </c>
      <c r="B91" s="130"/>
      <c r="C91" s="130"/>
      <c r="D91" s="130"/>
      <c r="E91" s="3"/>
      <c r="F91" s="40"/>
      <c r="G91" s="4"/>
      <c r="H91" s="75"/>
      <c r="I91" s="130" t="s">
        <v>17</v>
      </c>
      <c r="J91" s="130"/>
      <c r="K91" s="130"/>
      <c r="L91" s="130"/>
      <c r="M91" s="3"/>
      <c r="N91" s="40"/>
      <c r="O91" s="4"/>
      <c r="P91" s="75"/>
      <c r="Q91" s="130" t="s">
        <v>17</v>
      </c>
      <c r="R91" s="130"/>
      <c r="S91" s="130"/>
      <c r="T91" s="130"/>
      <c r="U91" s="3"/>
      <c r="V91" s="40"/>
      <c r="W91" s="4"/>
      <c r="X91" s="75"/>
      <c r="Y91" s="130" t="s">
        <v>17</v>
      </c>
      <c r="Z91" s="130"/>
      <c r="AA91" s="130"/>
      <c r="AB91" s="130"/>
      <c r="AC91" s="3"/>
      <c r="AD91" s="40"/>
      <c r="AE91" s="4"/>
      <c r="AF91" s="75"/>
      <c r="AG91" s="130" t="s">
        <v>17</v>
      </c>
      <c r="AH91" s="130"/>
      <c r="AI91" s="130"/>
      <c r="AJ91" s="130"/>
      <c r="AK91" s="3"/>
      <c r="AL91" s="40"/>
      <c r="AM91" s="4"/>
      <c r="AN91" s="75"/>
      <c r="AO91" s="130" t="s">
        <v>17</v>
      </c>
      <c r="AP91" s="130"/>
      <c r="AQ91" s="130"/>
      <c r="AR91" s="130"/>
      <c r="AS91" s="3"/>
      <c r="AT91" s="40"/>
      <c r="AU91" s="4"/>
      <c r="AV91" s="75"/>
      <c r="AW91" s="130" t="s">
        <v>17</v>
      </c>
      <c r="AX91" s="130"/>
      <c r="AY91" s="130"/>
      <c r="AZ91" s="130"/>
      <c r="BA91" s="3"/>
      <c r="BB91" s="40"/>
      <c r="BC91" s="4"/>
      <c r="BD91" s="75"/>
      <c r="BE91" s="130" t="s">
        <v>17</v>
      </c>
      <c r="BF91" s="130"/>
      <c r="BG91" s="130"/>
      <c r="BH91" s="130"/>
      <c r="BI91" s="3"/>
      <c r="BJ91" s="40"/>
      <c r="BK91" s="4"/>
      <c r="BL91" s="75"/>
      <c r="BM91" s="130" t="s">
        <v>17</v>
      </c>
      <c r="BN91" s="130"/>
      <c r="BO91" s="130"/>
      <c r="BP91" s="130"/>
      <c r="BQ91" s="3"/>
      <c r="BR91" s="40"/>
      <c r="BS91" s="4"/>
      <c r="BT91" s="75"/>
      <c r="BU91" s="130" t="s">
        <v>17</v>
      </c>
      <c r="BV91" s="130"/>
      <c r="BW91" s="130"/>
      <c r="BX91" s="130"/>
      <c r="BY91" s="3"/>
      <c r="BZ91" s="40"/>
      <c r="CA91" s="4"/>
      <c r="CB91" s="75"/>
      <c r="CC91" s="130" t="s">
        <v>17</v>
      </c>
      <c r="CD91" s="130"/>
      <c r="CE91" s="130"/>
      <c r="CF91" s="130"/>
      <c r="CG91" s="3"/>
      <c r="CH91" s="40"/>
      <c r="CI91" s="4"/>
      <c r="CJ91" s="75"/>
      <c r="CK91" s="130" t="s">
        <v>17</v>
      </c>
      <c r="CL91" s="130"/>
      <c r="CM91" s="130"/>
      <c r="CN91" s="130"/>
      <c r="CO91" s="3"/>
      <c r="CP91" s="40"/>
      <c r="CQ91" s="4"/>
      <c r="CR91" s="75"/>
      <c r="CS91" s="129" t="s">
        <v>17</v>
      </c>
      <c r="CT91" s="129"/>
      <c r="CU91" s="129"/>
      <c r="CV91" s="129"/>
      <c r="CW91" s="129"/>
      <c r="CX91" s="40"/>
      <c r="CY91" s="3"/>
      <c r="CZ91" s="68"/>
    </row>
    <row r="92" spans="1:104" s="42" customFormat="1" ht="19.5" customHeight="1" thickBot="1" x14ac:dyDescent="0.3">
      <c r="A92" s="77"/>
      <c r="B92" s="76"/>
      <c r="C92" s="76" t="s">
        <v>0</v>
      </c>
      <c r="D92" s="78">
        <f>SUM(D3)</f>
        <v>1</v>
      </c>
      <c r="E92" s="76" t="s">
        <v>4</v>
      </c>
      <c r="F92" s="79">
        <f>SUM(F3)</f>
        <v>1447</v>
      </c>
      <c r="G92" s="76" t="s">
        <v>13</v>
      </c>
      <c r="H92" s="76"/>
      <c r="I92" s="77"/>
      <c r="J92" s="76"/>
      <c r="K92" s="76" t="s">
        <v>0</v>
      </c>
      <c r="L92" s="78">
        <f>SUM(L3)</f>
        <v>2</v>
      </c>
      <c r="M92" s="76" t="s">
        <v>4</v>
      </c>
      <c r="N92" s="79">
        <f>SUM(N3)</f>
        <v>1447</v>
      </c>
      <c r="O92" s="76" t="s">
        <v>13</v>
      </c>
      <c r="P92" s="76"/>
      <c r="Q92" s="77"/>
      <c r="R92" s="76"/>
      <c r="S92" s="76" t="s">
        <v>0</v>
      </c>
      <c r="T92" s="78">
        <f>SUM(T3)</f>
        <v>3</v>
      </c>
      <c r="U92" s="76" t="s">
        <v>4</v>
      </c>
      <c r="V92" s="79">
        <f>SUM(V3)</f>
        <v>1447</v>
      </c>
      <c r="W92" s="76" t="s">
        <v>13</v>
      </c>
      <c r="X92" s="76"/>
      <c r="Y92" s="77"/>
      <c r="Z92" s="76"/>
      <c r="AA92" s="76" t="s">
        <v>0</v>
      </c>
      <c r="AB92" s="78">
        <f>SUM(AB3)</f>
        <v>4</v>
      </c>
      <c r="AC92" s="76" t="s">
        <v>4</v>
      </c>
      <c r="AD92" s="79">
        <f>SUM(AD3)</f>
        <v>1447</v>
      </c>
      <c r="AE92" s="76" t="s">
        <v>13</v>
      </c>
      <c r="AF92" s="76"/>
      <c r="AG92" s="77"/>
      <c r="AH92" s="76"/>
      <c r="AI92" s="76" t="s">
        <v>0</v>
      </c>
      <c r="AJ92" s="78">
        <f>SUM(AJ3)</f>
        <v>5</v>
      </c>
      <c r="AK92" s="76" t="s">
        <v>4</v>
      </c>
      <c r="AL92" s="79">
        <f>SUM(AL3)</f>
        <v>1447</v>
      </c>
      <c r="AM92" s="76" t="s">
        <v>13</v>
      </c>
      <c r="AN92" s="76"/>
      <c r="AO92" s="77"/>
      <c r="AP92" s="76"/>
      <c r="AQ92" s="76" t="s">
        <v>0</v>
      </c>
      <c r="AR92" s="78">
        <f>SUM(AR3)</f>
        <v>6</v>
      </c>
      <c r="AS92" s="76" t="s">
        <v>4</v>
      </c>
      <c r="AT92" s="79">
        <f>SUM(AT3)</f>
        <v>1447</v>
      </c>
      <c r="AU92" s="76" t="s">
        <v>13</v>
      </c>
      <c r="AV92" s="76"/>
      <c r="AW92" s="77"/>
      <c r="AX92" s="76"/>
      <c r="AY92" s="76" t="s">
        <v>0</v>
      </c>
      <c r="AZ92" s="78">
        <f>SUM(AZ3)</f>
        <v>7</v>
      </c>
      <c r="BA92" s="76" t="s">
        <v>4</v>
      </c>
      <c r="BB92" s="79">
        <f>SUM(BB3)</f>
        <v>1447</v>
      </c>
      <c r="BC92" s="76" t="s">
        <v>13</v>
      </c>
      <c r="BD92" s="76"/>
      <c r="BE92" s="77"/>
      <c r="BF92" s="76"/>
      <c r="BG92" s="76" t="s">
        <v>0</v>
      </c>
      <c r="BH92" s="78">
        <f>SUM(BH3)</f>
        <v>8</v>
      </c>
      <c r="BI92" s="76" t="s">
        <v>4</v>
      </c>
      <c r="BJ92" s="79">
        <f>SUM(BJ3)</f>
        <v>1447</v>
      </c>
      <c r="BK92" s="76" t="s">
        <v>13</v>
      </c>
      <c r="BL92" s="76"/>
      <c r="BM92" s="77"/>
      <c r="BN92" s="76"/>
      <c r="BO92" s="76" t="s">
        <v>0</v>
      </c>
      <c r="BP92" s="78">
        <f>SUM(BP3)</f>
        <v>9</v>
      </c>
      <c r="BQ92" s="76" t="s">
        <v>4</v>
      </c>
      <c r="BR92" s="79">
        <f>SUM(BR3)</f>
        <v>1447</v>
      </c>
      <c r="BS92" s="76" t="s">
        <v>13</v>
      </c>
      <c r="BT92" s="76"/>
      <c r="BU92" s="77"/>
      <c r="BV92" s="76"/>
      <c r="BW92" s="76" t="s">
        <v>0</v>
      </c>
      <c r="BX92" s="78">
        <f>SUM(BX3)</f>
        <v>10</v>
      </c>
      <c r="BY92" s="76" t="s">
        <v>4</v>
      </c>
      <c r="BZ92" s="79">
        <f>SUM(BZ3)</f>
        <v>1447</v>
      </c>
      <c r="CA92" s="76" t="s">
        <v>13</v>
      </c>
      <c r="CB92" s="76"/>
      <c r="CC92" s="77"/>
      <c r="CD92" s="76"/>
      <c r="CE92" s="76" t="s">
        <v>0</v>
      </c>
      <c r="CF92" s="78">
        <f>SUM(CF3)</f>
        <v>11</v>
      </c>
      <c r="CG92" s="76" t="s">
        <v>4</v>
      </c>
      <c r="CH92" s="79">
        <f>SUM(CH3)</f>
        <v>1447</v>
      </c>
      <c r="CI92" s="76" t="s">
        <v>13</v>
      </c>
      <c r="CJ92" s="76"/>
      <c r="CK92" s="77"/>
      <c r="CL92" s="76"/>
      <c r="CM92" s="76" t="s">
        <v>0</v>
      </c>
      <c r="CN92" s="78">
        <f>SUM(CN3)</f>
        <v>12</v>
      </c>
      <c r="CO92" s="76" t="s">
        <v>4</v>
      </c>
      <c r="CP92" s="79">
        <f>SUM(CP3)</f>
        <v>1447</v>
      </c>
      <c r="CQ92" s="76" t="s">
        <v>13</v>
      </c>
      <c r="CR92" s="76"/>
      <c r="CS92" s="82"/>
      <c r="CT92" s="76"/>
      <c r="CU92" s="76"/>
      <c r="CV92" s="76"/>
      <c r="CW92" s="76" t="s">
        <v>4</v>
      </c>
      <c r="CX92" s="79">
        <f>SUM(CP92)</f>
        <v>1447</v>
      </c>
      <c r="CY92" s="76" t="s">
        <v>13</v>
      </c>
      <c r="CZ92" s="69"/>
    </row>
    <row r="93" spans="1:104" ht="20.100000000000001" customHeight="1" x14ac:dyDescent="0.2">
      <c r="A93" s="135" t="s">
        <v>5</v>
      </c>
      <c r="B93" s="137" t="s">
        <v>16</v>
      </c>
      <c r="C93" s="138"/>
      <c r="D93" s="131" t="s">
        <v>1</v>
      </c>
      <c r="E93" s="131" t="s">
        <v>6</v>
      </c>
      <c r="F93" s="131" t="s">
        <v>2</v>
      </c>
      <c r="G93" s="133" t="s">
        <v>7</v>
      </c>
      <c r="H93" s="70"/>
      <c r="I93" s="135" t="s">
        <v>5</v>
      </c>
      <c r="J93" s="137" t="s">
        <v>16</v>
      </c>
      <c r="K93" s="138"/>
      <c r="L93" s="131" t="s">
        <v>1</v>
      </c>
      <c r="M93" s="131" t="s">
        <v>6</v>
      </c>
      <c r="N93" s="131" t="s">
        <v>2</v>
      </c>
      <c r="O93" s="133" t="s">
        <v>7</v>
      </c>
      <c r="P93" s="70"/>
      <c r="Q93" s="135" t="s">
        <v>5</v>
      </c>
      <c r="R93" s="137" t="s">
        <v>16</v>
      </c>
      <c r="S93" s="138"/>
      <c r="T93" s="131" t="s">
        <v>1</v>
      </c>
      <c r="U93" s="131" t="s">
        <v>6</v>
      </c>
      <c r="V93" s="131" t="s">
        <v>2</v>
      </c>
      <c r="W93" s="133" t="s">
        <v>7</v>
      </c>
      <c r="X93" s="70"/>
      <c r="Y93" s="135" t="s">
        <v>5</v>
      </c>
      <c r="Z93" s="137" t="s">
        <v>16</v>
      </c>
      <c r="AA93" s="138"/>
      <c r="AB93" s="131" t="s">
        <v>1</v>
      </c>
      <c r="AC93" s="131" t="s">
        <v>6</v>
      </c>
      <c r="AD93" s="131" t="s">
        <v>2</v>
      </c>
      <c r="AE93" s="133" t="s">
        <v>7</v>
      </c>
      <c r="AF93" s="70"/>
      <c r="AG93" s="135" t="s">
        <v>5</v>
      </c>
      <c r="AH93" s="137" t="s">
        <v>16</v>
      </c>
      <c r="AI93" s="138"/>
      <c r="AJ93" s="131" t="s">
        <v>1</v>
      </c>
      <c r="AK93" s="131" t="s">
        <v>6</v>
      </c>
      <c r="AL93" s="131" t="s">
        <v>2</v>
      </c>
      <c r="AM93" s="133" t="s">
        <v>7</v>
      </c>
      <c r="AN93" s="70"/>
      <c r="AO93" s="135" t="s">
        <v>5</v>
      </c>
      <c r="AP93" s="137" t="s">
        <v>16</v>
      </c>
      <c r="AQ93" s="138"/>
      <c r="AR93" s="131" t="s">
        <v>1</v>
      </c>
      <c r="AS93" s="131" t="s">
        <v>6</v>
      </c>
      <c r="AT93" s="131" t="s">
        <v>2</v>
      </c>
      <c r="AU93" s="133" t="s">
        <v>7</v>
      </c>
      <c r="AV93" s="70"/>
      <c r="AW93" s="135" t="s">
        <v>5</v>
      </c>
      <c r="AX93" s="137" t="s">
        <v>16</v>
      </c>
      <c r="AY93" s="138"/>
      <c r="AZ93" s="131" t="s">
        <v>1</v>
      </c>
      <c r="BA93" s="131" t="s">
        <v>6</v>
      </c>
      <c r="BB93" s="131" t="s">
        <v>2</v>
      </c>
      <c r="BC93" s="133" t="s">
        <v>7</v>
      </c>
      <c r="BD93" s="70"/>
      <c r="BE93" s="135" t="s">
        <v>5</v>
      </c>
      <c r="BF93" s="137" t="s">
        <v>16</v>
      </c>
      <c r="BG93" s="138"/>
      <c r="BH93" s="131" t="s">
        <v>1</v>
      </c>
      <c r="BI93" s="131" t="s">
        <v>6</v>
      </c>
      <c r="BJ93" s="131" t="s">
        <v>2</v>
      </c>
      <c r="BK93" s="133" t="s">
        <v>7</v>
      </c>
      <c r="BL93" s="70"/>
      <c r="BM93" s="135" t="s">
        <v>5</v>
      </c>
      <c r="BN93" s="137" t="s">
        <v>16</v>
      </c>
      <c r="BO93" s="138"/>
      <c r="BP93" s="131" t="s">
        <v>1</v>
      </c>
      <c r="BQ93" s="131" t="s">
        <v>6</v>
      </c>
      <c r="BR93" s="131" t="s">
        <v>2</v>
      </c>
      <c r="BS93" s="133" t="s">
        <v>7</v>
      </c>
      <c r="BT93" s="70"/>
      <c r="BU93" s="135" t="s">
        <v>5</v>
      </c>
      <c r="BV93" s="137" t="s">
        <v>16</v>
      </c>
      <c r="BW93" s="138"/>
      <c r="BX93" s="131" t="s">
        <v>1</v>
      </c>
      <c r="BY93" s="131" t="s">
        <v>6</v>
      </c>
      <c r="BZ93" s="131" t="s">
        <v>2</v>
      </c>
      <c r="CA93" s="133" t="s">
        <v>7</v>
      </c>
      <c r="CB93" s="70"/>
      <c r="CC93" s="135" t="s">
        <v>5</v>
      </c>
      <c r="CD93" s="137" t="s">
        <v>16</v>
      </c>
      <c r="CE93" s="138"/>
      <c r="CF93" s="131" t="s">
        <v>1</v>
      </c>
      <c r="CG93" s="131" t="s">
        <v>6</v>
      </c>
      <c r="CH93" s="131" t="s">
        <v>2</v>
      </c>
      <c r="CI93" s="133" t="s">
        <v>7</v>
      </c>
      <c r="CJ93" s="70"/>
      <c r="CK93" s="135" t="s">
        <v>5</v>
      </c>
      <c r="CL93" s="137" t="s">
        <v>16</v>
      </c>
      <c r="CM93" s="138"/>
      <c r="CN93" s="131" t="s">
        <v>1</v>
      </c>
      <c r="CO93" s="131" t="s">
        <v>6</v>
      </c>
      <c r="CP93" s="131" t="s">
        <v>2</v>
      </c>
      <c r="CQ93" s="133" t="s">
        <v>7</v>
      </c>
      <c r="CR93" s="70"/>
      <c r="CS93" s="147" t="s">
        <v>5</v>
      </c>
      <c r="CT93" s="137" t="s">
        <v>16</v>
      </c>
      <c r="CU93" s="138"/>
      <c r="CV93" s="131" t="s">
        <v>1</v>
      </c>
      <c r="CW93" s="131" t="s">
        <v>6</v>
      </c>
      <c r="CX93" s="131" t="s">
        <v>2</v>
      </c>
      <c r="CY93" s="133" t="s">
        <v>7</v>
      </c>
    </row>
    <row r="94" spans="1:104" ht="20.100000000000001" customHeight="1" thickBot="1" x14ac:dyDescent="0.25">
      <c r="A94" s="136"/>
      <c r="B94" s="132" t="s">
        <v>15</v>
      </c>
      <c r="C94" s="139"/>
      <c r="D94" s="132"/>
      <c r="E94" s="132"/>
      <c r="F94" s="132"/>
      <c r="G94" s="134"/>
      <c r="H94" s="71"/>
      <c r="I94" s="136"/>
      <c r="J94" s="132" t="s">
        <v>15</v>
      </c>
      <c r="K94" s="139"/>
      <c r="L94" s="132"/>
      <c r="M94" s="132"/>
      <c r="N94" s="132"/>
      <c r="O94" s="134"/>
      <c r="P94" s="71"/>
      <c r="Q94" s="136"/>
      <c r="R94" s="132" t="s">
        <v>15</v>
      </c>
      <c r="S94" s="139"/>
      <c r="T94" s="132"/>
      <c r="U94" s="132"/>
      <c r="V94" s="132"/>
      <c r="W94" s="134"/>
      <c r="X94" s="71"/>
      <c r="Y94" s="136"/>
      <c r="Z94" s="132" t="s">
        <v>15</v>
      </c>
      <c r="AA94" s="139"/>
      <c r="AB94" s="132"/>
      <c r="AC94" s="132"/>
      <c r="AD94" s="132"/>
      <c r="AE94" s="134"/>
      <c r="AF94" s="71"/>
      <c r="AG94" s="136"/>
      <c r="AH94" s="132" t="s">
        <v>15</v>
      </c>
      <c r="AI94" s="139"/>
      <c r="AJ94" s="132"/>
      <c r="AK94" s="132"/>
      <c r="AL94" s="132"/>
      <c r="AM94" s="134"/>
      <c r="AN94" s="71"/>
      <c r="AO94" s="136"/>
      <c r="AP94" s="132" t="s">
        <v>15</v>
      </c>
      <c r="AQ94" s="139"/>
      <c r="AR94" s="132"/>
      <c r="AS94" s="132"/>
      <c r="AT94" s="132"/>
      <c r="AU94" s="134"/>
      <c r="AV94" s="71"/>
      <c r="AW94" s="136"/>
      <c r="AX94" s="132" t="s">
        <v>15</v>
      </c>
      <c r="AY94" s="139"/>
      <c r="AZ94" s="132"/>
      <c r="BA94" s="132"/>
      <c r="BB94" s="132"/>
      <c r="BC94" s="134"/>
      <c r="BD94" s="71"/>
      <c r="BE94" s="136"/>
      <c r="BF94" s="132" t="s">
        <v>15</v>
      </c>
      <c r="BG94" s="139"/>
      <c r="BH94" s="132"/>
      <c r="BI94" s="132"/>
      <c r="BJ94" s="132"/>
      <c r="BK94" s="134"/>
      <c r="BL94" s="71"/>
      <c r="BM94" s="136"/>
      <c r="BN94" s="132" t="s">
        <v>15</v>
      </c>
      <c r="BO94" s="139"/>
      <c r="BP94" s="132"/>
      <c r="BQ94" s="132"/>
      <c r="BR94" s="132"/>
      <c r="BS94" s="134"/>
      <c r="BT94" s="71"/>
      <c r="BU94" s="136"/>
      <c r="BV94" s="132" t="s">
        <v>15</v>
      </c>
      <c r="BW94" s="139"/>
      <c r="BX94" s="132"/>
      <c r="BY94" s="132"/>
      <c r="BZ94" s="132"/>
      <c r="CA94" s="134"/>
      <c r="CB94" s="71"/>
      <c r="CC94" s="136"/>
      <c r="CD94" s="132" t="s">
        <v>15</v>
      </c>
      <c r="CE94" s="139"/>
      <c r="CF94" s="132"/>
      <c r="CG94" s="132"/>
      <c r="CH94" s="132"/>
      <c r="CI94" s="134"/>
      <c r="CJ94" s="71"/>
      <c r="CK94" s="136"/>
      <c r="CL94" s="132" t="s">
        <v>15</v>
      </c>
      <c r="CM94" s="139"/>
      <c r="CN94" s="132"/>
      <c r="CO94" s="132"/>
      <c r="CP94" s="132"/>
      <c r="CQ94" s="134"/>
      <c r="CR94" s="71"/>
      <c r="CS94" s="148"/>
      <c r="CT94" s="132" t="s">
        <v>15</v>
      </c>
      <c r="CU94" s="139"/>
      <c r="CV94" s="132"/>
      <c r="CW94" s="132"/>
      <c r="CX94" s="132"/>
      <c r="CY94" s="134"/>
    </row>
    <row r="95" spans="1:104" ht="20.100000000000001" customHeight="1" thickBot="1" x14ac:dyDescent="0.25">
      <c r="A95" s="142" t="s">
        <v>27</v>
      </c>
      <c r="B95" s="140" t="s">
        <v>3</v>
      </c>
      <c r="C95" s="6" t="s">
        <v>8</v>
      </c>
      <c r="D95" s="19">
        <f>SUM(D6+D13+D20+D27+D34+D41+D48+D55+D62+D69+D76+D83)</f>
        <v>0</v>
      </c>
      <c r="E95" s="19">
        <f t="shared" ref="E95:G96" si="148">SUM(E6+E13+E20+E27+E34+E41+E48+E55+E62+E69+E76+E83)</f>
        <v>525</v>
      </c>
      <c r="F95" s="19">
        <f t="shared" si="148"/>
        <v>724</v>
      </c>
      <c r="G95" s="19">
        <f t="shared" si="148"/>
        <v>676</v>
      </c>
      <c r="H95" s="71"/>
      <c r="I95" s="142" t="s">
        <v>27</v>
      </c>
      <c r="J95" s="140" t="s">
        <v>3</v>
      </c>
      <c r="K95" s="6" t="s">
        <v>8</v>
      </c>
      <c r="L95" s="19">
        <f>SUM(L6+L13+L20+L27+L34+L41+L48+L55+L62+L69+L76+L83)</f>
        <v>0</v>
      </c>
      <c r="M95" s="19">
        <f t="shared" ref="M95:O95" si="149">SUM(M6+M13+M20+M27+M34+M41+M48+M55+M62+M69+M76+M83)</f>
        <v>569</v>
      </c>
      <c r="N95" s="19">
        <f t="shared" si="149"/>
        <v>540</v>
      </c>
      <c r="O95" s="19">
        <f t="shared" si="149"/>
        <v>587</v>
      </c>
      <c r="P95" s="71"/>
      <c r="Q95" s="142" t="s">
        <v>27</v>
      </c>
      <c r="R95" s="140" t="s">
        <v>3</v>
      </c>
      <c r="S95" s="6" t="s">
        <v>8</v>
      </c>
      <c r="T95" s="19">
        <f>SUM(T6+T13+T20+T27+T34+T41+T48+T55+T62+T69+T76+T83)</f>
        <v>14</v>
      </c>
      <c r="U95" s="19">
        <f t="shared" ref="U95:W95" si="150">SUM(U6+U13+U20+U27+U34+U41+U48+U55+U62+U69+U76+U83)</f>
        <v>533</v>
      </c>
      <c r="V95" s="19">
        <f t="shared" si="150"/>
        <v>666</v>
      </c>
      <c r="W95" s="19">
        <f t="shared" si="150"/>
        <v>597</v>
      </c>
      <c r="X95" s="71"/>
      <c r="Y95" s="142" t="s">
        <v>27</v>
      </c>
      <c r="Z95" s="140" t="s">
        <v>3</v>
      </c>
      <c r="AA95" s="6" t="s">
        <v>8</v>
      </c>
      <c r="AB95" s="19">
        <f>SUM(AB6+AB13+AB20+AB27+AB34+AB41+AB48+AB55+AB62+AB69+AB76+AB83)</f>
        <v>3</v>
      </c>
      <c r="AC95" s="19">
        <f t="shared" ref="AC95:AE95" si="151">SUM(AC6+AC13+AC20+AC27+AC34+AC41+AC48+AC55+AC62+AC69+AC76+AC83)</f>
        <v>303</v>
      </c>
      <c r="AD95" s="19">
        <f t="shared" si="151"/>
        <v>509</v>
      </c>
      <c r="AE95" s="19">
        <f t="shared" si="151"/>
        <v>385</v>
      </c>
      <c r="AF95" s="71"/>
      <c r="AG95" s="142" t="s">
        <v>27</v>
      </c>
      <c r="AH95" s="140" t="s">
        <v>3</v>
      </c>
      <c r="AI95" s="6" t="s">
        <v>8</v>
      </c>
      <c r="AJ95" s="19">
        <f>SUM(AJ6+AJ13+AJ20+AJ27+AJ34+AJ41+AJ48+AJ55+AJ62+AJ69+AJ76+AJ83)</f>
        <v>6</v>
      </c>
      <c r="AK95" s="19">
        <f t="shared" ref="AK95:AM95" si="152">SUM(AK6+AK13+AK20+AK27+AK34+AK41+AK48+AK55+AK62+AK69+AK76+AK83)</f>
        <v>466</v>
      </c>
      <c r="AL95" s="19">
        <f t="shared" si="152"/>
        <v>616</v>
      </c>
      <c r="AM95" s="19">
        <f t="shared" si="152"/>
        <v>686</v>
      </c>
      <c r="AN95" s="71"/>
      <c r="AO95" s="142" t="s">
        <v>27</v>
      </c>
      <c r="AP95" s="140" t="s">
        <v>3</v>
      </c>
      <c r="AQ95" s="6" t="s">
        <v>8</v>
      </c>
      <c r="AR95" s="19">
        <f>SUM(AR6+AR13+AR20+AR27+AR34+AR41+AR48+AR55+AR62+AR69+AR76+AR83)</f>
        <v>2</v>
      </c>
      <c r="AS95" s="19">
        <f t="shared" ref="AS95:AU95" si="153">SUM(AS6+AS13+AS20+AS27+AS34+AS41+AS48+AS55+AS62+AS69+AS76+AS83)</f>
        <v>523</v>
      </c>
      <c r="AT95" s="19">
        <f t="shared" si="153"/>
        <v>805</v>
      </c>
      <c r="AU95" s="19">
        <f t="shared" si="153"/>
        <v>847</v>
      </c>
      <c r="AV95" s="71"/>
      <c r="AW95" s="142" t="s">
        <v>27</v>
      </c>
      <c r="AX95" s="140" t="s">
        <v>3</v>
      </c>
      <c r="AY95" s="6" t="s">
        <v>8</v>
      </c>
      <c r="AZ95" s="19">
        <f>SUM(AZ6+AZ13+AZ20+AZ27+AZ34+AZ41+AZ48+AZ55+AZ62+AZ69+AZ76+AZ83)</f>
        <v>194</v>
      </c>
      <c r="BA95" s="19">
        <f t="shared" ref="BA95:BC95" si="154">SUM(BA6+BA13+BA20+BA27+BA34+BA41+BA48+BA55+BA62+BA69+BA76+BA83)</f>
        <v>473</v>
      </c>
      <c r="BB95" s="19">
        <f t="shared" si="154"/>
        <v>760</v>
      </c>
      <c r="BC95" s="19">
        <f t="shared" si="154"/>
        <v>903</v>
      </c>
      <c r="BD95" s="71"/>
      <c r="BE95" s="142" t="s">
        <v>27</v>
      </c>
      <c r="BF95" s="140" t="s">
        <v>3</v>
      </c>
      <c r="BG95" s="6" t="s">
        <v>8</v>
      </c>
      <c r="BH95" s="19">
        <f>SUM(BH6+BH13+BH20+BH27+BH34+BH41+BH48+BH55+BH62+BH69+BH76+BH83)</f>
        <v>2</v>
      </c>
      <c r="BI95" s="19">
        <f t="shared" ref="BI95:BK95" si="155">SUM(BI6+BI13+BI20+BI27+BI34+BI41+BI48+BI55+BI62+BI69+BI76+BI83)</f>
        <v>523</v>
      </c>
      <c r="BJ95" s="19">
        <f t="shared" si="155"/>
        <v>787</v>
      </c>
      <c r="BK95" s="19">
        <f t="shared" si="155"/>
        <v>855</v>
      </c>
      <c r="BL95" s="71"/>
      <c r="BM95" s="142" t="s">
        <v>27</v>
      </c>
      <c r="BN95" s="140" t="s">
        <v>3</v>
      </c>
      <c r="BO95" s="6" t="s">
        <v>8</v>
      </c>
      <c r="BP95" s="19">
        <f>SUM(BP6+BP13+BP20+BP27+BP34+BP41+BP48+BP55+BP62+BP69+BP76+BP83)</f>
        <v>27</v>
      </c>
      <c r="BQ95" s="19">
        <f t="shared" ref="BQ95:BS95" si="156">SUM(BQ6+BQ13+BQ20+BQ27+BQ34+BQ41+BQ48+BQ55+BQ62+BQ69+BQ76+BQ83)</f>
        <v>346</v>
      </c>
      <c r="BR95" s="19">
        <f t="shared" si="156"/>
        <v>321</v>
      </c>
      <c r="BS95" s="19">
        <f t="shared" si="156"/>
        <v>465</v>
      </c>
      <c r="BT95" s="71"/>
      <c r="BU95" s="142" t="s">
        <v>27</v>
      </c>
      <c r="BV95" s="140" t="s">
        <v>3</v>
      </c>
      <c r="BW95" s="6" t="s">
        <v>8</v>
      </c>
      <c r="BX95" s="19">
        <f>SUM(BX6+BX13+BX20+BX27+BX34+BX41+BX48+BX55+BX62+BX69+BX76+BX83)</f>
        <v>0</v>
      </c>
      <c r="BY95" s="19">
        <f t="shared" ref="BY95:CA95" si="157">SUM(BY6+BY13+BY20+BY27+BY34+BY41+BY48+BY55+BY62+BY69+BY76+BY83)</f>
        <v>524</v>
      </c>
      <c r="BZ95" s="19">
        <f t="shared" si="157"/>
        <v>723</v>
      </c>
      <c r="CA95" s="19">
        <f t="shared" si="157"/>
        <v>677</v>
      </c>
      <c r="CB95" s="71"/>
      <c r="CC95" s="142" t="s">
        <v>27</v>
      </c>
      <c r="CD95" s="140" t="s">
        <v>3</v>
      </c>
      <c r="CE95" s="6" t="s">
        <v>8</v>
      </c>
      <c r="CF95" s="19">
        <f>SUM(CF6+CF13+CF20+CF27+CF34+CF41+CF48+CF55+CF62+CF69+CF76+CF83)</f>
        <v>0</v>
      </c>
      <c r="CG95" s="19">
        <f t="shared" ref="CG95:CI95" si="158">SUM(CG6+CG13+CG20+CG27+CG34+CG41+CG48+CG55+CG62+CG69+CG76+CG83)</f>
        <v>0</v>
      </c>
      <c r="CH95" s="19">
        <f t="shared" si="158"/>
        <v>0</v>
      </c>
      <c r="CI95" s="19">
        <f t="shared" si="158"/>
        <v>0</v>
      </c>
      <c r="CJ95" s="71"/>
      <c r="CK95" s="142" t="s">
        <v>27</v>
      </c>
      <c r="CL95" s="140" t="s">
        <v>3</v>
      </c>
      <c r="CM95" s="6" t="s">
        <v>8</v>
      </c>
      <c r="CN95" s="19">
        <f>SUM(CN6+CN13+CN20+CN27+CN34+CN41+CN48+CN55+CN62+CN69+CN76+CN83)</f>
        <v>0</v>
      </c>
      <c r="CO95" s="19">
        <f t="shared" ref="CO95:CQ95" si="159">SUM(CO6+CO13+CO20+CO27+CO34+CO41+CO48+CO55+CO62+CO69+CO76+CO83)</f>
        <v>0</v>
      </c>
      <c r="CP95" s="19">
        <f t="shared" si="159"/>
        <v>0</v>
      </c>
      <c r="CQ95" s="19">
        <f t="shared" si="159"/>
        <v>0</v>
      </c>
      <c r="CR95" s="71"/>
      <c r="CS95" s="142" t="str">
        <f>(CK95)</f>
        <v>إجمالي مراكز مستشفى شرق  جدة</v>
      </c>
      <c r="CT95" s="140" t="s">
        <v>3</v>
      </c>
      <c r="CU95" s="6" t="s">
        <v>8</v>
      </c>
      <c r="CV95" s="19">
        <f>SUM(CV6+CV13+CV20+CV27+CV34+CV41+CV48+CV55+CV62+CV69+CV76+CV83)</f>
        <v>248</v>
      </c>
      <c r="CW95" s="19">
        <f t="shared" ref="CW95:CY96" si="160">SUM(CW6+CW13+CW20+CW27+CW34+CW41+CW48+CW55+CW62+CW69+CW76+CW83)</f>
        <v>4785</v>
      </c>
      <c r="CX95" s="19">
        <f t="shared" si="160"/>
        <v>6451</v>
      </c>
      <c r="CY95" s="19">
        <f t="shared" si="160"/>
        <v>6678</v>
      </c>
    </row>
    <row r="96" spans="1:104" ht="20.100000000000001" customHeight="1" thickBot="1" x14ac:dyDescent="0.25">
      <c r="A96" s="143"/>
      <c r="B96" s="141"/>
      <c r="C96" s="10" t="s">
        <v>9</v>
      </c>
      <c r="D96" s="19">
        <f>SUM(D7+D14+D21+D28+D35+D42+D49+D56+D63+D70+D77+D84)</f>
        <v>0</v>
      </c>
      <c r="E96" s="19">
        <f t="shared" si="148"/>
        <v>394</v>
      </c>
      <c r="F96" s="19">
        <f t="shared" si="148"/>
        <v>662</v>
      </c>
      <c r="G96" s="19">
        <f t="shared" si="148"/>
        <v>589</v>
      </c>
      <c r="H96" s="71"/>
      <c r="I96" s="143"/>
      <c r="J96" s="141"/>
      <c r="K96" s="10" t="s">
        <v>9</v>
      </c>
      <c r="L96" s="19">
        <f>SUM(L7+L14+L21+L28+L35+L42+L49+L56+L63+L70+L77+L84)</f>
        <v>0</v>
      </c>
      <c r="M96" s="19">
        <f t="shared" ref="M96:O96" si="161">SUM(M7+M14+M21+M28+M35+M42+M49+M56+M63+M70+M77+M84)</f>
        <v>508</v>
      </c>
      <c r="N96" s="19">
        <f t="shared" si="161"/>
        <v>519</v>
      </c>
      <c r="O96" s="19">
        <f t="shared" si="161"/>
        <v>683</v>
      </c>
      <c r="P96" s="71"/>
      <c r="Q96" s="143"/>
      <c r="R96" s="141"/>
      <c r="S96" s="10" t="s">
        <v>9</v>
      </c>
      <c r="T96" s="19">
        <f>SUM(T7+T14+T21+T28+T35+T42+T49+T56+T63+T70+T77+T84)</f>
        <v>14</v>
      </c>
      <c r="U96" s="19">
        <f t="shared" ref="U96:W96" si="162">SUM(U7+U14+U21+U28+U35+U42+U49+U56+U63+U70+U77+U84)</f>
        <v>429</v>
      </c>
      <c r="V96" s="19">
        <f t="shared" si="162"/>
        <v>641</v>
      </c>
      <c r="W96" s="19">
        <f t="shared" si="162"/>
        <v>407</v>
      </c>
      <c r="X96" s="71"/>
      <c r="Y96" s="143"/>
      <c r="Z96" s="141"/>
      <c r="AA96" s="10" t="s">
        <v>9</v>
      </c>
      <c r="AB96" s="19">
        <f>SUM(AB7+AB14+AB21+AB28+AB35+AB42+AB49+AB56+AB63+AB70+AB77+AB84)</f>
        <v>2</v>
      </c>
      <c r="AC96" s="19">
        <f t="shared" ref="AC96:AE96" si="163">SUM(AC7+AC14+AC21+AC28+AC35+AC42+AC49+AC56+AC63+AC70+AC77+AC84)</f>
        <v>272</v>
      </c>
      <c r="AD96" s="19">
        <f t="shared" si="163"/>
        <v>457</v>
      </c>
      <c r="AE96" s="19">
        <f t="shared" si="163"/>
        <v>389</v>
      </c>
      <c r="AF96" s="71"/>
      <c r="AG96" s="143"/>
      <c r="AH96" s="141"/>
      <c r="AI96" s="10" t="s">
        <v>9</v>
      </c>
      <c r="AJ96" s="19">
        <f>SUM(AJ7+AJ14+AJ21+AJ28+AJ35+AJ42+AJ49+AJ56+AJ63+AJ70+AJ77+AJ84)</f>
        <v>3</v>
      </c>
      <c r="AK96" s="19">
        <f t="shared" ref="AK96:AM96" si="164">SUM(AK7+AK14+AK21+AK28+AK35+AK42+AK49+AK56+AK63+AK70+AK77+AK84)</f>
        <v>402</v>
      </c>
      <c r="AL96" s="19">
        <f t="shared" si="164"/>
        <v>605</v>
      </c>
      <c r="AM96" s="19">
        <f t="shared" si="164"/>
        <v>669</v>
      </c>
      <c r="AN96" s="71"/>
      <c r="AO96" s="143"/>
      <c r="AP96" s="141"/>
      <c r="AQ96" s="10" t="s">
        <v>9</v>
      </c>
      <c r="AR96" s="19">
        <f>SUM(AR7+AR14+AR21+AR28+AR35+AR42+AR49+AR56+AR63+AR70+AR77+AR84)</f>
        <v>1</v>
      </c>
      <c r="AS96" s="19">
        <f t="shared" ref="AS96:AU96" si="165">SUM(AS7+AS14+AS21+AS28+AS35+AS42+AS49+AS56+AS63+AS70+AS77+AS84)</f>
        <v>497</v>
      </c>
      <c r="AT96" s="19">
        <f t="shared" si="165"/>
        <v>726</v>
      </c>
      <c r="AU96" s="19">
        <f t="shared" si="165"/>
        <v>765</v>
      </c>
      <c r="AV96" s="71"/>
      <c r="AW96" s="143"/>
      <c r="AX96" s="141"/>
      <c r="AY96" s="10" t="s">
        <v>9</v>
      </c>
      <c r="AZ96" s="19">
        <f>SUM(AZ7+AZ14+AZ21+AZ28+AZ35+AZ42+AZ49+AZ56+AZ63+AZ70+AZ77+AZ84)</f>
        <v>49</v>
      </c>
      <c r="BA96" s="19">
        <f t="shared" ref="BA96:BC96" si="166">SUM(BA7+BA14+BA21+BA28+BA35+BA42+BA49+BA56+BA63+BA70+BA77+BA84)</f>
        <v>381</v>
      </c>
      <c r="BB96" s="19">
        <f t="shared" si="166"/>
        <v>630</v>
      </c>
      <c r="BC96" s="19">
        <f t="shared" si="166"/>
        <v>816</v>
      </c>
      <c r="BD96" s="71"/>
      <c r="BE96" s="143"/>
      <c r="BF96" s="141"/>
      <c r="BG96" s="10" t="s">
        <v>9</v>
      </c>
      <c r="BH96" s="19">
        <f>SUM(BH7+BH14+BH21+BH28+BH35+BH42+BH49+BH56+BH63+BH70+BH77+BH84)</f>
        <v>1</v>
      </c>
      <c r="BI96" s="19">
        <f t="shared" ref="BI96:BK96" si="167">SUM(BI7+BI14+BI21+BI28+BI35+BI42+BI49+BI56+BI63+BI70+BI77+BI84)</f>
        <v>492</v>
      </c>
      <c r="BJ96" s="19">
        <f t="shared" si="167"/>
        <v>705</v>
      </c>
      <c r="BK96" s="19">
        <f t="shared" si="167"/>
        <v>747</v>
      </c>
      <c r="BL96" s="71"/>
      <c r="BM96" s="143"/>
      <c r="BN96" s="141"/>
      <c r="BO96" s="10" t="s">
        <v>9</v>
      </c>
      <c r="BP96" s="19">
        <f>SUM(BP7+BP14+BP21+BP28+BP35+BP42+BP49+BP56+BP63+BP70+BP77+BP84)</f>
        <v>35</v>
      </c>
      <c r="BQ96" s="19">
        <f t="shared" ref="BQ96:BS96" si="168">SUM(BQ7+BQ14+BQ21+BQ28+BQ35+BQ42+BQ49+BQ56+BQ63+BQ70+BQ77+BQ84)</f>
        <v>306</v>
      </c>
      <c r="BR96" s="19">
        <f t="shared" si="168"/>
        <v>275</v>
      </c>
      <c r="BS96" s="19">
        <f t="shared" si="168"/>
        <v>403</v>
      </c>
      <c r="BT96" s="71"/>
      <c r="BU96" s="143"/>
      <c r="BV96" s="141"/>
      <c r="BW96" s="10" t="s">
        <v>9</v>
      </c>
      <c r="BX96" s="19">
        <f>SUM(BX7+BX14+BX21+BX28+BX35+BX42+BX49+BX56+BX63+BX70+BX77+BX84)</f>
        <v>4</v>
      </c>
      <c r="BY96" s="19">
        <f t="shared" ref="BY96:CA96" si="169">SUM(BY7+BY14+BY21+BY28+BY35+BY42+BY49+BY56+BY63+BY70+BY77+BY84)</f>
        <v>393</v>
      </c>
      <c r="BZ96" s="19">
        <f t="shared" si="169"/>
        <v>656</v>
      </c>
      <c r="CA96" s="19">
        <f t="shared" si="169"/>
        <v>588</v>
      </c>
      <c r="CB96" s="71"/>
      <c r="CC96" s="143"/>
      <c r="CD96" s="141"/>
      <c r="CE96" s="10" t="s">
        <v>9</v>
      </c>
      <c r="CF96" s="19">
        <f>SUM(CF7+CF14+CF21+CF28+CF35+CF42+CF49+CF56+CF63+CF70+CF77+CF84)</f>
        <v>0</v>
      </c>
      <c r="CG96" s="19">
        <f t="shared" ref="CG96:CI96" si="170">SUM(CG7+CG14+CG21+CG28+CG35+CG42+CG49+CG56+CG63+CG70+CG77+CG84)</f>
        <v>0</v>
      </c>
      <c r="CH96" s="19">
        <f t="shared" si="170"/>
        <v>0</v>
      </c>
      <c r="CI96" s="19">
        <f t="shared" si="170"/>
        <v>0</v>
      </c>
      <c r="CJ96" s="71"/>
      <c r="CK96" s="143"/>
      <c r="CL96" s="141"/>
      <c r="CM96" s="10" t="s">
        <v>9</v>
      </c>
      <c r="CN96" s="19">
        <f>SUM(CN7+CN14+CN21+CN28+CN35+CN42+CN49+CN56+CN63+CN70+CN77+CN84)</f>
        <v>0</v>
      </c>
      <c r="CO96" s="19">
        <f t="shared" ref="CO96:CQ96" si="171">SUM(CO7+CO14+CO21+CO28+CO35+CO42+CO49+CO56+CO63+CO70+CO77+CO84)</f>
        <v>0</v>
      </c>
      <c r="CP96" s="19">
        <f t="shared" si="171"/>
        <v>0</v>
      </c>
      <c r="CQ96" s="19">
        <f t="shared" si="171"/>
        <v>0</v>
      </c>
      <c r="CR96" s="71"/>
      <c r="CS96" s="143"/>
      <c r="CT96" s="141"/>
      <c r="CU96" s="10" t="s">
        <v>9</v>
      </c>
      <c r="CV96" s="19">
        <f>SUM(CV7+CV14+CV21+CV28+CV35+CV42+CV49+CV56+CV63+CV70+CV77+CV84)</f>
        <v>109</v>
      </c>
      <c r="CW96" s="19">
        <f t="shared" si="160"/>
        <v>4074</v>
      </c>
      <c r="CX96" s="19">
        <f t="shared" si="160"/>
        <v>5876</v>
      </c>
      <c r="CY96" s="19">
        <f t="shared" si="160"/>
        <v>6056</v>
      </c>
    </row>
    <row r="97" spans="1:103" ht="20.100000000000001" customHeight="1" thickBot="1" x14ac:dyDescent="0.25">
      <c r="A97" s="143"/>
      <c r="B97" s="145" t="s">
        <v>10</v>
      </c>
      <c r="C97" s="146"/>
      <c r="D97" s="20">
        <f>SUM(D95:D96)</f>
        <v>0</v>
      </c>
      <c r="E97" s="21">
        <f>SUM(E95:E96)</f>
        <v>919</v>
      </c>
      <c r="F97" s="21">
        <f>SUM(F95:F96)</f>
        <v>1386</v>
      </c>
      <c r="G97" s="21">
        <f>SUM(G95:G96)</f>
        <v>1265</v>
      </c>
      <c r="H97" s="71"/>
      <c r="I97" s="143"/>
      <c r="J97" s="145" t="s">
        <v>10</v>
      </c>
      <c r="K97" s="146"/>
      <c r="L97" s="20">
        <f>SUM(L95:L96)</f>
        <v>0</v>
      </c>
      <c r="M97" s="21">
        <f>SUM(M95:M96)</f>
        <v>1077</v>
      </c>
      <c r="N97" s="21">
        <f>SUM(N95:N96)</f>
        <v>1059</v>
      </c>
      <c r="O97" s="21">
        <f>SUM(O95:O96)</f>
        <v>1270</v>
      </c>
      <c r="P97" s="71"/>
      <c r="Q97" s="143"/>
      <c r="R97" s="145" t="s">
        <v>10</v>
      </c>
      <c r="S97" s="146"/>
      <c r="T97" s="20">
        <f>SUM(T95:T96)</f>
        <v>28</v>
      </c>
      <c r="U97" s="21">
        <f>SUM(U95:U96)</f>
        <v>962</v>
      </c>
      <c r="V97" s="21">
        <f>SUM(V95:V96)</f>
        <v>1307</v>
      </c>
      <c r="W97" s="21">
        <f>SUM(W95:W96)</f>
        <v>1004</v>
      </c>
      <c r="X97" s="71"/>
      <c r="Y97" s="143"/>
      <c r="Z97" s="145" t="s">
        <v>10</v>
      </c>
      <c r="AA97" s="146"/>
      <c r="AB97" s="20">
        <f>SUM(AB95:AB96)</f>
        <v>5</v>
      </c>
      <c r="AC97" s="21">
        <f>SUM(AC95:AC96)</f>
        <v>575</v>
      </c>
      <c r="AD97" s="21">
        <f>SUM(AD95:AD96)</f>
        <v>966</v>
      </c>
      <c r="AE97" s="21">
        <f>SUM(AE95:AE96)</f>
        <v>774</v>
      </c>
      <c r="AF97" s="71"/>
      <c r="AG97" s="143"/>
      <c r="AH97" s="145" t="s">
        <v>10</v>
      </c>
      <c r="AI97" s="146"/>
      <c r="AJ97" s="20">
        <f>SUM(AJ95:AJ96)</f>
        <v>9</v>
      </c>
      <c r="AK97" s="21">
        <f>SUM(AK95:AK96)</f>
        <v>868</v>
      </c>
      <c r="AL97" s="21">
        <f>SUM(AL95:AL96)</f>
        <v>1221</v>
      </c>
      <c r="AM97" s="21">
        <f>SUM(AM95:AM96)</f>
        <v>1355</v>
      </c>
      <c r="AN97" s="71"/>
      <c r="AO97" s="143"/>
      <c r="AP97" s="145" t="s">
        <v>10</v>
      </c>
      <c r="AQ97" s="146"/>
      <c r="AR97" s="20">
        <f>SUM(AR95:AR96)</f>
        <v>3</v>
      </c>
      <c r="AS97" s="21">
        <f>SUM(AS95:AS96)</f>
        <v>1020</v>
      </c>
      <c r="AT97" s="21">
        <f>SUM(AT95:AT96)</f>
        <v>1531</v>
      </c>
      <c r="AU97" s="21">
        <f>SUM(AU95:AU96)</f>
        <v>1612</v>
      </c>
      <c r="AV97" s="71"/>
      <c r="AW97" s="143"/>
      <c r="AX97" s="145" t="s">
        <v>10</v>
      </c>
      <c r="AY97" s="146"/>
      <c r="AZ97" s="20">
        <f>SUM(AZ95:AZ96)</f>
        <v>243</v>
      </c>
      <c r="BA97" s="21">
        <f>SUM(BA95:BA96)</f>
        <v>854</v>
      </c>
      <c r="BB97" s="21">
        <f>SUM(BB95:BB96)</f>
        <v>1390</v>
      </c>
      <c r="BC97" s="21">
        <f>SUM(BC95:BC96)</f>
        <v>1719</v>
      </c>
      <c r="BD97" s="71"/>
      <c r="BE97" s="143"/>
      <c r="BF97" s="145" t="s">
        <v>10</v>
      </c>
      <c r="BG97" s="146"/>
      <c r="BH97" s="20">
        <f>SUM(BH95:BH96)</f>
        <v>3</v>
      </c>
      <c r="BI97" s="21">
        <f>SUM(BI95:BI96)</f>
        <v>1015</v>
      </c>
      <c r="BJ97" s="21">
        <f>SUM(BJ95:BJ96)</f>
        <v>1492</v>
      </c>
      <c r="BK97" s="21">
        <f>SUM(BK95:BK96)</f>
        <v>1602</v>
      </c>
      <c r="BL97" s="71"/>
      <c r="BM97" s="143"/>
      <c r="BN97" s="145" t="s">
        <v>10</v>
      </c>
      <c r="BO97" s="146"/>
      <c r="BP97" s="20">
        <f>SUM(BP95:BP96)</f>
        <v>62</v>
      </c>
      <c r="BQ97" s="21">
        <f>SUM(BQ95:BQ96)</f>
        <v>652</v>
      </c>
      <c r="BR97" s="21">
        <f>SUM(BR95:BR96)</f>
        <v>596</v>
      </c>
      <c r="BS97" s="21">
        <f>SUM(BS95:BS96)</f>
        <v>868</v>
      </c>
      <c r="BT97" s="71"/>
      <c r="BU97" s="143"/>
      <c r="BV97" s="145" t="s">
        <v>10</v>
      </c>
      <c r="BW97" s="146"/>
      <c r="BX97" s="20">
        <f>SUM(BX95:BX96)</f>
        <v>4</v>
      </c>
      <c r="BY97" s="21">
        <f>SUM(BY95:BY96)</f>
        <v>917</v>
      </c>
      <c r="BZ97" s="21">
        <f>SUM(BZ95:BZ96)</f>
        <v>1379</v>
      </c>
      <c r="CA97" s="21">
        <f>SUM(CA95:CA96)</f>
        <v>1265</v>
      </c>
      <c r="CB97" s="71"/>
      <c r="CC97" s="143"/>
      <c r="CD97" s="145" t="s">
        <v>10</v>
      </c>
      <c r="CE97" s="146"/>
      <c r="CF97" s="20">
        <f>SUM(CF95:CF96)</f>
        <v>0</v>
      </c>
      <c r="CG97" s="21">
        <f>SUM(CG95:CG96)</f>
        <v>0</v>
      </c>
      <c r="CH97" s="21">
        <f>SUM(CH95:CH96)</f>
        <v>0</v>
      </c>
      <c r="CI97" s="21">
        <f>SUM(CI95:CI96)</f>
        <v>0</v>
      </c>
      <c r="CJ97" s="71"/>
      <c r="CK97" s="143"/>
      <c r="CL97" s="145" t="s">
        <v>10</v>
      </c>
      <c r="CM97" s="146"/>
      <c r="CN97" s="20">
        <f>SUM(CN95:CN96)</f>
        <v>0</v>
      </c>
      <c r="CO97" s="21">
        <f>SUM(CO95:CO96)</f>
        <v>0</v>
      </c>
      <c r="CP97" s="21">
        <f>SUM(CP95:CP96)</f>
        <v>0</v>
      </c>
      <c r="CQ97" s="21">
        <f>SUM(CQ95:CQ96)</f>
        <v>0</v>
      </c>
      <c r="CR97" s="71"/>
      <c r="CS97" s="143"/>
      <c r="CT97" s="145" t="s">
        <v>10</v>
      </c>
      <c r="CU97" s="146"/>
      <c r="CV97" s="20">
        <f>SUM(CV95:CV96)</f>
        <v>357</v>
      </c>
      <c r="CW97" s="21">
        <f>SUM(CW95:CW96)</f>
        <v>8859</v>
      </c>
      <c r="CX97" s="21">
        <f>SUM(CX95:CX96)</f>
        <v>12327</v>
      </c>
      <c r="CY97" s="21">
        <f>SUM(CY95:CY96)</f>
        <v>12734</v>
      </c>
    </row>
    <row r="98" spans="1:103" ht="20.100000000000001" customHeight="1" thickBot="1" x14ac:dyDescent="0.25">
      <c r="A98" s="143"/>
      <c r="B98" s="153" t="s">
        <v>11</v>
      </c>
      <c r="C98" s="6" t="s">
        <v>8</v>
      </c>
      <c r="D98" s="19">
        <f>SUM(D9+D16+D23+D30+D37+D44+D51+D58+D65+D72+D79+D86)</f>
        <v>0</v>
      </c>
      <c r="E98" s="19">
        <f t="shared" ref="E98:G99" si="172">SUM(E9+E16+E23+E30+E37+E44+E51+E58+E65+E72+E79+E86)</f>
        <v>104</v>
      </c>
      <c r="F98" s="19">
        <f t="shared" si="172"/>
        <v>187</v>
      </c>
      <c r="G98" s="19">
        <f t="shared" si="172"/>
        <v>153</v>
      </c>
      <c r="H98" s="71"/>
      <c r="I98" s="143"/>
      <c r="J98" s="153" t="s">
        <v>11</v>
      </c>
      <c r="K98" s="6" t="s">
        <v>8</v>
      </c>
      <c r="L98" s="19">
        <f>SUM(L9+L16+L23+L30+L37+L44+L51+L58+L65+L72+L79+L86)</f>
        <v>0</v>
      </c>
      <c r="M98" s="19">
        <f t="shared" ref="M98:O98" si="173">SUM(M9+M16+M23+M30+M37+M44+M51+M58+M65+M72+M79+M86)</f>
        <v>153</v>
      </c>
      <c r="N98" s="19">
        <f t="shared" si="173"/>
        <v>178</v>
      </c>
      <c r="O98" s="19">
        <f t="shared" si="173"/>
        <v>144</v>
      </c>
      <c r="P98" s="71"/>
      <c r="Q98" s="143"/>
      <c r="R98" s="153" t="s">
        <v>11</v>
      </c>
      <c r="S98" s="6" t="s">
        <v>8</v>
      </c>
      <c r="T98" s="19">
        <f>SUM(T9+T16+T23+T30+T37+T44+T51+T58+T65+T72+T79+T86)</f>
        <v>0</v>
      </c>
      <c r="U98" s="19">
        <f t="shared" ref="U98:W98" si="174">SUM(U9+U16+U23+U30+U37+U44+U51+U58+U65+U72+U79+U86)</f>
        <v>59</v>
      </c>
      <c r="V98" s="19">
        <f t="shared" si="174"/>
        <v>109</v>
      </c>
      <c r="W98" s="19">
        <f t="shared" si="174"/>
        <v>54</v>
      </c>
      <c r="X98" s="71"/>
      <c r="Y98" s="143"/>
      <c r="Z98" s="153" t="s">
        <v>11</v>
      </c>
      <c r="AA98" s="6" t="s">
        <v>8</v>
      </c>
      <c r="AB98" s="19">
        <f>SUM(AB9+AB16+AB23+AB30+AB37+AB44+AB51+AB58+AB65+AB72+AB79+AB86)</f>
        <v>0</v>
      </c>
      <c r="AC98" s="19">
        <f t="shared" ref="AC98:AE98" si="175">SUM(AC9+AC16+AC23+AC30+AC37+AC44+AC51+AC58+AC65+AC72+AC79+AC86)</f>
        <v>53</v>
      </c>
      <c r="AD98" s="19">
        <f t="shared" si="175"/>
        <v>68</v>
      </c>
      <c r="AE98" s="19">
        <f t="shared" si="175"/>
        <v>79</v>
      </c>
      <c r="AF98" s="71"/>
      <c r="AG98" s="143"/>
      <c r="AH98" s="153" t="s">
        <v>11</v>
      </c>
      <c r="AI98" s="6" t="s">
        <v>8</v>
      </c>
      <c r="AJ98" s="19">
        <f>SUM(AJ9+AJ16+AJ23+AJ30+AJ37+AJ44+AJ51+AJ58+AJ65+AJ72+AJ79+AJ86)</f>
        <v>0</v>
      </c>
      <c r="AK98" s="19">
        <f t="shared" ref="AK98:AM98" si="176">SUM(AK9+AK16+AK23+AK30+AK37+AK44+AK51+AK58+AK65+AK72+AK79+AK86)</f>
        <v>90</v>
      </c>
      <c r="AL98" s="19">
        <f t="shared" si="176"/>
        <v>56</v>
      </c>
      <c r="AM98" s="19">
        <f t="shared" si="176"/>
        <v>45</v>
      </c>
      <c r="AN98" s="71"/>
      <c r="AO98" s="143"/>
      <c r="AP98" s="153" t="s">
        <v>11</v>
      </c>
      <c r="AQ98" s="6" t="s">
        <v>8</v>
      </c>
      <c r="AR98" s="19">
        <f>SUM(AR9+AR16+AR23+AR30+AR37+AR44+AR51+AR58+AR65+AR72+AR79+AR86)</f>
        <v>0</v>
      </c>
      <c r="AS98" s="19">
        <f t="shared" ref="AS98:AU98" si="177">SUM(AS9+AS16+AS23+AS30+AS37+AS44+AS51+AS58+AS65+AS72+AS79+AS86)</f>
        <v>244</v>
      </c>
      <c r="AT98" s="19">
        <f t="shared" si="177"/>
        <v>267</v>
      </c>
      <c r="AU98" s="19">
        <f t="shared" si="177"/>
        <v>193</v>
      </c>
      <c r="AV98" s="71"/>
      <c r="AW98" s="143"/>
      <c r="AX98" s="153" t="s">
        <v>11</v>
      </c>
      <c r="AY98" s="6" t="s">
        <v>8</v>
      </c>
      <c r="AZ98" s="19">
        <f>SUM(AZ9+AZ16+AZ23+AZ30+AZ37+AZ44+AZ51+AZ58+AZ65+AZ72+AZ79+AZ86)</f>
        <v>16</v>
      </c>
      <c r="BA98" s="19">
        <f t="shared" ref="BA98:BC98" si="178">SUM(BA9+BA16+BA23+BA30+BA37+BA44+BA51+BA58+BA65+BA72+BA79+BA86)</f>
        <v>98</v>
      </c>
      <c r="BB98" s="19">
        <f t="shared" si="178"/>
        <v>173</v>
      </c>
      <c r="BC98" s="19">
        <f t="shared" si="178"/>
        <v>188</v>
      </c>
      <c r="BD98" s="71"/>
      <c r="BE98" s="143"/>
      <c r="BF98" s="153" t="s">
        <v>11</v>
      </c>
      <c r="BG98" s="6" t="s">
        <v>8</v>
      </c>
      <c r="BH98" s="19">
        <f>SUM(BH9+BH16+BH23+BH30+BH37+BH44+BH51+BH58+BH65+BH72+BH79+BH86)</f>
        <v>0</v>
      </c>
      <c r="BI98" s="19">
        <f t="shared" ref="BI98:BK98" si="179">SUM(BI9+BI16+BI23+BI30+BI37+BI44+BI51+BI58+BI65+BI72+BI79+BI86)</f>
        <v>242</v>
      </c>
      <c r="BJ98" s="19">
        <f t="shared" si="179"/>
        <v>261</v>
      </c>
      <c r="BK98" s="19">
        <f t="shared" si="179"/>
        <v>195</v>
      </c>
      <c r="BL98" s="71"/>
      <c r="BM98" s="143"/>
      <c r="BN98" s="153" t="s">
        <v>11</v>
      </c>
      <c r="BO98" s="6" t="s">
        <v>8</v>
      </c>
      <c r="BP98" s="19">
        <f>SUM(BP9+BP16+BP23+BP30+BP37+BP44+BP51+BP58+BP65+BP72+BP79+BP86)</f>
        <v>0</v>
      </c>
      <c r="BQ98" s="19">
        <f t="shared" ref="BQ98:BS98" si="180">SUM(BQ9+BQ16+BQ23+BQ30+BQ37+BQ44+BQ51+BQ58+BQ65+BQ72+BQ79+BQ86)</f>
        <v>126</v>
      </c>
      <c r="BR98" s="19">
        <f t="shared" si="180"/>
        <v>97</v>
      </c>
      <c r="BS98" s="19">
        <f t="shared" si="180"/>
        <v>66</v>
      </c>
      <c r="BT98" s="71"/>
      <c r="BU98" s="143"/>
      <c r="BV98" s="153" t="s">
        <v>11</v>
      </c>
      <c r="BW98" s="6" t="s">
        <v>8</v>
      </c>
      <c r="BX98" s="19">
        <f>SUM(BX9+BX16+BX23+BX30+BX37+BX44+BX51+BX58+BX65+BX72+BX79+BX86)</f>
        <v>1</v>
      </c>
      <c r="BY98" s="19">
        <f t="shared" ref="BY98:CA98" si="181">SUM(BY9+BY16+BY23+BY30+BY37+BY44+BY51+BY58+BY65+BY72+BY79+BY86)</f>
        <v>110</v>
      </c>
      <c r="BZ98" s="19">
        <f t="shared" si="181"/>
        <v>194</v>
      </c>
      <c r="CA98" s="19">
        <f t="shared" si="181"/>
        <v>156</v>
      </c>
      <c r="CB98" s="71"/>
      <c r="CC98" s="143"/>
      <c r="CD98" s="153" t="s">
        <v>11</v>
      </c>
      <c r="CE98" s="6" t="s">
        <v>8</v>
      </c>
      <c r="CF98" s="19">
        <f>SUM(CF9+CF16+CF23+CF30+CF37+CF44+CF51+CF58+CF65+CF72+CF79+CF86)</f>
        <v>0</v>
      </c>
      <c r="CG98" s="19">
        <f t="shared" ref="CG98:CI98" si="182">SUM(CG9+CG16+CG23+CG30+CG37+CG44+CG51+CG58+CG65+CG72+CG79+CG86)</f>
        <v>0</v>
      </c>
      <c r="CH98" s="19">
        <f t="shared" si="182"/>
        <v>0</v>
      </c>
      <c r="CI98" s="19">
        <f t="shared" si="182"/>
        <v>0</v>
      </c>
      <c r="CJ98" s="71"/>
      <c r="CK98" s="143"/>
      <c r="CL98" s="153" t="s">
        <v>11</v>
      </c>
      <c r="CM98" s="6" t="s">
        <v>8</v>
      </c>
      <c r="CN98" s="19">
        <f>SUM(CN9+CN16+CN23+CN30+CN37+CN44+CN51+CN58+CN65+CN72+CN79+CN86)</f>
        <v>0</v>
      </c>
      <c r="CO98" s="19">
        <f t="shared" ref="CO98:CQ98" si="183">SUM(CO9+CO16+CO23+CO30+CO37+CO44+CO51+CO58+CO65+CO72+CO79+CO86)</f>
        <v>0</v>
      </c>
      <c r="CP98" s="19">
        <f t="shared" si="183"/>
        <v>0</v>
      </c>
      <c r="CQ98" s="19">
        <f t="shared" si="183"/>
        <v>0</v>
      </c>
      <c r="CR98" s="71"/>
      <c r="CS98" s="143"/>
      <c r="CT98" s="153" t="s">
        <v>11</v>
      </c>
      <c r="CU98" s="6" t="s">
        <v>8</v>
      </c>
      <c r="CV98" s="19">
        <f>SUM(CV9+CV16+CV23+CV30+CV37+CV44+CV51+CV58+CV65+CV72+CV79+CV86)</f>
        <v>17</v>
      </c>
      <c r="CW98" s="19">
        <f t="shared" ref="CW98:CY99" si="184">SUM(CW9+CW16+CW23+CW30+CW37+CW44+CW51+CW58+CW65+CW72+CW79+CW86)</f>
        <v>1279</v>
      </c>
      <c r="CX98" s="19">
        <f t="shared" si="184"/>
        <v>1590</v>
      </c>
      <c r="CY98" s="19">
        <f t="shared" si="184"/>
        <v>1273</v>
      </c>
    </row>
    <row r="99" spans="1:103" ht="20.100000000000001" customHeight="1" thickBot="1" x14ac:dyDescent="0.25">
      <c r="A99" s="143"/>
      <c r="B99" s="154"/>
      <c r="C99" s="10" t="s">
        <v>9</v>
      </c>
      <c r="D99" s="19">
        <f>SUM(D10+D17+D24+D31+D38+D45+D52+D59+D66+D73+D80+D87)</f>
        <v>0</v>
      </c>
      <c r="E99" s="19">
        <f t="shared" si="172"/>
        <v>93</v>
      </c>
      <c r="F99" s="19">
        <f t="shared" si="172"/>
        <v>121</v>
      </c>
      <c r="G99" s="19">
        <f t="shared" si="172"/>
        <v>137</v>
      </c>
      <c r="H99" s="71"/>
      <c r="I99" s="143"/>
      <c r="J99" s="154"/>
      <c r="K99" s="10" t="s">
        <v>9</v>
      </c>
      <c r="L99" s="19">
        <f>SUM(L10+L17+L24+L31+L38+L45+L52+L59+L66+L73+L80+L87)</f>
        <v>0</v>
      </c>
      <c r="M99" s="19">
        <f t="shared" ref="M99:O99" si="185">SUM(M10+M17+M24+M31+M38+M45+M52+M59+M66+M73+M80+M87)</f>
        <v>115</v>
      </c>
      <c r="N99" s="19">
        <f t="shared" si="185"/>
        <v>126</v>
      </c>
      <c r="O99" s="19">
        <f t="shared" si="185"/>
        <v>115</v>
      </c>
      <c r="P99" s="71"/>
      <c r="Q99" s="143"/>
      <c r="R99" s="154"/>
      <c r="S99" s="10" t="s">
        <v>9</v>
      </c>
      <c r="T99" s="19">
        <f>SUM(T10+T17+T24+T31+T38+T45+T52+T59+T66+T73+T80+T87)</f>
        <v>0</v>
      </c>
      <c r="U99" s="19">
        <f t="shared" ref="U99:W99" si="186">SUM(U10+U17+U24+U31+U38+U45+U52+U59+U66+U73+U80+U87)</f>
        <v>35</v>
      </c>
      <c r="V99" s="19">
        <f t="shared" si="186"/>
        <v>82</v>
      </c>
      <c r="W99" s="19">
        <f t="shared" si="186"/>
        <v>36</v>
      </c>
      <c r="X99" s="71"/>
      <c r="Y99" s="143"/>
      <c r="Z99" s="154"/>
      <c r="AA99" s="10" t="s">
        <v>9</v>
      </c>
      <c r="AB99" s="19">
        <f>SUM(AB10+AB17+AB24+AB31+AB38+AB45+AB52+AB59+AB66+AB73+AB80+AB87)</f>
        <v>0</v>
      </c>
      <c r="AC99" s="19">
        <f t="shared" ref="AC99:AE99" si="187">SUM(AC10+AC17+AC24+AC31+AC38+AC45+AC52+AC59+AC66+AC73+AC80+AC87)</f>
        <v>58</v>
      </c>
      <c r="AD99" s="19">
        <f t="shared" si="187"/>
        <v>75</v>
      </c>
      <c r="AE99" s="19">
        <f t="shared" si="187"/>
        <v>69</v>
      </c>
      <c r="AF99" s="71"/>
      <c r="AG99" s="143"/>
      <c r="AH99" s="154"/>
      <c r="AI99" s="10" t="s">
        <v>9</v>
      </c>
      <c r="AJ99" s="19">
        <f>SUM(AJ10+AJ17+AJ24+AJ31+AJ38+AJ45+AJ52+AJ59+AJ66+AJ73+AJ80+AJ87)</f>
        <v>0</v>
      </c>
      <c r="AK99" s="19">
        <f t="shared" ref="AK99:AM99" si="188">SUM(AK10+AK17+AK24+AK31+AK38+AK45+AK52+AK59+AK66+AK73+AK80+AK87)</f>
        <v>74</v>
      </c>
      <c r="AL99" s="19">
        <f t="shared" si="188"/>
        <v>57</v>
      </c>
      <c r="AM99" s="19">
        <f t="shared" si="188"/>
        <v>45</v>
      </c>
      <c r="AN99" s="71"/>
      <c r="AO99" s="143"/>
      <c r="AP99" s="154"/>
      <c r="AQ99" s="10" t="s">
        <v>9</v>
      </c>
      <c r="AR99" s="19">
        <f>SUM(AR10+AR17+AR24+AR31+AR38+AR45+AR52+AR59+AR66+AR73+AR80+AR87)</f>
        <v>0</v>
      </c>
      <c r="AS99" s="19">
        <f t="shared" ref="AS99:AU99" si="189">SUM(AS10+AS17+AS24+AS31+AS38+AS45+AS52+AS59+AS66+AS73+AS80+AS87)</f>
        <v>175</v>
      </c>
      <c r="AT99" s="19">
        <f t="shared" si="189"/>
        <v>165</v>
      </c>
      <c r="AU99" s="19">
        <f t="shared" si="189"/>
        <v>199</v>
      </c>
      <c r="AV99" s="71"/>
      <c r="AW99" s="143"/>
      <c r="AX99" s="154"/>
      <c r="AY99" s="10" t="s">
        <v>9</v>
      </c>
      <c r="AZ99" s="19">
        <f>SUM(AZ10+AZ17+AZ24+AZ31+AZ38+AZ45+AZ52+AZ59+AZ66+AZ73+AZ80+AZ87)</f>
        <v>6</v>
      </c>
      <c r="BA99" s="19">
        <f t="shared" ref="BA99:BC99" si="190">SUM(BA10+BA17+BA24+BA31+BA38+BA45+BA52+BA59+BA66+BA73+BA80+BA87)</f>
        <v>50</v>
      </c>
      <c r="BB99" s="19">
        <f t="shared" si="190"/>
        <v>100</v>
      </c>
      <c r="BC99" s="19">
        <f t="shared" si="190"/>
        <v>159</v>
      </c>
      <c r="BD99" s="71"/>
      <c r="BE99" s="143"/>
      <c r="BF99" s="154"/>
      <c r="BG99" s="10" t="s">
        <v>9</v>
      </c>
      <c r="BH99" s="19">
        <f>SUM(BH10+BH17+BH24+BH31+BH38+BH45+BH52+BH59+BH66+BH73+BH80+BH87)</f>
        <v>0</v>
      </c>
      <c r="BI99" s="19">
        <f t="shared" ref="BI99:BK99" si="191">SUM(BI10+BI17+BI24+BI31+BI38+BI45+BI52+BI59+BI66+BI73+BI80+BI87)</f>
        <v>175</v>
      </c>
      <c r="BJ99" s="19">
        <f t="shared" si="191"/>
        <v>165</v>
      </c>
      <c r="BK99" s="19">
        <f t="shared" si="191"/>
        <v>199</v>
      </c>
      <c r="BL99" s="71"/>
      <c r="BM99" s="143"/>
      <c r="BN99" s="154"/>
      <c r="BO99" s="10" t="s">
        <v>9</v>
      </c>
      <c r="BP99" s="19">
        <f>SUM(BP10+BP17+BP24+BP31+BP38+BP45+BP52+BP59+BP66+BP73+BP80+BP87)</f>
        <v>0</v>
      </c>
      <c r="BQ99" s="19">
        <f t="shared" ref="BQ99:BS99" si="192">SUM(BQ10+BQ17+BQ24+BQ31+BQ38+BQ45+BQ52+BQ59+BQ66+BQ73+BQ80+BQ87)</f>
        <v>120</v>
      </c>
      <c r="BR99" s="19">
        <f t="shared" si="192"/>
        <v>89</v>
      </c>
      <c r="BS99" s="19">
        <f t="shared" si="192"/>
        <v>112</v>
      </c>
      <c r="BT99" s="71"/>
      <c r="BU99" s="143"/>
      <c r="BV99" s="154"/>
      <c r="BW99" s="10" t="s">
        <v>9</v>
      </c>
      <c r="BX99" s="19">
        <f>SUM(BX10+BX17+BX24+BX31+BX38+BX45+BX52+BX59+BX66+BX73+BX80+BX87)</f>
        <v>0</v>
      </c>
      <c r="BY99" s="19">
        <f t="shared" ref="BY99:CA99" si="193">SUM(BY10+BY17+BY24+BY31+BY38+BY45+BY52+BY59+BY66+BY73+BY80+BY87)</f>
        <v>93</v>
      </c>
      <c r="BZ99" s="19">
        <f t="shared" si="193"/>
        <v>129</v>
      </c>
      <c r="CA99" s="19">
        <f t="shared" si="193"/>
        <v>138</v>
      </c>
      <c r="CB99" s="71"/>
      <c r="CC99" s="143"/>
      <c r="CD99" s="154"/>
      <c r="CE99" s="10" t="s">
        <v>9</v>
      </c>
      <c r="CF99" s="19">
        <f>SUM(CF10+CF17+CF24+CF31+CF38+CF45+CF52+CF59+CF66+CF73+CF80+CF87)</f>
        <v>0</v>
      </c>
      <c r="CG99" s="19">
        <f t="shared" ref="CG99:CI99" si="194">SUM(CG10+CG17+CG24+CG31+CG38+CG45+CG52+CG59+CG66+CG73+CG80+CG87)</f>
        <v>0</v>
      </c>
      <c r="CH99" s="19">
        <f t="shared" si="194"/>
        <v>0</v>
      </c>
      <c r="CI99" s="19">
        <f t="shared" si="194"/>
        <v>0</v>
      </c>
      <c r="CJ99" s="71"/>
      <c r="CK99" s="143"/>
      <c r="CL99" s="154"/>
      <c r="CM99" s="10" t="s">
        <v>9</v>
      </c>
      <c r="CN99" s="19">
        <f>SUM(CN10+CN17+CN24+CN31+CN38+CN45+CN52+CN59+CN66+CN73+CN80+CN87)</f>
        <v>0</v>
      </c>
      <c r="CO99" s="19">
        <f t="shared" ref="CO99:CQ99" si="195">SUM(CO10+CO17+CO24+CO31+CO38+CO45+CO52+CO59+CO66+CO73+CO80+CO87)</f>
        <v>0</v>
      </c>
      <c r="CP99" s="19">
        <f t="shared" si="195"/>
        <v>0</v>
      </c>
      <c r="CQ99" s="19">
        <f t="shared" si="195"/>
        <v>0</v>
      </c>
      <c r="CR99" s="71"/>
      <c r="CS99" s="143"/>
      <c r="CT99" s="154"/>
      <c r="CU99" s="10" t="s">
        <v>9</v>
      </c>
      <c r="CV99" s="19">
        <f>SUM(CV10+CV17+CV24+CV31+CV38+CV45+CV52+CV59+CV66+CV73+CV80+CV87)</f>
        <v>6</v>
      </c>
      <c r="CW99" s="19">
        <f t="shared" si="184"/>
        <v>988</v>
      </c>
      <c r="CX99" s="19">
        <f t="shared" si="184"/>
        <v>1109</v>
      </c>
      <c r="CY99" s="19">
        <f t="shared" si="184"/>
        <v>1209</v>
      </c>
    </row>
    <row r="100" spans="1:103" ht="20.100000000000001" customHeight="1" thickBot="1" x14ac:dyDescent="0.25">
      <c r="A100" s="144"/>
      <c r="B100" s="151" t="s">
        <v>14</v>
      </c>
      <c r="C100" s="152"/>
      <c r="D100" s="20">
        <f>SUM(D98:D99)</f>
        <v>0</v>
      </c>
      <c r="E100" s="21">
        <f>SUM(E98:E99)</f>
        <v>197</v>
      </c>
      <c r="F100" s="21">
        <f>SUM(F98:F99)</f>
        <v>308</v>
      </c>
      <c r="G100" s="21">
        <f>SUM(G98:G99)</f>
        <v>290</v>
      </c>
      <c r="H100" s="71"/>
      <c r="I100" s="144"/>
      <c r="J100" s="151" t="s">
        <v>14</v>
      </c>
      <c r="K100" s="152"/>
      <c r="L100" s="20">
        <f>SUM(L98:L99)</f>
        <v>0</v>
      </c>
      <c r="M100" s="21">
        <f>SUM(M98:M99)</f>
        <v>268</v>
      </c>
      <c r="N100" s="21">
        <f>SUM(N98:N99)</f>
        <v>304</v>
      </c>
      <c r="O100" s="21">
        <f>SUM(O98:O99)</f>
        <v>259</v>
      </c>
      <c r="P100" s="71"/>
      <c r="Q100" s="144"/>
      <c r="R100" s="151" t="s">
        <v>14</v>
      </c>
      <c r="S100" s="152"/>
      <c r="T100" s="20">
        <f>SUM(T98:T99)</f>
        <v>0</v>
      </c>
      <c r="U100" s="21">
        <f>SUM(U98:U99)</f>
        <v>94</v>
      </c>
      <c r="V100" s="21">
        <f>SUM(V98:V99)</f>
        <v>191</v>
      </c>
      <c r="W100" s="21">
        <f>SUM(W98:W99)</f>
        <v>90</v>
      </c>
      <c r="X100" s="71"/>
      <c r="Y100" s="144"/>
      <c r="Z100" s="151" t="s">
        <v>14</v>
      </c>
      <c r="AA100" s="152"/>
      <c r="AB100" s="20">
        <f>SUM(AB98:AB99)</f>
        <v>0</v>
      </c>
      <c r="AC100" s="21">
        <f>SUM(AC98:AC99)</f>
        <v>111</v>
      </c>
      <c r="AD100" s="21">
        <f>SUM(AD98:AD99)</f>
        <v>143</v>
      </c>
      <c r="AE100" s="21">
        <f>SUM(AE98:AE99)</f>
        <v>148</v>
      </c>
      <c r="AF100" s="71"/>
      <c r="AG100" s="144"/>
      <c r="AH100" s="151" t="s">
        <v>14</v>
      </c>
      <c r="AI100" s="152"/>
      <c r="AJ100" s="20">
        <f>SUM(AJ98:AJ99)</f>
        <v>0</v>
      </c>
      <c r="AK100" s="21">
        <f>SUM(AK98:AK99)</f>
        <v>164</v>
      </c>
      <c r="AL100" s="21">
        <f>SUM(AL98:AL99)</f>
        <v>113</v>
      </c>
      <c r="AM100" s="21">
        <f>SUM(AM98:AM99)</f>
        <v>90</v>
      </c>
      <c r="AN100" s="71"/>
      <c r="AO100" s="144"/>
      <c r="AP100" s="151" t="s">
        <v>14</v>
      </c>
      <c r="AQ100" s="152"/>
      <c r="AR100" s="20">
        <f>SUM(AR98:AR99)</f>
        <v>0</v>
      </c>
      <c r="AS100" s="21">
        <f>SUM(AS98:AS99)</f>
        <v>419</v>
      </c>
      <c r="AT100" s="21">
        <f>SUM(AT98:AT99)</f>
        <v>432</v>
      </c>
      <c r="AU100" s="21">
        <f>SUM(AU98:AU99)</f>
        <v>392</v>
      </c>
      <c r="AV100" s="71"/>
      <c r="AW100" s="144"/>
      <c r="AX100" s="151" t="s">
        <v>14</v>
      </c>
      <c r="AY100" s="152"/>
      <c r="AZ100" s="20">
        <f>SUM(AZ98:AZ99)</f>
        <v>22</v>
      </c>
      <c r="BA100" s="21">
        <f>SUM(BA98:BA99)</f>
        <v>148</v>
      </c>
      <c r="BB100" s="21">
        <f>SUM(BB98:BB99)</f>
        <v>273</v>
      </c>
      <c r="BC100" s="21">
        <f>SUM(BC98:BC99)</f>
        <v>347</v>
      </c>
      <c r="BD100" s="71"/>
      <c r="BE100" s="144"/>
      <c r="BF100" s="151" t="s">
        <v>14</v>
      </c>
      <c r="BG100" s="152"/>
      <c r="BH100" s="20">
        <f>SUM(BH98:BH99)</f>
        <v>0</v>
      </c>
      <c r="BI100" s="21">
        <f>SUM(BI98:BI99)</f>
        <v>417</v>
      </c>
      <c r="BJ100" s="21">
        <f>SUM(BJ98:BJ99)</f>
        <v>426</v>
      </c>
      <c r="BK100" s="21">
        <f>SUM(BK98:BK99)</f>
        <v>394</v>
      </c>
      <c r="BL100" s="71"/>
      <c r="BM100" s="144"/>
      <c r="BN100" s="151" t="s">
        <v>14</v>
      </c>
      <c r="BO100" s="152"/>
      <c r="BP100" s="20">
        <f>SUM(BP98:BP99)</f>
        <v>0</v>
      </c>
      <c r="BQ100" s="21">
        <f>SUM(BQ98:BQ99)</f>
        <v>246</v>
      </c>
      <c r="BR100" s="21">
        <f>SUM(BR98:BR99)</f>
        <v>186</v>
      </c>
      <c r="BS100" s="21">
        <f>SUM(BS98:BS99)</f>
        <v>178</v>
      </c>
      <c r="BT100" s="71"/>
      <c r="BU100" s="144"/>
      <c r="BV100" s="151" t="s">
        <v>14</v>
      </c>
      <c r="BW100" s="152"/>
      <c r="BX100" s="20">
        <f>SUM(BX98:BX99)</f>
        <v>1</v>
      </c>
      <c r="BY100" s="21">
        <f>SUM(BY98:BY99)</f>
        <v>203</v>
      </c>
      <c r="BZ100" s="21">
        <f>SUM(BZ98:BZ99)</f>
        <v>323</v>
      </c>
      <c r="CA100" s="21">
        <f>SUM(CA98:CA99)</f>
        <v>294</v>
      </c>
      <c r="CB100" s="71"/>
      <c r="CC100" s="144"/>
      <c r="CD100" s="151" t="s">
        <v>14</v>
      </c>
      <c r="CE100" s="152"/>
      <c r="CF100" s="20">
        <f>SUM(CF98:CF99)</f>
        <v>0</v>
      </c>
      <c r="CG100" s="21">
        <f>SUM(CG98:CG99)</f>
        <v>0</v>
      </c>
      <c r="CH100" s="21">
        <f>SUM(CH98:CH99)</f>
        <v>0</v>
      </c>
      <c r="CI100" s="21">
        <f>SUM(CI98:CI99)</f>
        <v>0</v>
      </c>
      <c r="CJ100" s="71"/>
      <c r="CK100" s="144"/>
      <c r="CL100" s="151" t="s">
        <v>14</v>
      </c>
      <c r="CM100" s="152"/>
      <c r="CN100" s="20">
        <f>SUM(CN98:CN99)</f>
        <v>0</v>
      </c>
      <c r="CO100" s="21">
        <f>SUM(CO98:CO99)</f>
        <v>0</v>
      </c>
      <c r="CP100" s="21">
        <f>SUM(CP98:CP99)</f>
        <v>0</v>
      </c>
      <c r="CQ100" s="21">
        <f>SUM(CQ98:CQ99)</f>
        <v>0</v>
      </c>
      <c r="CR100" s="71"/>
      <c r="CS100" s="144"/>
      <c r="CT100" s="151" t="s">
        <v>14</v>
      </c>
      <c r="CU100" s="152"/>
      <c r="CV100" s="20">
        <f>SUM(CV98:CV99)</f>
        <v>23</v>
      </c>
      <c r="CW100" s="21">
        <f>SUM(CW98:CW99)</f>
        <v>2267</v>
      </c>
      <c r="CX100" s="21">
        <f>SUM(CX98:CX99)</f>
        <v>2699</v>
      </c>
      <c r="CY100" s="21">
        <f>SUM(CY98:CY99)</f>
        <v>2482</v>
      </c>
    </row>
    <row r="101" spans="1:103" ht="20.100000000000001" customHeight="1" thickBot="1" x14ac:dyDescent="0.25">
      <c r="A101" s="83"/>
      <c r="B101" s="159" t="s">
        <v>12</v>
      </c>
      <c r="C101" s="160"/>
      <c r="D101" s="22">
        <f>SUM(D97+D100)</f>
        <v>0</v>
      </c>
      <c r="E101" s="22">
        <f>SUM(E97+E100)</f>
        <v>1116</v>
      </c>
      <c r="F101" s="22">
        <f>SUM(F97+F100)</f>
        <v>1694</v>
      </c>
      <c r="G101" s="27">
        <f>SUM(G97+G100)</f>
        <v>1555</v>
      </c>
      <c r="H101" s="71"/>
      <c r="I101" s="83"/>
      <c r="J101" s="159" t="s">
        <v>12</v>
      </c>
      <c r="K101" s="160"/>
      <c r="L101" s="22">
        <f>SUM(L97+L100)</f>
        <v>0</v>
      </c>
      <c r="M101" s="22">
        <f>SUM(M97+M100)</f>
        <v>1345</v>
      </c>
      <c r="N101" s="22">
        <f>SUM(N97+N100)</f>
        <v>1363</v>
      </c>
      <c r="O101" s="27">
        <f>SUM(O97+O100)</f>
        <v>1529</v>
      </c>
      <c r="P101" s="71"/>
      <c r="Q101" s="83"/>
      <c r="R101" s="159" t="s">
        <v>12</v>
      </c>
      <c r="S101" s="160"/>
      <c r="T101" s="22">
        <f>SUM(T97+T100)</f>
        <v>28</v>
      </c>
      <c r="U101" s="22">
        <f>SUM(U97+U100)</f>
        <v>1056</v>
      </c>
      <c r="V101" s="22">
        <f>SUM(V97+V100)</f>
        <v>1498</v>
      </c>
      <c r="W101" s="27">
        <f>SUM(W97+W100)</f>
        <v>1094</v>
      </c>
      <c r="X101" s="71"/>
      <c r="Y101" s="83"/>
      <c r="Z101" s="159" t="s">
        <v>12</v>
      </c>
      <c r="AA101" s="160"/>
      <c r="AB101" s="22">
        <f>SUM(AB97+AB100)</f>
        <v>5</v>
      </c>
      <c r="AC101" s="22">
        <f>SUM(AC97+AC100)</f>
        <v>686</v>
      </c>
      <c r="AD101" s="22">
        <f>SUM(AD97+AD100)</f>
        <v>1109</v>
      </c>
      <c r="AE101" s="27">
        <f>SUM(AE97+AE100)</f>
        <v>922</v>
      </c>
      <c r="AF101" s="71"/>
      <c r="AG101" s="83"/>
      <c r="AH101" s="159" t="s">
        <v>12</v>
      </c>
      <c r="AI101" s="160"/>
      <c r="AJ101" s="22">
        <f>SUM(AJ97+AJ100)</f>
        <v>9</v>
      </c>
      <c r="AK101" s="22">
        <f>SUM(AK97+AK100)</f>
        <v>1032</v>
      </c>
      <c r="AL101" s="22">
        <f>SUM(AL97+AL100)</f>
        <v>1334</v>
      </c>
      <c r="AM101" s="27">
        <f>SUM(AM97+AM100)</f>
        <v>1445</v>
      </c>
      <c r="AN101" s="71"/>
      <c r="AO101" s="83"/>
      <c r="AP101" s="159" t="s">
        <v>12</v>
      </c>
      <c r="AQ101" s="160"/>
      <c r="AR101" s="22">
        <f>SUM(AR97+AR100)</f>
        <v>3</v>
      </c>
      <c r="AS101" s="22">
        <f>SUM(AS97+AS100)</f>
        <v>1439</v>
      </c>
      <c r="AT101" s="22">
        <f>SUM(AT97+AT100)</f>
        <v>1963</v>
      </c>
      <c r="AU101" s="27">
        <f>SUM(AU97+AU100)</f>
        <v>2004</v>
      </c>
      <c r="AV101" s="71"/>
      <c r="AW101" s="83"/>
      <c r="AX101" s="159" t="s">
        <v>12</v>
      </c>
      <c r="AY101" s="160"/>
      <c r="AZ101" s="22">
        <f>SUM(AZ97+AZ100)</f>
        <v>265</v>
      </c>
      <c r="BA101" s="22">
        <f>SUM(BA97+BA100)</f>
        <v>1002</v>
      </c>
      <c r="BB101" s="22">
        <f>SUM(BB97+BB100)</f>
        <v>1663</v>
      </c>
      <c r="BC101" s="27">
        <f>SUM(BC97+BC100)</f>
        <v>2066</v>
      </c>
      <c r="BD101" s="71"/>
      <c r="BE101" s="83"/>
      <c r="BF101" s="159" t="s">
        <v>12</v>
      </c>
      <c r="BG101" s="160"/>
      <c r="BH101" s="22">
        <f>SUM(BH97+BH100)</f>
        <v>3</v>
      </c>
      <c r="BI101" s="22">
        <f>SUM(BI97+BI100)</f>
        <v>1432</v>
      </c>
      <c r="BJ101" s="22">
        <f>SUM(BJ97+BJ100)</f>
        <v>1918</v>
      </c>
      <c r="BK101" s="27">
        <f>SUM(BK97+BK100)</f>
        <v>1996</v>
      </c>
      <c r="BL101" s="71"/>
      <c r="BM101" s="83"/>
      <c r="BN101" s="159" t="s">
        <v>12</v>
      </c>
      <c r="BO101" s="160"/>
      <c r="BP101" s="22">
        <f>SUM(BP97+BP100)</f>
        <v>62</v>
      </c>
      <c r="BQ101" s="22">
        <f>SUM(BQ97+BQ100)</f>
        <v>898</v>
      </c>
      <c r="BR101" s="22">
        <f>SUM(BR97+BR100)</f>
        <v>782</v>
      </c>
      <c r="BS101" s="27">
        <f>SUM(BS97+BS100)</f>
        <v>1046</v>
      </c>
      <c r="BT101" s="71"/>
      <c r="BU101" s="83"/>
      <c r="BV101" s="159" t="s">
        <v>12</v>
      </c>
      <c r="BW101" s="160"/>
      <c r="BX101" s="22">
        <f>SUM(BX97+BX100)</f>
        <v>5</v>
      </c>
      <c r="BY101" s="22">
        <f>SUM(BY97+BY100)</f>
        <v>1120</v>
      </c>
      <c r="BZ101" s="22">
        <f>SUM(BZ97+BZ100)</f>
        <v>1702</v>
      </c>
      <c r="CA101" s="27">
        <f>SUM(CA97+CA100)</f>
        <v>1559</v>
      </c>
      <c r="CB101" s="71"/>
      <c r="CC101" s="83"/>
      <c r="CD101" s="159" t="s">
        <v>12</v>
      </c>
      <c r="CE101" s="160"/>
      <c r="CF101" s="22">
        <f>SUM(CF97+CF100)</f>
        <v>0</v>
      </c>
      <c r="CG101" s="22">
        <f>SUM(CG97+CG100)</f>
        <v>0</v>
      </c>
      <c r="CH101" s="22">
        <f>SUM(CH97+CH100)</f>
        <v>0</v>
      </c>
      <c r="CI101" s="27">
        <f>SUM(CI97+CI100)</f>
        <v>0</v>
      </c>
      <c r="CJ101" s="71"/>
      <c r="CK101" s="83"/>
      <c r="CL101" s="159" t="s">
        <v>12</v>
      </c>
      <c r="CM101" s="160"/>
      <c r="CN101" s="22">
        <f>SUM(CN97+CN100)</f>
        <v>0</v>
      </c>
      <c r="CO101" s="22">
        <f>SUM(CO97+CO100)</f>
        <v>0</v>
      </c>
      <c r="CP101" s="22">
        <f>SUM(CP97+CP100)</f>
        <v>0</v>
      </c>
      <c r="CQ101" s="27">
        <f>SUM(CQ97+CQ100)</f>
        <v>0</v>
      </c>
      <c r="CR101" s="71"/>
      <c r="CS101" s="84"/>
      <c r="CT101" s="159" t="s">
        <v>12</v>
      </c>
      <c r="CU101" s="160"/>
      <c r="CV101" s="22">
        <f>SUM(CV97+CV100)</f>
        <v>380</v>
      </c>
      <c r="CW101" s="22">
        <f>SUM(CW97+CW100)</f>
        <v>11126</v>
      </c>
      <c r="CX101" s="22">
        <f>SUM(CX97+CX100)</f>
        <v>15026</v>
      </c>
      <c r="CY101" s="27">
        <f>SUM(CY97+CY100)</f>
        <v>15216</v>
      </c>
    </row>
    <row r="102" spans="1:103" s="75" customFormat="1" ht="20.100000000000001" customHeight="1" x14ac:dyDescent="0.25">
      <c r="A102" s="80"/>
      <c r="I102" s="80"/>
      <c r="Q102" s="80"/>
      <c r="Y102" s="80"/>
      <c r="AG102" s="80"/>
      <c r="AO102" s="80"/>
      <c r="AW102" s="80"/>
      <c r="BE102" s="80"/>
      <c r="BM102" s="80"/>
      <c r="BU102" s="80"/>
      <c r="CC102" s="80"/>
      <c r="CK102" s="80"/>
      <c r="CS102" s="81"/>
    </row>
    <row r="103" spans="1:103" ht="20.100000000000001" customHeight="1" x14ac:dyDescent="0.25">
      <c r="A103"/>
      <c r="H103" s="75"/>
    </row>
    <row r="104" spans="1:103" ht="20.100000000000001" customHeight="1" x14ac:dyDescent="0.25">
      <c r="A104"/>
      <c r="H104" s="75"/>
    </row>
    <row r="105" spans="1:103" ht="20.100000000000001" customHeight="1" x14ac:dyDescent="0.25">
      <c r="A105"/>
      <c r="H105" s="75"/>
    </row>
    <row r="106" spans="1:103" ht="20.100000000000001" customHeight="1" x14ac:dyDescent="0.25">
      <c r="A106"/>
      <c r="H106" s="75"/>
    </row>
    <row r="107" spans="1:103" ht="20.100000000000001" customHeight="1" x14ac:dyDescent="0.25">
      <c r="A107"/>
      <c r="H107" s="75"/>
    </row>
    <row r="108" spans="1:103" ht="20.100000000000001" customHeight="1" x14ac:dyDescent="0.25">
      <c r="A108"/>
      <c r="H108" s="75"/>
    </row>
    <row r="109" spans="1:103" ht="20.100000000000001" customHeight="1" x14ac:dyDescent="0.25">
      <c r="A109"/>
      <c r="H109" s="75"/>
    </row>
    <row r="110" spans="1:103" ht="20.100000000000001" customHeight="1" x14ac:dyDescent="0.25">
      <c r="A110"/>
    </row>
    <row r="111" spans="1:103" ht="20.100000000000001" customHeight="1" x14ac:dyDescent="0.25">
      <c r="A111"/>
    </row>
    <row r="112" spans="1:103" ht="20.100000000000001" customHeight="1" x14ac:dyDescent="0.25">
      <c r="A112"/>
    </row>
    <row r="113" spans="1:1" ht="20.100000000000001" customHeight="1" x14ac:dyDescent="0.25">
      <c r="A113"/>
    </row>
    <row r="114" spans="1:1" ht="20.100000000000001" customHeight="1" x14ac:dyDescent="0.25">
      <c r="A114"/>
    </row>
    <row r="115" spans="1:1" ht="20.100000000000001" customHeight="1" x14ac:dyDescent="0.25">
      <c r="A115"/>
    </row>
    <row r="116" spans="1:1" ht="20.100000000000001" customHeight="1" x14ac:dyDescent="0.25">
      <c r="A116"/>
    </row>
    <row r="117" spans="1:1" ht="20.100000000000001" customHeight="1" x14ac:dyDescent="0.25">
      <c r="A117"/>
    </row>
    <row r="118" spans="1:1" ht="20.100000000000001" customHeight="1" x14ac:dyDescent="0.25">
      <c r="A118"/>
    </row>
    <row r="119" spans="1:1" ht="20.100000000000001" customHeight="1" x14ac:dyDescent="0.25">
      <c r="A119"/>
    </row>
    <row r="120" spans="1:1" ht="20.100000000000001" customHeight="1" x14ac:dyDescent="0.25">
      <c r="A120"/>
    </row>
    <row r="121" spans="1:1" ht="20.100000000000001" customHeight="1" x14ac:dyDescent="0.25">
      <c r="A121"/>
    </row>
    <row r="122" spans="1:1" ht="20.100000000000001" customHeight="1" x14ac:dyDescent="0.25">
      <c r="A122"/>
    </row>
    <row r="123" spans="1:1" ht="20.100000000000001" customHeight="1" x14ac:dyDescent="0.25">
      <c r="A123"/>
    </row>
    <row r="124" spans="1:1" ht="20.100000000000001" customHeight="1" x14ac:dyDescent="0.25">
      <c r="A124"/>
    </row>
    <row r="125" spans="1:1" ht="20.100000000000001" customHeight="1" x14ac:dyDescent="0.25">
      <c r="A125"/>
    </row>
    <row r="126" spans="1:1" ht="20.100000000000001" customHeight="1" x14ac:dyDescent="0.25">
      <c r="A126"/>
    </row>
    <row r="127" spans="1:1" ht="20.100000000000001" customHeight="1" x14ac:dyDescent="0.25">
      <c r="A127"/>
    </row>
    <row r="128" spans="1:1" ht="20.100000000000001" customHeight="1" x14ac:dyDescent="0.25">
      <c r="A128"/>
    </row>
    <row r="129" spans="1:1" ht="20.100000000000001" customHeight="1" x14ac:dyDescent="0.25">
      <c r="A129"/>
    </row>
    <row r="130" spans="1:1" ht="20.100000000000001" customHeight="1" x14ac:dyDescent="0.25">
      <c r="A130"/>
    </row>
    <row r="131" spans="1:1" ht="20.100000000000001" customHeight="1" x14ac:dyDescent="0.25">
      <c r="A131"/>
    </row>
    <row r="132" spans="1:1" ht="20.100000000000001" customHeight="1" x14ac:dyDescent="0.25">
      <c r="A132"/>
    </row>
    <row r="133" spans="1:1" ht="20.100000000000001" customHeight="1" x14ac:dyDescent="0.25">
      <c r="A133"/>
    </row>
    <row r="134" spans="1:1" ht="20.100000000000001" customHeight="1" x14ac:dyDescent="0.25">
      <c r="A134"/>
    </row>
    <row r="135" spans="1:1" ht="20.100000000000001" customHeight="1" x14ac:dyDescent="0.25">
      <c r="A135"/>
    </row>
    <row r="136" spans="1:1" ht="20.100000000000001" customHeight="1" x14ac:dyDescent="0.25">
      <c r="A136"/>
    </row>
    <row r="137" spans="1:1" ht="20.100000000000001" customHeight="1" x14ac:dyDescent="0.25">
      <c r="A137"/>
    </row>
    <row r="138" spans="1:1" ht="20.100000000000001" customHeight="1" x14ac:dyDescent="0.25">
      <c r="A138"/>
    </row>
    <row r="139" spans="1:1" ht="20.100000000000001" customHeight="1" x14ac:dyDescent="0.25">
      <c r="A139"/>
    </row>
    <row r="140" spans="1:1" ht="20.100000000000001" customHeight="1" x14ac:dyDescent="0.25">
      <c r="A140"/>
    </row>
    <row r="141" spans="1:1" ht="20.100000000000001" customHeight="1" x14ac:dyDescent="0.25">
      <c r="A141"/>
    </row>
    <row r="142" spans="1:1" ht="20.100000000000001" customHeight="1" x14ac:dyDescent="0.25">
      <c r="A142"/>
    </row>
    <row r="143" spans="1:1" ht="20.100000000000001" customHeight="1" x14ac:dyDescent="0.25">
      <c r="A143"/>
    </row>
    <row r="144" spans="1:1" ht="20.100000000000001" customHeight="1" x14ac:dyDescent="0.25">
      <c r="A144"/>
    </row>
    <row r="145" spans="1:1" ht="20.100000000000001" customHeight="1" x14ac:dyDescent="0.25">
      <c r="A145"/>
    </row>
    <row r="146" spans="1:1" ht="20.100000000000001" customHeight="1" x14ac:dyDescent="0.25">
      <c r="A146"/>
    </row>
    <row r="147" spans="1:1" ht="20.100000000000001" customHeight="1" x14ac:dyDescent="0.25">
      <c r="A147"/>
    </row>
    <row r="148" spans="1:1" ht="20.100000000000001" customHeight="1" x14ac:dyDescent="0.25">
      <c r="A148"/>
    </row>
    <row r="149" spans="1:1" ht="20.100000000000001" customHeight="1" x14ac:dyDescent="0.25">
      <c r="A149"/>
    </row>
    <row r="150" spans="1:1" ht="20.100000000000001" customHeight="1" x14ac:dyDescent="0.25">
      <c r="A150"/>
    </row>
    <row r="151" spans="1:1" ht="20.100000000000001" customHeight="1" x14ac:dyDescent="0.25">
      <c r="A151"/>
    </row>
    <row r="152" spans="1:1" ht="20.100000000000001" customHeight="1" x14ac:dyDescent="0.25">
      <c r="A152"/>
    </row>
    <row r="153" spans="1:1" ht="20.100000000000001" customHeight="1" x14ac:dyDescent="0.25">
      <c r="A153"/>
    </row>
    <row r="154" spans="1:1" ht="20.100000000000001" customHeight="1" x14ac:dyDescent="0.25">
      <c r="A154"/>
    </row>
    <row r="155" spans="1:1" ht="20.100000000000001" customHeight="1" x14ac:dyDescent="0.25">
      <c r="A155"/>
    </row>
    <row r="156" spans="1:1" ht="20.100000000000001" customHeight="1" x14ac:dyDescent="0.25">
      <c r="A156"/>
    </row>
    <row r="157" spans="1:1" ht="20.100000000000001" customHeight="1" x14ac:dyDescent="0.25">
      <c r="A157"/>
    </row>
    <row r="158" spans="1:1" ht="20.100000000000001" customHeight="1" x14ac:dyDescent="0.25">
      <c r="A158"/>
    </row>
    <row r="159" spans="1:1" ht="20.100000000000001" customHeight="1" x14ac:dyDescent="0.25">
      <c r="A159"/>
    </row>
    <row r="160" spans="1:1" ht="20.100000000000001" customHeight="1" x14ac:dyDescent="0.25">
      <c r="A160"/>
    </row>
    <row r="161" spans="1:1" ht="20.100000000000001" customHeight="1" x14ac:dyDescent="0.25">
      <c r="A161"/>
    </row>
    <row r="162" spans="1:1" ht="20.100000000000001" customHeight="1" x14ac:dyDescent="0.25">
      <c r="A162"/>
    </row>
    <row r="163" spans="1:1" ht="20.100000000000001" customHeight="1" x14ac:dyDescent="0.25">
      <c r="A163"/>
    </row>
    <row r="164" spans="1:1" ht="20.100000000000001" customHeight="1" x14ac:dyDescent="0.25">
      <c r="A164"/>
    </row>
    <row r="165" spans="1:1" ht="20.100000000000001" customHeight="1" x14ac:dyDescent="0.25">
      <c r="A165"/>
    </row>
    <row r="166" spans="1:1" ht="20.100000000000001" customHeight="1" x14ac:dyDescent="0.25">
      <c r="A166"/>
    </row>
    <row r="167" spans="1:1" ht="20.100000000000001" customHeight="1" x14ac:dyDescent="0.25">
      <c r="A167"/>
    </row>
    <row r="168" spans="1:1" ht="20.100000000000001" customHeight="1" x14ac:dyDescent="0.25">
      <c r="A168"/>
    </row>
    <row r="169" spans="1:1" ht="20.100000000000001" customHeight="1" x14ac:dyDescent="0.25">
      <c r="A169"/>
    </row>
    <row r="170" spans="1:1" ht="20.100000000000001" customHeight="1" x14ac:dyDescent="0.25">
      <c r="A170"/>
    </row>
    <row r="171" spans="1:1" ht="20.100000000000001" customHeight="1" x14ac:dyDescent="0.25">
      <c r="A171"/>
    </row>
    <row r="172" spans="1:1" ht="20.100000000000001" customHeight="1" x14ac:dyDescent="0.25">
      <c r="A172"/>
    </row>
    <row r="173" spans="1:1" ht="20.100000000000001" customHeight="1" x14ac:dyDescent="0.25">
      <c r="A173"/>
    </row>
    <row r="174" spans="1:1" ht="20.100000000000001" customHeight="1" x14ac:dyDescent="0.25">
      <c r="A174"/>
    </row>
    <row r="175" spans="1:1" ht="20.100000000000001" customHeight="1" x14ac:dyDescent="0.25">
      <c r="A175"/>
    </row>
    <row r="176" spans="1:1" ht="20.100000000000001" customHeight="1" x14ac:dyDescent="0.25">
      <c r="A176"/>
    </row>
    <row r="177" spans="1:1" ht="20.100000000000001" customHeight="1" x14ac:dyDescent="0.25">
      <c r="A177"/>
    </row>
    <row r="178" spans="1:1" ht="20.100000000000001" customHeight="1" x14ac:dyDescent="0.25">
      <c r="A178"/>
    </row>
    <row r="179" spans="1:1" ht="20.100000000000001" customHeight="1" x14ac:dyDescent="0.25">
      <c r="A179"/>
    </row>
    <row r="180" spans="1:1" ht="20.100000000000001" customHeight="1" x14ac:dyDescent="0.25">
      <c r="A180"/>
    </row>
    <row r="181" spans="1:1" ht="20.100000000000001" customHeight="1" x14ac:dyDescent="0.25">
      <c r="A181"/>
    </row>
    <row r="182" spans="1:1" ht="20.100000000000001" customHeight="1" x14ac:dyDescent="0.25">
      <c r="A182"/>
    </row>
    <row r="183" spans="1:1" ht="20.100000000000001" customHeight="1" x14ac:dyDescent="0.25">
      <c r="A183"/>
    </row>
    <row r="184" spans="1:1" ht="20.100000000000001" customHeight="1" x14ac:dyDescent="0.25">
      <c r="A184"/>
    </row>
    <row r="185" spans="1:1" ht="20.100000000000001" customHeight="1" x14ac:dyDescent="0.25">
      <c r="A185"/>
    </row>
    <row r="186" spans="1:1" ht="20.100000000000001" customHeight="1" x14ac:dyDescent="0.25">
      <c r="A186"/>
    </row>
    <row r="187" spans="1:1" ht="20.100000000000001" customHeight="1" x14ac:dyDescent="0.25">
      <c r="A187"/>
    </row>
    <row r="188" spans="1:1" ht="20.100000000000001" customHeight="1" x14ac:dyDescent="0.25">
      <c r="A188"/>
    </row>
    <row r="189" spans="1:1" ht="20.100000000000001" customHeight="1" x14ac:dyDescent="0.25">
      <c r="A189"/>
    </row>
    <row r="190" spans="1:1" ht="20.100000000000001" customHeight="1" x14ac:dyDescent="0.25">
      <c r="A190"/>
    </row>
    <row r="191" spans="1:1" ht="20.100000000000001" customHeight="1" x14ac:dyDescent="0.25">
      <c r="A191"/>
    </row>
    <row r="192" spans="1:1" ht="20.100000000000001" customHeight="1" x14ac:dyDescent="0.25">
      <c r="A192"/>
    </row>
    <row r="193" spans="1:1" ht="20.100000000000001" customHeight="1" x14ac:dyDescent="0.25">
      <c r="A193"/>
    </row>
    <row r="194" spans="1:1" ht="20.100000000000001" customHeight="1" x14ac:dyDescent="0.25">
      <c r="A194"/>
    </row>
    <row r="195" spans="1:1" ht="20.100000000000001" customHeight="1" x14ac:dyDescent="0.25">
      <c r="A195"/>
    </row>
    <row r="196" spans="1:1" ht="20.100000000000001" customHeight="1" x14ac:dyDescent="0.25">
      <c r="A196"/>
    </row>
    <row r="197" spans="1:1" ht="20.100000000000001" customHeight="1" x14ac:dyDescent="0.25">
      <c r="A197"/>
    </row>
    <row r="198" spans="1:1" ht="20.100000000000001" customHeight="1" x14ac:dyDescent="0.25">
      <c r="A198"/>
    </row>
    <row r="199" spans="1:1" ht="20.100000000000001" customHeight="1" x14ac:dyDescent="0.25">
      <c r="A199"/>
    </row>
    <row r="200" spans="1:1" ht="20.100000000000001" customHeight="1" x14ac:dyDescent="0.25">
      <c r="A200"/>
    </row>
    <row r="201" spans="1:1" ht="20.100000000000001" customHeight="1" x14ac:dyDescent="0.25">
      <c r="A201"/>
    </row>
    <row r="202" spans="1:1" ht="20.100000000000001" customHeight="1" x14ac:dyDescent="0.25">
      <c r="A202"/>
    </row>
    <row r="203" spans="1:1" ht="20.100000000000001" customHeight="1" x14ac:dyDescent="0.25">
      <c r="A203"/>
    </row>
    <row r="204" spans="1:1" ht="20.100000000000001" customHeight="1" x14ac:dyDescent="0.25">
      <c r="A204"/>
    </row>
    <row r="205" spans="1:1" ht="20.100000000000001" customHeight="1" x14ac:dyDescent="0.25">
      <c r="A205"/>
    </row>
    <row r="206" spans="1:1" ht="20.100000000000001" customHeight="1" x14ac:dyDescent="0.25">
      <c r="A206"/>
    </row>
    <row r="207" spans="1:1" ht="20.100000000000001" customHeight="1" x14ac:dyDescent="0.25">
      <c r="A207"/>
    </row>
    <row r="208" spans="1:1" ht="20.100000000000001" customHeight="1" x14ac:dyDescent="0.25">
      <c r="A208"/>
    </row>
    <row r="209" spans="1:1" ht="20.100000000000001" customHeight="1" x14ac:dyDescent="0.25">
      <c r="A209"/>
    </row>
    <row r="210" spans="1:1" ht="20.100000000000001" customHeight="1" x14ac:dyDescent="0.25">
      <c r="A210"/>
    </row>
    <row r="211" spans="1:1" ht="20.100000000000001" customHeight="1" x14ac:dyDescent="0.25">
      <c r="A211"/>
    </row>
    <row r="212" spans="1:1" ht="20.100000000000001" customHeight="1" x14ac:dyDescent="0.25">
      <c r="A212"/>
    </row>
    <row r="213" spans="1:1" ht="20.100000000000001" customHeight="1" x14ac:dyDescent="0.25">
      <c r="A213"/>
    </row>
    <row r="214" spans="1:1" ht="20.100000000000001" customHeight="1" x14ac:dyDescent="0.25">
      <c r="A214"/>
    </row>
    <row r="215" spans="1:1" ht="20.100000000000001" customHeight="1" x14ac:dyDescent="0.25">
      <c r="A215"/>
    </row>
    <row r="216" spans="1:1" ht="20.100000000000001" customHeight="1" x14ac:dyDescent="0.25">
      <c r="A216"/>
    </row>
    <row r="217" spans="1:1" ht="20.100000000000001" customHeight="1" x14ac:dyDescent="0.25">
      <c r="A217"/>
    </row>
    <row r="218" spans="1:1" ht="20.100000000000001" customHeight="1" x14ac:dyDescent="0.25">
      <c r="A218"/>
    </row>
    <row r="219" spans="1:1" ht="20.100000000000001" customHeight="1" x14ac:dyDescent="0.25">
      <c r="A219"/>
    </row>
    <row r="220" spans="1:1" ht="20.100000000000001" customHeight="1" x14ac:dyDescent="0.25">
      <c r="A220"/>
    </row>
    <row r="221" spans="1:1" ht="20.100000000000001" customHeight="1" x14ac:dyDescent="0.25">
      <c r="A221"/>
    </row>
    <row r="222" spans="1:1" ht="20.100000000000001" customHeight="1" x14ac:dyDescent="0.25">
      <c r="A222"/>
    </row>
    <row r="223" spans="1:1" ht="20.100000000000001" customHeight="1" x14ac:dyDescent="0.25">
      <c r="A223"/>
    </row>
    <row r="224" spans="1:1" ht="20.100000000000001" customHeight="1" x14ac:dyDescent="0.25">
      <c r="A224"/>
    </row>
    <row r="225" spans="1:1" ht="20.100000000000001" customHeight="1" x14ac:dyDescent="0.25">
      <c r="A225"/>
    </row>
    <row r="226" spans="1:1" ht="20.100000000000001" customHeight="1" x14ac:dyDescent="0.25">
      <c r="A226"/>
    </row>
    <row r="227" spans="1:1" ht="20.100000000000001" customHeight="1" x14ac:dyDescent="0.25">
      <c r="A227"/>
    </row>
    <row r="228" spans="1:1" ht="20.100000000000001" customHeight="1" x14ac:dyDescent="0.25">
      <c r="A228"/>
    </row>
    <row r="229" spans="1:1" ht="20.100000000000001" customHeight="1" x14ac:dyDescent="0.25">
      <c r="A229"/>
    </row>
    <row r="230" spans="1:1" ht="20.100000000000001" customHeight="1" x14ac:dyDescent="0.25">
      <c r="A230"/>
    </row>
    <row r="231" spans="1:1" ht="20.100000000000001" customHeight="1" x14ac:dyDescent="0.25">
      <c r="A231"/>
    </row>
    <row r="232" spans="1:1" ht="20.100000000000001" customHeight="1" x14ac:dyDescent="0.25">
      <c r="A232"/>
    </row>
    <row r="233" spans="1:1" ht="20.100000000000001" customHeight="1" x14ac:dyDescent="0.25">
      <c r="A233"/>
    </row>
    <row r="234" spans="1:1" ht="20.100000000000001" customHeight="1" x14ac:dyDescent="0.25">
      <c r="A234"/>
    </row>
    <row r="235" spans="1:1" ht="20.100000000000001" customHeight="1" x14ac:dyDescent="0.25">
      <c r="A235"/>
    </row>
    <row r="236" spans="1:1" ht="20.100000000000001" customHeight="1" x14ac:dyDescent="0.25">
      <c r="A236"/>
    </row>
    <row r="237" spans="1:1" ht="20.100000000000001" customHeight="1" x14ac:dyDescent="0.25">
      <c r="A237"/>
    </row>
    <row r="238" spans="1:1" ht="20.100000000000001" customHeight="1" x14ac:dyDescent="0.25">
      <c r="A238"/>
    </row>
    <row r="239" spans="1:1" ht="20.100000000000001" customHeight="1" x14ac:dyDescent="0.25">
      <c r="A239"/>
    </row>
    <row r="240" spans="1:1" ht="20.100000000000001" customHeight="1" x14ac:dyDescent="0.25">
      <c r="A240"/>
    </row>
    <row r="241" spans="1:1" ht="20.100000000000001" customHeight="1" x14ac:dyDescent="0.25">
      <c r="A241"/>
    </row>
    <row r="242" spans="1:1" ht="20.100000000000001" customHeight="1" x14ac:dyDescent="0.25">
      <c r="A242"/>
    </row>
    <row r="243" spans="1:1" ht="20.100000000000001" customHeight="1" x14ac:dyDescent="0.25">
      <c r="A243"/>
    </row>
    <row r="244" spans="1:1" ht="20.100000000000001" customHeight="1" x14ac:dyDescent="0.25">
      <c r="A244"/>
    </row>
    <row r="245" spans="1:1" ht="20.100000000000001" customHeight="1" x14ac:dyDescent="0.25">
      <c r="A245"/>
    </row>
    <row r="246" spans="1:1" ht="20.100000000000001" customHeight="1" x14ac:dyDescent="0.25">
      <c r="A246"/>
    </row>
    <row r="247" spans="1:1" ht="20.100000000000001" customHeight="1" x14ac:dyDescent="0.25">
      <c r="A247"/>
    </row>
    <row r="248" spans="1:1" ht="20.100000000000001" customHeight="1" x14ac:dyDescent="0.25">
      <c r="A248"/>
    </row>
    <row r="249" spans="1:1" ht="20.100000000000001" customHeight="1" x14ac:dyDescent="0.25">
      <c r="A249"/>
    </row>
    <row r="250" spans="1:1" ht="20.100000000000001" customHeight="1" x14ac:dyDescent="0.25">
      <c r="A250"/>
    </row>
    <row r="251" spans="1:1" ht="20.100000000000001" customHeight="1" x14ac:dyDescent="0.25">
      <c r="A251"/>
    </row>
    <row r="252" spans="1:1" ht="20.100000000000001" customHeight="1" x14ac:dyDescent="0.25">
      <c r="A252"/>
    </row>
    <row r="253" spans="1:1" ht="20.100000000000001" customHeight="1" x14ac:dyDescent="0.25">
      <c r="A253"/>
    </row>
    <row r="254" spans="1:1" ht="20.100000000000001" customHeight="1" x14ac:dyDescent="0.25">
      <c r="A254"/>
    </row>
    <row r="255" spans="1:1" ht="20.100000000000001" customHeight="1" x14ac:dyDescent="0.25">
      <c r="A255"/>
    </row>
    <row r="256" spans="1:1" ht="20.100000000000001" customHeight="1" x14ac:dyDescent="0.25">
      <c r="A256"/>
    </row>
    <row r="257" spans="1:1" ht="20.100000000000001" customHeight="1" x14ac:dyDescent="0.25">
      <c r="A257"/>
    </row>
    <row r="258" spans="1:1" ht="20.100000000000001" customHeight="1" x14ac:dyDescent="0.25">
      <c r="A258"/>
    </row>
    <row r="259" spans="1:1" ht="20.100000000000001" customHeight="1" x14ac:dyDescent="0.25">
      <c r="A259"/>
    </row>
    <row r="260" spans="1:1" ht="20.100000000000001" customHeight="1" x14ac:dyDescent="0.25">
      <c r="A260"/>
    </row>
    <row r="261" spans="1:1" ht="20.100000000000001" customHeight="1" x14ac:dyDescent="0.25">
      <c r="A261"/>
    </row>
    <row r="262" spans="1:1" ht="20.100000000000001" customHeight="1" x14ac:dyDescent="0.25">
      <c r="A262"/>
    </row>
    <row r="263" spans="1:1" ht="20.100000000000001" customHeight="1" x14ac:dyDescent="0.25">
      <c r="A263"/>
    </row>
    <row r="264" spans="1:1" ht="20.100000000000001" customHeight="1" x14ac:dyDescent="0.25">
      <c r="A264"/>
    </row>
    <row r="265" spans="1:1" ht="20.100000000000001" customHeight="1" x14ac:dyDescent="0.25">
      <c r="A265"/>
    </row>
    <row r="266" spans="1:1" ht="20.100000000000001" customHeight="1" x14ac:dyDescent="0.25">
      <c r="A266"/>
    </row>
    <row r="267" spans="1:1" ht="20.100000000000001" customHeight="1" x14ac:dyDescent="0.25">
      <c r="A267"/>
    </row>
    <row r="268" spans="1:1" ht="20.100000000000001" customHeight="1" x14ac:dyDescent="0.25">
      <c r="A268"/>
    </row>
    <row r="269" spans="1:1" ht="20.100000000000001" customHeight="1" x14ac:dyDescent="0.25">
      <c r="A269"/>
    </row>
    <row r="270" spans="1:1" ht="20.100000000000001" customHeight="1" x14ac:dyDescent="0.25">
      <c r="A270"/>
    </row>
    <row r="271" spans="1:1" ht="20.100000000000001" customHeight="1" x14ac:dyDescent="0.25">
      <c r="A271"/>
    </row>
    <row r="272" spans="1:1" ht="20.100000000000001" customHeight="1" x14ac:dyDescent="0.25">
      <c r="A272"/>
    </row>
    <row r="273" spans="1:1" ht="20.100000000000001" customHeight="1" x14ac:dyDescent="0.25">
      <c r="A273"/>
    </row>
    <row r="274" spans="1:1" ht="20.100000000000001" customHeight="1" x14ac:dyDescent="0.25">
      <c r="A274"/>
    </row>
    <row r="275" spans="1:1" ht="20.100000000000001" customHeight="1" x14ac:dyDescent="0.25">
      <c r="A275"/>
    </row>
    <row r="276" spans="1:1" ht="20.100000000000001" customHeight="1" x14ac:dyDescent="0.25">
      <c r="A276"/>
    </row>
    <row r="277" spans="1:1" ht="20.100000000000001" customHeight="1" x14ac:dyDescent="0.25">
      <c r="A277"/>
    </row>
    <row r="278" spans="1:1" ht="20.100000000000001" customHeight="1" x14ac:dyDescent="0.25">
      <c r="A278"/>
    </row>
    <row r="279" spans="1:1" ht="20.100000000000001" customHeight="1" x14ac:dyDescent="0.25">
      <c r="A279"/>
    </row>
    <row r="280" spans="1:1" ht="20.100000000000001" customHeight="1" x14ac:dyDescent="0.25">
      <c r="A280"/>
    </row>
    <row r="281" spans="1:1" ht="20.100000000000001" customHeight="1" x14ac:dyDescent="0.25">
      <c r="A281"/>
    </row>
    <row r="282" spans="1:1" ht="20.100000000000001" customHeight="1" x14ac:dyDescent="0.25">
      <c r="A282"/>
    </row>
    <row r="283" spans="1:1" ht="20.100000000000001" customHeight="1" x14ac:dyDescent="0.25">
      <c r="A283"/>
    </row>
    <row r="284" spans="1:1" ht="20.100000000000001" customHeight="1" x14ac:dyDescent="0.25">
      <c r="A284"/>
    </row>
    <row r="285" spans="1:1" ht="20.100000000000001" customHeight="1" x14ac:dyDescent="0.25">
      <c r="A285"/>
    </row>
    <row r="286" spans="1:1" ht="20.100000000000001" customHeight="1" x14ac:dyDescent="0.25">
      <c r="A286"/>
    </row>
    <row r="287" spans="1:1" ht="20.100000000000001" customHeight="1" x14ac:dyDescent="0.25">
      <c r="A287"/>
    </row>
    <row r="288" spans="1:1" ht="20.100000000000001" customHeight="1" x14ac:dyDescent="0.25">
      <c r="A288"/>
    </row>
    <row r="289" spans="1:1" ht="20.100000000000001" customHeight="1" x14ac:dyDescent="0.25">
      <c r="A289"/>
    </row>
    <row r="290" spans="1:1" ht="20.100000000000001" customHeight="1" x14ac:dyDescent="0.25">
      <c r="A290"/>
    </row>
    <row r="291" spans="1:1" ht="20.100000000000001" customHeight="1" x14ac:dyDescent="0.25">
      <c r="A291"/>
    </row>
    <row r="292" spans="1:1" ht="20.100000000000001" customHeight="1" x14ac:dyDescent="0.25">
      <c r="A292"/>
    </row>
    <row r="293" spans="1:1" ht="20.100000000000001" customHeight="1" x14ac:dyDescent="0.25">
      <c r="A293"/>
    </row>
    <row r="294" spans="1:1" ht="20.100000000000001" customHeight="1" x14ac:dyDescent="0.25">
      <c r="A294"/>
    </row>
    <row r="295" spans="1:1" ht="20.100000000000001" customHeight="1" x14ac:dyDescent="0.25">
      <c r="A295"/>
    </row>
    <row r="296" spans="1:1" ht="20.100000000000001" customHeight="1" x14ac:dyDescent="0.25">
      <c r="A296"/>
    </row>
    <row r="297" spans="1:1" ht="20.100000000000001" customHeight="1" x14ac:dyDescent="0.25">
      <c r="A297"/>
    </row>
    <row r="298" spans="1:1" ht="20.100000000000001" customHeight="1" x14ac:dyDescent="0.25">
      <c r="A298"/>
    </row>
    <row r="299" spans="1:1" ht="20.100000000000001" customHeight="1" x14ac:dyDescent="0.25">
      <c r="A299"/>
    </row>
    <row r="300" spans="1:1" ht="20.100000000000001" customHeight="1" x14ac:dyDescent="0.25">
      <c r="A300"/>
    </row>
    <row r="301" spans="1:1" ht="20.100000000000001" customHeight="1" x14ac:dyDescent="0.25">
      <c r="A301"/>
    </row>
    <row r="302" spans="1:1" ht="20.100000000000001" customHeight="1" x14ac:dyDescent="0.25">
      <c r="A302"/>
    </row>
    <row r="303" spans="1:1" ht="20.100000000000001" customHeight="1" x14ac:dyDescent="0.25">
      <c r="A303"/>
    </row>
    <row r="304" spans="1:1" ht="20.100000000000001" customHeight="1" x14ac:dyDescent="0.25">
      <c r="A304"/>
    </row>
    <row r="305" spans="1:1" ht="20.100000000000001" customHeight="1" x14ac:dyDescent="0.25">
      <c r="A305"/>
    </row>
    <row r="306" spans="1:1" ht="20.100000000000001" customHeight="1" x14ac:dyDescent="0.25">
      <c r="A306"/>
    </row>
    <row r="307" spans="1:1" ht="20.100000000000001" customHeight="1" x14ac:dyDescent="0.25">
      <c r="A307"/>
    </row>
    <row r="308" spans="1:1" ht="20.100000000000001" customHeight="1" x14ac:dyDescent="0.25">
      <c r="A308"/>
    </row>
    <row r="309" spans="1:1" ht="20.100000000000001" customHeight="1" x14ac:dyDescent="0.25">
      <c r="A309"/>
    </row>
    <row r="310" spans="1:1" ht="20.100000000000001" customHeight="1" x14ac:dyDescent="0.25">
      <c r="A310"/>
    </row>
    <row r="311" spans="1:1" ht="20.100000000000001" customHeight="1" x14ac:dyDescent="0.25">
      <c r="A311"/>
    </row>
    <row r="312" spans="1:1" ht="20.100000000000001" customHeight="1" x14ac:dyDescent="0.25">
      <c r="A312"/>
    </row>
    <row r="313" spans="1:1" ht="20.100000000000001" customHeight="1" x14ac:dyDescent="0.25">
      <c r="A313"/>
    </row>
    <row r="314" spans="1:1" ht="20.100000000000001" customHeight="1" x14ac:dyDescent="0.25">
      <c r="A314"/>
    </row>
    <row r="315" spans="1:1" ht="20.100000000000001" customHeight="1" x14ac:dyDescent="0.25">
      <c r="A315"/>
    </row>
    <row r="316" spans="1:1" ht="20.100000000000001" customHeight="1" x14ac:dyDescent="0.25">
      <c r="A316"/>
    </row>
    <row r="317" spans="1:1" ht="20.100000000000001" customHeight="1" x14ac:dyDescent="0.25">
      <c r="A317"/>
    </row>
    <row r="318" spans="1:1" ht="20.100000000000001" customHeight="1" x14ac:dyDescent="0.25">
      <c r="A318"/>
    </row>
    <row r="319" spans="1:1" ht="20.100000000000001" customHeight="1" x14ac:dyDescent="0.25">
      <c r="A319"/>
    </row>
    <row r="320" spans="1:1" ht="20.100000000000001" customHeight="1" x14ac:dyDescent="0.25">
      <c r="A320"/>
    </row>
    <row r="321" spans="1:1" ht="20.100000000000001" customHeight="1" x14ac:dyDescent="0.25">
      <c r="A321"/>
    </row>
    <row r="322" spans="1:1" ht="20.100000000000001" customHeight="1" x14ac:dyDescent="0.25">
      <c r="A322"/>
    </row>
    <row r="323" spans="1:1" ht="20.100000000000001" customHeight="1" x14ac:dyDescent="0.25">
      <c r="A323"/>
    </row>
    <row r="324" spans="1:1" ht="20.100000000000001" customHeight="1" x14ac:dyDescent="0.25">
      <c r="A324"/>
    </row>
    <row r="325" spans="1:1" ht="20.100000000000001" customHeight="1" x14ac:dyDescent="0.25">
      <c r="A325"/>
    </row>
    <row r="326" spans="1:1" ht="20.100000000000001" customHeight="1" x14ac:dyDescent="0.25">
      <c r="A326"/>
    </row>
    <row r="327" spans="1:1" ht="20.100000000000001" customHeight="1" x14ac:dyDescent="0.25">
      <c r="A327"/>
    </row>
    <row r="328" spans="1:1" ht="20.100000000000001" customHeight="1" x14ac:dyDescent="0.25">
      <c r="A328"/>
    </row>
    <row r="329" spans="1:1" ht="20.100000000000001" customHeight="1" x14ac:dyDescent="0.25">
      <c r="A329"/>
    </row>
    <row r="330" spans="1:1" ht="20.100000000000001" customHeight="1" x14ac:dyDescent="0.25">
      <c r="A330"/>
    </row>
    <row r="331" spans="1:1" ht="20.100000000000001" customHeight="1" x14ac:dyDescent="0.25">
      <c r="A331"/>
    </row>
    <row r="332" spans="1:1" ht="20.100000000000001" customHeight="1" x14ac:dyDescent="0.25">
      <c r="A332"/>
    </row>
    <row r="333" spans="1:1" ht="20.100000000000001" customHeight="1" x14ac:dyDescent="0.25">
      <c r="A333"/>
    </row>
    <row r="334" spans="1:1" ht="20.100000000000001" customHeight="1" x14ac:dyDescent="0.25">
      <c r="A334"/>
    </row>
    <row r="335" spans="1:1" ht="20.100000000000001" customHeight="1" x14ac:dyDescent="0.25">
      <c r="A335"/>
    </row>
    <row r="336" spans="1:1" ht="20.100000000000001" customHeight="1" x14ac:dyDescent="0.25">
      <c r="A336"/>
    </row>
    <row r="337" spans="1:1" ht="20.100000000000001" customHeight="1" x14ac:dyDescent="0.25">
      <c r="A337"/>
    </row>
    <row r="338" spans="1:1" ht="20.100000000000001" customHeight="1" x14ac:dyDescent="0.25">
      <c r="A338"/>
    </row>
    <row r="339" spans="1:1" ht="20.100000000000001" customHeight="1" x14ac:dyDescent="0.25">
      <c r="A339"/>
    </row>
    <row r="340" spans="1:1" ht="20.100000000000001" customHeight="1" x14ac:dyDescent="0.25">
      <c r="A340"/>
    </row>
    <row r="341" spans="1:1" ht="20.100000000000001" customHeight="1" x14ac:dyDescent="0.25">
      <c r="A341"/>
    </row>
    <row r="342" spans="1:1" ht="20.100000000000001" customHeight="1" x14ac:dyDescent="0.25">
      <c r="A342"/>
    </row>
    <row r="343" spans="1:1" ht="20.100000000000001" customHeight="1" x14ac:dyDescent="0.25">
      <c r="A343"/>
    </row>
    <row r="344" spans="1:1" ht="20.100000000000001" customHeight="1" x14ac:dyDescent="0.25">
      <c r="A344"/>
    </row>
    <row r="345" spans="1:1" ht="20.100000000000001" customHeight="1" x14ac:dyDescent="0.25">
      <c r="A345"/>
    </row>
    <row r="346" spans="1:1" ht="20.100000000000001" customHeight="1" x14ac:dyDescent="0.25">
      <c r="A346"/>
    </row>
    <row r="347" spans="1:1" ht="20.100000000000001" customHeight="1" x14ac:dyDescent="0.25">
      <c r="A347"/>
    </row>
    <row r="348" spans="1:1" ht="20.100000000000001" customHeight="1" x14ac:dyDescent="0.25">
      <c r="A348"/>
    </row>
    <row r="349" spans="1:1" ht="20.100000000000001" customHeight="1" x14ac:dyDescent="0.25">
      <c r="A349"/>
    </row>
    <row r="350" spans="1:1" ht="20.100000000000001" customHeight="1" x14ac:dyDescent="0.25">
      <c r="A350"/>
    </row>
    <row r="351" spans="1:1" ht="20.100000000000001" customHeight="1" x14ac:dyDescent="0.25">
      <c r="A351"/>
    </row>
    <row r="352" spans="1:1" ht="20.100000000000001" customHeight="1" x14ac:dyDescent="0.25">
      <c r="A352"/>
    </row>
    <row r="353" spans="1:1" ht="20.100000000000001" customHeight="1" x14ac:dyDescent="0.25">
      <c r="A353"/>
    </row>
    <row r="354" spans="1:1" ht="20.100000000000001" customHeight="1" x14ac:dyDescent="0.25">
      <c r="A354"/>
    </row>
    <row r="355" spans="1:1" ht="20.100000000000001" customHeight="1" x14ac:dyDescent="0.25">
      <c r="A355"/>
    </row>
    <row r="356" spans="1:1" ht="20.100000000000001" customHeight="1" x14ac:dyDescent="0.25">
      <c r="A356"/>
    </row>
    <row r="357" spans="1:1" ht="20.100000000000001" customHeight="1" x14ac:dyDescent="0.25">
      <c r="A357"/>
    </row>
    <row r="358" spans="1:1" ht="20.100000000000001" customHeight="1" x14ac:dyDescent="0.25">
      <c r="A358"/>
    </row>
    <row r="359" spans="1:1" ht="20.100000000000001" customHeight="1" x14ac:dyDescent="0.25">
      <c r="A359"/>
    </row>
    <row r="360" spans="1:1" ht="20.100000000000001" customHeight="1" x14ac:dyDescent="0.25">
      <c r="A360"/>
    </row>
    <row r="361" spans="1:1" ht="20.100000000000001" customHeight="1" x14ac:dyDescent="0.25">
      <c r="A361"/>
    </row>
    <row r="362" spans="1:1" ht="20.100000000000001" customHeight="1" x14ac:dyDescent="0.25">
      <c r="A362"/>
    </row>
    <row r="363" spans="1:1" ht="20.100000000000001" customHeight="1" x14ac:dyDescent="0.25">
      <c r="A363"/>
    </row>
    <row r="364" spans="1:1" ht="20.100000000000001" customHeight="1" x14ac:dyDescent="0.25">
      <c r="A364"/>
    </row>
    <row r="365" spans="1:1" ht="20.100000000000001" customHeight="1" x14ac:dyDescent="0.25">
      <c r="A365"/>
    </row>
    <row r="366" spans="1:1" ht="20.100000000000001" customHeight="1" x14ac:dyDescent="0.25">
      <c r="A366"/>
    </row>
    <row r="367" spans="1:1" ht="20.100000000000001" customHeight="1" x14ac:dyDescent="0.25">
      <c r="A367"/>
    </row>
    <row r="368" spans="1:1" ht="20.100000000000001" customHeight="1" x14ac:dyDescent="0.25">
      <c r="A368"/>
    </row>
    <row r="369" spans="1:1" ht="20.100000000000001" customHeight="1" x14ac:dyDescent="0.25">
      <c r="A369"/>
    </row>
    <row r="370" spans="1:1" ht="20.100000000000001" customHeight="1" x14ac:dyDescent="0.25">
      <c r="A370"/>
    </row>
    <row r="371" spans="1:1" ht="20.100000000000001" customHeight="1" x14ac:dyDescent="0.25">
      <c r="A371"/>
    </row>
    <row r="372" spans="1:1" ht="20.100000000000001" customHeight="1" x14ac:dyDescent="0.25">
      <c r="A372"/>
    </row>
    <row r="373" spans="1:1" ht="20.100000000000001" customHeight="1" x14ac:dyDescent="0.25">
      <c r="A373"/>
    </row>
    <row r="374" spans="1:1" ht="20.100000000000001" customHeight="1" x14ac:dyDescent="0.25">
      <c r="A374"/>
    </row>
    <row r="375" spans="1:1" ht="20.100000000000001" customHeight="1" x14ac:dyDescent="0.25">
      <c r="A375"/>
    </row>
    <row r="376" spans="1:1" ht="20.100000000000001" customHeight="1" x14ac:dyDescent="0.25">
      <c r="A376"/>
    </row>
    <row r="377" spans="1:1" ht="20.100000000000001" customHeight="1" x14ac:dyDescent="0.25">
      <c r="A377"/>
    </row>
    <row r="378" spans="1:1" ht="20.100000000000001" customHeight="1" x14ac:dyDescent="0.25">
      <c r="A378"/>
    </row>
    <row r="379" spans="1:1" ht="20.100000000000001" customHeight="1" x14ac:dyDescent="0.25">
      <c r="A379"/>
    </row>
    <row r="380" spans="1:1" ht="20.100000000000001" customHeight="1" x14ac:dyDescent="0.25">
      <c r="A380"/>
    </row>
    <row r="381" spans="1:1" ht="20.100000000000001" customHeight="1" x14ac:dyDescent="0.25">
      <c r="A381"/>
    </row>
    <row r="382" spans="1:1" ht="20.100000000000001" customHeight="1" x14ac:dyDescent="0.25">
      <c r="A382"/>
    </row>
    <row r="383" spans="1:1" ht="20.100000000000001" customHeight="1" x14ac:dyDescent="0.25">
      <c r="A383"/>
    </row>
    <row r="384" spans="1:1" ht="20.100000000000001" customHeight="1" x14ac:dyDescent="0.25">
      <c r="A384"/>
    </row>
    <row r="385" spans="1:1" ht="20.100000000000001" customHeight="1" x14ac:dyDescent="0.25">
      <c r="A385"/>
    </row>
    <row r="386" spans="1:1" ht="20.100000000000001" customHeight="1" x14ac:dyDescent="0.25">
      <c r="A386"/>
    </row>
    <row r="387" spans="1:1" ht="20.100000000000001" customHeight="1" x14ac:dyDescent="0.25">
      <c r="A387"/>
    </row>
    <row r="388" spans="1:1" ht="20.100000000000001" customHeight="1" x14ac:dyDescent="0.25">
      <c r="A388"/>
    </row>
    <row r="389" spans="1:1" ht="20.100000000000001" customHeight="1" x14ac:dyDescent="0.25">
      <c r="A389"/>
    </row>
    <row r="390" spans="1:1" ht="20.100000000000001" customHeight="1" x14ac:dyDescent="0.25">
      <c r="A390"/>
    </row>
    <row r="391" spans="1:1" ht="20.100000000000001" customHeight="1" x14ac:dyDescent="0.25">
      <c r="A391"/>
    </row>
    <row r="392" spans="1:1" ht="20.100000000000001" customHeight="1" x14ac:dyDescent="0.25">
      <c r="A392"/>
    </row>
    <row r="393" spans="1:1" ht="20.100000000000001" customHeight="1" x14ac:dyDescent="0.25">
      <c r="A393"/>
    </row>
    <row r="394" spans="1:1" ht="20.100000000000001" customHeight="1" x14ac:dyDescent="0.25">
      <c r="A394"/>
    </row>
    <row r="395" spans="1:1" ht="20.100000000000001" customHeight="1" x14ac:dyDescent="0.25">
      <c r="A395"/>
    </row>
    <row r="396" spans="1:1" ht="20.100000000000001" customHeight="1" x14ac:dyDescent="0.25">
      <c r="A396"/>
    </row>
    <row r="397" spans="1:1" ht="20.100000000000001" customHeight="1" x14ac:dyDescent="0.25">
      <c r="A397"/>
    </row>
    <row r="398" spans="1:1" ht="20.100000000000001" customHeight="1" x14ac:dyDescent="0.25">
      <c r="A398"/>
    </row>
    <row r="399" spans="1:1" ht="20.100000000000001" customHeight="1" x14ac:dyDescent="0.25">
      <c r="A399"/>
    </row>
    <row r="400" spans="1:1" ht="20.100000000000001" customHeight="1" x14ac:dyDescent="0.25">
      <c r="A400"/>
    </row>
    <row r="401" spans="1:1" ht="20.100000000000001" customHeight="1" x14ac:dyDescent="0.25">
      <c r="A401"/>
    </row>
    <row r="402" spans="1:1" ht="20.100000000000001" customHeight="1" x14ac:dyDescent="0.25">
      <c r="A402"/>
    </row>
    <row r="403" spans="1:1" ht="20.100000000000001" customHeight="1" x14ac:dyDescent="0.25">
      <c r="A403"/>
    </row>
    <row r="404" spans="1:1" ht="20.100000000000001" customHeight="1" x14ac:dyDescent="0.25">
      <c r="A404"/>
    </row>
    <row r="405" spans="1:1" ht="20.100000000000001" customHeight="1" x14ac:dyDescent="0.25">
      <c r="A405"/>
    </row>
    <row r="406" spans="1:1" ht="20.100000000000001" customHeight="1" x14ac:dyDescent="0.25">
      <c r="A406"/>
    </row>
    <row r="407" spans="1:1" ht="20.100000000000001" customHeight="1" x14ac:dyDescent="0.25">
      <c r="A407"/>
    </row>
    <row r="408" spans="1:1" ht="20.100000000000001" customHeight="1" x14ac:dyDescent="0.25">
      <c r="A408"/>
    </row>
    <row r="409" spans="1:1" ht="20.100000000000001" customHeight="1" x14ac:dyDescent="0.25">
      <c r="A409"/>
    </row>
    <row r="410" spans="1:1" ht="20.100000000000001" customHeight="1" x14ac:dyDescent="0.25">
      <c r="A410"/>
    </row>
    <row r="411" spans="1:1" ht="20.100000000000001" customHeight="1" x14ac:dyDescent="0.25">
      <c r="A411"/>
    </row>
    <row r="412" spans="1:1" ht="20.100000000000001" customHeight="1" x14ac:dyDescent="0.25">
      <c r="A412"/>
    </row>
    <row r="413" spans="1:1" ht="20.100000000000001" customHeight="1" x14ac:dyDescent="0.25">
      <c r="A413"/>
    </row>
    <row r="414" spans="1:1" ht="20.100000000000001" customHeight="1" x14ac:dyDescent="0.25">
      <c r="A414"/>
    </row>
    <row r="415" spans="1:1" ht="20.100000000000001" customHeight="1" x14ac:dyDescent="0.25">
      <c r="A415"/>
    </row>
    <row r="416" spans="1:1" ht="20.100000000000001" customHeight="1" x14ac:dyDescent="0.25">
      <c r="A416"/>
    </row>
    <row r="417" spans="1:1" ht="20.100000000000001" customHeight="1" x14ac:dyDescent="0.25">
      <c r="A417"/>
    </row>
    <row r="418" spans="1:1" ht="20.100000000000001" customHeight="1" x14ac:dyDescent="0.25">
      <c r="A418"/>
    </row>
    <row r="419" spans="1:1" ht="20.100000000000001" customHeight="1" x14ac:dyDescent="0.25">
      <c r="A419"/>
    </row>
    <row r="420" spans="1:1" ht="20.100000000000001" customHeight="1" x14ac:dyDescent="0.25">
      <c r="A420"/>
    </row>
    <row r="421" spans="1:1" ht="20.100000000000001" customHeight="1" x14ac:dyDescent="0.25">
      <c r="A421"/>
    </row>
    <row r="422" spans="1:1" ht="20.100000000000001" customHeight="1" x14ac:dyDescent="0.25">
      <c r="A422"/>
    </row>
    <row r="423" spans="1:1" ht="20.100000000000001" customHeight="1" x14ac:dyDescent="0.25">
      <c r="A423"/>
    </row>
    <row r="424" spans="1:1" ht="20.100000000000001" customHeight="1" x14ac:dyDescent="0.25">
      <c r="A424"/>
    </row>
    <row r="425" spans="1:1" ht="20.100000000000001" customHeight="1" x14ac:dyDescent="0.25">
      <c r="A425"/>
    </row>
    <row r="426" spans="1:1" ht="20.100000000000001" customHeight="1" x14ac:dyDescent="0.25">
      <c r="A426"/>
    </row>
    <row r="427" spans="1:1" ht="20.100000000000001" customHeight="1" x14ac:dyDescent="0.25">
      <c r="A427"/>
    </row>
    <row r="428" spans="1:1" ht="20.100000000000001" customHeight="1" x14ac:dyDescent="0.25">
      <c r="A428"/>
    </row>
    <row r="429" spans="1:1" ht="20.100000000000001" customHeight="1" x14ac:dyDescent="0.25">
      <c r="A429"/>
    </row>
    <row r="430" spans="1:1" ht="20.100000000000001" customHeight="1" x14ac:dyDescent="0.25">
      <c r="A430"/>
    </row>
    <row r="431" spans="1:1" ht="20.100000000000001" customHeight="1" x14ac:dyDescent="0.25">
      <c r="A431"/>
    </row>
    <row r="432" spans="1:1" ht="20.100000000000001" customHeight="1" x14ac:dyDescent="0.25">
      <c r="A432"/>
    </row>
    <row r="433" spans="1:1" ht="20.100000000000001" customHeight="1" x14ac:dyDescent="0.25">
      <c r="A433"/>
    </row>
    <row r="434" spans="1:1" ht="20.100000000000001" customHeight="1" x14ac:dyDescent="0.25">
      <c r="A434"/>
    </row>
    <row r="435" spans="1:1" ht="20.100000000000001" customHeight="1" x14ac:dyDescent="0.25">
      <c r="A435"/>
    </row>
    <row r="436" spans="1:1" ht="20.100000000000001" customHeight="1" x14ac:dyDescent="0.25">
      <c r="A436"/>
    </row>
    <row r="437" spans="1:1" ht="20.100000000000001" customHeight="1" x14ac:dyDescent="0.25">
      <c r="A437"/>
    </row>
    <row r="438" spans="1:1" ht="20.100000000000001" customHeight="1" x14ac:dyDescent="0.25">
      <c r="A438"/>
    </row>
    <row r="439" spans="1:1" ht="20.100000000000001" customHeight="1" x14ac:dyDescent="0.25">
      <c r="A439"/>
    </row>
    <row r="440" spans="1:1" ht="20.100000000000001" customHeight="1" x14ac:dyDescent="0.25">
      <c r="A440"/>
    </row>
    <row r="441" spans="1:1" ht="20.100000000000001" customHeight="1" x14ac:dyDescent="0.25">
      <c r="A441"/>
    </row>
    <row r="442" spans="1:1" ht="20.100000000000001" customHeight="1" x14ac:dyDescent="0.25">
      <c r="A442"/>
    </row>
    <row r="443" spans="1:1" ht="20.100000000000001" customHeight="1" x14ac:dyDescent="0.25">
      <c r="A443"/>
    </row>
  </sheetData>
  <mergeCells count="1234">
    <mergeCell ref="B89:C89"/>
    <mergeCell ref="J89:K89"/>
    <mergeCell ref="R89:S89"/>
    <mergeCell ref="Z89:AA89"/>
    <mergeCell ref="AH89:AI89"/>
    <mergeCell ref="AP89:AQ89"/>
    <mergeCell ref="AX89:AY89"/>
    <mergeCell ref="BF89:BG89"/>
    <mergeCell ref="BN89:BO89"/>
    <mergeCell ref="BV89:BW89"/>
    <mergeCell ref="CD89:CE89"/>
    <mergeCell ref="CL89:CM89"/>
    <mergeCell ref="CT89:CU89"/>
    <mergeCell ref="A83:A88"/>
    <mergeCell ref="B83:B84"/>
    <mergeCell ref="CS83:CS88"/>
    <mergeCell ref="CT83:CT84"/>
    <mergeCell ref="B85:C85"/>
    <mergeCell ref="J85:K85"/>
    <mergeCell ref="R85:S85"/>
    <mergeCell ref="Z85:AA85"/>
    <mergeCell ref="AH85:AI85"/>
    <mergeCell ref="AP85:AQ85"/>
    <mergeCell ref="AX85:AY85"/>
    <mergeCell ref="BF85:BG85"/>
    <mergeCell ref="BN85:BO85"/>
    <mergeCell ref="BV85:BW85"/>
    <mergeCell ref="CD85:CE85"/>
    <mergeCell ref="CL85:CM85"/>
    <mergeCell ref="CT85:CU85"/>
    <mergeCell ref="B86:B87"/>
    <mergeCell ref="J86:J87"/>
    <mergeCell ref="CT86:CT87"/>
    <mergeCell ref="B88:C88"/>
    <mergeCell ref="J88:K88"/>
    <mergeCell ref="R88:S88"/>
    <mergeCell ref="Z88:AA88"/>
    <mergeCell ref="I83:I88"/>
    <mergeCell ref="J83:J84"/>
    <mergeCell ref="Q83:Q88"/>
    <mergeCell ref="R83:R84"/>
    <mergeCell ref="Y83:Y88"/>
    <mergeCell ref="Z83:Z84"/>
    <mergeCell ref="AG83:AG88"/>
    <mergeCell ref="AH83:AH84"/>
    <mergeCell ref="AO83:AO88"/>
    <mergeCell ref="AP83:AP84"/>
    <mergeCell ref="AW83:AW88"/>
    <mergeCell ref="AX83:AX84"/>
    <mergeCell ref="BE83:BE88"/>
    <mergeCell ref="BF83:BF84"/>
    <mergeCell ref="BM83:BM88"/>
    <mergeCell ref="CT88:CU88"/>
    <mergeCell ref="BN83:BN84"/>
    <mergeCell ref="CL83:CL84"/>
    <mergeCell ref="AH88:AI88"/>
    <mergeCell ref="AP88:AQ88"/>
    <mergeCell ref="AX88:AY88"/>
    <mergeCell ref="BF88:BG88"/>
    <mergeCell ref="BN88:BO88"/>
    <mergeCell ref="BV88:BW88"/>
    <mergeCell ref="CD88:CE88"/>
    <mergeCell ref="CL88:CM88"/>
    <mergeCell ref="CK83:CK88"/>
    <mergeCell ref="BF86:BF87"/>
    <mergeCell ref="BN86:BN87"/>
    <mergeCell ref="BV86:BV87"/>
    <mergeCell ref="CD86:CD87"/>
    <mergeCell ref="CL86:CL87"/>
    <mergeCell ref="B78:C78"/>
    <mergeCell ref="J78:K78"/>
    <mergeCell ref="R78:S78"/>
    <mergeCell ref="Z78:AA78"/>
    <mergeCell ref="AH78:AI78"/>
    <mergeCell ref="AP78:AQ78"/>
    <mergeCell ref="AX78:AY78"/>
    <mergeCell ref="BF78:BG78"/>
    <mergeCell ref="BN78:BO78"/>
    <mergeCell ref="BV78:BW78"/>
    <mergeCell ref="CD78:CE78"/>
    <mergeCell ref="CD79:CD80"/>
    <mergeCell ref="BU83:BU88"/>
    <mergeCell ref="BV83:BV84"/>
    <mergeCell ref="CC83:CC88"/>
    <mergeCell ref="CD83:CD84"/>
    <mergeCell ref="R86:R87"/>
    <mergeCell ref="Z86:Z87"/>
    <mergeCell ref="Z82:AA82"/>
    <mergeCell ref="AH82:AI82"/>
    <mergeCell ref="AP82:AQ82"/>
    <mergeCell ref="AX82:AY82"/>
    <mergeCell ref="BF82:BG82"/>
    <mergeCell ref="BN82:BO82"/>
    <mergeCell ref="BV82:BW82"/>
    <mergeCell ref="CD82:CE82"/>
    <mergeCell ref="CL82:CM82"/>
    <mergeCell ref="CT82:CU82"/>
    <mergeCell ref="BV76:BV77"/>
    <mergeCell ref="CC76:CC81"/>
    <mergeCell ref="CD76:CD77"/>
    <mergeCell ref="CK76:CK81"/>
    <mergeCell ref="CL76:CL77"/>
    <mergeCell ref="CS76:CS81"/>
    <mergeCell ref="CT76:CT77"/>
    <mergeCell ref="CT78:CU78"/>
    <mergeCell ref="CL79:CL80"/>
    <mergeCell ref="BV81:BW81"/>
    <mergeCell ref="CD81:CE81"/>
    <mergeCell ref="CL81:CM81"/>
    <mergeCell ref="AH81:AI81"/>
    <mergeCell ref="AP81:AQ81"/>
    <mergeCell ref="AX81:AY81"/>
    <mergeCell ref="BF81:BG81"/>
    <mergeCell ref="BN81:BO81"/>
    <mergeCell ref="AH86:AH87"/>
    <mergeCell ref="AP86:AP87"/>
    <mergeCell ref="AX86:AX87"/>
    <mergeCell ref="B79:B80"/>
    <mergeCell ref="J79:J80"/>
    <mergeCell ref="R79:R80"/>
    <mergeCell ref="Z79:Z80"/>
    <mergeCell ref="AH79:AH80"/>
    <mergeCell ref="AP79:AP80"/>
    <mergeCell ref="AX79:AX80"/>
    <mergeCell ref="BF79:BF80"/>
    <mergeCell ref="BN79:BN80"/>
    <mergeCell ref="BV79:BV80"/>
    <mergeCell ref="CT79:CT80"/>
    <mergeCell ref="B81:C81"/>
    <mergeCell ref="I76:I81"/>
    <mergeCell ref="J76:J77"/>
    <mergeCell ref="Q76:Q81"/>
    <mergeCell ref="R76:R77"/>
    <mergeCell ref="Y76:Y81"/>
    <mergeCell ref="Z76:Z77"/>
    <mergeCell ref="AG76:AG81"/>
    <mergeCell ref="AH76:AH77"/>
    <mergeCell ref="AO76:AO81"/>
    <mergeCell ref="AP76:AP77"/>
    <mergeCell ref="AW76:AW81"/>
    <mergeCell ref="AX76:AX77"/>
    <mergeCell ref="BE76:BE81"/>
    <mergeCell ref="BF76:BF77"/>
    <mergeCell ref="BM76:BM81"/>
    <mergeCell ref="BN76:BN77"/>
    <mergeCell ref="BU76:BU81"/>
    <mergeCell ref="J81:K81"/>
    <mergeCell ref="CT81:CU81"/>
    <mergeCell ref="CL78:CM78"/>
    <mergeCell ref="CM1:CQ1"/>
    <mergeCell ref="AQ1:AU1"/>
    <mergeCell ref="AY1:BC1"/>
    <mergeCell ref="BG1:BK1"/>
    <mergeCell ref="BO1:BS1"/>
    <mergeCell ref="S1:W1"/>
    <mergeCell ref="AA1:AE1"/>
    <mergeCell ref="AI1:AM1"/>
    <mergeCell ref="K1:O1"/>
    <mergeCell ref="BW1:CA1"/>
    <mergeCell ref="CE1:CI1"/>
    <mergeCell ref="AH4:AI4"/>
    <mergeCell ref="AH5:AI5"/>
    <mergeCell ref="CL75:CM75"/>
    <mergeCell ref="Z64:AA64"/>
    <mergeCell ref="AP64:AQ64"/>
    <mergeCell ref="AX64:AY64"/>
    <mergeCell ref="BF64:BG64"/>
    <mergeCell ref="AW62:AW67"/>
    <mergeCell ref="BN62:BN63"/>
    <mergeCell ref="BU62:BU67"/>
    <mergeCell ref="BV62:BV63"/>
    <mergeCell ref="BN64:BO64"/>
    <mergeCell ref="BV64:BW64"/>
    <mergeCell ref="BV65:BV66"/>
    <mergeCell ref="Q20:Q25"/>
    <mergeCell ref="R9:R10"/>
    <mergeCell ref="J5:K5"/>
    <mergeCell ref="J62:J63"/>
    <mergeCell ref="BN61:BO61"/>
    <mergeCell ref="AG62:AG67"/>
    <mergeCell ref="AH62:AH63"/>
    <mergeCell ref="C1:G1"/>
    <mergeCell ref="B95:B96"/>
    <mergeCell ref="A95:A100"/>
    <mergeCell ref="A55:A60"/>
    <mergeCell ref="A62:A67"/>
    <mergeCell ref="A41:A46"/>
    <mergeCell ref="A48:A53"/>
    <mergeCell ref="A69:A74"/>
    <mergeCell ref="A4:A5"/>
    <mergeCell ref="A6:A11"/>
    <mergeCell ref="A13:A18"/>
    <mergeCell ref="A20:A25"/>
    <mergeCell ref="A27:A32"/>
    <mergeCell ref="A34:A39"/>
    <mergeCell ref="J93:K93"/>
    <mergeCell ref="J94:K94"/>
    <mergeCell ref="R93:S93"/>
    <mergeCell ref="R94:S94"/>
    <mergeCell ref="Q93:Q94"/>
    <mergeCell ref="L93:L94"/>
    <mergeCell ref="M93:M94"/>
    <mergeCell ref="B5:C5"/>
    <mergeCell ref="B4:C4"/>
    <mergeCell ref="J4:K4"/>
    <mergeCell ref="B64:C64"/>
    <mergeCell ref="J64:K64"/>
    <mergeCell ref="R64:S64"/>
    <mergeCell ref="J57:K57"/>
    <mergeCell ref="R57:S57"/>
    <mergeCell ref="B19:C19"/>
    <mergeCell ref="A2:E2"/>
    <mergeCell ref="I2:M2"/>
    <mergeCell ref="Q2:U2"/>
    <mergeCell ref="BV101:BW101"/>
    <mergeCell ref="AG95:AG100"/>
    <mergeCell ref="AH95:AH96"/>
    <mergeCell ref="AO95:AO100"/>
    <mergeCell ref="AP95:AP96"/>
    <mergeCell ref="AW95:AW100"/>
    <mergeCell ref="AX95:AX96"/>
    <mergeCell ref="AH100:AI100"/>
    <mergeCell ref="AP100:AQ100"/>
    <mergeCell ref="AX100:AY100"/>
    <mergeCell ref="AO93:AO94"/>
    <mergeCell ref="I95:I100"/>
    <mergeCell ref="J95:J96"/>
    <mergeCell ref="B98:B99"/>
    <mergeCell ref="J98:J99"/>
    <mergeCell ref="Z95:Z96"/>
    <mergeCell ref="BN71:BO71"/>
    <mergeCell ref="B74:C74"/>
    <mergeCell ref="J74:K74"/>
    <mergeCell ref="R74:S74"/>
    <mergeCell ref="Z74:AA74"/>
    <mergeCell ref="AH74:AI74"/>
    <mergeCell ref="AP72:AP73"/>
    <mergeCell ref="AX72:AX73"/>
    <mergeCell ref="BF72:BF73"/>
    <mergeCell ref="BN72:BN73"/>
    <mergeCell ref="AO62:AO67"/>
    <mergeCell ref="AP62:AP63"/>
    <mergeCell ref="BM62:BM67"/>
    <mergeCell ref="B61:C61"/>
    <mergeCell ref="J61:K61"/>
    <mergeCell ref="A76:A81"/>
    <mergeCell ref="B76:B77"/>
    <mergeCell ref="B100:C100"/>
    <mergeCell ref="J100:K100"/>
    <mergeCell ref="R100:S100"/>
    <mergeCell ref="Z100:AA100"/>
    <mergeCell ref="BN75:BO75"/>
    <mergeCell ref="R81:S81"/>
    <mergeCell ref="Z81:AA81"/>
    <mergeCell ref="BV67:BW67"/>
    <mergeCell ref="B82:C82"/>
    <mergeCell ref="J82:K82"/>
    <mergeCell ref="R82:S82"/>
    <mergeCell ref="CD101:CE101"/>
    <mergeCell ref="CC69:CC74"/>
    <mergeCell ref="CD69:CD70"/>
    <mergeCell ref="BV71:BW71"/>
    <mergeCell ref="BV72:BV73"/>
    <mergeCell ref="BV74:BW74"/>
    <mergeCell ref="AO69:AO74"/>
    <mergeCell ref="AP69:AP70"/>
    <mergeCell ref="AW69:AW74"/>
    <mergeCell ref="AX69:AX70"/>
    <mergeCell ref="BE69:BE74"/>
    <mergeCell ref="BF69:BF70"/>
    <mergeCell ref="Q69:Q74"/>
    <mergeCell ref="R69:R70"/>
    <mergeCell ref="Y69:Y74"/>
    <mergeCell ref="Z69:Z70"/>
    <mergeCell ref="CL101:CM101"/>
    <mergeCell ref="BN101:BO101"/>
    <mergeCell ref="BF101:BG101"/>
    <mergeCell ref="CL100:CM100"/>
    <mergeCell ref="AZ93:AZ94"/>
    <mergeCell ref="BV98:BV99"/>
    <mergeCell ref="CD98:CD99"/>
    <mergeCell ref="BV100:BW100"/>
    <mergeCell ref="CD100:CE100"/>
    <mergeCell ref="BM95:BM100"/>
    <mergeCell ref="BN95:BN96"/>
    <mergeCell ref="BU95:BU100"/>
    <mergeCell ref="BF97:BG97"/>
    <mergeCell ref="BN97:BO97"/>
    <mergeCell ref="BN98:BN99"/>
    <mergeCell ref="BN100:BO100"/>
    <mergeCell ref="CG93:CG94"/>
    <mergeCell ref="CC93:CC94"/>
    <mergeCell ref="BQ93:BQ94"/>
    <mergeCell ref="BI93:BI94"/>
    <mergeCell ref="BJ93:BJ94"/>
    <mergeCell ref="BK93:BK94"/>
    <mergeCell ref="BM93:BM94"/>
    <mergeCell ref="BN93:BO93"/>
    <mergeCell ref="BN94:BO94"/>
    <mergeCell ref="CL95:CL96"/>
    <mergeCell ref="CT101:CU101"/>
    <mergeCell ref="CT100:CU100"/>
    <mergeCell ref="B101:C101"/>
    <mergeCell ref="J101:K101"/>
    <mergeCell ref="R101:S101"/>
    <mergeCell ref="Z101:AA101"/>
    <mergeCell ref="AH101:AI101"/>
    <mergeCell ref="AP101:AQ101"/>
    <mergeCell ref="AX101:AY101"/>
    <mergeCell ref="R98:R99"/>
    <mergeCell ref="Z98:Z99"/>
    <mergeCell ref="AH98:AH99"/>
    <mergeCell ref="AP98:AP99"/>
    <mergeCell ref="CT98:CT99"/>
    <mergeCell ref="BF98:BF99"/>
    <mergeCell ref="BE95:BE100"/>
    <mergeCell ref="AX98:AX99"/>
    <mergeCell ref="BF95:BF96"/>
    <mergeCell ref="BF100:BG100"/>
    <mergeCell ref="CT95:CT96"/>
    <mergeCell ref="B97:C97"/>
    <mergeCell ref="J97:K97"/>
    <mergeCell ref="R97:S97"/>
    <mergeCell ref="Z97:AA97"/>
    <mergeCell ref="AH97:AI97"/>
    <mergeCell ref="AP97:AQ97"/>
    <mergeCell ref="AX97:AY97"/>
    <mergeCell ref="CC95:CC100"/>
    <mergeCell ref="CD95:CD96"/>
    <mergeCell ref="CK95:CK100"/>
    <mergeCell ref="BV97:BW97"/>
    <mergeCell ref="CD97:CE97"/>
    <mergeCell ref="CY93:CY94"/>
    <mergeCell ref="Q95:Q100"/>
    <mergeCell ref="R95:R96"/>
    <mergeCell ref="Y95:Y100"/>
    <mergeCell ref="CV93:CV94"/>
    <mergeCell ref="CN93:CN94"/>
    <mergeCell ref="CO93:CO94"/>
    <mergeCell ref="CP93:CP94"/>
    <mergeCell ref="CQ93:CQ94"/>
    <mergeCell ref="CF93:CF94"/>
    <mergeCell ref="CH93:CH94"/>
    <mergeCell ref="CI93:CI94"/>
    <mergeCell ref="CW93:CW94"/>
    <mergeCell ref="CX93:CX94"/>
    <mergeCell ref="CK93:CK94"/>
    <mergeCell ref="CL93:CM93"/>
    <mergeCell ref="CL94:CM94"/>
    <mergeCell ref="CT93:CU93"/>
    <mergeCell ref="CT94:CU94"/>
    <mergeCell ref="BX93:BX94"/>
    <mergeCell ref="BY93:BY94"/>
    <mergeCell ref="BZ93:BZ94"/>
    <mergeCell ref="BU93:BU94"/>
    <mergeCell ref="BV93:BW93"/>
    <mergeCell ref="BV94:BW94"/>
    <mergeCell ref="CL98:CL99"/>
    <mergeCell ref="CL97:CM97"/>
    <mergeCell ref="CT97:CU97"/>
    <mergeCell ref="BV95:BV96"/>
    <mergeCell ref="CD93:CE93"/>
    <mergeCell ref="CD94:CE94"/>
    <mergeCell ref="BP93:BP94"/>
    <mergeCell ref="CT75:CU75"/>
    <mergeCell ref="CT74:CU74"/>
    <mergeCell ref="B75:C75"/>
    <mergeCell ref="J75:K75"/>
    <mergeCell ref="R75:S75"/>
    <mergeCell ref="Z75:AA75"/>
    <mergeCell ref="AH75:AI75"/>
    <mergeCell ref="AP75:AQ75"/>
    <mergeCell ref="AX75:AY75"/>
    <mergeCell ref="BF75:BG75"/>
    <mergeCell ref="CK69:CK74"/>
    <mergeCell ref="CL69:CL70"/>
    <mergeCell ref="CD71:CE71"/>
    <mergeCell ref="CL71:CM71"/>
    <mergeCell ref="CD72:CD73"/>
    <mergeCell ref="CL72:CL73"/>
    <mergeCell ref="CD74:CE74"/>
    <mergeCell ref="CL74:CM74"/>
    <mergeCell ref="BM69:BM74"/>
    <mergeCell ref="BN69:BN70"/>
    <mergeCell ref="BU69:BU74"/>
    <mergeCell ref="BV69:BV70"/>
    <mergeCell ref="CS69:CS74"/>
    <mergeCell ref="CT69:CT70"/>
    <mergeCell ref="B71:C71"/>
    <mergeCell ref="J71:K71"/>
    <mergeCell ref="R71:S71"/>
    <mergeCell ref="Z71:AA71"/>
    <mergeCell ref="AH71:AI71"/>
    <mergeCell ref="AP71:AQ71"/>
    <mergeCell ref="AX71:AY71"/>
    <mergeCell ref="BF71:BG71"/>
    <mergeCell ref="AG69:AG74"/>
    <mergeCell ref="AH69:AH70"/>
    <mergeCell ref="CT68:CU68"/>
    <mergeCell ref="CT67:CU67"/>
    <mergeCell ref="CD67:CE67"/>
    <mergeCell ref="CL67:CM67"/>
    <mergeCell ref="BF67:BG67"/>
    <mergeCell ref="CT72:CT73"/>
    <mergeCell ref="B69:B70"/>
    <mergeCell ref="I69:I74"/>
    <mergeCell ref="J69:J70"/>
    <mergeCell ref="BV68:BW68"/>
    <mergeCell ref="B68:C68"/>
    <mergeCell ref="J68:K68"/>
    <mergeCell ref="BN68:BO68"/>
    <mergeCell ref="AP74:AQ74"/>
    <mergeCell ref="AX74:AY74"/>
    <mergeCell ref="BF74:BG74"/>
    <mergeCell ref="BN74:BO74"/>
    <mergeCell ref="CT71:CU71"/>
    <mergeCell ref="B72:B73"/>
    <mergeCell ref="J72:J73"/>
    <mergeCell ref="R72:R73"/>
    <mergeCell ref="Z72:Z73"/>
    <mergeCell ref="AH72:AH73"/>
    <mergeCell ref="AH67:AI67"/>
    <mergeCell ref="AP67:AQ67"/>
    <mergeCell ref="Q62:Q67"/>
    <mergeCell ref="CL62:CL63"/>
    <mergeCell ref="CD64:CE64"/>
    <mergeCell ref="CL64:CM64"/>
    <mergeCell ref="CD65:CD66"/>
    <mergeCell ref="CL65:CL66"/>
    <mergeCell ref="AH64:AI64"/>
    <mergeCell ref="CT65:CT66"/>
    <mergeCell ref="BN67:BO67"/>
    <mergeCell ref="CS62:CS67"/>
    <mergeCell ref="CT62:CT63"/>
    <mergeCell ref="CC62:CC67"/>
    <mergeCell ref="CD62:CD63"/>
    <mergeCell ref="CK62:CK67"/>
    <mergeCell ref="CD68:CE68"/>
    <mergeCell ref="CL68:CM68"/>
    <mergeCell ref="B67:C67"/>
    <mergeCell ref="J67:K67"/>
    <mergeCell ref="R67:S67"/>
    <mergeCell ref="Z67:AA67"/>
    <mergeCell ref="AX68:AY68"/>
    <mergeCell ref="BF68:BG68"/>
    <mergeCell ref="R68:S68"/>
    <mergeCell ref="Z68:AA68"/>
    <mergeCell ref="AH68:AI68"/>
    <mergeCell ref="AP68:AQ68"/>
    <mergeCell ref="AH65:AH66"/>
    <mergeCell ref="AP65:AP66"/>
    <mergeCell ref="AX65:AX66"/>
    <mergeCell ref="BF65:BF66"/>
    <mergeCell ref="BN65:BN66"/>
    <mergeCell ref="AX67:AY67"/>
    <mergeCell ref="B62:B63"/>
    <mergeCell ref="I62:I67"/>
    <mergeCell ref="CT64:CU64"/>
    <mergeCell ref="B65:B66"/>
    <mergeCell ref="J65:J66"/>
    <mergeCell ref="R65:R66"/>
    <mergeCell ref="Z65:Z66"/>
    <mergeCell ref="CT61:CU61"/>
    <mergeCell ref="CT60:CU60"/>
    <mergeCell ref="R62:R63"/>
    <mergeCell ref="Y62:Y67"/>
    <mergeCell ref="Z62:Z63"/>
    <mergeCell ref="Y55:Y60"/>
    <mergeCell ref="Z57:AA57"/>
    <mergeCell ref="AH57:AI57"/>
    <mergeCell ref="AP57:AQ57"/>
    <mergeCell ref="AX57:AY57"/>
    <mergeCell ref="BF57:BG57"/>
    <mergeCell ref="CC55:CC60"/>
    <mergeCell ref="CD55:CD56"/>
    <mergeCell ref="CK55:CK60"/>
    <mergeCell ref="CL55:CL56"/>
    <mergeCell ref="CD57:CE57"/>
    <mergeCell ref="CL57:CM57"/>
    <mergeCell ref="CD58:CD59"/>
    <mergeCell ref="CL58:CL59"/>
    <mergeCell ref="CD60:CE60"/>
    <mergeCell ref="CL60:CM60"/>
    <mergeCell ref="BU55:BU60"/>
    <mergeCell ref="BV55:BV56"/>
    <mergeCell ref="AX62:AX63"/>
    <mergeCell ref="BE62:BE67"/>
    <mergeCell ref="BF62:BF63"/>
    <mergeCell ref="Z55:Z56"/>
    <mergeCell ref="AG55:AG60"/>
    <mergeCell ref="AH55:AH56"/>
    <mergeCell ref="R61:S61"/>
    <mergeCell ref="Z61:AA61"/>
    <mergeCell ref="AH61:AI61"/>
    <mergeCell ref="AP61:AQ61"/>
    <mergeCell ref="AX61:AY61"/>
    <mergeCell ref="BF61:BG61"/>
    <mergeCell ref="CT58:CT59"/>
    <mergeCell ref="B60:C60"/>
    <mergeCell ref="J60:K60"/>
    <mergeCell ref="R60:S60"/>
    <mergeCell ref="Z60:AA60"/>
    <mergeCell ref="AH60:AI60"/>
    <mergeCell ref="AP60:AQ60"/>
    <mergeCell ref="AX60:AY60"/>
    <mergeCell ref="BF60:BG60"/>
    <mergeCell ref="BN60:BO60"/>
    <mergeCell ref="B58:B59"/>
    <mergeCell ref="J58:J59"/>
    <mergeCell ref="R58:R59"/>
    <mergeCell ref="Z58:Z59"/>
    <mergeCell ref="AH58:AH59"/>
    <mergeCell ref="AP58:AP59"/>
    <mergeCell ref="AX58:AX59"/>
    <mergeCell ref="BF58:BF59"/>
    <mergeCell ref="BN58:BN59"/>
    <mergeCell ref="CS55:CS60"/>
    <mergeCell ref="CT55:CT56"/>
    <mergeCell ref="B57:C57"/>
    <mergeCell ref="BM55:BM60"/>
    <mergeCell ref="BN55:BN56"/>
    <mergeCell ref="AO55:AO60"/>
    <mergeCell ref="AP55:AP56"/>
    <mergeCell ref="BV58:BV59"/>
    <mergeCell ref="Q55:Q60"/>
    <mergeCell ref="R55:R56"/>
    <mergeCell ref="CT40:CU40"/>
    <mergeCell ref="CT43:CU43"/>
    <mergeCell ref="AP47:AQ47"/>
    <mergeCell ref="CS41:CS46"/>
    <mergeCell ref="Z43:AA43"/>
    <mergeCell ref="AH43:AI43"/>
    <mergeCell ref="AP43:AQ43"/>
    <mergeCell ref="BF47:BG47"/>
    <mergeCell ref="BN47:BO47"/>
    <mergeCell ref="CT44:CT45"/>
    <mergeCell ref="CD50:CE50"/>
    <mergeCell ref="CL50:CM50"/>
    <mergeCell ref="CD51:CD52"/>
    <mergeCell ref="CL51:CL52"/>
    <mergeCell ref="CD53:CE53"/>
    <mergeCell ref="CL53:CM53"/>
    <mergeCell ref="CT57:CU57"/>
    <mergeCell ref="AX46:AY46"/>
    <mergeCell ref="BF46:BG46"/>
    <mergeCell ref="BN46:BO46"/>
    <mergeCell ref="BN41:BN42"/>
    <mergeCell ref="CS48:CS53"/>
    <mergeCell ref="CT48:CT49"/>
    <mergeCell ref="CT50:CU50"/>
    <mergeCell ref="BN51:BN52"/>
    <mergeCell ref="CT51:CT52"/>
    <mergeCell ref="BV40:BW40"/>
    <mergeCell ref="BV47:BW47"/>
    <mergeCell ref="CT41:CT42"/>
    <mergeCell ref="BE55:BE60"/>
    <mergeCell ref="BF55:BF56"/>
    <mergeCell ref="BN44:BN45"/>
    <mergeCell ref="B40:C40"/>
    <mergeCell ref="J40:K40"/>
    <mergeCell ref="BN40:BO40"/>
    <mergeCell ref="CT37:CT38"/>
    <mergeCell ref="BN39:BO39"/>
    <mergeCell ref="CS34:CS39"/>
    <mergeCell ref="CT34:CT35"/>
    <mergeCell ref="CC34:CC39"/>
    <mergeCell ref="CD34:CD35"/>
    <mergeCell ref="CK34:CK39"/>
    <mergeCell ref="CD40:CE40"/>
    <mergeCell ref="CL40:CM40"/>
    <mergeCell ref="B39:C39"/>
    <mergeCell ref="J39:K39"/>
    <mergeCell ref="R39:S39"/>
    <mergeCell ref="Z39:AA39"/>
    <mergeCell ref="AX40:AY40"/>
    <mergeCell ref="BF40:BG40"/>
    <mergeCell ref="R40:S40"/>
    <mergeCell ref="Z40:AA40"/>
    <mergeCell ref="AH40:AI40"/>
    <mergeCell ref="AP40:AQ40"/>
    <mergeCell ref="AH37:AH38"/>
    <mergeCell ref="B34:B35"/>
    <mergeCell ref="I34:I39"/>
    <mergeCell ref="CT36:CU36"/>
    <mergeCell ref="B37:B38"/>
    <mergeCell ref="J37:J38"/>
    <mergeCell ref="R37:R38"/>
    <mergeCell ref="Z37:Z38"/>
    <mergeCell ref="B36:C36"/>
    <mergeCell ref="J36:K36"/>
    <mergeCell ref="R36:S36"/>
    <mergeCell ref="Z36:AA36"/>
    <mergeCell ref="Q34:Q39"/>
    <mergeCell ref="CL34:CL35"/>
    <mergeCell ref="CD36:CE36"/>
    <mergeCell ref="CL36:CM36"/>
    <mergeCell ref="CD37:CD38"/>
    <mergeCell ref="CL37:CL38"/>
    <mergeCell ref="AH36:AI36"/>
    <mergeCell ref="AP36:AQ36"/>
    <mergeCell ref="AX36:AY36"/>
    <mergeCell ref="CT39:CU39"/>
    <mergeCell ref="CD39:CE39"/>
    <mergeCell ref="CL39:CM39"/>
    <mergeCell ref="BF36:BG36"/>
    <mergeCell ref="AW34:AW39"/>
    <mergeCell ref="BN34:BN35"/>
    <mergeCell ref="BU34:BU39"/>
    <mergeCell ref="BV34:BV35"/>
    <mergeCell ref="BN36:BO36"/>
    <mergeCell ref="BV36:BW36"/>
    <mergeCell ref="BV37:BV38"/>
    <mergeCell ref="BV39:BW39"/>
    <mergeCell ref="J34:J35"/>
    <mergeCell ref="BN33:BO33"/>
    <mergeCell ref="AG34:AG39"/>
    <mergeCell ref="AH34:AH35"/>
    <mergeCell ref="AO34:AO39"/>
    <mergeCell ref="AP34:AP35"/>
    <mergeCell ref="BM34:BM39"/>
    <mergeCell ref="BF37:BF38"/>
    <mergeCell ref="BN37:BN38"/>
    <mergeCell ref="AX39:AY39"/>
    <mergeCell ref="BF39:BG39"/>
    <mergeCell ref="R34:R35"/>
    <mergeCell ref="Y34:Y39"/>
    <mergeCell ref="Z34:Z35"/>
    <mergeCell ref="AP37:AP38"/>
    <mergeCell ref="AX37:AX38"/>
    <mergeCell ref="BF34:BF35"/>
    <mergeCell ref="AH39:AI39"/>
    <mergeCell ref="AP39:AQ39"/>
    <mergeCell ref="AX34:AX35"/>
    <mergeCell ref="BE34:BE39"/>
    <mergeCell ref="CT33:CU33"/>
    <mergeCell ref="CT32:CU32"/>
    <mergeCell ref="B33:C33"/>
    <mergeCell ref="J33:K33"/>
    <mergeCell ref="R33:S33"/>
    <mergeCell ref="Z33:AA33"/>
    <mergeCell ref="AH33:AI33"/>
    <mergeCell ref="AP33:AQ33"/>
    <mergeCell ref="AX33:AY33"/>
    <mergeCell ref="BF33:BG33"/>
    <mergeCell ref="CT30:CT31"/>
    <mergeCell ref="B32:C32"/>
    <mergeCell ref="J32:K32"/>
    <mergeCell ref="R32:S32"/>
    <mergeCell ref="Z32:AA32"/>
    <mergeCell ref="AH32:AI32"/>
    <mergeCell ref="AP32:AQ32"/>
    <mergeCell ref="AX32:AY32"/>
    <mergeCell ref="BF32:BG32"/>
    <mergeCell ref="BN32:BO32"/>
    <mergeCell ref="BU27:BU32"/>
    <mergeCell ref="BV27:BV28"/>
    <mergeCell ref="BN29:BO29"/>
    <mergeCell ref="BV29:BW29"/>
    <mergeCell ref="BV30:BV31"/>
    <mergeCell ref="BV32:BW32"/>
    <mergeCell ref="AO27:AO32"/>
    <mergeCell ref="AP27:AP28"/>
    <mergeCell ref="AW27:AW32"/>
    <mergeCell ref="AX27:AX28"/>
    <mergeCell ref="BE27:BE32"/>
    <mergeCell ref="BF27:BF28"/>
    <mergeCell ref="Z29:AA29"/>
    <mergeCell ref="AH29:AI29"/>
    <mergeCell ref="AP29:AQ29"/>
    <mergeCell ref="AX29:AY29"/>
    <mergeCell ref="BF29:BG29"/>
    <mergeCell ref="CC27:CC32"/>
    <mergeCell ref="CD27:CD28"/>
    <mergeCell ref="CK27:CK32"/>
    <mergeCell ref="CL27:CL28"/>
    <mergeCell ref="CD29:CE29"/>
    <mergeCell ref="CL29:CM29"/>
    <mergeCell ref="CD30:CD31"/>
    <mergeCell ref="CL30:CL31"/>
    <mergeCell ref="CD32:CE32"/>
    <mergeCell ref="CL32:CM32"/>
    <mergeCell ref="BM27:BM32"/>
    <mergeCell ref="BN27:BN28"/>
    <mergeCell ref="Q27:Q32"/>
    <mergeCell ref="R27:R28"/>
    <mergeCell ref="Y27:Y32"/>
    <mergeCell ref="Z27:Z28"/>
    <mergeCell ref="AG27:AG32"/>
    <mergeCell ref="AH27:AH28"/>
    <mergeCell ref="CT26:CU26"/>
    <mergeCell ref="CT25:CU25"/>
    <mergeCell ref="CD25:CE25"/>
    <mergeCell ref="CL25:CM25"/>
    <mergeCell ref="B27:B28"/>
    <mergeCell ref="I27:I32"/>
    <mergeCell ref="J27:J28"/>
    <mergeCell ref="BV26:BW26"/>
    <mergeCell ref="B26:C26"/>
    <mergeCell ref="J26:K26"/>
    <mergeCell ref="BN26:BO26"/>
    <mergeCell ref="CT29:CU29"/>
    <mergeCell ref="B30:B31"/>
    <mergeCell ref="J30:J31"/>
    <mergeCell ref="R30:R31"/>
    <mergeCell ref="Z30:Z31"/>
    <mergeCell ref="AH30:AH31"/>
    <mergeCell ref="AP30:AP31"/>
    <mergeCell ref="AX30:AX31"/>
    <mergeCell ref="BF30:BF31"/>
    <mergeCell ref="BN30:BN31"/>
    <mergeCell ref="CS27:CS32"/>
    <mergeCell ref="CT27:CT28"/>
    <mergeCell ref="B29:C29"/>
    <mergeCell ref="J29:K29"/>
    <mergeCell ref="R29:S29"/>
    <mergeCell ref="B25:C25"/>
    <mergeCell ref="J25:K25"/>
    <mergeCell ref="R25:S25"/>
    <mergeCell ref="Z25:AA25"/>
    <mergeCell ref="AX26:AY26"/>
    <mergeCell ref="BF26:BG26"/>
    <mergeCell ref="R26:S26"/>
    <mergeCell ref="Z26:AA26"/>
    <mergeCell ref="AH26:AI26"/>
    <mergeCell ref="AP26:AQ26"/>
    <mergeCell ref="AH23:AH24"/>
    <mergeCell ref="AP23:AP24"/>
    <mergeCell ref="AX23:AX24"/>
    <mergeCell ref="BF23:BF24"/>
    <mergeCell ref="BN23:BN24"/>
    <mergeCell ref="AX25:AY25"/>
    <mergeCell ref="BF25:BG25"/>
    <mergeCell ref="Y20:Y25"/>
    <mergeCell ref="Z20:Z21"/>
    <mergeCell ref="B20:B21"/>
    <mergeCell ref="I20:I25"/>
    <mergeCell ref="AH22:AI22"/>
    <mergeCell ref="AP22:AQ22"/>
    <mergeCell ref="AX22:AY22"/>
    <mergeCell ref="BF22:BG22"/>
    <mergeCell ref="AW20:AW25"/>
    <mergeCell ref="BN20:BN21"/>
    <mergeCell ref="BN22:BO22"/>
    <mergeCell ref="B23:B24"/>
    <mergeCell ref="BF20:BF21"/>
    <mergeCell ref="B22:C22"/>
    <mergeCell ref="J20:J21"/>
    <mergeCell ref="CT23:CT24"/>
    <mergeCell ref="BN25:BO25"/>
    <mergeCell ref="CS20:CS25"/>
    <mergeCell ref="CT20:CT21"/>
    <mergeCell ref="CC20:CC25"/>
    <mergeCell ref="CD20:CD21"/>
    <mergeCell ref="CK20:CK25"/>
    <mergeCell ref="R20:R21"/>
    <mergeCell ref="CT22:CU22"/>
    <mergeCell ref="BN19:BO19"/>
    <mergeCell ref="AG20:AG25"/>
    <mergeCell ref="AH20:AH21"/>
    <mergeCell ref="AO20:AO25"/>
    <mergeCell ref="AP20:AP21"/>
    <mergeCell ref="BM20:BM25"/>
    <mergeCell ref="CT19:CU19"/>
    <mergeCell ref="J19:K19"/>
    <mergeCell ref="R19:S19"/>
    <mergeCell ref="Z19:AA19"/>
    <mergeCell ref="AH19:AI19"/>
    <mergeCell ref="AP19:AQ19"/>
    <mergeCell ref="AX19:AY19"/>
    <mergeCell ref="BF19:BG19"/>
    <mergeCell ref="J23:J24"/>
    <mergeCell ref="R23:R24"/>
    <mergeCell ref="Z23:Z24"/>
    <mergeCell ref="AX20:AX21"/>
    <mergeCell ref="BE20:BE25"/>
    <mergeCell ref="CL20:CL21"/>
    <mergeCell ref="CD22:CE22"/>
    <mergeCell ref="AH25:AI25"/>
    <mergeCell ref="AP25:AQ25"/>
    <mergeCell ref="CT16:CT17"/>
    <mergeCell ref="B18:C18"/>
    <mergeCell ref="J18:K18"/>
    <mergeCell ref="R18:S18"/>
    <mergeCell ref="Z18:AA18"/>
    <mergeCell ref="AH18:AI18"/>
    <mergeCell ref="AP18:AQ18"/>
    <mergeCell ref="AX18:AY18"/>
    <mergeCell ref="BF18:BG18"/>
    <mergeCell ref="BN18:BO18"/>
    <mergeCell ref="BM13:BM18"/>
    <mergeCell ref="BN13:BN14"/>
    <mergeCell ref="BU13:BU18"/>
    <mergeCell ref="BV13:BV14"/>
    <mergeCell ref="CC13:CC18"/>
    <mergeCell ref="BV15:BW15"/>
    <mergeCell ref="BV16:BV17"/>
    <mergeCell ref="BV18:BW18"/>
    <mergeCell ref="Y13:Y18"/>
    <mergeCell ref="Z13:Z14"/>
    <mergeCell ref="AG13:AG18"/>
    <mergeCell ref="CL16:CL17"/>
    <mergeCell ref="CD18:CE18"/>
    <mergeCell ref="CL18:CM18"/>
    <mergeCell ref="BF13:BF14"/>
    <mergeCell ref="J22:K22"/>
    <mergeCell ref="R22:S22"/>
    <mergeCell ref="Z22:AA22"/>
    <mergeCell ref="BV22:BW22"/>
    <mergeCell ref="CT15:CU15"/>
    <mergeCell ref="B16:B17"/>
    <mergeCell ref="J16:J17"/>
    <mergeCell ref="R16:R17"/>
    <mergeCell ref="Z16:Z17"/>
    <mergeCell ref="AH16:AH17"/>
    <mergeCell ref="AP16:AP17"/>
    <mergeCell ref="AX16:AX17"/>
    <mergeCell ref="BF16:BF17"/>
    <mergeCell ref="BN16:BN17"/>
    <mergeCell ref="CT18:CU18"/>
    <mergeCell ref="CT13:CT14"/>
    <mergeCell ref="B15:C15"/>
    <mergeCell ref="J15:K15"/>
    <mergeCell ref="R15:S15"/>
    <mergeCell ref="Z15:AA15"/>
    <mergeCell ref="AH15:AI15"/>
    <mergeCell ref="AP15:AQ15"/>
    <mergeCell ref="AX15:AY15"/>
    <mergeCell ref="BF15:BG15"/>
    <mergeCell ref="BN15:BO15"/>
    <mergeCell ref="CD13:CD14"/>
    <mergeCell ref="CK13:CK18"/>
    <mergeCell ref="CL13:CL14"/>
    <mergeCell ref="CS13:CS18"/>
    <mergeCell ref="CD15:CE15"/>
    <mergeCell ref="CL15:CM15"/>
    <mergeCell ref="CD16:CD17"/>
    <mergeCell ref="BN12:BO12"/>
    <mergeCell ref="AH13:AH14"/>
    <mergeCell ref="AO13:AO18"/>
    <mergeCell ref="AP13:AP14"/>
    <mergeCell ref="AW13:AW18"/>
    <mergeCell ref="AX13:AX14"/>
    <mergeCell ref="BE13:BE18"/>
    <mergeCell ref="BV12:BW12"/>
    <mergeCell ref="CD12:CE12"/>
    <mergeCell ref="CL12:CM12"/>
    <mergeCell ref="CL11:CM11"/>
    <mergeCell ref="CT12:CU12"/>
    <mergeCell ref="B13:B14"/>
    <mergeCell ref="I13:I18"/>
    <mergeCell ref="J13:J14"/>
    <mergeCell ref="Q13:Q18"/>
    <mergeCell ref="R13:R14"/>
    <mergeCell ref="CT11:CU11"/>
    <mergeCell ref="B12:C12"/>
    <mergeCell ref="J12:K12"/>
    <mergeCell ref="R12:S12"/>
    <mergeCell ref="Z12:AA12"/>
    <mergeCell ref="AH12:AI12"/>
    <mergeCell ref="AP12:AQ12"/>
    <mergeCell ref="AX12:AY12"/>
    <mergeCell ref="BF12:BG12"/>
    <mergeCell ref="BM6:BM11"/>
    <mergeCell ref="CL9:CL10"/>
    <mergeCell ref="CT9:CT10"/>
    <mergeCell ref="B11:C11"/>
    <mergeCell ref="J11:K11"/>
    <mergeCell ref="R11:S11"/>
    <mergeCell ref="Z9:Z10"/>
    <mergeCell ref="AH9:AH10"/>
    <mergeCell ref="AP9:AP10"/>
    <mergeCell ref="AX9:AX10"/>
    <mergeCell ref="BF9:BF10"/>
    <mergeCell ref="CL6:CL7"/>
    <mergeCell ref="CS6:CS11"/>
    <mergeCell ref="CT6:CT7"/>
    <mergeCell ref="B8:C8"/>
    <mergeCell ref="J8:K8"/>
    <mergeCell ref="R8:S8"/>
    <mergeCell ref="Z8:AA8"/>
    <mergeCell ref="AH8:AI8"/>
    <mergeCell ref="AP8:AQ8"/>
    <mergeCell ref="AX8:AY8"/>
    <mergeCell ref="CC6:CC11"/>
    <mergeCell ref="CD6:CD7"/>
    <mergeCell ref="CK6:CK11"/>
    <mergeCell ref="BV8:BW8"/>
    <mergeCell ref="CD8:CE8"/>
    <mergeCell ref="BV9:BV10"/>
    <mergeCell ref="CD9:CD10"/>
    <mergeCell ref="BN6:BN7"/>
    <mergeCell ref="BU6:BU11"/>
    <mergeCell ref="BF8:BG8"/>
    <mergeCell ref="BN8:BO8"/>
    <mergeCell ref="BN9:BN10"/>
    <mergeCell ref="BN11:BO11"/>
    <mergeCell ref="AO4:AO5"/>
    <mergeCell ref="BK4:BK5"/>
    <mergeCell ref="BP4:BP5"/>
    <mergeCell ref="CX4:CX5"/>
    <mergeCell ref="CY4:CY5"/>
    <mergeCell ref="BZ4:BZ5"/>
    <mergeCell ref="CA4:CA5"/>
    <mergeCell ref="CG4:CG5"/>
    <mergeCell ref="CH4:CH5"/>
    <mergeCell ref="AO6:AO11"/>
    <mergeCell ref="AP6:AP7"/>
    <mergeCell ref="AW6:AW11"/>
    <mergeCell ref="AX6:AX7"/>
    <mergeCell ref="BE6:BE11"/>
    <mergeCell ref="BF6:BF7"/>
    <mergeCell ref="B6:B7"/>
    <mergeCell ref="I6:I11"/>
    <mergeCell ref="J6:J7"/>
    <mergeCell ref="Q6:Q11"/>
    <mergeCell ref="AG6:AG11"/>
    <mergeCell ref="AH6:AH7"/>
    <mergeCell ref="R6:R7"/>
    <mergeCell ref="Y6:Y11"/>
    <mergeCell ref="Z6:Z7"/>
    <mergeCell ref="Z11:AA11"/>
    <mergeCell ref="AH11:AI11"/>
    <mergeCell ref="AP11:AQ11"/>
    <mergeCell ref="AX11:AY11"/>
    <mergeCell ref="BF11:BG11"/>
    <mergeCell ref="CT8:CU8"/>
    <mergeCell ref="B9:B10"/>
    <mergeCell ref="J9:J10"/>
    <mergeCell ref="BQ4:BQ5"/>
    <mergeCell ref="BA4:BA5"/>
    <mergeCell ref="BB4:BB5"/>
    <mergeCell ref="BC4:BC5"/>
    <mergeCell ref="BE4:BE5"/>
    <mergeCell ref="BF4:BG4"/>
    <mergeCell ref="BF5:BG5"/>
    <mergeCell ref="AT4:AT5"/>
    <mergeCell ref="AU4:AU5"/>
    <mergeCell ref="AW4:AW5"/>
    <mergeCell ref="AX4:AY4"/>
    <mergeCell ref="AX5:AY5"/>
    <mergeCell ref="AZ4:AZ5"/>
    <mergeCell ref="CV4:CV5"/>
    <mergeCell ref="CN4:CN5"/>
    <mergeCell ref="CO4:CO5"/>
    <mergeCell ref="CP4:CP5"/>
    <mergeCell ref="CQ4:CQ5"/>
    <mergeCell ref="CF4:CF5"/>
    <mergeCell ref="CI4:CI5"/>
    <mergeCell ref="BR4:BR5"/>
    <mergeCell ref="BS4:BS5"/>
    <mergeCell ref="BX4:BX5"/>
    <mergeCell ref="BY4:BY5"/>
    <mergeCell ref="BI4:BI5"/>
    <mergeCell ref="CK4:CK5"/>
    <mergeCell ref="CL4:CM4"/>
    <mergeCell ref="CL5:CM5"/>
    <mergeCell ref="D4:D5"/>
    <mergeCell ref="E4:E5"/>
    <mergeCell ref="F4:F5"/>
    <mergeCell ref="G4:G5"/>
    <mergeCell ref="I4:I5"/>
    <mergeCell ref="Q4:Q5"/>
    <mergeCell ref="L4:L5"/>
    <mergeCell ref="M4:M5"/>
    <mergeCell ref="N4:N5"/>
    <mergeCell ref="O4:O5"/>
    <mergeCell ref="BM2:BQ2"/>
    <mergeCell ref="BM4:BM5"/>
    <mergeCell ref="BN4:BO4"/>
    <mergeCell ref="BN5:BO5"/>
    <mergeCell ref="Y2:AC2"/>
    <mergeCell ref="AG2:AK2"/>
    <mergeCell ref="AO2:AS2"/>
    <mergeCell ref="AW2:BA2"/>
    <mergeCell ref="BE2:BI2"/>
    <mergeCell ref="Y4:Y5"/>
    <mergeCell ref="AJ4:AJ5"/>
    <mergeCell ref="AK4:AK5"/>
    <mergeCell ref="AL4:AL5"/>
    <mergeCell ref="AM4:AM5"/>
    <mergeCell ref="AR4:AR5"/>
    <mergeCell ref="AS4:AS5"/>
    <mergeCell ref="AP4:AQ4"/>
    <mergeCell ref="AP5:AQ5"/>
    <mergeCell ref="R4:S4"/>
    <mergeCell ref="R5:S5"/>
    <mergeCell ref="AG4:AG5"/>
    <mergeCell ref="AB4:AB5"/>
    <mergeCell ref="CC41:CC46"/>
    <mergeCell ref="CD41:CD42"/>
    <mergeCell ref="BU48:BU53"/>
    <mergeCell ref="BV48:BV49"/>
    <mergeCell ref="BV50:BW50"/>
    <mergeCell ref="BV51:BV52"/>
    <mergeCell ref="BV53:BW53"/>
    <mergeCell ref="CC48:CC53"/>
    <mergeCell ref="CD48:CD49"/>
    <mergeCell ref="CK48:CK53"/>
    <mergeCell ref="CL48:CL49"/>
    <mergeCell ref="BV11:BW11"/>
    <mergeCell ref="CD11:CE11"/>
    <mergeCell ref="CL8:CM8"/>
    <mergeCell ref="BV19:BW19"/>
    <mergeCell ref="CD19:CE19"/>
    <mergeCell ref="CL19:CM19"/>
    <mergeCell ref="CL22:CM22"/>
    <mergeCell ref="CD23:CD24"/>
    <mergeCell ref="CL23:CL24"/>
    <mergeCell ref="BU20:BU25"/>
    <mergeCell ref="BV20:BV21"/>
    <mergeCell ref="BV23:BV24"/>
    <mergeCell ref="BV25:BW25"/>
    <mergeCell ref="CL26:CM26"/>
    <mergeCell ref="BV33:BW33"/>
    <mergeCell ref="CD33:CE33"/>
    <mergeCell ref="CL33:CM33"/>
    <mergeCell ref="BV61:BW61"/>
    <mergeCell ref="CD61:CE61"/>
    <mergeCell ref="CL61:CM61"/>
    <mergeCell ref="BV75:BW75"/>
    <mergeCell ref="CD75:CE75"/>
    <mergeCell ref="CD26:CE26"/>
    <mergeCell ref="CS95:CS100"/>
    <mergeCell ref="R41:R42"/>
    <mergeCell ref="Y41:Y46"/>
    <mergeCell ref="Z41:Z42"/>
    <mergeCell ref="AG41:AG46"/>
    <mergeCell ref="BV41:BV42"/>
    <mergeCell ref="BV43:BW43"/>
    <mergeCell ref="BV44:BV45"/>
    <mergeCell ref="BV46:BW46"/>
    <mergeCell ref="CK41:CK46"/>
    <mergeCell ref="CL41:CL42"/>
    <mergeCell ref="CD43:CE43"/>
    <mergeCell ref="CL43:CM43"/>
    <mergeCell ref="CD44:CD45"/>
    <mergeCell ref="CL44:CL45"/>
    <mergeCell ref="CD46:CE46"/>
    <mergeCell ref="CL46:CM46"/>
    <mergeCell ref="AP41:AP42"/>
    <mergeCell ref="AW41:AW46"/>
    <mergeCell ref="BF44:BF45"/>
    <mergeCell ref="AP46:AQ46"/>
    <mergeCell ref="BU41:BU46"/>
    <mergeCell ref="BN43:BO43"/>
    <mergeCell ref="CL54:CM54"/>
    <mergeCell ref="CD54:CE54"/>
    <mergeCell ref="BF54:BG54"/>
    <mergeCell ref="BN54:BO54"/>
    <mergeCell ref="AP94:AQ94"/>
    <mergeCell ref="AW91:AZ91"/>
    <mergeCell ref="BV60:BW60"/>
    <mergeCell ref="AW55:AW60"/>
    <mergeCell ref="AX55:AX56"/>
    <mergeCell ref="BN53:BO53"/>
    <mergeCell ref="Z44:Z45"/>
    <mergeCell ref="AH44:AH45"/>
    <mergeCell ref="R43:S43"/>
    <mergeCell ref="CS2:CW2"/>
    <mergeCell ref="CS4:CS5"/>
    <mergeCell ref="CT4:CU4"/>
    <mergeCell ref="CT5:CU5"/>
    <mergeCell ref="CW4:CW5"/>
    <mergeCell ref="CC2:CG2"/>
    <mergeCell ref="CC4:CC5"/>
    <mergeCell ref="CD4:CE4"/>
    <mergeCell ref="CD5:CE5"/>
    <mergeCell ref="BU2:BY2"/>
    <mergeCell ref="BU4:BU5"/>
    <mergeCell ref="BV4:BW4"/>
    <mergeCell ref="BV5:BW5"/>
    <mergeCell ref="BV6:BV7"/>
    <mergeCell ref="AC4:AC5"/>
    <mergeCell ref="AD4:AD5"/>
    <mergeCell ref="AE4:AE5"/>
    <mergeCell ref="Z4:AA4"/>
    <mergeCell ref="Z5:AA5"/>
    <mergeCell ref="T4:T5"/>
    <mergeCell ref="U4:U5"/>
    <mergeCell ref="V4:V5"/>
    <mergeCell ref="W4:W5"/>
    <mergeCell ref="BH4:BH5"/>
    <mergeCell ref="AX43:AY43"/>
    <mergeCell ref="BF43:BG43"/>
    <mergeCell ref="BJ4:BJ5"/>
    <mergeCell ref="CK2:CO2"/>
    <mergeCell ref="AX44:AX45"/>
    <mergeCell ref="B44:B45"/>
    <mergeCell ref="CD47:CE47"/>
    <mergeCell ref="CL47:CM47"/>
    <mergeCell ref="CT47:CU47"/>
    <mergeCell ref="CT46:CU46"/>
    <mergeCell ref="B47:C47"/>
    <mergeCell ref="J47:K47"/>
    <mergeCell ref="R47:S47"/>
    <mergeCell ref="Z47:AA47"/>
    <mergeCell ref="AH47:AI47"/>
    <mergeCell ref="AX47:AY47"/>
    <mergeCell ref="B41:B42"/>
    <mergeCell ref="I41:I46"/>
    <mergeCell ref="J41:J42"/>
    <mergeCell ref="Q41:Q46"/>
    <mergeCell ref="B43:C43"/>
    <mergeCell ref="J43:K43"/>
    <mergeCell ref="AX41:AX42"/>
    <mergeCell ref="BE41:BE46"/>
    <mergeCell ref="BF41:BF42"/>
    <mergeCell ref="BM41:BM46"/>
    <mergeCell ref="AH41:AH42"/>
    <mergeCell ref="AO41:AO46"/>
    <mergeCell ref="B46:C46"/>
    <mergeCell ref="J44:J45"/>
    <mergeCell ref="R44:R45"/>
    <mergeCell ref="J46:K46"/>
    <mergeCell ref="R46:S46"/>
    <mergeCell ref="Z46:AA46"/>
    <mergeCell ref="AH46:AI46"/>
    <mergeCell ref="AP44:AP45"/>
    <mergeCell ref="B50:C50"/>
    <mergeCell ref="J50:K50"/>
    <mergeCell ref="R50:S50"/>
    <mergeCell ref="Z50:AA50"/>
    <mergeCell ref="AH50:AI50"/>
    <mergeCell ref="AP50:AQ50"/>
    <mergeCell ref="AX50:AY50"/>
    <mergeCell ref="BF50:BG50"/>
    <mergeCell ref="B51:B52"/>
    <mergeCell ref="J51:J52"/>
    <mergeCell ref="R51:R52"/>
    <mergeCell ref="Z51:Z52"/>
    <mergeCell ref="AH51:AH52"/>
    <mergeCell ref="Z48:Z49"/>
    <mergeCell ref="AG48:AG53"/>
    <mergeCell ref="R48:R49"/>
    <mergeCell ref="Y48:Y53"/>
    <mergeCell ref="AP51:AP52"/>
    <mergeCell ref="AX51:AX52"/>
    <mergeCell ref="BF51:BF52"/>
    <mergeCell ref="CT54:CU54"/>
    <mergeCell ref="CT53:CU53"/>
    <mergeCell ref="B54:C54"/>
    <mergeCell ref="J54:K54"/>
    <mergeCell ref="R54:S54"/>
    <mergeCell ref="Z54:AA54"/>
    <mergeCell ref="AH54:AI54"/>
    <mergeCell ref="AP54:AQ54"/>
    <mergeCell ref="AX54:AY54"/>
    <mergeCell ref="B48:B49"/>
    <mergeCell ref="I48:I53"/>
    <mergeCell ref="J48:J49"/>
    <mergeCell ref="Q48:Q53"/>
    <mergeCell ref="AX48:AX49"/>
    <mergeCell ref="BE48:BE53"/>
    <mergeCell ref="BF48:BF49"/>
    <mergeCell ref="BM48:BM53"/>
    <mergeCell ref="AH48:AH49"/>
    <mergeCell ref="AO48:AO53"/>
    <mergeCell ref="AP48:AP49"/>
    <mergeCell ref="AW48:AW53"/>
    <mergeCell ref="BN48:BN49"/>
    <mergeCell ref="BN50:BO50"/>
    <mergeCell ref="B53:C53"/>
    <mergeCell ref="J53:K53"/>
    <mergeCell ref="R53:S53"/>
    <mergeCell ref="Z53:AA53"/>
    <mergeCell ref="AH53:AI53"/>
    <mergeCell ref="AP53:AQ53"/>
    <mergeCell ref="AX53:AY53"/>
    <mergeCell ref="BF53:BG53"/>
    <mergeCell ref="BV54:BW54"/>
    <mergeCell ref="B55:B56"/>
    <mergeCell ref="I55:I60"/>
    <mergeCell ref="J55:J56"/>
    <mergeCell ref="BN57:BO57"/>
    <mergeCell ref="BV57:BW57"/>
    <mergeCell ref="AB93:AB94"/>
    <mergeCell ref="AC93:AC94"/>
    <mergeCell ref="AD93:AD94"/>
    <mergeCell ref="AE93:AE94"/>
    <mergeCell ref="AJ93:AJ94"/>
    <mergeCell ref="Z93:AA93"/>
    <mergeCell ref="Z94:AA94"/>
    <mergeCell ref="CS93:CS94"/>
    <mergeCell ref="BB93:BB94"/>
    <mergeCell ref="BC93:BC94"/>
    <mergeCell ref="BE93:BE94"/>
    <mergeCell ref="BF93:BG93"/>
    <mergeCell ref="BF94:BG94"/>
    <mergeCell ref="BH93:BH94"/>
    <mergeCell ref="AW93:AW94"/>
    <mergeCell ref="AX93:AY93"/>
    <mergeCell ref="AX94:AY94"/>
    <mergeCell ref="BA93:BA94"/>
    <mergeCell ref="AK93:AK94"/>
    <mergeCell ref="AL93:AL94"/>
    <mergeCell ref="AM93:AM94"/>
    <mergeCell ref="AR93:AR94"/>
    <mergeCell ref="AS93:AS94"/>
    <mergeCell ref="AT93:AT94"/>
    <mergeCell ref="AP93:AQ93"/>
    <mergeCell ref="BE91:BH91"/>
    <mergeCell ref="BM91:BP91"/>
    <mergeCell ref="CS91:CW91"/>
    <mergeCell ref="BU91:BX91"/>
    <mergeCell ref="CC91:CF91"/>
    <mergeCell ref="CK91:CN91"/>
    <mergeCell ref="D93:D94"/>
    <mergeCell ref="E93:E94"/>
    <mergeCell ref="F93:F94"/>
    <mergeCell ref="G93:G94"/>
    <mergeCell ref="I93:I94"/>
    <mergeCell ref="AU93:AU94"/>
    <mergeCell ref="A91:D91"/>
    <mergeCell ref="Y93:Y94"/>
    <mergeCell ref="T93:T94"/>
    <mergeCell ref="U93:U94"/>
    <mergeCell ref="V93:V94"/>
    <mergeCell ref="W93:W94"/>
    <mergeCell ref="I91:L91"/>
    <mergeCell ref="Q91:T91"/>
    <mergeCell ref="Y91:AB91"/>
    <mergeCell ref="AG91:AJ91"/>
    <mergeCell ref="AO91:AR91"/>
    <mergeCell ref="N93:N94"/>
    <mergeCell ref="O93:O94"/>
    <mergeCell ref="A93:A94"/>
    <mergeCell ref="AH93:AI93"/>
    <mergeCell ref="AH94:AI94"/>
    <mergeCell ref="B93:C93"/>
    <mergeCell ref="B94:C94"/>
    <mergeCell ref="AG93:AG94"/>
    <mergeCell ref="CA93:CA94"/>
    <mergeCell ref="BR93:BR94"/>
    <mergeCell ref="BS93:BS94"/>
  </mergeCells>
  <phoneticPr fontId="14" type="noConversion"/>
  <printOptions horizontalCentered="1" verticalCentered="1"/>
  <pageMargins left="0.74803149606299213" right="0.74803149606299213" top="0.19685039370078741" bottom="0.19685039370078741" header="0.51181102362204722" footer="0.51181102362204722"/>
  <pageSetup paperSize="9" scale="1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"/>
  <sheetViews>
    <sheetView rightToLeft="1" workbookViewId="0">
      <selection activeCell="C20" sqref="C20"/>
    </sheetView>
  </sheetViews>
  <sheetFormatPr defaultColWidth="13.7109375" defaultRowHeight="12.75" x14ac:dyDescent="0.2"/>
  <cols>
    <col min="1" max="7" width="13.7109375" style="2" customWidth="1"/>
    <col min="8" max="8" width="2.28515625" style="2" customWidth="1"/>
    <col min="9" max="15" width="13.7109375" style="2" customWidth="1"/>
    <col min="16" max="16" width="2.28515625" style="2" customWidth="1"/>
    <col min="17" max="23" width="13.7109375" style="2" customWidth="1"/>
    <col min="24" max="24" width="2.28515625" style="2" customWidth="1"/>
    <col min="25" max="31" width="13.7109375" style="2" customWidth="1"/>
    <col min="32" max="32" width="2.28515625" style="2" customWidth="1"/>
    <col min="33" max="39" width="13.7109375" style="2" customWidth="1"/>
    <col min="40" max="40" width="2.28515625" style="2" customWidth="1"/>
    <col min="41" max="47" width="13.7109375" style="2" customWidth="1"/>
    <col min="48" max="48" width="2.28515625" style="2" customWidth="1"/>
    <col min="49" max="55" width="13.7109375" style="2" customWidth="1"/>
    <col min="56" max="56" width="2.28515625" style="2" customWidth="1"/>
    <col min="57" max="63" width="13.7109375" style="2" customWidth="1"/>
    <col min="64" max="64" width="2.28515625" style="2" customWidth="1"/>
    <col min="65" max="71" width="13.7109375" style="2" customWidth="1"/>
    <col min="72" max="72" width="2.28515625" style="2" customWidth="1"/>
    <col min="73" max="79" width="13.7109375" style="2" customWidth="1"/>
    <col min="80" max="80" width="2.28515625" style="2" customWidth="1"/>
    <col min="81" max="87" width="13.7109375" style="2" customWidth="1"/>
    <col min="88" max="88" width="2.28515625" style="2" customWidth="1"/>
    <col min="89" max="95" width="13.7109375" style="2" customWidth="1"/>
    <col min="96" max="96" width="2.28515625" style="2" customWidth="1"/>
    <col min="97" max="103" width="13.7109375" style="2" customWidth="1"/>
    <col min="104" max="104" width="2.5703125" style="2" customWidth="1"/>
    <col min="105" max="16384" width="13.7109375" style="2"/>
  </cols>
  <sheetData>
    <row r="1" spans="1:104" ht="13.5" thickBo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</row>
    <row r="2" spans="1:104" ht="20.25" customHeight="1" x14ac:dyDescent="0.25">
      <c r="A2" s="184" t="s">
        <v>17</v>
      </c>
      <c r="B2" s="185"/>
      <c r="C2" s="185"/>
      <c r="D2" s="30"/>
      <c r="E2" s="31"/>
      <c r="F2" s="30"/>
      <c r="G2" s="32"/>
      <c r="H2" s="5"/>
      <c r="I2" s="184" t="s">
        <v>17</v>
      </c>
      <c r="J2" s="185"/>
      <c r="K2" s="185"/>
      <c r="L2" s="30"/>
      <c r="M2" s="31"/>
      <c r="N2" s="30"/>
      <c r="O2" s="32"/>
      <c r="P2" s="5"/>
      <c r="Q2" s="184" t="s">
        <v>17</v>
      </c>
      <c r="R2" s="185"/>
      <c r="S2" s="185"/>
      <c r="T2" s="30"/>
      <c r="U2" s="31"/>
      <c r="V2" s="30"/>
      <c r="W2" s="32"/>
      <c r="X2" s="5"/>
      <c r="Y2" s="184" t="s">
        <v>17</v>
      </c>
      <c r="Z2" s="185"/>
      <c r="AA2" s="185"/>
      <c r="AB2" s="30"/>
      <c r="AC2" s="31"/>
      <c r="AD2" s="30"/>
      <c r="AE2" s="32"/>
      <c r="AF2" s="5"/>
      <c r="AG2" s="184" t="s">
        <v>17</v>
      </c>
      <c r="AH2" s="185"/>
      <c r="AI2" s="185"/>
      <c r="AJ2" s="30"/>
      <c r="AK2" s="31"/>
      <c r="AL2" s="30"/>
      <c r="AM2" s="32"/>
      <c r="AN2" s="5"/>
      <c r="AO2" s="184" t="s">
        <v>17</v>
      </c>
      <c r="AP2" s="185"/>
      <c r="AQ2" s="185"/>
      <c r="AR2" s="30"/>
      <c r="AS2" s="31"/>
      <c r="AT2" s="30"/>
      <c r="AU2" s="32"/>
      <c r="AV2" s="5"/>
      <c r="AW2" s="184" t="s">
        <v>17</v>
      </c>
      <c r="AX2" s="185"/>
      <c r="AY2" s="185"/>
      <c r="AZ2" s="30"/>
      <c r="BA2" s="31"/>
      <c r="BB2" s="30"/>
      <c r="BC2" s="32"/>
      <c r="BD2" s="5"/>
      <c r="BE2" s="184" t="s">
        <v>17</v>
      </c>
      <c r="BF2" s="185"/>
      <c r="BG2" s="185"/>
      <c r="BH2" s="30"/>
      <c r="BI2" s="31"/>
      <c r="BJ2" s="30"/>
      <c r="BK2" s="32"/>
      <c r="BL2" s="5"/>
      <c r="BM2" s="184" t="s">
        <v>17</v>
      </c>
      <c r="BN2" s="185"/>
      <c r="BO2" s="185"/>
      <c r="BP2" s="30"/>
      <c r="BQ2" s="31"/>
      <c r="BR2" s="30"/>
      <c r="BS2" s="32"/>
      <c r="BT2" s="5"/>
      <c r="BU2" s="184" t="s">
        <v>17</v>
      </c>
      <c r="BV2" s="185"/>
      <c r="BW2" s="185"/>
      <c r="BX2" s="30"/>
      <c r="BY2" s="31"/>
      <c r="BZ2" s="30"/>
      <c r="CA2" s="32"/>
      <c r="CB2" s="5"/>
      <c r="CC2" s="184" t="s">
        <v>17</v>
      </c>
      <c r="CD2" s="185"/>
      <c r="CE2" s="185"/>
      <c r="CF2" s="30"/>
      <c r="CG2" s="31"/>
      <c r="CH2" s="30"/>
      <c r="CI2" s="32"/>
      <c r="CJ2" s="5"/>
      <c r="CK2" s="184" t="s">
        <v>17</v>
      </c>
      <c r="CL2" s="185"/>
      <c r="CM2" s="185"/>
      <c r="CN2" s="30"/>
      <c r="CO2" s="31"/>
      <c r="CP2" s="30"/>
      <c r="CQ2" s="32"/>
      <c r="CR2" s="5"/>
      <c r="CS2" s="184" t="s">
        <v>17</v>
      </c>
      <c r="CT2" s="185"/>
      <c r="CU2" s="185"/>
      <c r="CV2" s="30"/>
      <c r="CW2" s="31"/>
      <c r="CX2" s="30"/>
      <c r="CY2" s="32"/>
      <c r="CZ2" s="5"/>
    </row>
    <row r="3" spans="1:104" ht="18.75" thickBot="1" x14ac:dyDescent="0.3">
      <c r="A3" s="33"/>
      <c r="B3" s="24"/>
      <c r="C3" s="24" t="s">
        <v>0</v>
      </c>
      <c r="D3" s="25">
        <v>1</v>
      </c>
      <c r="E3" s="24" t="s">
        <v>4</v>
      </c>
      <c r="F3" s="26">
        <f>SUM(ضماد!F3)</f>
        <v>1447</v>
      </c>
      <c r="G3" s="34" t="s">
        <v>13</v>
      </c>
      <c r="H3" s="5"/>
      <c r="I3" s="33"/>
      <c r="J3" s="24"/>
      <c r="K3" s="24" t="s">
        <v>0</v>
      </c>
      <c r="L3" s="25">
        <v>2</v>
      </c>
      <c r="M3" s="24" t="s">
        <v>4</v>
      </c>
      <c r="N3" s="26">
        <f>SUM(ضماد!N3)</f>
        <v>1447</v>
      </c>
      <c r="O3" s="34" t="s">
        <v>13</v>
      </c>
      <c r="P3" s="5"/>
      <c r="Q3" s="33"/>
      <c r="R3" s="24"/>
      <c r="S3" s="24" t="s">
        <v>0</v>
      </c>
      <c r="T3" s="25">
        <v>3</v>
      </c>
      <c r="U3" s="24" t="s">
        <v>4</v>
      </c>
      <c r="V3" s="26">
        <f>SUM(ضماد!V3)</f>
        <v>1447</v>
      </c>
      <c r="W3" s="34" t="s">
        <v>13</v>
      </c>
      <c r="X3" s="5"/>
      <c r="Y3" s="33"/>
      <c r="Z3" s="24"/>
      <c r="AA3" s="24" t="s">
        <v>0</v>
      </c>
      <c r="AB3" s="25">
        <v>4</v>
      </c>
      <c r="AC3" s="24" t="s">
        <v>4</v>
      </c>
      <c r="AD3" s="26">
        <f>SUM(ضماد!AD3)</f>
        <v>1447</v>
      </c>
      <c r="AE3" s="34" t="s">
        <v>13</v>
      </c>
      <c r="AF3" s="5"/>
      <c r="AG3" s="33"/>
      <c r="AH3" s="24"/>
      <c r="AI3" s="24" t="s">
        <v>0</v>
      </c>
      <c r="AJ3" s="25">
        <v>5</v>
      </c>
      <c r="AK3" s="24" t="s">
        <v>4</v>
      </c>
      <c r="AL3" s="26">
        <f>SUM(ضماد!AL3)</f>
        <v>1447</v>
      </c>
      <c r="AM3" s="34" t="s">
        <v>13</v>
      </c>
      <c r="AN3" s="5"/>
      <c r="AO3" s="33"/>
      <c r="AP3" s="24"/>
      <c r="AQ3" s="24" t="s">
        <v>0</v>
      </c>
      <c r="AR3" s="25">
        <v>6</v>
      </c>
      <c r="AS3" s="24" t="s">
        <v>4</v>
      </c>
      <c r="AT3" s="26">
        <f>SUM(ضماد!AT3)</f>
        <v>1447</v>
      </c>
      <c r="AU3" s="34" t="s">
        <v>13</v>
      </c>
      <c r="AV3" s="5"/>
      <c r="AW3" s="33"/>
      <c r="AX3" s="24"/>
      <c r="AY3" s="24" t="s">
        <v>0</v>
      </c>
      <c r="AZ3" s="25">
        <v>7</v>
      </c>
      <c r="BA3" s="24" t="s">
        <v>4</v>
      </c>
      <c r="BB3" s="26">
        <f>SUM(ضماد!BB3)</f>
        <v>1447</v>
      </c>
      <c r="BC3" s="34" t="s">
        <v>13</v>
      </c>
      <c r="BD3" s="5"/>
      <c r="BE3" s="33"/>
      <c r="BF3" s="24"/>
      <c r="BG3" s="24" t="s">
        <v>0</v>
      </c>
      <c r="BH3" s="25">
        <v>8</v>
      </c>
      <c r="BI3" s="24" t="s">
        <v>4</v>
      </c>
      <c r="BJ3" s="26">
        <f>SUM(ضماد!BJ3)</f>
        <v>1447</v>
      </c>
      <c r="BK3" s="34" t="s">
        <v>13</v>
      </c>
      <c r="BL3" s="5"/>
      <c r="BM3" s="33"/>
      <c r="BN3" s="24"/>
      <c r="BO3" s="24" t="s">
        <v>0</v>
      </c>
      <c r="BP3" s="25">
        <v>9</v>
      </c>
      <c r="BQ3" s="24" t="s">
        <v>4</v>
      </c>
      <c r="BR3" s="26">
        <f>SUM(ضماد!BR3)</f>
        <v>1447</v>
      </c>
      <c r="BS3" s="34" t="s">
        <v>13</v>
      </c>
      <c r="BT3" s="5"/>
      <c r="BU3" s="33"/>
      <c r="BV3" s="24"/>
      <c r="BW3" s="24" t="s">
        <v>0</v>
      </c>
      <c r="BX3" s="25">
        <v>10</v>
      </c>
      <c r="BY3" s="24" t="s">
        <v>4</v>
      </c>
      <c r="BZ3" s="26">
        <f>SUM(ضماد!BZ3)</f>
        <v>1447</v>
      </c>
      <c r="CA3" s="34" t="s">
        <v>13</v>
      </c>
      <c r="CB3" s="5"/>
      <c r="CC3" s="33"/>
      <c r="CD3" s="24"/>
      <c r="CE3" s="24" t="s">
        <v>0</v>
      </c>
      <c r="CF3" s="25">
        <v>11</v>
      </c>
      <c r="CG3" s="24" t="s">
        <v>4</v>
      </c>
      <c r="CH3" s="26">
        <f>SUM(ضماد!CH3)</f>
        <v>1447</v>
      </c>
      <c r="CI3" s="34" t="s">
        <v>13</v>
      </c>
      <c r="CJ3" s="5"/>
      <c r="CK3" s="33"/>
      <c r="CL3" s="24"/>
      <c r="CM3" s="24" t="s">
        <v>0</v>
      </c>
      <c r="CN3" s="25">
        <v>12</v>
      </c>
      <c r="CO3" s="24" t="s">
        <v>4</v>
      </c>
      <c r="CP3" s="26">
        <f>SUM(ضماد!CP3)</f>
        <v>1447</v>
      </c>
      <c r="CQ3" s="34" t="s">
        <v>13</v>
      </c>
      <c r="CR3" s="5"/>
      <c r="CS3" s="33"/>
      <c r="CT3" s="24"/>
      <c r="CU3" s="24"/>
      <c r="CV3" s="25"/>
      <c r="CW3" s="24" t="s">
        <v>4</v>
      </c>
      <c r="CX3" s="26">
        <f>SUM(CP3)</f>
        <v>1447</v>
      </c>
      <c r="CY3" s="34" t="s">
        <v>13</v>
      </c>
      <c r="CZ3" s="5"/>
    </row>
    <row r="4" spans="1:104" ht="15.75" x14ac:dyDescent="0.2">
      <c r="A4" s="176" t="s">
        <v>5</v>
      </c>
      <c r="B4" s="178" t="s">
        <v>16</v>
      </c>
      <c r="C4" s="183"/>
      <c r="D4" s="180" t="s">
        <v>1</v>
      </c>
      <c r="E4" s="170" t="s">
        <v>6</v>
      </c>
      <c r="F4" s="170" t="s">
        <v>2</v>
      </c>
      <c r="G4" s="172" t="s">
        <v>7</v>
      </c>
      <c r="H4" s="5"/>
      <c r="I4" s="176" t="s">
        <v>5</v>
      </c>
      <c r="J4" s="178" t="s">
        <v>16</v>
      </c>
      <c r="K4" s="183"/>
      <c r="L4" s="180" t="s">
        <v>1</v>
      </c>
      <c r="M4" s="170" t="s">
        <v>6</v>
      </c>
      <c r="N4" s="170" t="s">
        <v>2</v>
      </c>
      <c r="O4" s="172" t="s">
        <v>7</v>
      </c>
      <c r="P4" s="5"/>
      <c r="Q4" s="176" t="s">
        <v>5</v>
      </c>
      <c r="R4" s="178" t="s">
        <v>16</v>
      </c>
      <c r="S4" s="183"/>
      <c r="T4" s="180" t="s">
        <v>1</v>
      </c>
      <c r="U4" s="170" t="s">
        <v>6</v>
      </c>
      <c r="V4" s="170" t="s">
        <v>2</v>
      </c>
      <c r="W4" s="172" t="s">
        <v>7</v>
      </c>
      <c r="X4" s="5"/>
      <c r="Y4" s="176" t="s">
        <v>5</v>
      </c>
      <c r="Z4" s="178" t="s">
        <v>16</v>
      </c>
      <c r="AA4" s="183"/>
      <c r="AB4" s="180" t="s">
        <v>1</v>
      </c>
      <c r="AC4" s="170" t="s">
        <v>6</v>
      </c>
      <c r="AD4" s="170" t="s">
        <v>2</v>
      </c>
      <c r="AE4" s="172" t="s">
        <v>7</v>
      </c>
      <c r="AF4" s="5"/>
      <c r="AG4" s="176" t="s">
        <v>5</v>
      </c>
      <c r="AH4" s="178" t="s">
        <v>16</v>
      </c>
      <c r="AI4" s="183"/>
      <c r="AJ4" s="180" t="s">
        <v>1</v>
      </c>
      <c r="AK4" s="170" t="s">
        <v>6</v>
      </c>
      <c r="AL4" s="170" t="s">
        <v>2</v>
      </c>
      <c r="AM4" s="172" t="s">
        <v>7</v>
      </c>
      <c r="AN4" s="5"/>
      <c r="AO4" s="176" t="s">
        <v>5</v>
      </c>
      <c r="AP4" s="178" t="s">
        <v>16</v>
      </c>
      <c r="AQ4" s="183"/>
      <c r="AR4" s="180" t="s">
        <v>1</v>
      </c>
      <c r="AS4" s="170" t="s">
        <v>6</v>
      </c>
      <c r="AT4" s="170" t="s">
        <v>2</v>
      </c>
      <c r="AU4" s="172" t="s">
        <v>7</v>
      </c>
      <c r="AV4" s="5"/>
      <c r="AW4" s="176" t="s">
        <v>5</v>
      </c>
      <c r="AX4" s="178" t="s">
        <v>16</v>
      </c>
      <c r="AY4" s="183"/>
      <c r="AZ4" s="180" t="s">
        <v>1</v>
      </c>
      <c r="BA4" s="170" t="s">
        <v>6</v>
      </c>
      <c r="BB4" s="170" t="s">
        <v>2</v>
      </c>
      <c r="BC4" s="172" t="s">
        <v>7</v>
      </c>
      <c r="BD4" s="5"/>
      <c r="BE4" s="176" t="s">
        <v>5</v>
      </c>
      <c r="BF4" s="178" t="s">
        <v>16</v>
      </c>
      <c r="BG4" s="183"/>
      <c r="BH4" s="180" t="s">
        <v>1</v>
      </c>
      <c r="BI4" s="170" t="s">
        <v>6</v>
      </c>
      <c r="BJ4" s="170" t="s">
        <v>2</v>
      </c>
      <c r="BK4" s="172" t="s">
        <v>7</v>
      </c>
      <c r="BL4" s="5"/>
      <c r="BM4" s="176" t="s">
        <v>5</v>
      </c>
      <c r="BN4" s="178" t="s">
        <v>16</v>
      </c>
      <c r="BO4" s="183"/>
      <c r="BP4" s="180" t="s">
        <v>1</v>
      </c>
      <c r="BQ4" s="170" t="s">
        <v>6</v>
      </c>
      <c r="BR4" s="170" t="s">
        <v>2</v>
      </c>
      <c r="BS4" s="172" t="s">
        <v>7</v>
      </c>
      <c r="BT4" s="5"/>
      <c r="BU4" s="176" t="s">
        <v>5</v>
      </c>
      <c r="BV4" s="178" t="s">
        <v>16</v>
      </c>
      <c r="BW4" s="183"/>
      <c r="BX4" s="180" t="s">
        <v>1</v>
      </c>
      <c r="BY4" s="170" t="s">
        <v>6</v>
      </c>
      <c r="BZ4" s="170" t="s">
        <v>2</v>
      </c>
      <c r="CA4" s="172" t="s">
        <v>7</v>
      </c>
      <c r="CB4" s="5"/>
      <c r="CC4" s="176" t="s">
        <v>5</v>
      </c>
      <c r="CD4" s="178" t="s">
        <v>16</v>
      </c>
      <c r="CE4" s="183"/>
      <c r="CF4" s="180" t="s">
        <v>1</v>
      </c>
      <c r="CG4" s="170" t="s">
        <v>6</v>
      </c>
      <c r="CH4" s="170" t="s">
        <v>2</v>
      </c>
      <c r="CI4" s="172" t="s">
        <v>7</v>
      </c>
      <c r="CJ4" s="5"/>
      <c r="CK4" s="176" t="s">
        <v>5</v>
      </c>
      <c r="CL4" s="178" t="s">
        <v>16</v>
      </c>
      <c r="CM4" s="183"/>
      <c r="CN4" s="180" t="s">
        <v>1</v>
      </c>
      <c r="CO4" s="170" t="s">
        <v>6</v>
      </c>
      <c r="CP4" s="170" t="s">
        <v>2</v>
      </c>
      <c r="CQ4" s="172" t="s">
        <v>7</v>
      </c>
      <c r="CR4" s="5"/>
      <c r="CS4" s="176" t="s">
        <v>5</v>
      </c>
      <c r="CT4" s="178" t="s">
        <v>16</v>
      </c>
      <c r="CU4" s="179"/>
      <c r="CV4" s="180" t="s">
        <v>1</v>
      </c>
      <c r="CW4" s="170" t="s">
        <v>6</v>
      </c>
      <c r="CX4" s="170" t="s">
        <v>2</v>
      </c>
      <c r="CY4" s="172" t="s">
        <v>7</v>
      </c>
      <c r="CZ4" s="5"/>
    </row>
    <row r="5" spans="1:104" ht="16.5" thickBot="1" x14ac:dyDescent="0.25">
      <c r="A5" s="177"/>
      <c r="B5" s="174" t="s">
        <v>15</v>
      </c>
      <c r="C5" s="175"/>
      <c r="D5" s="181"/>
      <c r="E5" s="171"/>
      <c r="F5" s="171"/>
      <c r="G5" s="173"/>
      <c r="H5" s="5"/>
      <c r="I5" s="177"/>
      <c r="J5" s="174" t="s">
        <v>15</v>
      </c>
      <c r="K5" s="175"/>
      <c r="L5" s="181"/>
      <c r="M5" s="171"/>
      <c r="N5" s="171"/>
      <c r="O5" s="173"/>
      <c r="P5" s="5"/>
      <c r="Q5" s="177"/>
      <c r="R5" s="174" t="s">
        <v>15</v>
      </c>
      <c r="S5" s="175"/>
      <c r="T5" s="181"/>
      <c r="U5" s="171"/>
      <c r="V5" s="171"/>
      <c r="W5" s="173"/>
      <c r="X5" s="5"/>
      <c r="Y5" s="177"/>
      <c r="Z5" s="174" t="s">
        <v>15</v>
      </c>
      <c r="AA5" s="175"/>
      <c r="AB5" s="181"/>
      <c r="AC5" s="171"/>
      <c r="AD5" s="171"/>
      <c r="AE5" s="173"/>
      <c r="AF5" s="5"/>
      <c r="AG5" s="177"/>
      <c r="AH5" s="174" t="s">
        <v>15</v>
      </c>
      <c r="AI5" s="175"/>
      <c r="AJ5" s="181"/>
      <c r="AK5" s="171"/>
      <c r="AL5" s="171"/>
      <c r="AM5" s="173"/>
      <c r="AN5" s="5"/>
      <c r="AO5" s="177"/>
      <c r="AP5" s="174" t="s">
        <v>15</v>
      </c>
      <c r="AQ5" s="175"/>
      <c r="AR5" s="181"/>
      <c r="AS5" s="171"/>
      <c r="AT5" s="171"/>
      <c r="AU5" s="173"/>
      <c r="AV5" s="5"/>
      <c r="AW5" s="177"/>
      <c r="AX5" s="174" t="s">
        <v>15</v>
      </c>
      <c r="AY5" s="175"/>
      <c r="AZ5" s="181"/>
      <c r="BA5" s="171"/>
      <c r="BB5" s="171"/>
      <c r="BC5" s="173"/>
      <c r="BD5" s="5"/>
      <c r="BE5" s="177"/>
      <c r="BF5" s="174" t="s">
        <v>15</v>
      </c>
      <c r="BG5" s="175"/>
      <c r="BH5" s="181"/>
      <c r="BI5" s="171"/>
      <c r="BJ5" s="171"/>
      <c r="BK5" s="173"/>
      <c r="BL5" s="5"/>
      <c r="BM5" s="177"/>
      <c r="BN5" s="174" t="s">
        <v>15</v>
      </c>
      <c r="BO5" s="175"/>
      <c r="BP5" s="181"/>
      <c r="BQ5" s="171"/>
      <c r="BR5" s="171"/>
      <c r="BS5" s="173"/>
      <c r="BT5" s="5"/>
      <c r="BU5" s="177"/>
      <c r="BV5" s="174" t="s">
        <v>15</v>
      </c>
      <c r="BW5" s="175"/>
      <c r="BX5" s="181"/>
      <c r="BY5" s="171"/>
      <c r="BZ5" s="171"/>
      <c r="CA5" s="173"/>
      <c r="CB5" s="5"/>
      <c r="CC5" s="177"/>
      <c r="CD5" s="174" t="s">
        <v>15</v>
      </c>
      <c r="CE5" s="175"/>
      <c r="CF5" s="181"/>
      <c r="CG5" s="171"/>
      <c r="CH5" s="171"/>
      <c r="CI5" s="173"/>
      <c r="CJ5" s="5"/>
      <c r="CK5" s="177"/>
      <c r="CL5" s="174" t="s">
        <v>15</v>
      </c>
      <c r="CM5" s="175"/>
      <c r="CN5" s="181"/>
      <c r="CO5" s="171"/>
      <c r="CP5" s="171"/>
      <c r="CQ5" s="173"/>
      <c r="CR5" s="5"/>
      <c r="CS5" s="177"/>
      <c r="CT5" s="174" t="s">
        <v>15</v>
      </c>
      <c r="CU5" s="182"/>
      <c r="CV5" s="181"/>
      <c r="CW5" s="171"/>
      <c r="CX5" s="171"/>
      <c r="CY5" s="173"/>
      <c r="CZ5" s="5"/>
    </row>
    <row r="6" spans="1:104" ht="18" customHeight="1" x14ac:dyDescent="0.2">
      <c r="A6" s="142" t="s">
        <v>28</v>
      </c>
      <c r="B6" s="166" t="s">
        <v>3</v>
      </c>
      <c r="C6" s="28" t="s">
        <v>8</v>
      </c>
      <c r="D6" s="48">
        <f>SUM(ضماد!D95)</f>
        <v>0</v>
      </c>
      <c r="E6" s="49">
        <f>SUM(ضماد!E95)</f>
        <v>525</v>
      </c>
      <c r="F6" s="49">
        <f>SUM(ضماد!F95)</f>
        <v>724</v>
      </c>
      <c r="G6" s="50">
        <f>SUM(ضماد!G95)</f>
        <v>676</v>
      </c>
      <c r="H6" s="5"/>
      <c r="I6" s="142" t="s">
        <v>28</v>
      </c>
      <c r="J6" s="166" t="s">
        <v>3</v>
      </c>
      <c r="K6" s="28" t="s">
        <v>8</v>
      </c>
      <c r="L6" s="48">
        <f>SUM(ضماد!L95)</f>
        <v>0</v>
      </c>
      <c r="M6" s="49">
        <f>SUM(ضماد!M95)</f>
        <v>569</v>
      </c>
      <c r="N6" s="49">
        <f>SUM(ضماد!N95)</f>
        <v>540</v>
      </c>
      <c r="O6" s="50">
        <f>SUM(ضماد!O95)</f>
        <v>587</v>
      </c>
      <c r="P6" s="5"/>
      <c r="Q6" s="142" t="s">
        <v>28</v>
      </c>
      <c r="R6" s="166" t="s">
        <v>3</v>
      </c>
      <c r="S6" s="28" t="s">
        <v>8</v>
      </c>
      <c r="T6" s="48">
        <f>SUM(ضماد!T95)</f>
        <v>14</v>
      </c>
      <c r="U6" s="49">
        <f>SUM(ضماد!U95)</f>
        <v>533</v>
      </c>
      <c r="V6" s="49">
        <f>SUM(ضماد!V95)</f>
        <v>666</v>
      </c>
      <c r="W6" s="50">
        <f>SUM(ضماد!W95)</f>
        <v>597</v>
      </c>
      <c r="X6" s="5"/>
      <c r="Y6" s="142" t="s">
        <v>28</v>
      </c>
      <c r="Z6" s="166" t="s">
        <v>3</v>
      </c>
      <c r="AA6" s="28" t="s">
        <v>8</v>
      </c>
      <c r="AB6" s="48">
        <f>SUM(ضماد!AB95)</f>
        <v>3</v>
      </c>
      <c r="AC6" s="49">
        <f>SUM(ضماد!AC95)</f>
        <v>303</v>
      </c>
      <c r="AD6" s="49">
        <f>SUM(ضماد!AD95)</f>
        <v>509</v>
      </c>
      <c r="AE6" s="50">
        <f>SUM(ضماد!AE95)</f>
        <v>385</v>
      </c>
      <c r="AF6" s="5"/>
      <c r="AG6" s="142" t="s">
        <v>28</v>
      </c>
      <c r="AH6" s="166" t="s">
        <v>3</v>
      </c>
      <c r="AI6" s="28" t="s">
        <v>8</v>
      </c>
      <c r="AJ6" s="48">
        <f>SUM(ضماد!AJ95)</f>
        <v>6</v>
      </c>
      <c r="AK6" s="49">
        <f>SUM(ضماد!AK95)</f>
        <v>466</v>
      </c>
      <c r="AL6" s="49">
        <f>SUM(ضماد!AL95)</f>
        <v>616</v>
      </c>
      <c r="AM6" s="50">
        <f>SUM(ضماد!AM95)</f>
        <v>686</v>
      </c>
      <c r="AN6" s="5"/>
      <c r="AO6" s="142" t="s">
        <v>28</v>
      </c>
      <c r="AP6" s="166" t="s">
        <v>3</v>
      </c>
      <c r="AQ6" s="28" t="s">
        <v>8</v>
      </c>
      <c r="AR6" s="48">
        <f>SUM(ضماد!AR95)</f>
        <v>2</v>
      </c>
      <c r="AS6" s="49">
        <f>SUM(ضماد!AS95)</f>
        <v>523</v>
      </c>
      <c r="AT6" s="49">
        <f>SUM(ضماد!AT95)</f>
        <v>805</v>
      </c>
      <c r="AU6" s="50">
        <f>SUM(ضماد!AU95)</f>
        <v>847</v>
      </c>
      <c r="AV6" s="5"/>
      <c r="AW6" s="142" t="s">
        <v>28</v>
      </c>
      <c r="AX6" s="166" t="s">
        <v>3</v>
      </c>
      <c r="AY6" s="28" t="s">
        <v>8</v>
      </c>
      <c r="AZ6" s="48">
        <f>SUM(ضماد!AZ95)</f>
        <v>194</v>
      </c>
      <c r="BA6" s="49">
        <f>SUM(ضماد!BA95)</f>
        <v>473</v>
      </c>
      <c r="BB6" s="49">
        <f>SUM(ضماد!BB95)</f>
        <v>760</v>
      </c>
      <c r="BC6" s="50">
        <f>SUM(ضماد!BC95)</f>
        <v>903</v>
      </c>
      <c r="BD6" s="5"/>
      <c r="BE6" s="142" t="s">
        <v>28</v>
      </c>
      <c r="BF6" s="166" t="s">
        <v>3</v>
      </c>
      <c r="BG6" s="28" t="s">
        <v>8</v>
      </c>
      <c r="BH6" s="48">
        <f>SUM(ضماد!BH95)</f>
        <v>2</v>
      </c>
      <c r="BI6" s="49">
        <f>SUM(ضماد!BI95)</f>
        <v>523</v>
      </c>
      <c r="BJ6" s="49">
        <f>SUM(ضماد!BJ95)</f>
        <v>787</v>
      </c>
      <c r="BK6" s="50">
        <f>SUM(ضماد!BK95)</f>
        <v>855</v>
      </c>
      <c r="BL6" s="5"/>
      <c r="BM6" s="142" t="s">
        <v>28</v>
      </c>
      <c r="BN6" s="166" t="s">
        <v>3</v>
      </c>
      <c r="BO6" s="28" t="s">
        <v>8</v>
      </c>
      <c r="BP6" s="48">
        <f>SUM(ضماد!BP95)</f>
        <v>27</v>
      </c>
      <c r="BQ6" s="49">
        <f>SUM(ضماد!BQ95)</f>
        <v>346</v>
      </c>
      <c r="BR6" s="49">
        <f>SUM(ضماد!BR95)</f>
        <v>321</v>
      </c>
      <c r="BS6" s="50">
        <f>SUM(ضماد!BS95)</f>
        <v>465</v>
      </c>
      <c r="BT6" s="5"/>
      <c r="BU6" s="142" t="s">
        <v>28</v>
      </c>
      <c r="BV6" s="166" t="s">
        <v>3</v>
      </c>
      <c r="BW6" s="28" t="s">
        <v>8</v>
      </c>
      <c r="BX6" s="48">
        <f>SUM(ضماد!BX95)</f>
        <v>0</v>
      </c>
      <c r="BY6" s="49">
        <f>SUM(ضماد!BY95)</f>
        <v>524</v>
      </c>
      <c r="BZ6" s="49">
        <f>SUM(ضماد!BZ95)</f>
        <v>723</v>
      </c>
      <c r="CA6" s="50">
        <f>SUM(ضماد!CA95)</f>
        <v>677</v>
      </c>
      <c r="CB6" s="5"/>
      <c r="CC6" s="142" t="s">
        <v>28</v>
      </c>
      <c r="CD6" s="166" t="s">
        <v>3</v>
      </c>
      <c r="CE6" s="28" t="s">
        <v>8</v>
      </c>
      <c r="CF6" s="48">
        <f>SUM(ضماد!CF95)</f>
        <v>0</v>
      </c>
      <c r="CG6" s="49">
        <f>SUM(ضماد!CG95)</f>
        <v>0</v>
      </c>
      <c r="CH6" s="49">
        <f>SUM(ضماد!CH95)</f>
        <v>0</v>
      </c>
      <c r="CI6" s="50">
        <f>SUM(ضماد!CI95)</f>
        <v>0</v>
      </c>
      <c r="CJ6" s="5"/>
      <c r="CK6" s="142" t="s">
        <v>28</v>
      </c>
      <c r="CL6" s="166" t="s">
        <v>3</v>
      </c>
      <c r="CM6" s="28" t="s">
        <v>8</v>
      </c>
      <c r="CN6" s="48">
        <f>SUM(ضماد!CN95)</f>
        <v>0</v>
      </c>
      <c r="CO6" s="49">
        <f>SUM(ضماد!CO95)</f>
        <v>0</v>
      </c>
      <c r="CP6" s="49">
        <f>SUM(ضماد!CP95)</f>
        <v>0</v>
      </c>
      <c r="CQ6" s="50">
        <f>SUM(ضماد!CQ95)</f>
        <v>0</v>
      </c>
      <c r="CR6" s="5"/>
      <c r="CS6" s="142" t="s">
        <v>28</v>
      </c>
      <c r="CT6" s="166" t="s">
        <v>3</v>
      </c>
      <c r="CU6" s="28" t="s">
        <v>8</v>
      </c>
      <c r="CV6" s="48">
        <f>SUM(ضماد!CV95)</f>
        <v>248</v>
      </c>
      <c r="CW6" s="49">
        <f>SUM(ضماد!CW95)</f>
        <v>4785</v>
      </c>
      <c r="CX6" s="49">
        <f>SUM(ضماد!CX95)</f>
        <v>6451</v>
      </c>
      <c r="CY6" s="50">
        <f>SUM(ضماد!CY95)</f>
        <v>6678</v>
      </c>
      <c r="CZ6" s="5"/>
    </row>
    <row r="7" spans="1:104" ht="18.75" thickBot="1" x14ac:dyDescent="0.25">
      <c r="A7" s="143"/>
      <c r="B7" s="167"/>
      <c r="C7" s="29" t="s">
        <v>9</v>
      </c>
      <c r="D7" s="51">
        <f>SUM(ضماد!D96)</f>
        <v>0</v>
      </c>
      <c r="E7" s="52">
        <f>SUM(ضماد!E96)</f>
        <v>394</v>
      </c>
      <c r="F7" s="52">
        <f>SUM(ضماد!F96)</f>
        <v>662</v>
      </c>
      <c r="G7" s="53">
        <f>SUM(ضماد!G96)</f>
        <v>589</v>
      </c>
      <c r="H7" s="5"/>
      <c r="I7" s="143"/>
      <c r="J7" s="167"/>
      <c r="K7" s="29" t="s">
        <v>9</v>
      </c>
      <c r="L7" s="51">
        <f>SUM(ضماد!L96)</f>
        <v>0</v>
      </c>
      <c r="M7" s="52">
        <f>SUM(ضماد!M96)</f>
        <v>508</v>
      </c>
      <c r="N7" s="52">
        <f>SUM(ضماد!N96)</f>
        <v>519</v>
      </c>
      <c r="O7" s="53">
        <f>SUM(ضماد!O96)</f>
        <v>683</v>
      </c>
      <c r="P7" s="5"/>
      <c r="Q7" s="143"/>
      <c r="R7" s="167"/>
      <c r="S7" s="29" t="s">
        <v>9</v>
      </c>
      <c r="T7" s="51">
        <f>SUM(ضماد!T96)</f>
        <v>14</v>
      </c>
      <c r="U7" s="52">
        <f>SUM(ضماد!U96)</f>
        <v>429</v>
      </c>
      <c r="V7" s="52">
        <f>SUM(ضماد!V96)</f>
        <v>641</v>
      </c>
      <c r="W7" s="53">
        <f>SUM(ضماد!W96)</f>
        <v>407</v>
      </c>
      <c r="X7" s="5"/>
      <c r="Y7" s="143"/>
      <c r="Z7" s="167"/>
      <c r="AA7" s="29" t="s">
        <v>9</v>
      </c>
      <c r="AB7" s="51">
        <f>SUM(ضماد!AB96)</f>
        <v>2</v>
      </c>
      <c r="AC7" s="52">
        <f>SUM(ضماد!AC96)</f>
        <v>272</v>
      </c>
      <c r="AD7" s="52">
        <f>SUM(ضماد!AD96)</f>
        <v>457</v>
      </c>
      <c r="AE7" s="53">
        <f>SUM(ضماد!AE96)</f>
        <v>389</v>
      </c>
      <c r="AF7" s="5"/>
      <c r="AG7" s="143"/>
      <c r="AH7" s="167"/>
      <c r="AI7" s="29" t="s">
        <v>9</v>
      </c>
      <c r="AJ7" s="51">
        <f>SUM(ضماد!AJ96)</f>
        <v>3</v>
      </c>
      <c r="AK7" s="52">
        <f>SUM(ضماد!AK96)</f>
        <v>402</v>
      </c>
      <c r="AL7" s="52">
        <f>SUM(ضماد!AL96)</f>
        <v>605</v>
      </c>
      <c r="AM7" s="53">
        <f>SUM(ضماد!AM96)</f>
        <v>669</v>
      </c>
      <c r="AN7" s="5"/>
      <c r="AO7" s="143"/>
      <c r="AP7" s="167"/>
      <c r="AQ7" s="29" t="s">
        <v>9</v>
      </c>
      <c r="AR7" s="51">
        <f>SUM(ضماد!AR96)</f>
        <v>1</v>
      </c>
      <c r="AS7" s="52">
        <f>SUM(ضماد!AS96)</f>
        <v>497</v>
      </c>
      <c r="AT7" s="52">
        <f>SUM(ضماد!AT96)</f>
        <v>726</v>
      </c>
      <c r="AU7" s="53">
        <f>SUM(ضماد!AU96)</f>
        <v>765</v>
      </c>
      <c r="AV7" s="5"/>
      <c r="AW7" s="143"/>
      <c r="AX7" s="167"/>
      <c r="AY7" s="29" t="s">
        <v>9</v>
      </c>
      <c r="AZ7" s="51">
        <f>SUM(ضماد!AZ96)</f>
        <v>49</v>
      </c>
      <c r="BA7" s="52">
        <f>SUM(ضماد!BA96)</f>
        <v>381</v>
      </c>
      <c r="BB7" s="52">
        <f>SUM(ضماد!BB96)</f>
        <v>630</v>
      </c>
      <c r="BC7" s="53">
        <f>SUM(ضماد!BC96)</f>
        <v>816</v>
      </c>
      <c r="BD7" s="5"/>
      <c r="BE7" s="143"/>
      <c r="BF7" s="167"/>
      <c r="BG7" s="29" t="s">
        <v>9</v>
      </c>
      <c r="BH7" s="51">
        <f>SUM(ضماد!BH96)</f>
        <v>1</v>
      </c>
      <c r="BI7" s="52">
        <f>SUM(ضماد!BI96)</f>
        <v>492</v>
      </c>
      <c r="BJ7" s="52">
        <f>SUM(ضماد!BJ96)</f>
        <v>705</v>
      </c>
      <c r="BK7" s="53">
        <f>SUM(ضماد!BK96)</f>
        <v>747</v>
      </c>
      <c r="BL7" s="5"/>
      <c r="BM7" s="143"/>
      <c r="BN7" s="167"/>
      <c r="BO7" s="29" t="s">
        <v>9</v>
      </c>
      <c r="BP7" s="51">
        <f>SUM(ضماد!BP96)</f>
        <v>35</v>
      </c>
      <c r="BQ7" s="52">
        <f>SUM(ضماد!BQ96)</f>
        <v>306</v>
      </c>
      <c r="BR7" s="52">
        <f>SUM(ضماد!BR96)</f>
        <v>275</v>
      </c>
      <c r="BS7" s="53">
        <f>SUM(ضماد!BS96)</f>
        <v>403</v>
      </c>
      <c r="BT7" s="5"/>
      <c r="BU7" s="143"/>
      <c r="BV7" s="167"/>
      <c r="BW7" s="29" t="s">
        <v>9</v>
      </c>
      <c r="BX7" s="51">
        <f>SUM(ضماد!BX96)</f>
        <v>4</v>
      </c>
      <c r="BY7" s="52">
        <f>SUM(ضماد!BY96)</f>
        <v>393</v>
      </c>
      <c r="BZ7" s="52">
        <f>SUM(ضماد!BZ96)</f>
        <v>656</v>
      </c>
      <c r="CA7" s="53">
        <f>SUM(ضماد!CA96)</f>
        <v>588</v>
      </c>
      <c r="CB7" s="5"/>
      <c r="CC7" s="143"/>
      <c r="CD7" s="167"/>
      <c r="CE7" s="29" t="s">
        <v>9</v>
      </c>
      <c r="CF7" s="51">
        <f>SUM(ضماد!CF96)</f>
        <v>0</v>
      </c>
      <c r="CG7" s="52">
        <f>SUM(ضماد!CG96)</f>
        <v>0</v>
      </c>
      <c r="CH7" s="52">
        <f>SUM(ضماد!CH96)</f>
        <v>0</v>
      </c>
      <c r="CI7" s="53">
        <f>SUM(ضماد!CI96)</f>
        <v>0</v>
      </c>
      <c r="CJ7" s="5"/>
      <c r="CK7" s="143"/>
      <c r="CL7" s="167"/>
      <c r="CM7" s="29" t="s">
        <v>9</v>
      </c>
      <c r="CN7" s="51">
        <f>SUM(ضماد!CN96)</f>
        <v>0</v>
      </c>
      <c r="CO7" s="52">
        <f>SUM(ضماد!CO96)</f>
        <v>0</v>
      </c>
      <c r="CP7" s="52">
        <f>SUM(ضماد!CP96)</f>
        <v>0</v>
      </c>
      <c r="CQ7" s="53">
        <f>SUM(ضماد!CQ96)</f>
        <v>0</v>
      </c>
      <c r="CR7" s="5"/>
      <c r="CS7" s="143"/>
      <c r="CT7" s="167"/>
      <c r="CU7" s="29" t="s">
        <v>9</v>
      </c>
      <c r="CV7" s="51">
        <f>SUM(ضماد!CV96)</f>
        <v>109</v>
      </c>
      <c r="CW7" s="52">
        <f>SUM(ضماد!CW96)</f>
        <v>4074</v>
      </c>
      <c r="CX7" s="52">
        <f>SUM(ضماد!CX96)</f>
        <v>5876</v>
      </c>
      <c r="CY7" s="53">
        <f>SUM(ضماد!CY96)</f>
        <v>6056</v>
      </c>
      <c r="CZ7" s="5"/>
    </row>
    <row r="8" spans="1:104" ht="18.75" thickBot="1" x14ac:dyDescent="0.25">
      <c r="A8" s="143"/>
      <c r="B8" s="162" t="s">
        <v>10</v>
      </c>
      <c r="C8" s="163"/>
      <c r="D8" s="54">
        <f>SUM(D6:D7)</f>
        <v>0</v>
      </c>
      <c r="E8" s="55">
        <f>SUM(E6:E7)</f>
        <v>919</v>
      </c>
      <c r="F8" s="55">
        <f>SUM(F6:F7)</f>
        <v>1386</v>
      </c>
      <c r="G8" s="56">
        <f>SUM(G6:G7)</f>
        <v>1265</v>
      </c>
      <c r="H8" s="5"/>
      <c r="I8" s="143"/>
      <c r="J8" s="162" t="s">
        <v>10</v>
      </c>
      <c r="K8" s="163"/>
      <c r="L8" s="54">
        <f>SUM(L6:L7)</f>
        <v>0</v>
      </c>
      <c r="M8" s="55">
        <f>SUM(M6:M7)</f>
        <v>1077</v>
      </c>
      <c r="N8" s="55">
        <f>SUM(N6:N7)</f>
        <v>1059</v>
      </c>
      <c r="O8" s="56">
        <f>SUM(O6:O7)</f>
        <v>1270</v>
      </c>
      <c r="P8" s="5"/>
      <c r="Q8" s="143"/>
      <c r="R8" s="162" t="s">
        <v>10</v>
      </c>
      <c r="S8" s="163"/>
      <c r="T8" s="54">
        <f>SUM(T6:T7)</f>
        <v>28</v>
      </c>
      <c r="U8" s="55">
        <f>SUM(U6:U7)</f>
        <v>962</v>
      </c>
      <c r="V8" s="55">
        <f>SUM(V6:V7)</f>
        <v>1307</v>
      </c>
      <c r="W8" s="56">
        <f>SUM(W6:W7)</f>
        <v>1004</v>
      </c>
      <c r="X8" s="5"/>
      <c r="Y8" s="143"/>
      <c r="Z8" s="162" t="s">
        <v>10</v>
      </c>
      <c r="AA8" s="163"/>
      <c r="AB8" s="54">
        <f>SUM(AB6:AB7)</f>
        <v>5</v>
      </c>
      <c r="AC8" s="55">
        <f>SUM(AC6:AC7)</f>
        <v>575</v>
      </c>
      <c r="AD8" s="55">
        <f>SUM(AD6:AD7)</f>
        <v>966</v>
      </c>
      <c r="AE8" s="56">
        <f>SUM(AE6:AE7)</f>
        <v>774</v>
      </c>
      <c r="AF8" s="5"/>
      <c r="AG8" s="143"/>
      <c r="AH8" s="162" t="s">
        <v>10</v>
      </c>
      <c r="AI8" s="163"/>
      <c r="AJ8" s="54">
        <f>SUM(AJ6:AJ7)</f>
        <v>9</v>
      </c>
      <c r="AK8" s="55">
        <f>SUM(AK6:AK7)</f>
        <v>868</v>
      </c>
      <c r="AL8" s="55">
        <f>SUM(AL6:AL7)</f>
        <v>1221</v>
      </c>
      <c r="AM8" s="56">
        <f>SUM(AM6:AM7)</f>
        <v>1355</v>
      </c>
      <c r="AN8" s="5"/>
      <c r="AO8" s="143"/>
      <c r="AP8" s="162" t="s">
        <v>10</v>
      </c>
      <c r="AQ8" s="163"/>
      <c r="AR8" s="54">
        <f>SUM(AR6:AR7)</f>
        <v>3</v>
      </c>
      <c r="AS8" s="55">
        <f>SUM(AS6:AS7)</f>
        <v>1020</v>
      </c>
      <c r="AT8" s="55">
        <f>SUM(AT6:AT7)</f>
        <v>1531</v>
      </c>
      <c r="AU8" s="56">
        <f>SUM(AU6:AU7)</f>
        <v>1612</v>
      </c>
      <c r="AV8" s="5"/>
      <c r="AW8" s="143"/>
      <c r="AX8" s="162" t="s">
        <v>10</v>
      </c>
      <c r="AY8" s="163"/>
      <c r="AZ8" s="54">
        <f>SUM(AZ6:AZ7)</f>
        <v>243</v>
      </c>
      <c r="BA8" s="55">
        <f>SUM(BA6:BA7)</f>
        <v>854</v>
      </c>
      <c r="BB8" s="55">
        <f>SUM(BB6:BB7)</f>
        <v>1390</v>
      </c>
      <c r="BC8" s="56">
        <f>SUM(BC6:BC7)</f>
        <v>1719</v>
      </c>
      <c r="BD8" s="5"/>
      <c r="BE8" s="143"/>
      <c r="BF8" s="162" t="s">
        <v>10</v>
      </c>
      <c r="BG8" s="163"/>
      <c r="BH8" s="54">
        <f>SUM(BH6:BH7)</f>
        <v>3</v>
      </c>
      <c r="BI8" s="55">
        <f>SUM(BI6:BI7)</f>
        <v>1015</v>
      </c>
      <c r="BJ8" s="55">
        <f>SUM(BJ6:BJ7)</f>
        <v>1492</v>
      </c>
      <c r="BK8" s="56">
        <f>SUM(BK6:BK7)</f>
        <v>1602</v>
      </c>
      <c r="BL8" s="5"/>
      <c r="BM8" s="143"/>
      <c r="BN8" s="162" t="s">
        <v>10</v>
      </c>
      <c r="BO8" s="163"/>
      <c r="BP8" s="54">
        <f>SUM(BP6:BP7)</f>
        <v>62</v>
      </c>
      <c r="BQ8" s="55">
        <f>SUM(BQ6:BQ7)</f>
        <v>652</v>
      </c>
      <c r="BR8" s="55">
        <f>SUM(BR6:BR7)</f>
        <v>596</v>
      </c>
      <c r="BS8" s="56">
        <f>SUM(BS6:BS7)</f>
        <v>868</v>
      </c>
      <c r="BT8" s="5"/>
      <c r="BU8" s="143"/>
      <c r="BV8" s="162" t="s">
        <v>10</v>
      </c>
      <c r="BW8" s="163"/>
      <c r="BX8" s="54">
        <f>SUM(BX6:BX7)</f>
        <v>4</v>
      </c>
      <c r="BY8" s="55">
        <f>SUM(BY6:BY7)</f>
        <v>917</v>
      </c>
      <c r="BZ8" s="55">
        <f>SUM(BZ6:BZ7)</f>
        <v>1379</v>
      </c>
      <c r="CA8" s="56">
        <f>SUM(CA6:CA7)</f>
        <v>1265</v>
      </c>
      <c r="CB8" s="5"/>
      <c r="CC8" s="143"/>
      <c r="CD8" s="162" t="s">
        <v>10</v>
      </c>
      <c r="CE8" s="163"/>
      <c r="CF8" s="54">
        <f>SUM(CF6:CF7)</f>
        <v>0</v>
      </c>
      <c r="CG8" s="55">
        <f>SUM(CG6:CG7)</f>
        <v>0</v>
      </c>
      <c r="CH8" s="55">
        <f>SUM(CH6:CH7)</f>
        <v>0</v>
      </c>
      <c r="CI8" s="56">
        <f>SUM(CI6:CI7)</f>
        <v>0</v>
      </c>
      <c r="CJ8" s="5"/>
      <c r="CK8" s="143"/>
      <c r="CL8" s="162" t="s">
        <v>10</v>
      </c>
      <c r="CM8" s="163"/>
      <c r="CN8" s="54">
        <f>SUM(CN6:CN7)</f>
        <v>0</v>
      </c>
      <c r="CO8" s="55">
        <f>SUM(CO6:CO7)</f>
        <v>0</v>
      </c>
      <c r="CP8" s="55">
        <f>SUM(CP6:CP7)</f>
        <v>0</v>
      </c>
      <c r="CQ8" s="56">
        <f>SUM(CQ6:CQ7)</f>
        <v>0</v>
      </c>
      <c r="CR8" s="5"/>
      <c r="CS8" s="143"/>
      <c r="CT8" s="162" t="s">
        <v>10</v>
      </c>
      <c r="CU8" s="163"/>
      <c r="CV8" s="54">
        <f>SUM(CV6:CV7)</f>
        <v>357</v>
      </c>
      <c r="CW8" s="55">
        <f>SUM(CW6:CW7)</f>
        <v>8859</v>
      </c>
      <c r="CX8" s="55">
        <f>SUM(CX6:CX7)</f>
        <v>12327</v>
      </c>
      <c r="CY8" s="56">
        <f>SUM(CY6:CY7)</f>
        <v>12734</v>
      </c>
      <c r="CZ8" s="5"/>
    </row>
    <row r="9" spans="1:104" ht="18" x14ac:dyDescent="0.2">
      <c r="A9" s="143"/>
      <c r="B9" s="168" t="s">
        <v>11</v>
      </c>
      <c r="C9" s="28" t="s">
        <v>8</v>
      </c>
      <c r="D9" s="48">
        <f>SUM(ضماد!D98)</f>
        <v>0</v>
      </c>
      <c r="E9" s="49">
        <f>SUM(ضماد!E98)</f>
        <v>104</v>
      </c>
      <c r="F9" s="49">
        <f>SUM(ضماد!F98)</f>
        <v>187</v>
      </c>
      <c r="G9" s="50">
        <f>SUM(ضماد!G98)</f>
        <v>153</v>
      </c>
      <c r="H9" s="5"/>
      <c r="I9" s="143"/>
      <c r="J9" s="168" t="s">
        <v>11</v>
      </c>
      <c r="K9" s="28" t="s">
        <v>8</v>
      </c>
      <c r="L9" s="48">
        <f>SUM(ضماد!L98)</f>
        <v>0</v>
      </c>
      <c r="M9" s="49">
        <f>SUM(ضماد!M98)</f>
        <v>153</v>
      </c>
      <c r="N9" s="49">
        <f>SUM(ضماد!N98)</f>
        <v>178</v>
      </c>
      <c r="O9" s="50">
        <f>SUM(ضماد!O98)</f>
        <v>144</v>
      </c>
      <c r="P9" s="5"/>
      <c r="Q9" s="143"/>
      <c r="R9" s="168" t="s">
        <v>11</v>
      </c>
      <c r="S9" s="28" t="s">
        <v>8</v>
      </c>
      <c r="T9" s="48">
        <f>SUM(ضماد!T98)</f>
        <v>0</v>
      </c>
      <c r="U9" s="49">
        <f>SUM(ضماد!U98)</f>
        <v>59</v>
      </c>
      <c r="V9" s="49">
        <f>SUM(ضماد!V98)</f>
        <v>109</v>
      </c>
      <c r="W9" s="50">
        <f>SUM(ضماد!W98)</f>
        <v>54</v>
      </c>
      <c r="X9" s="5"/>
      <c r="Y9" s="143"/>
      <c r="Z9" s="168" t="s">
        <v>11</v>
      </c>
      <c r="AA9" s="28" t="s">
        <v>8</v>
      </c>
      <c r="AB9" s="48">
        <f>SUM(ضماد!AB98)</f>
        <v>0</v>
      </c>
      <c r="AC9" s="49">
        <f>SUM(ضماد!AC98)</f>
        <v>53</v>
      </c>
      <c r="AD9" s="49">
        <f>SUM(ضماد!AD98)</f>
        <v>68</v>
      </c>
      <c r="AE9" s="50">
        <f>SUM(ضماد!AE98)</f>
        <v>79</v>
      </c>
      <c r="AF9" s="5"/>
      <c r="AG9" s="143"/>
      <c r="AH9" s="168" t="s">
        <v>11</v>
      </c>
      <c r="AI9" s="28" t="s">
        <v>8</v>
      </c>
      <c r="AJ9" s="48">
        <f>SUM(ضماد!AJ98)</f>
        <v>0</v>
      </c>
      <c r="AK9" s="49">
        <f>SUM(ضماد!AK98)</f>
        <v>90</v>
      </c>
      <c r="AL9" s="49">
        <f>SUM(ضماد!AL98)</f>
        <v>56</v>
      </c>
      <c r="AM9" s="50">
        <f>SUM(ضماد!AM98)</f>
        <v>45</v>
      </c>
      <c r="AN9" s="5"/>
      <c r="AO9" s="143"/>
      <c r="AP9" s="168" t="s">
        <v>11</v>
      </c>
      <c r="AQ9" s="28" t="s">
        <v>8</v>
      </c>
      <c r="AR9" s="48">
        <f>SUM(ضماد!AR98)</f>
        <v>0</v>
      </c>
      <c r="AS9" s="49">
        <f>SUM(ضماد!AS98)</f>
        <v>244</v>
      </c>
      <c r="AT9" s="49">
        <f>SUM(ضماد!AT98)</f>
        <v>267</v>
      </c>
      <c r="AU9" s="50">
        <f>SUM(ضماد!AU98)</f>
        <v>193</v>
      </c>
      <c r="AV9" s="5"/>
      <c r="AW9" s="143"/>
      <c r="AX9" s="168" t="s">
        <v>11</v>
      </c>
      <c r="AY9" s="28" t="s">
        <v>8</v>
      </c>
      <c r="AZ9" s="48">
        <f>SUM(ضماد!AZ98)</f>
        <v>16</v>
      </c>
      <c r="BA9" s="49">
        <f>SUM(ضماد!BA98)</f>
        <v>98</v>
      </c>
      <c r="BB9" s="49">
        <f>SUM(ضماد!BB98)</f>
        <v>173</v>
      </c>
      <c r="BC9" s="50">
        <f>SUM(ضماد!BC98)</f>
        <v>188</v>
      </c>
      <c r="BD9" s="5"/>
      <c r="BE9" s="143"/>
      <c r="BF9" s="168" t="s">
        <v>11</v>
      </c>
      <c r="BG9" s="28" t="s">
        <v>8</v>
      </c>
      <c r="BH9" s="48">
        <f>SUM(ضماد!BH98)</f>
        <v>0</v>
      </c>
      <c r="BI9" s="49">
        <f>SUM(ضماد!BI98)</f>
        <v>242</v>
      </c>
      <c r="BJ9" s="49">
        <f>SUM(ضماد!BJ98)</f>
        <v>261</v>
      </c>
      <c r="BK9" s="50">
        <f>SUM(ضماد!BK98)</f>
        <v>195</v>
      </c>
      <c r="BL9" s="5"/>
      <c r="BM9" s="143"/>
      <c r="BN9" s="168" t="s">
        <v>11</v>
      </c>
      <c r="BO9" s="28" t="s">
        <v>8</v>
      </c>
      <c r="BP9" s="48">
        <f>SUM(ضماد!BP98)</f>
        <v>0</v>
      </c>
      <c r="BQ9" s="49">
        <f>SUM(ضماد!BQ98)</f>
        <v>126</v>
      </c>
      <c r="BR9" s="49">
        <f>SUM(ضماد!BR98)</f>
        <v>97</v>
      </c>
      <c r="BS9" s="50">
        <f>SUM(ضماد!BS98)</f>
        <v>66</v>
      </c>
      <c r="BT9" s="5"/>
      <c r="BU9" s="143"/>
      <c r="BV9" s="168" t="s">
        <v>11</v>
      </c>
      <c r="BW9" s="28" t="s">
        <v>8</v>
      </c>
      <c r="BX9" s="48">
        <f>SUM(ضماد!BX98)</f>
        <v>1</v>
      </c>
      <c r="BY9" s="49">
        <f>SUM(ضماد!BY98)</f>
        <v>110</v>
      </c>
      <c r="BZ9" s="49">
        <f>SUM(ضماد!BZ98)</f>
        <v>194</v>
      </c>
      <c r="CA9" s="50">
        <f>SUM(ضماد!CA98)</f>
        <v>156</v>
      </c>
      <c r="CB9" s="5"/>
      <c r="CC9" s="143"/>
      <c r="CD9" s="168" t="s">
        <v>11</v>
      </c>
      <c r="CE9" s="28" t="s">
        <v>8</v>
      </c>
      <c r="CF9" s="48">
        <f>SUM(ضماد!CF98)</f>
        <v>0</v>
      </c>
      <c r="CG9" s="49">
        <f>SUM(ضماد!CG98)</f>
        <v>0</v>
      </c>
      <c r="CH9" s="49">
        <f>SUM(ضماد!CH98)</f>
        <v>0</v>
      </c>
      <c r="CI9" s="50">
        <f>SUM(ضماد!CI98)</f>
        <v>0</v>
      </c>
      <c r="CJ9" s="5"/>
      <c r="CK9" s="143"/>
      <c r="CL9" s="168" t="s">
        <v>11</v>
      </c>
      <c r="CM9" s="28" t="s">
        <v>8</v>
      </c>
      <c r="CN9" s="48">
        <f>SUM(ضماد!CN98)</f>
        <v>0</v>
      </c>
      <c r="CO9" s="49">
        <f>SUM(ضماد!CO98)</f>
        <v>0</v>
      </c>
      <c r="CP9" s="49">
        <f>SUM(ضماد!CP98)</f>
        <v>0</v>
      </c>
      <c r="CQ9" s="50">
        <f>SUM(ضماد!CQ98)</f>
        <v>0</v>
      </c>
      <c r="CR9" s="5"/>
      <c r="CS9" s="143"/>
      <c r="CT9" s="168" t="s">
        <v>11</v>
      </c>
      <c r="CU9" s="28" t="s">
        <v>8</v>
      </c>
      <c r="CV9" s="48">
        <f>SUM(ضماد!CV98)</f>
        <v>17</v>
      </c>
      <c r="CW9" s="49">
        <f>SUM(ضماد!CW98)</f>
        <v>1279</v>
      </c>
      <c r="CX9" s="49">
        <f>SUM(ضماد!CX98)</f>
        <v>1590</v>
      </c>
      <c r="CY9" s="50">
        <f>SUM(ضماد!CY98)</f>
        <v>1273</v>
      </c>
      <c r="CZ9" s="5"/>
    </row>
    <row r="10" spans="1:104" ht="18.75" thickBot="1" x14ac:dyDescent="0.25">
      <c r="A10" s="143"/>
      <c r="B10" s="169"/>
      <c r="C10" s="29" t="s">
        <v>9</v>
      </c>
      <c r="D10" s="51">
        <f>SUM(ضماد!D99)</f>
        <v>0</v>
      </c>
      <c r="E10" s="52">
        <f>SUM(ضماد!E99)</f>
        <v>93</v>
      </c>
      <c r="F10" s="52">
        <f>SUM(ضماد!F99)</f>
        <v>121</v>
      </c>
      <c r="G10" s="53">
        <f>SUM(ضماد!G99)</f>
        <v>137</v>
      </c>
      <c r="H10" s="5"/>
      <c r="I10" s="143"/>
      <c r="J10" s="169"/>
      <c r="K10" s="29" t="s">
        <v>9</v>
      </c>
      <c r="L10" s="51">
        <f>SUM(ضماد!L99)</f>
        <v>0</v>
      </c>
      <c r="M10" s="52">
        <f>SUM(ضماد!M99)</f>
        <v>115</v>
      </c>
      <c r="N10" s="52">
        <f>SUM(ضماد!N99)</f>
        <v>126</v>
      </c>
      <c r="O10" s="53">
        <f>SUM(ضماد!O99)</f>
        <v>115</v>
      </c>
      <c r="P10" s="5"/>
      <c r="Q10" s="143"/>
      <c r="R10" s="169"/>
      <c r="S10" s="29" t="s">
        <v>9</v>
      </c>
      <c r="T10" s="51">
        <f>SUM(ضماد!T99)</f>
        <v>0</v>
      </c>
      <c r="U10" s="52">
        <f>SUM(ضماد!U99)</f>
        <v>35</v>
      </c>
      <c r="V10" s="52">
        <f>SUM(ضماد!V99)</f>
        <v>82</v>
      </c>
      <c r="W10" s="53">
        <f>SUM(ضماد!W99)</f>
        <v>36</v>
      </c>
      <c r="X10" s="5"/>
      <c r="Y10" s="143"/>
      <c r="Z10" s="169"/>
      <c r="AA10" s="29" t="s">
        <v>9</v>
      </c>
      <c r="AB10" s="51">
        <f>SUM(ضماد!AB99)</f>
        <v>0</v>
      </c>
      <c r="AC10" s="52">
        <f>SUM(ضماد!AC99)</f>
        <v>58</v>
      </c>
      <c r="AD10" s="52">
        <f>SUM(ضماد!AD99)</f>
        <v>75</v>
      </c>
      <c r="AE10" s="53">
        <f>SUM(ضماد!AE99)</f>
        <v>69</v>
      </c>
      <c r="AF10" s="5"/>
      <c r="AG10" s="143"/>
      <c r="AH10" s="169"/>
      <c r="AI10" s="29" t="s">
        <v>9</v>
      </c>
      <c r="AJ10" s="51">
        <f>SUM(ضماد!AJ99)</f>
        <v>0</v>
      </c>
      <c r="AK10" s="52">
        <f>SUM(ضماد!AK99)</f>
        <v>74</v>
      </c>
      <c r="AL10" s="52">
        <f>SUM(ضماد!AL99)</f>
        <v>57</v>
      </c>
      <c r="AM10" s="53">
        <f>SUM(ضماد!AM99)</f>
        <v>45</v>
      </c>
      <c r="AN10" s="5"/>
      <c r="AO10" s="143"/>
      <c r="AP10" s="169"/>
      <c r="AQ10" s="29" t="s">
        <v>9</v>
      </c>
      <c r="AR10" s="51">
        <f>SUM(ضماد!AR99)</f>
        <v>0</v>
      </c>
      <c r="AS10" s="52">
        <f>SUM(ضماد!AS99)</f>
        <v>175</v>
      </c>
      <c r="AT10" s="52">
        <f>SUM(ضماد!AT99)</f>
        <v>165</v>
      </c>
      <c r="AU10" s="53">
        <f>SUM(ضماد!AU99)</f>
        <v>199</v>
      </c>
      <c r="AV10" s="5"/>
      <c r="AW10" s="143"/>
      <c r="AX10" s="169"/>
      <c r="AY10" s="29" t="s">
        <v>9</v>
      </c>
      <c r="AZ10" s="51">
        <f>SUM(ضماد!AZ99)</f>
        <v>6</v>
      </c>
      <c r="BA10" s="52">
        <f>SUM(ضماد!BA99)</f>
        <v>50</v>
      </c>
      <c r="BB10" s="52">
        <f>SUM(ضماد!BB99)</f>
        <v>100</v>
      </c>
      <c r="BC10" s="53">
        <f>SUM(ضماد!BC99)</f>
        <v>159</v>
      </c>
      <c r="BD10" s="5"/>
      <c r="BE10" s="143"/>
      <c r="BF10" s="169"/>
      <c r="BG10" s="29" t="s">
        <v>9</v>
      </c>
      <c r="BH10" s="51">
        <f>SUM(ضماد!BH99)</f>
        <v>0</v>
      </c>
      <c r="BI10" s="52">
        <f>SUM(ضماد!BI99)</f>
        <v>175</v>
      </c>
      <c r="BJ10" s="52">
        <f>SUM(ضماد!BJ99)</f>
        <v>165</v>
      </c>
      <c r="BK10" s="53">
        <f>SUM(ضماد!BK99)</f>
        <v>199</v>
      </c>
      <c r="BL10" s="5"/>
      <c r="BM10" s="143"/>
      <c r="BN10" s="169"/>
      <c r="BO10" s="29" t="s">
        <v>9</v>
      </c>
      <c r="BP10" s="51">
        <f>SUM(ضماد!BP99)</f>
        <v>0</v>
      </c>
      <c r="BQ10" s="52">
        <f>SUM(ضماد!BQ99)</f>
        <v>120</v>
      </c>
      <c r="BR10" s="52">
        <f>SUM(ضماد!BR99)</f>
        <v>89</v>
      </c>
      <c r="BS10" s="53">
        <f>SUM(ضماد!BS99)</f>
        <v>112</v>
      </c>
      <c r="BT10" s="5"/>
      <c r="BU10" s="143"/>
      <c r="BV10" s="169"/>
      <c r="BW10" s="29" t="s">
        <v>9</v>
      </c>
      <c r="BX10" s="51">
        <f>SUM(ضماد!BX99)</f>
        <v>0</v>
      </c>
      <c r="BY10" s="52">
        <f>SUM(ضماد!BY99)</f>
        <v>93</v>
      </c>
      <c r="BZ10" s="52">
        <f>SUM(ضماد!BZ99)</f>
        <v>129</v>
      </c>
      <c r="CA10" s="53">
        <f>SUM(ضماد!CA99)</f>
        <v>138</v>
      </c>
      <c r="CB10" s="5"/>
      <c r="CC10" s="143"/>
      <c r="CD10" s="169"/>
      <c r="CE10" s="29" t="s">
        <v>9</v>
      </c>
      <c r="CF10" s="51">
        <f>SUM(ضماد!CF99)</f>
        <v>0</v>
      </c>
      <c r="CG10" s="52">
        <f>SUM(ضماد!CG99)</f>
        <v>0</v>
      </c>
      <c r="CH10" s="52">
        <f>SUM(ضماد!CH99)</f>
        <v>0</v>
      </c>
      <c r="CI10" s="53">
        <f>SUM(ضماد!CI99)</f>
        <v>0</v>
      </c>
      <c r="CJ10" s="5"/>
      <c r="CK10" s="143"/>
      <c r="CL10" s="169"/>
      <c r="CM10" s="29" t="s">
        <v>9</v>
      </c>
      <c r="CN10" s="51">
        <f>SUM(ضماد!CN99)</f>
        <v>0</v>
      </c>
      <c r="CO10" s="52">
        <f>SUM(ضماد!CO99)</f>
        <v>0</v>
      </c>
      <c r="CP10" s="52">
        <f>SUM(ضماد!CP99)</f>
        <v>0</v>
      </c>
      <c r="CQ10" s="53">
        <f>SUM(ضماد!CQ99)</f>
        <v>0</v>
      </c>
      <c r="CR10" s="5"/>
      <c r="CS10" s="143"/>
      <c r="CT10" s="169"/>
      <c r="CU10" s="29" t="s">
        <v>9</v>
      </c>
      <c r="CV10" s="51">
        <f>SUM(ضماد!CV99)</f>
        <v>6</v>
      </c>
      <c r="CW10" s="52">
        <f>SUM(ضماد!CW99)</f>
        <v>988</v>
      </c>
      <c r="CX10" s="52">
        <f>SUM(ضماد!CX99)</f>
        <v>1109</v>
      </c>
      <c r="CY10" s="53">
        <f>SUM(ضماد!CY99)</f>
        <v>1209</v>
      </c>
      <c r="CZ10" s="5"/>
    </row>
    <row r="11" spans="1:104" ht="18.75" thickBot="1" x14ac:dyDescent="0.25">
      <c r="A11" s="143"/>
      <c r="B11" s="164" t="s">
        <v>18</v>
      </c>
      <c r="C11" s="165"/>
      <c r="D11" s="57">
        <f>SUM(D9:D10)</f>
        <v>0</v>
      </c>
      <c r="E11" s="58">
        <f>SUM(E9:E10)</f>
        <v>197</v>
      </c>
      <c r="F11" s="58">
        <f>SUM(F9:F10)</f>
        <v>308</v>
      </c>
      <c r="G11" s="59">
        <f>SUM(G9:G10)</f>
        <v>290</v>
      </c>
      <c r="H11" s="5"/>
      <c r="I11" s="143"/>
      <c r="J11" s="164" t="s">
        <v>18</v>
      </c>
      <c r="K11" s="165"/>
      <c r="L11" s="57">
        <f>SUM(L9:L10)</f>
        <v>0</v>
      </c>
      <c r="M11" s="58">
        <f>SUM(M9:M10)</f>
        <v>268</v>
      </c>
      <c r="N11" s="58">
        <f>SUM(N9:N10)</f>
        <v>304</v>
      </c>
      <c r="O11" s="59">
        <f>SUM(O9:O10)</f>
        <v>259</v>
      </c>
      <c r="P11" s="5"/>
      <c r="Q11" s="143"/>
      <c r="R11" s="164" t="s">
        <v>18</v>
      </c>
      <c r="S11" s="165"/>
      <c r="T11" s="57">
        <f>SUM(T9:T10)</f>
        <v>0</v>
      </c>
      <c r="U11" s="58">
        <f>SUM(U9:U10)</f>
        <v>94</v>
      </c>
      <c r="V11" s="58">
        <f>SUM(V9:V10)</f>
        <v>191</v>
      </c>
      <c r="W11" s="59">
        <f>SUM(W9:W10)</f>
        <v>90</v>
      </c>
      <c r="X11" s="5"/>
      <c r="Y11" s="143"/>
      <c r="Z11" s="164" t="s">
        <v>18</v>
      </c>
      <c r="AA11" s="165"/>
      <c r="AB11" s="57">
        <f>SUM(AB9:AB10)</f>
        <v>0</v>
      </c>
      <c r="AC11" s="58">
        <f>SUM(AC9:AC10)</f>
        <v>111</v>
      </c>
      <c r="AD11" s="58">
        <f>SUM(AD9:AD10)</f>
        <v>143</v>
      </c>
      <c r="AE11" s="59">
        <f>SUM(AE9:AE10)</f>
        <v>148</v>
      </c>
      <c r="AF11" s="5"/>
      <c r="AG11" s="143"/>
      <c r="AH11" s="164" t="s">
        <v>18</v>
      </c>
      <c r="AI11" s="165"/>
      <c r="AJ11" s="57">
        <f>SUM(AJ9:AJ10)</f>
        <v>0</v>
      </c>
      <c r="AK11" s="58">
        <f>SUM(AK9:AK10)</f>
        <v>164</v>
      </c>
      <c r="AL11" s="58">
        <f>SUM(AL9:AL10)</f>
        <v>113</v>
      </c>
      <c r="AM11" s="59">
        <f>SUM(AM9:AM10)</f>
        <v>90</v>
      </c>
      <c r="AN11" s="5"/>
      <c r="AO11" s="143"/>
      <c r="AP11" s="164" t="s">
        <v>18</v>
      </c>
      <c r="AQ11" s="165"/>
      <c r="AR11" s="57">
        <f>SUM(AR9:AR10)</f>
        <v>0</v>
      </c>
      <c r="AS11" s="58">
        <f>SUM(AS9:AS10)</f>
        <v>419</v>
      </c>
      <c r="AT11" s="58">
        <f>SUM(AT9:AT10)</f>
        <v>432</v>
      </c>
      <c r="AU11" s="59">
        <f>SUM(AU9:AU10)</f>
        <v>392</v>
      </c>
      <c r="AV11" s="5"/>
      <c r="AW11" s="143"/>
      <c r="AX11" s="164" t="s">
        <v>18</v>
      </c>
      <c r="AY11" s="165"/>
      <c r="AZ11" s="57">
        <f>SUM(AZ9:AZ10)</f>
        <v>22</v>
      </c>
      <c r="BA11" s="58">
        <f>SUM(BA9:BA10)</f>
        <v>148</v>
      </c>
      <c r="BB11" s="58">
        <f>SUM(BB9:BB10)</f>
        <v>273</v>
      </c>
      <c r="BC11" s="59">
        <f>SUM(BC9:BC10)</f>
        <v>347</v>
      </c>
      <c r="BD11" s="5"/>
      <c r="BE11" s="143"/>
      <c r="BF11" s="164" t="s">
        <v>18</v>
      </c>
      <c r="BG11" s="165"/>
      <c r="BH11" s="57">
        <f>SUM(BH9:BH10)</f>
        <v>0</v>
      </c>
      <c r="BI11" s="58">
        <f>SUM(BI9:BI10)</f>
        <v>417</v>
      </c>
      <c r="BJ11" s="58">
        <f>SUM(BJ9:BJ10)</f>
        <v>426</v>
      </c>
      <c r="BK11" s="59">
        <f>SUM(BK9:BK10)</f>
        <v>394</v>
      </c>
      <c r="BL11" s="5"/>
      <c r="BM11" s="143"/>
      <c r="BN11" s="164" t="s">
        <v>18</v>
      </c>
      <c r="BO11" s="165"/>
      <c r="BP11" s="57">
        <f>SUM(BP9:BP10)</f>
        <v>0</v>
      </c>
      <c r="BQ11" s="58">
        <f>SUM(BQ9:BQ10)</f>
        <v>246</v>
      </c>
      <c r="BR11" s="58">
        <f>SUM(BR9:BR10)</f>
        <v>186</v>
      </c>
      <c r="BS11" s="59">
        <f>SUM(BS9:BS10)</f>
        <v>178</v>
      </c>
      <c r="BT11" s="5"/>
      <c r="BU11" s="143"/>
      <c r="BV11" s="164" t="s">
        <v>18</v>
      </c>
      <c r="BW11" s="165"/>
      <c r="BX11" s="57">
        <f>SUM(BX9:BX10)</f>
        <v>1</v>
      </c>
      <c r="BY11" s="58">
        <f>SUM(BY9:BY10)</f>
        <v>203</v>
      </c>
      <c r="BZ11" s="58">
        <f>SUM(BZ9:BZ10)</f>
        <v>323</v>
      </c>
      <c r="CA11" s="59">
        <f>SUM(CA9:CA10)</f>
        <v>294</v>
      </c>
      <c r="CB11" s="5"/>
      <c r="CC11" s="143"/>
      <c r="CD11" s="164" t="s">
        <v>18</v>
      </c>
      <c r="CE11" s="165"/>
      <c r="CF11" s="57">
        <f>SUM(CF9:CF10)</f>
        <v>0</v>
      </c>
      <c r="CG11" s="58">
        <f>SUM(CG9:CG10)</f>
        <v>0</v>
      </c>
      <c r="CH11" s="58">
        <f>SUM(CH9:CH10)</f>
        <v>0</v>
      </c>
      <c r="CI11" s="59">
        <f>SUM(CI9:CI10)</f>
        <v>0</v>
      </c>
      <c r="CJ11" s="5"/>
      <c r="CK11" s="143"/>
      <c r="CL11" s="164" t="s">
        <v>18</v>
      </c>
      <c r="CM11" s="165"/>
      <c r="CN11" s="57">
        <f>SUM(CN9:CN10)</f>
        <v>0</v>
      </c>
      <c r="CO11" s="58">
        <f>SUM(CO9:CO10)</f>
        <v>0</v>
      </c>
      <c r="CP11" s="58">
        <f>SUM(CP9:CP10)</f>
        <v>0</v>
      </c>
      <c r="CQ11" s="59">
        <f>SUM(CQ9:CQ10)</f>
        <v>0</v>
      </c>
      <c r="CR11" s="5"/>
      <c r="CS11" s="143"/>
      <c r="CT11" s="164" t="s">
        <v>18</v>
      </c>
      <c r="CU11" s="165"/>
      <c r="CV11" s="57">
        <f>SUM(CV9:CV10)</f>
        <v>23</v>
      </c>
      <c r="CW11" s="58">
        <f>SUM(CW9:CW10)</f>
        <v>2267</v>
      </c>
      <c r="CX11" s="58">
        <f>SUM(CX9:CX10)</f>
        <v>2699</v>
      </c>
      <c r="CY11" s="59">
        <f>SUM(CY9:CY10)</f>
        <v>2482</v>
      </c>
      <c r="CZ11" s="5"/>
    </row>
    <row r="12" spans="1:104" ht="18.75" thickBot="1" x14ac:dyDescent="0.25">
      <c r="A12" s="144"/>
      <c r="B12" s="162" t="s">
        <v>12</v>
      </c>
      <c r="C12" s="163"/>
      <c r="D12" s="60">
        <f>SUM(D8+D11)</f>
        <v>0</v>
      </c>
      <c r="E12" s="61">
        <f>SUM(E8+E11)</f>
        <v>1116</v>
      </c>
      <c r="F12" s="61">
        <f>SUM(F8+F11)</f>
        <v>1694</v>
      </c>
      <c r="G12" s="62">
        <f>SUM(G8+G11)</f>
        <v>1555</v>
      </c>
      <c r="H12" s="5"/>
      <c r="I12" s="144"/>
      <c r="J12" s="162" t="s">
        <v>12</v>
      </c>
      <c r="K12" s="163"/>
      <c r="L12" s="60">
        <f>SUM(L8+L11)</f>
        <v>0</v>
      </c>
      <c r="M12" s="61">
        <f>SUM(M8+M11)</f>
        <v>1345</v>
      </c>
      <c r="N12" s="61">
        <f>SUM(N8+N11)</f>
        <v>1363</v>
      </c>
      <c r="O12" s="62">
        <f>SUM(O8+O11)</f>
        <v>1529</v>
      </c>
      <c r="P12" s="5"/>
      <c r="Q12" s="144"/>
      <c r="R12" s="162" t="s">
        <v>12</v>
      </c>
      <c r="S12" s="163"/>
      <c r="T12" s="60">
        <f>SUM(T8+T11)</f>
        <v>28</v>
      </c>
      <c r="U12" s="61">
        <f>SUM(U8+U11)</f>
        <v>1056</v>
      </c>
      <c r="V12" s="61">
        <f>SUM(V8+V11)</f>
        <v>1498</v>
      </c>
      <c r="W12" s="62">
        <f>SUM(W8+W11)</f>
        <v>1094</v>
      </c>
      <c r="X12" s="5"/>
      <c r="Y12" s="144"/>
      <c r="Z12" s="162" t="s">
        <v>12</v>
      </c>
      <c r="AA12" s="163"/>
      <c r="AB12" s="60">
        <f>SUM(AB8+AB11)</f>
        <v>5</v>
      </c>
      <c r="AC12" s="61">
        <f>SUM(AC8+AC11)</f>
        <v>686</v>
      </c>
      <c r="AD12" s="61">
        <f>SUM(AD8+AD11)</f>
        <v>1109</v>
      </c>
      <c r="AE12" s="62">
        <f>SUM(AE8+AE11)</f>
        <v>922</v>
      </c>
      <c r="AF12" s="5"/>
      <c r="AG12" s="144"/>
      <c r="AH12" s="162" t="s">
        <v>12</v>
      </c>
      <c r="AI12" s="163"/>
      <c r="AJ12" s="60">
        <f>SUM(AJ8+AJ11)</f>
        <v>9</v>
      </c>
      <c r="AK12" s="61">
        <f>SUM(AK8+AK11)</f>
        <v>1032</v>
      </c>
      <c r="AL12" s="61">
        <f>SUM(AL8+AL11)</f>
        <v>1334</v>
      </c>
      <c r="AM12" s="62">
        <f>SUM(AM8+AM11)</f>
        <v>1445</v>
      </c>
      <c r="AN12" s="5"/>
      <c r="AO12" s="144"/>
      <c r="AP12" s="162" t="s">
        <v>12</v>
      </c>
      <c r="AQ12" s="163"/>
      <c r="AR12" s="60">
        <f>SUM(AR8+AR11)</f>
        <v>3</v>
      </c>
      <c r="AS12" s="61">
        <f>SUM(AS8+AS11)</f>
        <v>1439</v>
      </c>
      <c r="AT12" s="61">
        <f>SUM(AT8+AT11)</f>
        <v>1963</v>
      </c>
      <c r="AU12" s="62">
        <f>SUM(AU8+AU11)</f>
        <v>2004</v>
      </c>
      <c r="AV12" s="5"/>
      <c r="AW12" s="144"/>
      <c r="AX12" s="162" t="s">
        <v>12</v>
      </c>
      <c r="AY12" s="163"/>
      <c r="AZ12" s="60">
        <f>SUM(AZ8+AZ11)</f>
        <v>265</v>
      </c>
      <c r="BA12" s="61">
        <f>SUM(BA8+BA11)</f>
        <v>1002</v>
      </c>
      <c r="BB12" s="61">
        <f>SUM(BB8+BB11)</f>
        <v>1663</v>
      </c>
      <c r="BC12" s="62">
        <f>SUM(BC8+BC11)</f>
        <v>2066</v>
      </c>
      <c r="BD12" s="5"/>
      <c r="BE12" s="144"/>
      <c r="BF12" s="162" t="s">
        <v>12</v>
      </c>
      <c r="BG12" s="163"/>
      <c r="BH12" s="60">
        <f>SUM(BH8+BH11)</f>
        <v>3</v>
      </c>
      <c r="BI12" s="61">
        <f>SUM(BI8+BI11)</f>
        <v>1432</v>
      </c>
      <c r="BJ12" s="61">
        <f>SUM(BJ8+BJ11)</f>
        <v>1918</v>
      </c>
      <c r="BK12" s="62">
        <f>SUM(BK8+BK11)</f>
        <v>1996</v>
      </c>
      <c r="BL12" s="5"/>
      <c r="BM12" s="144"/>
      <c r="BN12" s="162" t="s">
        <v>12</v>
      </c>
      <c r="BO12" s="163"/>
      <c r="BP12" s="60">
        <f>SUM(BP8+BP11)</f>
        <v>62</v>
      </c>
      <c r="BQ12" s="61">
        <f>SUM(BQ8+BQ11)</f>
        <v>898</v>
      </c>
      <c r="BR12" s="61">
        <f>SUM(BR8+BR11)</f>
        <v>782</v>
      </c>
      <c r="BS12" s="62">
        <f>SUM(BS8+BS11)</f>
        <v>1046</v>
      </c>
      <c r="BT12" s="5"/>
      <c r="BU12" s="144"/>
      <c r="BV12" s="162" t="s">
        <v>12</v>
      </c>
      <c r="BW12" s="163"/>
      <c r="BX12" s="60">
        <f>SUM(BX8+BX11)</f>
        <v>5</v>
      </c>
      <c r="BY12" s="61">
        <f>SUM(BY8+BY11)</f>
        <v>1120</v>
      </c>
      <c r="BZ12" s="61">
        <f>SUM(BZ8+BZ11)</f>
        <v>1702</v>
      </c>
      <c r="CA12" s="62">
        <f>SUM(CA8+CA11)</f>
        <v>1559</v>
      </c>
      <c r="CB12" s="5"/>
      <c r="CC12" s="144"/>
      <c r="CD12" s="162" t="s">
        <v>12</v>
      </c>
      <c r="CE12" s="163"/>
      <c r="CF12" s="60">
        <f>SUM(CF8+CF11)</f>
        <v>0</v>
      </c>
      <c r="CG12" s="61">
        <f>SUM(CG8+CG11)</f>
        <v>0</v>
      </c>
      <c r="CH12" s="61">
        <f>SUM(CH8+CH11)</f>
        <v>0</v>
      </c>
      <c r="CI12" s="62">
        <f>SUM(CI8+CI11)</f>
        <v>0</v>
      </c>
      <c r="CJ12" s="5"/>
      <c r="CK12" s="144"/>
      <c r="CL12" s="162" t="s">
        <v>12</v>
      </c>
      <c r="CM12" s="163"/>
      <c r="CN12" s="60">
        <f>SUM(CN8+CN11)</f>
        <v>0</v>
      </c>
      <c r="CO12" s="61">
        <f>SUM(CO8+CO11)</f>
        <v>0</v>
      </c>
      <c r="CP12" s="61">
        <f>SUM(CP8+CP11)</f>
        <v>0</v>
      </c>
      <c r="CQ12" s="62">
        <f>SUM(CQ8+CQ11)</f>
        <v>0</v>
      </c>
      <c r="CR12" s="5"/>
      <c r="CS12" s="144"/>
      <c r="CT12" s="162" t="s">
        <v>12</v>
      </c>
      <c r="CU12" s="163"/>
      <c r="CV12" s="60">
        <f>SUM(CV8+CV11)</f>
        <v>380</v>
      </c>
      <c r="CW12" s="61">
        <f>SUM(CW8+CW11)</f>
        <v>11126</v>
      </c>
      <c r="CX12" s="61">
        <f>SUM(CX8+CX11)</f>
        <v>15026</v>
      </c>
      <c r="CY12" s="62">
        <f>SUM(CY8+CY11)</f>
        <v>15216</v>
      </c>
      <c r="CZ12" s="5"/>
    </row>
    <row r="13" spans="1:104" ht="31.5" customHeight="1" x14ac:dyDescent="0.2">
      <c r="A13" s="35"/>
      <c r="G13" s="36"/>
      <c r="H13" s="5"/>
      <c r="I13" s="35"/>
      <c r="O13" s="36"/>
      <c r="P13" s="5"/>
      <c r="Q13" s="35"/>
      <c r="W13" s="36"/>
      <c r="X13" s="5"/>
      <c r="Y13" s="35"/>
      <c r="AE13" s="36"/>
      <c r="AF13" s="5"/>
      <c r="AG13" s="35"/>
      <c r="AM13" s="36"/>
      <c r="AN13" s="5"/>
      <c r="AO13" s="35"/>
      <c r="AU13" s="36"/>
      <c r="AV13" s="5"/>
      <c r="AW13" s="35"/>
      <c r="BC13" s="36"/>
      <c r="BD13" s="5"/>
      <c r="BE13" s="35"/>
      <c r="BK13" s="36"/>
      <c r="BL13" s="5"/>
      <c r="BM13" s="35"/>
      <c r="BS13" s="36"/>
      <c r="BT13" s="5"/>
      <c r="BU13" s="35"/>
      <c r="CA13" s="36"/>
      <c r="CB13" s="5"/>
      <c r="CC13" s="35"/>
      <c r="CI13" s="36"/>
      <c r="CJ13" s="5"/>
      <c r="CK13" s="35"/>
      <c r="CQ13" s="36"/>
      <c r="CR13" s="5"/>
      <c r="CS13" s="35"/>
      <c r="CY13" s="36"/>
      <c r="CZ13" s="5"/>
    </row>
    <row r="14" spans="1:104" x14ac:dyDescent="0.2">
      <c r="A14" s="35"/>
      <c r="G14" s="36"/>
      <c r="H14" s="5"/>
      <c r="I14" s="35"/>
      <c r="O14" s="36"/>
      <c r="P14" s="5"/>
      <c r="Q14" s="35"/>
      <c r="W14" s="36"/>
      <c r="X14" s="5"/>
      <c r="Y14" s="35"/>
      <c r="AE14" s="36"/>
      <c r="AF14" s="5"/>
      <c r="AG14" s="35"/>
      <c r="AM14" s="36"/>
      <c r="AN14" s="5"/>
      <c r="AO14" s="35"/>
      <c r="AU14" s="36"/>
      <c r="AV14" s="5"/>
      <c r="AW14" s="35"/>
      <c r="BC14" s="36"/>
      <c r="BD14" s="5"/>
      <c r="BE14" s="35"/>
      <c r="BK14" s="36"/>
      <c r="BL14" s="5"/>
      <c r="BM14" s="35"/>
      <c r="BS14" s="36"/>
      <c r="BT14" s="5"/>
      <c r="BU14" s="35"/>
      <c r="CA14" s="36"/>
      <c r="CB14" s="5"/>
      <c r="CC14" s="35"/>
      <c r="CI14" s="36"/>
      <c r="CJ14" s="5"/>
      <c r="CK14" s="35"/>
      <c r="CQ14" s="36"/>
      <c r="CR14" s="5"/>
      <c r="CS14" s="35"/>
      <c r="CY14" s="36"/>
      <c r="CZ14" s="5"/>
    </row>
    <row r="15" spans="1:104" s="67" customFormat="1" ht="34.5" customHeight="1" thickBot="1" x14ac:dyDescent="0.25">
      <c r="A15" s="63" t="s">
        <v>19</v>
      </c>
      <c r="B15" s="64"/>
      <c r="C15" s="64"/>
      <c r="D15" s="64"/>
      <c r="E15" s="64"/>
      <c r="F15" s="64"/>
      <c r="G15" s="65" t="s">
        <v>29</v>
      </c>
      <c r="H15" s="66"/>
      <c r="I15" s="63" t="s">
        <v>19</v>
      </c>
      <c r="J15" s="64"/>
      <c r="K15" s="64"/>
      <c r="L15" s="64"/>
      <c r="M15" s="64"/>
      <c r="N15" s="64"/>
      <c r="O15" s="65" t="s">
        <v>29</v>
      </c>
      <c r="P15" s="66"/>
      <c r="Q15" s="63" t="s">
        <v>19</v>
      </c>
      <c r="R15" s="64"/>
      <c r="S15" s="64"/>
      <c r="T15" s="64"/>
      <c r="U15" s="64"/>
      <c r="V15" s="64"/>
      <c r="W15" s="65" t="s">
        <v>29</v>
      </c>
      <c r="X15" s="66"/>
      <c r="Y15" s="63" t="s">
        <v>19</v>
      </c>
      <c r="Z15" s="64"/>
      <c r="AA15" s="64"/>
      <c r="AB15" s="64"/>
      <c r="AC15" s="64"/>
      <c r="AD15" s="64"/>
      <c r="AE15" s="65" t="s">
        <v>29</v>
      </c>
      <c r="AF15" s="66"/>
      <c r="AG15" s="63" t="s">
        <v>19</v>
      </c>
      <c r="AH15" s="64"/>
      <c r="AI15" s="64"/>
      <c r="AJ15" s="64"/>
      <c r="AK15" s="64"/>
      <c r="AL15" s="64"/>
      <c r="AM15" s="65" t="s">
        <v>29</v>
      </c>
      <c r="AN15" s="66"/>
      <c r="AO15" s="63" t="s">
        <v>19</v>
      </c>
      <c r="AP15" s="64"/>
      <c r="AQ15" s="64"/>
      <c r="AR15" s="64"/>
      <c r="AS15" s="64"/>
      <c r="AT15" s="64"/>
      <c r="AU15" s="65" t="s">
        <v>29</v>
      </c>
      <c r="AV15" s="66"/>
      <c r="AW15" s="63" t="s">
        <v>19</v>
      </c>
      <c r="AX15" s="64"/>
      <c r="AY15" s="64"/>
      <c r="AZ15" s="64"/>
      <c r="BA15" s="64"/>
      <c r="BB15" s="64"/>
      <c r="BC15" s="65" t="s">
        <v>29</v>
      </c>
      <c r="BD15" s="66"/>
      <c r="BE15" s="63" t="s">
        <v>19</v>
      </c>
      <c r="BF15" s="64"/>
      <c r="BG15" s="64"/>
      <c r="BH15" s="64"/>
      <c r="BI15" s="64"/>
      <c r="BJ15" s="64"/>
      <c r="BK15" s="65" t="s">
        <v>29</v>
      </c>
      <c r="BL15" s="66"/>
      <c r="BM15" s="63" t="s">
        <v>19</v>
      </c>
      <c r="BN15" s="64"/>
      <c r="BO15" s="64"/>
      <c r="BP15" s="64"/>
      <c r="BQ15" s="64"/>
      <c r="BR15" s="64"/>
      <c r="BS15" s="65" t="s">
        <v>29</v>
      </c>
      <c r="BT15" s="66"/>
      <c r="BU15" s="63" t="s">
        <v>19</v>
      </c>
      <c r="BV15" s="64"/>
      <c r="BW15" s="64"/>
      <c r="BX15" s="64"/>
      <c r="BY15" s="64"/>
      <c r="BZ15" s="64"/>
      <c r="CA15" s="65" t="s">
        <v>29</v>
      </c>
      <c r="CB15" s="66"/>
      <c r="CC15" s="63" t="s">
        <v>19</v>
      </c>
      <c r="CD15" s="64"/>
      <c r="CE15" s="64"/>
      <c r="CF15" s="64"/>
      <c r="CG15" s="64"/>
      <c r="CH15" s="64"/>
      <c r="CI15" s="65" t="s">
        <v>29</v>
      </c>
      <c r="CJ15" s="66"/>
      <c r="CK15" s="63" t="s">
        <v>19</v>
      </c>
      <c r="CL15" s="64"/>
      <c r="CM15" s="64"/>
      <c r="CN15" s="64"/>
      <c r="CO15" s="64"/>
      <c r="CP15" s="64"/>
      <c r="CQ15" s="65" t="s">
        <v>29</v>
      </c>
      <c r="CR15" s="66"/>
      <c r="CS15" s="63" t="s">
        <v>19</v>
      </c>
      <c r="CT15" s="64"/>
      <c r="CU15" s="64"/>
      <c r="CV15" s="64"/>
      <c r="CW15" s="64"/>
      <c r="CX15" s="64"/>
      <c r="CY15" s="65" t="s">
        <v>29</v>
      </c>
      <c r="CZ15" s="66"/>
    </row>
    <row r="16" spans="1:104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</row>
  </sheetData>
  <mergeCells count="182">
    <mergeCell ref="CS2:CU2"/>
    <mergeCell ref="A4:A5"/>
    <mergeCell ref="B4:C4"/>
    <mergeCell ref="D4:D5"/>
    <mergeCell ref="E4:E5"/>
    <mergeCell ref="F4:F5"/>
    <mergeCell ref="G4:G5"/>
    <mergeCell ref="I4:I5"/>
    <mergeCell ref="J4:K4"/>
    <mergeCell ref="L4:L5"/>
    <mergeCell ref="AW2:AY2"/>
    <mergeCell ref="BE2:BG2"/>
    <mergeCell ref="BM2:BO2"/>
    <mergeCell ref="BU2:BW2"/>
    <mergeCell ref="CC2:CE2"/>
    <mergeCell ref="CK2:CM2"/>
    <mergeCell ref="A2:C2"/>
    <mergeCell ref="I2:K2"/>
    <mergeCell ref="Q2:S2"/>
    <mergeCell ref="Y2:AA2"/>
    <mergeCell ref="AG2:AI2"/>
    <mergeCell ref="AO2:AQ2"/>
    <mergeCell ref="U4:U5"/>
    <mergeCell ref="V4:V5"/>
    <mergeCell ref="W4:W5"/>
    <mergeCell ref="Y4:Y5"/>
    <mergeCell ref="Z4:AA4"/>
    <mergeCell ref="AB4:AB5"/>
    <mergeCell ref="M4:M5"/>
    <mergeCell ref="N4:N5"/>
    <mergeCell ref="O4:O5"/>
    <mergeCell ref="Q4:Q5"/>
    <mergeCell ref="R4:S4"/>
    <mergeCell ref="T4:T5"/>
    <mergeCell ref="AK4:AK5"/>
    <mergeCell ref="AL4:AL5"/>
    <mergeCell ref="AM4:AM5"/>
    <mergeCell ref="AO4:AO5"/>
    <mergeCell ref="AP4:AQ4"/>
    <mergeCell ref="AR4:AR5"/>
    <mergeCell ref="AC4:AC5"/>
    <mergeCell ref="AD4:AD5"/>
    <mergeCell ref="AE4:AE5"/>
    <mergeCell ref="AG4:AG5"/>
    <mergeCell ref="AH4:AI4"/>
    <mergeCell ref="AJ4:AJ5"/>
    <mergeCell ref="BA4:BA5"/>
    <mergeCell ref="BB4:BB5"/>
    <mergeCell ref="BC4:BC5"/>
    <mergeCell ref="BE4:BE5"/>
    <mergeCell ref="BF4:BG4"/>
    <mergeCell ref="BH4:BH5"/>
    <mergeCell ref="BF5:BG5"/>
    <mergeCell ref="AS4:AS5"/>
    <mergeCell ref="AT4:AT5"/>
    <mergeCell ref="AU4:AU5"/>
    <mergeCell ref="AW4:AW5"/>
    <mergeCell ref="AX4:AY4"/>
    <mergeCell ref="AZ4:AZ5"/>
    <mergeCell ref="BQ4:BQ5"/>
    <mergeCell ref="BR4:BR5"/>
    <mergeCell ref="BS4:BS5"/>
    <mergeCell ref="BU4:BU5"/>
    <mergeCell ref="BV4:BW4"/>
    <mergeCell ref="BX4:BX5"/>
    <mergeCell ref="BV5:BW5"/>
    <mergeCell ref="BI4:BI5"/>
    <mergeCell ref="BJ4:BJ5"/>
    <mergeCell ref="BK4:BK5"/>
    <mergeCell ref="BM4:BM5"/>
    <mergeCell ref="BN4:BO4"/>
    <mergeCell ref="BP4:BP5"/>
    <mergeCell ref="BN5:BO5"/>
    <mergeCell ref="CH4:CH5"/>
    <mergeCell ref="CI4:CI5"/>
    <mergeCell ref="CK4:CK5"/>
    <mergeCell ref="CL4:CM4"/>
    <mergeCell ref="CN4:CN5"/>
    <mergeCell ref="CL5:CM5"/>
    <mergeCell ref="BY4:BY5"/>
    <mergeCell ref="BZ4:BZ5"/>
    <mergeCell ref="CA4:CA5"/>
    <mergeCell ref="CC4:CC5"/>
    <mergeCell ref="CD4:CE4"/>
    <mergeCell ref="CF4:CF5"/>
    <mergeCell ref="CD5:CE5"/>
    <mergeCell ref="A6:A12"/>
    <mergeCell ref="B6:B7"/>
    <mergeCell ref="I6:I12"/>
    <mergeCell ref="J6:J7"/>
    <mergeCell ref="Q6:Q12"/>
    <mergeCell ref="R6:R7"/>
    <mergeCell ref="CW4:CW5"/>
    <mergeCell ref="CX4:CX5"/>
    <mergeCell ref="CY4:CY5"/>
    <mergeCell ref="B5:C5"/>
    <mergeCell ref="J5:K5"/>
    <mergeCell ref="R5:S5"/>
    <mergeCell ref="Z5:AA5"/>
    <mergeCell ref="AH5:AI5"/>
    <mergeCell ref="AP5:AQ5"/>
    <mergeCell ref="AX5:AY5"/>
    <mergeCell ref="CO4:CO5"/>
    <mergeCell ref="CP4:CP5"/>
    <mergeCell ref="CQ4:CQ5"/>
    <mergeCell ref="CS4:CS5"/>
    <mergeCell ref="CT4:CU4"/>
    <mergeCell ref="CV4:CV5"/>
    <mergeCell ref="CT5:CU5"/>
    <mergeCell ref="CG4:CG5"/>
    <mergeCell ref="AP9:AP10"/>
    <mergeCell ref="AX9:AX10"/>
    <mergeCell ref="BF9:BF10"/>
    <mergeCell ref="BN9:BN10"/>
    <mergeCell ref="CS6:CS12"/>
    <mergeCell ref="CT6:CT7"/>
    <mergeCell ref="B8:C8"/>
    <mergeCell ref="J8:K8"/>
    <mergeCell ref="R8:S8"/>
    <mergeCell ref="Z8:AA8"/>
    <mergeCell ref="AH8:AI8"/>
    <mergeCell ref="AP8:AQ8"/>
    <mergeCell ref="AX8:AY8"/>
    <mergeCell ref="BF8:BG8"/>
    <mergeCell ref="BU6:BU12"/>
    <mergeCell ref="BV6:BV7"/>
    <mergeCell ref="CC6:CC12"/>
    <mergeCell ref="CD6:CD7"/>
    <mergeCell ref="BE6:BE12"/>
    <mergeCell ref="BF6:BF7"/>
    <mergeCell ref="BM6:BM12"/>
    <mergeCell ref="BN6:BN7"/>
    <mergeCell ref="BN8:BO8"/>
    <mergeCell ref="BF11:BG11"/>
    <mergeCell ref="CD9:CD10"/>
    <mergeCell ref="CL9:CL10"/>
    <mergeCell ref="CT9:CT10"/>
    <mergeCell ref="B11:C11"/>
    <mergeCell ref="J11:K11"/>
    <mergeCell ref="R11:S11"/>
    <mergeCell ref="Z11:AA11"/>
    <mergeCell ref="AH11:AI11"/>
    <mergeCell ref="AP11:AQ11"/>
    <mergeCell ref="AX11:AY11"/>
    <mergeCell ref="CK6:CK12"/>
    <mergeCell ref="CL6:CL7"/>
    <mergeCell ref="BV8:BW8"/>
    <mergeCell ref="CD8:CE8"/>
    <mergeCell ref="CL8:CM8"/>
    <mergeCell ref="BV9:BV10"/>
    <mergeCell ref="AW6:AW12"/>
    <mergeCell ref="AX6:AX7"/>
    <mergeCell ref="CT8:CU8"/>
    <mergeCell ref="B9:B10"/>
    <mergeCell ref="J9:J10"/>
    <mergeCell ref="R9:R10"/>
    <mergeCell ref="Z9:Z10"/>
    <mergeCell ref="AH9:AH10"/>
    <mergeCell ref="BV12:BW12"/>
    <mergeCell ref="CD12:CE12"/>
    <mergeCell ref="CL12:CM12"/>
    <mergeCell ref="CT12:CU12"/>
    <mergeCell ref="BV11:BW11"/>
    <mergeCell ref="CD11:CE11"/>
    <mergeCell ref="CL11:CM11"/>
    <mergeCell ref="CT11:CU11"/>
    <mergeCell ref="B12:C12"/>
    <mergeCell ref="J12:K12"/>
    <mergeCell ref="R12:S12"/>
    <mergeCell ref="Z12:AA12"/>
    <mergeCell ref="AH12:AI12"/>
    <mergeCell ref="AP12:AQ12"/>
    <mergeCell ref="BN11:BO11"/>
    <mergeCell ref="AX12:AY12"/>
    <mergeCell ref="Y6:Y12"/>
    <mergeCell ref="Z6:Z7"/>
    <mergeCell ref="AG6:AG12"/>
    <mergeCell ref="AH6:AH7"/>
    <mergeCell ref="AO6:AO12"/>
    <mergeCell ref="AP6:AP7"/>
    <mergeCell ref="BF12:BG12"/>
    <mergeCell ref="BN12:BO1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ضماد</vt:lpstr>
      <vt:lpstr>إجمالي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2016-04-20T06:25:11Z</cp:lastPrinted>
  <dcterms:created xsi:type="dcterms:W3CDTF">2001-04-25T05:49:32Z</dcterms:created>
  <dcterms:modified xsi:type="dcterms:W3CDTF">2026-04-16T07:24:06Z</dcterms:modified>
</cp:coreProperties>
</file>